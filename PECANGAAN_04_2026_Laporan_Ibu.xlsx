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FF3DF3A0-A27B-42FD-BE16-081D73BFC6A4}" xr6:coauthVersionLast="47" xr6:coauthVersionMax="47" xr10:uidLastSave="{00000000-0000-0000-0000-000000000000}"/>
  <bookViews>
    <workbookView xWindow="-110" yWindow="-110" windowWidth="19420" windowHeight="10300" tabRatio="851" activeTab="8" xr2:uid="{00000000-000D-0000-FFFF-FFFF00000000}"/>
  </bookViews>
  <sheets>
    <sheet name="PETUNJUK" sheetId="28" r:id="rId1"/>
    <sheet name="1.DATA KIA" sheetId="2" r:id="rId2"/>
    <sheet name="2.PWS" sheetId="3" r:id="rId3"/>
    <sheet name="3.Komplikasi" sheetId="29" r:id="rId4"/>
    <sheet name="4.Komp By Name" sheetId="30" r:id="rId5"/>
    <sheet name="5.Mati Maternal" sheetId="37" r:id="rId6"/>
    <sheet name="6.P4K" sheetId="33" r:id="rId7"/>
    <sheet name="7.Mati Gol Umur" sheetId="10" r:id="rId8"/>
    <sheet name="8.ANCTEPADU" sheetId="35" r:id="rId9"/>
    <sheet name="9.PONED KAB" sheetId="36" r:id="rId10"/>
    <sheet name="10. PONED FORMAT" sheetId="12" r:id="rId11"/>
    <sheet name="11. Skrining Ibu Hamil" sheetId="38" r:id="rId12"/>
  </sheets>
  <externalReferences>
    <externalReference r:id="rId13"/>
  </externalReferences>
  <definedNames>
    <definedName name="_xlnm._FilterDatabase" localSheetId="4" hidden="1">'4.Komp By Name'!$A$5:$K$753</definedName>
    <definedName name="_xlnm.Print_Area" localSheetId="1">'1.DATA KIA'!$A$414:$AL$429</definedName>
    <definedName name="_xlnm.Print_Area" localSheetId="3">'3.Komplikasi'!$A$418:$AM$437</definedName>
    <definedName name="_xlnm.Print_Area" localSheetId="4">'4.Komp By Name'!$A$1:$K$316</definedName>
    <definedName name="_xlnm.Print_Area" localSheetId="6">'6.P4K'!$A$445:$AQ$477</definedName>
    <definedName name="_xlnm.Print_Area" localSheetId="7">'7.Mati Gol Umur'!$A$1:$S$30</definedName>
    <definedName name="_xlnm.Print_Area" localSheetId="8">'8.ANCTEPADU'!$A$491:$AM$512</definedName>
    <definedName name="_xlnm.Print_Area" localSheetId="9">'9.PONED KAB'!$A$287:$AN$309</definedName>
    <definedName name="_xlnm.Print_Titles" localSheetId="4">'4.Komp By Name'!$4:$5</definedName>
    <definedName name="_xlnm.Print_Titles" localSheetId="6">'6.P4K'!$A:$B</definedName>
    <definedName name="_xlnm.Print_Titles" localSheetId="8">'8.ANCTEPADU'!$A:$B</definedName>
  </definedNames>
  <calcPr calcId="181029"/>
</workbook>
</file>

<file path=xl/calcChain.xml><?xml version="1.0" encoding="utf-8"?>
<calcChain xmlns="http://schemas.openxmlformats.org/spreadsheetml/2006/main">
  <c r="AO117" i="33" l="1"/>
  <c r="AH116" i="35"/>
  <c r="AH117" i="35"/>
  <c r="AH118" i="35"/>
  <c r="AH119" i="35"/>
  <c r="AH120" i="35"/>
  <c r="AH121" i="35"/>
  <c r="AH122" i="35"/>
  <c r="AH123" i="35"/>
  <c r="AH124" i="35"/>
  <c r="AH125" i="35"/>
  <c r="AH126" i="35"/>
  <c r="AH115" i="35"/>
  <c r="Q116" i="35"/>
  <c r="Q117" i="35"/>
  <c r="Q118" i="35"/>
  <c r="Q119" i="35"/>
  <c r="Q120" i="35"/>
  <c r="Q121" i="35"/>
  <c r="Q122" i="35"/>
  <c r="Q123" i="35"/>
  <c r="Q124" i="35"/>
  <c r="Q125" i="35"/>
  <c r="Q126" i="35"/>
  <c r="Q115" i="35"/>
  <c r="AD116" i="35"/>
  <c r="AD117" i="35"/>
  <c r="AD118" i="35"/>
  <c r="AD119" i="35"/>
  <c r="AD120" i="35"/>
  <c r="AD121" i="35"/>
  <c r="AD122" i="35"/>
  <c r="AD123" i="35"/>
  <c r="AD124" i="35"/>
  <c r="AD125" i="35"/>
  <c r="AD126" i="35"/>
  <c r="AD115" i="35"/>
  <c r="AJ122" i="29"/>
  <c r="AJ121" i="29"/>
  <c r="AJ120" i="29"/>
  <c r="AJ119" i="29"/>
  <c r="AJ118" i="29"/>
  <c r="AJ117" i="29"/>
  <c r="AJ116" i="29"/>
  <c r="AJ115" i="29"/>
  <c r="AJ114" i="29"/>
  <c r="AJ113" i="29"/>
  <c r="AJ112" i="29"/>
  <c r="AJ111" i="29"/>
  <c r="J109" i="38"/>
  <c r="J108" i="38"/>
  <c r="J107" i="38"/>
  <c r="J106" i="38"/>
  <c r="J105" i="38"/>
  <c r="J104" i="38"/>
  <c r="J103" i="38"/>
  <c r="J102" i="38"/>
  <c r="J101" i="38"/>
  <c r="J100" i="38"/>
  <c r="J99" i="38"/>
  <c r="J98" i="38"/>
  <c r="I99" i="38"/>
  <c r="I100" i="38"/>
  <c r="I101" i="38"/>
  <c r="I102" i="38"/>
  <c r="I103" i="38"/>
  <c r="I104" i="38"/>
  <c r="I105" i="38"/>
  <c r="I106" i="38"/>
  <c r="I107" i="38"/>
  <c r="I108" i="38"/>
  <c r="I109" i="38"/>
  <c r="I98" i="38"/>
  <c r="H99" i="38"/>
  <c r="H100" i="38"/>
  <c r="H101" i="38"/>
  <c r="H102" i="38"/>
  <c r="H103" i="38"/>
  <c r="H104" i="38"/>
  <c r="H105" i="38"/>
  <c r="H106" i="38"/>
  <c r="H107" i="38"/>
  <c r="H108" i="38"/>
  <c r="H109" i="38"/>
  <c r="H98" i="38"/>
  <c r="G99" i="38"/>
  <c r="G100" i="38"/>
  <c r="G101" i="38"/>
  <c r="G102" i="38"/>
  <c r="G103" i="38"/>
  <c r="G104" i="38"/>
  <c r="G105" i="38"/>
  <c r="G106" i="38"/>
  <c r="G107" i="38"/>
  <c r="G108" i="38"/>
  <c r="G109" i="38"/>
  <c r="G98" i="38"/>
  <c r="K175" i="12"/>
  <c r="K118" i="35" l="1"/>
  <c r="K125" i="35"/>
  <c r="K115" i="35"/>
  <c r="F116" i="35"/>
  <c r="K116" i="35" s="1"/>
  <c r="F117" i="35"/>
  <c r="K117" i="35" s="1"/>
  <c r="F118" i="35"/>
  <c r="F119" i="35"/>
  <c r="K119" i="35" s="1"/>
  <c r="F120" i="35"/>
  <c r="K120" i="35" s="1"/>
  <c r="F121" i="35"/>
  <c r="K121" i="35" s="1"/>
  <c r="F122" i="35"/>
  <c r="K122" i="35" s="1"/>
  <c r="F123" i="35"/>
  <c r="K123" i="35" s="1"/>
  <c r="F124" i="35"/>
  <c r="K124" i="35" s="1"/>
  <c r="F125" i="35"/>
  <c r="F126" i="35"/>
  <c r="K126" i="35" s="1"/>
  <c r="F115" i="35"/>
  <c r="C116" i="35"/>
  <c r="I116" i="35" s="1"/>
  <c r="M116" i="35" s="1"/>
  <c r="C117" i="35"/>
  <c r="I117" i="35" s="1"/>
  <c r="M117" i="35" s="1"/>
  <c r="C118" i="35"/>
  <c r="I118" i="35" s="1"/>
  <c r="M118" i="35" s="1"/>
  <c r="C119" i="35"/>
  <c r="I119" i="35" s="1"/>
  <c r="M119" i="35" s="1"/>
  <c r="C120" i="35"/>
  <c r="I120" i="35" s="1"/>
  <c r="M120" i="35" s="1"/>
  <c r="C121" i="35"/>
  <c r="I121" i="35" s="1"/>
  <c r="M121" i="35" s="1"/>
  <c r="C122" i="35"/>
  <c r="I122" i="35" s="1"/>
  <c r="M122" i="35" s="1"/>
  <c r="C123" i="35"/>
  <c r="I123" i="35" s="1"/>
  <c r="M123" i="35" s="1"/>
  <c r="C124" i="35"/>
  <c r="I124" i="35" s="1"/>
  <c r="M124" i="35" s="1"/>
  <c r="C125" i="35"/>
  <c r="I125" i="35" s="1"/>
  <c r="M125" i="35" s="1"/>
  <c r="C126" i="35"/>
  <c r="I126" i="35" s="1"/>
  <c r="M126" i="35" s="1"/>
  <c r="AF112" i="2"/>
  <c r="AF113" i="2"/>
  <c r="AF114" i="2"/>
  <c r="AF115" i="2"/>
  <c r="AF116" i="2"/>
  <c r="AF117" i="2"/>
  <c r="AF118" i="2"/>
  <c r="AF119" i="2"/>
  <c r="AF120" i="2"/>
  <c r="AF121" i="2"/>
  <c r="AF122" i="2"/>
  <c r="AF111" i="2"/>
  <c r="AL122" i="2"/>
  <c r="AK122" i="2"/>
  <c r="AJ122" i="2"/>
  <c r="AI122" i="2"/>
  <c r="AH122" i="2"/>
  <c r="AL121" i="2"/>
  <c r="AK121" i="2"/>
  <c r="AJ121" i="2"/>
  <c r="AI121" i="2"/>
  <c r="AH121" i="2"/>
  <c r="AL120" i="2"/>
  <c r="AK120" i="2"/>
  <c r="AJ120" i="2"/>
  <c r="AI120" i="2"/>
  <c r="AH120" i="2"/>
  <c r="AL119" i="2"/>
  <c r="AK119" i="2"/>
  <c r="AJ119" i="2"/>
  <c r="AI119" i="2"/>
  <c r="AH119" i="2"/>
  <c r="AL118" i="2"/>
  <c r="AK118" i="2"/>
  <c r="AJ118" i="2"/>
  <c r="AI118" i="2"/>
  <c r="AH118" i="2"/>
  <c r="AL117" i="2"/>
  <c r="AK117" i="2"/>
  <c r="AJ117" i="2"/>
  <c r="AI117" i="2"/>
  <c r="AH117" i="2"/>
  <c r="AL116" i="2"/>
  <c r="AK116" i="2"/>
  <c r="AJ116" i="2"/>
  <c r="AI116" i="2"/>
  <c r="AH116" i="2"/>
  <c r="AL115" i="2"/>
  <c r="AK115" i="2"/>
  <c r="AJ115" i="2"/>
  <c r="AI115" i="2"/>
  <c r="AH115" i="2"/>
  <c r="AL114" i="2"/>
  <c r="AK114" i="2"/>
  <c r="AJ114" i="2"/>
  <c r="AI114" i="2"/>
  <c r="AH114" i="2"/>
  <c r="AL113" i="2"/>
  <c r="AK113" i="2"/>
  <c r="AJ113" i="2"/>
  <c r="AI113" i="2"/>
  <c r="AH113" i="2"/>
  <c r="AL112" i="2"/>
  <c r="AK112" i="2"/>
  <c r="AJ112" i="2"/>
  <c r="AI112" i="2"/>
  <c r="AH112" i="2"/>
  <c r="AL111" i="2"/>
  <c r="AK111" i="2"/>
  <c r="AJ111" i="2"/>
  <c r="AI111" i="2"/>
  <c r="AH111" i="2"/>
  <c r="AG112" i="2"/>
  <c r="AG113" i="2"/>
  <c r="AG115" i="2"/>
  <c r="AG116" i="2"/>
  <c r="AG117" i="2"/>
  <c r="AG118" i="2"/>
  <c r="AG119" i="2"/>
  <c r="AG120" i="2"/>
  <c r="AG121" i="2"/>
  <c r="AG122" i="2"/>
  <c r="AG111" i="2"/>
  <c r="AC112" i="2"/>
  <c r="AC113" i="2"/>
  <c r="AC114" i="2"/>
  <c r="AC115" i="2"/>
  <c r="AC116" i="2"/>
  <c r="AC117" i="2"/>
  <c r="AC118" i="2"/>
  <c r="AC119" i="2"/>
  <c r="AC120" i="2"/>
  <c r="AC121" i="2"/>
  <c r="AC122" i="2"/>
  <c r="AC111" i="2"/>
  <c r="AA112" i="2"/>
  <c r="AA113" i="2"/>
  <c r="AA114" i="2"/>
  <c r="AA115" i="2"/>
  <c r="AA116" i="2"/>
  <c r="AA117" i="2"/>
  <c r="AA118" i="2"/>
  <c r="AA119" i="2"/>
  <c r="AA120" i="2"/>
  <c r="AA121" i="2"/>
  <c r="AA122" i="2"/>
  <c r="AA111" i="2"/>
  <c r="X122" i="2"/>
  <c r="W122" i="2"/>
  <c r="V122" i="2"/>
  <c r="X121" i="2"/>
  <c r="W121" i="2"/>
  <c r="V121" i="2"/>
  <c r="X120" i="2"/>
  <c r="W120" i="2"/>
  <c r="V120" i="2"/>
  <c r="X119" i="2"/>
  <c r="W119" i="2"/>
  <c r="V119" i="2"/>
  <c r="X118" i="2"/>
  <c r="W118" i="2"/>
  <c r="V118" i="2"/>
  <c r="X117" i="2"/>
  <c r="W117" i="2"/>
  <c r="V117" i="2"/>
  <c r="X116" i="2"/>
  <c r="W116" i="2"/>
  <c r="V116" i="2"/>
  <c r="X115" i="2"/>
  <c r="W115" i="2"/>
  <c r="V115" i="2"/>
  <c r="X114" i="2"/>
  <c r="W114" i="2"/>
  <c r="V114" i="2"/>
  <c r="X113" i="2"/>
  <c r="W113" i="2"/>
  <c r="V113" i="2"/>
  <c r="X112" i="2"/>
  <c r="W112" i="2"/>
  <c r="V112" i="2"/>
  <c r="X111" i="2"/>
  <c r="W111" i="2"/>
  <c r="V111" i="2"/>
  <c r="C115" i="35"/>
  <c r="I115" i="35" s="1"/>
  <c r="M115" i="35" s="1"/>
  <c r="H69" i="38" l="1"/>
  <c r="H70" i="38"/>
  <c r="H71" i="38"/>
  <c r="H72" i="38"/>
  <c r="H73" i="38"/>
  <c r="H74" i="38"/>
  <c r="H75" i="38"/>
  <c r="H76" i="38"/>
  <c r="H77" i="38"/>
  <c r="H78" i="38"/>
  <c r="H79" i="38"/>
  <c r="H68" i="38"/>
  <c r="G69" i="38"/>
  <c r="G70" i="38"/>
  <c r="G71" i="38"/>
  <c r="G72" i="38"/>
  <c r="G73" i="38"/>
  <c r="G74" i="38"/>
  <c r="G75" i="38"/>
  <c r="G76" i="38"/>
  <c r="G77" i="38"/>
  <c r="G78" i="38"/>
  <c r="G79" i="38"/>
  <c r="G68" i="38"/>
  <c r="H39" i="38"/>
  <c r="H40" i="38"/>
  <c r="H41" i="38"/>
  <c r="H42" i="38"/>
  <c r="H43" i="38"/>
  <c r="H44" i="38"/>
  <c r="H45" i="38"/>
  <c r="H46" i="38"/>
  <c r="H47" i="38"/>
  <c r="H48" i="38"/>
  <c r="H49" i="38"/>
  <c r="Q85" i="35"/>
  <c r="AD85" i="35" s="1"/>
  <c r="AG85" i="35" s="1"/>
  <c r="Q87" i="35"/>
  <c r="AD87" i="35" s="1"/>
  <c r="AG87" i="35" s="1"/>
  <c r="Q88" i="35"/>
  <c r="AD88" i="35" s="1"/>
  <c r="AG88" i="35" s="1"/>
  <c r="F81" i="35"/>
  <c r="K81" i="35" s="1"/>
  <c r="F82" i="35"/>
  <c r="K82" i="35" s="1"/>
  <c r="F83" i="35"/>
  <c r="K83" i="35" s="1"/>
  <c r="F84" i="35"/>
  <c r="K84" i="35" s="1"/>
  <c r="F85" i="35"/>
  <c r="K85" i="35" s="1"/>
  <c r="F86" i="35"/>
  <c r="K86" i="35" s="1"/>
  <c r="F87" i="35"/>
  <c r="K87" i="35" s="1"/>
  <c r="F88" i="35"/>
  <c r="K88" i="35" s="1"/>
  <c r="F89" i="35"/>
  <c r="K89" i="35" s="1"/>
  <c r="F90" i="35"/>
  <c r="K90" i="35" s="1"/>
  <c r="F91" i="35"/>
  <c r="K91" i="35" s="1"/>
  <c r="F80" i="35"/>
  <c r="K80" i="35" s="1"/>
  <c r="C81" i="35"/>
  <c r="Q81" i="35" s="1"/>
  <c r="AD81" i="35" s="1"/>
  <c r="AG81" i="35" s="1"/>
  <c r="C82" i="35"/>
  <c r="M82" i="35" s="1"/>
  <c r="C83" i="35"/>
  <c r="M83" i="35" s="1"/>
  <c r="C84" i="35"/>
  <c r="M84" i="35" s="1"/>
  <c r="C85" i="35"/>
  <c r="M85" i="35" s="1"/>
  <c r="C86" i="35"/>
  <c r="Q86" i="35" s="1"/>
  <c r="AD86" i="35" s="1"/>
  <c r="AG86" i="35" s="1"/>
  <c r="C87" i="35"/>
  <c r="M87" i="35" s="1"/>
  <c r="C88" i="35"/>
  <c r="M88" i="35" s="1"/>
  <c r="C89" i="35"/>
  <c r="Q89" i="35" s="1"/>
  <c r="AD89" i="35" s="1"/>
  <c r="AG89" i="35" s="1"/>
  <c r="C90" i="35"/>
  <c r="M90" i="35" s="1"/>
  <c r="C91" i="35"/>
  <c r="M91" i="35" s="1"/>
  <c r="C80" i="35"/>
  <c r="M80" i="35" s="1"/>
  <c r="AJ87" i="29"/>
  <c r="AF88" i="2" s="1"/>
  <c r="AJ86" i="29"/>
  <c r="AF87" i="2" s="1"/>
  <c r="AJ85" i="29"/>
  <c r="AF86" i="2" s="1"/>
  <c r="AJ84" i="29"/>
  <c r="AF85" i="2" s="1"/>
  <c r="AJ83" i="29"/>
  <c r="AF84" i="2" s="1"/>
  <c r="AJ82" i="29"/>
  <c r="AF83" i="2" s="1"/>
  <c r="AJ81" i="29"/>
  <c r="AJ80" i="29"/>
  <c r="AF81" i="2" s="1"/>
  <c r="AJ79" i="29"/>
  <c r="AF80" i="2" s="1"/>
  <c r="AJ78" i="29"/>
  <c r="AF79" i="2" s="1"/>
  <c r="AJ77" i="29"/>
  <c r="AF78" i="2" s="1"/>
  <c r="AJ76" i="29"/>
  <c r="AF77" i="2" s="1"/>
  <c r="AF82" i="2"/>
  <c r="AL88" i="2"/>
  <c r="AK88" i="2"/>
  <c r="AJ88" i="2"/>
  <c r="AI88" i="2"/>
  <c r="AH88" i="2"/>
  <c r="AG88" i="2"/>
  <c r="AC88" i="2"/>
  <c r="AA88" i="2"/>
  <c r="AL87" i="2"/>
  <c r="AK87" i="2"/>
  <c r="AJ87" i="2"/>
  <c r="AI87" i="2"/>
  <c r="AH87" i="2"/>
  <c r="AG87" i="2"/>
  <c r="AC87" i="2"/>
  <c r="AA87" i="2"/>
  <c r="AL86" i="2"/>
  <c r="AK86" i="2"/>
  <c r="AJ86" i="2"/>
  <c r="AI86" i="2"/>
  <c r="AH86" i="2"/>
  <c r="AG86" i="2"/>
  <c r="AC86" i="2"/>
  <c r="AA86" i="2"/>
  <c r="AL85" i="2"/>
  <c r="AK85" i="2"/>
  <c r="AJ85" i="2"/>
  <c r="AI85" i="2"/>
  <c r="AH85" i="2"/>
  <c r="AG85" i="2"/>
  <c r="AC85" i="2"/>
  <c r="AA85" i="2"/>
  <c r="AL84" i="2"/>
  <c r="AK84" i="2"/>
  <c r="AJ84" i="2"/>
  <c r="AI84" i="2"/>
  <c r="AH84" i="2"/>
  <c r="AG84" i="2"/>
  <c r="AC84" i="2"/>
  <c r="AA84" i="2"/>
  <c r="AL83" i="2"/>
  <c r="AK83" i="2"/>
  <c r="AJ83" i="2"/>
  <c r="AI83" i="2"/>
  <c r="AH83" i="2"/>
  <c r="AG83" i="2"/>
  <c r="AC83" i="2"/>
  <c r="AA83" i="2"/>
  <c r="AL82" i="2"/>
  <c r="AK82" i="2"/>
  <c r="AJ82" i="2"/>
  <c r="AI82" i="2"/>
  <c r="AH82" i="2"/>
  <c r="AG82" i="2"/>
  <c r="AC82" i="2"/>
  <c r="AA82" i="2"/>
  <c r="AL81" i="2"/>
  <c r="AK81" i="2"/>
  <c r="AJ81" i="2"/>
  <c r="AI81" i="2"/>
  <c r="AH81" i="2"/>
  <c r="AG81" i="2"/>
  <c r="AC81" i="2"/>
  <c r="AA81" i="2"/>
  <c r="AL80" i="2"/>
  <c r="AK80" i="2"/>
  <c r="AJ80" i="2"/>
  <c r="AI80" i="2"/>
  <c r="AH80" i="2"/>
  <c r="AG80" i="2"/>
  <c r="AC80" i="2"/>
  <c r="AA80" i="2"/>
  <c r="AL79" i="2"/>
  <c r="AK79" i="2"/>
  <c r="AJ79" i="2"/>
  <c r="AI79" i="2"/>
  <c r="AH79" i="2"/>
  <c r="AG79" i="2"/>
  <c r="AC79" i="2"/>
  <c r="AA79" i="2"/>
  <c r="AL78" i="2"/>
  <c r="AK78" i="2"/>
  <c r="AJ78" i="2"/>
  <c r="AI78" i="2"/>
  <c r="AH78" i="2"/>
  <c r="AC78" i="2"/>
  <c r="AA78" i="2"/>
  <c r="AL77" i="2"/>
  <c r="AK77" i="2"/>
  <c r="AJ77" i="2"/>
  <c r="AI77" i="2"/>
  <c r="AH77" i="2"/>
  <c r="AG77" i="2"/>
  <c r="AC77" i="2"/>
  <c r="AA77" i="2"/>
  <c r="X88" i="2"/>
  <c r="W88" i="2"/>
  <c r="V88" i="2"/>
  <c r="X87" i="2"/>
  <c r="W87" i="2"/>
  <c r="V87" i="2"/>
  <c r="X86" i="2"/>
  <c r="W86" i="2"/>
  <c r="V86" i="2"/>
  <c r="X85" i="2"/>
  <c r="W85" i="2"/>
  <c r="V85" i="2"/>
  <c r="X84" i="2"/>
  <c r="W84" i="2"/>
  <c r="V84" i="2"/>
  <c r="X83" i="2"/>
  <c r="W83" i="2"/>
  <c r="V83" i="2"/>
  <c r="X82" i="2"/>
  <c r="W82" i="2"/>
  <c r="V82" i="2"/>
  <c r="X81" i="2"/>
  <c r="W81" i="2"/>
  <c r="V81" i="2"/>
  <c r="X80" i="2"/>
  <c r="W80" i="2"/>
  <c r="V80" i="2"/>
  <c r="X79" i="2"/>
  <c r="W79" i="2"/>
  <c r="V79" i="2"/>
  <c r="X78" i="2"/>
  <c r="W78" i="2"/>
  <c r="V78" i="2"/>
  <c r="X77" i="2"/>
  <c r="W77" i="2"/>
  <c r="V77" i="2"/>
  <c r="J41" i="38"/>
  <c r="J44" i="38"/>
  <c r="J38" i="38"/>
  <c r="H38" i="38"/>
  <c r="G39" i="38"/>
  <c r="J39" i="38" s="1"/>
  <c r="G40" i="38"/>
  <c r="J40" i="38" s="1"/>
  <c r="G41" i="38"/>
  <c r="G42" i="38"/>
  <c r="J42" i="38" s="1"/>
  <c r="G43" i="38"/>
  <c r="J43" i="38" s="1"/>
  <c r="G44" i="38"/>
  <c r="G45" i="38"/>
  <c r="J45" i="38" s="1"/>
  <c r="G46" i="38"/>
  <c r="J46" i="38" s="1"/>
  <c r="G47" i="38"/>
  <c r="J47" i="38" s="1"/>
  <c r="G48" i="38"/>
  <c r="J48" i="38" s="1"/>
  <c r="G49" i="38"/>
  <c r="J49" i="38" s="1"/>
  <c r="G38" i="38"/>
  <c r="F46" i="35"/>
  <c r="K46" i="35" s="1"/>
  <c r="F47" i="35"/>
  <c r="K47" i="35" s="1"/>
  <c r="F48" i="35"/>
  <c r="K48" i="35" s="1"/>
  <c r="F49" i="35"/>
  <c r="K49" i="35" s="1"/>
  <c r="F50" i="35"/>
  <c r="K50" i="35" s="1"/>
  <c r="F51" i="35"/>
  <c r="K51" i="35" s="1"/>
  <c r="F52" i="35"/>
  <c r="K52" i="35" s="1"/>
  <c r="F53" i="35"/>
  <c r="K53" i="35" s="1"/>
  <c r="F54" i="35"/>
  <c r="K54" i="35" s="1"/>
  <c r="F55" i="35"/>
  <c r="K55" i="35" s="1"/>
  <c r="F56" i="35"/>
  <c r="K56" i="35" s="1"/>
  <c r="F45" i="35"/>
  <c r="K45" i="35" s="1"/>
  <c r="C46" i="35"/>
  <c r="M46" i="35" s="1"/>
  <c r="Q46" i="35" s="1"/>
  <c r="AD46" i="35" s="1"/>
  <c r="AG46" i="35" s="1"/>
  <c r="C47" i="35"/>
  <c r="M47" i="35" s="1"/>
  <c r="Q47" i="35" s="1"/>
  <c r="AD47" i="35" s="1"/>
  <c r="AG47" i="35" s="1"/>
  <c r="C48" i="35"/>
  <c r="I48" i="35" s="1"/>
  <c r="C49" i="35"/>
  <c r="M49" i="35" s="1"/>
  <c r="Q49" i="35" s="1"/>
  <c r="AD49" i="35" s="1"/>
  <c r="AG49" i="35" s="1"/>
  <c r="C50" i="35"/>
  <c r="M50" i="35" s="1"/>
  <c r="Q50" i="35" s="1"/>
  <c r="AD50" i="35" s="1"/>
  <c r="AG50" i="35" s="1"/>
  <c r="C51" i="35"/>
  <c r="M51" i="35" s="1"/>
  <c r="Q51" i="35" s="1"/>
  <c r="AD51" i="35" s="1"/>
  <c r="AG51" i="35" s="1"/>
  <c r="C52" i="35"/>
  <c r="M52" i="35" s="1"/>
  <c r="Q52" i="35" s="1"/>
  <c r="AD52" i="35" s="1"/>
  <c r="AG52" i="35" s="1"/>
  <c r="C53" i="35"/>
  <c r="M53" i="35" s="1"/>
  <c r="Q53" i="35" s="1"/>
  <c r="AD53" i="35" s="1"/>
  <c r="AG53" i="35" s="1"/>
  <c r="C54" i="35"/>
  <c r="M54" i="35" s="1"/>
  <c r="Q54" i="35" s="1"/>
  <c r="AD54" i="35" s="1"/>
  <c r="AG54" i="35" s="1"/>
  <c r="C55" i="35"/>
  <c r="I55" i="35" s="1"/>
  <c r="C56" i="35"/>
  <c r="I56" i="35" s="1"/>
  <c r="C45" i="35"/>
  <c r="M45" i="35" s="1"/>
  <c r="Q45" i="35" s="1"/>
  <c r="AD45" i="35" s="1"/>
  <c r="AG45" i="35" s="1"/>
  <c r="AJ53" i="29"/>
  <c r="AF54" i="2" s="1"/>
  <c r="AJ52" i="29"/>
  <c r="AF53" i="2" s="1"/>
  <c r="AJ51" i="29"/>
  <c r="AF52" i="2" s="1"/>
  <c r="AJ50" i="29"/>
  <c r="AF51" i="2" s="1"/>
  <c r="AJ49" i="29"/>
  <c r="AF50" i="2" s="1"/>
  <c r="AJ48" i="29"/>
  <c r="AF49" i="2" s="1"/>
  <c r="AJ47" i="29"/>
  <c r="AF48" i="2" s="1"/>
  <c r="AJ46" i="29"/>
  <c r="AF47" i="2" s="1"/>
  <c r="AJ45" i="29"/>
  <c r="AJ44" i="29"/>
  <c r="AF45" i="2" s="1"/>
  <c r="AJ43" i="29"/>
  <c r="AF44" i="2" s="1"/>
  <c r="AJ42" i="29"/>
  <c r="AF46" i="2"/>
  <c r="AF43" i="2"/>
  <c r="AL54" i="2"/>
  <c r="AK54" i="2"/>
  <c r="AJ54" i="2"/>
  <c r="AI54" i="2"/>
  <c r="AH54" i="2"/>
  <c r="AG54" i="2"/>
  <c r="AL53" i="2"/>
  <c r="AK53" i="2"/>
  <c r="AJ53" i="2"/>
  <c r="AI53" i="2"/>
  <c r="AH53" i="2"/>
  <c r="AG53" i="2"/>
  <c r="AL52" i="2"/>
  <c r="AK52" i="2"/>
  <c r="AJ52" i="2"/>
  <c r="AI52" i="2"/>
  <c r="AH52" i="2"/>
  <c r="AG52" i="2"/>
  <c r="AL51" i="2"/>
  <c r="AK51" i="2"/>
  <c r="AJ51" i="2"/>
  <c r="AI51" i="2"/>
  <c r="AH51" i="2"/>
  <c r="AG51" i="2"/>
  <c r="AL50" i="2"/>
  <c r="AK50" i="2"/>
  <c r="AJ50" i="2"/>
  <c r="AI50" i="2"/>
  <c r="AH50" i="2"/>
  <c r="AG50" i="2"/>
  <c r="AL49" i="2"/>
  <c r="AK49" i="2"/>
  <c r="AJ49" i="2"/>
  <c r="AI49" i="2"/>
  <c r="AH49" i="2"/>
  <c r="AL48" i="2"/>
  <c r="AK48" i="2"/>
  <c r="AJ48" i="2"/>
  <c r="AI48" i="2"/>
  <c r="AH48" i="2"/>
  <c r="AG48" i="2"/>
  <c r="AL47" i="2"/>
  <c r="AK47" i="2"/>
  <c r="AJ47" i="2"/>
  <c r="AI47" i="2"/>
  <c r="AH47" i="2"/>
  <c r="AG47" i="2"/>
  <c r="AL46" i="2"/>
  <c r="AK46" i="2"/>
  <c r="AJ46" i="2"/>
  <c r="AI46" i="2"/>
  <c r="AH46" i="2"/>
  <c r="AG46" i="2"/>
  <c r="AL45" i="2"/>
  <c r="AK45" i="2"/>
  <c r="AJ45" i="2"/>
  <c r="AI45" i="2"/>
  <c r="AH45" i="2"/>
  <c r="AG45" i="2"/>
  <c r="AL44" i="2"/>
  <c r="AK44" i="2"/>
  <c r="AJ44" i="2"/>
  <c r="AI44" i="2"/>
  <c r="AH44" i="2"/>
  <c r="AG44" i="2"/>
  <c r="AL43" i="2"/>
  <c r="AK43" i="2"/>
  <c r="AJ43" i="2"/>
  <c r="AI43" i="2"/>
  <c r="AH43" i="2"/>
  <c r="AG43" i="2"/>
  <c r="AC44" i="2"/>
  <c r="AC45" i="2"/>
  <c r="AC46" i="2"/>
  <c r="AC47" i="2"/>
  <c r="AC48" i="2"/>
  <c r="AC49" i="2"/>
  <c r="AC50" i="2"/>
  <c r="AC51" i="2"/>
  <c r="AC52" i="2"/>
  <c r="AC53" i="2"/>
  <c r="AC54" i="2"/>
  <c r="AC43" i="2"/>
  <c r="AA44" i="2"/>
  <c r="AA45" i="2"/>
  <c r="AA46" i="2"/>
  <c r="AA47" i="2"/>
  <c r="AA48" i="2"/>
  <c r="AA49" i="2"/>
  <c r="AA50" i="2"/>
  <c r="AA51" i="2"/>
  <c r="AA52" i="2"/>
  <c r="AA53" i="2"/>
  <c r="AA54" i="2"/>
  <c r="AA43" i="2"/>
  <c r="X54" i="2"/>
  <c r="W54" i="2"/>
  <c r="V54" i="2"/>
  <c r="X53" i="2"/>
  <c r="W53" i="2"/>
  <c r="V53" i="2"/>
  <c r="X52" i="2"/>
  <c r="W52" i="2"/>
  <c r="V52" i="2"/>
  <c r="X51" i="2"/>
  <c r="W51" i="2"/>
  <c r="V51" i="2"/>
  <c r="X50" i="2"/>
  <c r="W50" i="2"/>
  <c r="V50" i="2"/>
  <c r="X49" i="2"/>
  <c r="W49" i="2"/>
  <c r="V49" i="2"/>
  <c r="X48" i="2"/>
  <c r="W48" i="2"/>
  <c r="V48" i="2"/>
  <c r="X47" i="2"/>
  <c r="W47" i="2"/>
  <c r="V47" i="2"/>
  <c r="X46" i="2"/>
  <c r="W46" i="2"/>
  <c r="V46" i="2"/>
  <c r="X45" i="2"/>
  <c r="W45" i="2"/>
  <c r="V45" i="2"/>
  <c r="X44" i="2"/>
  <c r="W44" i="2"/>
  <c r="V44" i="2"/>
  <c r="X43" i="2"/>
  <c r="W43" i="2"/>
  <c r="V43" i="2"/>
  <c r="O65" i="2"/>
  <c r="N65" i="2"/>
  <c r="I81" i="35" l="1"/>
  <c r="M89" i="35"/>
  <c r="I88" i="35"/>
  <c r="Q80" i="35"/>
  <c r="AD80" i="35" s="1"/>
  <c r="AG80" i="35" s="1"/>
  <c r="Q84" i="35"/>
  <c r="AD84" i="35" s="1"/>
  <c r="AG84" i="35" s="1"/>
  <c r="I89" i="35"/>
  <c r="M81" i="35"/>
  <c r="I87" i="35"/>
  <c r="Q91" i="35"/>
  <c r="AD91" i="35" s="1"/>
  <c r="AG91" i="35" s="1"/>
  <c r="Q83" i="35"/>
  <c r="AD83" i="35" s="1"/>
  <c r="AG83" i="35" s="1"/>
  <c r="I86" i="35"/>
  <c r="M86" i="35"/>
  <c r="Q90" i="35"/>
  <c r="AD90" i="35" s="1"/>
  <c r="AG90" i="35" s="1"/>
  <c r="Q82" i="35"/>
  <c r="AD82" i="35" s="1"/>
  <c r="AG82" i="35" s="1"/>
  <c r="I85" i="35"/>
  <c r="I80" i="35"/>
  <c r="I84" i="35"/>
  <c r="I91" i="35"/>
  <c r="I83" i="35"/>
  <c r="I90" i="35"/>
  <c r="I82" i="35"/>
  <c r="M56" i="35"/>
  <c r="Q56" i="35" s="1"/>
  <c r="AD56" i="35" s="1"/>
  <c r="AG56" i="35" s="1"/>
  <c r="M48" i="35"/>
  <c r="Q48" i="35" s="1"/>
  <c r="AD48" i="35" s="1"/>
  <c r="AG48" i="35" s="1"/>
  <c r="I47" i="35"/>
  <c r="M55" i="35"/>
  <c r="Q55" i="35" s="1"/>
  <c r="AD55" i="35" s="1"/>
  <c r="AG55" i="35" s="1"/>
  <c r="I54" i="35"/>
  <c r="I46" i="35"/>
  <c r="I53" i="35"/>
  <c r="I52" i="35"/>
  <c r="I51" i="35"/>
  <c r="I50" i="35"/>
  <c r="I45" i="35"/>
  <c r="I49" i="35"/>
  <c r="H9" i="38"/>
  <c r="H10" i="38"/>
  <c r="H11" i="38"/>
  <c r="H12" i="38"/>
  <c r="H13" i="38"/>
  <c r="H14" i="38"/>
  <c r="H15" i="38"/>
  <c r="H16" i="38"/>
  <c r="H17" i="38"/>
  <c r="H18" i="38"/>
  <c r="H19" i="38"/>
  <c r="H8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M35" i="12"/>
  <c r="M32" i="12"/>
  <c r="M24" i="12"/>
  <c r="M14" i="12"/>
  <c r="M13" i="12"/>
  <c r="M8" i="12"/>
  <c r="M13" i="35" l="1"/>
  <c r="Q13" i="35" s="1"/>
  <c r="AD13" i="35" s="1"/>
  <c r="AG13" i="35" s="1"/>
  <c r="M14" i="35"/>
  <c r="Q14" i="35" s="1"/>
  <c r="AD14" i="35" s="1"/>
  <c r="AG14" i="35" s="1"/>
  <c r="M16" i="35"/>
  <c r="Q16" i="35" s="1"/>
  <c r="AD16" i="35" s="1"/>
  <c r="AG16" i="35" s="1"/>
  <c r="M22" i="35"/>
  <c r="Q22" i="35" s="1"/>
  <c r="AD22" i="35" s="1"/>
  <c r="AG22" i="35" s="1"/>
  <c r="F12" i="35"/>
  <c r="K12" i="35" s="1"/>
  <c r="F13" i="35"/>
  <c r="K13" i="35" s="1"/>
  <c r="F14" i="35"/>
  <c r="K14" i="35" s="1"/>
  <c r="F15" i="35"/>
  <c r="K15" i="35" s="1"/>
  <c r="F16" i="35"/>
  <c r="K16" i="35" s="1"/>
  <c r="F17" i="35"/>
  <c r="K17" i="35" s="1"/>
  <c r="F18" i="35"/>
  <c r="K18" i="35" s="1"/>
  <c r="F19" i="35"/>
  <c r="K19" i="35" s="1"/>
  <c r="F20" i="35"/>
  <c r="K20" i="35" s="1"/>
  <c r="F21" i="35"/>
  <c r="K21" i="35" s="1"/>
  <c r="F22" i="35"/>
  <c r="K22" i="35" s="1"/>
  <c r="F11" i="35"/>
  <c r="K11" i="35" s="1"/>
  <c r="C12" i="35"/>
  <c r="I12" i="35" s="1"/>
  <c r="C13" i="35"/>
  <c r="I13" i="35" s="1"/>
  <c r="C14" i="35"/>
  <c r="I14" i="35" s="1"/>
  <c r="C15" i="35"/>
  <c r="I15" i="35" s="1"/>
  <c r="C16" i="35"/>
  <c r="I16" i="35" s="1"/>
  <c r="C17" i="35"/>
  <c r="I17" i="35" s="1"/>
  <c r="C18" i="35"/>
  <c r="I18" i="35" s="1"/>
  <c r="C19" i="35"/>
  <c r="I19" i="35" s="1"/>
  <c r="C20" i="35"/>
  <c r="I20" i="35" s="1"/>
  <c r="C21" i="35"/>
  <c r="I21" i="35" s="1"/>
  <c r="C22" i="35"/>
  <c r="I22" i="35" s="1"/>
  <c r="C11" i="35"/>
  <c r="I11" i="35" s="1"/>
  <c r="AJ8" i="29"/>
  <c r="AJ9" i="29"/>
  <c r="AJ10" i="29"/>
  <c r="AJ11" i="29"/>
  <c r="AJ12" i="29"/>
  <c r="AJ13" i="29"/>
  <c r="AJ14" i="29"/>
  <c r="AJ15" i="29"/>
  <c r="AJ16" i="29"/>
  <c r="AJ17" i="29"/>
  <c r="AJ18" i="29"/>
  <c r="AJ7" i="29"/>
  <c r="M21" i="35" l="1"/>
  <c r="Q21" i="35" s="1"/>
  <c r="AD21" i="35" s="1"/>
  <c r="AG21" i="35" s="1"/>
  <c r="M18" i="35"/>
  <c r="Q18" i="35" s="1"/>
  <c r="AD18" i="35" s="1"/>
  <c r="AG18" i="35" s="1"/>
  <c r="M17" i="35"/>
  <c r="Q17" i="35" s="1"/>
  <c r="AD17" i="35" s="1"/>
  <c r="AG17" i="35" s="1"/>
  <c r="M20" i="35"/>
  <c r="Q20" i="35" s="1"/>
  <c r="AD20" i="35" s="1"/>
  <c r="AG20" i="35" s="1"/>
  <c r="M12" i="35"/>
  <c r="Q12" i="35" s="1"/>
  <c r="AD12" i="35" s="1"/>
  <c r="AG12" i="35" s="1"/>
  <c r="M19" i="35"/>
  <c r="Q19" i="35" s="1"/>
  <c r="AD19" i="35" s="1"/>
  <c r="AG19" i="35" s="1"/>
  <c r="M15" i="35"/>
  <c r="Q15" i="35" s="1"/>
  <c r="AD15" i="35" s="1"/>
  <c r="AG15" i="35" s="1"/>
  <c r="M11" i="35"/>
  <c r="Q11" i="35" s="1"/>
  <c r="AD11" i="35" s="1"/>
  <c r="AG11" i="35" s="1"/>
  <c r="AF10" i="2"/>
  <c r="AF11" i="2"/>
  <c r="AF12" i="2"/>
  <c r="AF13" i="2"/>
  <c r="AF14" i="2"/>
  <c r="AF15" i="2"/>
  <c r="AF16" i="2"/>
  <c r="AF17" i="2"/>
  <c r="AF18" i="2"/>
  <c r="AF19" i="2"/>
  <c r="AF20" i="2"/>
  <c r="AF9" i="2"/>
  <c r="AG10" i="2"/>
  <c r="AH10" i="2"/>
  <c r="AI10" i="2"/>
  <c r="AJ10" i="2"/>
  <c r="AK10" i="2"/>
  <c r="AL10" i="2"/>
  <c r="AG11" i="2"/>
  <c r="AH11" i="2"/>
  <c r="AI11" i="2"/>
  <c r="AJ11" i="2"/>
  <c r="AK11" i="2"/>
  <c r="AL11" i="2"/>
  <c r="AG12" i="2"/>
  <c r="AH12" i="2"/>
  <c r="AI12" i="2"/>
  <c r="AJ12" i="2"/>
  <c r="AK12" i="2"/>
  <c r="AL12" i="2"/>
  <c r="AG13" i="2"/>
  <c r="AH13" i="2"/>
  <c r="AI13" i="2"/>
  <c r="AJ13" i="2"/>
  <c r="AK13" i="2"/>
  <c r="AL13" i="2"/>
  <c r="AG14" i="2"/>
  <c r="AH14" i="2"/>
  <c r="AI14" i="2"/>
  <c r="AJ14" i="2"/>
  <c r="AK14" i="2"/>
  <c r="AL14" i="2"/>
  <c r="AG15" i="2"/>
  <c r="AH15" i="2"/>
  <c r="AI15" i="2"/>
  <c r="AJ15" i="2"/>
  <c r="AK15" i="2"/>
  <c r="AL15" i="2"/>
  <c r="AG16" i="2"/>
  <c r="AH16" i="2"/>
  <c r="AI16" i="2"/>
  <c r="AJ16" i="2"/>
  <c r="AK16" i="2"/>
  <c r="AL16" i="2"/>
  <c r="AG17" i="2"/>
  <c r="AH17" i="2"/>
  <c r="AI17" i="2"/>
  <c r="AJ17" i="2"/>
  <c r="AK17" i="2"/>
  <c r="AL17" i="2"/>
  <c r="AG18" i="2"/>
  <c r="AH18" i="2"/>
  <c r="AI18" i="2"/>
  <c r="AJ18" i="2"/>
  <c r="AK18" i="2"/>
  <c r="AL18" i="2"/>
  <c r="AG19" i="2"/>
  <c r="AH19" i="2"/>
  <c r="AI19" i="2"/>
  <c r="AJ19" i="2"/>
  <c r="AK19" i="2"/>
  <c r="AL19" i="2"/>
  <c r="AG20" i="2"/>
  <c r="AH20" i="2"/>
  <c r="AI20" i="2"/>
  <c r="AJ20" i="2"/>
  <c r="AK20" i="2"/>
  <c r="AL20" i="2"/>
  <c r="AL9" i="2"/>
  <c r="AK9" i="2"/>
  <c r="AJ9" i="2"/>
  <c r="AI9" i="2"/>
  <c r="AH9" i="2"/>
  <c r="AG9" i="2"/>
  <c r="AC10" i="2"/>
  <c r="AC11" i="2"/>
  <c r="AC12" i="2"/>
  <c r="AC13" i="2"/>
  <c r="AC14" i="2"/>
  <c r="AC15" i="2"/>
  <c r="AC16" i="2"/>
  <c r="AC17" i="2"/>
  <c r="AC18" i="2"/>
  <c r="AC19" i="2"/>
  <c r="AC20" i="2"/>
  <c r="AC9" i="2"/>
  <c r="AA10" i="2"/>
  <c r="AA11" i="2"/>
  <c r="AA12" i="2"/>
  <c r="AA13" i="2"/>
  <c r="AA14" i="2"/>
  <c r="AA15" i="2"/>
  <c r="AA16" i="2"/>
  <c r="AA17" i="2"/>
  <c r="AA18" i="2"/>
  <c r="AA19" i="2"/>
  <c r="AA20" i="2"/>
  <c r="AA9" i="2"/>
  <c r="W10" i="2"/>
  <c r="X10" i="2"/>
  <c r="W11" i="2"/>
  <c r="X11" i="2"/>
  <c r="W12" i="2"/>
  <c r="X12" i="2"/>
  <c r="W13" i="2"/>
  <c r="X13" i="2"/>
  <c r="W14" i="2"/>
  <c r="X14" i="2"/>
  <c r="W15" i="2"/>
  <c r="X15" i="2"/>
  <c r="W16" i="2"/>
  <c r="X16" i="2"/>
  <c r="W17" i="2"/>
  <c r="X17" i="2"/>
  <c r="W18" i="2"/>
  <c r="X18" i="2"/>
  <c r="W19" i="2"/>
  <c r="X19" i="2"/>
  <c r="W20" i="2"/>
  <c r="X20" i="2"/>
  <c r="X9" i="2"/>
  <c r="W9" i="2"/>
  <c r="V10" i="2"/>
  <c r="V11" i="2"/>
  <c r="V12" i="2"/>
  <c r="V13" i="2"/>
  <c r="V14" i="2"/>
  <c r="V15" i="2"/>
  <c r="V16" i="2"/>
  <c r="V17" i="2"/>
  <c r="V18" i="2"/>
  <c r="V19" i="2"/>
  <c r="V20" i="2"/>
  <c r="V9" i="2"/>
  <c r="O31" i="2"/>
  <c r="N31" i="2"/>
  <c r="G368" i="38"/>
  <c r="H368" i="38"/>
  <c r="G369" i="38"/>
  <c r="H369" i="38"/>
  <c r="G370" i="38"/>
  <c r="H370" i="38"/>
  <c r="G371" i="38"/>
  <c r="H371" i="38"/>
  <c r="G372" i="38"/>
  <c r="H372" i="38"/>
  <c r="G373" i="38"/>
  <c r="H373" i="38"/>
  <c r="G374" i="38"/>
  <c r="H374" i="38"/>
  <c r="G375" i="38"/>
  <c r="H375" i="38"/>
  <c r="G376" i="38"/>
  <c r="H376" i="38"/>
  <c r="G377" i="38"/>
  <c r="H377" i="38"/>
  <c r="G378" i="38"/>
  <c r="H378" i="38"/>
  <c r="G379" i="38"/>
  <c r="H379" i="38"/>
  <c r="G380" i="38"/>
  <c r="H380" i="38"/>
  <c r="G381" i="38"/>
  <c r="H381" i="38"/>
  <c r="G382" i="38"/>
  <c r="H382" i="38"/>
  <c r="G383" i="38"/>
  <c r="H383" i="38"/>
  <c r="G384" i="38"/>
  <c r="H384" i="38"/>
  <c r="G385" i="38"/>
  <c r="H385" i="38"/>
  <c r="G386" i="38"/>
  <c r="H386" i="38"/>
  <c r="G387" i="38"/>
  <c r="H387" i="38"/>
  <c r="G388" i="38"/>
  <c r="H388" i="38"/>
  <c r="G389" i="38"/>
  <c r="H389" i="38"/>
  <c r="F339" i="38"/>
  <c r="F340" i="38"/>
  <c r="F360" i="38" s="1"/>
  <c r="F408" i="38" s="1"/>
  <c r="F341" i="38"/>
  <c r="F342" i="38"/>
  <c r="F343" i="38"/>
  <c r="F344" i="38"/>
  <c r="F345" i="38"/>
  <c r="F346" i="38"/>
  <c r="F347" i="38"/>
  <c r="F348" i="38"/>
  <c r="F349" i="38"/>
  <c r="F350" i="38"/>
  <c r="F351" i="38"/>
  <c r="F352" i="38"/>
  <c r="F353" i="38"/>
  <c r="F354" i="38"/>
  <c r="F355" i="38"/>
  <c r="F356" i="38"/>
  <c r="F357" i="38"/>
  <c r="F358" i="38"/>
  <c r="F359" i="38"/>
  <c r="F338" i="38"/>
  <c r="F309" i="38"/>
  <c r="F310" i="38"/>
  <c r="F311" i="38"/>
  <c r="F312" i="38"/>
  <c r="F330" i="38" s="1"/>
  <c r="F407" i="38" s="1"/>
  <c r="F313" i="38"/>
  <c r="F314" i="38"/>
  <c r="F315" i="38"/>
  <c r="F316" i="38"/>
  <c r="F317" i="38"/>
  <c r="F318" i="38"/>
  <c r="F319" i="38"/>
  <c r="F320" i="38"/>
  <c r="F321" i="38"/>
  <c r="F322" i="38"/>
  <c r="F323" i="38"/>
  <c r="F324" i="38"/>
  <c r="F325" i="38"/>
  <c r="F326" i="38"/>
  <c r="F327" i="38"/>
  <c r="F328" i="38"/>
  <c r="F329" i="38"/>
  <c r="F308" i="38"/>
  <c r="F279" i="38"/>
  <c r="F280" i="38"/>
  <c r="F281" i="38"/>
  <c r="F282" i="38"/>
  <c r="F283" i="38"/>
  <c r="F284" i="38"/>
  <c r="F285" i="38"/>
  <c r="F286" i="38"/>
  <c r="F287" i="38"/>
  <c r="F288" i="38"/>
  <c r="F289" i="38"/>
  <c r="F290" i="38"/>
  <c r="F291" i="38"/>
  <c r="F292" i="38"/>
  <c r="F293" i="38"/>
  <c r="F294" i="38"/>
  <c r="F295" i="38"/>
  <c r="F296" i="38"/>
  <c r="F297" i="38"/>
  <c r="F298" i="38"/>
  <c r="F299" i="38"/>
  <c r="F278" i="38"/>
  <c r="F249" i="38"/>
  <c r="F250" i="38"/>
  <c r="F251" i="38"/>
  <c r="F252" i="38"/>
  <c r="F253" i="38"/>
  <c r="F254" i="38"/>
  <c r="F255" i="38"/>
  <c r="F256" i="38"/>
  <c r="F257" i="38"/>
  <c r="F258" i="38"/>
  <c r="F259" i="38"/>
  <c r="F260" i="38"/>
  <c r="F261" i="38"/>
  <c r="F262" i="38"/>
  <c r="F263" i="38"/>
  <c r="F264" i="38"/>
  <c r="F265" i="38"/>
  <c r="F266" i="38"/>
  <c r="F267" i="38"/>
  <c r="F268" i="38"/>
  <c r="F269" i="38"/>
  <c r="F248" i="38"/>
  <c r="F219" i="38"/>
  <c r="F220" i="38"/>
  <c r="F240" i="38" s="1"/>
  <c r="F404" i="38" s="1"/>
  <c r="F221" i="38"/>
  <c r="F222" i="38"/>
  <c r="F223" i="38"/>
  <c r="F224" i="38"/>
  <c r="F225" i="38"/>
  <c r="F226" i="38"/>
  <c r="F227" i="38"/>
  <c r="F228" i="38"/>
  <c r="F229" i="38"/>
  <c r="F230" i="38"/>
  <c r="F231" i="38"/>
  <c r="F232" i="38"/>
  <c r="F233" i="38"/>
  <c r="F234" i="38"/>
  <c r="F235" i="38"/>
  <c r="F236" i="38"/>
  <c r="F237" i="38"/>
  <c r="F238" i="38"/>
  <c r="F239" i="38"/>
  <c r="F218" i="38"/>
  <c r="F189" i="38"/>
  <c r="F190" i="38"/>
  <c r="F191" i="38"/>
  <c r="F192" i="38"/>
  <c r="F193" i="38"/>
  <c r="F194" i="38"/>
  <c r="F195" i="38"/>
  <c r="F196" i="38"/>
  <c r="F197" i="38"/>
  <c r="F198" i="38"/>
  <c r="F199" i="38"/>
  <c r="F200" i="38"/>
  <c r="F201" i="38"/>
  <c r="F202" i="38"/>
  <c r="F203" i="38"/>
  <c r="F204" i="38"/>
  <c r="F205" i="38"/>
  <c r="F206" i="38"/>
  <c r="F207" i="38"/>
  <c r="F208" i="38"/>
  <c r="F209" i="38"/>
  <c r="F188" i="38"/>
  <c r="F159" i="38"/>
  <c r="F160" i="38"/>
  <c r="F161" i="38"/>
  <c r="F162" i="38"/>
  <c r="F163" i="38"/>
  <c r="F164" i="38"/>
  <c r="F165" i="38"/>
  <c r="F166" i="38"/>
  <c r="F167" i="38"/>
  <c r="F168" i="38"/>
  <c r="F169" i="38"/>
  <c r="F170" i="38"/>
  <c r="F171" i="38"/>
  <c r="F172" i="38"/>
  <c r="F173" i="38"/>
  <c r="F174" i="38"/>
  <c r="F175" i="38"/>
  <c r="F176" i="38"/>
  <c r="F177" i="38"/>
  <c r="F178" i="38"/>
  <c r="F179" i="38"/>
  <c r="F158" i="38"/>
  <c r="F129" i="38"/>
  <c r="F130" i="38"/>
  <c r="F131" i="38"/>
  <c r="F132" i="38"/>
  <c r="F133" i="38"/>
  <c r="F134" i="38"/>
  <c r="F135" i="38"/>
  <c r="F136" i="38"/>
  <c r="F137" i="38"/>
  <c r="F138" i="38"/>
  <c r="F139" i="38"/>
  <c r="F140" i="38"/>
  <c r="F141" i="38"/>
  <c r="F142" i="38"/>
  <c r="F143" i="38"/>
  <c r="F144" i="38"/>
  <c r="F145" i="38"/>
  <c r="F146" i="38"/>
  <c r="F147" i="38"/>
  <c r="F148" i="38"/>
  <c r="F149" i="38"/>
  <c r="F128" i="38"/>
  <c r="F99" i="38"/>
  <c r="F100" i="38"/>
  <c r="F101" i="38"/>
  <c r="F102" i="38"/>
  <c r="F103" i="38"/>
  <c r="F104" i="38"/>
  <c r="F105" i="38"/>
  <c r="F106" i="38"/>
  <c r="F107" i="38"/>
  <c r="F108" i="38"/>
  <c r="F109" i="38"/>
  <c r="F98" i="38"/>
  <c r="F69" i="38"/>
  <c r="F70" i="38"/>
  <c r="F71" i="38"/>
  <c r="F72" i="38"/>
  <c r="F73" i="38"/>
  <c r="F74" i="38"/>
  <c r="F75" i="38"/>
  <c r="F76" i="38"/>
  <c r="F77" i="38"/>
  <c r="F78" i="38"/>
  <c r="F79" i="38"/>
  <c r="F80" i="38"/>
  <c r="F81" i="38"/>
  <c r="F82" i="38"/>
  <c r="F83" i="38"/>
  <c r="F84" i="38"/>
  <c r="F85" i="38"/>
  <c r="F86" i="38"/>
  <c r="F87" i="38"/>
  <c r="F88" i="38"/>
  <c r="F89" i="38"/>
  <c r="F68" i="38"/>
  <c r="F39" i="38"/>
  <c r="F40" i="38"/>
  <c r="I40" i="38" s="1"/>
  <c r="F41" i="38"/>
  <c r="I41" i="38" s="1"/>
  <c r="F42" i="38"/>
  <c r="I42" i="38" s="1"/>
  <c r="F43" i="38"/>
  <c r="I43" i="38" s="1"/>
  <c r="F44" i="38"/>
  <c r="I44" i="38" s="1"/>
  <c r="F45" i="38"/>
  <c r="I45" i="38" s="1"/>
  <c r="F46" i="38"/>
  <c r="I46" i="38" s="1"/>
  <c r="F47" i="38"/>
  <c r="I47" i="38" s="1"/>
  <c r="F48" i="38"/>
  <c r="I48" i="38" s="1"/>
  <c r="F49" i="38"/>
  <c r="I49" i="38" s="1"/>
  <c r="F50" i="38"/>
  <c r="F51" i="38"/>
  <c r="F52" i="38"/>
  <c r="F53" i="38"/>
  <c r="F54" i="38"/>
  <c r="F55" i="38"/>
  <c r="F56" i="38"/>
  <c r="F57" i="38"/>
  <c r="F58" i="38"/>
  <c r="F59" i="38"/>
  <c r="F38" i="38"/>
  <c r="I38" i="38" s="1"/>
  <c r="F9" i="38"/>
  <c r="F10" i="38"/>
  <c r="F11" i="38"/>
  <c r="F12" i="38"/>
  <c r="F13" i="38"/>
  <c r="F14" i="38"/>
  <c r="F15" i="38"/>
  <c r="F16" i="38"/>
  <c r="F17" i="38"/>
  <c r="F18" i="38"/>
  <c r="F19" i="38"/>
  <c r="F20" i="38"/>
  <c r="F21" i="38"/>
  <c r="F381" i="38" s="1"/>
  <c r="F22" i="38"/>
  <c r="F23" i="38"/>
  <c r="F24" i="38"/>
  <c r="F384" i="38" s="1"/>
  <c r="F25" i="38"/>
  <c r="F385" i="38" s="1"/>
  <c r="F26" i="38"/>
  <c r="F27" i="38"/>
  <c r="F28" i="38"/>
  <c r="F29" i="38"/>
  <c r="F389" i="38" s="1"/>
  <c r="F8" i="38"/>
  <c r="G360" i="38"/>
  <c r="G408" i="38" s="1"/>
  <c r="H360" i="38"/>
  <c r="H408" i="38" s="1"/>
  <c r="G330" i="38"/>
  <c r="G407" i="38" s="1"/>
  <c r="H330" i="38"/>
  <c r="H407" i="38" s="1"/>
  <c r="G300" i="38"/>
  <c r="G406" i="38" s="1"/>
  <c r="H300" i="38"/>
  <c r="H406" i="38" s="1"/>
  <c r="G270" i="38"/>
  <c r="G405" i="38" s="1"/>
  <c r="H270" i="38"/>
  <c r="H405" i="38" s="1"/>
  <c r="G240" i="38"/>
  <c r="G404" i="38" s="1"/>
  <c r="H240" i="38"/>
  <c r="H404" i="38" s="1"/>
  <c r="G210" i="38"/>
  <c r="G403" i="38" s="1"/>
  <c r="H210" i="38"/>
  <c r="H403" i="38" s="1"/>
  <c r="G180" i="38"/>
  <c r="G402" i="38" s="1"/>
  <c r="H180" i="38"/>
  <c r="H402" i="38" s="1"/>
  <c r="G150" i="38"/>
  <c r="G401" i="38" s="1"/>
  <c r="H150" i="38"/>
  <c r="H401" i="38" s="1"/>
  <c r="G120" i="38"/>
  <c r="G400" i="38" s="1"/>
  <c r="H120" i="38"/>
  <c r="H400" i="38" s="1"/>
  <c r="G90" i="38"/>
  <c r="G399" i="38" s="1"/>
  <c r="H90" i="38"/>
  <c r="H399" i="38" s="1"/>
  <c r="G60" i="38"/>
  <c r="G398" i="38" s="1"/>
  <c r="H60" i="38"/>
  <c r="H398" i="38" s="1"/>
  <c r="G30" i="38"/>
  <c r="G397" i="38" s="1"/>
  <c r="H30" i="38"/>
  <c r="H397" i="38" s="1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J360" i="38"/>
  <c r="J408" i="38" s="1"/>
  <c r="K360" i="38"/>
  <c r="L360" i="38"/>
  <c r="L408" i="38" s="1"/>
  <c r="M360" i="38"/>
  <c r="M408" i="38" s="1"/>
  <c r="N360" i="38"/>
  <c r="O360" i="38"/>
  <c r="P360" i="38"/>
  <c r="P408" i="38" s="1"/>
  <c r="I360" i="38"/>
  <c r="I408" i="38" s="1"/>
  <c r="K408" i="38"/>
  <c r="N408" i="38"/>
  <c r="O408" i="38"/>
  <c r="C392" i="38"/>
  <c r="K369" i="38"/>
  <c r="L369" i="38"/>
  <c r="M369" i="38"/>
  <c r="N369" i="38"/>
  <c r="O369" i="38"/>
  <c r="P369" i="38"/>
  <c r="K370" i="38"/>
  <c r="L370" i="38"/>
  <c r="M370" i="38"/>
  <c r="N370" i="38"/>
  <c r="O370" i="38"/>
  <c r="P370" i="38"/>
  <c r="K371" i="38"/>
  <c r="L371" i="38"/>
  <c r="M371" i="38"/>
  <c r="N371" i="38"/>
  <c r="O371" i="38"/>
  <c r="P371" i="38"/>
  <c r="K372" i="38"/>
  <c r="L372" i="38"/>
  <c r="M372" i="38"/>
  <c r="N372" i="38"/>
  <c r="O372" i="38"/>
  <c r="P372" i="38"/>
  <c r="K373" i="38"/>
  <c r="L373" i="38"/>
  <c r="M373" i="38"/>
  <c r="N373" i="38"/>
  <c r="O373" i="38"/>
  <c r="P373" i="38"/>
  <c r="K374" i="38"/>
  <c r="L374" i="38"/>
  <c r="M374" i="38"/>
  <c r="N374" i="38"/>
  <c r="O374" i="38"/>
  <c r="P374" i="38"/>
  <c r="K375" i="38"/>
  <c r="L375" i="38"/>
  <c r="M375" i="38"/>
  <c r="N375" i="38"/>
  <c r="O375" i="38"/>
  <c r="P375" i="38"/>
  <c r="K376" i="38"/>
  <c r="L376" i="38"/>
  <c r="M376" i="38"/>
  <c r="N376" i="38"/>
  <c r="O376" i="38"/>
  <c r="P376" i="38"/>
  <c r="K377" i="38"/>
  <c r="L377" i="38"/>
  <c r="M377" i="38"/>
  <c r="N377" i="38"/>
  <c r="O377" i="38"/>
  <c r="P377" i="38"/>
  <c r="K378" i="38"/>
  <c r="L378" i="38"/>
  <c r="M378" i="38"/>
  <c r="N378" i="38"/>
  <c r="O378" i="38"/>
  <c r="P378" i="38"/>
  <c r="K379" i="38"/>
  <c r="L379" i="38"/>
  <c r="M379" i="38"/>
  <c r="N379" i="38"/>
  <c r="O379" i="38"/>
  <c r="P379" i="38"/>
  <c r="I380" i="38"/>
  <c r="J380" i="38"/>
  <c r="K380" i="38"/>
  <c r="L380" i="38"/>
  <c r="M380" i="38"/>
  <c r="N380" i="38"/>
  <c r="O380" i="38"/>
  <c r="P380" i="38"/>
  <c r="I381" i="38"/>
  <c r="J381" i="38"/>
  <c r="K381" i="38"/>
  <c r="L381" i="38"/>
  <c r="M381" i="38"/>
  <c r="N381" i="38"/>
  <c r="O381" i="38"/>
  <c r="P381" i="38"/>
  <c r="I382" i="38"/>
  <c r="J382" i="38"/>
  <c r="K382" i="38"/>
  <c r="L382" i="38"/>
  <c r="M382" i="38"/>
  <c r="N382" i="38"/>
  <c r="O382" i="38"/>
  <c r="P382" i="38"/>
  <c r="I383" i="38"/>
  <c r="J383" i="38"/>
  <c r="K383" i="38"/>
  <c r="L383" i="38"/>
  <c r="M383" i="38"/>
  <c r="N383" i="38"/>
  <c r="O383" i="38"/>
  <c r="P383" i="38"/>
  <c r="I384" i="38"/>
  <c r="J384" i="38"/>
  <c r="K384" i="38"/>
  <c r="L384" i="38"/>
  <c r="M384" i="38"/>
  <c r="N384" i="38"/>
  <c r="O384" i="38"/>
  <c r="P384" i="38"/>
  <c r="I385" i="38"/>
  <c r="J385" i="38"/>
  <c r="K385" i="38"/>
  <c r="L385" i="38"/>
  <c r="M385" i="38"/>
  <c r="N385" i="38"/>
  <c r="O385" i="38"/>
  <c r="P385" i="38"/>
  <c r="I386" i="38"/>
  <c r="J386" i="38"/>
  <c r="K386" i="38"/>
  <c r="L386" i="38"/>
  <c r="M386" i="38"/>
  <c r="N386" i="38"/>
  <c r="O386" i="38"/>
  <c r="P386" i="38"/>
  <c r="I387" i="38"/>
  <c r="J387" i="38"/>
  <c r="K387" i="38"/>
  <c r="L387" i="38"/>
  <c r="M387" i="38"/>
  <c r="N387" i="38"/>
  <c r="O387" i="38"/>
  <c r="P387" i="38"/>
  <c r="I388" i="38"/>
  <c r="J388" i="38"/>
  <c r="K388" i="38"/>
  <c r="L388" i="38"/>
  <c r="M388" i="38"/>
  <c r="N388" i="38"/>
  <c r="O388" i="38"/>
  <c r="P388" i="38"/>
  <c r="I389" i="38"/>
  <c r="J389" i="38"/>
  <c r="K389" i="38"/>
  <c r="L389" i="38"/>
  <c r="M389" i="38"/>
  <c r="N389" i="38"/>
  <c r="O389" i="38"/>
  <c r="P389" i="38"/>
  <c r="K368" i="38"/>
  <c r="L368" i="38"/>
  <c r="M368" i="38"/>
  <c r="N368" i="38"/>
  <c r="O368" i="38"/>
  <c r="P368" i="38"/>
  <c r="I330" i="38"/>
  <c r="I407" i="38" s="1"/>
  <c r="J330" i="38"/>
  <c r="J407" i="38" s="1"/>
  <c r="K330" i="38"/>
  <c r="K407" i="38" s="1"/>
  <c r="L330" i="38"/>
  <c r="L407" i="38" s="1"/>
  <c r="M330" i="38"/>
  <c r="M407" i="38" s="1"/>
  <c r="N330" i="38"/>
  <c r="N407" i="38" s="1"/>
  <c r="O330" i="38"/>
  <c r="O407" i="38" s="1"/>
  <c r="P330" i="38"/>
  <c r="P407" i="38" s="1"/>
  <c r="I300" i="38"/>
  <c r="I406" i="38" s="1"/>
  <c r="J300" i="38"/>
  <c r="J406" i="38" s="1"/>
  <c r="K300" i="38"/>
  <c r="K406" i="38" s="1"/>
  <c r="L300" i="38"/>
  <c r="L406" i="38" s="1"/>
  <c r="M300" i="38"/>
  <c r="M406" i="38" s="1"/>
  <c r="N300" i="38"/>
  <c r="N406" i="38" s="1"/>
  <c r="O300" i="38"/>
  <c r="O406" i="38" s="1"/>
  <c r="P300" i="38"/>
  <c r="P406" i="38" s="1"/>
  <c r="I270" i="38"/>
  <c r="I405" i="38" s="1"/>
  <c r="J270" i="38"/>
  <c r="J405" i="38" s="1"/>
  <c r="K270" i="38"/>
  <c r="K405" i="38" s="1"/>
  <c r="L270" i="38"/>
  <c r="L405" i="38" s="1"/>
  <c r="M270" i="38"/>
  <c r="M405" i="38" s="1"/>
  <c r="N270" i="38"/>
  <c r="N405" i="38" s="1"/>
  <c r="O270" i="38"/>
  <c r="O405" i="38" s="1"/>
  <c r="P270" i="38"/>
  <c r="P405" i="38" s="1"/>
  <c r="I240" i="38"/>
  <c r="I404" i="38" s="1"/>
  <c r="J240" i="38"/>
  <c r="J404" i="38" s="1"/>
  <c r="K240" i="38"/>
  <c r="K404" i="38" s="1"/>
  <c r="L240" i="38"/>
  <c r="L404" i="38" s="1"/>
  <c r="M240" i="38"/>
  <c r="M404" i="38" s="1"/>
  <c r="N240" i="38"/>
  <c r="N404" i="38" s="1"/>
  <c r="O240" i="38"/>
  <c r="O404" i="38" s="1"/>
  <c r="P240" i="38"/>
  <c r="P404" i="38" s="1"/>
  <c r="I210" i="38"/>
  <c r="I403" i="38" s="1"/>
  <c r="J210" i="38"/>
  <c r="J403" i="38" s="1"/>
  <c r="K210" i="38"/>
  <c r="K403" i="38" s="1"/>
  <c r="L210" i="38"/>
  <c r="L403" i="38" s="1"/>
  <c r="M210" i="38"/>
  <c r="M403" i="38" s="1"/>
  <c r="N210" i="38"/>
  <c r="N403" i="38" s="1"/>
  <c r="O210" i="38"/>
  <c r="O403" i="38" s="1"/>
  <c r="P210" i="38"/>
  <c r="P403" i="38" s="1"/>
  <c r="I180" i="38"/>
  <c r="I402" i="38" s="1"/>
  <c r="J180" i="38"/>
  <c r="J402" i="38" s="1"/>
  <c r="K180" i="38"/>
  <c r="K402" i="38" s="1"/>
  <c r="L180" i="38"/>
  <c r="L402" i="38" s="1"/>
  <c r="M180" i="38"/>
  <c r="M402" i="38" s="1"/>
  <c r="N180" i="38"/>
  <c r="N402" i="38" s="1"/>
  <c r="O180" i="38"/>
  <c r="O402" i="38" s="1"/>
  <c r="P180" i="38"/>
  <c r="P402" i="38" s="1"/>
  <c r="I150" i="38"/>
  <c r="I401" i="38" s="1"/>
  <c r="J150" i="38"/>
  <c r="J401" i="38" s="1"/>
  <c r="K150" i="38"/>
  <c r="K401" i="38" s="1"/>
  <c r="L150" i="38"/>
  <c r="L401" i="38" s="1"/>
  <c r="M150" i="38"/>
  <c r="M401" i="38" s="1"/>
  <c r="N150" i="38"/>
  <c r="N401" i="38" s="1"/>
  <c r="O150" i="38"/>
  <c r="O401" i="38" s="1"/>
  <c r="P150" i="38"/>
  <c r="P401" i="38" s="1"/>
  <c r="I120" i="38"/>
  <c r="I400" i="38" s="1"/>
  <c r="J120" i="38"/>
  <c r="J400" i="38" s="1"/>
  <c r="K120" i="38"/>
  <c r="K400" i="38" s="1"/>
  <c r="L120" i="38"/>
  <c r="L400" i="38" s="1"/>
  <c r="M120" i="38"/>
  <c r="M400" i="38" s="1"/>
  <c r="N120" i="38"/>
  <c r="N400" i="38" s="1"/>
  <c r="O120" i="38"/>
  <c r="O400" i="38" s="1"/>
  <c r="P120" i="38"/>
  <c r="P400" i="38" s="1"/>
  <c r="K90" i="38"/>
  <c r="K399" i="38" s="1"/>
  <c r="L90" i="38"/>
  <c r="L399" i="38" s="1"/>
  <c r="M90" i="38"/>
  <c r="M399" i="38" s="1"/>
  <c r="N90" i="38"/>
  <c r="N399" i="38" s="1"/>
  <c r="O90" i="38"/>
  <c r="O399" i="38" s="1"/>
  <c r="P90" i="38"/>
  <c r="P399" i="38" s="1"/>
  <c r="J60" i="38"/>
  <c r="J398" i="38" s="1"/>
  <c r="K60" i="38"/>
  <c r="K398" i="38" s="1"/>
  <c r="L60" i="38"/>
  <c r="L398" i="38" s="1"/>
  <c r="M60" i="38"/>
  <c r="M398" i="38" s="1"/>
  <c r="N60" i="38"/>
  <c r="N398" i="38" s="1"/>
  <c r="O60" i="38"/>
  <c r="O398" i="38" s="1"/>
  <c r="P60" i="38"/>
  <c r="P398" i="38" s="1"/>
  <c r="K30" i="38"/>
  <c r="K397" i="38" s="1"/>
  <c r="L30" i="38"/>
  <c r="L397" i="38" s="1"/>
  <c r="M30" i="38"/>
  <c r="M397" i="38" s="1"/>
  <c r="N30" i="38"/>
  <c r="N397" i="38" s="1"/>
  <c r="O30" i="38"/>
  <c r="O397" i="38" s="1"/>
  <c r="P30" i="38"/>
  <c r="P397" i="38" s="1"/>
  <c r="C9" i="38"/>
  <c r="C39" i="38" s="1"/>
  <c r="C69" i="38" s="1"/>
  <c r="C99" i="38" s="1"/>
  <c r="C129" i="38" s="1"/>
  <c r="C159" i="38" s="1"/>
  <c r="C189" i="38" s="1"/>
  <c r="C219" i="38" s="1"/>
  <c r="C249" i="38" s="1"/>
  <c r="C279" i="38" s="1"/>
  <c r="C309" i="38" s="1"/>
  <c r="C339" i="38" s="1"/>
  <c r="C369" i="38" s="1"/>
  <c r="E369" i="38" s="1"/>
  <c r="D9" i="38"/>
  <c r="D39" i="38" s="1"/>
  <c r="D69" i="38" s="1"/>
  <c r="D99" i="38" s="1"/>
  <c r="D129" i="38" s="1"/>
  <c r="D159" i="38" s="1"/>
  <c r="D189" i="38" s="1"/>
  <c r="D219" i="38" s="1"/>
  <c r="D249" i="38" s="1"/>
  <c r="D279" i="38" s="1"/>
  <c r="D309" i="38" s="1"/>
  <c r="D339" i="38" s="1"/>
  <c r="D369" i="38" s="1"/>
  <c r="C10" i="38"/>
  <c r="C40" i="38" s="1"/>
  <c r="C70" i="38" s="1"/>
  <c r="C100" i="38" s="1"/>
  <c r="C130" i="38" s="1"/>
  <c r="C160" i="38" s="1"/>
  <c r="C190" i="38" s="1"/>
  <c r="C220" i="38" s="1"/>
  <c r="C250" i="38" s="1"/>
  <c r="C280" i="38" s="1"/>
  <c r="C310" i="38" s="1"/>
  <c r="C340" i="38" s="1"/>
  <c r="C370" i="38" s="1"/>
  <c r="D10" i="38"/>
  <c r="D40" i="38" s="1"/>
  <c r="D70" i="38" s="1"/>
  <c r="D100" i="38" s="1"/>
  <c r="D130" i="38" s="1"/>
  <c r="D160" i="38" s="1"/>
  <c r="D190" i="38" s="1"/>
  <c r="D220" i="38" s="1"/>
  <c r="D250" i="38" s="1"/>
  <c r="D280" i="38" s="1"/>
  <c r="D310" i="38" s="1"/>
  <c r="D340" i="38" s="1"/>
  <c r="D370" i="38" s="1"/>
  <c r="C11" i="38"/>
  <c r="C41" i="38" s="1"/>
  <c r="C71" i="38" s="1"/>
  <c r="C101" i="38" s="1"/>
  <c r="C131" i="38" s="1"/>
  <c r="C161" i="38" s="1"/>
  <c r="C191" i="38" s="1"/>
  <c r="C221" i="38" s="1"/>
  <c r="C251" i="38" s="1"/>
  <c r="C281" i="38" s="1"/>
  <c r="C311" i="38" s="1"/>
  <c r="C341" i="38" s="1"/>
  <c r="C371" i="38" s="1"/>
  <c r="D11" i="38"/>
  <c r="D41" i="38" s="1"/>
  <c r="D71" i="38" s="1"/>
  <c r="D101" i="38" s="1"/>
  <c r="D131" i="38" s="1"/>
  <c r="D161" i="38" s="1"/>
  <c r="D191" i="38" s="1"/>
  <c r="D221" i="38" s="1"/>
  <c r="D251" i="38" s="1"/>
  <c r="D281" i="38" s="1"/>
  <c r="D311" i="38" s="1"/>
  <c r="D341" i="38" s="1"/>
  <c r="D371" i="38" s="1"/>
  <c r="C12" i="38"/>
  <c r="C42" i="38" s="1"/>
  <c r="C72" i="38" s="1"/>
  <c r="C102" i="38" s="1"/>
  <c r="C132" i="38" s="1"/>
  <c r="C162" i="38" s="1"/>
  <c r="C192" i="38" s="1"/>
  <c r="C222" i="38" s="1"/>
  <c r="C252" i="38" s="1"/>
  <c r="C282" i="38" s="1"/>
  <c r="C312" i="38" s="1"/>
  <c r="C342" i="38" s="1"/>
  <c r="C372" i="38" s="1"/>
  <c r="D12" i="38"/>
  <c r="D42" i="38" s="1"/>
  <c r="D72" i="38" s="1"/>
  <c r="D102" i="38" s="1"/>
  <c r="D132" i="38" s="1"/>
  <c r="D162" i="38" s="1"/>
  <c r="D192" i="38" s="1"/>
  <c r="D222" i="38" s="1"/>
  <c r="D252" i="38" s="1"/>
  <c r="D282" i="38" s="1"/>
  <c r="D312" i="38" s="1"/>
  <c r="D342" i="38" s="1"/>
  <c r="D372" i="38" s="1"/>
  <c r="C13" i="38"/>
  <c r="C43" i="38" s="1"/>
  <c r="C73" i="38" s="1"/>
  <c r="C103" i="38" s="1"/>
  <c r="C133" i="38" s="1"/>
  <c r="C163" i="38" s="1"/>
  <c r="C193" i="38" s="1"/>
  <c r="C223" i="38" s="1"/>
  <c r="C253" i="38" s="1"/>
  <c r="C283" i="38" s="1"/>
  <c r="C313" i="38" s="1"/>
  <c r="C343" i="38" s="1"/>
  <c r="C373" i="38" s="1"/>
  <c r="E373" i="38" s="1"/>
  <c r="D13" i="38"/>
  <c r="D43" i="38" s="1"/>
  <c r="D73" i="38" s="1"/>
  <c r="D103" i="38" s="1"/>
  <c r="D133" i="38" s="1"/>
  <c r="D163" i="38" s="1"/>
  <c r="D193" i="38" s="1"/>
  <c r="D223" i="38" s="1"/>
  <c r="D253" i="38" s="1"/>
  <c r="D283" i="38" s="1"/>
  <c r="D313" i="38" s="1"/>
  <c r="D343" i="38" s="1"/>
  <c r="D373" i="38" s="1"/>
  <c r="C14" i="38"/>
  <c r="C44" i="38" s="1"/>
  <c r="C74" i="38" s="1"/>
  <c r="C104" i="38" s="1"/>
  <c r="C134" i="38" s="1"/>
  <c r="C164" i="38" s="1"/>
  <c r="C194" i="38" s="1"/>
  <c r="C224" i="38" s="1"/>
  <c r="C254" i="38" s="1"/>
  <c r="C284" i="38" s="1"/>
  <c r="C314" i="38" s="1"/>
  <c r="C344" i="38" s="1"/>
  <c r="C374" i="38" s="1"/>
  <c r="D14" i="38"/>
  <c r="D44" i="38" s="1"/>
  <c r="D74" i="38" s="1"/>
  <c r="D104" i="38" s="1"/>
  <c r="D134" i="38" s="1"/>
  <c r="D164" i="38" s="1"/>
  <c r="D194" i="38" s="1"/>
  <c r="D224" i="38" s="1"/>
  <c r="D254" i="38" s="1"/>
  <c r="D284" i="38" s="1"/>
  <c r="D314" i="38" s="1"/>
  <c r="D344" i="38" s="1"/>
  <c r="D374" i="38" s="1"/>
  <c r="C15" i="38"/>
  <c r="C45" i="38" s="1"/>
  <c r="C75" i="38" s="1"/>
  <c r="C105" i="38" s="1"/>
  <c r="C135" i="38" s="1"/>
  <c r="C165" i="38" s="1"/>
  <c r="C195" i="38" s="1"/>
  <c r="C225" i="38" s="1"/>
  <c r="C255" i="38" s="1"/>
  <c r="C285" i="38" s="1"/>
  <c r="C315" i="38" s="1"/>
  <c r="C345" i="38" s="1"/>
  <c r="C375" i="38" s="1"/>
  <c r="D15" i="38"/>
  <c r="D45" i="38" s="1"/>
  <c r="D75" i="38" s="1"/>
  <c r="D105" i="38" s="1"/>
  <c r="D135" i="38" s="1"/>
  <c r="D165" i="38" s="1"/>
  <c r="D195" i="38" s="1"/>
  <c r="D225" i="38" s="1"/>
  <c r="D255" i="38" s="1"/>
  <c r="D285" i="38" s="1"/>
  <c r="D315" i="38" s="1"/>
  <c r="D345" i="38" s="1"/>
  <c r="D375" i="38" s="1"/>
  <c r="C16" i="38"/>
  <c r="C46" i="38" s="1"/>
  <c r="C76" i="38" s="1"/>
  <c r="C106" i="38" s="1"/>
  <c r="C136" i="38" s="1"/>
  <c r="C166" i="38" s="1"/>
  <c r="C196" i="38" s="1"/>
  <c r="C226" i="38" s="1"/>
  <c r="C256" i="38" s="1"/>
  <c r="C286" i="38" s="1"/>
  <c r="C316" i="38" s="1"/>
  <c r="C346" i="38" s="1"/>
  <c r="C376" i="38" s="1"/>
  <c r="D16" i="38"/>
  <c r="D46" i="38" s="1"/>
  <c r="D76" i="38" s="1"/>
  <c r="D106" i="38" s="1"/>
  <c r="D136" i="38" s="1"/>
  <c r="D166" i="38" s="1"/>
  <c r="D196" i="38" s="1"/>
  <c r="D226" i="38" s="1"/>
  <c r="D256" i="38" s="1"/>
  <c r="D286" i="38" s="1"/>
  <c r="D316" i="38" s="1"/>
  <c r="D346" i="38" s="1"/>
  <c r="D376" i="38" s="1"/>
  <c r="C17" i="38"/>
  <c r="C47" i="38" s="1"/>
  <c r="C77" i="38" s="1"/>
  <c r="C107" i="38" s="1"/>
  <c r="C137" i="38" s="1"/>
  <c r="C167" i="38" s="1"/>
  <c r="C197" i="38" s="1"/>
  <c r="C227" i="38" s="1"/>
  <c r="C257" i="38" s="1"/>
  <c r="C287" i="38" s="1"/>
  <c r="C317" i="38" s="1"/>
  <c r="C347" i="38" s="1"/>
  <c r="C377" i="38" s="1"/>
  <c r="E377" i="38" s="1"/>
  <c r="D17" i="38"/>
  <c r="D47" i="38" s="1"/>
  <c r="D77" i="38" s="1"/>
  <c r="D107" i="38" s="1"/>
  <c r="D137" i="38" s="1"/>
  <c r="D167" i="38" s="1"/>
  <c r="D197" i="38" s="1"/>
  <c r="D227" i="38" s="1"/>
  <c r="D257" i="38" s="1"/>
  <c r="D287" i="38" s="1"/>
  <c r="D317" i="38" s="1"/>
  <c r="D347" i="38" s="1"/>
  <c r="D377" i="38" s="1"/>
  <c r="C18" i="38"/>
  <c r="C48" i="38" s="1"/>
  <c r="C78" i="38" s="1"/>
  <c r="C108" i="38" s="1"/>
  <c r="C138" i="38" s="1"/>
  <c r="C168" i="38" s="1"/>
  <c r="C198" i="38" s="1"/>
  <c r="C228" i="38" s="1"/>
  <c r="C258" i="38" s="1"/>
  <c r="C288" i="38" s="1"/>
  <c r="C318" i="38" s="1"/>
  <c r="C348" i="38" s="1"/>
  <c r="C378" i="38" s="1"/>
  <c r="E378" i="38" s="1"/>
  <c r="D18" i="38"/>
  <c r="D48" i="38" s="1"/>
  <c r="D78" i="38" s="1"/>
  <c r="D108" i="38" s="1"/>
  <c r="D138" i="38" s="1"/>
  <c r="D168" i="38" s="1"/>
  <c r="D198" i="38" s="1"/>
  <c r="D228" i="38" s="1"/>
  <c r="D258" i="38" s="1"/>
  <c r="D288" i="38" s="1"/>
  <c r="D318" i="38" s="1"/>
  <c r="D348" i="38" s="1"/>
  <c r="D378" i="38" s="1"/>
  <c r="C19" i="38"/>
  <c r="C49" i="38" s="1"/>
  <c r="C79" i="38" s="1"/>
  <c r="C109" i="38" s="1"/>
  <c r="C139" i="38" s="1"/>
  <c r="C169" i="38" s="1"/>
  <c r="C199" i="38" s="1"/>
  <c r="C229" i="38" s="1"/>
  <c r="C259" i="38" s="1"/>
  <c r="C289" i="38" s="1"/>
  <c r="C319" i="38" s="1"/>
  <c r="C349" i="38" s="1"/>
  <c r="C379" i="38" s="1"/>
  <c r="E379" i="38" s="1"/>
  <c r="D19" i="38"/>
  <c r="D49" i="38" s="1"/>
  <c r="D79" i="38" s="1"/>
  <c r="D109" i="38" s="1"/>
  <c r="D139" i="38" s="1"/>
  <c r="D169" i="38" s="1"/>
  <c r="D199" i="38" s="1"/>
  <c r="D229" i="38" s="1"/>
  <c r="D259" i="38" s="1"/>
  <c r="D289" i="38" s="1"/>
  <c r="D319" i="38" s="1"/>
  <c r="D349" i="38" s="1"/>
  <c r="D379" i="38" s="1"/>
  <c r="C20" i="38"/>
  <c r="C50" i="38" s="1"/>
  <c r="C80" i="38" s="1"/>
  <c r="C110" i="38" s="1"/>
  <c r="C140" i="38" s="1"/>
  <c r="C170" i="38" s="1"/>
  <c r="C200" i="38" s="1"/>
  <c r="C230" i="38" s="1"/>
  <c r="C260" i="38" s="1"/>
  <c r="C290" i="38" s="1"/>
  <c r="C320" i="38" s="1"/>
  <c r="C350" i="38" s="1"/>
  <c r="C380" i="38" s="1"/>
  <c r="D20" i="38"/>
  <c r="D50" i="38" s="1"/>
  <c r="D80" i="38" s="1"/>
  <c r="D110" i="38" s="1"/>
  <c r="D140" i="38" s="1"/>
  <c r="D170" i="38" s="1"/>
  <c r="D200" i="38" s="1"/>
  <c r="D230" i="38" s="1"/>
  <c r="D260" i="38" s="1"/>
  <c r="D290" i="38" s="1"/>
  <c r="D320" i="38" s="1"/>
  <c r="D350" i="38" s="1"/>
  <c r="D380" i="38" s="1"/>
  <c r="C21" i="38"/>
  <c r="C51" i="38" s="1"/>
  <c r="C81" i="38" s="1"/>
  <c r="C111" i="38" s="1"/>
  <c r="C141" i="38" s="1"/>
  <c r="C171" i="38" s="1"/>
  <c r="C201" i="38" s="1"/>
  <c r="C231" i="38" s="1"/>
  <c r="C261" i="38" s="1"/>
  <c r="C291" i="38" s="1"/>
  <c r="C321" i="38" s="1"/>
  <c r="C351" i="38" s="1"/>
  <c r="C381" i="38" s="1"/>
  <c r="E381" i="38" s="1"/>
  <c r="D21" i="38"/>
  <c r="D51" i="38" s="1"/>
  <c r="D81" i="38" s="1"/>
  <c r="D111" i="38" s="1"/>
  <c r="D141" i="38" s="1"/>
  <c r="D171" i="38" s="1"/>
  <c r="D201" i="38" s="1"/>
  <c r="D231" i="38" s="1"/>
  <c r="D261" i="38" s="1"/>
  <c r="D291" i="38" s="1"/>
  <c r="D321" i="38" s="1"/>
  <c r="D351" i="38" s="1"/>
  <c r="D381" i="38" s="1"/>
  <c r="C22" i="38"/>
  <c r="C52" i="38" s="1"/>
  <c r="C82" i="38" s="1"/>
  <c r="C112" i="38" s="1"/>
  <c r="C142" i="38" s="1"/>
  <c r="C172" i="38" s="1"/>
  <c r="C202" i="38" s="1"/>
  <c r="C232" i="38" s="1"/>
  <c r="C262" i="38" s="1"/>
  <c r="C292" i="38" s="1"/>
  <c r="C322" i="38" s="1"/>
  <c r="C352" i="38" s="1"/>
  <c r="C382" i="38" s="1"/>
  <c r="D22" i="38"/>
  <c r="D52" i="38" s="1"/>
  <c r="D82" i="38" s="1"/>
  <c r="D112" i="38" s="1"/>
  <c r="D142" i="38" s="1"/>
  <c r="D172" i="38" s="1"/>
  <c r="D202" i="38" s="1"/>
  <c r="D232" i="38" s="1"/>
  <c r="D262" i="38" s="1"/>
  <c r="D292" i="38" s="1"/>
  <c r="D322" i="38" s="1"/>
  <c r="D352" i="38" s="1"/>
  <c r="D382" i="38" s="1"/>
  <c r="C23" i="38"/>
  <c r="C53" i="38" s="1"/>
  <c r="C83" i="38" s="1"/>
  <c r="C113" i="38" s="1"/>
  <c r="C143" i="38" s="1"/>
  <c r="C173" i="38" s="1"/>
  <c r="C203" i="38" s="1"/>
  <c r="C233" i="38" s="1"/>
  <c r="C263" i="38" s="1"/>
  <c r="C293" i="38" s="1"/>
  <c r="C323" i="38" s="1"/>
  <c r="C353" i="38" s="1"/>
  <c r="C383" i="38" s="1"/>
  <c r="E383" i="38" s="1"/>
  <c r="D23" i="38"/>
  <c r="D53" i="38" s="1"/>
  <c r="D83" i="38" s="1"/>
  <c r="D113" i="38" s="1"/>
  <c r="D143" i="38" s="1"/>
  <c r="D173" i="38" s="1"/>
  <c r="D203" i="38" s="1"/>
  <c r="D233" i="38" s="1"/>
  <c r="D263" i="38" s="1"/>
  <c r="D293" i="38" s="1"/>
  <c r="D323" i="38" s="1"/>
  <c r="D353" i="38" s="1"/>
  <c r="D383" i="38" s="1"/>
  <c r="C24" i="38"/>
  <c r="C54" i="38" s="1"/>
  <c r="C84" i="38" s="1"/>
  <c r="C114" i="38" s="1"/>
  <c r="C144" i="38" s="1"/>
  <c r="C174" i="38" s="1"/>
  <c r="C204" i="38" s="1"/>
  <c r="C234" i="38" s="1"/>
  <c r="C264" i="38" s="1"/>
  <c r="C294" i="38" s="1"/>
  <c r="C324" i="38" s="1"/>
  <c r="C354" i="38" s="1"/>
  <c r="C384" i="38" s="1"/>
  <c r="D24" i="38"/>
  <c r="D54" i="38" s="1"/>
  <c r="D84" i="38" s="1"/>
  <c r="D114" i="38" s="1"/>
  <c r="D144" i="38" s="1"/>
  <c r="D174" i="38" s="1"/>
  <c r="D204" i="38" s="1"/>
  <c r="D234" i="38" s="1"/>
  <c r="D264" i="38" s="1"/>
  <c r="D294" i="38" s="1"/>
  <c r="D324" i="38" s="1"/>
  <c r="D354" i="38" s="1"/>
  <c r="D384" i="38" s="1"/>
  <c r="C25" i="38"/>
  <c r="C55" i="38" s="1"/>
  <c r="C85" i="38" s="1"/>
  <c r="C115" i="38" s="1"/>
  <c r="C145" i="38" s="1"/>
  <c r="C175" i="38" s="1"/>
  <c r="C205" i="38" s="1"/>
  <c r="C235" i="38" s="1"/>
  <c r="C265" i="38" s="1"/>
  <c r="C295" i="38" s="1"/>
  <c r="C325" i="38" s="1"/>
  <c r="C355" i="38" s="1"/>
  <c r="C385" i="38" s="1"/>
  <c r="E385" i="38" s="1"/>
  <c r="D25" i="38"/>
  <c r="D55" i="38" s="1"/>
  <c r="D85" i="38" s="1"/>
  <c r="D115" i="38" s="1"/>
  <c r="D145" i="38" s="1"/>
  <c r="D175" i="38" s="1"/>
  <c r="D205" i="38" s="1"/>
  <c r="D235" i="38" s="1"/>
  <c r="D265" i="38" s="1"/>
  <c r="D295" i="38" s="1"/>
  <c r="D325" i="38" s="1"/>
  <c r="D355" i="38" s="1"/>
  <c r="D385" i="38" s="1"/>
  <c r="C26" i="38"/>
  <c r="C56" i="38" s="1"/>
  <c r="C86" i="38" s="1"/>
  <c r="C116" i="38" s="1"/>
  <c r="C146" i="38" s="1"/>
  <c r="C176" i="38" s="1"/>
  <c r="C206" i="38" s="1"/>
  <c r="C236" i="38" s="1"/>
  <c r="C266" i="38" s="1"/>
  <c r="C296" i="38" s="1"/>
  <c r="C326" i="38" s="1"/>
  <c r="C356" i="38" s="1"/>
  <c r="C386" i="38" s="1"/>
  <c r="D26" i="38"/>
  <c r="D56" i="38" s="1"/>
  <c r="D86" i="38" s="1"/>
  <c r="D116" i="38" s="1"/>
  <c r="D146" i="38" s="1"/>
  <c r="D176" i="38" s="1"/>
  <c r="D206" i="38" s="1"/>
  <c r="D236" i="38" s="1"/>
  <c r="D266" i="38" s="1"/>
  <c r="D296" i="38" s="1"/>
  <c r="D326" i="38" s="1"/>
  <c r="D356" i="38" s="1"/>
  <c r="D386" i="38" s="1"/>
  <c r="C27" i="38"/>
  <c r="C57" i="38" s="1"/>
  <c r="C87" i="38" s="1"/>
  <c r="C117" i="38" s="1"/>
  <c r="C147" i="38" s="1"/>
  <c r="C177" i="38" s="1"/>
  <c r="C207" i="38" s="1"/>
  <c r="C237" i="38" s="1"/>
  <c r="C267" i="38" s="1"/>
  <c r="C297" i="38" s="1"/>
  <c r="C327" i="38" s="1"/>
  <c r="C357" i="38" s="1"/>
  <c r="C387" i="38" s="1"/>
  <c r="E387" i="38" s="1"/>
  <c r="D27" i="38"/>
  <c r="D57" i="38" s="1"/>
  <c r="D87" i="38" s="1"/>
  <c r="D117" i="38" s="1"/>
  <c r="D147" i="38" s="1"/>
  <c r="D177" i="38" s="1"/>
  <c r="D207" i="38" s="1"/>
  <c r="D237" i="38" s="1"/>
  <c r="D267" i="38" s="1"/>
  <c r="D297" i="38" s="1"/>
  <c r="D327" i="38" s="1"/>
  <c r="D357" i="38" s="1"/>
  <c r="D387" i="38" s="1"/>
  <c r="C28" i="38"/>
  <c r="C58" i="38" s="1"/>
  <c r="C88" i="38" s="1"/>
  <c r="C118" i="38" s="1"/>
  <c r="C148" i="38" s="1"/>
  <c r="C178" i="38" s="1"/>
  <c r="C208" i="38" s="1"/>
  <c r="C238" i="38" s="1"/>
  <c r="C268" i="38" s="1"/>
  <c r="C298" i="38" s="1"/>
  <c r="C328" i="38" s="1"/>
  <c r="C358" i="38" s="1"/>
  <c r="C388" i="38" s="1"/>
  <c r="D28" i="38"/>
  <c r="D58" i="38" s="1"/>
  <c r="D88" i="38" s="1"/>
  <c r="D118" i="38" s="1"/>
  <c r="D148" i="38" s="1"/>
  <c r="D178" i="38" s="1"/>
  <c r="D208" i="38" s="1"/>
  <c r="D238" i="38" s="1"/>
  <c r="D268" i="38" s="1"/>
  <c r="D298" i="38" s="1"/>
  <c r="D328" i="38" s="1"/>
  <c r="D358" i="38" s="1"/>
  <c r="D388" i="38" s="1"/>
  <c r="C29" i="38"/>
  <c r="C59" i="38" s="1"/>
  <c r="C89" i="38" s="1"/>
  <c r="C119" i="38" s="1"/>
  <c r="C149" i="38" s="1"/>
  <c r="C179" i="38" s="1"/>
  <c r="C209" i="38" s="1"/>
  <c r="C239" i="38" s="1"/>
  <c r="C269" i="38" s="1"/>
  <c r="C299" i="38" s="1"/>
  <c r="C329" i="38" s="1"/>
  <c r="C359" i="38" s="1"/>
  <c r="C389" i="38" s="1"/>
  <c r="E389" i="38" s="1"/>
  <c r="D29" i="38"/>
  <c r="D59" i="38" s="1"/>
  <c r="D89" i="38" s="1"/>
  <c r="D119" i="38" s="1"/>
  <c r="D149" i="38" s="1"/>
  <c r="D179" i="38" s="1"/>
  <c r="D209" i="38" s="1"/>
  <c r="D239" i="38" s="1"/>
  <c r="D269" i="38" s="1"/>
  <c r="D299" i="38" s="1"/>
  <c r="D329" i="38" s="1"/>
  <c r="D359" i="38" s="1"/>
  <c r="D389" i="38" s="1"/>
  <c r="D8" i="38"/>
  <c r="C8" i="38"/>
  <c r="E8" i="38" s="1"/>
  <c r="B389" i="38"/>
  <c r="E388" i="38"/>
  <c r="B388" i="38"/>
  <c r="B387" i="38"/>
  <c r="E386" i="38"/>
  <c r="B386" i="38"/>
  <c r="B385" i="38"/>
  <c r="E384" i="38"/>
  <c r="B384" i="38"/>
  <c r="B383" i="38"/>
  <c r="E382" i="38"/>
  <c r="B382" i="38"/>
  <c r="B381" i="38"/>
  <c r="E380" i="38"/>
  <c r="B380" i="38"/>
  <c r="B379" i="38"/>
  <c r="B378" i="38"/>
  <c r="B377" i="38"/>
  <c r="E376" i="38"/>
  <c r="B376" i="38"/>
  <c r="E375" i="38"/>
  <c r="B375" i="38"/>
  <c r="E374" i="38"/>
  <c r="B374" i="38"/>
  <c r="B373" i="38"/>
  <c r="E372" i="38"/>
  <c r="B372" i="38"/>
  <c r="E371" i="38"/>
  <c r="B371" i="38"/>
  <c r="E370" i="38"/>
  <c r="B370" i="38"/>
  <c r="B369" i="38"/>
  <c r="B368" i="38"/>
  <c r="C362" i="38"/>
  <c r="B359" i="38"/>
  <c r="E358" i="38"/>
  <c r="B358" i="38"/>
  <c r="B357" i="38"/>
  <c r="B356" i="38"/>
  <c r="B355" i="38"/>
  <c r="E354" i="38"/>
  <c r="B354" i="38"/>
  <c r="B353" i="38"/>
  <c r="E352" i="38"/>
  <c r="B352" i="38"/>
  <c r="B351" i="38"/>
  <c r="E350" i="38"/>
  <c r="B350" i="38"/>
  <c r="E349" i="38"/>
  <c r="B349" i="38"/>
  <c r="B348" i="38"/>
  <c r="B347" i="38"/>
  <c r="E346" i="38"/>
  <c r="B346" i="38"/>
  <c r="E345" i="38"/>
  <c r="B345" i="38"/>
  <c r="B344" i="38"/>
  <c r="B343" i="38"/>
  <c r="E342" i="38"/>
  <c r="B342" i="38"/>
  <c r="E341" i="38"/>
  <c r="B341" i="38"/>
  <c r="B340" i="38"/>
  <c r="B339" i="38"/>
  <c r="B338" i="38"/>
  <c r="C332" i="38"/>
  <c r="B329" i="38"/>
  <c r="E328" i="38"/>
  <c r="B328" i="38"/>
  <c r="B327" i="38"/>
  <c r="B326" i="38"/>
  <c r="B325" i="38"/>
  <c r="E324" i="38"/>
  <c r="B324" i="38"/>
  <c r="B323" i="38"/>
  <c r="E322" i="38"/>
  <c r="B322" i="38"/>
  <c r="B321" i="38"/>
  <c r="E320" i="38"/>
  <c r="B320" i="38"/>
  <c r="E319" i="38"/>
  <c r="B319" i="38"/>
  <c r="E318" i="38"/>
  <c r="B318" i="38"/>
  <c r="B317" i="38"/>
  <c r="E316" i="38"/>
  <c r="B316" i="38"/>
  <c r="E315" i="38"/>
  <c r="B315" i="38"/>
  <c r="E314" i="38"/>
  <c r="B314" i="38"/>
  <c r="B313" i="38"/>
  <c r="E312" i="38"/>
  <c r="B312" i="38"/>
  <c r="E311" i="38"/>
  <c r="B311" i="38"/>
  <c r="E310" i="38"/>
  <c r="B310" i="38"/>
  <c r="B309" i="38"/>
  <c r="B308" i="38"/>
  <c r="C302" i="38"/>
  <c r="B299" i="38"/>
  <c r="E298" i="38"/>
  <c r="B298" i="38"/>
  <c r="B297" i="38"/>
  <c r="E296" i="38"/>
  <c r="B296" i="38"/>
  <c r="B295" i="38"/>
  <c r="E294" i="38"/>
  <c r="B294" i="38"/>
  <c r="B293" i="38"/>
  <c r="E292" i="38"/>
  <c r="B292" i="38"/>
  <c r="B291" i="38"/>
  <c r="E290" i="38"/>
  <c r="B290" i="38"/>
  <c r="E289" i="38"/>
  <c r="B289" i="38"/>
  <c r="B288" i="38"/>
  <c r="B287" i="38"/>
  <c r="E286" i="38"/>
  <c r="B286" i="38"/>
  <c r="E285" i="38"/>
  <c r="B285" i="38"/>
  <c r="B284" i="38"/>
  <c r="B283" i="38"/>
  <c r="E282" i="38"/>
  <c r="B282" i="38"/>
  <c r="E281" i="38"/>
  <c r="B281" i="38"/>
  <c r="B280" i="38"/>
  <c r="B279" i="38"/>
  <c r="B278" i="38"/>
  <c r="C272" i="38"/>
  <c r="B269" i="38"/>
  <c r="E268" i="38"/>
  <c r="B268" i="38"/>
  <c r="E267" i="38"/>
  <c r="B267" i="38"/>
  <c r="E266" i="38"/>
  <c r="B266" i="38"/>
  <c r="B265" i="38"/>
  <c r="E264" i="38"/>
  <c r="B264" i="38"/>
  <c r="E263" i="38"/>
  <c r="B263" i="38"/>
  <c r="E262" i="38"/>
  <c r="B262" i="38"/>
  <c r="B261" i="38"/>
  <c r="E260" i="38"/>
  <c r="B260" i="38"/>
  <c r="E259" i="38"/>
  <c r="B259" i="38"/>
  <c r="E258" i="38"/>
  <c r="B258" i="38"/>
  <c r="B257" i="38"/>
  <c r="E256" i="38"/>
  <c r="B256" i="38"/>
  <c r="E255" i="38"/>
  <c r="B255" i="38"/>
  <c r="E254" i="38"/>
  <c r="B254" i="38"/>
  <c r="B253" i="38"/>
  <c r="E252" i="38"/>
  <c r="B252" i="38"/>
  <c r="E251" i="38"/>
  <c r="B251" i="38"/>
  <c r="E250" i="38"/>
  <c r="B250" i="38"/>
  <c r="B249" i="38"/>
  <c r="B248" i="38"/>
  <c r="C242" i="38"/>
  <c r="B239" i="38"/>
  <c r="E238" i="38"/>
  <c r="B238" i="38"/>
  <c r="E237" i="38"/>
  <c r="B237" i="38"/>
  <c r="B236" i="38"/>
  <c r="B235" i="38"/>
  <c r="E234" i="38"/>
  <c r="B234" i="38"/>
  <c r="E233" i="38"/>
  <c r="B233" i="38"/>
  <c r="E232" i="38"/>
  <c r="B232" i="38"/>
  <c r="B231" i="38"/>
  <c r="E230" i="38"/>
  <c r="B230" i="38"/>
  <c r="E229" i="38"/>
  <c r="B229" i="38"/>
  <c r="B228" i="38"/>
  <c r="B227" i="38"/>
  <c r="E226" i="38"/>
  <c r="B226" i="38"/>
  <c r="E225" i="38"/>
  <c r="B225" i="38"/>
  <c r="B224" i="38"/>
  <c r="B223" i="38"/>
  <c r="E222" i="38"/>
  <c r="B222" i="38"/>
  <c r="E221" i="38"/>
  <c r="B221" i="38"/>
  <c r="B220" i="38"/>
  <c r="B219" i="38"/>
  <c r="B218" i="38"/>
  <c r="C212" i="38"/>
  <c r="B209" i="38"/>
  <c r="E208" i="38"/>
  <c r="B208" i="38"/>
  <c r="E207" i="38"/>
  <c r="B207" i="38"/>
  <c r="E206" i="38"/>
  <c r="B206" i="38"/>
  <c r="B205" i="38"/>
  <c r="E204" i="38"/>
  <c r="B204" i="38"/>
  <c r="E203" i="38"/>
  <c r="B203" i="38"/>
  <c r="E202" i="38"/>
  <c r="B202" i="38"/>
  <c r="B201" i="38"/>
  <c r="E200" i="38"/>
  <c r="B200" i="38"/>
  <c r="E199" i="38"/>
  <c r="B199" i="38"/>
  <c r="E198" i="38"/>
  <c r="B198" i="38"/>
  <c r="B197" i="38"/>
  <c r="E196" i="38"/>
  <c r="B196" i="38"/>
  <c r="E195" i="38"/>
  <c r="B195" i="38"/>
  <c r="E194" i="38"/>
  <c r="B194" i="38"/>
  <c r="B193" i="38"/>
  <c r="E192" i="38"/>
  <c r="B192" i="38"/>
  <c r="E191" i="38"/>
  <c r="B191" i="38"/>
  <c r="E190" i="38"/>
  <c r="B190" i="38"/>
  <c r="B189" i="38"/>
  <c r="B188" i="38"/>
  <c r="C182" i="38"/>
  <c r="E179" i="38"/>
  <c r="B179" i="38"/>
  <c r="E178" i="38"/>
  <c r="B178" i="38"/>
  <c r="E177" i="38"/>
  <c r="B177" i="38"/>
  <c r="E176" i="38"/>
  <c r="B176" i="38"/>
  <c r="E175" i="38"/>
  <c r="B175" i="38"/>
  <c r="E174" i="38"/>
  <c r="B174" i="38"/>
  <c r="E173" i="38"/>
  <c r="B173" i="38"/>
  <c r="E172" i="38"/>
  <c r="B172" i="38"/>
  <c r="E171" i="38"/>
  <c r="B171" i="38"/>
  <c r="E170" i="38"/>
  <c r="B170" i="38"/>
  <c r="E169" i="38"/>
  <c r="B169" i="38"/>
  <c r="B168" i="38"/>
  <c r="B167" i="38"/>
  <c r="E166" i="38"/>
  <c r="B166" i="38"/>
  <c r="E165" i="38"/>
  <c r="B165" i="38"/>
  <c r="B164" i="38"/>
  <c r="B163" i="38"/>
  <c r="E162" i="38"/>
  <c r="B162" i="38"/>
  <c r="E161" i="38"/>
  <c r="B161" i="38"/>
  <c r="B160" i="38"/>
  <c r="B159" i="38"/>
  <c r="B158" i="38"/>
  <c r="C152" i="38"/>
  <c r="B149" i="38"/>
  <c r="E148" i="38"/>
  <c r="B148" i="38"/>
  <c r="E147" i="38"/>
  <c r="B147" i="38"/>
  <c r="E146" i="38"/>
  <c r="B146" i="38"/>
  <c r="B145" i="38"/>
  <c r="E144" i="38"/>
  <c r="B144" i="38"/>
  <c r="E143" i="38"/>
  <c r="B143" i="38"/>
  <c r="E142" i="38"/>
  <c r="B142" i="38"/>
  <c r="B141" i="38"/>
  <c r="E140" i="38"/>
  <c r="B140" i="38"/>
  <c r="E139" i="38"/>
  <c r="B139" i="38"/>
  <c r="E138" i="38"/>
  <c r="B138" i="38"/>
  <c r="B137" i="38"/>
  <c r="E136" i="38"/>
  <c r="B136" i="38"/>
  <c r="E135" i="38"/>
  <c r="B135" i="38"/>
  <c r="E134" i="38"/>
  <c r="B134" i="38"/>
  <c r="B133" i="38"/>
  <c r="E132" i="38"/>
  <c r="B132" i="38"/>
  <c r="E131" i="38"/>
  <c r="B131" i="38"/>
  <c r="E130" i="38"/>
  <c r="B130" i="38"/>
  <c r="B129" i="38"/>
  <c r="B128" i="38"/>
  <c r="C122" i="38"/>
  <c r="B119" i="38"/>
  <c r="E118" i="38"/>
  <c r="B118" i="38"/>
  <c r="E117" i="38"/>
  <c r="B117" i="38"/>
  <c r="E116" i="38"/>
  <c r="B116" i="38"/>
  <c r="B115" i="38"/>
  <c r="E114" i="38"/>
  <c r="B114" i="38"/>
  <c r="E113" i="38"/>
  <c r="B113" i="38"/>
  <c r="E112" i="38"/>
  <c r="B112" i="38"/>
  <c r="B111" i="38"/>
  <c r="E110" i="38"/>
  <c r="B110" i="38"/>
  <c r="E109" i="38"/>
  <c r="B109" i="38"/>
  <c r="B108" i="38"/>
  <c r="B107" i="38"/>
  <c r="E106" i="38"/>
  <c r="B106" i="38"/>
  <c r="E105" i="38"/>
  <c r="B105" i="38"/>
  <c r="B104" i="38"/>
  <c r="E103" i="38"/>
  <c r="B103" i="38"/>
  <c r="E102" i="38"/>
  <c r="B102" i="38"/>
  <c r="E101" i="38"/>
  <c r="B101" i="38"/>
  <c r="B100" i="38"/>
  <c r="B99" i="38"/>
  <c r="B98" i="38"/>
  <c r="C92" i="38"/>
  <c r="E88" i="38"/>
  <c r="E87" i="38"/>
  <c r="E86" i="38"/>
  <c r="E84" i="38"/>
  <c r="E83" i="38"/>
  <c r="E82" i="38"/>
  <c r="E80" i="38"/>
  <c r="E79" i="38"/>
  <c r="E78" i="38"/>
  <c r="E76" i="38"/>
  <c r="E75" i="38"/>
  <c r="E74" i="38"/>
  <c r="E72" i="38"/>
  <c r="E71" i="38"/>
  <c r="E70" i="38"/>
  <c r="C62" i="38"/>
  <c r="B59" i="38"/>
  <c r="E58" i="38"/>
  <c r="B58" i="38"/>
  <c r="E57" i="38"/>
  <c r="B57" i="38"/>
  <c r="E56" i="38"/>
  <c r="B56" i="38"/>
  <c r="B55" i="38"/>
  <c r="E54" i="38"/>
  <c r="B54" i="38"/>
  <c r="E53" i="38"/>
  <c r="B53" i="38"/>
  <c r="E52" i="38"/>
  <c r="B52" i="38"/>
  <c r="B51" i="38"/>
  <c r="E50" i="38"/>
  <c r="B50" i="38"/>
  <c r="E49" i="38"/>
  <c r="E46" i="38"/>
  <c r="E45" i="38"/>
  <c r="E42" i="38"/>
  <c r="E41" i="38"/>
  <c r="C32" i="38"/>
  <c r="B9" i="38"/>
  <c r="B10" i="38"/>
  <c r="B11" i="38"/>
  <c r="B12" i="38"/>
  <c r="B13" i="38"/>
  <c r="B14" i="38"/>
  <c r="B15" i="38"/>
  <c r="B16" i="38"/>
  <c r="B17" i="38"/>
  <c r="B18" i="38"/>
  <c r="B19" i="38"/>
  <c r="B20" i="38"/>
  <c r="B21" i="38"/>
  <c r="B22" i="38"/>
  <c r="B23" i="38"/>
  <c r="B24" i="38"/>
  <c r="B25" i="38"/>
  <c r="B26" i="38"/>
  <c r="B27" i="38"/>
  <c r="B28" i="38"/>
  <c r="B29" i="38"/>
  <c r="B8" i="38"/>
  <c r="E28" i="38"/>
  <c r="E27" i="38"/>
  <c r="E26" i="38"/>
  <c r="E24" i="38"/>
  <c r="E23" i="38"/>
  <c r="E22" i="38"/>
  <c r="E20" i="38"/>
  <c r="E19" i="38"/>
  <c r="E16" i="38"/>
  <c r="E15" i="38"/>
  <c r="E12" i="38"/>
  <c r="E11" i="38"/>
  <c r="E10" i="38"/>
  <c r="C2" i="38"/>
  <c r="AN522" i="35"/>
  <c r="AN488" i="35"/>
  <c r="AM488" i="35"/>
  <c r="AL488" i="35"/>
  <c r="AK488" i="35"/>
  <c r="AJ488" i="35"/>
  <c r="AN453" i="35"/>
  <c r="AM453" i="35"/>
  <c r="AM511" i="35" s="1"/>
  <c r="AL453" i="35"/>
  <c r="AL511" i="35" s="1"/>
  <c r="AK453" i="35"/>
  <c r="AK511" i="35" s="1"/>
  <c r="AJ453" i="35"/>
  <c r="AJ511" i="35" s="1"/>
  <c r="AN418" i="35"/>
  <c r="AM418" i="35"/>
  <c r="AM510" i="35" s="1"/>
  <c r="AL418" i="35"/>
  <c r="AL510" i="35" s="1"/>
  <c r="AK418" i="35"/>
  <c r="AK510" i="35" s="1"/>
  <c r="AJ418" i="35"/>
  <c r="AJ510" i="35" s="1"/>
  <c r="AN383" i="35"/>
  <c r="AM383" i="35"/>
  <c r="AM509" i="35" s="1"/>
  <c r="AL383" i="35"/>
  <c r="AL509" i="35" s="1"/>
  <c r="AK383" i="35"/>
  <c r="AK509" i="35" s="1"/>
  <c r="AJ383" i="35"/>
  <c r="AJ509" i="35" s="1"/>
  <c r="AN348" i="35"/>
  <c r="AM348" i="35"/>
  <c r="AM508" i="35" s="1"/>
  <c r="AL348" i="35"/>
  <c r="AL508" i="35" s="1"/>
  <c r="AK348" i="35"/>
  <c r="AK508" i="35" s="1"/>
  <c r="AJ348" i="35"/>
  <c r="AJ508" i="35" s="1"/>
  <c r="AN313" i="35"/>
  <c r="AM313" i="35"/>
  <c r="AM507" i="35" s="1"/>
  <c r="AL313" i="35"/>
  <c r="AL507" i="35" s="1"/>
  <c r="AK313" i="35"/>
  <c r="AK507" i="35" s="1"/>
  <c r="AJ313" i="35"/>
  <c r="AJ507" i="35" s="1"/>
  <c r="AN278" i="35"/>
  <c r="AM278" i="35"/>
  <c r="AM506" i="35" s="1"/>
  <c r="AL278" i="35"/>
  <c r="AL506" i="35" s="1"/>
  <c r="AK278" i="35"/>
  <c r="AK506" i="35" s="1"/>
  <c r="AJ278" i="35"/>
  <c r="AJ506" i="35" s="1"/>
  <c r="AN243" i="35"/>
  <c r="AM243" i="35"/>
  <c r="AL243" i="35"/>
  <c r="AK243" i="35"/>
  <c r="AJ243" i="35"/>
  <c r="AN207" i="35"/>
  <c r="AM207" i="35"/>
  <c r="AM505" i="35" s="1"/>
  <c r="AL207" i="35"/>
  <c r="AL505" i="35" s="1"/>
  <c r="AK207" i="35"/>
  <c r="AK505" i="35" s="1"/>
  <c r="AJ207" i="35"/>
  <c r="AJ505" i="35" s="1"/>
  <c r="AN172" i="35"/>
  <c r="AM172" i="35"/>
  <c r="AM504" i="35" s="1"/>
  <c r="AL172" i="35"/>
  <c r="AL504" i="35" s="1"/>
  <c r="AK172" i="35"/>
  <c r="AK504" i="35" s="1"/>
  <c r="AJ172" i="35"/>
  <c r="AJ504" i="35" s="1"/>
  <c r="AN137" i="35"/>
  <c r="AM137" i="35"/>
  <c r="AM503" i="35" s="1"/>
  <c r="AL137" i="35"/>
  <c r="AL503" i="35" s="1"/>
  <c r="AK137" i="35"/>
  <c r="AK503" i="35" s="1"/>
  <c r="AJ137" i="35"/>
  <c r="AJ503" i="35" s="1"/>
  <c r="AN102" i="35"/>
  <c r="AM102" i="35"/>
  <c r="AM502" i="35" s="1"/>
  <c r="AL102" i="35"/>
  <c r="AL502" i="35" s="1"/>
  <c r="AK102" i="35"/>
  <c r="AK502" i="35" s="1"/>
  <c r="AJ102" i="35"/>
  <c r="AJ502" i="35" s="1"/>
  <c r="AN67" i="35"/>
  <c r="AM67" i="35"/>
  <c r="AM501" i="35" s="1"/>
  <c r="AL67" i="35"/>
  <c r="AL501" i="35" s="1"/>
  <c r="AK67" i="35"/>
  <c r="AK501" i="35" s="1"/>
  <c r="AJ67" i="35"/>
  <c r="AJ501" i="35" s="1"/>
  <c r="AN33" i="35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41" i="2"/>
  <c r="E355" i="38" l="1"/>
  <c r="I72" i="38"/>
  <c r="J72" i="38"/>
  <c r="E85" i="38"/>
  <c r="E99" i="38"/>
  <c r="E167" i="38"/>
  <c r="E201" i="38"/>
  <c r="E205" i="38"/>
  <c r="E209" i="38"/>
  <c r="E329" i="38"/>
  <c r="E351" i="38"/>
  <c r="F383" i="38"/>
  <c r="I79" i="38"/>
  <c r="J79" i="38"/>
  <c r="I71" i="38"/>
  <c r="J71" i="38"/>
  <c r="E13" i="38"/>
  <c r="E43" i="38"/>
  <c r="E51" i="38"/>
  <c r="E55" i="38"/>
  <c r="E59" i="38"/>
  <c r="E163" i="38"/>
  <c r="E231" i="38"/>
  <c r="E235" i="38"/>
  <c r="E239" i="38"/>
  <c r="E299" i="38"/>
  <c r="E325" i="38"/>
  <c r="E356" i="38"/>
  <c r="F382" i="38"/>
  <c r="I78" i="38"/>
  <c r="J78" i="38"/>
  <c r="I70" i="38"/>
  <c r="J70" i="38"/>
  <c r="E25" i="38"/>
  <c r="E159" i="38"/>
  <c r="E227" i="38"/>
  <c r="E261" i="38"/>
  <c r="E265" i="38"/>
  <c r="E269" i="38"/>
  <c r="E295" i="38"/>
  <c r="E321" i="38"/>
  <c r="I77" i="38"/>
  <c r="J77" i="38"/>
  <c r="I69" i="38"/>
  <c r="J69" i="38"/>
  <c r="F180" i="38"/>
  <c r="F402" i="38" s="1"/>
  <c r="F210" i="38"/>
  <c r="F403" i="38" s="1"/>
  <c r="F300" i="38"/>
  <c r="F406" i="38" s="1"/>
  <c r="E223" i="38"/>
  <c r="E236" i="38"/>
  <c r="E291" i="38"/>
  <c r="E326" i="38"/>
  <c r="E343" i="38"/>
  <c r="F388" i="38"/>
  <c r="F380" i="38"/>
  <c r="J76" i="38"/>
  <c r="I76" i="38"/>
  <c r="E47" i="38"/>
  <c r="E81" i="38"/>
  <c r="E89" i="38"/>
  <c r="E219" i="38"/>
  <c r="E287" i="38"/>
  <c r="E339" i="38"/>
  <c r="F387" i="38"/>
  <c r="I75" i="38"/>
  <c r="J75" i="38"/>
  <c r="E111" i="38"/>
  <c r="E115" i="38"/>
  <c r="E119" i="38"/>
  <c r="E283" i="38"/>
  <c r="F386" i="38"/>
  <c r="I68" i="38"/>
  <c r="I90" i="38" s="1"/>
  <c r="I399" i="38" s="1"/>
  <c r="J68" i="38"/>
  <c r="I74" i="38"/>
  <c r="J74" i="38"/>
  <c r="E21" i="38"/>
  <c r="E29" i="38"/>
  <c r="E39" i="38"/>
  <c r="E107" i="38"/>
  <c r="E141" i="38"/>
  <c r="E145" i="38"/>
  <c r="E149" i="38"/>
  <c r="E279" i="38"/>
  <c r="E359" i="38"/>
  <c r="I73" i="38"/>
  <c r="J73" i="38"/>
  <c r="F150" i="38"/>
  <c r="F401" i="38" s="1"/>
  <c r="F270" i="38"/>
  <c r="F405" i="38" s="1"/>
  <c r="F120" i="38"/>
  <c r="F400" i="38" s="1"/>
  <c r="H390" i="38"/>
  <c r="F90" i="38"/>
  <c r="F399" i="38" s="1"/>
  <c r="F376" i="38"/>
  <c r="J16" i="38"/>
  <c r="I16" i="38"/>
  <c r="I376" i="38" s="1"/>
  <c r="J15" i="38"/>
  <c r="J375" i="38" s="1"/>
  <c r="I15" i="38"/>
  <c r="I375" i="38" s="1"/>
  <c r="H409" i="38"/>
  <c r="I8" i="38"/>
  <c r="J8" i="38"/>
  <c r="F374" i="38"/>
  <c r="J14" i="38"/>
  <c r="J374" i="38" s="1"/>
  <c r="I14" i="38"/>
  <c r="I374" i="38" s="1"/>
  <c r="I13" i="38"/>
  <c r="I373" i="38" s="1"/>
  <c r="J13" i="38"/>
  <c r="J373" i="38" s="1"/>
  <c r="I12" i="38"/>
  <c r="I372" i="38" s="1"/>
  <c r="J12" i="38"/>
  <c r="J372" i="38" s="1"/>
  <c r="E293" i="38"/>
  <c r="E297" i="38"/>
  <c r="I19" i="38"/>
  <c r="I379" i="38" s="1"/>
  <c r="J19" i="38"/>
  <c r="J379" i="38" s="1"/>
  <c r="I11" i="38"/>
  <c r="I371" i="38" s="1"/>
  <c r="J11" i="38"/>
  <c r="J371" i="38" s="1"/>
  <c r="F369" i="38"/>
  <c r="I39" i="38"/>
  <c r="I60" i="38" s="1"/>
  <c r="I398" i="38" s="1"/>
  <c r="E323" i="38"/>
  <c r="E327" i="38"/>
  <c r="E353" i="38"/>
  <c r="E357" i="38"/>
  <c r="J18" i="38"/>
  <c r="J378" i="38" s="1"/>
  <c r="I18" i="38"/>
  <c r="I378" i="38" s="1"/>
  <c r="J10" i="38"/>
  <c r="J370" i="38" s="1"/>
  <c r="I10" i="38"/>
  <c r="F377" i="38"/>
  <c r="J17" i="38"/>
  <c r="J377" i="38" s="1"/>
  <c r="I17" i="38"/>
  <c r="I377" i="38" s="1"/>
  <c r="I9" i="38"/>
  <c r="I369" i="38" s="1"/>
  <c r="J9" i="38"/>
  <c r="J369" i="38" s="1"/>
  <c r="G409" i="38"/>
  <c r="G390" i="38"/>
  <c r="F379" i="38"/>
  <c r="F378" i="38"/>
  <c r="F375" i="38"/>
  <c r="F373" i="38"/>
  <c r="F372" i="38"/>
  <c r="F371" i="38"/>
  <c r="F370" i="38"/>
  <c r="F60" i="38"/>
  <c r="F398" i="38" s="1"/>
  <c r="F30" i="38"/>
  <c r="F397" i="38" s="1"/>
  <c r="F368" i="38"/>
  <c r="E14" i="38"/>
  <c r="E9" i="38"/>
  <c r="E17" i="38"/>
  <c r="E40" i="38"/>
  <c r="E44" i="38"/>
  <c r="E48" i="38"/>
  <c r="E100" i="38"/>
  <c r="E104" i="38"/>
  <c r="E108" i="38"/>
  <c r="E160" i="38"/>
  <c r="E164" i="38"/>
  <c r="E168" i="38"/>
  <c r="E220" i="38"/>
  <c r="E224" i="38"/>
  <c r="E228" i="38"/>
  <c r="E280" i="38"/>
  <c r="E284" i="38"/>
  <c r="E288" i="38"/>
  <c r="E340" i="38"/>
  <c r="E344" i="38"/>
  <c r="E348" i="38"/>
  <c r="E347" i="38"/>
  <c r="E18" i="38"/>
  <c r="E69" i="38"/>
  <c r="E73" i="38"/>
  <c r="E77" i="38"/>
  <c r="E129" i="38"/>
  <c r="E133" i="38"/>
  <c r="E137" i="38"/>
  <c r="E189" i="38"/>
  <c r="E193" i="38"/>
  <c r="E197" i="38"/>
  <c r="E249" i="38"/>
  <c r="E253" i="38"/>
  <c r="E257" i="38"/>
  <c r="E309" i="38"/>
  <c r="E313" i="38"/>
  <c r="E317" i="38"/>
  <c r="C38" i="38"/>
  <c r="C30" i="38"/>
  <c r="C397" i="38" s="1"/>
  <c r="D38" i="38"/>
  <c r="D30" i="38"/>
  <c r="D397" i="38" s="1"/>
  <c r="P390" i="38"/>
  <c r="O390" i="38"/>
  <c r="N390" i="38"/>
  <c r="M390" i="38"/>
  <c r="L390" i="38"/>
  <c r="K390" i="38"/>
  <c r="AA460" i="2"/>
  <c r="J376" i="38" l="1"/>
  <c r="I370" i="38"/>
  <c r="J90" i="38"/>
  <c r="J399" i="38" s="1"/>
  <c r="J368" i="38"/>
  <c r="J30" i="38"/>
  <c r="J397" i="38" s="1"/>
  <c r="J409" i="38" s="1"/>
  <c r="I368" i="38"/>
  <c r="I390" i="38" s="1"/>
  <c r="I30" i="38"/>
  <c r="I397" i="38" s="1"/>
  <c r="I409" i="38" s="1"/>
  <c r="E30" i="38"/>
  <c r="E397" i="38" s="1"/>
  <c r="F390" i="38"/>
  <c r="F409" i="38"/>
  <c r="D68" i="38"/>
  <c r="D60" i="38"/>
  <c r="D398" i="38" s="1"/>
  <c r="C68" i="38"/>
  <c r="C60" i="38"/>
  <c r="C398" i="38" s="1"/>
  <c r="E38" i="38"/>
  <c r="E60" i="38" s="1"/>
  <c r="E398" i="38" s="1"/>
  <c r="K409" i="38"/>
  <c r="L409" i="38"/>
  <c r="M409" i="38"/>
  <c r="N409" i="38"/>
  <c r="O409" i="38"/>
  <c r="P409" i="38"/>
  <c r="AB283" i="36"/>
  <c r="J390" i="38" l="1"/>
  <c r="C98" i="38"/>
  <c r="C90" i="38"/>
  <c r="C399" i="38" s="1"/>
  <c r="E68" i="38"/>
  <c r="E90" i="38" s="1"/>
  <c r="E399" i="38" s="1"/>
  <c r="D98" i="38"/>
  <c r="D90" i="38"/>
  <c r="D399" i="38" s="1"/>
  <c r="AB282" i="36"/>
  <c r="D128" i="38" l="1"/>
  <c r="D120" i="38"/>
  <c r="D400" i="38" s="1"/>
  <c r="C128" i="38"/>
  <c r="C120" i="38"/>
  <c r="C400" i="38" s="1"/>
  <c r="E98" i="38"/>
  <c r="E120" i="38" s="1"/>
  <c r="E400" i="38" s="1"/>
  <c r="AB281" i="36"/>
  <c r="C158" i="38" l="1"/>
  <c r="C150" i="38"/>
  <c r="C401" i="38" s="1"/>
  <c r="E128" i="38"/>
  <c r="E150" i="38" s="1"/>
  <c r="E401" i="38" s="1"/>
  <c r="D158" i="38"/>
  <c r="D150" i="38"/>
  <c r="D401" i="38" s="1"/>
  <c r="AB279" i="36"/>
  <c r="D188" i="38" l="1"/>
  <c r="D180" i="38"/>
  <c r="D402" i="38" s="1"/>
  <c r="C188" i="38"/>
  <c r="C180" i="38"/>
  <c r="C402" i="38" s="1"/>
  <c r="E158" i="38"/>
  <c r="E180" i="38" s="1"/>
  <c r="E402" i="38" s="1"/>
  <c r="AB275" i="36"/>
  <c r="C218" i="38" l="1"/>
  <c r="C210" i="38"/>
  <c r="C403" i="38" s="1"/>
  <c r="E188" i="38"/>
  <c r="E210" i="38" s="1"/>
  <c r="E403" i="38" s="1"/>
  <c r="D218" i="38"/>
  <c r="D210" i="38"/>
  <c r="D403" i="38" s="1"/>
  <c r="AB273" i="36"/>
  <c r="D248" i="38" l="1"/>
  <c r="D240" i="38"/>
  <c r="D404" i="38" s="1"/>
  <c r="C248" i="38"/>
  <c r="C240" i="38"/>
  <c r="C404" i="38" s="1"/>
  <c r="E218" i="38"/>
  <c r="E240" i="38" s="1"/>
  <c r="E404" i="38" s="1"/>
  <c r="AB272" i="36"/>
  <c r="C278" i="38" l="1"/>
  <c r="C270" i="38"/>
  <c r="C405" i="38" s="1"/>
  <c r="E248" i="38"/>
  <c r="E270" i="38" s="1"/>
  <c r="E405" i="38" s="1"/>
  <c r="D278" i="38"/>
  <c r="D270" i="38"/>
  <c r="D405" i="38" s="1"/>
  <c r="AB271" i="36"/>
  <c r="D308" i="38" l="1"/>
  <c r="D300" i="38"/>
  <c r="D406" i="38" s="1"/>
  <c r="C308" i="38"/>
  <c r="C300" i="38"/>
  <c r="C406" i="38" s="1"/>
  <c r="E278" i="38"/>
  <c r="E300" i="38" s="1"/>
  <c r="E406" i="38" s="1"/>
  <c r="AB269" i="36"/>
  <c r="C338" i="38" l="1"/>
  <c r="C330" i="38"/>
  <c r="C407" i="38" s="1"/>
  <c r="E308" i="38"/>
  <c r="E330" i="38" s="1"/>
  <c r="E407" i="38" s="1"/>
  <c r="D338" i="38"/>
  <c r="D330" i="38"/>
  <c r="D407" i="38" s="1"/>
  <c r="D284" i="36"/>
  <c r="E284" i="36"/>
  <c r="F284" i="36"/>
  <c r="G284" i="36"/>
  <c r="H284" i="36"/>
  <c r="I284" i="36"/>
  <c r="J284" i="36"/>
  <c r="K284" i="36"/>
  <c r="L284" i="36"/>
  <c r="M284" i="36"/>
  <c r="N284" i="36"/>
  <c r="O284" i="36"/>
  <c r="P284" i="36"/>
  <c r="Q284" i="36"/>
  <c r="R284" i="36"/>
  <c r="S284" i="36"/>
  <c r="T284" i="36"/>
  <c r="U284" i="36"/>
  <c r="V284" i="36"/>
  <c r="W284" i="36"/>
  <c r="X284" i="36"/>
  <c r="Y284" i="36"/>
  <c r="Z284" i="36"/>
  <c r="AA284" i="36"/>
  <c r="AC284" i="36"/>
  <c r="AD284" i="36"/>
  <c r="AE284" i="36"/>
  <c r="AF284" i="36"/>
  <c r="AG284" i="36"/>
  <c r="AH284" i="36"/>
  <c r="AI284" i="36"/>
  <c r="AJ284" i="36"/>
  <c r="AK284" i="36"/>
  <c r="AL284" i="36"/>
  <c r="AM284" i="36"/>
  <c r="AN284" i="36"/>
  <c r="C284" i="36"/>
  <c r="D260" i="36"/>
  <c r="E260" i="36"/>
  <c r="F260" i="36"/>
  <c r="G260" i="36"/>
  <c r="H260" i="36"/>
  <c r="I260" i="36"/>
  <c r="J260" i="36"/>
  <c r="K260" i="36"/>
  <c r="L260" i="36"/>
  <c r="M260" i="36"/>
  <c r="N260" i="36"/>
  <c r="O260" i="36"/>
  <c r="P260" i="36"/>
  <c r="Q260" i="36"/>
  <c r="R260" i="36"/>
  <c r="S260" i="36"/>
  <c r="T260" i="36"/>
  <c r="U260" i="36"/>
  <c r="V260" i="36"/>
  <c r="W260" i="36"/>
  <c r="X260" i="36"/>
  <c r="Y260" i="36"/>
  <c r="Z260" i="36"/>
  <c r="AA260" i="36"/>
  <c r="AC260" i="36"/>
  <c r="AD260" i="36"/>
  <c r="AE260" i="36"/>
  <c r="AF260" i="36"/>
  <c r="AG260" i="36"/>
  <c r="AH260" i="36"/>
  <c r="AI260" i="36"/>
  <c r="AJ260" i="36"/>
  <c r="AK260" i="36"/>
  <c r="AL260" i="36"/>
  <c r="AM260" i="36"/>
  <c r="AN260" i="36"/>
  <c r="C260" i="36"/>
  <c r="D368" i="38" l="1"/>
  <c r="D390" i="38" s="1"/>
  <c r="D360" i="38"/>
  <c r="D408" i="38" s="1"/>
  <c r="D409" i="38" s="1"/>
  <c r="C368" i="38"/>
  <c r="C360" i="38"/>
  <c r="E338" i="38"/>
  <c r="AB258" i="36"/>
  <c r="AB259" i="36"/>
  <c r="AB270" i="36"/>
  <c r="AB274" i="36"/>
  <c r="AB276" i="36"/>
  <c r="AB277" i="36"/>
  <c r="AB278" i="36"/>
  <c r="AB280" i="36"/>
  <c r="E360" i="38" l="1"/>
  <c r="E408" i="38" s="1"/>
  <c r="E409" i="38" s="1"/>
  <c r="C408" i="38"/>
  <c r="C409" i="38" s="1"/>
  <c r="C390" i="38"/>
  <c r="E368" i="38"/>
  <c r="E390" i="38" s="1"/>
  <c r="AB252" i="36"/>
  <c r="AB253" i="36"/>
  <c r="AB254" i="36"/>
  <c r="AB255" i="36"/>
  <c r="AB256" i="36"/>
  <c r="AB257" i="36"/>
  <c r="AB246" i="36" l="1"/>
  <c r="AB247" i="36"/>
  <c r="AB248" i="36"/>
  <c r="AB249" i="36"/>
  <c r="AB250" i="36"/>
  <c r="AB251" i="36"/>
  <c r="AB245" i="36"/>
  <c r="AB260" i="36" l="1"/>
  <c r="D236" i="36"/>
  <c r="E236" i="36"/>
  <c r="F236" i="36"/>
  <c r="G236" i="36"/>
  <c r="H236" i="36"/>
  <c r="I236" i="36"/>
  <c r="J236" i="36"/>
  <c r="K236" i="36"/>
  <c r="L236" i="36"/>
  <c r="M236" i="36"/>
  <c r="N236" i="36"/>
  <c r="O236" i="36"/>
  <c r="P236" i="36"/>
  <c r="Q236" i="36"/>
  <c r="R236" i="36"/>
  <c r="S236" i="36"/>
  <c r="T236" i="36"/>
  <c r="U236" i="36"/>
  <c r="V236" i="36"/>
  <c r="W236" i="36"/>
  <c r="X236" i="36"/>
  <c r="Y236" i="36"/>
  <c r="Z236" i="36"/>
  <c r="AA236" i="36"/>
  <c r="AC236" i="36"/>
  <c r="AD236" i="36"/>
  <c r="AE236" i="36"/>
  <c r="AF236" i="36"/>
  <c r="AG236" i="36"/>
  <c r="AH236" i="36"/>
  <c r="AI236" i="36"/>
  <c r="AJ236" i="36"/>
  <c r="AK236" i="36"/>
  <c r="AL236" i="36"/>
  <c r="AM236" i="36"/>
  <c r="AN236" i="36"/>
  <c r="C236" i="36"/>
  <c r="AB222" i="36"/>
  <c r="AB223" i="36"/>
  <c r="AB224" i="36"/>
  <c r="AB225" i="36"/>
  <c r="AB226" i="36"/>
  <c r="AB227" i="36"/>
  <c r="AB228" i="36"/>
  <c r="AB229" i="36"/>
  <c r="AB230" i="36"/>
  <c r="AB231" i="36"/>
  <c r="AB232" i="36"/>
  <c r="AB233" i="36"/>
  <c r="AB234" i="36"/>
  <c r="AB235" i="36"/>
  <c r="AB221" i="36"/>
  <c r="AB236" i="36" l="1"/>
  <c r="AA212" i="36"/>
  <c r="AB205" i="36" l="1"/>
  <c r="AB206" i="36"/>
  <c r="AB207" i="36"/>
  <c r="AB208" i="36"/>
  <c r="AB209" i="36"/>
  <c r="AB211" i="36"/>
  <c r="C212" i="36"/>
  <c r="D212" i="36"/>
  <c r="E212" i="36"/>
  <c r="F212" i="36"/>
  <c r="G212" i="36"/>
  <c r="H212" i="36"/>
  <c r="I212" i="36"/>
  <c r="J212" i="36"/>
  <c r="K212" i="36"/>
  <c r="L212" i="36"/>
  <c r="M212" i="36"/>
  <c r="N212" i="36"/>
  <c r="O212" i="36"/>
  <c r="P212" i="36"/>
  <c r="Q212" i="36"/>
  <c r="R212" i="36"/>
  <c r="S212" i="36"/>
  <c r="T212" i="36"/>
  <c r="U212" i="36"/>
  <c r="V212" i="36"/>
  <c r="W212" i="36"/>
  <c r="X212" i="36"/>
  <c r="Y212" i="36"/>
  <c r="Z212" i="36"/>
  <c r="AC212" i="36"/>
  <c r="AD212" i="36"/>
  <c r="AE212" i="36"/>
  <c r="AF212" i="36"/>
  <c r="AG212" i="36"/>
  <c r="AH212" i="36"/>
  <c r="AI212" i="36"/>
  <c r="AJ212" i="36"/>
  <c r="AK212" i="36"/>
  <c r="AL212" i="36"/>
  <c r="AM212" i="36"/>
  <c r="AN212" i="36"/>
  <c r="AB200" i="36" l="1"/>
  <c r="AB201" i="36"/>
  <c r="AB202" i="36"/>
  <c r="AB203" i="36"/>
  <c r="AB204" i="36"/>
  <c r="AB198" i="36" l="1"/>
  <c r="AB199" i="36"/>
  <c r="AB197" i="36"/>
  <c r="AA188" i="36"/>
  <c r="Z188" i="36"/>
  <c r="Y188" i="36"/>
  <c r="X188" i="36"/>
  <c r="W188" i="36"/>
  <c r="V188" i="36"/>
  <c r="U188" i="36"/>
  <c r="T188" i="36"/>
  <c r="S188" i="36"/>
  <c r="R188" i="36"/>
  <c r="Q188" i="36"/>
  <c r="P188" i="36"/>
  <c r="O188" i="36"/>
  <c r="N188" i="36"/>
  <c r="M188" i="36"/>
  <c r="L188" i="36"/>
  <c r="K188" i="36"/>
  <c r="J188" i="36"/>
  <c r="I188" i="36"/>
  <c r="G188" i="36"/>
  <c r="E188" i="36"/>
  <c r="D188" i="36"/>
  <c r="AB212" i="36" l="1"/>
  <c r="AB184" i="36"/>
  <c r="AB174" i="36" l="1"/>
  <c r="AB175" i="36"/>
  <c r="AB176" i="36"/>
  <c r="AB177" i="36"/>
  <c r="AB178" i="36"/>
  <c r="AB179" i="36"/>
  <c r="AB181" i="36"/>
  <c r="AB182" i="36"/>
  <c r="AB183" i="36"/>
  <c r="AB185" i="36"/>
  <c r="AB173" i="36"/>
  <c r="AC164" i="36" l="1"/>
  <c r="AD164" i="36"/>
  <c r="AE164" i="36"/>
  <c r="AF164" i="36"/>
  <c r="AG164" i="36"/>
  <c r="AH164" i="36"/>
  <c r="AI164" i="36"/>
  <c r="AJ164" i="36"/>
  <c r="AK164" i="36"/>
  <c r="AL164" i="36"/>
  <c r="AM164" i="36"/>
  <c r="AN164" i="36"/>
  <c r="AB154" i="36"/>
  <c r="AB155" i="36"/>
  <c r="AB156" i="36"/>
  <c r="AB157" i="36"/>
  <c r="AB158" i="36"/>
  <c r="AB159" i="36"/>
  <c r="AB160" i="36"/>
  <c r="AB161" i="36"/>
  <c r="AB162" i="36"/>
  <c r="AB163" i="36"/>
  <c r="AA164" i="36"/>
  <c r="AB153" i="36" l="1"/>
  <c r="C164" i="36"/>
  <c r="D164" i="36"/>
  <c r="E164" i="36"/>
  <c r="F164" i="36"/>
  <c r="G164" i="36"/>
  <c r="H164" i="36"/>
  <c r="I164" i="36"/>
  <c r="J164" i="36"/>
  <c r="K164" i="36"/>
  <c r="L164" i="36"/>
  <c r="M164" i="36"/>
  <c r="N164" i="36"/>
  <c r="O164" i="36"/>
  <c r="P164" i="36"/>
  <c r="Q164" i="36"/>
  <c r="R164" i="36"/>
  <c r="S164" i="36"/>
  <c r="T164" i="36"/>
  <c r="U164" i="36"/>
  <c r="V164" i="36"/>
  <c r="W164" i="36"/>
  <c r="X164" i="36"/>
  <c r="Y164" i="36"/>
  <c r="Z164" i="36"/>
  <c r="AB150" i="36" l="1"/>
  <c r="AB151" i="36"/>
  <c r="AB152" i="36"/>
  <c r="AB149" i="36"/>
  <c r="AB164" i="36" s="1"/>
  <c r="D221" i="35"/>
  <c r="E221" i="35"/>
  <c r="F221" i="35"/>
  <c r="G221" i="35"/>
  <c r="H221" i="35"/>
  <c r="I221" i="35"/>
  <c r="J221" i="35"/>
  <c r="K221" i="35"/>
  <c r="L221" i="35"/>
  <c r="M221" i="35"/>
  <c r="N221" i="35"/>
  <c r="O221" i="35"/>
  <c r="P221" i="35"/>
  <c r="Q221" i="35"/>
  <c r="R221" i="35"/>
  <c r="S221" i="35"/>
  <c r="T221" i="35"/>
  <c r="U221" i="35"/>
  <c r="V221" i="35"/>
  <c r="W221" i="35"/>
  <c r="X221" i="35"/>
  <c r="Y221" i="35"/>
  <c r="Z221" i="35"/>
  <c r="AA221" i="35"/>
  <c r="AB221" i="35"/>
  <c r="AC221" i="35"/>
  <c r="AD221" i="35"/>
  <c r="AE221" i="35"/>
  <c r="AF221" i="35"/>
  <c r="AG221" i="35"/>
  <c r="AH221" i="35"/>
  <c r="AI221" i="35"/>
  <c r="D222" i="35"/>
  <c r="E222" i="35"/>
  <c r="F222" i="35"/>
  <c r="G222" i="35"/>
  <c r="H222" i="35"/>
  <c r="I222" i="35"/>
  <c r="J222" i="35"/>
  <c r="K222" i="35"/>
  <c r="L222" i="35"/>
  <c r="M222" i="35"/>
  <c r="N222" i="35"/>
  <c r="O222" i="35"/>
  <c r="P222" i="35"/>
  <c r="Q222" i="35"/>
  <c r="R222" i="35"/>
  <c r="S222" i="35"/>
  <c r="T222" i="35"/>
  <c r="U222" i="35"/>
  <c r="V222" i="35"/>
  <c r="W222" i="35"/>
  <c r="X222" i="35"/>
  <c r="Y222" i="35"/>
  <c r="Z222" i="35"/>
  <c r="AA222" i="35"/>
  <c r="AB222" i="35"/>
  <c r="AC222" i="35"/>
  <c r="AD222" i="35"/>
  <c r="AE222" i="35"/>
  <c r="AF222" i="35"/>
  <c r="AG222" i="35"/>
  <c r="AH222" i="35"/>
  <c r="AI222" i="35"/>
  <c r="D223" i="35"/>
  <c r="E223" i="35"/>
  <c r="F223" i="35"/>
  <c r="G223" i="35"/>
  <c r="H223" i="35"/>
  <c r="I223" i="35"/>
  <c r="J223" i="35"/>
  <c r="K223" i="35"/>
  <c r="L223" i="35"/>
  <c r="M223" i="35"/>
  <c r="N223" i="35"/>
  <c r="O223" i="35"/>
  <c r="P223" i="35"/>
  <c r="Q223" i="35"/>
  <c r="R223" i="35"/>
  <c r="S223" i="35"/>
  <c r="T223" i="35"/>
  <c r="U223" i="35"/>
  <c r="V223" i="35"/>
  <c r="W223" i="35"/>
  <c r="X223" i="35"/>
  <c r="Y223" i="35"/>
  <c r="Z223" i="35"/>
  <c r="AA223" i="35"/>
  <c r="AB223" i="35"/>
  <c r="AC223" i="35"/>
  <c r="AD223" i="35"/>
  <c r="AE223" i="35"/>
  <c r="AF223" i="35"/>
  <c r="AG223" i="35"/>
  <c r="AH223" i="35"/>
  <c r="AI223" i="35"/>
  <c r="D224" i="35"/>
  <c r="E224" i="35"/>
  <c r="F224" i="35"/>
  <c r="G224" i="35"/>
  <c r="H224" i="35"/>
  <c r="I224" i="35"/>
  <c r="J224" i="35"/>
  <c r="K224" i="35"/>
  <c r="L224" i="35"/>
  <c r="M224" i="35"/>
  <c r="N224" i="35"/>
  <c r="O224" i="35"/>
  <c r="P224" i="35"/>
  <c r="Q224" i="35"/>
  <c r="R224" i="35"/>
  <c r="S224" i="35"/>
  <c r="T224" i="35"/>
  <c r="U224" i="35"/>
  <c r="V224" i="35"/>
  <c r="W224" i="35"/>
  <c r="X224" i="35"/>
  <c r="Y224" i="35"/>
  <c r="Z224" i="35"/>
  <c r="AA224" i="35"/>
  <c r="AB224" i="35"/>
  <c r="AC224" i="35"/>
  <c r="AD224" i="35"/>
  <c r="AE224" i="35"/>
  <c r="AF224" i="35"/>
  <c r="AG224" i="35"/>
  <c r="AH224" i="35"/>
  <c r="AI224" i="35"/>
  <c r="D225" i="35"/>
  <c r="E225" i="35"/>
  <c r="F225" i="35"/>
  <c r="G225" i="35"/>
  <c r="H225" i="35"/>
  <c r="I225" i="35"/>
  <c r="J225" i="35"/>
  <c r="K225" i="35"/>
  <c r="L225" i="35"/>
  <c r="M225" i="35"/>
  <c r="N225" i="35"/>
  <c r="O225" i="35"/>
  <c r="P225" i="35"/>
  <c r="Q225" i="35"/>
  <c r="R225" i="35"/>
  <c r="S225" i="35"/>
  <c r="T225" i="35"/>
  <c r="U225" i="35"/>
  <c r="V225" i="35"/>
  <c r="W225" i="35"/>
  <c r="X225" i="35"/>
  <c r="Y225" i="35"/>
  <c r="Z225" i="35"/>
  <c r="AA225" i="35"/>
  <c r="AB225" i="35"/>
  <c r="AC225" i="35"/>
  <c r="AD225" i="35"/>
  <c r="AE225" i="35"/>
  <c r="AF225" i="35"/>
  <c r="AG225" i="35"/>
  <c r="AH225" i="35"/>
  <c r="AI225" i="35"/>
  <c r="D226" i="35"/>
  <c r="E226" i="35"/>
  <c r="F226" i="35"/>
  <c r="G226" i="35"/>
  <c r="H226" i="35"/>
  <c r="I226" i="35"/>
  <c r="J226" i="35"/>
  <c r="K226" i="35"/>
  <c r="L226" i="35"/>
  <c r="M226" i="35"/>
  <c r="N226" i="35"/>
  <c r="O226" i="35"/>
  <c r="P226" i="35"/>
  <c r="Q226" i="35"/>
  <c r="R226" i="35"/>
  <c r="S226" i="35"/>
  <c r="T226" i="35"/>
  <c r="U226" i="35"/>
  <c r="V226" i="35"/>
  <c r="W226" i="35"/>
  <c r="X226" i="35"/>
  <c r="Y226" i="35"/>
  <c r="Z226" i="35"/>
  <c r="AA226" i="35"/>
  <c r="AB226" i="35"/>
  <c r="AC226" i="35"/>
  <c r="AD226" i="35"/>
  <c r="AE226" i="35"/>
  <c r="AF226" i="35"/>
  <c r="AG226" i="35"/>
  <c r="AH226" i="35"/>
  <c r="AI226" i="35"/>
  <c r="D227" i="35"/>
  <c r="E227" i="35"/>
  <c r="F227" i="35"/>
  <c r="G227" i="35"/>
  <c r="H227" i="35"/>
  <c r="I227" i="35"/>
  <c r="J227" i="35"/>
  <c r="K227" i="35"/>
  <c r="L227" i="35"/>
  <c r="M227" i="35"/>
  <c r="N227" i="35"/>
  <c r="O227" i="35"/>
  <c r="P227" i="35"/>
  <c r="Q227" i="35"/>
  <c r="R227" i="35"/>
  <c r="S227" i="35"/>
  <c r="T227" i="35"/>
  <c r="U227" i="35"/>
  <c r="V227" i="35"/>
  <c r="W227" i="35"/>
  <c r="X227" i="35"/>
  <c r="Y227" i="35"/>
  <c r="Z227" i="35"/>
  <c r="AA227" i="35"/>
  <c r="AB227" i="35"/>
  <c r="AC227" i="35"/>
  <c r="AD227" i="35"/>
  <c r="AE227" i="35"/>
  <c r="AF227" i="35"/>
  <c r="AG227" i="35"/>
  <c r="AH227" i="35"/>
  <c r="AI227" i="35"/>
  <c r="D228" i="35"/>
  <c r="E228" i="35"/>
  <c r="F228" i="35"/>
  <c r="G228" i="35"/>
  <c r="H228" i="35"/>
  <c r="I228" i="35"/>
  <c r="J228" i="35"/>
  <c r="K228" i="35"/>
  <c r="L228" i="35"/>
  <c r="M228" i="35"/>
  <c r="N228" i="35"/>
  <c r="O228" i="35"/>
  <c r="P228" i="35"/>
  <c r="Q228" i="35"/>
  <c r="R228" i="35"/>
  <c r="S228" i="35"/>
  <c r="T228" i="35"/>
  <c r="U228" i="35"/>
  <c r="V228" i="35"/>
  <c r="W228" i="35"/>
  <c r="X228" i="35"/>
  <c r="Y228" i="35"/>
  <c r="Z228" i="35"/>
  <c r="AA228" i="35"/>
  <c r="AB228" i="35"/>
  <c r="AC228" i="35"/>
  <c r="AD228" i="35"/>
  <c r="AE228" i="35"/>
  <c r="AF228" i="35"/>
  <c r="AG228" i="35"/>
  <c r="AH228" i="35"/>
  <c r="AI228" i="35"/>
  <c r="D229" i="35"/>
  <c r="E229" i="35"/>
  <c r="F229" i="35"/>
  <c r="G229" i="35"/>
  <c r="H229" i="35"/>
  <c r="I229" i="35"/>
  <c r="J229" i="35"/>
  <c r="K229" i="35"/>
  <c r="L229" i="35"/>
  <c r="M229" i="35"/>
  <c r="N229" i="35"/>
  <c r="O229" i="35"/>
  <c r="P229" i="35"/>
  <c r="Q229" i="35"/>
  <c r="R229" i="35"/>
  <c r="S229" i="35"/>
  <c r="T229" i="35"/>
  <c r="U229" i="35"/>
  <c r="V229" i="35"/>
  <c r="W229" i="35"/>
  <c r="X229" i="35"/>
  <c r="Y229" i="35"/>
  <c r="Z229" i="35"/>
  <c r="AA229" i="35"/>
  <c r="AB229" i="35"/>
  <c r="AC229" i="35"/>
  <c r="AD229" i="35"/>
  <c r="AE229" i="35"/>
  <c r="AF229" i="35"/>
  <c r="AG229" i="35"/>
  <c r="AH229" i="35"/>
  <c r="AI229" i="35"/>
  <c r="D230" i="35"/>
  <c r="E230" i="35"/>
  <c r="F230" i="35"/>
  <c r="G230" i="35"/>
  <c r="H230" i="35"/>
  <c r="I230" i="35"/>
  <c r="J230" i="35"/>
  <c r="K230" i="35"/>
  <c r="L230" i="35"/>
  <c r="M230" i="35"/>
  <c r="N230" i="35"/>
  <c r="O230" i="35"/>
  <c r="P230" i="35"/>
  <c r="Q230" i="35"/>
  <c r="R230" i="35"/>
  <c r="S230" i="35"/>
  <c r="T230" i="35"/>
  <c r="U230" i="35"/>
  <c r="V230" i="35"/>
  <c r="W230" i="35"/>
  <c r="X230" i="35"/>
  <c r="Y230" i="35"/>
  <c r="Z230" i="35"/>
  <c r="AA230" i="35"/>
  <c r="AB230" i="35"/>
  <c r="AC230" i="35"/>
  <c r="AD230" i="35"/>
  <c r="AE230" i="35"/>
  <c r="AF230" i="35"/>
  <c r="AG230" i="35"/>
  <c r="AH230" i="35"/>
  <c r="AI230" i="35"/>
  <c r="D231" i="35"/>
  <c r="E231" i="35"/>
  <c r="F231" i="35"/>
  <c r="G231" i="35"/>
  <c r="H231" i="35"/>
  <c r="I231" i="35"/>
  <c r="J231" i="35"/>
  <c r="K231" i="35"/>
  <c r="L231" i="35"/>
  <c r="M231" i="35"/>
  <c r="N231" i="35"/>
  <c r="O231" i="35"/>
  <c r="P231" i="35"/>
  <c r="Q231" i="35"/>
  <c r="R231" i="35"/>
  <c r="S231" i="35"/>
  <c r="T231" i="35"/>
  <c r="U231" i="35"/>
  <c r="V231" i="35"/>
  <c r="W231" i="35"/>
  <c r="X231" i="35"/>
  <c r="Y231" i="35"/>
  <c r="Z231" i="35"/>
  <c r="AA231" i="35"/>
  <c r="AB231" i="35"/>
  <c r="AC231" i="35"/>
  <c r="AD231" i="35"/>
  <c r="AE231" i="35"/>
  <c r="AF231" i="35"/>
  <c r="AG231" i="35"/>
  <c r="AH231" i="35"/>
  <c r="AI231" i="35"/>
  <c r="D232" i="35"/>
  <c r="E232" i="35"/>
  <c r="F232" i="35"/>
  <c r="G232" i="35"/>
  <c r="H232" i="35"/>
  <c r="I232" i="35"/>
  <c r="J232" i="35"/>
  <c r="K232" i="35"/>
  <c r="L232" i="35"/>
  <c r="M232" i="35"/>
  <c r="N232" i="35"/>
  <c r="O232" i="35"/>
  <c r="P232" i="35"/>
  <c r="Q232" i="35"/>
  <c r="R232" i="35"/>
  <c r="S232" i="35"/>
  <c r="T232" i="35"/>
  <c r="U232" i="35"/>
  <c r="V232" i="35"/>
  <c r="W232" i="35"/>
  <c r="X232" i="35"/>
  <c r="Y232" i="35"/>
  <c r="Z232" i="35"/>
  <c r="AA232" i="35"/>
  <c r="AB232" i="35"/>
  <c r="AC232" i="35"/>
  <c r="AD232" i="35"/>
  <c r="AE232" i="35"/>
  <c r="AF232" i="35"/>
  <c r="AG232" i="35"/>
  <c r="AH232" i="35"/>
  <c r="AI232" i="35"/>
  <c r="D233" i="35"/>
  <c r="E233" i="35"/>
  <c r="F233" i="35"/>
  <c r="G233" i="35"/>
  <c r="H233" i="35"/>
  <c r="I233" i="35"/>
  <c r="J233" i="35"/>
  <c r="K233" i="35"/>
  <c r="L233" i="35"/>
  <c r="M233" i="35"/>
  <c r="N233" i="35"/>
  <c r="O233" i="35"/>
  <c r="P233" i="35"/>
  <c r="Q233" i="35"/>
  <c r="R233" i="35"/>
  <c r="S233" i="35"/>
  <c r="T233" i="35"/>
  <c r="U233" i="35"/>
  <c r="V233" i="35"/>
  <c r="W233" i="35"/>
  <c r="X233" i="35"/>
  <c r="Y233" i="35"/>
  <c r="Z233" i="35"/>
  <c r="AA233" i="35"/>
  <c r="AB233" i="35"/>
  <c r="AC233" i="35"/>
  <c r="AD233" i="35"/>
  <c r="AE233" i="35"/>
  <c r="AF233" i="35"/>
  <c r="AG233" i="35"/>
  <c r="AH233" i="35"/>
  <c r="AI233" i="35"/>
  <c r="D234" i="35"/>
  <c r="E234" i="35"/>
  <c r="F234" i="35"/>
  <c r="G234" i="35"/>
  <c r="H234" i="35"/>
  <c r="I234" i="35"/>
  <c r="J234" i="35"/>
  <c r="K234" i="35"/>
  <c r="L234" i="35"/>
  <c r="M234" i="35"/>
  <c r="N234" i="35"/>
  <c r="O234" i="35"/>
  <c r="P234" i="35"/>
  <c r="Q234" i="35"/>
  <c r="R234" i="35"/>
  <c r="S234" i="35"/>
  <c r="T234" i="35"/>
  <c r="U234" i="35"/>
  <c r="V234" i="35"/>
  <c r="W234" i="35"/>
  <c r="X234" i="35"/>
  <c r="Y234" i="35"/>
  <c r="Z234" i="35"/>
  <c r="AA234" i="35"/>
  <c r="AB234" i="35"/>
  <c r="AC234" i="35"/>
  <c r="AD234" i="35"/>
  <c r="AE234" i="35"/>
  <c r="AF234" i="35"/>
  <c r="AG234" i="35"/>
  <c r="AH234" i="35"/>
  <c r="AI234" i="35"/>
  <c r="D235" i="35"/>
  <c r="E235" i="35"/>
  <c r="F235" i="35"/>
  <c r="G235" i="35"/>
  <c r="H235" i="35"/>
  <c r="I235" i="35"/>
  <c r="J235" i="35"/>
  <c r="K235" i="35"/>
  <c r="L235" i="35"/>
  <c r="M235" i="35"/>
  <c r="N235" i="35"/>
  <c r="O235" i="35"/>
  <c r="P235" i="35"/>
  <c r="Q235" i="35"/>
  <c r="R235" i="35"/>
  <c r="S235" i="35"/>
  <c r="T235" i="35"/>
  <c r="U235" i="35"/>
  <c r="V235" i="35"/>
  <c r="W235" i="35"/>
  <c r="X235" i="35"/>
  <c r="Y235" i="35"/>
  <c r="Z235" i="35"/>
  <c r="AA235" i="35"/>
  <c r="AB235" i="35"/>
  <c r="AC235" i="35"/>
  <c r="AD235" i="35"/>
  <c r="AE235" i="35"/>
  <c r="AF235" i="35"/>
  <c r="AG235" i="35"/>
  <c r="AH235" i="35"/>
  <c r="AI235" i="35"/>
  <c r="D236" i="35"/>
  <c r="E236" i="35"/>
  <c r="F236" i="35"/>
  <c r="G236" i="35"/>
  <c r="H236" i="35"/>
  <c r="I236" i="35"/>
  <c r="J236" i="35"/>
  <c r="K236" i="35"/>
  <c r="L236" i="35"/>
  <c r="M236" i="35"/>
  <c r="N236" i="35"/>
  <c r="O236" i="35"/>
  <c r="P236" i="35"/>
  <c r="Q236" i="35"/>
  <c r="R236" i="35"/>
  <c r="S236" i="35"/>
  <c r="T236" i="35"/>
  <c r="U236" i="35"/>
  <c r="V236" i="35"/>
  <c r="W236" i="35"/>
  <c r="X236" i="35"/>
  <c r="Y236" i="35"/>
  <c r="Z236" i="35"/>
  <c r="AA236" i="35"/>
  <c r="AB236" i="35"/>
  <c r="AC236" i="35"/>
  <c r="AD236" i="35"/>
  <c r="AE236" i="35"/>
  <c r="AF236" i="35"/>
  <c r="AG236" i="35"/>
  <c r="AH236" i="35"/>
  <c r="AI236" i="35"/>
  <c r="D237" i="35"/>
  <c r="E237" i="35"/>
  <c r="F237" i="35"/>
  <c r="G237" i="35"/>
  <c r="H237" i="35"/>
  <c r="I237" i="35"/>
  <c r="J237" i="35"/>
  <c r="K237" i="35"/>
  <c r="L237" i="35"/>
  <c r="M237" i="35"/>
  <c r="N237" i="35"/>
  <c r="O237" i="35"/>
  <c r="P237" i="35"/>
  <c r="Q237" i="35"/>
  <c r="R237" i="35"/>
  <c r="S237" i="35"/>
  <c r="T237" i="35"/>
  <c r="U237" i="35"/>
  <c r="V237" i="35"/>
  <c r="W237" i="35"/>
  <c r="X237" i="35"/>
  <c r="Y237" i="35"/>
  <c r="Z237" i="35"/>
  <c r="AA237" i="35"/>
  <c r="AB237" i="35"/>
  <c r="AC237" i="35"/>
  <c r="AD237" i="35"/>
  <c r="AE237" i="35"/>
  <c r="AF237" i="35"/>
  <c r="AG237" i="35"/>
  <c r="AH237" i="35"/>
  <c r="AI237" i="35"/>
  <c r="D238" i="35"/>
  <c r="E238" i="35"/>
  <c r="F238" i="35"/>
  <c r="G238" i="35"/>
  <c r="H238" i="35"/>
  <c r="I238" i="35"/>
  <c r="J238" i="35"/>
  <c r="K238" i="35"/>
  <c r="L238" i="35"/>
  <c r="M238" i="35"/>
  <c r="N238" i="35"/>
  <c r="O238" i="35"/>
  <c r="P238" i="35"/>
  <c r="Q238" i="35"/>
  <c r="R238" i="35"/>
  <c r="S238" i="35"/>
  <c r="T238" i="35"/>
  <c r="U238" i="35"/>
  <c r="V238" i="35"/>
  <c r="W238" i="35"/>
  <c r="X238" i="35"/>
  <c r="Y238" i="35"/>
  <c r="Z238" i="35"/>
  <c r="AA238" i="35"/>
  <c r="AB238" i="35"/>
  <c r="AC238" i="35"/>
  <c r="AD238" i="35"/>
  <c r="AE238" i="35"/>
  <c r="AF238" i="35"/>
  <c r="AG238" i="35"/>
  <c r="AH238" i="35"/>
  <c r="AI238" i="35"/>
  <c r="D239" i="35"/>
  <c r="E239" i="35"/>
  <c r="F239" i="35"/>
  <c r="G239" i="35"/>
  <c r="H239" i="35"/>
  <c r="I239" i="35"/>
  <c r="J239" i="35"/>
  <c r="K239" i="35"/>
  <c r="L239" i="35"/>
  <c r="M239" i="35"/>
  <c r="N239" i="35"/>
  <c r="O239" i="35"/>
  <c r="P239" i="35"/>
  <c r="Q239" i="35"/>
  <c r="R239" i="35"/>
  <c r="S239" i="35"/>
  <c r="T239" i="35"/>
  <c r="U239" i="35"/>
  <c r="V239" i="35"/>
  <c r="W239" i="35"/>
  <c r="X239" i="35"/>
  <c r="Y239" i="35"/>
  <c r="Z239" i="35"/>
  <c r="AA239" i="35"/>
  <c r="AB239" i="35"/>
  <c r="AC239" i="35"/>
  <c r="AD239" i="35"/>
  <c r="AE239" i="35"/>
  <c r="AF239" i="35"/>
  <c r="AG239" i="35"/>
  <c r="AH239" i="35"/>
  <c r="AI239" i="35"/>
  <c r="D240" i="35"/>
  <c r="E240" i="35"/>
  <c r="F240" i="35"/>
  <c r="G240" i="35"/>
  <c r="H240" i="35"/>
  <c r="I240" i="35"/>
  <c r="J240" i="35"/>
  <c r="K240" i="35"/>
  <c r="L240" i="35"/>
  <c r="M240" i="35"/>
  <c r="N240" i="35"/>
  <c r="O240" i="35"/>
  <c r="P240" i="35"/>
  <c r="Q240" i="35"/>
  <c r="R240" i="35"/>
  <c r="S240" i="35"/>
  <c r="T240" i="35"/>
  <c r="U240" i="35"/>
  <c r="V240" i="35"/>
  <c r="W240" i="35"/>
  <c r="X240" i="35"/>
  <c r="Y240" i="35"/>
  <c r="Z240" i="35"/>
  <c r="AA240" i="35"/>
  <c r="AB240" i="35"/>
  <c r="AC240" i="35"/>
  <c r="AD240" i="35"/>
  <c r="AE240" i="35"/>
  <c r="AF240" i="35"/>
  <c r="AG240" i="35"/>
  <c r="AH240" i="35"/>
  <c r="AI240" i="35"/>
  <c r="D241" i="35"/>
  <c r="E241" i="35"/>
  <c r="F241" i="35"/>
  <c r="G241" i="35"/>
  <c r="H241" i="35"/>
  <c r="I241" i="35"/>
  <c r="J241" i="35"/>
  <c r="K241" i="35"/>
  <c r="L241" i="35"/>
  <c r="M241" i="35"/>
  <c r="N241" i="35"/>
  <c r="O241" i="35"/>
  <c r="P241" i="35"/>
  <c r="Q241" i="35"/>
  <c r="R241" i="35"/>
  <c r="S241" i="35"/>
  <c r="T241" i="35"/>
  <c r="U241" i="35"/>
  <c r="V241" i="35"/>
  <c r="W241" i="35"/>
  <c r="X241" i="35"/>
  <c r="Y241" i="35"/>
  <c r="Z241" i="35"/>
  <c r="AA241" i="35"/>
  <c r="AB241" i="35"/>
  <c r="AC241" i="35"/>
  <c r="AD241" i="35"/>
  <c r="AE241" i="35"/>
  <c r="AF241" i="35"/>
  <c r="AG241" i="35"/>
  <c r="AH241" i="35"/>
  <c r="AI241" i="35"/>
  <c r="D242" i="35"/>
  <c r="E242" i="35"/>
  <c r="F242" i="35"/>
  <c r="G242" i="35"/>
  <c r="H242" i="35"/>
  <c r="I242" i="35"/>
  <c r="J242" i="35"/>
  <c r="K242" i="35"/>
  <c r="L242" i="35"/>
  <c r="M242" i="35"/>
  <c r="N242" i="35"/>
  <c r="O242" i="35"/>
  <c r="P242" i="35"/>
  <c r="Q242" i="35"/>
  <c r="R242" i="35"/>
  <c r="S242" i="35"/>
  <c r="T242" i="35"/>
  <c r="U242" i="35"/>
  <c r="V242" i="35"/>
  <c r="W242" i="35"/>
  <c r="X242" i="35"/>
  <c r="Y242" i="35"/>
  <c r="Z242" i="35"/>
  <c r="AA242" i="35"/>
  <c r="AB242" i="35"/>
  <c r="AC242" i="35"/>
  <c r="AD242" i="35"/>
  <c r="AE242" i="35"/>
  <c r="AF242" i="35"/>
  <c r="AG242" i="35"/>
  <c r="AH242" i="35"/>
  <c r="AI242" i="35"/>
  <c r="C222" i="35"/>
  <c r="C223" i="35"/>
  <c r="C224" i="35"/>
  <c r="C225" i="35"/>
  <c r="C226" i="35"/>
  <c r="C227" i="35"/>
  <c r="C228" i="35"/>
  <c r="C229" i="35"/>
  <c r="C230" i="35"/>
  <c r="C231" i="35"/>
  <c r="C232" i="35"/>
  <c r="C233" i="35"/>
  <c r="C234" i="35"/>
  <c r="C235" i="35"/>
  <c r="C236" i="35"/>
  <c r="C237" i="35"/>
  <c r="C238" i="35"/>
  <c r="C239" i="35"/>
  <c r="C240" i="35"/>
  <c r="C241" i="35"/>
  <c r="C242" i="35"/>
  <c r="C221" i="35"/>
  <c r="AA140" i="36" l="1"/>
  <c r="AC140" i="36"/>
  <c r="AD140" i="36"/>
  <c r="AE140" i="36"/>
  <c r="AF140" i="36"/>
  <c r="AG140" i="36"/>
  <c r="AH140" i="36"/>
  <c r="AI140" i="36"/>
  <c r="AJ140" i="36"/>
  <c r="AK140" i="36"/>
  <c r="AL140" i="36"/>
  <c r="AM140" i="36"/>
  <c r="AN140" i="36"/>
  <c r="AB136" i="36" l="1"/>
  <c r="AB137" i="36"/>
  <c r="AB138" i="36"/>
  <c r="AB139" i="36"/>
  <c r="C140" i="36"/>
  <c r="D140" i="36"/>
  <c r="E140" i="36"/>
  <c r="F140" i="36"/>
  <c r="G140" i="36"/>
  <c r="H140" i="36"/>
  <c r="I140" i="36"/>
  <c r="J140" i="36"/>
  <c r="K140" i="36"/>
  <c r="L140" i="36"/>
  <c r="M140" i="36"/>
  <c r="N140" i="36"/>
  <c r="O140" i="36"/>
  <c r="P140" i="36"/>
  <c r="Q140" i="36"/>
  <c r="R140" i="36"/>
  <c r="S140" i="36"/>
  <c r="T140" i="36"/>
  <c r="U140" i="36"/>
  <c r="V140" i="36"/>
  <c r="W140" i="36"/>
  <c r="X140" i="36"/>
  <c r="Y140" i="36"/>
  <c r="Z140" i="36"/>
  <c r="AB134" i="36" l="1"/>
  <c r="AB135" i="36"/>
  <c r="F442" i="2" l="1"/>
  <c r="G442" i="2"/>
  <c r="H442" i="2"/>
  <c r="I442" i="2"/>
  <c r="J442" i="2"/>
  <c r="K442" i="2"/>
  <c r="L442" i="2"/>
  <c r="M442" i="2"/>
  <c r="P442" i="2"/>
  <c r="Q442" i="2"/>
  <c r="R442" i="2"/>
  <c r="S442" i="2"/>
  <c r="T442" i="2"/>
  <c r="U442" i="2"/>
  <c r="V442" i="2"/>
  <c r="W442" i="2"/>
  <c r="X442" i="2"/>
  <c r="Y442" i="2"/>
  <c r="Z442" i="2"/>
  <c r="AA442" i="2"/>
  <c r="AB442" i="2"/>
  <c r="AC442" i="2"/>
  <c r="AD442" i="2"/>
  <c r="AE442" i="2"/>
  <c r="AF442" i="2"/>
  <c r="AG442" i="2"/>
  <c r="AH442" i="2"/>
  <c r="AI442" i="2"/>
  <c r="AJ442" i="2"/>
  <c r="AK442" i="2"/>
  <c r="AL442" i="2"/>
  <c r="F443" i="2"/>
  <c r="G443" i="2"/>
  <c r="H443" i="2"/>
  <c r="I443" i="2"/>
  <c r="J443" i="2"/>
  <c r="K443" i="2"/>
  <c r="L443" i="2"/>
  <c r="M443" i="2"/>
  <c r="P443" i="2"/>
  <c r="Q443" i="2"/>
  <c r="R443" i="2"/>
  <c r="S443" i="2"/>
  <c r="T443" i="2"/>
  <c r="U443" i="2"/>
  <c r="V443" i="2"/>
  <c r="W443" i="2"/>
  <c r="X443" i="2"/>
  <c r="Y443" i="2"/>
  <c r="Z443" i="2"/>
  <c r="AA443" i="2"/>
  <c r="AB443" i="2"/>
  <c r="AC443" i="2"/>
  <c r="AD443" i="2"/>
  <c r="AE443" i="2"/>
  <c r="AF443" i="2"/>
  <c r="AG443" i="2"/>
  <c r="AH443" i="2"/>
  <c r="AI443" i="2"/>
  <c r="AJ443" i="2"/>
  <c r="AK443" i="2"/>
  <c r="AL443" i="2"/>
  <c r="F444" i="2"/>
  <c r="G444" i="2"/>
  <c r="H444" i="2"/>
  <c r="I444" i="2"/>
  <c r="J444" i="2"/>
  <c r="K444" i="2"/>
  <c r="L444" i="2"/>
  <c r="M444" i="2"/>
  <c r="P444" i="2"/>
  <c r="Q444" i="2"/>
  <c r="R444" i="2"/>
  <c r="S444" i="2"/>
  <c r="T444" i="2"/>
  <c r="U444" i="2"/>
  <c r="V444" i="2"/>
  <c r="W444" i="2"/>
  <c r="X444" i="2"/>
  <c r="Y444" i="2"/>
  <c r="Z444" i="2"/>
  <c r="AA444" i="2"/>
  <c r="AB444" i="2"/>
  <c r="AC444" i="2"/>
  <c r="AD444" i="2"/>
  <c r="AE444" i="2"/>
  <c r="AF444" i="2"/>
  <c r="AG444" i="2"/>
  <c r="AH444" i="2"/>
  <c r="AI444" i="2"/>
  <c r="AJ444" i="2"/>
  <c r="AK444" i="2"/>
  <c r="AL444" i="2"/>
  <c r="F445" i="2"/>
  <c r="G445" i="2"/>
  <c r="H445" i="2"/>
  <c r="I445" i="2"/>
  <c r="J445" i="2"/>
  <c r="K445" i="2"/>
  <c r="L445" i="2"/>
  <c r="M445" i="2"/>
  <c r="P445" i="2"/>
  <c r="Q445" i="2"/>
  <c r="R445" i="2"/>
  <c r="S445" i="2"/>
  <c r="T445" i="2"/>
  <c r="U445" i="2"/>
  <c r="V445" i="2"/>
  <c r="W445" i="2"/>
  <c r="X445" i="2"/>
  <c r="Y445" i="2"/>
  <c r="Z445" i="2"/>
  <c r="AA445" i="2"/>
  <c r="AB445" i="2"/>
  <c r="AC445" i="2"/>
  <c r="AD445" i="2"/>
  <c r="AE445" i="2"/>
  <c r="AF445" i="2"/>
  <c r="AG445" i="2"/>
  <c r="AH445" i="2"/>
  <c r="AI445" i="2"/>
  <c r="AJ445" i="2"/>
  <c r="AK445" i="2"/>
  <c r="AL445" i="2"/>
  <c r="F446" i="2"/>
  <c r="G446" i="2"/>
  <c r="H446" i="2"/>
  <c r="I446" i="2"/>
  <c r="J446" i="2"/>
  <c r="K446" i="2"/>
  <c r="L446" i="2"/>
  <c r="M446" i="2"/>
  <c r="P446" i="2"/>
  <c r="Q446" i="2"/>
  <c r="R446" i="2"/>
  <c r="S446" i="2"/>
  <c r="T446" i="2"/>
  <c r="U446" i="2"/>
  <c r="V446" i="2"/>
  <c r="W446" i="2"/>
  <c r="X446" i="2"/>
  <c r="Y446" i="2"/>
  <c r="Z446" i="2"/>
  <c r="AA446" i="2"/>
  <c r="AB446" i="2"/>
  <c r="AC446" i="2"/>
  <c r="AD446" i="2"/>
  <c r="AE446" i="2"/>
  <c r="AF446" i="2"/>
  <c r="AG446" i="2"/>
  <c r="AH446" i="2"/>
  <c r="AI446" i="2"/>
  <c r="AJ446" i="2"/>
  <c r="AK446" i="2"/>
  <c r="AL446" i="2"/>
  <c r="F447" i="2"/>
  <c r="G447" i="2"/>
  <c r="H447" i="2"/>
  <c r="I447" i="2"/>
  <c r="J447" i="2"/>
  <c r="K447" i="2"/>
  <c r="L447" i="2"/>
  <c r="M447" i="2"/>
  <c r="P447" i="2"/>
  <c r="Q447" i="2"/>
  <c r="R447" i="2"/>
  <c r="S447" i="2"/>
  <c r="T447" i="2"/>
  <c r="U447" i="2"/>
  <c r="V447" i="2"/>
  <c r="W447" i="2"/>
  <c r="X447" i="2"/>
  <c r="Y447" i="2"/>
  <c r="Z447" i="2"/>
  <c r="AA447" i="2"/>
  <c r="AB447" i="2"/>
  <c r="AC447" i="2"/>
  <c r="AD447" i="2"/>
  <c r="AE447" i="2"/>
  <c r="AF447" i="2"/>
  <c r="AG447" i="2"/>
  <c r="AH447" i="2"/>
  <c r="AI447" i="2"/>
  <c r="AJ447" i="2"/>
  <c r="AK447" i="2"/>
  <c r="AL447" i="2"/>
  <c r="F448" i="2"/>
  <c r="G448" i="2"/>
  <c r="H448" i="2"/>
  <c r="I448" i="2"/>
  <c r="J448" i="2"/>
  <c r="K448" i="2"/>
  <c r="L448" i="2"/>
  <c r="M448" i="2"/>
  <c r="P448" i="2"/>
  <c r="Q448" i="2"/>
  <c r="R448" i="2"/>
  <c r="S448" i="2"/>
  <c r="T448" i="2"/>
  <c r="U448" i="2"/>
  <c r="V448" i="2"/>
  <c r="W448" i="2"/>
  <c r="X448" i="2"/>
  <c r="Y448" i="2"/>
  <c r="Z448" i="2"/>
  <c r="AA448" i="2"/>
  <c r="AB448" i="2"/>
  <c r="AC448" i="2"/>
  <c r="AD448" i="2"/>
  <c r="AE448" i="2"/>
  <c r="AF448" i="2"/>
  <c r="AG448" i="2"/>
  <c r="AH448" i="2"/>
  <c r="AI448" i="2"/>
  <c r="AJ448" i="2"/>
  <c r="AK448" i="2"/>
  <c r="AL448" i="2"/>
  <c r="F449" i="2"/>
  <c r="G449" i="2"/>
  <c r="H449" i="2"/>
  <c r="I449" i="2"/>
  <c r="J449" i="2"/>
  <c r="K449" i="2"/>
  <c r="L449" i="2"/>
  <c r="M449" i="2"/>
  <c r="P449" i="2"/>
  <c r="Q449" i="2"/>
  <c r="R449" i="2"/>
  <c r="S449" i="2"/>
  <c r="T449" i="2"/>
  <c r="U449" i="2"/>
  <c r="V449" i="2"/>
  <c r="W449" i="2"/>
  <c r="X449" i="2"/>
  <c r="Y449" i="2"/>
  <c r="Z449" i="2"/>
  <c r="AA449" i="2"/>
  <c r="AB449" i="2"/>
  <c r="AC449" i="2"/>
  <c r="AD449" i="2"/>
  <c r="AE449" i="2"/>
  <c r="AF449" i="2"/>
  <c r="AG449" i="2"/>
  <c r="AH449" i="2"/>
  <c r="AI449" i="2"/>
  <c r="AJ449" i="2"/>
  <c r="AK449" i="2"/>
  <c r="AL449" i="2"/>
  <c r="F450" i="2"/>
  <c r="G450" i="2"/>
  <c r="H450" i="2"/>
  <c r="I450" i="2"/>
  <c r="J450" i="2"/>
  <c r="K450" i="2"/>
  <c r="L450" i="2"/>
  <c r="M450" i="2"/>
  <c r="P450" i="2"/>
  <c r="Q450" i="2"/>
  <c r="R450" i="2"/>
  <c r="S450" i="2"/>
  <c r="T450" i="2"/>
  <c r="U450" i="2"/>
  <c r="V450" i="2"/>
  <c r="W450" i="2"/>
  <c r="X450" i="2"/>
  <c r="Y450" i="2"/>
  <c r="Z450" i="2"/>
  <c r="AA450" i="2"/>
  <c r="AB450" i="2"/>
  <c r="AC450" i="2"/>
  <c r="AD450" i="2"/>
  <c r="AE450" i="2"/>
  <c r="AF450" i="2"/>
  <c r="AG450" i="2"/>
  <c r="AH450" i="2"/>
  <c r="AI450" i="2"/>
  <c r="AJ450" i="2"/>
  <c r="AK450" i="2"/>
  <c r="AL450" i="2"/>
  <c r="F451" i="2"/>
  <c r="G451" i="2"/>
  <c r="H451" i="2"/>
  <c r="I451" i="2"/>
  <c r="J451" i="2"/>
  <c r="K451" i="2"/>
  <c r="L451" i="2"/>
  <c r="M451" i="2"/>
  <c r="P451" i="2"/>
  <c r="Q451" i="2"/>
  <c r="R451" i="2"/>
  <c r="S451" i="2"/>
  <c r="T451" i="2"/>
  <c r="U451" i="2"/>
  <c r="V451" i="2"/>
  <c r="W451" i="2"/>
  <c r="X451" i="2"/>
  <c r="Y451" i="2"/>
  <c r="Z451" i="2"/>
  <c r="AA451" i="2"/>
  <c r="AB451" i="2"/>
  <c r="AC451" i="2"/>
  <c r="AD451" i="2"/>
  <c r="AE451" i="2"/>
  <c r="AF451" i="2"/>
  <c r="AG451" i="2"/>
  <c r="AH451" i="2"/>
  <c r="AI451" i="2"/>
  <c r="AJ451" i="2"/>
  <c r="AK451" i="2"/>
  <c r="AL451" i="2"/>
  <c r="F452" i="2"/>
  <c r="G452" i="2"/>
  <c r="H452" i="2"/>
  <c r="I452" i="2"/>
  <c r="J452" i="2"/>
  <c r="K452" i="2"/>
  <c r="L452" i="2"/>
  <c r="M452" i="2"/>
  <c r="P452" i="2"/>
  <c r="Q452" i="2"/>
  <c r="R452" i="2"/>
  <c r="S452" i="2"/>
  <c r="T452" i="2"/>
  <c r="U452" i="2"/>
  <c r="V452" i="2"/>
  <c r="W452" i="2"/>
  <c r="X452" i="2"/>
  <c r="Y452" i="2"/>
  <c r="Z452" i="2"/>
  <c r="AA452" i="2"/>
  <c r="AB452" i="2"/>
  <c r="AC452" i="2"/>
  <c r="AD452" i="2"/>
  <c r="AE452" i="2"/>
  <c r="AF452" i="2"/>
  <c r="AG452" i="2"/>
  <c r="AH452" i="2"/>
  <c r="AI452" i="2"/>
  <c r="AJ452" i="2"/>
  <c r="AK452" i="2"/>
  <c r="AL452" i="2"/>
  <c r="F453" i="2"/>
  <c r="G453" i="2"/>
  <c r="H453" i="2"/>
  <c r="I453" i="2"/>
  <c r="J453" i="2"/>
  <c r="K453" i="2"/>
  <c r="L453" i="2"/>
  <c r="M453" i="2"/>
  <c r="P453" i="2"/>
  <c r="Q453" i="2"/>
  <c r="R453" i="2"/>
  <c r="S453" i="2"/>
  <c r="T453" i="2"/>
  <c r="U453" i="2"/>
  <c r="V453" i="2"/>
  <c r="W453" i="2"/>
  <c r="X453" i="2"/>
  <c r="Y453" i="2"/>
  <c r="Z453" i="2"/>
  <c r="AA453" i="2"/>
  <c r="AB453" i="2"/>
  <c r="AC453" i="2"/>
  <c r="AD453" i="2"/>
  <c r="AE453" i="2"/>
  <c r="AF453" i="2"/>
  <c r="AG453" i="2"/>
  <c r="AH453" i="2"/>
  <c r="AI453" i="2"/>
  <c r="AJ453" i="2"/>
  <c r="AK453" i="2"/>
  <c r="AL453" i="2"/>
  <c r="F454" i="2"/>
  <c r="G454" i="2"/>
  <c r="H454" i="2"/>
  <c r="I454" i="2"/>
  <c r="J454" i="2"/>
  <c r="K454" i="2"/>
  <c r="L454" i="2"/>
  <c r="M454" i="2"/>
  <c r="P454" i="2"/>
  <c r="Q454" i="2"/>
  <c r="R454" i="2"/>
  <c r="S454" i="2"/>
  <c r="T454" i="2"/>
  <c r="U454" i="2"/>
  <c r="V454" i="2"/>
  <c r="W454" i="2"/>
  <c r="X454" i="2"/>
  <c r="Y454" i="2"/>
  <c r="Z454" i="2"/>
  <c r="AA454" i="2"/>
  <c r="AB454" i="2"/>
  <c r="AC454" i="2"/>
  <c r="AD454" i="2"/>
  <c r="AE454" i="2"/>
  <c r="AF454" i="2"/>
  <c r="AG454" i="2"/>
  <c r="AH454" i="2"/>
  <c r="AI454" i="2"/>
  <c r="AJ454" i="2"/>
  <c r="AK454" i="2"/>
  <c r="AL454" i="2"/>
  <c r="F455" i="2"/>
  <c r="G455" i="2"/>
  <c r="H455" i="2"/>
  <c r="I455" i="2"/>
  <c r="J455" i="2"/>
  <c r="K455" i="2"/>
  <c r="L455" i="2"/>
  <c r="M455" i="2"/>
  <c r="P455" i="2"/>
  <c r="Q455" i="2"/>
  <c r="R455" i="2"/>
  <c r="S455" i="2"/>
  <c r="T455" i="2"/>
  <c r="U455" i="2"/>
  <c r="V455" i="2"/>
  <c r="W455" i="2"/>
  <c r="X455" i="2"/>
  <c r="Y455" i="2"/>
  <c r="Z455" i="2"/>
  <c r="AA455" i="2"/>
  <c r="AB455" i="2"/>
  <c r="AC455" i="2"/>
  <c r="AD455" i="2"/>
  <c r="AE455" i="2"/>
  <c r="AF455" i="2"/>
  <c r="AG455" i="2"/>
  <c r="AH455" i="2"/>
  <c r="AI455" i="2"/>
  <c r="AJ455" i="2"/>
  <c r="AK455" i="2"/>
  <c r="AL455" i="2"/>
  <c r="F456" i="2"/>
  <c r="G456" i="2"/>
  <c r="H456" i="2"/>
  <c r="I456" i="2"/>
  <c r="J456" i="2"/>
  <c r="K456" i="2"/>
  <c r="L456" i="2"/>
  <c r="M456" i="2"/>
  <c r="P456" i="2"/>
  <c r="Q456" i="2"/>
  <c r="R456" i="2"/>
  <c r="S456" i="2"/>
  <c r="T456" i="2"/>
  <c r="U456" i="2"/>
  <c r="V456" i="2"/>
  <c r="W456" i="2"/>
  <c r="X456" i="2"/>
  <c r="Y456" i="2"/>
  <c r="Z456" i="2"/>
  <c r="AA456" i="2"/>
  <c r="AB456" i="2"/>
  <c r="AC456" i="2"/>
  <c r="AD456" i="2"/>
  <c r="AE456" i="2"/>
  <c r="AF456" i="2"/>
  <c r="AG456" i="2"/>
  <c r="AH456" i="2"/>
  <c r="AI456" i="2"/>
  <c r="AJ456" i="2"/>
  <c r="AK456" i="2"/>
  <c r="AL456" i="2"/>
  <c r="F457" i="2"/>
  <c r="G457" i="2"/>
  <c r="H457" i="2"/>
  <c r="I457" i="2"/>
  <c r="J457" i="2"/>
  <c r="K457" i="2"/>
  <c r="L457" i="2"/>
  <c r="M457" i="2"/>
  <c r="P457" i="2"/>
  <c r="Q457" i="2"/>
  <c r="R457" i="2"/>
  <c r="S457" i="2"/>
  <c r="T457" i="2"/>
  <c r="U457" i="2"/>
  <c r="V457" i="2"/>
  <c r="W457" i="2"/>
  <c r="X457" i="2"/>
  <c r="Y457" i="2"/>
  <c r="Z457" i="2"/>
  <c r="AA457" i="2"/>
  <c r="AB457" i="2"/>
  <c r="AC457" i="2"/>
  <c r="AD457" i="2"/>
  <c r="AE457" i="2"/>
  <c r="AF457" i="2"/>
  <c r="AG457" i="2"/>
  <c r="AH457" i="2"/>
  <c r="AI457" i="2"/>
  <c r="AJ457" i="2"/>
  <c r="AK457" i="2"/>
  <c r="AL457" i="2"/>
  <c r="F458" i="2"/>
  <c r="G458" i="2"/>
  <c r="H458" i="2"/>
  <c r="I458" i="2"/>
  <c r="J458" i="2"/>
  <c r="K458" i="2"/>
  <c r="L458" i="2"/>
  <c r="M458" i="2"/>
  <c r="P458" i="2"/>
  <c r="Q458" i="2"/>
  <c r="R458" i="2"/>
  <c r="S458" i="2"/>
  <c r="T458" i="2"/>
  <c r="U458" i="2"/>
  <c r="V458" i="2"/>
  <c r="W458" i="2"/>
  <c r="X458" i="2"/>
  <c r="Y458" i="2"/>
  <c r="Z458" i="2"/>
  <c r="AA458" i="2"/>
  <c r="AB458" i="2"/>
  <c r="AC458" i="2"/>
  <c r="AD458" i="2"/>
  <c r="AE458" i="2"/>
  <c r="AF458" i="2"/>
  <c r="AG458" i="2"/>
  <c r="AH458" i="2"/>
  <c r="AI458" i="2"/>
  <c r="AJ458" i="2"/>
  <c r="AK458" i="2"/>
  <c r="AL458" i="2"/>
  <c r="F459" i="2"/>
  <c r="G459" i="2"/>
  <c r="H459" i="2"/>
  <c r="I459" i="2"/>
  <c r="J459" i="2"/>
  <c r="K459" i="2"/>
  <c r="L459" i="2"/>
  <c r="M459" i="2"/>
  <c r="P459" i="2"/>
  <c r="Q459" i="2"/>
  <c r="R459" i="2"/>
  <c r="S459" i="2"/>
  <c r="T459" i="2"/>
  <c r="U459" i="2"/>
  <c r="V459" i="2"/>
  <c r="W459" i="2"/>
  <c r="X459" i="2"/>
  <c r="Y459" i="2"/>
  <c r="Z459" i="2"/>
  <c r="AA459" i="2"/>
  <c r="AB459" i="2"/>
  <c r="AC459" i="2"/>
  <c r="AD459" i="2"/>
  <c r="AE459" i="2"/>
  <c r="AF459" i="2"/>
  <c r="AG459" i="2"/>
  <c r="AH459" i="2"/>
  <c r="AI459" i="2"/>
  <c r="AJ459" i="2"/>
  <c r="AK459" i="2"/>
  <c r="AL459" i="2"/>
  <c r="F460" i="2"/>
  <c r="G460" i="2"/>
  <c r="H460" i="2"/>
  <c r="I460" i="2"/>
  <c r="J460" i="2"/>
  <c r="K460" i="2"/>
  <c r="L460" i="2"/>
  <c r="M460" i="2"/>
  <c r="P460" i="2"/>
  <c r="Q460" i="2"/>
  <c r="R460" i="2"/>
  <c r="S460" i="2"/>
  <c r="T460" i="2"/>
  <c r="U460" i="2"/>
  <c r="V460" i="2"/>
  <c r="W460" i="2"/>
  <c r="X460" i="2"/>
  <c r="Y460" i="2"/>
  <c r="Z460" i="2"/>
  <c r="AB460" i="2"/>
  <c r="AC460" i="2"/>
  <c r="AD460" i="2"/>
  <c r="AE460" i="2"/>
  <c r="AF460" i="2"/>
  <c r="AG460" i="2"/>
  <c r="AH460" i="2"/>
  <c r="AI460" i="2"/>
  <c r="AJ460" i="2"/>
  <c r="AK460" i="2"/>
  <c r="AL460" i="2"/>
  <c r="F461" i="2"/>
  <c r="G461" i="2"/>
  <c r="H461" i="2"/>
  <c r="I461" i="2"/>
  <c r="J461" i="2"/>
  <c r="K461" i="2"/>
  <c r="L461" i="2"/>
  <c r="M461" i="2"/>
  <c r="P461" i="2"/>
  <c r="Q461" i="2"/>
  <c r="R461" i="2"/>
  <c r="S461" i="2"/>
  <c r="T461" i="2"/>
  <c r="U461" i="2"/>
  <c r="V461" i="2"/>
  <c r="W461" i="2"/>
  <c r="X461" i="2"/>
  <c r="Y461" i="2"/>
  <c r="Z461" i="2"/>
  <c r="AA461" i="2"/>
  <c r="AB461" i="2"/>
  <c r="AC461" i="2"/>
  <c r="AD461" i="2"/>
  <c r="AE461" i="2"/>
  <c r="AF461" i="2"/>
  <c r="AG461" i="2"/>
  <c r="AH461" i="2"/>
  <c r="AI461" i="2"/>
  <c r="AJ461" i="2"/>
  <c r="AK461" i="2"/>
  <c r="AL461" i="2"/>
  <c r="F462" i="2"/>
  <c r="G462" i="2"/>
  <c r="H462" i="2"/>
  <c r="I462" i="2"/>
  <c r="J462" i="2"/>
  <c r="K462" i="2"/>
  <c r="L462" i="2"/>
  <c r="M462" i="2"/>
  <c r="P462" i="2"/>
  <c r="Q462" i="2"/>
  <c r="R462" i="2"/>
  <c r="S462" i="2"/>
  <c r="T462" i="2"/>
  <c r="U462" i="2"/>
  <c r="V462" i="2"/>
  <c r="W462" i="2"/>
  <c r="X462" i="2"/>
  <c r="Y462" i="2"/>
  <c r="Z462" i="2"/>
  <c r="AA462" i="2"/>
  <c r="AB462" i="2"/>
  <c r="AC462" i="2"/>
  <c r="AD462" i="2"/>
  <c r="AE462" i="2"/>
  <c r="AF462" i="2"/>
  <c r="AG462" i="2"/>
  <c r="AH462" i="2"/>
  <c r="AI462" i="2"/>
  <c r="AJ462" i="2"/>
  <c r="AK462" i="2"/>
  <c r="AL462" i="2"/>
  <c r="G441" i="2"/>
  <c r="H441" i="2"/>
  <c r="I441" i="2"/>
  <c r="J441" i="2"/>
  <c r="K441" i="2"/>
  <c r="L441" i="2"/>
  <c r="M441" i="2"/>
  <c r="P441" i="2"/>
  <c r="Q441" i="2"/>
  <c r="R441" i="2"/>
  <c r="S441" i="2"/>
  <c r="T441" i="2"/>
  <c r="U441" i="2"/>
  <c r="V441" i="2"/>
  <c r="W441" i="2"/>
  <c r="X441" i="2"/>
  <c r="Y441" i="2"/>
  <c r="Z441" i="2"/>
  <c r="AA441" i="2"/>
  <c r="AB441" i="2"/>
  <c r="AC441" i="2"/>
  <c r="AD441" i="2"/>
  <c r="AE441" i="2"/>
  <c r="AF441" i="2"/>
  <c r="AG441" i="2"/>
  <c r="AH441" i="2"/>
  <c r="AI441" i="2"/>
  <c r="AJ441" i="2"/>
  <c r="AK441" i="2"/>
  <c r="AL441" i="2"/>
  <c r="AX189" i="3"/>
  <c r="AS189" i="3"/>
  <c r="AN189" i="3"/>
  <c r="AA189" i="3"/>
  <c r="V189" i="3"/>
  <c r="Q189" i="3"/>
  <c r="L189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AB126" i="36" l="1"/>
  <c r="AB127" i="36"/>
  <c r="AB128" i="36"/>
  <c r="AB129" i="36"/>
  <c r="AB130" i="36"/>
  <c r="AB131" i="36"/>
  <c r="AB133" i="36"/>
  <c r="AB125" i="36"/>
  <c r="I185" i="33"/>
  <c r="I186" i="33"/>
  <c r="I187" i="33"/>
  <c r="I188" i="33"/>
  <c r="I189" i="33"/>
  <c r="I190" i="33"/>
  <c r="I191" i="33"/>
  <c r="I192" i="33"/>
  <c r="I193" i="33"/>
  <c r="I194" i="33"/>
  <c r="I195" i="33"/>
  <c r="I196" i="33"/>
  <c r="I197" i="33"/>
  <c r="I198" i="33"/>
  <c r="I199" i="33"/>
  <c r="I200" i="33"/>
  <c r="I201" i="33"/>
  <c r="I202" i="33"/>
  <c r="I203" i="33"/>
  <c r="I204" i="33"/>
  <c r="I205" i="33"/>
  <c r="E185" i="33"/>
  <c r="E186" i="33"/>
  <c r="E187" i="33"/>
  <c r="E188" i="33"/>
  <c r="E189" i="33"/>
  <c r="E190" i="33"/>
  <c r="E191" i="33"/>
  <c r="E192" i="33"/>
  <c r="E193" i="33"/>
  <c r="E194" i="33"/>
  <c r="E195" i="33"/>
  <c r="E196" i="33"/>
  <c r="E197" i="33"/>
  <c r="E198" i="33"/>
  <c r="E199" i="33"/>
  <c r="E200" i="33"/>
  <c r="E201" i="33"/>
  <c r="E202" i="33"/>
  <c r="E203" i="33"/>
  <c r="E204" i="33"/>
  <c r="E205" i="33"/>
  <c r="AB140" i="36" l="1"/>
  <c r="G466" i="35"/>
  <c r="H466" i="35"/>
  <c r="I466" i="35"/>
  <c r="J466" i="35"/>
  <c r="K466" i="35"/>
  <c r="L466" i="35"/>
  <c r="M466" i="35"/>
  <c r="N466" i="35"/>
  <c r="O466" i="35"/>
  <c r="P466" i="35"/>
  <c r="Q466" i="35"/>
  <c r="R466" i="35"/>
  <c r="S466" i="35"/>
  <c r="T466" i="35"/>
  <c r="U466" i="35"/>
  <c r="V466" i="35"/>
  <c r="W466" i="35"/>
  <c r="X466" i="35"/>
  <c r="Y466" i="35"/>
  <c r="Z466" i="35"/>
  <c r="AA466" i="35"/>
  <c r="AB466" i="35"/>
  <c r="AC466" i="35"/>
  <c r="AD466" i="35"/>
  <c r="AE466" i="35"/>
  <c r="AF466" i="35"/>
  <c r="AG466" i="35"/>
  <c r="AH466" i="35"/>
  <c r="AI466" i="35"/>
  <c r="G467" i="35"/>
  <c r="H467" i="35"/>
  <c r="I467" i="35"/>
  <c r="J467" i="35"/>
  <c r="K467" i="35"/>
  <c r="L467" i="35"/>
  <c r="M467" i="35"/>
  <c r="N467" i="35"/>
  <c r="O467" i="35"/>
  <c r="P467" i="35"/>
  <c r="Q467" i="35"/>
  <c r="R467" i="35"/>
  <c r="S467" i="35"/>
  <c r="T467" i="35"/>
  <c r="U467" i="35"/>
  <c r="V467" i="35"/>
  <c r="W467" i="35"/>
  <c r="X467" i="35"/>
  <c r="Y467" i="35"/>
  <c r="Z467" i="35"/>
  <c r="AA467" i="35"/>
  <c r="AB467" i="35"/>
  <c r="AC467" i="35"/>
  <c r="AD467" i="35"/>
  <c r="AE467" i="35"/>
  <c r="AF467" i="35"/>
  <c r="AG467" i="35"/>
  <c r="AH467" i="35"/>
  <c r="AI467" i="35"/>
  <c r="G468" i="35"/>
  <c r="H468" i="35"/>
  <c r="I468" i="35"/>
  <c r="J468" i="35"/>
  <c r="K468" i="35"/>
  <c r="L468" i="35"/>
  <c r="M468" i="35"/>
  <c r="N468" i="35"/>
  <c r="O468" i="35"/>
  <c r="P468" i="35"/>
  <c r="Q468" i="35"/>
  <c r="R468" i="35"/>
  <c r="S468" i="35"/>
  <c r="T468" i="35"/>
  <c r="U468" i="35"/>
  <c r="V468" i="35"/>
  <c r="W468" i="35"/>
  <c r="X468" i="35"/>
  <c r="Y468" i="35"/>
  <c r="Z468" i="35"/>
  <c r="AA468" i="35"/>
  <c r="AB468" i="35"/>
  <c r="AC468" i="35"/>
  <c r="AD468" i="35"/>
  <c r="AE468" i="35"/>
  <c r="AF468" i="35"/>
  <c r="AG468" i="35"/>
  <c r="AH468" i="35"/>
  <c r="AI468" i="35"/>
  <c r="G469" i="35"/>
  <c r="H469" i="35"/>
  <c r="I469" i="35"/>
  <c r="J469" i="35"/>
  <c r="K469" i="35"/>
  <c r="L469" i="35"/>
  <c r="M469" i="35"/>
  <c r="N469" i="35"/>
  <c r="O469" i="35"/>
  <c r="P469" i="35"/>
  <c r="Q469" i="35"/>
  <c r="R469" i="35"/>
  <c r="S469" i="35"/>
  <c r="T469" i="35"/>
  <c r="U469" i="35"/>
  <c r="V469" i="35"/>
  <c r="W469" i="35"/>
  <c r="X469" i="35"/>
  <c r="Y469" i="35"/>
  <c r="Z469" i="35"/>
  <c r="AA469" i="35"/>
  <c r="AB469" i="35"/>
  <c r="AC469" i="35"/>
  <c r="AD469" i="35"/>
  <c r="AE469" i="35"/>
  <c r="AF469" i="35"/>
  <c r="AG469" i="35"/>
  <c r="AH469" i="35"/>
  <c r="AI469" i="35"/>
  <c r="G470" i="35"/>
  <c r="H470" i="35"/>
  <c r="I470" i="35"/>
  <c r="J470" i="35"/>
  <c r="K470" i="35"/>
  <c r="L470" i="35"/>
  <c r="M470" i="35"/>
  <c r="N470" i="35"/>
  <c r="O470" i="35"/>
  <c r="P470" i="35"/>
  <c r="Q470" i="35"/>
  <c r="R470" i="35"/>
  <c r="S470" i="35"/>
  <c r="T470" i="35"/>
  <c r="U470" i="35"/>
  <c r="V470" i="35"/>
  <c r="W470" i="35"/>
  <c r="X470" i="35"/>
  <c r="Y470" i="35"/>
  <c r="Z470" i="35"/>
  <c r="AA470" i="35"/>
  <c r="AB470" i="35"/>
  <c r="AC470" i="35"/>
  <c r="AD470" i="35"/>
  <c r="AE470" i="35"/>
  <c r="AF470" i="35"/>
  <c r="AG470" i="35"/>
  <c r="AH470" i="35"/>
  <c r="AI470" i="35"/>
  <c r="G471" i="35"/>
  <c r="H471" i="35"/>
  <c r="I471" i="35"/>
  <c r="J471" i="35"/>
  <c r="K471" i="35"/>
  <c r="L471" i="35"/>
  <c r="M471" i="35"/>
  <c r="N471" i="35"/>
  <c r="O471" i="35"/>
  <c r="P471" i="35"/>
  <c r="Q471" i="35"/>
  <c r="R471" i="35"/>
  <c r="S471" i="35"/>
  <c r="T471" i="35"/>
  <c r="U471" i="35"/>
  <c r="V471" i="35"/>
  <c r="W471" i="35"/>
  <c r="X471" i="35"/>
  <c r="Y471" i="35"/>
  <c r="Z471" i="35"/>
  <c r="AA471" i="35"/>
  <c r="AB471" i="35"/>
  <c r="AC471" i="35"/>
  <c r="AD471" i="35"/>
  <c r="AE471" i="35"/>
  <c r="AF471" i="35"/>
  <c r="AG471" i="35"/>
  <c r="AH471" i="35"/>
  <c r="AI471" i="35"/>
  <c r="G472" i="35"/>
  <c r="H472" i="35"/>
  <c r="I472" i="35"/>
  <c r="J472" i="35"/>
  <c r="K472" i="35"/>
  <c r="L472" i="35"/>
  <c r="M472" i="35"/>
  <c r="N472" i="35"/>
  <c r="O472" i="35"/>
  <c r="P472" i="35"/>
  <c r="Q472" i="35"/>
  <c r="R472" i="35"/>
  <c r="S472" i="35"/>
  <c r="T472" i="35"/>
  <c r="U472" i="35"/>
  <c r="V472" i="35"/>
  <c r="W472" i="35"/>
  <c r="X472" i="35"/>
  <c r="Y472" i="35"/>
  <c r="Z472" i="35"/>
  <c r="AA472" i="35"/>
  <c r="AB472" i="35"/>
  <c r="AC472" i="35"/>
  <c r="AD472" i="35"/>
  <c r="AE472" i="35"/>
  <c r="AF472" i="35"/>
  <c r="AG472" i="35"/>
  <c r="AH472" i="35"/>
  <c r="AI472" i="35"/>
  <c r="G473" i="35"/>
  <c r="H473" i="35"/>
  <c r="I473" i="35"/>
  <c r="J473" i="35"/>
  <c r="K473" i="35"/>
  <c r="L473" i="35"/>
  <c r="M473" i="35"/>
  <c r="N473" i="35"/>
  <c r="O473" i="35"/>
  <c r="P473" i="35"/>
  <c r="Q473" i="35"/>
  <c r="R473" i="35"/>
  <c r="S473" i="35"/>
  <c r="T473" i="35"/>
  <c r="U473" i="35"/>
  <c r="V473" i="35"/>
  <c r="W473" i="35"/>
  <c r="X473" i="35"/>
  <c r="Y473" i="35"/>
  <c r="Z473" i="35"/>
  <c r="AA473" i="35"/>
  <c r="AB473" i="35"/>
  <c r="AC473" i="35"/>
  <c r="AD473" i="35"/>
  <c r="AE473" i="35"/>
  <c r="AF473" i="35"/>
  <c r="AG473" i="35"/>
  <c r="AH473" i="35"/>
  <c r="AI473" i="35"/>
  <c r="G474" i="35"/>
  <c r="H474" i="35"/>
  <c r="I474" i="35"/>
  <c r="J474" i="35"/>
  <c r="K474" i="35"/>
  <c r="L474" i="35"/>
  <c r="M474" i="35"/>
  <c r="N474" i="35"/>
  <c r="O474" i="35"/>
  <c r="P474" i="35"/>
  <c r="Q474" i="35"/>
  <c r="R474" i="35"/>
  <c r="S474" i="35"/>
  <c r="T474" i="35"/>
  <c r="U474" i="35"/>
  <c r="V474" i="35"/>
  <c r="W474" i="35"/>
  <c r="X474" i="35"/>
  <c r="Y474" i="35"/>
  <c r="Z474" i="35"/>
  <c r="AA474" i="35"/>
  <c r="AB474" i="35"/>
  <c r="AC474" i="35"/>
  <c r="AD474" i="35"/>
  <c r="AE474" i="35"/>
  <c r="AF474" i="35"/>
  <c r="AG474" i="35"/>
  <c r="AH474" i="35"/>
  <c r="AI474" i="35"/>
  <c r="G475" i="35"/>
  <c r="H475" i="35"/>
  <c r="I475" i="35"/>
  <c r="J475" i="35"/>
  <c r="K475" i="35"/>
  <c r="L475" i="35"/>
  <c r="M475" i="35"/>
  <c r="N475" i="35"/>
  <c r="O475" i="35"/>
  <c r="P475" i="35"/>
  <c r="Q475" i="35"/>
  <c r="R475" i="35"/>
  <c r="S475" i="35"/>
  <c r="T475" i="35"/>
  <c r="U475" i="35"/>
  <c r="V475" i="35"/>
  <c r="W475" i="35"/>
  <c r="X475" i="35"/>
  <c r="Y475" i="35"/>
  <c r="Z475" i="35"/>
  <c r="AA475" i="35"/>
  <c r="AB475" i="35"/>
  <c r="AC475" i="35"/>
  <c r="AD475" i="35"/>
  <c r="AE475" i="35"/>
  <c r="AF475" i="35"/>
  <c r="AG475" i="35"/>
  <c r="AH475" i="35"/>
  <c r="AI475" i="35"/>
  <c r="G476" i="35"/>
  <c r="H476" i="35"/>
  <c r="I476" i="35"/>
  <c r="J476" i="35"/>
  <c r="K476" i="35"/>
  <c r="L476" i="35"/>
  <c r="M476" i="35"/>
  <c r="N476" i="35"/>
  <c r="O476" i="35"/>
  <c r="P476" i="35"/>
  <c r="Q476" i="35"/>
  <c r="R476" i="35"/>
  <c r="S476" i="35"/>
  <c r="T476" i="35"/>
  <c r="U476" i="35"/>
  <c r="V476" i="35"/>
  <c r="W476" i="35"/>
  <c r="X476" i="35"/>
  <c r="Y476" i="35"/>
  <c r="Z476" i="35"/>
  <c r="AA476" i="35"/>
  <c r="AB476" i="35"/>
  <c r="AC476" i="35"/>
  <c r="AD476" i="35"/>
  <c r="AE476" i="35"/>
  <c r="AF476" i="35"/>
  <c r="AG476" i="35"/>
  <c r="AH476" i="35"/>
  <c r="AI476" i="35"/>
  <c r="G477" i="35"/>
  <c r="H477" i="35"/>
  <c r="I477" i="35"/>
  <c r="J477" i="35"/>
  <c r="K477" i="35"/>
  <c r="L477" i="35"/>
  <c r="M477" i="35"/>
  <c r="N477" i="35"/>
  <c r="O477" i="35"/>
  <c r="P477" i="35"/>
  <c r="Q477" i="35"/>
  <c r="R477" i="35"/>
  <c r="S477" i="35"/>
  <c r="T477" i="35"/>
  <c r="U477" i="35"/>
  <c r="V477" i="35"/>
  <c r="W477" i="35"/>
  <c r="X477" i="35"/>
  <c r="Y477" i="35"/>
  <c r="Z477" i="35"/>
  <c r="AA477" i="35"/>
  <c r="AB477" i="35"/>
  <c r="AC477" i="35"/>
  <c r="AD477" i="35"/>
  <c r="AE477" i="35"/>
  <c r="AF477" i="35"/>
  <c r="AG477" i="35"/>
  <c r="AH477" i="35"/>
  <c r="AI477" i="35"/>
  <c r="G478" i="35"/>
  <c r="H478" i="35"/>
  <c r="I478" i="35"/>
  <c r="J478" i="35"/>
  <c r="K478" i="35"/>
  <c r="L478" i="35"/>
  <c r="M478" i="35"/>
  <c r="N478" i="35"/>
  <c r="O478" i="35"/>
  <c r="P478" i="35"/>
  <c r="Q478" i="35"/>
  <c r="R478" i="35"/>
  <c r="S478" i="35"/>
  <c r="T478" i="35"/>
  <c r="U478" i="35"/>
  <c r="V478" i="35"/>
  <c r="W478" i="35"/>
  <c r="X478" i="35"/>
  <c r="Y478" i="35"/>
  <c r="Z478" i="35"/>
  <c r="AA478" i="35"/>
  <c r="AB478" i="35"/>
  <c r="AC478" i="35"/>
  <c r="AD478" i="35"/>
  <c r="AE478" i="35"/>
  <c r="AF478" i="35"/>
  <c r="AG478" i="35"/>
  <c r="AH478" i="35"/>
  <c r="AI478" i="35"/>
  <c r="G479" i="35"/>
  <c r="H479" i="35"/>
  <c r="I479" i="35"/>
  <c r="J479" i="35"/>
  <c r="K479" i="35"/>
  <c r="L479" i="35"/>
  <c r="M479" i="35"/>
  <c r="N479" i="35"/>
  <c r="O479" i="35"/>
  <c r="P479" i="35"/>
  <c r="Q479" i="35"/>
  <c r="R479" i="35"/>
  <c r="S479" i="35"/>
  <c r="T479" i="35"/>
  <c r="U479" i="35"/>
  <c r="V479" i="35"/>
  <c r="W479" i="35"/>
  <c r="X479" i="35"/>
  <c r="Y479" i="35"/>
  <c r="Z479" i="35"/>
  <c r="AA479" i="35"/>
  <c r="AB479" i="35"/>
  <c r="AC479" i="35"/>
  <c r="AD479" i="35"/>
  <c r="AE479" i="35"/>
  <c r="AF479" i="35"/>
  <c r="AG479" i="35"/>
  <c r="AH479" i="35"/>
  <c r="AI479" i="35"/>
  <c r="G480" i="35"/>
  <c r="H480" i="35"/>
  <c r="I480" i="35"/>
  <c r="J480" i="35"/>
  <c r="K480" i="35"/>
  <c r="L480" i="35"/>
  <c r="M480" i="35"/>
  <c r="N480" i="35"/>
  <c r="O480" i="35"/>
  <c r="P480" i="35"/>
  <c r="Q480" i="35"/>
  <c r="R480" i="35"/>
  <c r="S480" i="35"/>
  <c r="T480" i="35"/>
  <c r="U480" i="35"/>
  <c r="V480" i="35"/>
  <c r="W480" i="35"/>
  <c r="X480" i="35"/>
  <c r="Y480" i="35"/>
  <c r="Z480" i="35"/>
  <c r="AA480" i="35"/>
  <c r="AB480" i="35"/>
  <c r="AC480" i="35"/>
  <c r="AD480" i="35"/>
  <c r="AE480" i="35"/>
  <c r="AF480" i="35"/>
  <c r="AG480" i="35"/>
  <c r="AH480" i="35"/>
  <c r="AI480" i="35"/>
  <c r="G481" i="35"/>
  <c r="H481" i="35"/>
  <c r="I481" i="35"/>
  <c r="J481" i="35"/>
  <c r="K481" i="35"/>
  <c r="L481" i="35"/>
  <c r="M481" i="35"/>
  <c r="N481" i="35"/>
  <c r="O481" i="35"/>
  <c r="P481" i="35"/>
  <c r="Q481" i="35"/>
  <c r="R481" i="35"/>
  <c r="S481" i="35"/>
  <c r="T481" i="35"/>
  <c r="U481" i="35"/>
  <c r="V481" i="35"/>
  <c r="W481" i="35"/>
  <c r="X481" i="35"/>
  <c r="Y481" i="35"/>
  <c r="Z481" i="35"/>
  <c r="AA481" i="35"/>
  <c r="AB481" i="35"/>
  <c r="AC481" i="35"/>
  <c r="AD481" i="35"/>
  <c r="AE481" i="35"/>
  <c r="AF481" i="35"/>
  <c r="AG481" i="35"/>
  <c r="AH481" i="35"/>
  <c r="AI481" i="35"/>
  <c r="G482" i="35"/>
  <c r="H482" i="35"/>
  <c r="I482" i="35"/>
  <c r="J482" i="35"/>
  <c r="K482" i="35"/>
  <c r="L482" i="35"/>
  <c r="M482" i="35"/>
  <c r="N482" i="35"/>
  <c r="O482" i="35"/>
  <c r="P482" i="35"/>
  <c r="Q482" i="35"/>
  <c r="R482" i="35"/>
  <c r="S482" i="35"/>
  <c r="T482" i="35"/>
  <c r="U482" i="35"/>
  <c r="V482" i="35"/>
  <c r="W482" i="35"/>
  <c r="X482" i="35"/>
  <c r="Y482" i="35"/>
  <c r="Z482" i="35"/>
  <c r="AA482" i="35"/>
  <c r="AB482" i="35"/>
  <c r="AC482" i="35"/>
  <c r="AD482" i="35"/>
  <c r="AE482" i="35"/>
  <c r="AF482" i="35"/>
  <c r="AG482" i="35"/>
  <c r="AH482" i="35"/>
  <c r="AI482" i="35"/>
  <c r="G483" i="35"/>
  <c r="H483" i="35"/>
  <c r="I483" i="35"/>
  <c r="J483" i="35"/>
  <c r="K483" i="35"/>
  <c r="L483" i="35"/>
  <c r="M483" i="35"/>
  <c r="N483" i="35"/>
  <c r="O483" i="35"/>
  <c r="P483" i="35"/>
  <c r="Q483" i="35"/>
  <c r="R483" i="35"/>
  <c r="S483" i="35"/>
  <c r="T483" i="35"/>
  <c r="U483" i="35"/>
  <c r="V483" i="35"/>
  <c r="W483" i="35"/>
  <c r="X483" i="35"/>
  <c r="Y483" i="35"/>
  <c r="Z483" i="35"/>
  <c r="AA483" i="35"/>
  <c r="AB483" i="35"/>
  <c r="AC483" i="35"/>
  <c r="AD483" i="35"/>
  <c r="AE483" i="35"/>
  <c r="AF483" i="35"/>
  <c r="AG483" i="35"/>
  <c r="AH483" i="35"/>
  <c r="AI483" i="35"/>
  <c r="G484" i="35"/>
  <c r="H484" i="35"/>
  <c r="I484" i="35"/>
  <c r="J484" i="35"/>
  <c r="K484" i="35"/>
  <c r="L484" i="35"/>
  <c r="M484" i="35"/>
  <c r="N484" i="35"/>
  <c r="O484" i="35"/>
  <c r="P484" i="35"/>
  <c r="Q484" i="35"/>
  <c r="R484" i="35"/>
  <c r="S484" i="35"/>
  <c r="T484" i="35"/>
  <c r="U484" i="35"/>
  <c r="V484" i="35"/>
  <c r="W484" i="35"/>
  <c r="X484" i="35"/>
  <c r="Y484" i="35"/>
  <c r="Z484" i="35"/>
  <c r="AA484" i="35"/>
  <c r="AB484" i="35"/>
  <c r="AC484" i="35"/>
  <c r="AD484" i="35"/>
  <c r="AE484" i="35"/>
  <c r="AF484" i="35"/>
  <c r="AG484" i="35"/>
  <c r="AH484" i="35"/>
  <c r="AI484" i="35"/>
  <c r="G485" i="35"/>
  <c r="H485" i="35"/>
  <c r="I485" i="35"/>
  <c r="J485" i="35"/>
  <c r="K485" i="35"/>
  <c r="L485" i="35"/>
  <c r="M485" i="35"/>
  <c r="N485" i="35"/>
  <c r="O485" i="35"/>
  <c r="P485" i="35"/>
  <c r="Q485" i="35"/>
  <c r="R485" i="35"/>
  <c r="S485" i="35"/>
  <c r="T485" i="35"/>
  <c r="U485" i="35"/>
  <c r="V485" i="35"/>
  <c r="W485" i="35"/>
  <c r="X485" i="35"/>
  <c r="Y485" i="35"/>
  <c r="Z485" i="35"/>
  <c r="AA485" i="35"/>
  <c r="AB485" i="35"/>
  <c r="AC485" i="35"/>
  <c r="AD485" i="35"/>
  <c r="AE485" i="35"/>
  <c r="AF485" i="35"/>
  <c r="AG485" i="35"/>
  <c r="AH485" i="35"/>
  <c r="AI485" i="35"/>
  <c r="G486" i="35"/>
  <c r="H486" i="35"/>
  <c r="I486" i="35"/>
  <c r="J486" i="35"/>
  <c r="K486" i="35"/>
  <c r="L486" i="35"/>
  <c r="M486" i="35"/>
  <c r="N486" i="35"/>
  <c r="O486" i="35"/>
  <c r="P486" i="35"/>
  <c r="Q486" i="35"/>
  <c r="R486" i="35"/>
  <c r="S486" i="35"/>
  <c r="T486" i="35"/>
  <c r="U486" i="35"/>
  <c r="V486" i="35"/>
  <c r="W486" i="35"/>
  <c r="X486" i="35"/>
  <c r="Y486" i="35"/>
  <c r="Z486" i="35"/>
  <c r="AA486" i="35"/>
  <c r="AB486" i="35"/>
  <c r="AC486" i="35"/>
  <c r="AD486" i="35"/>
  <c r="AE486" i="35"/>
  <c r="AF486" i="35"/>
  <c r="AG486" i="35"/>
  <c r="AH486" i="35"/>
  <c r="AI486" i="35"/>
  <c r="G487" i="35"/>
  <c r="H487" i="35"/>
  <c r="I487" i="35"/>
  <c r="J487" i="35"/>
  <c r="K487" i="35"/>
  <c r="L487" i="35"/>
  <c r="M487" i="35"/>
  <c r="N487" i="35"/>
  <c r="O487" i="35"/>
  <c r="P487" i="35"/>
  <c r="Q487" i="35"/>
  <c r="R487" i="35"/>
  <c r="S487" i="35"/>
  <c r="T487" i="35"/>
  <c r="U487" i="35"/>
  <c r="V487" i="35"/>
  <c r="W487" i="35"/>
  <c r="X487" i="35"/>
  <c r="Y487" i="35"/>
  <c r="Z487" i="35"/>
  <c r="AA487" i="35"/>
  <c r="AB487" i="35"/>
  <c r="AC487" i="35"/>
  <c r="AD487" i="35"/>
  <c r="AE487" i="35"/>
  <c r="AF487" i="35"/>
  <c r="AG487" i="35"/>
  <c r="AH487" i="35"/>
  <c r="AI487" i="35"/>
  <c r="F466" i="35"/>
  <c r="F467" i="35"/>
  <c r="F468" i="35"/>
  <c r="F469" i="35"/>
  <c r="F470" i="35"/>
  <c r="F471" i="35"/>
  <c r="F472" i="35"/>
  <c r="F473" i="35"/>
  <c r="F474" i="35"/>
  <c r="F475" i="35"/>
  <c r="F476" i="35"/>
  <c r="F477" i="35"/>
  <c r="F478" i="35"/>
  <c r="F479" i="35"/>
  <c r="F480" i="35"/>
  <c r="F481" i="35"/>
  <c r="F482" i="35"/>
  <c r="F483" i="35"/>
  <c r="F484" i="35"/>
  <c r="F485" i="35"/>
  <c r="F486" i="35"/>
  <c r="F487" i="35"/>
  <c r="E466" i="35"/>
  <c r="E467" i="35"/>
  <c r="E468" i="35"/>
  <c r="E469" i="35"/>
  <c r="E470" i="35"/>
  <c r="E471" i="35"/>
  <c r="E472" i="35"/>
  <c r="E473" i="35"/>
  <c r="E474" i="35"/>
  <c r="E475" i="35"/>
  <c r="E476" i="35"/>
  <c r="E477" i="35"/>
  <c r="E478" i="35"/>
  <c r="E479" i="35"/>
  <c r="E480" i="35"/>
  <c r="E481" i="35"/>
  <c r="E482" i="35"/>
  <c r="E483" i="35"/>
  <c r="E484" i="35"/>
  <c r="E485" i="35"/>
  <c r="E486" i="35"/>
  <c r="E487" i="35"/>
  <c r="D466" i="35"/>
  <c r="D467" i="35"/>
  <c r="D468" i="35"/>
  <c r="D469" i="35"/>
  <c r="D470" i="35"/>
  <c r="D471" i="35"/>
  <c r="D472" i="35"/>
  <c r="D473" i="35"/>
  <c r="D474" i="35"/>
  <c r="D475" i="35"/>
  <c r="D476" i="35"/>
  <c r="D477" i="35"/>
  <c r="D478" i="35"/>
  <c r="D479" i="35"/>
  <c r="D480" i="35"/>
  <c r="D481" i="35"/>
  <c r="D482" i="35"/>
  <c r="D483" i="35"/>
  <c r="D484" i="35"/>
  <c r="D485" i="35"/>
  <c r="D486" i="35"/>
  <c r="D487" i="35"/>
  <c r="C467" i="35"/>
  <c r="C468" i="35"/>
  <c r="C469" i="35"/>
  <c r="C470" i="35"/>
  <c r="C471" i="35"/>
  <c r="C472" i="35"/>
  <c r="C473" i="35"/>
  <c r="C474" i="35"/>
  <c r="C475" i="35"/>
  <c r="C476" i="35"/>
  <c r="C477" i="35"/>
  <c r="C478" i="35"/>
  <c r="C479" i="35"/>
  <c r="C480" i="35"/>
  <c r="C481" i="35"/>
  <c r="C482" i="35"/>
  <c r="C483" i="35"/>
  <c r="C484" i="35"/>
  <c r="C485" i="35"/>
  <c r="C486" i="35"/>
  <c r="C487" i="35"/>
  <c r="C466" i="35"/>
  <c r="AC294" i="36"/>
  <c r="AD294" i="36"/>
  <c r="AE294" i="36"/>
  <c r="AF294" i="36"/>
  <c r="AG294" i="36"/>
  <c r="AH294" i="36"/>
  <c r="AI294" i="36"/>
  <c r="AJ294" i="36"/>
  <c r="AK294" i="36"/>
  <c r="AL294" i="36"/>
  <c r="AM294" i="36"/>
  <c r="AN294" i="36"/>
  <c r="AC295" i="36"/>
  <c r="AD295" i="36"/>
  <c r="AE295" i="36"/>
  <c r="AF295" i="36"/>
  <c r="AG295" i="36"/>
  <c r="AH295" i="36"/>
  <c r="AI295" i="36"/>
  <c r="AJ295" i="36"/>
  <c r="AK295" i="36"/>
  <c r="AL295" i="36"/>
  <c r="AM295" i="36"/>
  <c r="AN295" i="36"/>
  <c r="AC296" i="36"/>
  <c r="AD296" i="36"/>
  <c r="AE296" i="36"/>
  <c r="AF296" i="36"/>
  <c r="AG296" i="36"/>
  <c r="AH296" i="36"/>
  <c r="AI296" i="36"/>
  <c r="AJ296" i="36"/>
  <c r="AK296" i="36"/>
  <c r="AL296" i="36"/>
  <c r="AM296" i="36"/>
  <c r="AN296" i="36"/>
  <c r="AC297" i="36"/>
  <c r="AD297" i="36"/>
  <c r="AE297" i="36"/>
  <c r="AF297" i="36"/>
  <c r="AG297" i="36"/>
  <c r="AH297" i="36"/>
  <c r="AI297" i="36"/>
  <c r="AJ297" i="36"/>
  <c r="AK297" i="36"/>
  <c r="AL297" i="36"/>
  <c r="AM297" i="36"/>
  <c r="AN297" i="36"/>
  <c r="AC298" i="36"/>
  <c r="AD298" i="36"/>
  <c r="AE298" i="36"/>
  <c r="AF298" i="36"/>
  <c r="AG298" i="36"/>
  <c r="AH298" i="36"/>
  <c r="AI298" i="36"/>
  <c r="AJ298" i="36"/>
  <c r="AK298" i="36"/>
  <c r="AL298" i="36"/>
  <c r="AM298" i="36"/>
  <c r="AN298" i="36"/>
  <c r="AC299" i="36"/>
  <c r="AD299" i="36"/>
  <c r="AE299" i="36"/>
  <c r="AF299" i="36"/>
  <c r="AG299" i="36"/>
  <c r="AH299" i="36"/>
  <c r="AI299" i="36"/>
  <c r="AJ299" i="36"/>
  <c r="AK299" i="36"/>
  <c r="AL299" i="36"/>
  <c r="AM299" i="36"/>
  <c r="AN299" i="36"/>
  <c r="AC300" i="36"/>
  <c r="AD300" i="36"/>
  <c r="AE300" i="36"/>
  <c r="AF300" i="36"/>
  <c r="AG300" i="36"/>
  <c r="AH300" i="36"/>
  <c r="AI300" i="36"/>
  <c r="AJ300" i="36"/>
  <c r="AK300" i="36"/>
  <c r="AL300" i="36"/>
  <c r="AM300" i="36"/>
  <c r="AN300" i="36"/>
  <c r="AC301" i="36"/>
  <c r="AD301" i="36"/>
  <c r="AE301" i="36"/>
  <c r="AF301" i="36"/>
  <c r="AG301" i="36"/>
  <c r="AH301" i="36"/>
  <c r="AI301" i="36"/>
  <c r="AJ301" i="36"/>
  <c r="AK301" i="36"/>
  <c r="AL301" i="36"/>
  <c r="AM301" i="36"/>
  <c r="AN301" i="36"/>
  <c r="AC302" i="36"/>
  <c r="AD302" i="36"/>
  <c r="AE302" i="36"/>
  <c r="AF302" i="36"/>
  <c r="AG302" i="36"/>
  <c r="AH302" i="36"/>
  <c r="AI302" i="36"/>
  <c r="AJ302" i="36"/>
  <c r="AK302" i="36"/>
  <c r="AL302" i="36"/>
  <c r="AM302" i="36"/>
  <c r="AN302" i="36"/>
  <c r="AC303" i="36"/>
  <c r="AD303" i="36"/>
  <c r="AE303" i="36"/>
  <c r="AF303" i="36"/>
  <c r="AG303" i="36"/>
  <c r="AH303" i="36"/>
  <c r="AI303" i="36"/>
  <c r="AJ303" i="36"/>
  <c r="AK303" i="36"/>
  <c r="AL303" i="36"/>
  <c r="AM303" i="36"/>
  <c r="AN303" i="36"/>
  <c r="AC304" i="36"/>
  <c r="AD304" i="36"/>
  <c r="AE304" i="36"/>
  <c r="AF304" i="36"/>
  <c r="AG304" i="36"/>
  <c r="AH304" i="36"/>
  <c r="AI304" i="36"/>
  <c r="AJ304" i="36"/>
  <c r="AK304" i="36"/>
  <c r="AL304" i="36"/>
  <c r="AM304" i="36"/>
  <c r="AN304" i="36"/>
  <c r="AC305" i="36"/>
  <c r="AD305" i="36"/>
  <c r="AE305" i="36"/>
  <c r="AF305" i="36"/>
  <c r="AG305" i="36"/>
  <c r="AH305" i="36"/>
  <c r="AI305" i="36"/>
  <c r="AJ305" i="36"/>
  <c r="AK305" i="36"/>
  <c r="AL305" i="36"/>
  <c r="AM305" i="36"/>
  <c r="AN305" i="36"/>
  <c r="AC306" i="36"/>
  <c r="AD306" i="36"/>
  <c r="AE306" i="36"/>
  <c r="AF306" i="36"/>
  <c r="AG306" i="36"/>
  <c r="AH306" i="36"/>
  <c r="AI306" i="36"/>
  <c r="AJ306" i="36"/>
  <c r="AK306" i="36"/>
  <c r="AL306" i="36"/>
  <c r="AM306" i="36"/>
  <c r="AN306" i="36"/>
  <c r="AC307" i="36"/>
  <c r="AD307" i="36"/>
  <c r="AE307" i="36"/>
  <c r="AF307" i="36"/>
  <c r="AG307" i="36"/>
  <c r="AH307" i="36"/>
  <c r="AI307" i="36"/>
  <c r="AJ307" i="36"/>
  <c r="AK307" i="36"/>
  <c r="AL307" i="36"/>
  <c r="AM307" i="36"/>
  <c r="AN307" i="36"/>
  <c r="AC308" i="36"/>
  <c r="AD308" i="36"/>
  <c r="AE308" i="36"/>
  <c r="AF308" i="36"/>
  <c r="AG308" i="36"/>
  <c r="AH308" i="36"/>
  <c r="AI308" i="36"/>
  <c r="AJ308" i="36"/>
  <c r="AK308" i="36"/>
  <c r="AL308" i="36"/>
  <c r="AM308" i="36"/>
  <c r="AN308" i="36"/>
  <c r="AA295" i="36"/>
  <c r="AA296" i="36"/>
  <c r="AA297" i="36"/>
  <c r="AA298" i="36"/>
  <c r="AA299" i="36"/>
  <c r="AA300" i="36"/>
  <c r="AA301" i="36"/>
  <c r="AA302" i="36"/>
  <c r="AA303" i="36"/>
  <c r="AA304" i="36"/>
  <c r="AA305" i="36"/>
  <c r="AA306" i="36"/>
  <c r="AA307" i="36"/>
  <c r="AA308" i="36"/>
  <c r="D294" i="36"/>
  <c r="E294" i="36"/>
  <c r="F294" i="36"/>
  <c r="G294" i="36"/>
  <c r="H294" i="36"/>
  <c r="I294" i="36"/>
  <c r="J294" i="36"/>
  <c r="K294" i="36"/>
  <c r="L294" i="36"/>
  <c r="M294" i="36"/>
  <c r="N294" i="36"/>
  <c r="O294" i="36"/>
  <c r="P294" i="36"/>
  <c r="Q294" i="36"/>
  <c r="R294" i="36"/>
  <c r="S294" i="36"/>
  <c r="T294" i="36"/>
  <c r="U294" i="36"/>
  <c r="V294" i="36"/>
  <c r="W294" i="36"/>
  <c r="X294" i="36"/>
  <c r="Y294" i="36"/>
  <c r="Z294" i="36"/>
  <c r="AA294" i="36"/>
  <c r="D295" i="36"/>
  <c r="E295" i="36"/>
  <c r="F295" i="36"/>
  <c r="G295" i="36"/>
  <c r="H295" i="36"/>
  <c r="I295" i="36"/>
  <c r="J295" i="36"/>
  <c r="K295" i="36"/>
  <c r="L295" i="36"/>
  <c r="M295" i="36"/>
  <c r="N295" i="36"/>
  <c r="O295" i="36"/>
  <c r="P295" i="36"/>
  <c r="Q295" i="36"/>
  <c r="R295" i="36"/>
  <c r="S295" i="36"/>
  <c r="T295" i="36"/>
  <c r="U295" i="36"/>
  <c r="V295" i="36"/>
  <c r="W295" i="36"/>
  <c r="X295" i="36"/>
  <c r="Y295" i="36"/>
  <c r="Z295" i="36"/>
  <c r="D296" i="36"/>
  <c r="E296" i="36"/>
  <c r="F296" i="36"/>
  <c r="G296" i="36"/>
  <c r="H296" i="36"/>
  <c r="I296" i="36"/>
  <c r="J296" i="36"/>
  <c r="K296" i="36"/>
  <c r="L296" i="36"/>
  <c r="M296" i="36"/>
  <c r="N296" i="36"/>
  <c r="O296" i="36"/>
  <c r="P296" i="36"/>
  <c r="Q296" i="36"/>
  <c r="R296" i="36"/>
  <c r="S296" i="36"/>
  <c r="T296" i="36"/>
  <c r="U296" i="36"/>
  <c r="V296" i="36"/>
  <c r="W296" i="36"/>
  <c r="X296" i="36"/>
  <c r="Y296" i="36"/>
  <c r="Z296" i="36"/>
  <c r="D297" i="36"/>
  <c r="E297" i="36"/>
  <c r="F297" i="36"/>
  <c r="G297" i="36"/>
  <c r="H297" i="36"/>
  <c r="I297" i="36"/>
  <c r="J297" i="36"/>
  <c r="K297" i="36"/>
  <c r="L297" i="36"/>
  <c r="M297" i="36"/>
  <c r="N297" i="36"/>
  <c r="O297" i="36"/>
  <c r="P297" i="36"/>
  <c r="Q297" i="36"/>
  <c r="R297" i="36"/>
  <c r="S297" i="36"/>
  <c r="T297" i="36"/>
  <c r="U297" i="36"/>
  <c r="V297" i="36"/>
  <c r="W297" i="36"/>
  <c r="X297" i="36"/>
  <c r="Y297" i="36"/>
  <c r="Z297" i="36"/>
  <c r="D298" i="36"/>
  <c r="E298" i="36"/>
  <c r="F298" i="36"/>
  <c r="G298" i="36"/>
  <c r="H298" i="36"/>
  <c r="I298" i="36"/>
  <c r="J298" i="36"/>
  <c r="K298" i="36"/>
  <c r="L298" i="36"/>
  <c r="M298" i="36"/>
  <c r="N298" i="36"/>
  <c r="O298" i="36"/>
  <c r="P298" i="36"/>
  <c r="Q298" i="36"/>
  <c r="R298" i="36"/>
  <c r="S298" i="36"/>
  <c r="T298" i="36"/>
  <c r="U298" i="36"/>
  <c r="V298" i="36"/>
  <c r="W298" i="36"/>
  <c r="X298" i="36"/>
  <c r="Y298" i="36"/>
  <c r="Z298" i="36"/>
  <c r="D299" i="36"/>
  <c r="E299" i="36"/>
  <c r="F299" i="36"/>
  <c r="G299" i="36"/>
  <c r="H299" i="36"/>
  <c r="I299" i="36"/>
  <c r="J299" i="36"/>
  <c r="K299" i="36"/>
  <c r="L299" i="36"/>
  <c r="M299" i="36"/>
  <c r="N299" i="36"/>
  <c r="O299" i="36"/>
  <c r="P299" i="36"/>
  <c r="Q299" i="36"/>
  <c r="R299" i="36"/>
  <c r="S299" i="36"/>
  <c r="T299" i="36"/>
  <c r="U299" i="36"/>
  <c r="V299" i="36"/>
  <c r="W299" i="36"/>
  <c r="X299" i="36"/>
  <c r="Y299" i="36"/>
  <c r="Z299" i="36"/>
  <c r="D300" i="36"/>
  <c r="E300" i="36"/>
  <c r="F300" i="36"/>
  <c r="G300" i="36"/>
  <c r="H300" i="36"/>
  <c r="I300" i="36"/>
  <c r="J300" i="36"/>
  <c r="K300" i="36"/>
  <c r="L300" i="36"/>
  <c r="M300" i="36"/>
  <c r="N300" i="36"/>
  <c r="O300" i="36"/>
  <c r="P300" i="36"/>
  <c r="Q300" i="36"/>
  <c r="R300" i="36"/>
  <c r="S300" i="36"/>
  <c r="T300" i="36"/>
  <c r="U300" i="36"/>
  <c r="V300" i="36"/>
  <c r="W300" i="36"/>
  <c r="X300" i="36"/>
  <c r="Y300" i="36"/>
  <c r="Z300" i="36"/>
  <c r="D301" i="36"/>
  <c r="E301" i="36"/>
  <c r="F301" i="36"/>
  <c r="G301" i="36"/>
  <c r="H301" i="36"/>
  <c r="I301" i="36"/>
  <c r="J301" i="36"/>
  <c r="K301" i="36"/>
  <c r="L301" i="36"/>
  <c r="M301" i="36"/>
  <c r="N301" i="36"/>
  <c r="O301" i="36"/>
  <c r="P301" i="36"/>
  <c r="Q301" i="36"/>
  <c r="R301" i="36"/>
  <c r="S301" i="36"/>
  <c r="T301" i="36"/>
  <c r="U301" i="36"/>
  <c r="V301" i="36"/>
  <c r="W301" i="36"/>
  <c r="X301" i="36"/>
  <c r="Y301" i="36"/>
  <c r="Z301" i="36"/>
  <c r="D302" i="36"/>
  <c r="E302" i="36"/>
  <c r="F302" i="36"/>
  <c r="G302" i="36"/>
  <c r="H302" i="36"/>
  <c r="I302" i="36"/>
  <c r="J302" i="36"/>
  <c r="K302" i="36"/>
  <c r="L302" i="36"/>
  <c r="M302" i="36"/>
  <c r="N302" i="36"/>
  <c r="O302" i="36"/>
  <c r="P302" i="36"/>
  <c r="Q302" i="36"/>
  <c r="R302" i="36"/>
  <c r="S302" i="36"/>
  <c r="T302" i="36"/>
  <c r="U302" i="36"/>
  <c r="V302" i="36"/>
  <c r="W302" i="36"/>
  <c r="X302" i="36"/>
  <c r="Y302" i="36"/>
  <c r="Z302" i="36"/>
  <c r="D303" i="36"/>
  <c r="E303" i="36"/>
  <c r="F303" i="36"/>
  <c r="G303" i="36"/>
  <c r="H303" i="36"/>
  <c r="I303" i="36"/>
  <c r="J303" i="36"/>
  <c r="K303" i="36"/>
  <c r="L303" i="36"/>
  <c r="M303" i="36"/>
  <c r="N303" i="36"/>
  <c r="O303" i="36"/>
  <c r="P303" i="36"/>
  <c r="Q303" i="36"/>
  <c r="R303" i="36"/>
  <c r="S303" i="36"/>
  <c r="T303" i="36"/>
  <c r="U303" i="36"/>
  <c r="V303" i="36"/>
  <c r="W303" i="36"/>
  <c r="X303" i="36"/>
  <c r="Y303" i="36"/>
  <c r="Z303" i="36"/>
  <c r="D304" i="36"/>
  <c r="E304" i="36"/>
  <c r="F304" i="36"/>
  <c r="G304" i="36"/>
  <c r="H304" i="36"/>
  <c r="I304" i="36"/>
  <c r="J304" i="36"/>
  <c r="K304" i="36"/>
  <c r="L304" i="36"/>
  <c r="M304" i="36"/>
  <c r="N304" i="36"/>
  <c r="O304" i="36"/>
  <c r="P304" i="36"/>
  <c r="Q304" i="36"/>
  <c r="R304" i="36"/>
  <c r="S304" i="36"/>
  <c r="T304" i="36"/>
  <c r="U304" i="36"/>
  <c r="V304" i="36"/>
  <c r="W304" i="36"/>
  <c r="X304" i="36"/>
  <c r="Y304" i="36"/>
  <c r="Z304" i="36"/>
  <c r="D305" i="36"/>
  <c r="E305" i="36"/>
  <c r="F305" i="36"/>
  <c r="G305" i="36"/>
  <c r="H305" i="36"/>
  <c r="I305" i="36"/>
  <c r="J305" i="36"/>
  <c r="K305" i="36"/>
  <c r="L305" i="36"/>
  <c r="M305" i="36"/>
  <c r="N305" i="36"/>
  <c r="O305" i="36"/>
  <c r="P305" i="36"/>
  <c r="Q305" i="36"/>
  <c r="R305" i="36"/>
  <c r="S305" i="36"/>
  <c r="T305" i="36"/>
  <c r="U305" i="36"/>
  <c r="V305" i="36"/>
  <c r="W305" i="36"/>
  <c r="X305" i="36"/>
  <c r="Y305" i="36"/>
  <c r="Z305" i="36"/>
  <c r="D306" i="36"/>
  <c r="E306" i="36"/>
  <c r="F306" i="36"/>
  <c r="G306" i="36"/>
  <c r="H306" i="36"/>
  <c r="I306" i="36"/>
  <c r="J306" i="36"/>
  <c r="K306" i="36"/>
  <c r="L306" i="36"/>
  <c r="M306" i="36"/>
  <c r="N306" i="36"/>
  <c r="O306" i="36"/>
  <c r="P306" i="36"/>
  <c r="Q306" i="36"/>
  <c r="R306" i="36"/>
  <c r="S306" i="36"/>
  <c r="T306" i="36"/>
  <c r="U306" i="36"/>
  <c r="V306" i="36"/>
  <c r="W306" i="36"/>
  <c r="X306" i="36"/>
  <c r="Y306" i="36"/>
  <c r="Z306" i="36"/>
  <c r="D307" i="36"/>
  <c r="E307" i="36"/>
  <c r="F307" i="36"/>
  <c r="G307" i="36"/>
  <c r="H307" i="36"/>
  <c r="I307" i="36"/>
  <c r="J307" i="36"/>
  <c r="K307" i="36"/>
  <c r="L307" i="36"/>
  <c r="M307" i="36"/>
  <c r="N307" i="36"/>
  <c r="O307" i="36"/>
  <c r="P307" i="36"/>
  <c r="Q307" i="36"/>
  <c r="R307" i="36"/>
  <c r="S307" i="36"/>
  <c r="T307" i="36"/>
  <c r="U307" i="36"/>
  <c r="V307" i="36"/>
  <c r="W307" i="36"/>
  <c r="X307" i="36"/>
  <c r="Y307" i="36"/>
  <c r="Z307" i="36"/>
  <c r="D308" i="36"/>
  <c r="E308" i="36"/>
  <c r="F308" i="36"/>
  <c r="G308" i="36"/>
  <c r="H308" i="36"/>
  <c r="I308" i="36"/>
  <c r="J308" i="36"/>
  <c r="K308" i="36"/>
  <c r="L308" i="36"/>
  <c r="M308" i="36"/>
  <c r="N308" i="36"/>
  <c r="O308" i="36"/>
  <c r="P308" i="36"/>
  <c r="Q308" i="36"/>
  <c r="R308" i="36"/>
  <c r="S308" i="36"/>
  <c r="T308" i="36"/>
  <c r="U308" i="36"/>
  <c r="V308" i="36"/>
  <c r="W308" i="36"/>
  <c r="X308" i="36"/>
  <c r="Y308" i="36"/>
  <c r="Z308" i="36"/>
  <c r="C295" i="36"/>
  <c r="C296" i="36"/>
  <c r="C297" i="36"/>
  <c r="C298" i="36"/>
  <c r="C299" i="36"/>
  <c r="C300" i="36"/>
  <c r="C301" i="36"/>
  <c r="C302" i="36"/>
  <c r="C303" i="36"/>
  <c r="C304" i="36"/>
  <c r="C305" i="36"/>
  <c r="C306" i="36"/>
  <c r="C307" i="36"/>
  <c r="C308" i="36"/>
  <c r="B115" i="36"/>
  <c r="AB115" i="36"/>
  <c r="B116" i="36"/>
  <c r="AB116" i="36"/>
  <c r="C117" i="36"/>
  <c r="D117" i="36"/>
  <c r="E117" i="36"/>
  <c r="F117" i="36"/>
  <c r="G117" i="36"/>
  <c r="H117" i="36"/>
  <c r="I117" i="36"/>
  <c r="J117" i="36"/>
  <c r="K117" i="36"/>
  <c r="L117" i="36"/>
  <c r="M117" i="36"/>
  <c r="N117" i="36"/>
  <c r="O117" i="36"/>
  <c r="P117" i="36"/>
  <c r="Q117" i="36"/>
  <c r="R117" i="36"/>
  <c r="S117" i="36"/>
  <c r="T117" i="36"/>
  <c r="U117" i="36"/>
  <c r="V117" i="36"/>
  <c r="W117" i="36"/>
  <c r="X117" i="36"/>
  <c r="Y117" i="36"/>
  <c r="Z117" i="36"/>
  <c r="AA117" i="36"/>
  <c r="AC117" i="36"/>
  <c r="AD117" i="36"/>
  <c r="AE117" i="36"/>
  <c r="AF117" i="36"/>
  <c r="AG117" i="36"/>
  <c r="AH117" i="36"/>
  <c r="AI117" i="36"/>
  <c r="AJ117" i="36"/>
  <c r="AK117" i="36"/>
  <c r="AL117" i="36"/>
  <c r="AM117" i="36"/>
  <c r="AA309" i="36" l="1"/>
  <c r="AN309" i="36"/>
  <c r="AM309" i="36"/>
  <c r="AL309" i="36"/>
  <c r="AK309" i="36"/>
  <c r="AJ309" i="36"/>
  <c r="AI309" i="36"/>
  <c r="AH309" i="36"/>
  <c r="AG309" i="36"/>
  <c r="AF309" i="36"/>
  <c r="AE309" i="36"/>
  <c r="AD309" i="36"/>
  <c r="AC309" i="36"/>
  <c r="Z309" i="36"/>
  <c r="Y309" i="36"/>
  <c r="X309" i="36"/>
  <c r="W309" i="36"/>
  <c r="V309" i="36"/>
  <c r="U309" i="36"/>
  <c r="T309" i="36"/>
  <c r="S309" i="36"/>
  <c r="R309" i="36"/>
  <c r="Q309" i="36"/>
  <c r="P309" i="36"/>
  <c r="O309" i="36"/>
  <c r="N309" i="36"/>
  <c r="M309" i="36"/>
  <c r="L309" i="36"/>
  <c r="K309" i="36"/>
  <c r="J309" i="36"/>
  <c r="I309" i="36"/>
  <c r="H309" i="36"/>
  <c r="G309" i="36"/>
  <c r="F309" i="36"/>
  <c r="E309" i="36"/>
  <c r="D309" i="36"/>
  <c r="B156" i="10"/>
  <c r="B112" i="36" l="1"/>
  <c r="AB112" i="36"/>
  <c r="B113" i="36"/>
  <c r="AB113" i="36"/>
  <c r="B114" i="36"/>
  <c r="AB114" i="36"/>
  <c r="AB109" i="36" l="1"/>
  <c r="AB110" i="36"/>
  <c r="AB111" i="36"/>
  <c r="AB103" i="36" l="1"/>
  <c r="AB104" i="36"/>
  <c r="AB105" i="36"/>
  <c r="AB106" i="36"/>
  <c r="AB107" i="36"/>
  <c r="AB108" i="36"/>
  <c r="B111" i="36"/>
  <c r="B110" i="36"/>
  <c r="B109" i="36"/>
  <c r="B108" i="36"/>
  <c r="B107" i="36"/>
  <c r="B106" i="36"/>
  <c r="B105" i="36"/>
  <c r="B104" i="36"/>
  <c r="B103" i="36"/>
  <c r="AB102" i="36"/>
  <c r="AB117" i="36" l="1"/>
  <c r="AC93" i="36"/>
  <c r="AD93" i="36"/>
  <c r="AE93" i="36"/>
  <c r="AF93" i="36"/>
  <c r="AG93" i="36"/>
  <c r="AH93" i="36"/>
  <c r="AI93" i="36"/>
  <c r="AJ93" i="36"/>
  <c r="AK93" i="36"/>
  <c r="AL93" i="36"/>
  <c r="AM93" i="36"/>
  <c r="AN93" i="36"/>
  <c r="AA93" i="36"/>
  <c r="AB79" i="36" l="1"/>
  <c r="AB80" i="36"/>
  <c r="AB81" i="36"/>
  <c r="AB82" i="36"/>
  <c r="AB83" i="36"/>
  <c r="AB84" i="36"/>
  <c r="AB85" i="36"/>
  <c r="AB86" i="36"/>
  <c r="AB87" i="36"/>
  <c r="AB88" i="36"/>
  <c r="AB89" i="36"/>
  <c r="AB90" i="36"/>
  <c r="AB91" i="36"/>
  <c r="AB92" i="36"/>
  <c r="AB78" i="36"/>
  <c r="B83" i="36" l="1"/>
  <c r="C93" i="36" l="1"/>
  <c r="D93" i="36"/>
  <c r="E93" i="36"/>
  <c r="F93" i="36"/>
  <c r="G93" i="36"/>
  <c r="H93" i="36"/>
  <c r="I93" i="36"/>
  <c r="J93" i="36"/>
  <c r="K93" i="36"/>
  <c r="L93" i="36"/>
  <c r="M93" i="36"/>
  <c r="N93" i="36"/>
  <c r="O93" i="36"/>
  <c r="P93" i="36"/>
  <c r="Q93" i="36"/>
  <c r="R93" i="36"/>
  <c r="S93" i="36"/>
  <c r="T93" i="36"/>
  <c r="U93" i="36"/>
  <c r="V93" i="36"/>
  <c r="W93" i="36"/>
  <c r="X93" i="36"/>
  <c r="Y93" i="36"/>
  <c r="Z93" i="36"/>
  <c r="AN117" i="36"/>
  <c r="AB93" i="36" l="1"/>
  <c r="AH467" i="33" l="1"/>
  <c r="AH468" i="33"/>
  <c r="AH469" i="33"/>
  <c r="AH470" i="33"/>
  <c r="AH471" i="33"/>
  <c r="AH472" i="33"/>
  <c r="AH473" i="33"/>
  <c r="AH474" i="33"/>
  <c r="AH475" i="33"/>
  <c r="AB56" i="36"/>
  <c r="AB57" i="36"/>
  <c r="AB58" i="36"/>
  <c r="AB59" i="36"/>
  <c r="AB60" i="36"/>
  <c r="AB61" i="36"/>
  <c r="AB62" i="36"/>
  <c r="AB63" i="36"/>
  <c r="AB64" i="36"/>
  <c r="AB65" i="36"/>
  <c r="AB66" i="36"/>
  <c r="AB67" i="36"/>
  <c r="AB68" i="36"/>
  <c r="AB69" i="36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C70" i="36" l="1"/>
  <c r="D70" i="36"/>
  <c r="E70" i="36"/>
  <c r="F70" i="36"/>
  <c r="G70" i="36"/>
  <c r="H70" i="36"/>
  <c r="I70" i="36"/>
  <c r="J70" i="36"/>
  <c r="K70" i="36"/>
  <c r="L70" i="36"/>
  <c r="M70" i="36"/>
  <c r="N70" i="36"/>
  <c r="O70" i="36"/>
  <c r="P70" i="36"/>
  <c r="Q70" i="36"/>
  <c r="R70" i="36"/>
  <c r="S70" i="36"/>
  <c r="T70" i="36"/>
  <c r="U70" i="36"/>
  <c r="V70" i="36"/>
  <c r="W70" i="36"/>
  <c r="X70" i="36"/>
  <c r="Y70" i="36"/>
  <c r="Z70" i="36"/>
  <c r="AC70" i="36"/>
  <c r="AD70" i="36"/>
  <c r="AE70" i="36"/>
  <c r="AF70" i="36"/>
  <c r="AG70" i="36"/>
  <c r="AH70" i="36"/>
  <c r="AI70" i="36"/>
  <c r="AJ70" i="36"/>
  <c r="AK70" i="36"/>
  <c r="AL70" i="36"/>
  <c r="AM70" i="36"/>
  <c r="AN70" i="36"/>
  <c r="AB55" i="36" l="1"/>
  <c r="AB70" i="36" s="1"/>
  <c r="D453" i="35" l="1"/>
  <c r="E453" i="35"/>
  <c r="F453" i="35"/>
  <c r="G453" i="35"/>
  <c r="H453" i="35"/>
  <c r="I453" i="35"/>
  <c r="J453" i="35"/>
  <c r="K453" i="35"/>
  <c r="L453" i="35"/>
  <c r="M453" i="35"/>
  <c r="N453" i="35"/>
  <c r="O453" i="35"/>
  <c r="P453" i="35"/>
  <c r="Q453" i="35"/>
  <c r="R453" i="35"/>
  <c r="S453" i="35"/>
  <c r="T453" i="35"/>
  <c r="U453" i="35"/>
  <c r="V453" i="35"/>
  <c r="W453" i="35"/>
  <c r="X453" i="35"/>
  <c r="Y453" i="35"/>
  <c r="Z453" i="35"/>
  <c r="AA453" i="35"/>
  <c r="AB453" i="35"/>
  <c r="AC453" i="35"/>
  <c r="AD453" i="35"/>
  <c r="AE453" i="35"/>
  <c r="AF453" i="35"/>
  <c r="AG453" i="35"/>
  <c r="AH453" i="35"/>
  <c r="AI453" i="35"/>
  <c r="C453" i="35"/>
  <c r="D451" i="29"/>
  <c r="E451" i="29"/>
  <c r="F451" i="29"/>
  <c r="G451" i="29"/>
  <c r="H451" i="29"/>
  <c r="I451" i="29"/>
  <c r="J451" i="29"/>
  <c r="K451" i="29"/>
  <c r="L451" i="29"/>
  <c r="M451" i="29"/>
  <c r="N451" i="29"/>
  <c r="O451" i="29"/>
  <c r="P451" i="29"/>
  <c r="Q451" i="29"/>
  <c r="R451" i="29"/>
  <c r="S451" i="29"/>
  <c r="T451" i="29"/>
  <c r="U451" i="29"/>
  <c r="V451" i="29"/>
  <c r="W451" i="29"/>
  <c r="X451" i="29"/>
  <c r="Y451" i="29"/>
  <c r="Z451" i="29"/>
  <c r="AA451" i="29"/>
  <c r="AB451" i="29"/>
  <c r="AC451" i="29"/>
  <c r="AD451" i="29"/>
  <c r="AE451" i="29"/>
  <c r="AF451" i="29"/>
  <c r="AG451" i="29"/>
  <c r="AH451" i="29"/>
  <c r="AI451" i="29"/>
  <c r="AJ451" i="29"/>
  <c r="AK451" i="29"/>
  <c r="AL451" i="29"/>
  <c r="AM451" i="29"/>
  <c r="D452" i="29"/>
  <c r="E452" i="29"/>
  <c r="F452" i="29"/>
  <c r="G452" i="29"/>
  <c r="H452" i="29"/>
  <c r="I452" i="29"/>
  <c r="J452" i="29"/>
  <c r="K452" i="29"/>
  <c r="L452" i="29"/>
  <c r="M452" i="29"/>
  <c r="N452" i="29"/>
  <c r="O452" i="29"/>
  <c r="P452" i="29"/>
  <c r="Q452" i="29"/>
  <c r="R452" i="29"/>
  <c r="S452" i="29"/>
  <c r="T452" i="29"/>
  <c r="U452" i="29"/>
  <c r="V452" i="29"/>
  <c r="W452" i="29"/>
  <c r="X452" i="29"/>
  <c r="Y452" i="29"/>
  <c r="Z452" i="29"/>
  <c r="AA452" i="29"/>
  <c r="AB452" i="29"/>
  <c r="AC452" i="29"/>
  <c r="AD452" i="29"/>
  <c r="AE452" i="29"/>
  <c r="AF452" i="29"/>
  <c r="AG452" i="29"/>
  <c r="AH452" i="29"/>
  <c r="AI452" i="29"/>
  <c r="AJ452" i="29"/>
  <c r="AK452" i="29"/>
  <c r="AL452" i="29"/>
  <c r="AM452" i="29"/>
  <c r="D453" i="29"/>
  <c r="E453" i="29"/>
  <c r="F453" i="29"/>
  <c r="G453" i="29"/>
  <c r="H453" i="29"/>
  <c r="I453" i="29"/>
  <c r="J453" i="29"/>
  <c r="K453" i="29"/>
  <c r="L453" i="29"/>
  <c r="M453" i="29"/>
  <c r="N453" i="29"/>
  <c r="O453" i="29"/>
  <c r="P453" i="29"/>
  <c r="Q453" i="29"/>
  <c r="R453" i="29"/>
  <c r="S453" i="29"/>
  <c r="T453" i="29"/>
  <c r="U453" i="29"/>
  <c r="V453" i="29"/>
  <c r="W453" i="29"/>
  <c r="X453" i="29"/>
  <c r="Y453" i="29"/>
  <c r="Z453" i="29"/>
  <c r="AA453" i="29"/>
  <c r="AB453" i="29"/>
  <c r="AC453" i="29"/>
  <c r="AD453" i="29"/>
  <c r="AE453" i="29"/>
  <c r="AF453" i="29"/>
  <c r="AG453" i="29"/>
  <c r="AH453" i="29"/>
  <c r="AI453" i="29"/>
  <c r="AJ453" i="29"/>
  <c r="AK453" i="29"/>
  <c r="AL453" i="29"/>
  <c r="AM453" i="29"/>
  <c r="D454" i="29"/>
  <c r="E454" i="29"/>
  <c r="F454" i="29"/>
  <c r="G454" i="29"/>
  <c r="H454" i="29"/>
  <c r="I454" i="29"/>
  <c r="J454" i="29"/>
  <c r="K454" i="29"/>
  <c r="L454" i="29"/>
  <c r="M454" i="29"/>
  <c r="N454" i="29"/>
  <c r="O454" i="29"/>
  <c r="P454" i="29"/>
  <c r="Q454" i="29"/>
  <c r="R454" i="29"/>
  <c r="S454" i="29"/>
  <c r="T454" i="29"/>
  <c r="U454" i="29"/>
  <c r="V454" i="29"/>
  <c r="W454" i="29"/>
  <c r="X454" i="29"/>
  <c r="Y454" i="29"/>
  <c r="Z454" i="29"/>
  <c r="AA454" i="29"/>
  <c r="AB454" i="29"/>
  <c r="AC454" i="29"/>
  <c r="AD454" i="29"/>
  <c r="AE454" i="29"/>
  <c r="AF454" i="29"/>
  <c r="AG454" i="29"/>
  <c r="AH454" i="29"/>
  <c r="AI454" i="29"/>
  <c r="AJ454" i="29"/>
  <c r="AK454" i="29"/>
  <c r="AL454" i="29"/>
  <c r="AM454" i="29"/>
  <c r="D455" i="29"/>
  <c r="E455" i="29"/>
  <c r="F455" i="29"/>
  <c r="G455" i="29"/>
  <c r="H455" i="29"/>
  <c r="I455" i="29"/>
  <c r="J455" i="29"/>
  <c r="K455" i="29"/>
  <c r="L455" i="29"/>
  <c r="M455" i="29"/>
  <c r="N455" i="29"/>
  <c r="O455" i="29"/>
  <c r="P455" i="29"/>
  <c r="Q455" i="29"/>
  <c r="R455" i="29"/>
  <c r="S455" i="29"/>
  <c r="T455" i="29"/>
  <c r="U455" i="29"/>
  <c r="V455" i="29"/>
  <c r="W455" i="29"/>
  <c r="X455" i="29"/>
  <c r="Y455" i="29"/>
  <c r="Z455" i="29"/>
  <c r="AA455" i="29"/>
  <c r="AB455" i="29"/>
  <c r="AC455" i="29"/>
  <c r="AD455" i="29"/>
  <c r="AE455" i="29"/>
  <c r="AF455" i="29"/>
  <c r="AG455" i="29"/>
  <c r="AH455" i="29"/>
  <c r="AI455" i="29"/>
  <c r="AJ455" i="29"/>
  <c r="AK455" i="29"/>
  <c r="AL455" i="29"/>
  <c r="AM455" i="29"/>
  <c r="D456" i="29"/>
  <c r="E456" i="29"/>
  <c r="F456" i="29"/>
  <c r="G456" i="29"/>
  <c r="H456" i="29"/>
  <c r="I456" i="29"/>
  <c r="J456" i="29"/>
  <c r="K456" i="29"/>
  <c r="L456" i="29"/>
  <c r="M456" i="29"/>
  <c r="N456" i="29"/>
  <c r="O456" i="29"/>
  <c r="P456" i="29"/>
  <c r="Q456" i="29"/>
  <c r="R456" i="29"/>
  <c r="S456" i="29"/>
  <c r="T456" i="29"/>
  <c r="U456" i="29"/>
  <c r="V456" i="29"/>
  <c r="W456" i="29"/>
  <c r="X456" i="29"/>
  <c r="Y456" i="29"/>
  <c r="Z456" i="29"/>
  <c r="AA456" i="29"/>
  <c r="AB456" i="29"/>
  <c r="AC456" i="29"/>
  <c r="AD456" i="29"/>
  <c r="AE456" i="29"/>
  <c r="AF456" i="29"/>
  <c r="AG456" i="29"/>
  <c r="AH456" i="29"/>
  <c r="AI456" i="29"/>
  <c r="AJ456" i="29"/>
  <c r="AK456" i="29"/>
  <c r="AL456" i="29"/>
  <c r="AM456" i="29"/>
  <c r="D457" i="29"/>
  <c r="E457" i="29"/>
  <c r="F457" i="29"/>
  <c r="G457" i="29"/>
  <c r="H457" i="29"/>
  <c r="I457" i="29"/>
  <c r="J457" i="29"/>
  <c r="K457" i="29"/>
  <c r="L457" i="29"/>
  <c r="M457" i="29"/>
  <c r="N457" i="29"/>
  <c r="O457" i="29"/>
  <c r="P457" i="29"/>
  <c r="Q457" i="29"/>
  <c r="R457" i="29"/>
  <c r="S457" i="29"/>
  <c r="T457" i="29"/>
  <c r="U457" i="29"/>
  <c r="V457" i="29"/>
  <c r="W457" i="29"/>
  <c r="X457" i="29"/>
  <c r="Y457" i="29"/>
  <c r="Z457" i="29"/>
  <c r="AA457" i="29"/>
  <c r="AB457" i="29"/>
  <c r="AC457" i="29"/>
  <c r="AD457" i="29"/>
  <c r="AE457" i="29"/>
  <c r="AF457" i="29"/>
  <c r="AG457" i="29"/>
  <c r="AH457" i="29"/>
  <c r="AI457" i="29"/>
  <c r="AJ457" i="29"/>
  <c r="AK457" i="29"/>
  <c r="AL457" i="29"/>
  <c r="AM457" i="29"/>
  <c r="D458" i="29"/>
  <c r="E458" i="29"/>
  <c r="F458" i="29"/>
  <c r="G458" i="29"/>
  <c r="H458" i="29"/>
  <c r="I458" i="29"/>
  <c r="J458" i="29"/>
  <c r="K458" i="29"/>
  <c r="L458" i="29"/>
  <c r="M458" i="29"/>
  <c r="N458" i="29"/>
  <c r="O458" i="29"/>
  <c r="P458" i="29"/>
  <c r="Q458" i="29"/>
  <c r="R458" i="29"/>
  <c r="S458" i="29"/>
  <c r="T458" i="29"/>
  <c r="U458" i="29"/>
  <c r="V458" i="29"/>
  <c r="W458" i="29"/>
  <c r="X458" i="29"/>
  <c r="Y458" i="29"/>
  <c r="Z458" i="29"/>
  <c r="AA458" i="29"/>
  <c r="AB458" i="29"/>
  <c r="AC458" i="29"/>
  <c r="AD458" i="29"/>
  <c r="AE458" i="29"/>
  <c r="AF458" i="29"/>
  <c r="AG458" i="29"/>
  <c r="AH458" i="29"/>
  <c r="AI458" i="29"/>
  <c r="AJ458" i="29"/>
  <c r="AK458" i="29"/>
  <c r="AL458" i="29"/>
  <c r="AM458" i="29"/>
  <c r="D459" i="29"/>
  <c r="E459" i="29"/>
  <c r="F459" i="29"/>
  <c r="G459" i="29"/>
  <c r="H459" i="29"/>
  <c r="I459" i="29"/>
  <c r="J459" i="29"/>
  <c r="K459" i="29"/>
  <c r="L459" i="29"/>
  <c r="M459" i="29"/>
  <c r="N459" i="29"/>
  <c r="O459" i="29"/>
  <c r="P459" i="29"/>
  <c r="Q459" i="29"/>
  <c r="R459" i="29"/>
  <c r="S459" i="29"/>
  <c r="T459" i="29"/>
  <c r="U459" i="29"/>
  <c r="V459" i="29"/>
  <c r="W459" i="29"/>
  <c r="X459" i="29"/>
  <c r="Y459" i="29"/>
  <c r="Z459" i="29"/>
  <c r="AA459" i="29"/>
  <c r="AB459" i="29"/>
  <c r="AC459" i="29"/>
  <c r="AD459" i="29"/>
  <c r="AE459" i="29"/>
  <c r="AF459" i="29"/>
  <c r="AG459" i="29"/>
  <c r="AH459" i="29"/>
  <c r="AI459" i="29"/>
  <c r="AJ459" i="29"/>
  <c r="AK459" i="29"/>
  <c r="AL459" i="29"/>
  <c r="AM459" i="29"/>
  <c r="D460" i="29"/>
  <c r="E460" i="29"/>
  <c r="F460" i="29"/>
  <c r="G460" i="29"/>
  <c r="H460" i="29"/>
  <c r="I460" i="29"/>
  <c r="J460" i="29"/>
  <c r="K460" i="29"/>
  <c r="L460" i="29"/>
  <c r="M460" i="29"/>
  <c r="N460" i="29"/>
  <c r="O460" i="29"/>
  <c r="P460" i="29"/>
  <c r="Q460" i="29"/>
  <c r="R460" i="29"/>
  <c r="S460" i="29"/>
  <c r="T460" i="29"/>
  <c r="U460" i="29"/>
  <c r="V460" i="29"/>
  <c r="W460" i="29"/>
  <c r="X460" i="29"/>
  <c r="Y460" i="29"/>
  <c r="Z460" i="29"/>
  <c r="AA460" i="29"/>
  <c r="AB460" i="29"/>
  <c r="AC460" i="29"/>
  <c r="AD460" i="29"/>
  <c r="AE460" i="29"/>
  <c r="AF460" i="29"/>
  <c r="AG460" i="29"/>
  <c r="AH460" i="29"/>
  <c r="AI460" i="29"/>
  <c r="AJ460" i="29"/>
  <c r="AK460" i="29"/>
  <c r="AL460" i="29"/>
  <c r="AM460" i="29"/>
  <c r="D461" i="29"/>
  <c r="E461" i="29"/>
  <c r="F461" i="29"/>
  <c r="G461" i="29"/>
  <c r="H461" i="29"/>
  <c r="I461" i="29"/>
  <c r="J461" i="29"/>
  <c r="K461" i="29"/>
  <c r="L461" i="29"/>
  <c r="M461" i="29"/>
  <c r="N461" i="29"/>
  <c r="O461" i="29"/>
  <c r="P461" i="29"/>
  <c r="Q461" i="29"/>
  <c r="R461" i="29"/>
  <c r="S461" i="29"/>
  <c r="T461" i="29"/>
  <c r="U461" i="29"/>
  <c r="V461" i="29"/>
  <c r="W461" i="29"/>
  <c r="X461" i="29"/>
  <c r="Y461" i="29"/>
  <c r="Z461" i="29"/>
  <c r="AA461" i="29"/>
  <c r="AB461" i="29"/>
  <c r="AC461" i="29"/>
  <c r="AD461" i="29"/>
  <c r="AE461" i="29"/>
  <c r="AF461" i="29"/>
  <c r="AG461" i="29"/>
  <c r="AH461" i="29"/>
  <c r="AI461" i="29"/>
  <c r="AJ461" i="29"/>
  <c r="AK461" i="29"/>
  <c r="AL461" i="29"/>
  <c r="AM461" i="29"/>
  <c r="D462" i="29"/>
  <c r="E462" i="29"/>
  <c r="F462" i="29"/>
  <c r="G462" i="29"/>
  <c r="H462" i="29"/>
  <c r="I462" i="29"/>
  <c r="J462" i="29"/>
  <c r="K462" i="29"/>
  <c r="L462" i="29"/>
  <c r="M462" i="29"/>
  <c r="N462" i="29"/>
  <c r="O462" i="29"/>
  <c r="P462" i="29"/>
  <c r="Q462" i="29"/>
  <c r="R462" i="29"/>
  <c r="S462" i="29"/>
  <c r="T462" i="29"/>
  <c r="U462" i="29"/>
  <c r="V462" i="29"/>
  <c r="W462" i="29"/>
  <c r="X462" i="29"/>
  <c r="Y462" i="29"/>
  <c r="Z462" i="29"/>
  <c r="AA462" i="29"/>
  <c r="AB462" i="29"/>
  <c r="AC462" i="29"/>
  <c r="AD462" i="29"/>
  <c r="AE462" i="29"/>
  <c r="AF462" i="29"/>
  <c r="AG462" i="29"/>
  <c r="AH462" i="29"/>
  <c r="AI462" i="29"/>
  <c r="AJ462" i="29"/>
  <c r="AK462" i="29"/>
  <c r="AL462" i="29"/>
  <c r="AM462" i="29"/>
  <c r="D463" i="29"/>
  <c r="E463" i="29"/>
  <c r="F463" i="29"/>
  <c r="G463" i="29"/>
  <c r="H463" i="29"/>
  <c r="I463" i="29"/>
  <c r="J463" i="29"/>
  <c r="K463" i="29"/>
  <c r="L463" i="29"/>
  <c r="M463" i="29"/>
  <c r="N463" i="29"/>
  <c r="O463" i="29"/>
  <c r="P463" i="29"/>
  <c r="Q463" i="29"/>
  <c r="R463" i="29"/>
  <c r="S463" i="29"/>
  <c r="T463" i="29"/>
  <c r="U463" i="29"/>
  <c r="V463" i="29"/>
  <c r="W463" i="29"/>
  <c r="X463" i="29"/>
  <c r="Y463" i="29"/>
  <c r="Z463" i="29"/>
  <c r="AA463" i="29"/>
  <c r="AB463" i="29"/>
  <c r="AC463" i="29"/>
  <c r="AD463" i="29"/>
  <c r="AE463" i="29"/>
  <c r="AF463" i="29"/>
  <c r="AG463" i="29"/>
  <c r="AH463" i="29"/>
  <c r="AI463" i="29"/>
  <c r="AJ463" i="29"/>
  <c r="AK463" i="29"/>
  <c r="AL463" i="29"/>
  <c r="AM463" i="29"/>
  <c r="D464" i="29"/>
  <c r="E464" i="29"/>
  <c r="F464" i="29"/>
  <c r="G464" i="29"/>
  <c r="H464" i="29"/>
  <c r="I464" i="29"/>
  <c r="J464" i="29"/>
  <c r="K464" i="29"/>
  <c r="L464" i="29"/>
  <c r="M464" i="29"/>
  <c r="N464" i="29"/>
  <c r="O464" i="29"/>
  <c r="P464" i="29"/>
  <c r="Q464" i="29"/>
  <c r="R464" i="29"/>
  <c r="S464" i="29"/>
  <c r="T464" i="29"/>
  <c r="U464" i="29"/>
  <c r="V464" i="29"/>
  <c r="W464" i="29"/>
  <c r="X464" i="29"/>
  <c r="Y464" i="29"/>
  <c r="Z464" i="29"/>
  <c r="AA464" i="29"/>
  <c r="AB464" i="29"/>
  <c r="AC464" i="29"/>
  <c r="AD464" i="29"/>
  <c r="AE464" i="29"/>
  <c r="AF464" i="29"/>
  <c r="AG464" i="29"/>
  <c r="AH464" i="29"/>
  <c r="AI464" i="29"/>
  <c r="AJ464" i="29"/>
  <c r="AK464" i="29"/>
  <c r="AL464" i="29"/>
  <c r="AM464" i="29"/>
  <c r="D465" i="29"/>
  <c r="E465" i="29"/>
  <c r="F465" i="29"/>
  <c r="G465" i="29"/>
  <c r="H465" i="29"/>
  <c r="I465" i="29"/>
  <c r="J465" i="29"/>
  <c r="K465" i="29"/>
  <c r="L465" i="29"/>
  <c r="M465" i="29"/>
  <c r="N465" i="29"/>
  <c r="O465" i="29"/>
  <c r="P465" i="29"/>
  <c r="Q465" i="29"/>
  <c r="R465" i="29"/>
  <c r="S465" i="29"/>
  <c r="T465" i="29"/>
  <c r="U465" i="29"/>
  <c r="V465" i="29"/>
  <c r="W465" i="29"/>
  <c r="X465" i="29"/>
  <c r="Y465" i="29"/>
  <c r="Z465" i="29"/>
  <c r="AA465" i="29"/>
  <c r="AB465" i="29"/>
  <c r="AC465" i="29"/>
  <c r="AD465" i="29"/>
  <c r="AE465" i="29"/>
  <c r="AF465" i="29"/>
  <c r="AG465" i="29"/>
  <c r="AH465" i="29"/>
  <c r="AI465" i="29"/>
  <c r="AJ465" i="29"/>
  <c r="AK465" i="29"/>
  <c r="AL465" i="29"/>
  <c r="AM465" i="29"/>
  <c r="D466" i="29"/>
  <c r="E466" i="29"/>
  <c r="F466" i="29"/>
  <c r="G466" i="29"/>
  <c r="H466" i="29"/>
  <c r="I466" i="29"/>
  <c r="J466" i="29"/>
  <c r="K466" i="29"/>
  <c r="L466" i="29"/>
  <c r="M466" i="29"/>
  <c r="N466" i="29"/>
  <c r="O466" i="29"/>
  <c r="P466" i="29"/>
  <c r="Q466" i="29"/>
  <c r="R466" i="29"/>
  <c r="S466" i="29"/>
  <c r="T466" i="29"/>
  <c r="U466" i="29"/>
  <c r="V466" i="29"/>
  <c r="W466" i="29"/>
  <c r="X466" i="29"/>
  <c r="Y466" i="29"/>
  <c r="Z466" i="29"/>
  <c r="AA466" i="29"/>
  <c r="AB466" i="29"/>
  <c r="AC466" i="29"/>
  <c r="AD466" i="29"/>
  <c r="AE466" i="29"/>
  <c r="AF466" i="29"/>
  <c r="AG466" i="29"/>
  <c r="AH466" i="29"/>
  <c r="AI466" i="29"/>
  <c r="AJ466" i="29"/>
  <c r="AK466" i="29"/>
  <c r="AL466" i="29"/>
  <c r="AM466" i="29"/>
  <c r="D467" i="29"/>
  <c r="E467" i="29"/>
  <c r="F467" i="29"/>
  <c r="G467" i="29"/>
  <c r="H467" i="29"/>
  <c r="I467" i="29"/>
  <c r="J467" i="29"/>
  <c r="K467" i="29"/>
  <c r="L467" i="29"/>
  <c r="M467" i="29"/>
  <c r="N467" i="29"/>
  <c r="O467" i="29"/>
  <c r="P467" i="29"/>
  <c r="Q467" i="29"/>
  <c r="R467" i="29"/>
  <c r="S467" i="29"/>
  <c r="T467" i="29"/>
  <c r="U467" i="29"/>
  <c r="V467" i="29"/>
  <c r="W467" i="29"/>
  <c r="X467" i="29"/>
  <c r="Y467" i="29"/>
  <c r="Z467" i="29"/>
  <c r="AA467" i="29"/>
  <c r="AB467" i="29"/>
  <c r="AC467" i="29"/>
  <c r="AD467" i="29"/>
  <c r="AE467" i="29"/>
  <c r="AF467" i="29"/>
  <c r="AG467" i="29"/>
  <c r="AH467" i="29"/>
  <c r="AI467" i="29"/>
  <c r="AJ467" i="29"/>
  <c r="AK467" i="29"/>
  <c r="AL467" i="29"/>
  <c r="AM467" i="29"/>
  <c r="D468" i="29"/>
  <c r="E468" i="29"/>
  <c r="F468" i="29"/>
  <c r="G468" i="29"/>
  <c r="H468" i="29"/>
  <c r="I468" i="29"/>
  <c r="J468" i="29"/>
  <c r="K468" i="29"/>
  <c r="L468" i="29"/>
  <c r="M468" i="29"/>
  <c r="N468" i="29"/>
  <c r="O468" i="29"/>
  <c r="P468" i="29"/>
  <c r="Q468" i="29"/>
  <c r="R468" i="29"/>
  <c r="S468" i="29"/>
  <c r="T468" i="29"/>
  <c r="U468" i="29"/>
  <c r="V468" i="29"/>
  <c r="W468" i="29"/>
  <c r="X468" i="29"/>
  <c r="Y468" i="29"/>
  <c r="Z468" i="29"/>
  <c r="AA468" i="29"/>
  <c r="AB468" i="29"/>
  <c r="AC468" i="29"/>
  <c r="AD468" i="29"/>
  <c r="AE468" i="29"/>
  <c r="AF468" i="29"/>
  <c r="AG468" i="29"/>
  <c r="AH468" i="29"/>
  <c r="AI468" i="29"/>
  <c r="AJ468" i="29"/>
  <c r="AK468" i="29"/>
  <c r="AL468" i="29"/>
  <c r="AM468" i="29"/>
  <c r="D469" i="29"/>
  <c r="E469" i="29"/>
  <c r="F469" i="29"/>
  <c r="G469" i="29"/>
  <c r="H469" i="29"/>
  <c r="I469" i="29"/>
  <c r="J469" i="29"/>
  <c r="K469" i="29"/>
  <c r="L469" i="29"/>
  <c r="M469" i="29"/>
  <c r="N469" i="29"/>
  <c r="O469" i="29"/>
  <c r="P469" i="29"/>
  <c r="Q469" i="29"/>
  <c r="R469" i="29"/>
  <c r="S469" i="29"/>
  <c r="T469" i="29"/>
  <c r="U469" i="29"/>
  <c r="V469" i="29"/>
  <c r="W469" i="29"/>
  <c r="X469" i="29"/>
  <c r="Y469" i="29"/>
  <c r="Z469" i="29"/>
  <c r="AA469" i="29"/>
  <c r="AB469" i="29"/>
  <c r="AC469" i="29"/>
  <c r="AD469" i="29"/>
  <c r="AE469" i="29"/>
  <c r="AF469" i="29"/>
  <c r="AG469" i="29"/>
  <c r="AH469" i="29"/>
  <c r="AI469" i="29"/>
  <c r="AJ469" i="29"/>
  <c r="AK469" i="29"/>
  <c r="AL469" i="29"/>
  <c r="AM469" i="29"/>
  <c r="D470" i="29"/>
  <c r="E470" i="29"/>
  <c r="F470" i="29"/>
  <c r="G470" i="29"/>
  <c r="H470" i="29"/>
  <c r="I470" i="29"/>
  <c r="J470" i="29"/>
  <c r="K470" i="29"/>
  <c r="L470" i="29"/>
  <c r="M470" i="29"/>
  <c r="N470" i="29"/>
  <c r="O470" i="29"/>
  <c r="P470" i="29"/>
  <c r="Q470" i="29"/>
  <c r="R470" i="29"/>
  <c r="S470" i="29"/>
  <c r="T470" i="29"/>
  <c r="U470" i="29"/>
  <c r="V470" i="29"/>
  <c r="W470" i="29"/>
  <c r="X470" i="29"/>
  <c r="Y470" i="29"/>
  <c r="Z470" i="29"/>
  <c r="AA470" i="29"/>
  <c r="AB470" i="29"/>
  <c r="AC470" i="29"/>
  <c r="AD470" i="29"/>
  <c r="AE470" i="29"/>
  <c r="AF470" i="29"/>
  <c r="AG470" i="29"/>
  <c r="AH470" i="29"/>
  <c r="AI470" i="29"/>
  <c r="AJ470" i="29"/>
  <c r="AK470" i="29"/>
  <c r="AL470" i="29"/>
  <c r="AM470" i="29"/>
  <c r="D471" i="29"/>
  <c r="E471" i="29"/>
  <c r="F471" i="29"/>
  <c r="G471" i="29"/>
  <c r="H471" i="29"/>
  <c r="I471" i="29"/>
  <c r="J471" i="29"/>
  <c r="K471" i="29"/>
  <c r="L471" i="29"/>
  <c r="M471" i="29"/>
  <c r="N471" i="29"/>
  <c r="O471" i="29"/>
  <c r="P471" i="29"/>
  <c r="Q471" i="29"/>
  <c r="R471" i="29"/>
  <c r="S471" i="29"/>
  <c r="T471" i="29"/>
  <c r="U471" i="29"/>
  <c r="V471" i="29"/>
  <c r="W471" i="29"/>
  <c r="X471" i="29"/>
  <c r="Y471" i="29"/>
  <c r="Z471" i="29"/>
  <c r="AA471" i="29"/>
  <c r="AB471" i="29"/>
  <c r="AC471" i="29"/>
  <c r="AD471" i="29"/>
  <c r="AE471" i="29"/>
  <c r="AF471" i="29"/>
  <c r="AG471" i="29"/>
  <c r="AH471" i="29"/>
  <c r="AI471" i="29"/>
  <c r="AJ471" i="29"/>
  <c r="AK471" i="29"/>
  <c r="AL471" i="29"/>
  <c r="AM471" i="29"/>
  <c r="D472" i="29"/>
  <c r="E472" i="29"/>
  <c r="F472" i="29"/>
  <c r="G472" i="29"/>
  <c r="H472" i="29"/>
  <c r="I472" i="29"/>
  <c r="J472" i="29"/>
  <c r="K472" i="29"/>
  <c r="L472" i="29"/>
  <c r="M472" i="29"/>
  <c r="N472" i="29"/>
  <c r="O472" i="29"/>
  <c r="P472" i="29"/>
  <c r="Q472" i="29"/>
  <c r="R472" i="29"/>
  <c r="S472" i="29"/>
  <c r="T472" i="29"/>
  <c r="U472" i="29"/>
  <c r="V472" i="29"/>
  <c r="W472" i="29"/>
  <c r="X472" i="29"/>
  <c r="Y472" i="29"/>
  <c r="Z472" i="29"/>
  <c r="AA472" i="29"/>
  <c r="AB472" i="29"/>
  <c r="AC472" i="29"/>
  <c r="AD472" i="29"/>
  <c r="AE472" i="29"/>
  <c r="AF472" i="29"/>
  <c r="AG472" i="29"/>
  <c r="AH472" i="29"/>
  <c r="AI472" i="29"/>
  <c r="AJ472" i="29"/>
  <c r="AK472" i="29"/>
  <c r="AL472" i="29"/>
  <c r="AM472" i="29"/>
  <c r="C452" i="29"/>
  <c r="C453" i="29"/>
  <c r="C454" i="29"/>
  <c r="C455" i="29"/>
  <c r="C456" i="29"/>
  <c r="C457" i="29"/>
  <c r="C458" i="29"/>
  <c r="C459" i="29"/>
  <c r="C460" i="29"/>
  <c r="C461" i="29"/>
  <c r="C462" i="29"/>
  <c r="C463" i="29"/>
  <c r="C464" i="29"/>
  <c r="C465" i="29"/>
  <c r="C466" i="29"/>
  <c r="C467" i="29"/>
  <c r="C468" i="29"/>
  <c r="C469" i="29"/>
  <c r="C470" i="29"/>
  <c r="C471" i="29"/>
  <c r="C472" i="29"/>
  <c r="C451" i="29"/>
  <c r="D412" i="29"/>
  <c r="E412" i="29"/>
  <c r="F412" i="29"/>
  <c r="G412" i="29"/>
  <c r="H412" i="29"/>
  <c r="I412" i="29"/>
  <c r="J412" i="29"/>
  <c r="K412" i="29"/>
  <c r="L412" i="29"/>
  <c r="M412" i="29"/>
  <c r="N412" i="29"/>
  <c r="O412" i="29"/>
  <c r="P412" i="29"/>
  <c r="Q412" i="29"/>
  <c r="R412" i="29"/>
  <c r="S412" i="29"/>
  <c r="T412" i="29"/>
  <c r="U412" i="29"/>
  <c r="V412" i="29"/>
  <c r="W412" i="29"/>
  <c r="X412" i="29"/>
  <c r="Y412" i="29"/>
  <c r="Z412" i="29"/>
  <c r="AA412" i="29"/>
  <c r="AB412" i="29"/>
  <c r="AC412" i="29"/>
  <c r="AD412" i="29"/>
  <c r="AE412" i="29"/>
  <c r="AF412" i="29"/>
  <c r="AG412" i="29"/>
  <c r="AH412" i="29"/>
  <c r="AI412" i="29"/>
  <c r="AJ412" i="29"/>
  <c r="AK412" i="29"/>
  <c r="AL412" i="29"/>
  <c r="AM412" i="29"/>
  <c r="C412" i="29"/>
  <c r="AB44" i="36"/>
  <c r="AB34" i="36" l="1"/>
  <c r="AB38" i="36" l="1"/>
  <c r="AB35" i="36"/>
  <c r="AB39" i="36" l="1"/>
  <c r="AB40" i="36"/>
  <c r="AB41" i="36"/>
  <c r="AB42" i="36"/>
  <c r="AB43" i="36"/>
  <c r="C46" i="36"/>
  <c r="D46" i="36"/>
  <c r="E46" i="36"/>
  <c r="F46" i="36"/>
  <c r="G46" i="36"/>
  <c r="H46" i="36"/>
  <c r="I46" i="36"/>
  <c r="J46" i="36"/>
  <c r="K46" i="36"/>
  <c r="L46" i="36"/>
  <c r="M46" i="36"/>
  <c r="N46" i="36"/>
  <c r="O46" i="36"/>
  <c r="P46" i="36"/>
  <c r="Q46" i="36"/>
  <c r="R46" i="36"/>
  <c r="S46" i="36"/>
  <c r="T46" i="36"/>
  <c r="U46" i="36"/>
  <c r="V46" i="36"/>
  <c r="W46" i="36"/>
  <c r="X46" i="36"/>
  <c r="Y46" i="36"/>
  <c r="Z46" i="36"/>
  <c r="AC46" i="36"/>
  <c r="AD46" i="36"/>
  <c r="AE46" i="36"/>
  <c r="AF46" i="36"/>
  <c r="AG46" i="36"/>
  <c r="AH46" i="36"/>
  <c r="AI46" i="36"/>
  <c r="AJ46" i="36"/>
  <c r="AK46" i="36"/>
  <c r="AL46" i="36"/>
  <c r="AM46" i="36"/>
  <c r="AB32" i="36" l="1"/>
  <c r="AB33" i="36"/>
  <c r="AB37" i="36"/>
  <c r="AB31" i="36" l="1"/>
  <c r="AB46" i="36" s="1"/>
  <c r="G10" i="3" l="1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AJ31" i="2"/>
  <c r="AK31" i="2"/>
  <c r="AL31" i="2"/>
  <c r="AC31" i="2"/>
  <c r="AD31" i="2"/>
  <c r="AE31" i="2"/>
  <c r="AF31" i="2"/>
  <c r="AG31" i="2"/>
  <c r="AH31" i="2"/>
  <c r="AI31" i="2"/>
  <c r="AN46" i="36" l="1"/>
  <c r="D29" i="29"/>
  <c r="E29" i="29"/>
  <c r="F29" i="29"/>
  <c r="G29" i="29"/>
  <c r="H29" i="29"/>
  <c r="I29" i="29"/>
  <c r="J29" i="29"/>
  <c r="K29" i="29"/>
  <c r="L29" i="29"/>
  <c r="M29" i="29"/>
  <c r="N29" i="29"/>
  <c r="O29" i="29"/>
  <c r="P29" i="29"/>
  <c r="Q29" i="29"/>
  <c r="R29" i="29"/>
  <c r="S29" i="29"/>
  <c r="T29" i="29"/>
  <c r="U29" i="29"/>
  <c r="V29" i="29"/>
  <c r="W29" i="29"/>
  <c r="X29" i="29"/>
  <c r="Y29" i="29"/>
  <c r="Z29" i="29"/>
  <c r="AA29" i="29"/>
  <c r="AB29" i="29"/>
  <c r="AC29" i="29"/>
  <c r="AD29" i="29"/>
  <c r="AE29" i="29"/>
  <c r="AF29" i="29"/>
  <c r="AG29" i="29"/>
  <c r="AH29" i="29"/>
  <c r="AI29" i="29"/>
  <c r="AJ29" i="29"/>
  <c r="AK29" i="29"/>
  <c r="AL29" i="29"/>
  <c r="AM29" i="29"/>
  <c r="C29" i="29"/>
  <c r="AX9" i="3"/>
  <c r="AX10" i="3"/>
  <c r="AX11" i="3"/>
  <c r="AX12" i="3"/>
  <c r="AX13" i="3"/>
  <c r="AX14" i="3"/>
  <c r="AX15" i="3"/>
  <c r="AX16" i="3"/>
  <c r="AX17" i="3"/>
  <c r="AX18" i="3"/>
  <c r="AX19" i="3"/>
  <c r="AX20" i="3"/>
  <c r="AX21" i="3"/>
  <c r="AX22" i="3"/>
  <c r="AX23" i="3"/>
  <c r="AX24" i="3"/>
  <c r="AX25" i="3"/>
  <c r="AX26" i="3"/>
  <c r="AX27" i="3"/>
  <c r="AX28" i="3"/>
  <c r="AX29" i="3"/>
  <c r="AS9" i="3"/>
  <c r="AS10" i="3"/>
  <c r="AS11" i="3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F9" i="3"/>
  <c r="AG9" i="3" s="1"/>
  <c r="AF10" i="3"/>
  <c r="AG10" i="3" s="1"/>
  <c r="AF11" i="3"/>
  <c r="AG11" i="3" s="1"/>
  <c r="AF12" i="3"/>
  <c r="AG12" i="3" s="1"/>
  <c r="AF13" i="3"/>
  <c r="AG13" i="3" s="1"/>
  <c r="AF14" i="3"/>
  <c r="AG14" i="3" s="1"/>
  <c r="AF15" i="3"/>
  <c r="AG15" i="3" s="1"/>
  <c r="AF16" i="3"/>
  <c r="AG16" i="3" s="1"/>
  <c r="AF17" i="3"/>
  <c r="AG17" i="3" s="1"/>
  <c r="AF18" i="3"/>
  <c r="AG18" i="3" s="1"/>
  <c r="AF19" i="3"/>
  <c r="AG19" i="3" s="1"/>
  <c r="AF20" i="3"/>
  <c r="AG20" i="3" s="1"/>
  <c r="AF21" i="3"/>
  <c r="AG21" i="3" s="1"/>
  <c r="AF22" i="3"/>
  <c r="AG22" i="3" s="1"/>
  <c r="AF23" i="3"/>
  <c r="AG23" i="3" s="1"/>
  <c r="AF24" i="3"/>
  <c r="AG24" i="3" s="1"/>
  <c r="AF25" i="3"/>
  <c r="AG25" i="3" s="1"/>
  <c r="AF26" i="3"/>
  <c r="AG26" i="3" s="1"/>
  <c r="AF27" i="3"/>
  <c r="AG27" i="3" s="1"/>
  <c r="AF28" i="3"/>
  <c r="AG28" i="3" s="1"/>
  <c r="AF29" i="3"/>
  <c r="AG29" i="3" s="1"/>
  <c r="AA10" i="3"/>
  <c r="AB10" i="3" s="1"/>
  <c r="AA11" i="3"/>
  <c r="AB11" i="3" s="1"/>
  <c r="AA12" i="3"/>
  <c r="AB12" i="3" s="1"/>
  <c r="AA13" i="3"/>
  <c r="AB13" i="3" s="1"/>
  <c r="AA14" i="3"/>
  <c r="AB14" i="3" s="1"/>
  <c r="AA15" i="3"/>
  <c r="AB15" i="3" s="1"/>
  <c r="AA16" i="3"/>
  <c r="AB16" i="3" s="1"/>
  <c r="AA17" i="3"/>
  <c r="AB17" i="3" s="1"/>
  <c r="AA18" i="3"/>
  <c r="AB18" i="3" s="1"/>
  <c r="AA19" i="3"/>
  <c r="AB19" i="3" s="1"/>
  <c r="AA20" i="3"/>
  <c r="AB20" i="3" s="1"/>
  <c r="AA21" i="3"/>
  <c r="AB21" i="3" s="1"/>
  <c r="AA22" i="3"/>
  <c r="AB22" i="3" s="1"/>
  <c r="AA23" i="3"/>
  <c r="AB23" i="3" s="1"/>
  <c r="AA24" i="3"/>
  <c r="AB24" i="3" s="1"/>
  <c r="AA25" i="3"/>
  <c r="AB25" i="3" s="1"/>
  <c r="AA26" i="3"/>
  <c r="AB26" i="3" s="1"/>
  <c r="AA27" i="3"/>
  <c r="AB27" i="3" s="1"/>
  <c r="AA28" i="3"/>
  <c r="AB28" i="3" s="1"/>
  <c r="AA29" i="3"/>
  <c r="AB29" i="3" s="1"/>
  <c r="AA30" i="3"/>
  <c r="AB30" i="3" s="1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M11" i="3"/>
  <c r="M12" i="3"/>
  <c r="M13" i="3"/>
  <c r="M14" i="3"/>
  <c r="M15" i="3"/>
  <c r="M16" i="3"/>
  <c r="M18" i="3"/>
  <c r="M19" i="3"/>
  <c r="M21" i="3"/>
  <c r="M22" i="3"/>
  <c r="M23" i="3"/>
  <c r="M24" i="3"/>
  <c r="M25" i="3"/>
  <c r="M26" i="3"/>
  <c r="M27" i="3"/>
  <c r="M28" i="3"/>
  <c r="M29" i="3"/>
  <c r="M30" i="3"/>
  <c r="M10" i="3"/>
  <c r="M17" i="3"/>
  <c r="M20" i="3"/>
  <c r="H11" i="3"/>
  <c r="H12" i="3"/>
  <c r="H13" i="3"/>
  <c r="H14" i="3"/>
  <c r="H15" i="3"/>
  <c r="H16" i="3"/>
  <c r="H18" i="3"/>
  <c r="H19" i="3"/>
  <c r="H21" i="3"/>
  <c r="H22" i="3"/>
  <c r="H23" i="3"/>
  <c r="H24" i="3"/>
  <c r="H25" i="3"/>
  <c r="H26" i="3"/>
  <c r="H27" i="3"/>
  <c r="H28" i="3"/>
  <c r="H29" i="3"/>
  <c r="H30" i="3"/>
  <c r="H10" i="3"/>
  <c r="H17" i="3"/>
  <c r="H20" i="3"/>
  <c r="I10" i="33" l="1"/>
  <c r="I11" i="33"/>
  <c r="I12" i="33"/>
  <c r="I13" i="33"/>
  <c r="I14" i="33"/>
  <c r="I15" i="33"/>
  <c r="I16" i="33"/>
  <c r="I17" i="33"/>
  <c r="I18" i="33"/>
  <c r="I19" i="33"/>
  <c r="I20" i="33"/>
  <c r="I21" i="33"/>
  <c r="J21" i="33" s="1"/>
  <c r="I22" i="33"/>
  <c r="J22" i="33" s="1"/>
  <c r="I23" i="33"/>
  <c r="J23" i="33" s="1"/>
  <c r="I24" i="33"/>
  <c r="J24" i="33" s="1"/>
  <c r="I25" i="33"/>
  <c r="J25" i="33" s="1"/>
  <c r="I26" i="33"/>
  <c r="J26" i="33" s="1"/>
  <c r="I27" i="33"/>
  <c r="J27" i="33" s="1"/>
  <c r="I28" i="33"/>
  <c r="J28" i="33" s="1"/>
  <c r="I29" i="33"/>
  <c r="J29" i="33" s="1"/>
  <c r="I30" i="33"/>
  <c r="J30" i="33" s="1"/>
  <c r="E10" i="33"/>
  <c r="F10" i="33" s="1"/>
  <c r="E11" i="33"/>
  <c r="F11" i="33" s="1"/>
  <c r="E12" i="33"/>
  <c r="F12" i="33" s="1"/>
  <c r="E13" i="33"/>
  <c r="F13" i="33" s="1"/>
  <c r="E14" i="33"/>
  <c r="F14" i="33" s="1"/>
  <c r="E15" i="33"/>
  <c r="F15" i="33" s="1"/>
  <c r="E16" i="33"/>
  <c r="F16" i="33" s="1"/>
  <c r="E17" i="33"/>
  <c r="F17" i="33" s="1"/>
  <c r="E18" i="33"/>
  <c r="F18" i="33" s="1"/>
  <c r="E19" i="33"/>
  <c r="F19" i="33" s="1"/>
  <c r="E20" i="33"/>
  <c r="F20" i="33" s="1"/>
  <c r="E21" i="33"/>
  <c r="F21" i="33" s="1"/>
  <c r="E22" i="33"/>
  <c r="F22" i="33" s="1"/>
  <c r="E23" i="33"/>
  <c r="F23" i="33" s="1"/>
  <c r="E24" i="33"/>
  <c r="F24" i="33" s="1"/>
  <c r="E25" i="33"/>
  <c r="F25" i="33" s="1"/>
  <c r="E26" i="33"/>
  <c r="F26" i="33" s="1"/>
  <c r="E27" i="33"/>
  <c r="F27" i="33" s="1"/>
  <c r="E28" i="33"/>
  <c r="F28" i="33" s="1"/>
  <c r="E29" i="33"/>
  <c r="F29" i="33" s="1"/>
  <c r="E30" i="33"/>
  <c r="J13" i="33" l="1"/>
  <c r="R13" i="33"/>
  <c r="N13" i="33"/>
  <c r="W13" i="33"/>
  <c r="Z13" i="33" s="1"/>
  <c r="AB13" i="33" s="1"/>
  <c r="AE13" i="33"/>
  <c r="AG13" i="33"/>
  <c r="AC13" i="33"/>
  <c r="AM13" i="33"/>
  <c r="AO13" i="33"/>
  <c r="L13" i="33"/>
  <c r="J14" i="33"/>
  <c r="AE14" i="33"/>
  <c r="AO14" i="33"/>
  <c r="N14" i="33"/>
  <c r="R14" i="33"/>
  <c r="AG14" i="33"/>
  <c r="AM14" i="33"/>
  <c r="L14" i="33"/>
  <c r="W14" i="33"/>
  <c r="Z14" i="33" s="1"/>
  <c r="AB14" i="33" s="1"/>
  <c r="AC14" i="33"/>
  <c r="J20" i="33"/>
  <c r="AM20" i="33"/>
  <c r="N20" i="33"/>
  <c r="AO20" i="33"/>
  <c r="L20" i="33"/>
  <c r="R20" i="33"/>
  <c r="AC20" i="33"/>
  <c r="W20" i="33"/>
  <c r="Z20" i="33" s="1"/>
  <c r="AB20" i="33" s="1"/>
  <c r="AE20" i="33"/>
  <c r="AG20" i="33"/>
  <c r="J12" i="33"/>
  <c r="AM12" i="33"/>
  <c r="AG12" i="33"/>
  <c r="AO12" i="33"/>
  <c r="L12" i="33"/>
  <c r="N12" i="33"/>
  <c r="R12" i="33"/>
  <c r="AC12" i="33"/>
  <c r="W12" i="33"/>
  <c r="Z12" i="33" s="1"/>
  <c r="AB12" i="33" s="1"/>
  <c r="AE12" i="33"/>
  <c r="J19" i="33"/>
  <c r="AC19" i="33"/>
  <c r="R19" i="33"/>
  <c r="AE19" i="33"/>
  <c r="W19" i="33"/>
  <c r="Z19" i="33" s="1"/>
  <c r="AB19" i="33" s="1"/>
  <c r="AG19" i="33"/>
  <c r="N19" i="33"/>
  <c r="AM19" i="33"/>
  <c r="AO19" i="33"/>
  <c r="L19" i="33"/>
  <c r="J11" i="33"/>
  <c r="AC11" i="33"/>
  <c r="R11" i="33"/>
  <c r="AE11" i="33"/>
  <c r="W11" i="33"/>
  <c r="Z11" i="33" s="1"/>
  <c r="AB11" i="33" s="1"/>
  <c r="N11" i="33"/>
  <c r="AG11" i="33"/>
  <c r="AM11" i="33"/>
  <c r="AO11" i="33"/>
  <c r="L11" i="33"/>
  <c r="J17" i="33"/>
  <c r="AG17" i="33"/>
  <c r="R17" i="33"/>
  <c r="AM17" i="33"/>
  <c r="W17" i="33"/>
  <c r="Z17" i="33" s="1"/>
  <c r="AB17" i="33" s="1"/>
  <c r="N17" i="33"/>
  <c r="AO17" i="33"/>
  <c r="AC17" i="33"/>
  <c r="L17" i="33"/>
  <c r="AE17" i="33"/>
  <c r="J18" i="33"/>
  <c r="AC18" i="33"/>
  <c r="R18" i="33"/>
  <c r="L18" i="33"/>
  <c r="AE18" i="33"/>
  <c r="AO18" i="33"/>
  <c r="N18" i="33"/>
  <c r="AG18" i="33"/>
  <c r="W18" i="33"/>
  <c r="Z18" i="33" s="1"/>
  <c r="AB18" i="33" s="1"/>
  <c r="AM18" i="33"/>
  <c r="J16" i="33"/>
  <c r="AM16" i="33"/>
  <c r="AC16" i="33"/>
  <c r="L16" i="33"/>
  <c r="AG16" i="33"/>
  <c r="N16" i="33"/>
  <c r="AE16" i="33"/>
  <c r="R16" i="33"/>
  <c r="AO16" i="33"/>
  <c r="W16" i="33"/>
  <c r="Z16" i="33" s="1"/>
  <c r="AB16" i="33" s="1"/>
  <c r="J10" i="33"/>
  <c r="N10" i="33"/>
  <c r="R10" i="33"/>
  <c r="L10" i="33"/>
  <c r="AC10" i="33"/>
  <c r="AE10" i="33"/>
  <c r="AG10" i="33"/>
  <c r="W10" i="33"/>
  <c r="Z10" i="33" s="1"/>
  <c r="AB10" i="33" s="1"/>
  <c r="AM10" i="33"/>
  <c r="AO10" i="33"/>
  <c r="J15" i="33"/>
  <c r="AO15" i="33"/>
  <c r="R15" i="33"/>
  <c r="W15" i="33"/>
  <c r="Z15" i="33" s="1"/>
  <c r="AB15" i="33" s="1"/>
  <c r="AM15" i="33"/>
  <c r="AC15" i="33"/>
  <c r="AE15" i="33"/>
  <c r="AG15" i="33"/>
  <c r="L15" i="33"/>
  <c r="N15" i="33"/>
  <c r="AB12" i="36"/>
  <c r="B13" i="36"/>
  <c r="AB13" i="36"/>
  <c r="B14" i="36"/>
  <c r="AB14" i="36"/>
  <c r="AB301" i="36" s="1"/>
  <c r="B15" i="36"/>
  <c r="AB15" i="36"/>
  <c r="B16" i="36"/>
  <c r="AB16" i="36"/>
  <c r="B17" i="36"/>
  <c r="AB17" i="36"/>
  <c r="B18" i="36"/>
  <c r="AB18" i="36"/>
  <c r="AB305" i="36" s="1"/>
  <c r="B19" i="36"/>
  <c r="AB19" i="36"/>
  <c r="AB306" i="36" s="1"/>
  <c r="B20" i="36"/>
  <c r="AB20" i="36"/>
  <c r="B21" i="36"/>
  <c r="AB21" i="36"/>
  <c r="AB308" i="36" s="1"/>
  <c r="C22" i="36"/>
  <c r="D22" i="36"/>
  <c r="E22" i="36"/>
  <c r="F22" i="36"/>
  <c r="G22" i="36"/>
  <c r="H22" i="36"/>
  <c r="I22" i="36"/>
  <c r="J22" i="36"/>
  <c r="K22" i="36"/>
  <c r="L22" i="36"/>
  <c r="M22" i="36"/>
  <c r="N22" i="36"/>
  <c r="O22" i="36"/>
  <c r="P22" i="36"/>
  <c r="Q22" i="36"/>
  <c r="R22" i="36"/>
  <c r="S22" i="36"/>
  <c r="T22" i="36"/>
  <c r="U22" i="36"/>
  <c r="V22" i="36"/>
  <c r="W22" i="36"/>
  <c r="X22" i="36"/>
  <c r="Y22" i="36"/>
  <c r="Z22" i="36"/>
  <c r="AA22" i="36"/>
  <c r="AC22" i="36"/>
  <c r="AD22" i="36"/>
  <c r="AE22" i="36"/>
  <c r="AF22" i="36"/>
  <c r="AG22" i="36"/>
  <c r="AH22" i="36"/>
  <c r="AI22" i="36"/>
  <c r="AJ22" i="36"/>
  <c r="AK22" i="36"/>
  <c r="AL22" i="36"/>
  <c r="AM22" i="36"/>
  <c r="B92" i="36" l="1"/>
  <c r="B91" i="36"/>
  <c r="B90" i="36"/>
  <c r="B89" i="36"/>
  <c r="B88" i="36"/>
  <c r="B87" i="36"/>
  <c r="B86" i="36"/>
  <c r="B85" i="36"/>
  <c r="B84" i="36"/>
  <c r="AB9" i="36"/>
  <c r="AB296" i="36" s="1"/>
  <c r="AB10" i="36"/>
  <c r="AB11" i="36"/>
  <c r="B8" i="36"/>
  <c r="AB8" i="36"/>
  <c r="AB295" i="36" s="1"/>
  <c r="B9" i="36"/>
  <c r="B10" i="36"/>
  <c r="B11" i="36"/>
  <c r="B82" i="36" l="1"/>
  <c r="B81" i="36"/>
  <c r="B80" i="36"/>
  <c r="B79" i="36"/>
  <c r="E10" i="2"/>
  <c r="E442" i="2" s="1"/>
  <c r="E11" i="2"/>
  <c r="E443" i="2" s="1"/>
  <c r="E12" i="2"/>
  <c r="E444" i="2" s="1"/>
  <c r="E13" i="2"/>
  <c r="E445" i="2" s="1"/>
  <c r="E14" i="2"/>
  <c r="E446" i="2" s="1"/>
  <c r="E15" i="2"/>
  <c r="E447" i="2" s="1"/>
  <c r="E16" i="2"/>
  <c r="E448" i="2" s="1"/>
  <c r="E17" i="2"/>
  <c r="E449" i="2" s="1"/>
  <c r="E18" i="2"/>
  <c r="E450" i="2" s="1"/>
  <c r="E19" i="2"/>
  <c r="E451" i="2" s="1"/>
  <c r="E20" i="2"/>
  <c r="E452" i="2" s="1"/>
  <c r="E21" i="2"/>
  <c r="E453" i="2" s="1"/>
  <c r="E22" i="2"/>
  <c r="E454" i="2" s="1"/>
  <c r="E23" i="2"/>
  <c r="E455" i="2" s="1"/>
  <c r="E24" i="2"/>
  <c r="E456" i="2" s="1"/>
  <c r="E25" i="2"/>
  <c r="E457" i="2" s="1"/>
  <c r="E26" i="2"/>
  <c r="E458" i="2" s="1"/>
  <c r="E27" i="2"/>
  <c r="E459" i="2" s="1"/>
  <c r="E28" i="2"/>
  <c r="E460" i="2" s="1"/>
  <c r="E29" i="2"/>
  <c r="E461" i="2" s="1"/>
  <c r="E30" i="2"/>
  <c r="E462" i="2" s="1"/>
  <c r="E9" i="2"/>
  <c r="E441" i="2" s="1"/>
  <c r="AB7" i="36" l="1"/>
  <c r="B7" i="36"/>
  <c r="AN22" i="36"/>
  <c r="C294" i="36"/>
  <c r="C309" i="36" s="1"/>
  <c r="AB304" i="36"/>
  <c r="AB303" i="36"/>
  <c r="AB302" i="36"/>
  <c r="AB300" i="36"/>
  <c r="AB299" i="36"/>
  <c r="AB298" i="36"/>
  <c r="AN188" i="36"/>
  <c r="H188" i="36"/>
  <c r="F188" i="36"/>
  <c r="C188" i="36"/>
  <c r="G25" i="37"/>
  <c r="H25" i="37"/>
  <c r="I25" i="37"/>
  <c r="J25" i="37"/>
  <c r="K25" i="37"/>
  <c r="L25" i="37"/>
  <c r="M25" i="37"/>
  <c r="N25" i="37"/>
  <c r="O25" i="37"/>
  <c r="P25" i="37"/>
  <c r="Q25" i="37"/>
  <c r="R25" i="37"/>
  <c r="S25" i="37"/>
  <c r="T25" i="37"/>
  <c r="U25" i="37"/>
  <c r="V25" i="37"/>
  <c r="W25" i="37"/>
  <c r="X25" i="37"/>
  <c r="Y25" i="37"/>
  <c r="Z25" i="37"/>
  <c r="AB25" i="37"/>
  <c r="AC25" i="37"/>
  <c r="AF25" i="37"/>
  <c r="AG25" i="37"/>
  <c r="AH25" i="37"/>
  <c r="AI25" i="37"/>
  <c r="AJ25" i="37"/>
  <c r="AK25" i="37"/>
  <c r="AL25" i="37"/>
  <c r="AM25" i="37"/>
  <c r="AN25" i="37"/>
  <c r="AO25" i="37"/>
  <c r="AP25" i="37"/>
  <c r="AQ25" i="37"/>
  <c r="AR25" i="37"/>
  <c r="AS25" i="37"/>
  <c r="AU25" i="37"/>
  <c r="AV25" i="37"/>
  <c r="AW25" i="37"/>
  <c r="AX25" i="37"/>
  <c r="AY25" i="37"/>
  <c r="AZ25" i="37"/>
  <c r="BA25" i="37"/>
  <c r="BB25" i="37"/>
  <c r="BC25" i="37"/>
  <c r="BD25" i="37"/>
  <c r="BE25" i="37"/>
  <c r="BF25" i="37"/>
  <c r="BG25" i="37"/>
  <c r="BH25" i="37"/>
  <c r="BI25" i="37"/>
  <c r="D2" i="30"/>
  <c r="B356" i="29"/>
  <c r="B357" i="29"/>
  <c r="B358" i="29"/>
  <c r="B359" i="29"/>
  <c r="B360" i="29"/>
  <c r="B361" i="29"/>
  <c r="B362" i="29"/>
  <c r="B363" i="29"/>
  <c r="B364" i="29"/>
  <c r="B365" i="29"/>
  <c r="B366" i="29"/>
  <c r="B367" i="29"/>
  <c r="B368" i="29"/>
  <c r="B369" i="29"/>
  <c r="B370" i="29"/>
  <c r="B371" i="29"/>
  <c r="B372" i="29"/>
  <c r="B373" i="29"/>
  <c r="B374" i="29"/>
  <c r="B375" i="29"/>
  <c r="B376" i="29"/>
  <c r="B321" i="29"/>
  <c r="B322" i="29"/>
  <c r="B323" i="29"/>
  <c r="B324" i="29"/>
  <c r="B325" i="29"/>
  <c r="B326" i="29"/>
  <c r="B327" i="29"/>
  <c r="B328" i="29"/>
  <c r="B329" i="29"/>
  <c r="B330" i="29"/>
  <c r="B331" i="29"/>
  <c r="B332" i="29"/>
  <c r="B333" i="29"/>
  <c r="B334" i="29"/>
  <c r="B335" i="29"/>
  <c r="B336" i="29"/>
  <c r="B337" i="29"/>
  <c r="B338" i="29"/>
  <c r="B339" i="29"/>
  <c r="B340" i="29"/>
  <c r="B341" i="29"/>
  <c r="B320" i="29"/>
  <c r="B285" i="29"/>
  <c r="B286" i="29"/>
  <c r="B287" i="29"/>
  <c r="B288" i="29"/>
  <c r="B289" i="29"/>
  <c r="B290" i="29"/>
  <c r="B291" i="29"/>
  <c r="B292" i="29"/>
  <c r="B293" i="29"/>
  <c r="B294" i="29"/>
  <c r="B295" i="29"/>
  <c r="B296" i="29"/>
  <c r="B297" i="29"/>
  <c r="B298" i="29"/>
  <c r="B299" i="29"/>
  <c r="B300" i="29"/>
  <c r="B301" i="29"/>
  <c r="B302" i="29"/>
  <c r="B303" i="29"/>
  <c r="B304" i="29"/>
  <c r="B305" i="29"/>
  <c r="B284" i="29"/>
  <c r="AF30" i="3"/>
  <c r="AJ30" i="3"/>
  <c r="B391" i="29"/>
  <c r="B392" i="29"/>
  <c r="B393" i="29"/>
  <c r="B394" i="29"/>
  <c r="B395" i="29"/>
  <c r="B396" i="29"/>
  <c r="B397" i="29"/>
  <c r="B398" i="29"/>
  <c r="B399" i="29"/>
  <c r="B400" i="29"/>
  <c r="B401" i="29"/>
  <c r="B402" i="29"/>
  <c r="B403" i="29"/>
  <c r="B404" i="29"/>
  <c r="B405" i="29"/>
  <c r="B406" i="29"/>
  <c r="B407" i="29"/>
  <c r="B408" i="29"/>
  <c r="B409" i="29"/>
  <c r="B410" i="29"/>
  <c r="B411" i="29"/>
  <c r="B390" i="29"/>
  <c r="AB22" i="36" l="1"/>
  <c r="AB294" i="36"/>
  <c r="AB284" i="36"/>
  <c r="AB307" i="36"/>
  <c r="AB297" i="36"/>
  <c r="AB309" i="36" s="1"/>
  <c r="B102" i="36"/>
  <c r="B78" i="36"/>
  <c r="B355" i="29"/>
  <c r="AJ310" i="3" l="1"/>
  <c r="AJ311" i="3"/>
  <c r="AJ312" i="3"/>
  <c r="AJ313" i="3"/>
  <c r="AJ314" i="3"/>
  <c r="AJ315" i="3"/>
  <c r="AJ316" i="3"/>
  <c r="AJ263" i="3"/>
  <c r="AJ264" i="3"/>
  <c r="AJ265" i="3"/>
  <c r="AJ266" i="3"/>
  <c r="AJ267" i="3"/>
  <c r="AJ268" i="3"/>
  <c r="AJ269" i="3"/>
  <c r="AJ270" i="3"/>
  <c r="AJ271" i="3"/>
  <c r="AJ272" i="3"/>
  <c r="AJ273" i="3"/>
  <c r="AJ274" i="3"/>
  <c r="AJ275" i="3"/>
  <c r="AJ276" i="3"/>
  <c r="AJ277" i="3"/>
  <c r="AJ278" i="3"/>
  <c r="AJ279" i="3"/>
  <c r="AJ280" i="3"/>
  <c r="AJ227" i="3"/>
  <c r="AJ228" i="3"/>
  <c r="AJ229" i="3"/>
  <c r="AJ230" i="3"/>
  <c r="AJ231" i="3"/>
  <c r="AJ232" i="3"/>
  <c r="AJ233" i="3"/>
  <c r="AJ234" i="3"/>
  <c r="AJ235" i="3"/>
  <c r="AJ236" i="3"/>
  <c r="AJ237" i="3"/>
  <c r="AJ238" i="3"/>
  <c r="AJ239" i="3"/>
  <c r="AJ240" i="3"/>
  <c r="AJ241" i="3"/>
  <c r="AJ242" i="3"/>
  <c r="AJ243" i="3"/>
  <c r="AJ244" i="3"/>
  <c r="AJ191" i="3"/>
  <c r="AJ192" i="3"/>
  <c r="AJ193" i="3"/>
  <c r="AJ194" i="3"/>
  <c r="AJ195" i="3"/>
  <c r="AJ196" i="3"/>
  <c r="AJ197" i="3"/>
  <c r="AJ198" i="3"/>
  <c r="AJ199" i="3"/>
  <c r="AJ200" i="3"/>
  <c r="AJ201" i="3"/>
  <c r="AJ202" i="3"/>
  <c r="AJ203" i="3"/>
  <c r="AJ204" i="3"/>
  <c r="AJ205" i="3"/>
  <c r="AJ206" i="3"/>
  <c r="AJ207" i="3"/>
  <c r="AJ208" i="3"/>
  <c r="AJ119" i="3"/>
  <c r="AJ120" i="3"/>
  <c r="AJ121" i="3"/>
  <c r="AJ122" i="3"/>
  <c r="AJ123" i="3"/>
  <c r="AJ124" i="3"/>
  <c r="AJ125" i="3"/>
  <c r="AJ126" i="3"/>
  <c r="AJ127" i="3"/>
  <c r="AJ128" i="3"/>
  <c r="AJ129" i="3"/>
  <c r="AJ130" i="3"/>
  <c r="AJ131" i="3"/>
  <c r="AJ132" i="3"/>
  <c r="AJ133" i="3"/>
  <c r="AJ134" i="3"/>
  <c r="AJ135" i="3"/>
  <c r="AJ136" i="3"/>
  <c r="AJ83" i="3"/>
  <c r="AJ84" i="3"/>
  <c r="AJ85" i="3"/>
  <c r="AJ86" i="3"/>
  <c r="AJ87" i="3"/>
  <c r="AJ88" i="3"/>
  <c r="AJ89" i="3"/>
  <c r="AJ90" i="3"/>
  <c r="AJ91" i="3"/>
  <c r="AJ92" i="3"/>
  <c r="AJ93" i="3"/>
  <c r="AJ94" i="3"/>
  <c r="AJ95" i="3"/>
  <c r="AJ96" i="3"/>
  <c r="AJ97" i="3"/>
  <c r="AJ98" i="3"/>
  <c r="AJ99" i="3"/>
  <c r="AJ100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298" i="3"/>
  <c r="AJ299" i="3"/>
  <c r="AJ300" i="3"/>
  <c r="AJ301" i="3"/>
  <c r="AJ302" i="3"/>
  <c r="AJ303" i="3"/>
  <c r="AJ304" i="3"/>
  <c r="AJ305" i="3"/>
  <c r="AJ306" i="3"/>
  <c r="AJ307" i="3"/>
  <c r="AJ308" i="3"/>
  <c r="AJ309" i="3"/>
  <c r="AJ334" i="3"/>
  <c r="AJ335" i="3"/>
  <c r="AJ336" i="3"/>
  <c r="AJ337" i="3"/>
  <c r="AJ338" i="3"/>
  <c r="AJ339" i="3"/>
  <c r="AJ340" i="3"/>
  <c r="AJ341" i="3"/>
  <c r="AJ342" i="3"/>
  <c r="AJ343" i="3"/>
  <c r="AJ344" i="3"/>
  <c r="AJ345" i="3"/>
  <c r="AJ346" i="3"/>
  <c r="AJ347" i="3"/>
  <c r="AJ348" i="3"/>
  <c r="AJ349" i="3"/>
  <c r="AJ350" i="3"/>
  <c r="AJ351" i="3"/>
  <c r="AJ352" i="3"/>
  <c r="AF299" i="3"/>
  <c r="AF300" i="3"/>
  <c r="AF301" i="3"/>
  <c r="AF302" i="3"/>
  <c r="AF303" i="3"/>
  <c r="AF304" i="3"/>
  <c r="AF305" i="3"/>
  <c r="AF306" i="3"/>
  <c r="AF307" i="3"/>
  <c r="AF308" i="3"/>
  <c r="AF309" i="3"/>
  <c r="AF310" i="3"/>
  <c r="AF311" i="3"/>
  <c r="AF312" i="3"/>
  <c r="AF313" i="3"/>
  <c r="AF314" i="3"/>
  <c r="AF315" i="3"/>
  <c r="AF316" i="3"/>
  <c r="AF261" i="3"/>
  <c r="AF262" i="3"/>
  <c r="AF263" i="3"/>
  <c r="AF264" i="3"/>
  <c r="AF265" i="3"/>
  <c r="AF266" i="3"/>
  <c r="AF267" i="3"/>
  <c r="AF268" i="3"/>
  <c r="AF269" i="3"/>
  <c r="AF270" i="3"/>
  <c r="AF271" i="3"/>
  <c r="AF272" i="3"/>
  <c r="AF273" i="3"/>
  <c r="AF274" i="3"/>
  <c r="AF275" i="3"/>
  <c r="AF276" i="3"/>
  <c r="AF277" i="3"/>
  <c r="AF278" i="3"/>
  <c r="AF279" i="3"/>
  <c r="AF280" i="3"/>
  <c r="AF225" i="3"/>
  <c r="AF226" i="3"/>
  <c r="AF227" i="3"/>
  <c r="AF228" i="3"/>
  <c r="AF229" i="3"/>
  <c r="AF230" i="3"/>
  <c r="AF231" i="3"/>
  <c r="AF232" i="3"/>
  <c r="AF233" i="3"/>
  <c r="AF234" i="3"/>
  <c r="AF235" i="3"/>
  <c r="AF236" i="3"/>
  <c r="AF237" i="3"/>
  <c r="AF238" i="3"/>
  <c r="AF239" i="3"/>
  <c r="AF240" i="3"/>
  <c r="AF241" i="3"/>
  <c r="AF242" i="3"/>
  <c r="AF243" i="3"/>
  <c r="AF244" i="3"/>
  <c r="AF188" i="3"/>
  <c r="AF189" i="3"/>
  <c r="AF190" i="3"/>
  <c r="AF191" i="3"/>
  <c r="AF192" i="3"/>
  <c r="AF193" i="3"/>
  <c r="AF194" i="3"/>
  <c r="AF195" i="3"/>
  <c r="AF196" i="3"/>
  <c r="AF197" i="3"/>
  <c r="AF198" i="3"/>
  <c r="AF199" i="3"/>
  <c r="AF200" i="3"/>
  <c r="AF201" i="3"/>
  <c r="AF202" i="3"/>
  <c r="AF203" i="3"/>
  <c r="AF204" i="3"/>
  <c r="AF205" i="3"/>
  <c r="AF206" i="3"/>
  <c r="AF207" i="3"/>
  <c r="AF208" i="3"/>
  <c r="AF333" i="3"/>
  <c r="AF334" i="3"/>
  <c r="AF335" i="3"/>
  <c r="AF336" i="3"/>
  <c r="AF337" i="3"/>
  <c r="AF338" i="3"/>
  <c r="AF339" i="3"/>
  <c r="AF340" i="3"/>
  <c r="AF341" i="3"/>
  <c r="AF342" i="3"/>
  <c r="AF343" i="3"/>
  <c r="AF344" i="3"/>
  <c r="AF345" i="3"/>
  <c r="AF346" i="3"/>
  <c r="AF347" i="3"/>
  <c r="AF348" i="3"/>
  <c r="AF349" i="3"/>
  <c r="AF350" i="3"/>
  <c r="AF351" i="3"/>
  <c r="AF352" i="3"/>
  <c r="AF332" i="3"/>
  <c r="D383" i="35" l="1"/>
  <c r="D509" i="35" s="1"/>
  <c r="E383" i="35"/>
  <c r="E509" i="35" s="1"/>
  <c r="F383" i="35"/>
  <c r="F509" i="35" s="1"/>
  <c r="G383" i="35"/>
  <c r="G509" i="35" s="1"/>
  <c r="H383" i="35"/>
  <c r="H509" i="35" s="1"/>
  <c r="I383" i="35"/>
  <c r="I509" i="35" s="1"/>
  <c r="J383" i="35"/>
  <c r="J509" i="35" s="1"/>
  <c r="K383" i="35"/>
  <c r="K509" i="35" s="1"/>
  <c r="L383" i="35"/>
  <c r="L509" i="35" s="1"/>
  <c r="M383" i="35"/>
  <c r="M509" i="35" s="1"/>
  <c r="N383" i="35"/>
  <c r="N509" i="35" s="1"/>
  <c r="O383" i="35"/>
  <c r="O509" i="35" s="1"/>
  <c r="P383" i="35"/>
  <c r="P509" i="35" s="1"/>
  <c r="Q383" i="35"/>
  <c r="Q509" i="35" s="1"/>
  <c r="R383" i="35"/>
  <c r="R509" i="35" s="1"/>
  <c r="S383" i="35"/>
  <c r="S509" i="35" s="1"/>
  <c r="T383" i="35"/>
  <c r="T509" i="35" s="1"/>
  <c r="U383" i="35"/>
  <c r="U509" i="35" s="1"/>
  <c r="V383" i="35"/>
  <c r="V509" i="35" s="1"/>
  <c r="W383" i="35"/>
  <c r="W509" i="35" s="1"/>
  <c r="X383" i="35"/>
  <c r="X509" i="35" s="1"/>
  <c r="Y383" i="35"/>
  <c r="Y509" i="35" s="1"/>
  <c r="Z383" i="35"/>
  <c r="Z509" i="35" s="1"/>
  <c r="AA383" i="35"/>
  <c r="AA509" i="35" s="1"/>
  <c r="AB383" i="35"/>
  <c r="AB509" i="35" s="1"/>
  <c r="AC383" i="35"/>
  <c r="AC509" i="35" s="1"/>
  <c r="AD383" i="35"/>
  <c r="AD509" i="35" s="1"/>
  <c r="AE383" i="35"/>
  <c r="AE509" i="35" s="1"/>
  <c r="AF383" i="35"/>
  <c r="AF509" i="35" s="1"/>
  <c r="AG383" i="35"/>
  <c r="AG509" i="35" s="1"/>
  <c r="AH383" i="35"/>
  <c r="AH509" i="35" s="1"/>
  <c r="AI383" i="35"/>
  <c r="AI509" i="35" s="1"/>
  <c r="C383" i="35"/>
  <c r="C509" i="35" s="1"/>
  <c r="E160" i="33" l="1"/>
  <c r="E161" i="33"/>
  <c r="E162" i="33"/>
  <c r="E163" i="33"/>
  <c r="E164" i="33"/>
  <c r="E165" i="33"/>
  <c r="E166" i="33"/>
  <c r="E167" i="33"/>
  <c r="E168" i="33"/>
  <c r="E169" i="33"/>
  <c r="E170" i="33"/>
  <c r="B248" i="29" l="1"/>
  <c r="B249" i="29" l="1"/>
  <c r="B250" i="29"/>
  <c r="B251" i="29"/>
  <c r="B252" i="29"/>
  <c r="B253" i="29"/>
  <c r="B254" i="29"/>
  <c r="B255" i="29"/>
  <c r="B256" i="29"/>
  <c r="B257" i="29"/>
  <c r="B258" i="29"/>
  <c r="B259" i="29"/>
  <c r="B260" i="29"/>
  <c r="B261" i="29"/>
  <c r="B262" i="29"/>
  <c r="B263" i="29"/>
  <c r="B264" i="29"/>
  <c r="B265" i="29"/>
  <c r="B266" i="29"/>
  <c r="B267" i="29"/>
  <c r="B268" i="29"/>
  <c r="B269" i="29"/>
  <c r="B215" i="29" l="1"/>
  <c r="B216" i="29"/>
  <c r="B217" i="29"/>
  <c r="B218" i="29"/>
  <c r="B219" i="29"/>
  <c r="B220" i="29"/>
  <c r="B221" i="29"/>
  <c r="B222" i="29"/>
  <c r="B223" i="29"/>
  <c r="B224" i="29"/>
  <c r="B225" i="29"/>
  <c r="B226" i="29"/>
  <c r="B227" i="29"/>
  <c r="B228" i="29"/>
  <c r="B229" i="29"/>
  <c r="B230" i="29"/>
  <c r="B231" i="29"/>
  <c r="B232" i="29"/>
  <c r="B233" i="29"/>
  <c r="B234" i="29"/>
  <c r="B235" i="29"/>
  <c r="B214" i="29"/>
  <c r="AC201" i="2" l="1"/>
  <c r="B180" i="29" l="1"/>
  <c r="B181" i="29"/>
  <c r="B182" i="29"/>
  <c r="B183" i="29"/>
  <c r="B184" i="29"/>
  <c r="B185" i="29"/>
  <c r="B186" i="29"/>
  <c r="B187" i="29"/>
  <c r="B188" i="29"/>
  <c r="B189" i="29"/>
  <c r="B190" i="29"/>
  <c r="B191" i="29"/>
  <c r="B192" i="29"/>
  <c r="B193" i="29"/>
  <c r="B194" i="29"/>
  <c r="B195" i="29"/>
  <c r="B196" i="29"/>
  <c r="B197" i="29"/>
  <c r="B198" i="29"/>
  <c r="B199" i="29"/>
  <c r="B200" i="29"/>
  <c r="B179" i="29"/>
  <c r="Q116" i="3" l="1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AS116" i="3"/>
  <c r="AS117" i="3"/>
  <c r="AS118" i="3"/>
  <c r="AS119" i="3"/>
  <c r="AS120" i="3"/>
  <c r="AS121" i="3"/>
  <c r="AS122" i="3"/>
  <c r="AS123" i="3"/>
  <c r="AS124" i="3"/>
  <c r="AS125" i="3"/>
  <c r="AS126" i="3"/>
  <c r="AS127" i="3"/>
  <c r="AS128" i="3"/>
  <c r="AS129" i="3"/>
  <c r="AS130" i="3"/>
  <c r="AS131" i="3"/>
  <c r="AS132" i="3"/>
  <c r="AS133" i="3"/>
  <c r="AS134" i="3"/>
  <c r="AS135" i="3"/>
  <c r="AS136" i="3"/>
  <c r="AN116" i="3"/>
  <c r="AN117" i="3"/>
  <c r="AN118" i="3"/>
  <c r="AN119" i="3"/>
  <c r="AN120" i="3"/>
  <c r="AN121" i="3"/>
  <c r="AN122" i="3"/>
  <c r="AN123" i="3"/>
  <c r="AN124" i="3"/>
  <c r="AN125" i="3"/>
  <c r="AN126" i="3"/>
  <c r="AN127" i="3"/>
  <c r="AN128" i="3"/>
  <c r="AN129" i="3"/>
  <c r="AN130" i="3"/>
  <c r="AN131" i="3"/>
  <c r="AN132" i="3"/>
  <c r="AN133" i="3"/>
  <c r="AN134" i="3"/>
  <c r="AN135" i="3"/>
  <c r="AN136" i="3"/>
  <c r="AF133" i="3"/>
  <c r="AF134" i="3"/>
  <c r="AF135" i="3"/>
  <c r="AF136" i="3"/>
  <c r="G133" i="3"/>
  <c r="L133" i="3"/>
  <c r="V133" i="3"/>
  <c r="AA133" i="3"/>
  <c r="AX133" i="3"/>
  <c r="AX45" i="3"/>
  <c r="AX46" i="3"/>
  <c r="AX47" i="3"/>
  <c r="AX48" i="3"/>
  <c r="AX49" i="3"/>
  <c r="AX50" i="3"/>
  <c r="AX51" i="3"/>
  <c r="AX52" i="3"/>
  <c r="AX53" i="3"/>
  <c r="AX54" i="3"/>
  <c r="AX55" i="3"/>
  <c r="AX56" i="3"/>
  <c r="AX57" i="3"/>
  <c r="AX58" i="3"/>
  <c r="AX59" i="3"/>
  <c r="AX60" i="3"/>
  <c r="AX61" i="3"/>
  <c r="AX62" i="3"/>
  <c r="AX63" i="3"/>
  <c r="AX64" i="3"/>
  <c r="AS30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J45" i="3"/>
  <c r="AJ46" i="3"/>
  <c r="AF64" i="3"/>
  <c r="AF63" i="3"/>
  <c r="AF62" i="3"/>
  <c r="AF61" i="3"/>
  <c r="AF60" i="3"/>
  <c r="AF59" i="3"/>
  <c r="AF58" i="3"/>
  <c r="AF57" i="3"/>
  <c r="AF56" i="3"/>
  <c r="AF55" i="3"/>
  <c r="AF54" i="3"/>
  <c r="AF53" i="3"/>
  <c r="AF52" i="3"/>
  <c r="AF51" i="3"/>
  <c r="AF50" i="3"/>
  <c r="AF49" i="3"/>
  <c r="AF48" i="3"/>
  <c r="AF47" i="3"/>
  <c r="AF46" i="3"/>
  <c r="AF44" i="3"/>
  <c r="AF45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AA61" i="3"/>
  <c r="V61" i="3"/>
  <c r="B146" i="29" l="1"/>
  <c r="B147" i="29"/>
  <c r="B148" i="29"/>
  <c r="B149" i="29"/>
  <c r="B150" i="29"/>
  <c r="B151" i="29"/>
  <c r="B152" i="29"/>
  <c r="B153" i="29"/>
  <c r="B154" i="29"/>
  <c r="B155" i="29"/>
  <c r="B156" i="29"/>
  <c r="B157" i="29"/>
  <c r="B158" i="29"/>
  <c r="B159" i="29"/>
  <c r="B160" i="29"/>
  <c r="B161" i="29"/>
  <c r="B162" i="29"/>
  <c r="B163" i="29"/>
  <c r="B164" i="29"/>
  <c r="B165" i="29"/>
  <c r="B166" i="29"/>
  <c r="B145" i="29"/>
  <c r="B112" i="29"/>
  <c r="B113" i="29"/>
  <c r="B114" i="29"/>
  <c r="B115" i="29"/>
  <c r="B116" i="29"/>
  <c r="B117" i="29"/>
  <c r="B118" i="29"/>
  <c r="B119" i="29"/>
  <c r="B120" i="29"/>
  <c r="B121" i="29"/>
  <c r="B122" i="29"/>
  <c r="B123" i="29"/>
  <c r="B124" i="29"/>
  <c r="B125" i="29"/>
  <c r="B126" i="29"/>
  <c r="B127" i="29"/>
  <c r="B128" i="29"/>
  <c r="B129" i="29"/>
  <c r="B130" i="29"/>
  <c r="B131" i="29"/>
  <c r="B132" i="29"/>
  <c r="B111" i="29"/>
  <c r="B77" i="29"/>
  <c r="B78" i="29"/>
  <c r="B79" i="29"/>
  <c r="B80" i="29"/>
  <c r="B81" i="29"/>
  <c r="B82" i="29"/>
  <c r="B83" i="29"/>
  <c r="B84" i="29"/>
  <c r="B85" i="29"/>
  <c r="B86" i="29"/>
  <c r="B87" i="29"/>
  <c r="B88" i="29"/>
  <c r="B89" i="29"/>
  <c r="B90" i="29"/>
  <c r="B91" i="29"/>
  <c r="B92" i="29"/>
  <c r="B93" i="29"/>
  <c r="B94" i="29"/>
  <c r="B95" i="29"/>
  <c r="B96" i="29"/>
  <c r="B97" i="29"/>
  <c r="B76" i="29"/>
  <c r="B43" i="29"/>
  <c r="B44" i="29"/>
  <c r="B45" i="29"/>
  <c r="B46" i="29"/>
  <c r="B47" i="29"/>
  <c r="B48" i="29"/>
  <c r="B49" i="29"/>
  <c r="B50" i="29"/>
  <c r="B51" i="29"/>
  <c r="B52" i="29"/>
  <c r="B53" i="29"/>
  <c r="B54" i="29"/>
  <c r="B55" i="29"/>
  <c r="B56" i="29"/>
  <c r="B57" i="29"/>
  <c r="B58" i="29"/>
  <c r="B59" i="29"/>
  <c r="B60" i="29"/>
  <c r="B61" i="29"/>
  <c r="B62" i="29"/>
  <c r="B63" i="29"/>
  <c r="B42" i="29"/>
  <c r="AK27" i="3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C44" i="2" l="1"/>
  <c r="C78" i="2" s="1"/>
  <c r="C112" i="2" s="1"/>
  <c r="C146" i="2" s="1"/>
  <c r="C180" i="2" s="1"/>
  <c r="C214" i="2" s="1"/>
  <c r="C248" i="2" s="1"/>
  <c r="C282" i="2" s="1"/>
  <c r="C316" i="2" s="1"/>
  <c r="C350" i="2" s="1"/>
  <c r="C384" i="2" s="1"/>
  <c r="D44" i="2"/>
  <c r="D78" i="2" s="1"/>
  <c r="D112" i="2" s="1"/>
  <c r="D146" i="2" s="1"/>
  <c r="D180" i="2" s="1"/>
  <c r="D214" i="2" s="1"/>
  <c r="D248" i="2" s="1"/>
  <c r="D282" i="2" s="1"/>
  <c r="D316" i="2" s="1"/>
  <c r="D350" i="2" s="1"/>
  <c r="D384" i="2" s="1"/>
  <c r="C45" i="2"/>
  <c r="C79" i="2" s="1"/>
  <c r="C113" i="2" s="1"/>
  <c r="C147" i="2" s="1"/>
  <c r="C181" i="2" s="1"/>
  <c r="C215" i="2" s="1"/>
  <c r="C249" i="2" s="1"/>
  <c r="C283" i="2" s="1"/>
  <c r="C317" i="2" s="1"/>
  <c r="C351" i="2" s="1"/>
  <c r="C385" i="2" s="1"/>
  <c r="D45" i="2"/>
  <c r="D79" i="2" s="1"/>
  <c r="D113" i="2" s="1"/>
  <c r="D147" i="2" s="1"/>
  <c r="D181" i="2" s="1"/>
  <c r="D215" i="2" s="1"/>
  <c r="D249" i="2" s="1"/>
  <c r="D283" i="2" s="1"/>
  <c r="D317" i="2" s="1"/>
  <c r="D351" i="2" s="1"/>
  <c r="D385" i="2" s="1"/>
  <c r="C46" i="2"/>
  <c r="C80" i="2" s="1"/>
  <c r="C114" i="2" s="1"/>
  <c r="C148" i="2" s="1"/>
  <c r="C182" i="2" s="1"/>
  <c r="C216" i="2" s="1"/>
  <c r="C250" i="2" s="1"/>
  <c r="C284" i="2" s="1"/>
  <c r="C318" i="2" s="1"/>
  <c r="C352" i="2" s="1"/>
  <c r="C386" i="2" s="1"/>
  <c r="D46" i="2"/>
  <c r="D80" i="2" s="1"/>
  <c r="D114" i="2" s="1"/>
  <c r="D148" i="2" s="1"/>
  <c r="D182" i="2" s="1"/>
  <c r="D216" i="2" s="1"/>
  <c r="D250" i="2" s="1"/>
  <c r="D284" i="2" s="1"/>
  <c r="D318" i="2" s="1"/>
  <c r="D352" i="2" s="1"/>
  <c r="D386" i="2" s="1"/>
  <c r="C47" i="2"/>
  <c r="C81" i="2" s="1"/>
  <c r="C115" i="2" s="1"/>
  <c r="C149" i="2" s="1"/>
  <c r="C183" i="2" s="1"/>
  <c r="C217" i="2" s="1"/>
  <c r="C251" i="2" s="1"/>
  <c r="C285" i="2" s="1"/>
  <c r="C319" i="2" s="1"/>
  <c r="C353" i="2" s="1"/>
  <c r="C387" i="2" s="1"/>
  <c r="D47" i="2"/>
  <c r="D81" i="2" s="1"/>
  <c r="D115" i="2" s="1"/>
  <c r="D149" i="2" s="1"/>
  <c r="D183" i="2" s="1"/>
  <c r="D217" i="2" s="1"/>
  <c r="D251" i="2" s="1"/>
  <c r="D285" i="2" s="1"/>
  <c r="D319" i="2" s="1"/>
  <c r="D353" i="2" s="1"/>
  <c r="D387" i="2" s="1"/>
  <c r="C48" i="2"/>
  <c r="C82" i="2" s="1"/>
  <c r="C116" i="2" s="1"/>
  <c r="C150" i="2" s="1"/>
  <c r="C184" i="2" s="1"/>
  <c r="C218" i="2" s="1"/>
  <c r="C252" i="2" s="1"/>
  <c r="C286" i="2" s="1"/>
  <c r="C320" i="2" s="1"/>
  <c r="C354" i="2" s="1"/>
  <c r="C388" i="2" s="1"/>
  <c r="D48" i="2"/>
  <c r="D82" i="2" s="1"/>
  <c r="D116" i="2" s="1"/>
  <c r="D150" i="2" s="1"/>
  <c r="D184" i="2" s="1"/>
  <c r="D218" i="2" s="1"/>
  <c r="D252" i="2" s="1"/>
  <c r="D286" i="2" s="1"/>
  <c r="D320" i="2" s="1"/>
  <c r="D354" i="2" s="1"/>
  <c r="D388" i="2" s="1"/>
  <c r="C49" i="2"/>
  <c r="C83" i="2" s="1"/>
  <c r="C117" i="2" s="1"/>
  <c r="C151" i="2" s="1"/>
  <c r="C185" i="2" s="1"/>
  <c r="C219" i="2" s="1"/>
  <c r="C253" i="2" s="1"/>
  <c r="C287" i="2" s="1"/>
  <c r="C321" i="2" s="1"/>
  <c r="C355" i="2" s="1"/>
  <c r="C389" i="2" s="1"/>
  <c r="D49" i="2"/>
  <c r="D83" i="2" s="1"/>
  <c r="D117" i="2" s="1"/>
  <c r="D151" i="2" s="1"/>
  <c r="D185" i="2" s="1"/>
  <c r="D219" i="2" s="1"/>
  <c r="D253" i="2" s="1"/>
  <c r="D287" i="2" s="1"/>
  <c r="D321" i="2" s="1"/>
  <c r="D355" i="2" s="1"/>
  <c r="D389" i="2" s="1"/>
  <c r="C50" i="2"/>
  <c r="C84" i="2" s="1"/>
  <c r="C118" i="2" s="1"/>
  <c r="C152" i="2" s="1"/>
  <c r="C186" i="2" s="1"/>
  <c r="C220" i="2" s="1"/>
  <c r="C254" i="2" s="1"/>
  <c r="C288" i="2" s="1"/>
  <c r="C322" i="2" s="1"/>
  <c r="C356" i="2" s="1"/>
  <c r="C390" i="2" s="1"/>
  <c r="D50" i="2"/>
  <c r="D84" i="2" s="1"/>
  <c r="D118" i="2" s="1"/>
  <c r="D152" i="2" s="1"/>
  <c r="D186" i="2" s="1"/>
  <c r="D220" i="2" s="1"/>
  <c r="D254" i="2" s="1"/>
  <c r="D288" i="2" s="1"/>
  <c r="D322" i="2" s="1"/>
  <c r="D356" i="2" s="1"/>
  <c r="D390" i="2" s="1"/>
  <c r="C51" i="2"/>
  <c r="C85" i="2" s="1"/>
  <c r="C119" i="2" s="1"/>
  <c r="C153" i="2" s="1"/>
  <c r="C187" i="2" s="1"/>
  <c r="C221" i="2" s="1"/>
  <c r="C255" i="2" s="1"/>
  <c r="C289" i="2" s="1"/>
  <c r="C323" i="2" s="1"/>
  <c r="C357" i="2" s="1"/>
  <c r="C391" i="2" s="1"/>
  <c r="D51" i="2"/>
  <c r="D85" i="2" s="1"/>
  <c r="D119" i="2" s="1"/>
  <c r="D153" i="2" s="1"/>
  <c r="D187" i="2" s="1"/>
  <c r="D221" i="2" s="1"/>
  <c r="D255" i="2" s="1"/>
  <c r="D289" i="2" s="1"/>
  <c r="D323" i="2" s="1"/>
  <c r="D357" i="2" s="1"/>
  <c r="D391" i="2" s="1"/>
  <c r="C52" i="2"/>
  <c r="C86" i="2" s="1"/>
  <c r="C120" i="2" s="1"/>
  <c r="C154" i="2" s="1"/>
  <c r="C188" i="2" s="1"/>
  <c r="C222" i="2" s="1"/>
  <c r="C256" i="2" s="1"/>
  <c r="C290" i="2" s="1"/>
  <c r="C324" i="2" s="1"/>
  <c r="C358" i="2" s="1"/>
  <c r="C392" i="2" s="1"/>
  <c r="D52" i="2"/>
  <c r="D86" i="2" s="1"/>
  <c r="D120" i="2" s="1"/>
  <c r="D154" i="2" s="1"/>
  <c r="D188" i="2" s="1"/>
  <c r="D222" i="2" s="1"/>
  <c r="D256" i="2" s="1"/>
  <c r="D290" i="2" s="1"/>
  <c r="D324" i="2" s="1"/>
  <c r="D358" i="2" s="1"/>
  <c r="D392" i="2" s="1"/>
  <c r="E86" i="2"/>
  <c r="E120" i="2" s="1"/>
  <c r="E154" i="2" s="1"/>
  <c r="E188" i="2" s="1"/>
  <c r="E222" i="2" s="1"/>
  <c r="E256" i="2" s="1"/>
  <c r="E290" i="2" s="1"/>
  <c r="E324" i="2" s="1"/>
  <c r="E358" i="2" s="1"/>
  <c r="E392" i="2" s="1"/>
  <c r="C53" i="2"/>
  <c r="C87" i="2" s="1"/>
  <c r="C121" i="2" s="1"/>
  <c r="C155" i="2" s="1"/>
  <c r="C189" i="2" s="1"/>
  <c r="C223" i="2" s="1"/>
  <c r="C257" i="2" s="1"/>
  <c r="C291" i="2" s="1"/>
  <c r="C325" i="2" s="1"/>
  <c r="C359" i="2" s="1"/>
  <c r="C393" i="2" s="1"/>
  <c r="D53" i="2"/>
  <c r="D87" i="2" s="1"/>
  <c r="D121" i="2" s="1"/>
  <c r="D155" i="2" s="1"/>
  <c r="D189" i="2" s="1"/>
  <c r="D223" i="2" s="1"/>
  <c r="D257" i="2" s="1"/>
  <c r="D291" i="2" s="1"/>
  <c r="D325" i="2" s="1"/>
  <c r="D359" i="2" s="1"/>
  <c r="D393" i="2" s="1"/>
  <c r="C54" i="2"/>
  <c r="C88" i="2" s="1"/>
  <c r="C122" i="2" s="1"/>
  <c r="C156" i="2" s="1"/>
  <c r="C190" i="2" s="1"/>
  <c r="C224" i="2" s="1"/>
  <c r="C258" i="2" s="1"/>
  <c r="C292" i="2" s="1"/>
  <c r="C326" i="2" s="1"/>
  <c r="C360" i="2" s="1"/>
  <c r="C394" i="2" s="1"/>
  <c r="D54" i="2"/>
  <c r="D88" i="2" s="1"/>
  <c r="D122" i="2" s="1"/>
  <c r="D156" i="2" s="1"/>
  <c r="D190" i="2" s="1"/>
  <c r="D224" i="2" s="1"/>
  <c r="D258" i="2" s="1"/>
  <c r="D292" i="2" s="1"/>
  <c r="D326" i="2" s="1"/>
  <c r="D360" i="2" s="1"/>
  <c r="D394" i="2" s="1"/>
  <c r="C55" i="2"/>
  <c r="C89" i="2" s="1"/>
  <c r="C123" i="2" s="1"/>
  <c r="C157" i="2" s="1"/>
  <c r="C191" i="2" s="1"/>
  <c r="C225" i="2" s="1"/>
  <c r="C259" i="2" s="1"/>
  <c r="C293" i="2" s="1"/>
  <c r="C327" i="2" s="1"/>
  <c r="C361" i="2" s="1"/>
  <c r="C395" i="2" s="1"/>
  <c r="D55" i="2"/>
  <c r="D89" i="2" s="1"/>
  <c r="D123" i="2" s="1"/>
  <c r="D157" i="2" s="1"/>
  <c r="D191" i="2" s="1"/>
  <c r="D225" i="2" s="1"/>
  <c r="D259" i="2" s="1"/>
  <c r="D293" i="2" s="1"/>
  <c r="D327" i="2" s="1"/>
  <c r="D361" i="2" s="1"/>
  <c r="D395" i="2" s="1"/>
  <c r="C56" i="2"/>
  <c r="C90" i="2" s="1"/>
  <c r="C124" i="2" s="1"/>
  <c r="C158" i="2" s="1"/>
  <c r="C192" i="2" s="1"/>
  <c r="C226" i="2" s="1"/>
  <c r="C260" i="2" s="1"/>
  <c r="C294" i="2" s="1"/>
  <c r="C328" i="2" s="1"/>
  <c r="C362" i="2" s="1"/>
  <c r="C396" i="2" s="1"/>
  <c r="D56" i="2"/>
  <c r="D90" i="2" s="1"/>
  <c r="D124" i="2" s="1"/>
  <c r="D158" i="2" s="1"/>
  <c r="D192" i="2" s="1"/>
  <c r="D226" i="2" s="1"/>
  <c r="D260" i="2" s="1"/>
  <c r="D294" i="2" s="1"/>
  <c r="D328" i="2" s="1"/>
  <c r="D362" i="2" s="1"/>
  <c r="D396" i="2" s="1"/>
  <c r="E90" i="2"/>
  <c r="E124" i="2" s="1"/>
  <c r="E158" i="2" s="1"/>
  <c r="E192" i="2" s="1"/>
  <c r="E226" i="2" s="1"/>
  <c r="E260" i="2" s="1"/>
  <c r="E294" i="2" s="1"/>
  <c r="E328" i="2" s="1"/>
  <c r="E362" i="2" s="1"/>
  <c r="E396" i="2" s="1"/>
  <c r="C57" i="2"/>
  <c r="C91" i="2" s="1"/>
  <c r="C125" i="2" s="1"/>
  <c r="C159" i="2" s="1"/>
  <c r="C193" i="2" s="1"/>
  <c r="C227" i="2" s="1"/>
  <c r="C261" i="2" s="1"/>
  <c r="C295" i="2" s="1"/>
  <c r="C329" i="2" s="1"/>
  <c r="C363" i="2" s="1"/>
  <c r="C397" i="2" s="1"/>
  <c r="D57" i="2"/>
  <c r="D91" i="2" s="1"/>
  <c r="D125" i="2" s="1"/>
  <c r="D159" i="2" s="1"/>
  <c r="D193" i="2" s="1"/>
  <c r="D227" i="2" s="1"/>
  <c r="D261" i="2" s="1"/>
  <c r="D295" i="2" s="1"/>
  <c r="D329" i="2" s="1"/>
  <c r="D363" i="2" s="1"/>
  <c r="D397" i="2" s="1"/>
  <c r="E91" i="2"/>
  <c r="E125" i="2" s="1"/>
  <c r="E159" i="2" s="1"/>
  <c r="E193" i="2" s="1"/>
  <c r="E227" i="2" s="1"/>
  <c r="E261" i="2" s="1"/>
  <c r="E295" i="2" s="1"/>
  <c r="E329" i="2" s="1"/>
  <c r="E363" i="2" s="1"/>
  <c r="E397" i="2" s="1"/>
  <c r="C58" i="2"/>
  <c r="C92" i="2" s="1"/>
  <c r="C126" i="2" s="1"/>
  <c r="C160" i="2" s="1"/>
  <c r="C194" i="2" s="1"/>
  <c r="C228" i="2" s="1"/>
  <c r="C262" i="2" s="1"/>
  <c r="C296" i="2" s="1"/>
  <c r="C330" i="2" s="1"/>
  <c r="C364" i="2" s="1"/>
  <c r="C398" i="2" s="1"/>
  <c r="D58" i="2"/>
  <c r="D92" i="2" s="1"/>
  <c r="D126" i="2" s="1"/>
  <c r="D160" i="2" s="1"/>
  <c r="D194" i="2" s="1"/>
  <c r="D228" i="2" s="1"/>
  <c r="D262" i="2" s="1"/>
  <c r="D296" i="2" s="1"/>
  <c r="D330" i="2" s="1"/>
  <c r="D364" i="2" s="1"/>
  <c r="D398" i="2" s="1"/>
  <c r="E92" i="2"/>
  <c r="E126" i="2" s="1"/>
  <c r="E160" i="2" s="1"/>
  <c r="E194" i="2" s="1"/>
  <c r="E228" i="2" s="1"/>
  <c r="E262" i="2" s="1"/>
  <c r="E296" i="2" s="1"/>
  <c r="E330" i="2" s="1"/>
  <c r="E364" i="2" s="1"/>
  <c r="E398" i="2" s="1"/>
  <c r="C59" i="2"/>
  <c r="C93" i="2" s="1"/>
  <c r="C127" i="2" s="1"/>
  <c r="C161" i="2" s="1"/>
  <c r="C195" i="2" s="1"/>
  <c r="C229" i="2" s="1"/>
  <c r="C263" i="2" s="1"/>
  <c r="C297" i="2" s="1"/>
  <c r="C331" i="2" s="1"/>
  <c r="C365" i="2" s="1"/>
  <c r="C399" i="2" s="1"/>
  <c r="D59" i="2"/>
  <c r="D93" i="2" s="1"/>
  <c r="D127" i="2" s="1"/>
  <c r="D161" i="2" s="1"/>
  <c r="D195" i="2" s="1"/>
  <c r="D229" i="2" s="1"/>
  <c r="D263" i="2" s="1"/>
  <c r="D297" i="2" s="1"/>
  <c r="D331" i="2" s="1"/>
  <c r="D365" i="2" s="1"/>
  <c r="D399" i="2" s="1"/>
  <c r="C60" i="2"/>
  <c r="C94" i="2" s="1"/>
  <c r="C128" i="2" s="1"/>
  <c r="C162" i="2" s="1"/>
  <c r="C196" i="2" s="1"/>
  <c r="C230" i="2" s="1"/>
  <c r="C264" i="2" s="1"/>
  <c r="C298" i="2" s="1"/>
  <c r="C332" i="2" s="1"/>
  <c r="C366" i="2" s="1"/>
  <c r="C400" i="2" s="1"/>
  <c r="D60" i="2"/>
  <c r="D94" i="2" s="1"/>
  <c r="D128" i="2" s="1"/>
  <c r="D162" i="2" s="1"/>
  <c r="D196" i="2" s="1"/>
  <c r="D230" i="2" s="1"/>
  <c r="D264" i="2" s="1"/>
  <c r="D298" i="2" s="1"/>
  <c r="D332" i="2" s="1"/>
  <c r="D366" i="2" s="1"/>
  <c r="D400" i="2" s="1"/>
  <c r="C61" i="2"/>
  <c r="C95" i="2" s="1"/>
  <c r="C129" i="2" s="1"/>
  <c r="C163" i="2" s="1"/>
  <c r="C197" i="2" s="1"/>
  <c r="C231" i="2" s="1"/>
  <c r="C265" i="2" s="1"/>
  <c r="C299" i="2" s="1"/>
  <c r="C333" i="2" s="1"/>
  <c r="C367" i="2" s="1"/>
  <c r="C401" i="2" s="1"/>
  <c r="D61" i="2"/>
  <c r="D95" i="2" s="1"/>
  <c r="D129" i="2" s="1"/>
  <c r="C62" i="2"/>
  <c r="C96" i="2" s="1"/>
  <c r="C130" i="2" s="1"/>
  <c r="C164" i="2" s="1"/>
  <c r="C198" i="2" s="1"/>
  <c r="C232" i="2" s="1"/>
  <c r="C266" i="2" s="1"/>
  <c r="C300" i="2" s="1"/>
  <c r="C334" i="2" s="1"/>
  <c r="C368" i="2" s="1"/>
  <c r="C402" i="2" s="1"/>
  <c r="D62" i="2"/>
  <c r="D96" i="2" s="1"/>
  <c r="D130" i="2" s="1"/>
  <c r="D164" i="2" s="1"/>
  <c r="D198" i="2" s="1"/>
  <c r="D232" i="2" s="1"/>
  <c r="D266" i="2" s="1"/>
  <c r="D300" i="2" s="1"/>
  <c r="D334" i="2" s="1"/>
  <c r="D368" i="2" s="1"/>
  <c r="D402" i="2" s="1"/>
  <c r="C63" i="2"/>
  <c r="C97" i="2" s="1"/>
  <c r="C131" i="2" s="1"/>
  <c r="C165" i="2" s="1"/>
  <c r="C199" i="2" s="1"/>
  <c r="C233" i="2" s="1"/>
  <c r="C267" i="2" s="1"/>
  <c r="C301" i="2" s="1"/>
  <c r="C335" i="2" s="1"/>
  <c r="C369" i="2" s="1"/>
  <c r="C403" i="2" s="1"/>
  <c r="D63" i="2"/>
  <c r="D97" i="2" s="1"/>
  <c r="D131" i="2" s="1"/>
  <c r="D165" i="2" s="1"/>
  <c r="D199" i="2" s="1"/>
  <c r="D233" i="2" s="1"/>
  <c r="D267" i="2" s="1"/>
  <c r="D301" i="2" s="1"/>
  <c r="D335" i="2" s="1"/>
  <c r="D369" i="2" s="1"/>
  <c r="D403" i="2" s="1"/>
  <c r="E97" i="2"/>
  <c r="E131" i="2" s="1"/>
  <c r="E165" i="2" s="1"/>
  <c r="E199" i="2" s="1"/>
  <c r="E233" i="2" s="1"/>
  <c r="E267" i="2" s="1"/>
  <c r="E301" i="2" s="1"/>
  <c r="E335" i="2" s="1"/>
  <c r="E369" i="2" s="1"/>
  <c r="E403" i="2" s="1"/>
  <c r="C64" i="2"/>
  <c r="C98" i="2" s="1"/>
  <c r="C132" i="2" s="1"/>
  <c r="C166" i="2" s="1"/>
  <c r="C200" i="2" s="1"/>
  <c r="C234" i="2" s="1"/>
  <c r="C268" i="2" s="1"/>
  <c r="C302" i="2" s="1"/>
  <c r="C336" i="2" s="1"/>
  <c r="C370" i="2" s="1"/>
  <c r="C404" i="2" s="1"/>
  <c r="D64" i="2"/>
  <c r="D98" i="2" s="1"/>
  <c r="D132" i="2" s="1"/>
  <c r="D166" i="2" s="1"/>
  <c r="D200" i="2" s="1"/>
  <c r="D234" i="2" s="1"/>
  <c r="D268" i="2" s="1"/>
  <c r="D302" i="2" s="1"/>
  <c r="D336" i="2" s="1"/>
  <c r="D370" i="2" s="1"/>
  <c r="D404" i="2" s="1"/>
  <c r="E98" i="2"/>
  <c r="E132" i="2" s="1"/>
  <c r="E166" i="2" s="1"/>
  <c r="E200" i="2" s="1"/>
  <c r="E234" i="2" s="1"/>
  <c r="E268" i="2" s="1"/>
  <c r="E302" i="2" s="1"/>
  <c r="E336" i="2" s="1"/>
  <c r="E370" i="2" s="1"/>
  <c r="E404" i="2" s="1"/>
  <c r="D43" i="2"/>
  <c r="D77" i="2" s="1"/>
  <c r="D111" i="2" s="1"/>
  <c r="D145" i="2" s="1"/>
  <c r="E43" i="2"/>
  <c r="E77" i="2" s="1"/>
  <c r="E111" i="2" s="1"/>
  <c r="E145" i="2" s="1"/>
  <c r="E31" i="3"/>
  <c r="F31" i="3"/>
  <c r="J31" i="3"/>
  <c r="K31" i="3"/>
  <c r="O31" i="3"/>
  <c r="P31" i="3"/>
  <c r="T31" i="3"/>
  <c r="U31" i="3"/>
  <c r="Y31" i="3"/>
  <c r="Z31" i="3"/>
  <c r="AD31" i="3"/>
  <c r="AE31" i="3"/>
  <c r="AI31" i="3"/>
  <c r="AM31" i="3"/>
  <c r="AQ31" i="3"/>
  <c r="AR31" i="3"/>
  <c r="AV31" i="3"/>
  <c r="AW31" i="3"/>
  <c r="C31" i="2"/>
  <c r="E31" i="2" s="1"/>
  <c r="D31" i="2"/>
  <c r="F31" i="2"/>
  <c r="G31" i="2"/>
  <c r="H31" i="2"/>
  <c r="I31" i="2"/>
  <c r="J31" i="2"/>
  <c r="K31" i="2"/>
  <c r="L31" i="2"/>
  <c r="M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417" i="2"/>
  <c r="D163" i="2" l="1"/>
  <c r="D197" i="2" s="1"/>
  <c r="D231" i="2" s="1"/>
  <c r="D265" i="2" s="1"/>
  <c r="D299" i="2" s="1"/>
  <c r="D333" i="2" s="1"/>
  <c r="D367" i="2" s="1"/>
  <c r="D401" i="2" s="1"/>
  <c r="D13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03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67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31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295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59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23" i="3"/>
  <c r="Q188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187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51" i="3"/>
  <c r="Q115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79" i="3"/>
  <c r="Q43" i="3"/>
  <c r="Q31" i="3" l="1"/>
  <c r="P30" i="10" l="1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Q30" i="10"/>
  <c r="R30" i="10"/>
  <c r="M101" i="33"/>
  <c r="O101" i="33"/>
  <c r="P101" i="33"/>
  <c r="Q101" i="33"/>
  <c r="S101" i="33"/>
  <c r="T101" i="33"/>
  <c r="U101" i="33"/>
  <c r="V101" i="33"/>
  <c r="X101" i="33"/>
  <c r="AA101" i="33"/>
  <c r="AD101" i="33"/>
  <c r="AF101" i="33"/>
  <c r="AH101" i="33"/>
  <c r="AH431" i="33" s="1"/>
  <c r="AI101" i="33"/>
  <c r="AJ101" i="33"/>
  <c r="AK101" i="33"/>
  <c r="AL101" i="33"/>
  <c r="AN101" i="33"/>
  <c r="AP101" i="33"/>
  <c r="M66" i="33"/>
  <c r="O66" i="33"/>
  <c r="P66" i="33"/>
  <c r="Q66" i="33"/>
  <c r="S66" i="33"/>
  <c r="T66" i="33"/>
  <c r="U66" i="33"/>
  <c r="V66" i="33"/>
  <c r="X66" i="33"/>
  <c r="AA66" i="33"/>
  <c r="AD66" i="33"/>
  <c r="AF66" i="33"/>
  <c r="AH66" i="33"/>
  <c r="AI66" i="33"/>
  <c r="AJ66" i="33"/>
  <c r="AK66" i="33"/>
  <c r="AL66" i="33"/>
  <c r="AN66" i="33"/>
  <c r="AP66" i="33"/>
  <c r="M31" i="33"/>
  <c r="O31" i="33"/>
  <c r="P31" i="33"/>
  <c r="Q31" i="33"/>
  <c r="S31" i="33"/>
  <c r="T31" i="33"/>
  <c r="U31" i="33"/>
  <c r="V31" i="33"/>
  <c r="X31" i="33"/>
  <c r="AA31" i="33"/>
  <c r="AD31" i="33"/>
  <c r="AF31" i="33"/>
  <c r="AH31" i="33"/>
  <c r="AI31" i="33"/>
  <c r="AJ31" i="33"/>
  <c r="AK31" i="33"/>
  <c r="AL31" i="33"/>
  <c r="AN31" i="33"/>
  <c r="AP31" i="33"/>
  <c r="H463" i="2"/>
  <c r="I463" i="2"/>
  <c r="J463" i="2"/>
  <c r="K463" i="2"/>
  <c r="L463" i="2"/>
  <c r="Q463" i="2"/>
  <c r="R463" i="2"/>
  <c r="T463" i="2"/>
  <c r="U463" i="2"/>
  <c r="V463" i="2"/>
  <c r="W463" i="2"/>
  <c r="X463" i="2"/>
  <c r="Y463" i="2"/>
  <c r="Z463" i="2"/>
  <c r="AA463" i="2"/>
  <c r="AB463" i="2"/>
  <c r="AC463" i="2"/>
  <c r="AD463" i="2"/>
  <c r="AE463" i="2"/>
  <c r="AF463" i="2"/>
  <c r="AG463" i="2"/>
  <c r="AH463" i="2"/>
  <c r="AI463" i="2"/>
  <c r="AJ463" i="2"/>
  <c r="AK463" i="2"/>
  <c r="AL463" i="2"/>
  <c r="G417" i="2"/>
  <c r="H417" i="2"/>
  <c r="I417" i="2"/>
  <c r="J417" i="2"/>
  <c r="K417" i="2"/>
  <c r="L417" i="2"/>
  <c r="G463" i="2"/>
  <c r="G405" i="2"/>
  <c r="G428" i="2" s="1"/>
  <c r="H405" i="2"/>
  <c r="H428" i="2" s="1"/>
  <c r="I405" i="2"/>
  <c r="I428" i="2" s="1"/>
  <c r="J405" i="2"/>
  <c r="J428" i="2" s="1"/>
  <c r="K405" i="2"/>
  <c r="K428" i="2" s="1"/>
  <c r="L405" i="2"/>
  <c r="L428" i="2" s="1"/>
  <c r="M405" i="2"/>
  <c r="M428" i="2" s="1"/>
  <c r="P405" i="2"/>
  <c r="P428" i="2" s="1"/>
  <c r="Q405" i="2"/>
  <c r="Q428" i="2" s="1"/>
  <c r="R405" i="2"/>
  <c r="R428" i="2" s="1"/>
  <c r="S405" i="2"/>
  <c r="S428" i="2" s="1"/>
  <c r="T405" i="2"/>
  <c r="T428" i="2" s="1"/>
  <c r="U405" i="2"/>
  <c r="U428" i="2" s="1"/>
  <c r="V405" i="2"/>
  <c r="V428" i="2" s="1"/>
  <c r="W405" i="2"/>
  <c r="W428" i="2" s="1"/>
  <c r="X405" i="2"/>
  <c r="X428" i="2" s="1"/>
  <c r="Y405" i="2"/>
  <c r="Y428" i="2" s="1"/>
  <c r="Z405" i="2"/>
  <c r="Z428" i="2" s="1"/>
  <c r="AA405" i="2"/>
  <c r="AA428" i="2" s="1"/>
  <c r="AB405" i="2"/>
  <c r="AB428" i="2" s="1"/>
  <c r="AC405" i="2"/>
  <c r="AC428" i="2" s="1"/>
  <c r="AD405" i="2"/>
  <c r="AD428" i="2" s="1"/>
  <c r="AE405" i="2"/>
  <c r="AE428" i="2" s="1"/>
  <c r="AF405" i="2"/>
  <c r="AF428" i="2" s="1"/>
  <c r="AG405" i="2"/>
  <c r="AG428" i="2" s="1"/>
  <c r="AH405" i="2"/>
  <c r="AH428" i="2" s="1"/>
  <c r="AI405" i="2"/>
  <c r="AI428" i="2" s="1"/>
  <c r="AJ405" i="2"/>
  <c r="AJ428" i="2" s="1"/>
  <c r="AK405" i="2"/>
  <c r="AK428" i="2" s="1"/>
  <c r="AL405" i="2"/>
  <c r="AL428" i="2" s="1"/>
  <c r="G371" i="2"/>
  <c r="G427" i="2" s="1"/>
  <c r="H371" i="2"/>
  <c r="H427" i="2" s="1"/>
  <c r="I371" i="2"/>
  <c r="I427" i="2" s="1"/>
  <c r="J371" i="2"/>
  <c r="J427" i="2" s="1"/>
  <c r="K371" i="2"/>
  <c r="K427" i="2" s="1"/>
  <c r="L371" i="2"/>
  <c r="L427" i="2" s="1"/>
  <c r="M371" i="2"/>
  <c r="M427" i="2" s="1"/>
  <c r="P371" i="2"/>
  <c r="P427" i="2" s="1"/>
  <c r="Q371" i="2"/>
  <c r="Q427" i="2" s="1"/>
  <c r="R371" i="2"/>
  <c r="R427" i="2" s="1"/>
  <c r="S371" i="2"/>
  <c r="S427" i="2" s="1"/>
  <c r="T371" i="2"/>
  <c r="T427" i="2" s="1"/>
  <c r="U371" i="2"/>
  <c r="U427" i="2" s="1"/>
  <c r="V371" i="2"/>
  <c r="V427" i="2" s="1"/>
  <c r="W371" i="2"/>
  <c r="W427" i="2" s="1"/>
  <c r="X371" i="2"/>
  <c r="X427" i="2" s="1"/>
  <c r="Y371" i="2"/>
  <c r="Y427" i="2" s="1"/>
  <c r="Z371" i="2"/>
  <c r="Z427" i="2" s="1"/>
  <c r="AA371" i="2"/>
  <c r="AA427" i="2" s="1"/>
  <c r="AB371" i="2"/>
  <c r="AB427" i="2" s="1"/>
  <c r="AC371" i="2"/>
  <c r="AC427" i="2" s="1"/>
  <c r="AD371" i="2"/>
  <c r="AD427" i="2" s="1"/>
  <c r="AE371" i="2"/>
  <c r="AE427" i="2" s="1"/>
  <c r="AF371" i="2"/>
  <c r="AF427" i="2" s="1"/>
  <c r="AG371" i="2"/>
  <c r="AG427" i="2" s="1"/>
  <c r="AH371" i="2"/>
  <c r="AH427" i="2" s="1"/>
  <c r="AI371" i="2"/>
  <c r="AI427" i="2" s="1"/>
  <c r="AJ371" i="2"/>
  <c r="AJ427" i="2" s="1"/>
  <c r="AK371" i="2"/>
  <c r="AK427" i="2" s="1"/>
  <c r="AL371" i="2"/>
  <c r="AL427" i="2" s="1"/>
  <c r="G337" i="2"/>
  <c r="G426" i="2" s="1"/>
  <c r="H337" i="2"/>
  <c r="H426" i="2" s="1"/>
  <c r="I337" i="2"/>
  <c r="I426" i="2" s="1"/>
  <c r="J337" i="2"/>
  <c r="J426" i="2" s="1"/>
  <c r="K337" i="2"/>
  <c r="K426" i="2" s="1"/>
  <c r="L337" i="2"/>
  <c r="L426" i="2" s="1"/>
  <c r="M337" i="2"/>
  <c r="M426" i="2" s="1"/>
  <c r="P337" i="2"/>
  <c r="P426" i="2" s="1"/>
  <c r="Q337" i="2"/>
  <c r="Q426" i="2" s="1"/>
  <c r="R337" i="2"/>
  <c r="R426" i="2" s="1"/>
  <c r="S337" i="2"/>
  <c r="S426" i="2" s="1"/>
  <c r="T337" i="2"/>
  <c r="T426" i="2" s="1"/>
  <c r="U337" i="2"/>
  <c r="U426" i="2" s="1"/>
  <c r="V337" i="2"/>
  <c r="V426" i="2" s="1"/>
  <c r="W337" i="2"/>
  <c r="W426" i="2" s="1"/>
  <c r="X337" i="2"/>
  <c r="X426" i="2" s="1"/>
  <c r="Y337" i="2"/>
  <c r="Y426" i="2" s="1"/>
  <c r="Z337" i="2"/>
  <c r="Z426" i="2" s="1"/>
  <c r="AA337" i="2"/>
  <c r="AA426" i="2" s="1"/>
  <c r="AB337" i="2"/>
  <c r="AB426" i="2" s="1"/>
  <c r="AC337" i="2"/>
  <c r="AC426" i="2" s="1"/>
  <c r="AD337" i="2"/>
  <c r="AD426" i="2" s="1"/>
  <c r="AE337" i="2"/>
  <c r="AE426" i="2" s="1"/>
  <c r="AF337" i="2"/>
  <c r="AF426" i="2" s="1"/>
  <c r="AG337" i="2"/>
  <c r="AG426" i="2" s="1"/>
  <c r="AH337" i="2"/>
  <c r="AH426" i="2" s="1"/>
  <c r="AI337" i="2"/>
  <c r="AI426" i="2" s="1"/>
  <c r="AJ337" i="2"/>
  <c r="AJ426" i="2" s="1"/>
  <c r="AK337" i="2"/>
  <c r="AK426" i="2" s="1"/>
  <c r="AL337" i="2"/>
  <c r="AL426" i="2" s="1"/>
  <c r="G303" i="2"/>
  <c r="G425" i="2" s="1"/>
  <c r="H303" i="2"/>
  <c r="H425" i="2" s="1"/>
  <c r="I303" i="2"/>
  <c r="I425" i="2" s="1"/>
  <c r="J303" i="2"/>
  <c r="J425" i="2" s="1"/>
  <c r="K303" i="2"/>
  <c r="K425" i="2" s="1"/>
  <c r="L303" i="2"/>
  <c r="L425" i="2" s="1"/>
  <c r="M303" i="2"/>
  <c r="M425" i="2" s="1"/>
  <c r="P303" i="2"/>
  <c r="P425" i="2" s="1"/>
  <c r="Q303" i="2"/>
  <c r="Q425" i="2" s="1"/>
  <c r="R303" i="2"/>
  <c r="R425" i="2" s="1"/>
  <c r="S303" i="2"/>
  <c r="S425" i="2" s="1"/>
  <c r="T303" i="2"/>
  <c r="T425" i="2" s="1"/>
  <c r="U303" i="2"/>
  <c r="U425" i="2" s="1"/>
  <c r="V303" i="2"/>
  <c r="V425" i="2" s="1"/>
  <c r="W303" i="2"/>
  <c r="W425" i="2" s="1"/>
  <c r="X303" i="2"/>
  <c r="X425" i="2" s="1"/>
  <c r="Y303" i="2"/>
  <c r="Y425" i="2" s="1"/>
  <c r="Z303" i="2"/>
  <c r="Z425" i="2" s="1"/>
  <c r="AA303" i="2"/>
  <c r="AA425" i="2" s="1"/>
  <c r="AB303" i="2"/>
  <c r="AB425" i="2" s="1"/>
  <c r="AC303" i="2"/>
  <c r="AC425" i="2" s="1"/>
  <c r="AD303" i="2"/>
  <c r="AD425" i="2" s="1"/>
  <c r="AE303" i="2"/>
  <c r="AE425" i="2" s="1"/>
  <c r="AF303" i="2"/>
  <c r="AF425" i="2" s="1"/>
  <c r="AG303" i="2"/>
  <c r="AG425" i="2" s="1"/>
  <c r="AH303" i="2"/>
  <c r="AH425" i="2" s="1"/>
  <c r="AI303" i="2"/>
  <c r="AI425" i="2" s="1"/>
  <c r="AJ303" i="2"/>
  <c r="AJ425" i="2" s="1"/>
  <c r="AK303" i="2"/>
  <c r="AK425" i="2" s="1"/>
  <c r="AL303" i="2"/>
  <c r="AL425" i="2" s="1"/>
  <c r="G269" i="2"/>
  <c r="G424" i="2" s="1"/>
  <c r="H269" i="2"/>
  <c r="H424" i="2" s="1"/>
  <c r="I269" i="2"/>
  <c r="I424" i="2" s="1"/>
  <c r="J269" i="2"/>
  <c r="J424" i="2" s="1"/>
  <c r="K269" i="2"/>
  <c r="K424" i="2" s="1"/>
  <c r="L269" i="2"/>
  <c r="L424" i="2" s="1"/>
  <c r="M269" i="2"/>
  <c r="M424" i="2" s="1"/>
  <c r="P269" i="2"/>
  <c r="P424" i="2" s="1"/>
  <c r="Q269" i="2"/>
  <c r="Q424" i="2" s="1"/>
  <c r="R269" i="2"/>
  <c r="R424" i="2" s="1"/>
  <c r="S269" i="2"/>
  <c r="S424" i="2" s="1"/>
  <c r="T269" i="2"/>
  <c r="T424" i="2" s="1"/>
  <c r="U269" i="2"/>
  <c r="U424" i="2" s="1"/>
  <c r="V269" i="2"/>
  <c r="V424" i="2" s="1"/>
  <c r="W269" i="2"/>
  <c r="W424" i="2" s="1"/>
  <c r="X269" i="2"/>
  <c r="X424" i="2" s="1"/>
  <c r="Y269" i="2"/>
  <c r="Y424" i="2" s="1"/>
  <c r="Z269" i="2"/>
  <c r="Z424" i="2" s="1"/>
  <c r="AA269" i="2"/>
  <c r="AA424" i="2" s="1"/>
  <c r="AB269" i="2"/>
  <c r="AB424" i="2" s="1"/>
  <c r="AC269" i="2"/>
  <c r="AC424" i="2" s="1"/>
  <c r="AD269" i="2"/>
  <c r="AD424" i="2" s="1"/>
  <c r="AE269" i="2"/>
  <c r="AE424" i="2" s="1"/>
  <c r="AF269" i="2"/>
  <c r="AF424" i="2" s="1"/>
  <c r="AG269" i="2"/>
  <c r="AG424" i="2" s="1"/>
  <c r="AH269" i="2"/>
  <c r="AH424" i="2" s="1"/>
  <c r="AI269" i="2"/>
  <c r="AI424" i="2" s="1"/>
  <c r="AJ269" i="2"/>
  <c r="AJ424" i="2" s="1"/>
  <c r="AK269" i="2"/>
  <c r="AK424" i="2" s="1"/>
  <c r="AL269" i="2"/>
  <c r="AL424" i="2" s="1"/>
  <c r="G235" i="2"/>
  <c r="G423" i="2" s="1"/>
  <c r="H235" i="2"/>
  <c r="H423" i="2" s="1"/>
  <c r="I235" i="2"/>
  <c r="I423" i="2" s="1"/>
  <c r="J235" i="2"/>
  <c r="J423" i="2" s="1"/>
  <c r="K235" i="2"/>
  <c r="K423" i="2" s="1"/>
  <c r="L235" i="2"/>
  <c r="L423" i="2" s="1"/>
  <c r="M235" i="2"/>
  <c r="M423" i="2" s="1"/>
  <c r="P235" i="2"/>
  <c r="P423" i="2" s="1"/>
  <c r="Q235" i="2"/>
  <c r="Q423" i="2" s="1"/>
  <c r="R235" i="2"/>
  <c r="R423" i="2" s="1"/>
  <c r="S235" i="2"/>
  <c r="S423" i="2" s="1"/>
  <c r="T235" i="2"/>
  <c r="T423" i="2" s="1"/>
  <c r="U235" i="2"/>
  <c r="U423" i="2" s="1"/>
  <c r="V235" i="2"/>
  <c r="V423" i="2" s="1"/>
  <c r="W235" i="2"/>
  <c r="W423" i="2" s="1"/>
  <c r="X235" i="2"/>
  <c r="X423" i="2" s="1"/>
  <c r="Y235" i="2"/>
  <c r="Y423" i="2" s="1"/>
  <c r="Z235" i="2"/>
  <c r="Z423" i="2" s="1"/>
  <c r="AA235" i="2"/>
  <c r="AA423" i="2" s="1"/>
  <c r="AB235" i="2"/>
  <c r="AB423" i="2" s="1"/>
  <c r="AC235" i="2"/>
  <c r="AC423" i="2" s="1"/>
  <c r="AD235" i="2"/>
  <c r="AD423" i="2" s="1"/>
  <c r="AE235" i="2"/>
  <c r="AE423" i="2" s="1"/>
  <c r="AF235" i="2"/>
  <c r="AF423" i="2" s="1"/>
  <c r="AG235" i="2"/>
  <c r="AG423" i="2" s="1"/>
  <c r="AH235" i="2"/>
  <c r="AH423" i="2" s="1"/>
  <c r="AI235" i="2"/>
  <c r="AI423" i="2" s="1"/>
  <c r="AJ235" i="2"/>
  <c r="AJ423" i="2" s="1"/>
  <c r="AK235" i="2"/>
  <c r="AK423" i="2" s="1"/>
  <c r="AL235" i="2"/>
  <c r="AL423" i="2" s="1"/>
  <c r="G201" i="2"/>
  <c r="G422" i="2" s="1"/>
  <c r="H201" i="2"/>
  <c r="H422" i="2" s="1"/>
  <c r="I201" i="2"/>
  <c r="I422" i="2" s="1"/>
  <c r="J201" i="2"/>
  <c r="J422" i="2" s="1"/>
  <c r="K201" i="2"/>
  <c r="K422" i="2" s="1"/>
  <c r="L201" i="2"/>
  <c r="L422" i="2" s="1"/>
  <c r="M201" i="2"/>
  <c r="M422" i="2" s="1"/>
  <c r="G167" i="2"/>
  <c r="G421" i="2" s="1"/>
  <c r="H167" i="2"/>
  <c r="H421" i="2" s="1"/>
  <c r="I167" i="2"/>
  <c r="I421" i="2" s="1"/>
  <c r="J167" i="2"/>
  <c r="J421" i="2" s="1"/>
  <c r="K167" i="2"/>
  <c r="K421" i="2" s="1"/>
  <c r="L167" i="2"/>
  <c r="L421" i="2" s="1"/>
  <c r="M167" i="2"/>
  <c r="M421" i="2" s="1"/>
  <c r="P167" i="2"/>
  <c r="P421" i="2" s="1"/>
  <c r="Q167" i="2"/>
  <c r="Q421" i="2" s="1"/>
  <c r="R167" i="2"/>
  <c r="R421" i="2" s="1"/>
  <c r="S167" i="2"/>
  <c r="S421" i="2" s="1"/>
  <c r="T167" i="2"/>
  <c r="T421" i="2" s="1"/>
  <c r="U167" i="2"/>
  <c r="U421" i="2" s="1"/>
  <c r="V167" i="2"/>
  <c r="V421" i="2" s="1"/>
  <c r="W167" i="2"/>
  <c r="W421" i="2" s="1"/>
  <c r="X167" i="2"/>
  <c r="X421" i="2" s="1"/>
  <c r="Y167" i="2"/>
  <c r="Y421" i="2" s="1"/>
  <c r="Z167" i="2"/>
  <c r="Z421" i="2" s="1"/>
  <c r="AA167" i="2"/>
  <c r="AA421" i="2" s="1"/>
  <c r="AB167" i="2"/>
  <c r="AB421" i="2" s="1"/>
  <c r="AC167" i="2"/>
  <c r="AC421" i="2" s="1"/>
  <c r="AD167" i="2"/>
  <c r="AD421" i="2" s="1"/>
  <c r="AE167" i="2"/>
  <c r="AE421" i="2" s="1"/>
  <c r="AF167" i="2"/>
  <c r="AF421" i="2" s="1"/>
  <c r="AG167" i="2"/>
  <c r="AG421" i="2" s="1"/>
  <c r="AH167" i="2"/>
  <c r="AH421" i="2" s="1"/>
  <c r="AI167" i="2"/>
  <c r="AI421" i="2" s="1"/>
  <c r="AJ167" i="2"/>
  <c r="AJ421" i="2" s="1"/>
  <c r="AK167" i="2"/>
  <c r="AK421" i="2" s="1"/>
  <c r="AL167" i="2"/>
  <c r="AL421" i="2" s="1"/>
  <c r="G133" i="2"/>
  <c r="G420" i="2" s="1"/>
  <c r="H133" i="2"/>
  <c r="H420" i="2" s="1"/>
  <c r="I133" i="2"/>
  <c r="I420" i="2" s="1"/>
  <c r="J133" i="2"/>
  <c r="J420" i="2" s="1"/>
  <c r="K133" i="2"/>
  <c r="K420" i="2" s="1"/>
  <c r="L133" i="2"/>
  <c r="L420" i="2" s="1"/>
  <c r="M133" i="2"/>
  <c r="M420" i="2" s="1"/>
  <c r="P133" i="2"/>
  <c r="P420" i="2" s="1"/>
  <c r="Q133" i="2"/>
  <c r="Q420" i="2" s="1"/>
  <c r="R133" i="2"/>
  <c r="R420" i="2" s="1"/>
  <c r="S133" i="2"/>
  <c r="S420" i="2" s="1"/>
  <c r="T133" i="2"/>
  <c r="T420" i="2" s="1"/>
  <c r="U133" i="2"/>
  <c r="U420" i="2" s="1"/>
  <c r="V133" i="2"/>
  <c r="V420" i="2" s="1"/>
  <c r="W133" i="2"/>
  <c r="W420" i="2" s="1"/>
  <c r="X133" i="2"/>
  <c r="X420" i="2" s="1"/>
  <c r="Y133" i="2"/>
  <c r="Y420" i="2" s="1"/>
  <c r="Z133" i="2"/>
  <c r="Z420" i="2" s="1"/>
  <c r="AA133" i="2"/>
  <c r="AA420" i="2" s="1"/>
  <c r="AB133" i="2"/>
  <c r="AB420" i="2" s="1"/>
  <c r="AC133" i="2"/>
  <c r="AC420" i="2" s="1"/>
  <c r="AD133" i="2"/>
  <c r="AD420" i="2" s="1"/>
  <c r="AE133" i="2"/>
  <c r="AE420" i="2" s="1"/>
  <c r="AF133" i="2"/>
  <c r="AF420" i="2" s="1"/>
  <c r="AG133" i="2"/>
  <c r="AG420" i="2" s="1"/>
  <c r="AH133" i="2"/>
  <c r="AH420" i="2" s="1"/>
  <c r="AI133" i="2"/>
  <c r="AI420" i="2" s="1"/>
  <c r="AJ133" i="2"/>
  <c r="AJ420" i="2" s="1"/>
  <c r="AK133" i="2"/>
  <c r="AK420" i="2" s="1"/>
  <c r="AL133" i="2"/>
  <c r="AL420" i="2" s="1"/>
  <c r="G99" i="2"/>
  <c r="G419" i="2" s="1"/>
  <c r="H99" i="2"/>
  <c r="H419" i="2" s="1"/>
  <c r="I99" i="2"/>
  <c r="I419" i="2" s="1"/>
  <c r="J99" i="2"/>
  <c r="J419" i="2" s="1"/>
  <c r="K99" i="2"/>
  <c r="K419" i="2" s="1"/>
  <c r="L99" i="2"/>
  <c r="L419" i="2" s="1"/>
  <c r="M99" i="2"/>
  <c r="M419" i="2" s="1"/>
  <c r="P99" i="2"/>
  <c r="P419" i="2" s="1"/>
  <c r="Q99" i="2"/>
  <c r="Q419" i="2" s="1"/>
  <c r="R99" i="2"/>
  <c r="R419" i="2" s="1"/>
  <c r="S99" i="2"/>
  <c r="S419" i="2" s="1"/>
  <c r="T99" i="2"/>
  <c r="T419" i="2" s="1"/>
  <c r="U99" i="2"/>
  <c r="U419" i="2" s="1"/>
  <c r="V99" i="2"/>
  <c r="V419" i="2" s="1"/>
  <c r="W99" i="2"/>
  <c r="W419" i="2" s="1"/>
  <c r="X99" i="2"/>
  <c r="X419" i="2" s="1"/>
  <c r="Y99" i="2"/>
  <c r="Y419" i="2" s="1"/>
  <c r="Z99" i="2"/>
  <c r="Z419" i="2" s="1"/>
  <c r="AA99" i="2"/>
  <c r="AA419" i="2" s="1"/>
  <c r="AB99" i="2"/>
  <c r="AB419" i="2" s="1"/>
  <c r="AC99" i="2"/>
  <c r="AC419" i="2" s="1"/>
  <c r="AD99" i="2"/>
  <c r="AD419" i="2" s="1"/>
  <c r="AE99" i="2"/>
  <c r="AE419" i="2" s="1"/>
  <c r="AF99" i="2"/>
  <c r="AF419" i="2" s="1"/>
  <c r="AG99" i="2"/>
  <c r="AG419" i="2" s="1"/>
  <c r="AH99" i="2"/>
  <c r="AH419" i="2" s="1"/>
  <c r="AI99" i="2"/>
  <c r="AI419" i="2" s="1"/>
  <c r="AJ99" i="2"/>
  <c r="AJ419" i="2" s="1"/>
  <c r="AK99" i="2"/>
  <c r="AK419" i="2" s="1"/>
  <c r="AL99" i="2"/>
  <c r="AL419" i="2" s="1"/>
  <c r="G65" i="2"/>
  <c r="G418" i="2" s="1"/>
  <c r="H65" i="2"/>
  <c r="H418" i="2" s="1"/>
  <c r="I65" i="2"/>
  <c r="I418" i="2" s="1"/>
  <c r="J65" i="2"/>
  <c r="J418" i="2" s="1"/>
  <c r="K65" i="2"/>
  <c r="K418" i="2" s="1"/>
  <c r="L65" i="2"/>
  <c r="L418" i="2" s="1"/>
  <c r="M65" i="2"/>
  <c r="M418" i="2" s="1"/>
  <c r="P65" i="2"/>
  <c r="P418" i="2" s="1"/>
  <c r="Q65" i="2"/>
  <c r="Q418" i="2" s="1"/>
  <c r="R65" i="2"/>
  <c r="R418" i="2" s="1"/>
  <c r="S65" i="2"/>
  <c r="S418" i="2" s="1"/>
  <c r="T65" i="2"/>
  <c r="T418" i="2" s="1"/>
  <c r="U65" i="2"/>
  <c r="U418" i="2" s="1"/>
  <c r="V65" i="2"/>
  <c r="V418" i="2" s="1"/>
  <c r="W65" i="2"/>
  <c r="W418" i="2" s="1"/>
  <c r="X65" i="2"/>
  <c r="X418" i="2" s="1"/>
  <c r="Y65" i="2"/>
  <c r="Y418" i="2" s="1"/>
  <c r="Z65" i="2"/>
  <c r="Z418" i="2" s="1"/>
  <c r="AA65" i="2"/>
  <c r="AA418" i="2" s="1"/>
  <c r="AB65" i="2"/>
  <c r="AB418" i="2" s="1"/>
  <c r="AC65" i="2"/>
  <c r="AC418" i="2" s="1"/>
  <c r="AD65" i="2"/>
  <c r="AD418" i="2" s="1"/>
  <c r="AE65" i="2"/>
  <c r="AE418" i="2" s="1"/>
  <c r="AF65" i="2"/>
  <c r="AF418" i="2" s="1"/>
  <c r="AG65" i="2"/>
  <c r="AG418" i="2" s="1"/>
  <c r="AH65" i="2"/>
  <c r="AH418" i="2" s="1"/>
  <c r="AI65" i="2"/>
  <c r="AI418" i="2" s="1"/>
  <c r="AJ65" i="2"/>
  <c r="AJ418" i="2" s="1"/>
  <c r="AK65" i="2"/>
  <c r="AK418" i="2" s="1"/>
  <c r="AL65" i="2"/>
  <c r="AL418" i="2" s="1"/>
  <c r="C43" i="2"/>
  <c r="C77" i="2" s="1"/>
  <c r="C111" i="2" s="1"/>
  <c r="C145" i="2" s="1"/>
  <c r="C179" i="2" s="1"/>
  <c r="C213" i="2" s="1"/>
  <c r="C247" i="2" s="1"/>
  <c r="C281" i="2" s="1"/>
  <c r="C315" i="2" s="1"/>
  <c r="C349" i="2" s="1"/>
  <c r="C383" i="2" s="1"/>
  <c r="C405" i="2" s="1"/>
  <c r="D179" i="2"/>
  <c r="D213" i="2" s="1"/>
  <c r="D247" i="2" s="1"/>
  <c r="D281" i="2" s="1"/>
  <c r="D315" i="2" s="1"/>
  <c r="D349" i="2" s="1"/>
  <c r="D383" i="2" s="1"/>
  <c r="D405" i="2" s="1"/>
  <c r="G429" i="2" l="1"/>
  <c r="L429" i="2"/>
  <c r="K429" i="2"/>
  <c r="J429" i="2"/>
  <c r="I429" i="2"/>
  <c r="H429" i="2"/>
  <c r="P463" i="2"/>
  <c r="S463" i="2"/>
  <c r="M463" i="2"/>
  <c r="O3" i="29"/>
  <c r="G425" i="29"/>
  <c r="K425" i="29"/>
  <c r="O425" i="29"/>
  <c r="S425" i="29"/>
  <c r="W425" i="29"/>
  <c r="AA425" i="29"/>
  <c r="AE425" i="29"/>
  <c r="AI425" i="29"/>
  <c r="AM425" i="29"/>
  <c r="D64" i="29"/>
  <c r="E64" i="29"/>
  <c r="E426" i="29" s="1"/>
  <c r="F64" i="29"/>
  <c r="F426" i="29" s="1"/>
  <c r="G64" i="29"/>
  <c r="G426" i="29" s="1"/>
  <c r="H64" i="29"/>
  <c r="I64" i="29"/>
  <c r="J64" i="29"/>
  <c r="J426" i="29" s="1"/>
  <c r="K64" i="29"/>
  <c r="K426" i="29" s="1"/>
  <c r="L64" i="29"/>
  <c r="M64" i="29"/>
  <c r="M426" i="29" s="1"/>
  <c r="N64" i="29"/>
  <c r="N426" i="29" s="1"/>
  <c r="O64" i="29"/>
  <c r="O426" i="29" s="1"/>
  <c r="P64" i="29"/>
  <c r="Q64" i="29"/>
  <c r="R64" i="29"/>
  <c r="R426" i="29" s="1"/>
  <c r="S64" i="29"/>
  <c r="S426" i="29" s="1"/>
  <c r="T64" i="29"/>
  <c r="U64" i="29"/>
  <c r="V64" i="29"/>
  <c r="V426" i="29" s="1"/>
  <c r="W64" i="29"/>
  <c r="W426" i="29" s="1"/>
  <c r="X64" i="29"/>
  <c r="Y64" i="29"/>
  <c r="Z64" i="29"/>
  <c r="Z426" i="29" s="1"/>
  <c r="AA64" i="29"/>
  <c r="AA426" i="29" s="1"/>
  <c r="AB64" i="29"/>
  <c r="AC64" i="29"/>
  <c r="AD64" i="29"/>
  <c r="AD426" i="29" s="1"/>
  <c r="AE64" i="29"/>
  <c r="AE426" i="29" s="1"/>
  <c r="AF64" i="29"/>
  <c r="AF426" i="29" s="1"/>
  <c r="AG64" i="29"/>
  <c r="AH64" i="29"/>
  <c r="AH426" i="29" s="1"/>
  <c r="AI64" i="29"/>
  <c r="AI426" i="29" s="1"/>
  <c r="AJ64" i="29"/>
  <c r="AJ426" i="29" s="1"/>
  <c r="AK64" i="29"/>
  <c r="AL64" i="29"/>
  <c r="AL426" i="29" s="1"/>
  <c r="AM64" i="29"/>
  <c r="AM426" i="29" s="1"/>
  <c r="D98" i="29"/>
  <c r="E98" i="29"/>
  <c r="F98" i="29"/>
  <c r="G98" i="29"/>
  <c r="H98" i="29"/>
  <c r="I98" i="29"/>
  <c r="J98" i="29"/>
  <c r="J427" i="29" s="1"/>
  <c r="K98" i="29"/>
  <c r="L98" i="29"/>
  <c r="M98" i="29"/>
  <c r="N98" i="29"/>
  <c r="O98" i="29"/>
  <c r="P98" i="29"/>
  <c r="Q98" i="29"/>
  <c r="R98" i="29"/>
  <c r="R427" i="29" s="1"/>
  <c r="S98" i="29"/>
  <c r="T98" i="29"/>
  <c r="U98" i="29"/>
  <c r="V98" i="29"/>
  <c r="W98" i="29"/>
  <c r="X98" i="29"/>
  <c r="Y98" i="29"/>
  <c r="Z98" i="29"/>
  <c r="Z427" i="29" s="1"/>
  <c r="AA98" i="29"/>
  <c r="AB98" i="29"/>
  <c r="AC98" i="29"/>
  <c r="AD98" i="29"/>
  <c r="AE98" i="29"/>
  <c r="AF98" i="29"/>
  <c r="AG98" i="29"/>
  <c r="AH98" i="29"/>
  <c r="AH427" i="29" s="1"/>
  <c r="AI98" i="29"/>
  <c r="AI427" i="29" s="1"/>
  <c r="AJ98" i="29"/>
  <c r="AJ427" i="29" s="1"/>
  <c r="AK98" i="29"/>
  <c r="AL98" i="29"/>
  <c r="AM98" i="29"/>
  <c r="D133" i="29"/>
  <c r="E133" i="29"/>
  <c r="E428" i="29" s="1"/>
  <c r="F133" i="29"/>
  <c r="F428" i="29" s="1"/>
  <c r="G133" i="29"/>
  <c r="H133" i="29"/>
  <c r="I133" i="29"/>
  <c r="J133" i="29"/>
  <c r="K133" i="29"/>
  <c r="L133" i="29"/>
  <c r="M133" i="29"/>
  <c r="N133" i="29"/>
  <c r="N428" i="29" s="1"/>
  <c r="O133" i="29"/>
  <c r="O428" i="29" s="1"/>
  <c r="P133" i="29"/>
  <c r="Q133" i="29"/>
  <c r="R133" i="29"/>
  <c r="S133" i="29"/>
  <c r="T133" i="29"/>
  <c r="U133" i="29"/>
  <c r="V133" i="29"/>
  <c r="V428" i="29" s="1"/>
  <c r="W133" i="29"/>
  <c r="X133" i="29"/>
  <c r="Y133" i="29"/>
  <c r="Z133" i="29"/>
  <c r="AA133" i="29"/>
  <c r="AB133" i="29"/>
  <c r="AC133" i="29"/>
  <c r="AD133" i="29"/>
  <c r="AD428" i="29" s="1"/>
  <c r="AE133" i="29"/>
  <c r="AF133" i="29"/>
  <c r="AF428" i="29" s="1"/>
  <c r="AG133" i="29"/>
  <c r="AH133" i="29"/>
  <c r="AI133" i="29"/>
  <c r="AI428" i="29" s="1"/>
  <c r="AJ133" i="29"/>
  <c r="AJ428" i="29" s="1"/>
  <c r="AK133" i="29"/>
  <c r="AK428" i="29" s="1"/>
  <c r="AL133" i="29"/>
  <c r="AL428" i="29" s="1"/>
  <c r="AM133" i="29"/>
  <c r="AM428" i="29" s="1"/>
  <c r="D167" i="29"/>
  <c r="E167" i="29"/>
  <c r="F167" i="29"/>
  <c r="G167" i="29"/>
  <c r="H167" i="29"/>
  <c r="I167" i="29"/>
  <c r="J167" i="29"/>
  <c r="J429" i="29" s="1"/>
  <c r="K167" i="29"/>
  <c r="L167" i="29"/>
  <c r="M167" i="29"/>
  <c r="N167" i="29"/>
  <c r="O167" i="29"/>
  <c r="P167" i="29"/>
  <c r="Q167" i="29"/>
  <c r="R167" i="29"/>
  <c r="R429" i="29" s="1"/>
  <c r="S167" i="29"/>
  <c r="T167" i="29"/>
  <c r="U167" i="29"/>
  <c r="V167" i="29"/>
  <c r="W167" i="29"/>
  <c r="X167" i="29"/>
  <c r="Y167" i="29"/>
  <c r="Z167" i="29"/>
  <c r="Z429" i="29" s="1"/>
  <c r="AA167" i="29"/>
  <c r="AB167" i="29"/>
  <c r="AC167" i="29"/>
  <c r="AD167" i="29"/>
  <c r="AE167" i="29"/>
  <c r="AF167" i="29"/>
  <c r="AG167" i="29"/>
  <c r="AH167" i="29"/>
  <c r="AH429" i="29" s="1"/>
  <c r="AI167" i="29"/>
  <c r="AJ167" i="29"/>
  <c r="AK167" i="29"/>
  <c r="AL167" i="29"/>
  <c r="AM167" i="29"/>
  <c r="D201" i="29"/>
  <c r="E201" i="29"/>
  <c r="F201" i="29"/>
  <c r="F430" i="29" s="1"/>
  <c r="G201" i="29"/>
  <c r="H201" i="29"/>
  <c r="I201" i="29"/>
  <c r="J201" i="29"/>
  <c r="K201" i="29"/>
  <c r="L201" i="29"/>
  <c r="M201" i="29"/>
  <c r="N201" i="29"/>
  <c r="N430" i="29" s="1"/>
  <c r="O201" i="29"/>
  <c r="P201" i="29"/>
  <c r="Q201" i="29"/>
  <c r="R201" i="29"/>
  <c r="S201" i="29"/>
  <c r="T201" i="29"/>
  <c r="U201" i="29"/>
  <c r="V201" i="29"/>
  <c r="V430" i="29" s="1"/>
  <c r="W201" i="29"/>
  <c r="X201" i="29"/>
  <c r="Y201" i="29"/>
  <c r="Z201" i="29"/>
  <c r="AA201" i="29"/>
  <c r="AB201" i="29"/>
  <c r="AC201" i="29"/>
  <c r="AD201" i="29"/>
  <c r="AD430" i="29" s="1"/>
  <c r="AE201" i="29"/>
  <c r="AF201" i="29"/>
  <c r="AG201" i="29"/>
  <c r="AH201" i="29"/>
  <c r="AI201" i="29"/>
  <c r="AJ201" i="29"/>
  <c r="AK201" i="29"/>
  <c r="AL201" i="29"/>
  <c r="AL430" i="29" s="1"/>
  <c r="AM201" i="29"/>
  <c r="D236" i="29"/>
  <c r="E236" i="29"/>
  <c r="F236" i="29"/>
  <c r="G236" i="29"/>
  <c r="G431" i="29" s="1"/>
  <c r="H236" i="29"/>
  <c r="I236" i="29"/>
  <c r="J236" i="29"/>
  <c r="K236" i="29"/>
  <c r="K431" i="29" s="1"/>
  <c r="L236" i="29"/>
  <c r="M236" i="29"/>
  <c r="N236" i="29"/>
  <c r="O236" i="29"/>
  <c r="O431" i="29" s="1"/>
  <c r="P236" i="29"/>
  <c r="Q236" i="29"/>
  <c r="R236" i="29"/>
  <c r="R431" i="29" s="1"/>
  <c r="S236" i="29"/>
  <c r="S431" i="29" s="1"/>
  <c r="T236" i="29"/>
  <c r="U236" i="29"/>
  <c r="V236" i="29"/>
  <c r="W236" i="29"/>
  <c r="W431" i="29" s="1"/>
  <c r="X236" i="29"/>
  <c r="Y236" i="29"/>
  <c r="Z236" i="29"/>
  <c r="Z431" i="29" s="1"/>
  <c r="AA236" i="29"/>
  <c r="AA431" i="29" s="1"/>
  <c r="AB236" i="29"/>
  <c r="AC236" i="29"/>
  <c r="AD236" i="29"/>
  <c r="AE236" i="29"/>
  <c r="AE431" i="29" s="1"/>
  <c r="AF236" i="29"/>
  <c r="AG236" i="29"/>
  <c r="AH236" i="29"/>
  <c r="AH431" i="29" s="1"/>
  <c r="AI236" i="29"/>
  <c r="AI431" i="29" s="1"/>
  <c r="AJ236" i="29"/>
  <c r="AK236" i="29"/>
  <c r="AL236" i="29"/>
  <c r="AM236" i="29"/>
  <c r="AM431" i="29" s="1"/>
  <c r="D270" i="29"/>
  <c r="E270" i="29"/>
  <c r="F270" i="29"/>
  <c r="F432" i="29" s="1"/>
  <c r="G270" i="29"/>
  <c r="G432" i="29" s="1"/>
  <c r="H270" i="29"/>
  <c r="I270" i="29"/>
  <c r="J270" i="29"/>
  <c r="J432" i="29" s="1"/>
  <c r="K270" i="29"/>
  <c r="K432" i="29" s="1"/>
  <c r="L270" i="29"/>
  <c r="M270" i="29"/>
  <c r="N270" i="29"/>
  <c r="N432" i="29" s="1"/>
  <c r="O270" i="29"/>
  <c r="O432" i="29" s="1"/>
  <c r="P270" i="29"/>
  <c r="Q270" i="29"/>
  <c r="R270" i="29"/>
  <c r="R432" i="29" s="1"/>
  <c r="S270" i="29"/>
  <c r="S432" i="29" s="1"/>
  <c r="T270" i="29"/>
  <c r="U270" i="29"/>
  <c r="V270" i="29"/>
  <c r="V432" i="29" s="1"/>
  <c r="W270" i="29"/>
  <c r="W432" i="29" s="1"/>
  <c r="X270" i="29"/>
  <c r="Y270" i="29"/>
  <c r="Z270" i="29"/>
  <c r="Z432" i="29" s="1"/>
  <c r="AA270" i="29"/>
  <c r="AA432" i="29" s="1"/>
  <c r="AB270" i="29"/>
  <c r="AC270" i="29"/>
  <c r="AD270" i="29"/>
  <c r="AD432" i="29" s="1"/>
  <c r="AE270" i="29"/>
  <c r="AE432" i="29" s="1"/>
  <c r="AF270" i="29"/>
  <c r="AG270" i="29"/>
  <c r="AH270" i="29"/>
  <c r="AH432" i="29" s="1"/>
  <c r="AI270" i="29"/>
  <c r="AI432" i="29" s="1"/>
  <c r="AJ270" i="29"/>
  <c r="AK270" i="29"/>
  <c r="AL270" i="29"/>
  <c r="AL432" i="29" s="1"/>
  <c r="AM270" i="29"/>
  <c r="AM432" i="29" s="1"/>
  <c r="D306" i="29"/>
  <c r="E306" i="29"/>
  <c r="F306" i="29"/>
  <c r="G306" i="29"/>
  <c r="G433" i="29" s="1"/>
  <c r="H306" i="29"/>
  <c r="H433" i="29" s="1"/>
  <c r="I306" i="29"/>
  <c r="J306" i="29"/>
  <c r="J433" i="29" s="1"/>
  <c r="K306" i="29"/>
  <c r="K433" i="29" s="1"/>
  <c r="L306" i="29"/>
  <c r="M306" i="29"/>
  <c r="N306" i="29"/>
  <c r="O306" i="29"/>
  <c r="O433" i="29" s="1"/>
  <c r="P306" i="29"/>
  <c r="P433" i="29" s="1"/>
  <c r="Q306" i="29"/>
  <c r="R306" i="29"/>
  <c r="R433" i="29" s="1"/>
  <c r="S306" i="29"/>
  <c r="T306" i="29"/>
  <c r="U306" i="29"/>
  <c r="V306" i="29"/>
  <c r="W306" i="29"/>
  <c r="W433" i="29" s="1"/>
  <c r="X306" i="29"/>
  <c r="X433" i="29" s="1"/>
  <c r="Y306" i="29"/>
  <c r="Z306" i="29"/>
  <c r="Z433" i="29" s="1"/>
  <c r="AA306" i="29"/>
  <c r="AA433" i="29" s="1"/>
  <c r="AB306" i="29"/>
  <c r="AB433" i="29" s="1"/>
  <c r="AC306" i="29"/>
  <c r="AD306" i="29"/>
  <c r="AE306" i="29"/>
  <c r="AE433" i="29" s="1"/>
  <c r="AF306" i="29"/>
  <c r="AF433" i="29" s="1"/>
  <c r="AG306" i="29"/>
  <c r="AH306" i="29"/>
  <c r="AH433" i="29" s="1"/>
  <c r="AI306" i="29"/>
  <c r="AI433" i="29" s="1"/>
  <c r="AJ306" i="29"/>
  <c r="AJ433" i="29" s="1"/>
  <c r="AK306" i="29"/>
  <c r="AK433" i="29" s="1"/>
  <c r="AL306" i="29"/>
  <c r="AM306" i="29"/>
  <c r="AM433" i="29" s="1"/>
  <c r="D433" i="29"/>
  <c r="L433" i="29"/>
  <c r="S433" i="29"/>
  <c r="T433" i="29"/>
  <c r="D473" i="29"/>
  <c r="E473" i="29"/>
  <c r="F473" i="29"/>
  <c r="G473" i="29"/>
  <c r="H473" i="29"/>
  <c r="I473" i="29"/>
  <c r="J473" i="29"/>
  <c r="K473" i="29"/>
  <c r="L473" i="29"/>
  <c r="M473" i="29"/>
  <c r="N473" i="29"/>
  <c r="O473" i="29"/>
  <c r="P473" i="29"/>
  <c r="Q473" i="29"/>
  <c r="R473" i="29"/>
  <c r="S473" i="29"/>
  <c r="T473" i="29"/>
  <c r="U473" i="29"/>
  <c r="V473" i="29"/>
  <c r="W473" i="29"/>
  <c r="X473" i="29"/>
  <c r="Y473" i="29"/>
  <c r="Z473" i="29"/>
  <c r="AA473" i="29"/>
  <c r="AB473" i="29"/>
  <c r="AC473" i="29"/>
  <c r="AD473" i="29"/>
  <c r="AE473" i="29"/>
  <c r="AF473" i="29"/>
  <c r="AH473" i="29"/>
  <c r="AI473" i="29"/>
  <c r="AJ473" i="29"/>
  <c r="AK473" i="29"/>
  <c r="AL473" i="29"/>
  <c r="AM473" i="29"/>
  <c r="C473" i="29"/>
  <c r="D431" i="29"/>
  <c r="E431" i="29"/>
  <c r="F431" i="29"/>
  <c r="H431" i="29"/>
  <c r="I431" i="29"/>
  <c r="J431" i="29"/>
  <c r="L431" i="29"/>
  <c r="M431" i="29"/>
  <c r="N431" i="29"/>
  <c r="P431" i="29"/>
  <c r="Q431" i="29"/>
  <c r="T431" i="29"/>
  <c r="U431" i="29"/>
  <c r="V431" i="29"/>
  <c r="X431" i="29"/>
  <c r="Y431" i="29"/>
  <c r="AB431" i="29"/>
  <c r="AC431" i="29"/>
  <c r="AD431" i="29"/>
  <c r="AF431" i="29"/>
  <c r="AG431" i="29"/>
  <c r="AJ431" i="29"/>
  <c r="AK431" i="29"/>
  <c r="AL431" i="29"/>
  <c r="D432" i="29"/>
  <c r="E432" i="29"/>
  <c r="H432" i="29"/>
  <c r="I432" i="29"/>
  <c r="L432" i="29"/>
  <c r="M432" i="29"/>
  <c r="P432" i="29"/>
  <c r="Q432" i="29"/>
  <c r="T432" i="29"/>
  <c r="U432" i="29"/>
  <c r="X432" i="29"/>
  <c r="Y432" i="29"/>
  <c r="AB432" i="29"/>
  <c r="AC432" i="29"/>
  <c r="AF432" i="29"/>
  <c r="AG432" i="29"/>
  <c r="AJ432" i="29"/>
  <c r="AK432" i="29"/>
  <c r="E433" i="29"/>
  <c r="F433" i="29"/>
  <c r="I433" i="29"/>
  <c r="M433" i="29"/>
  <c r="N433" i="29"/>
  <c r="Q433" i="29"/>
  <c r="U433" i="29"/>
  <c r="V433" i="29"/>
  <c r="Y433" i="29"/>
  <c r="AC433" i="29"/>
  <c r="AD433" i="29"/>
  <c r="AG433" i="29"/>
  <c r="AL433" i="29"/>
  <c r="D430" i="29"/>
  <c r="E430" i="29"/>
  <c r="G430" i="29"/>
  <c r="H430" i="29"/>
  <c r="I430" i="29"/>
  <c r="J430" i="29"/>
  <c r="K430" i="29"/>
  <c r="L430" i="29"/>
  <c r="M430" i="29"/>
  <c r="O430" i="29"/>
  <c r="P430" i="29"/>
  <c r="Q430" i="29"/>
  <c r="R430" i="29"/>
  <c r="S430" i="29"/>
  <c r="T430" i="29"/>
  <c r="U430" i="29"/>
  <c r="W430" i="29"/>
  <c r="X430" i="29"/>
  <c r="Y430" i="29"/>
  <c r="Z430" i="29"/>
  <c r="AA430" i="29"/>
  <c r="AB430" i="29"/>
  <c r="AC430" i="29"/>
  <c r="AE430" i="29"/>
  <c r="AF430" i="29"/>
  <c r="AG430" i="29"/>
  <c r="AH430" i="29"/>
  <c r="AI430" i="29"/>
  <c r="AJ430" i="29"/>
  <c r="AK430" i="29"/>
  <c r="AM430" i="29"/>
  <c r="D429" i="29"/>
  <c r="E429" i="29"/>
  <c r="F429" i="29"/>
  <c r="G429" i="29"/>
  <c r="H429" i="29"/>
  <c r="I429" i="29"/>
  <c r="K429" i="29"/>
  <c r="L429" i="29"/>
  <c r="M429" i="29"/>
  <c r="N429" i="29"/>
  <c r="O429" i="29"/>
  <c r="P429" i="29"/>
  <c r="Q429" i="29"/>
  <c r="S429" i="29"/>
  <c r="T429" i="29"/>
  <c r="U429" i="29"/>
  <c r="V429" i="29"/>
  <c r="W429" i="29"/>
  <c r="X429" i="29"/>
  <c r="Y429" i="29"/>
  <c r="AA429" i="29"/>
  <c r="AB429" i="29"/>
  <c r="AC429" i="29"/>
  <c r="AD429" i="29"/>
  <c r="AE429" i="29"/>
  <c r="AF429" i="29"/>
  <c r="AG429" i="29"/>
  <c r="AI429" i="29"/>
  <c r="AJ429" i="29"/>
  <c r="AK429" i="29"/>
  <c r="AL429" i="29"/>
  <c r="AM429" i="29"/>
  <c r="D428" i="29"/>
  <c r="G428" i="29"/>
  <c r="H428" i="29"/>
  <c r="I428" i="29"/>
  <c r="J428" i="29"/>
  <c r="K428" i="29"/>
  <c r="L428" i="29"/>
  <c r="M428" i="29"/>
  <c r="P428" i="29"/>
  <c r="Q428" i="29"/>
  <c r="R428" i="29"/>
  <c r="S428" i="29"/>
  <c r="T428" i="29"/>
  <c r="U428" i="29"/>
  <c r="W428" i="29"/>
  <c r="X428" i="29"/>
  <c r="Y428" i="29"/>
  <c r="Z428" i="29"/>
  <c r="AA428" i="29"/>
  <c r="AB428" i="29"/>
  <c r="AC428" i="29"/>
  <c r="AE428" i="29"/>
  <c r="AG428" i="29"/>
  <c r="AH428" i="29"/>
  <c r="D427" i="29"/>
  <c r="E427" i="29"/>
  <c r="F427" i="29"/>
  <c r="G427" i="29"/>
  <c r="H427" i="29"/>
  <c r="I427" i="29"/>
  <c r="K427" i="29"/>
  <c r="L427" i="29"/>
  <c r="M427" i="29"/>
  <c r="N427" i="29"/>
  <c r="O427" i="29"/>
  <c r="P427" i="29"/>
  <c r="Q427" i="29"/>
  <c r="S427" i="29"/>
  <c r="T427" i="29"/>
  <c r="U427" i="29"/>
  <c r="V427" i="29"/>
  <c r="W427" i="29"/>
  <c r="X427" i="29"/>
  <c r="Y427" i="29"/>
  <c r="AA427" i="29"/>
  <c r="AB427" i="29"/>
  <c r="AC427" i="29"/>
  <c r="AD427" i="29"/>
  <c r="AE427" i="29"/>
  <c r="AF427" i="29"/>
  <c r="AG427" i="29"/>
  <c r="AK427" i="29"/>
  <c r="AL427" i="29"/>
  <c r="AM427" i="29"/>
  <c r="D426" i="29"/>
  <c r="H426" i="29"/>
  <c r="I426" i="29"/>
  <c r="L426" i="29"/>
  <c r="P426" i="29"/>
  <c r="Q426" i="29"/>
  <c r="T426" i="29"/>
  <c r="U426" i="29"/>
  <c r="X426" i="29"/>
  <c r="Y426" i="29"/>
  <c r="AB426" i="29"/>
  <c r="AC426" i="29"/>
  <c r="AG426" i="29"/>
  <c r="AK426" i="29"/>
  <c r="D425" i="29"/>
  <c r="E425" i="29"/>
  <c r="F425" i="29"/>
  <c r="H425" i="29"/>
  <c r="I425" i="29"/>
  <c r="J425" i="29"/>
  <c r="L425" i="29"/>
  <c r="M425" i="29"/>
  <c r="N425" i="29"/>
  <c r="P425" i="29"/>
  <c r="Q425" i="29"/>
  <c r="R425" i="29"/>
  <c r="T425" i="29"/>
  <c r="U425" i="29"/>
  <c r="V425" i="29"/>
  <c r="X425" i="29"/>
  <c r="Y425" i="29"/>
  <c r="Z425" i="29"/>
  <c r="AB425" i="29"/>
  <c r="AC425" i="29"/>
  <c r="AD425" i="29"/>
  <c r="AF425" i="29"/>
  <c r="AG425" i="29"/>
  <c r="AH425" i="29"/>
  <c r="AJ425" i="29"/>
  <c r="AK425" i="29"/>
  <c r="AL425" i="29"/>
  <c r="D342" i="29"/>
  <c r="D434" i="29" s="1"/>
  <c r="E342" i="29"/>
  <c r="E434" i="29" s="1"/>
  <c r="F342" i="29"/>
  <c r="F434" i="29" s="1"/>
  <c r="G342" i="29"/>
  <c r="G434" i="29" s="1"/>
  <c r="H342" i="29"/>
  <c r="H434" i="29" s="1"/>
  <c r="I342" i="29"/>
  <c r="I434" i="29" s="1"/>
  <c r="J342" i="29"/>
  <c r="J434" i="29" s="1"/>
  <c r="K342" i="29"/>
  <c r="K434" i="29" s="1"/>
  <c r="L342" i="29"/>
  <c r="L434" i="29" s="1"/>
  <c r="M342" i="29"/>
  <c r="M434" i="29" s="1"/>
  <c r="N342" i="29"/>
  <c r="N434" i="29" s="1"/>
  <c r="O342" i="29"/>
  <c r="O434" i="29" s="1"/>
  <c r="P342" i="29"/>
  <c r="P434" i="29" s="1"/>
  <c r="Q342" i="29"/>
  <c r="Q434" i="29" s="1"/>
  <c r="R342" i="29"/>
  <c r="R434" i="29" s="1"/>
  <c r="S342" i="29"/>
  <c r="S434" i="29" s="1"/>
  <c r="T342" i="29"/>
  <c r="T434" i="29" s="1"/>
  <c r="U342" i="29"/>
  <c r="U434" i="29" s="1"/>
  <c r="V342" i="29"/>
  <c r="V434" i="29" s="1"/>
  <c r="W342" i="29"/>
  <c r="W434" i="29" s="1"/>
  <c r="X342" i="29"/>
  <c r="X434" i="29" s="1"/>
  <c r="Y342" i="29"/>
  <c r="Y434" i="29" s="1"/>
  <c r="Z342" i="29"/>
  <c r="Z434" i="29" s="1"/>
  <c r="AA342" i="29"/>
  <c r="AA434" i="29" s="1"/>
  <c r="AB342" i="29"/>
  <c r="AB434" i="29" s="1"/>
  <c r="AC342" i="29"/>
  <c r="AC434" i="29" s="1"/>
  <c r="AD342" i="29"/>
  <c r="AD434" i="29" s="1"/>
  <c r="AE342" i="29"/>
  <c r="AE434" i="29" s="1"/>
  <c r="AF342" i="29"/>
  <c r="AF434" i="29" s="1"/>
  <c r="AG342" i="29"/>
  <c r="AG434" i="29" s="1"/>
  <c r="AH342" i="29"/>
  <c r="AH434" i="29" s="1"/>
  <c r="AI342" i="29"/>
  <c r="AI434" i="29" s="1"/>
  <c r="AJ342" i="29"/>
  <c r="AJ434" i="29" s="1"/>
  <c r="AK342" i="29"/>
  <c r="AK434" i="29" s="1"/>
  <c r="AL342" i="29"/>
  <c r="AL434" i="29" s="1"/>
  <c r="AM342" i="29"/>
  <c r="AM434" i="29" s="1"/>
  <c r="D436" i="29"/>
  <c r="E436" i="29"/>
  <c r="F436" i="29"/>
  <c r="G436" i="29"/>
  <c r="H436" i="29"/>
  <c r="I436" i="29"/>
  <c r="J436" i="29"/>
  <c r="K436" i="29"/>
  <c r="L436" i="29"/>
  <c r="M436" i="29"/>
  <c r="N436" i="29"/>
  <c r="O436" i="29"/>
  <c r="P436" i="29"/>
  <c r="Q436" i="29"/>
  <c r="R436" i="29"/>
  <c r="S436" i="29"/>
  <c r="T436" i="29"/>
  <c r="U436" i="29"/>
  <c r="V436" i="29"/>
  <c r="W436" i="29"/>
  <c r="X436" i="29"/>
  <c r="Y436" i="29"/>
  <c r="Z436" i="29"/>
  <c r="AA436" i="29"/>
  <c r="AB436" i="29"/>
  <c r="AC436" i="29"/>
  <c r="AD436" i="29"/>
  <c r="AE436" i="29"/>
  <c r="AF436" i="29"/>
  <c r="AG436" i="29"/>
  <c r="AH436" i="29"/>
  <c r="AI436" i="29"/>
  <c r="AJ436" i="29"/>
  <c r="AK436" i="29"/>
  <c r="AL436" i="29"/>
  <c r="AM436" i="29"/>
  <c r="D377" i="29"/>
  <c r="D435" i="29" s="1"/>
  <c r="E377" i="29"/>
  <c r="E435" i="29" s="1"/>
  <c r="F377" i="29"/>
  <c r="F435" i="29" s="1"/>
  <c r="G377" i="29"/>
  <c r="G435" i="29" s="1"/>
  <c r="H377" i="29"/>
  <c r="H435" i="29" s="1"/>
  <c r="I377" i="29"/>
  <c r="I435" i="29" s="1"/>
  <c r="J377" i="29"/>
  <c r="J435" i="29" s="1"/>
  <c r="K377" i="29"/>
  <c r="K435" i="29" s="1"/>
  <c r="L377" i="29"/>
  <c r="L435" i="29" s="1"/>
  <c r="M377" i="29"/>
  <c r="M435" i="29" s="1"/>
  <c r="N377" i="29"/>
  <c r="N435" i="29" s="1"/>
  <c r="O377" i="29"/>
  <c r="O435" i="29" s="1"/>
  <c r="P377" i="29"/>
  <c r="P435" i="29" s="1"/>
  <c r="Q377" i="29"/>
  <c r="Q435" i="29" s="1"/>
  <c r="R377" i="29"/>
  <c r="R435" i="29" s="1"/>
  <c r="S377" i="29"/>
  <c r="S435" i="29" s="1"/>
  <c r="T377" i="29"/>
  <c r="T435" i="29" s="1"/>
  <c r="U377" i="29"/>
  <c r="U435" i="29" s="1"/>
  <c r="V377" i="29"/>
  <c r="V435" i="29" s="1"/>
  <c r="W377" i="29"/>
  <c r="W435" i="29" s="1"/>
  <c r="X377" i="29"/>
  <c r="X435" i="29" s="1"/>
  <c r="Y377" i="29"/>
  <c r="Y435" i="29" s="1"/>
  <c r="Z377" i="29"/>
  <c r="Z435" i="29" s="1"/>
  <c r="AA377" i="29"/>
  <c r="AA435" i="29" s="1"/>
  <c r="AB377" i="29"/>
  <c r="AB435" i="29" s="1"/>
  <c r="AC377" i="29"/>
  <c r="AC435" i="29" s="1"/>
  <c r="AD377" i="29"/>
  <c r="AD435" i="29" s="1"/>
  <c r="AE377" i="29"/>
  <c r="AE435" i="29" s="1"/>
  <c r="AF377" i="29"/>
  <c r="AF435" i="29" s="1"/>
  <c r="AG377" i="29"/>
  <c r="AG435" i="29" s="1"/>
  <c r="AH377" i="29"/>
  <c r="AH435" i="29" s="1"/>
  <c r="AI377" i="29"/>
  <c r="AI435" i="29" s="1"/>
  <c r="AJ377" i="29"/>
  <c r="AJ435" i="29" s="1"/>
  <c r="AK377" i="29"/>
  <c r="AK435" i="29" s="1"/>
  <c r="AL377" i="29"/>
  <c r="AL435" i="29" s="1"/>
  <c r="AM377" i="29"/>
  <c r="AM435" i="29" s="1"/>
  <c r="H418" i="35"/>
  <c r="H510" i="35" s="1"/>
  <c r="G418" i="35"/>
  <c r="G510" i="35" s="1"/>
  <c r="F418" i="35"/>
  <c r="F510" i="35" s="1"/>
  <c r="H348" i="35"/>
  <c r="H508" i="35" s="1"/>
  <c r="G348" i="35"/>
  <c r="G508" i="35" s="1"/>
  <c r="F348" i="35"/>
  <c r="F508" i="35" s="1"/>
  <c r="H313" i="35"/>
  <c r="H507" i="35" s="1"/>
  <c r="G313" i="35"/>
  <c r="G507" i="35" s="1"/>
  <c r="F313" i="35"/>
  <c r="F507" i="35" s="1"/>
  <c r="H278" i="35"/>
  <c r="H506" i="35" s="1"/>
  <c r="G278" i="35"/>
  <c r="G506" i="35" s="1"/>
  <c r="F278" i="35"/>
  <c r="F506" i="35" s="1"/>
  <c r="H207" i="35"/>
  <c r="H505" i="35" s="1"/>
  <c r="G207" i="35"/>
  <c r="G505" i="35" s="1"/>
  <c r="F207" i="35"/>
  <c r="F505" i="35" s="1"/>
  <c r="H172" i="35"/>
  <c r="H504" i="35" s="1"/>
  <c r="G172" i="35"/>
  <c r="G504" i="35" s="1"/>
  <c r="F172" i="35"/>
  <c r="F504" i="35" s="1"/>
  <c r="H137" i="35"/>
  <c r="H503" i="35" s="1"/>
  <c r="G137" i="35"/>
  <c r="G503" i="35" s="1"/>
  <c r="F137" i="35"/>
  <c r="F503" i="35" s="1"/>
  <c r="H102" i="35"/>
  <c r="H502" i="35" s="1"/>
  <c r="G102" i="35"/>
  <c r="G502" i="35" s="1"/>
  <c r="F102" i="35"/>
  <c r="F502" i="35" s="1"/>
  <c r="H67" i="35"/>
  <c r="H501" i="35" s="1"/>
  <c r="G67" i="35"/>
  <c r="G501" i="35" s="1"/>
  <c r="F67" i="35"/>
  <c r="F501" i="35" s="1"/>
  <c r="H33" i="35"/>
  <c r="G33" i="35"/>
  <c r="F33" i="35"/>
  <c r="F500" i="35" l="1"/>
  <c r="F511" i="35"/>
  <c r="G500" i="35"/>
  <c r="G511" i="35"/>
  <c r="H500" i="35"/>
  <c r="H511" i="35"/>
  <c r="G243" i="35"/>
  <c r="G512" i="35" s="1"/>
  <c r="AG473" i="29"/>
  <c r="AK437" i="29"/>
  <c r="AC437" i="29"/>
  <c r="U437" i="29"/>
  <c r="M437" i="29"/>
  <c r="E437" i="29"/>
  <c r="AH437" i="29"/>
  <c r="R437" i="29"/>
  <c r="AG437" i="29"/>
  <c r="Y437" i="29"/>
  <c r="Q437" i="29"/>
  <c r="I437" i="29"/>
  <c r="S437" i="29"/>
  <c r="AE437" i="29"/>
  <c r="O437" i="29"/>
  <c r="Z437" i="29"/>
  <c r="L437" i="29"/>
  <c r="AA437" i="29"/>
  <c r="K437" i="29"/>
  <c r="AI437" i="29"/>
  <c r="AM437" i="29"/>
  <c r="W437" i="29"/>
  <c r="G437" i="29"/>
  <c r="J437" i="29"/>
  <c r="AB437" i="29"/>
  <c r="AL437" i="29"/>
  <c r="AD437" i="29"/>
  <c r="V437" i="29"/>
  <c r="N437" i="29"/>
  <c r="F437" i="29"/>
  <c r="AJ437" i="29"/>
  <c r="T437" i="29"/>
  <c r="D437" i="29"/>
  <c r="AF437" i="29"/>
  <c r="X437" i="29"/>
  <c r="P437" i="29"/>
  <c r="H437" i="29"/>
  <c r="F243" i="35"/>
  <c r="H243" i="35"/>
  <c r="H512" i="35" s="1"/>
  <c r="G488" i="35"/>
  <c r="F488" i="35"/>
  <c r="H488" i="35"/>
  <c r="F512" i="35" l="1"/>
  <c r="O446" i="29"/>
  <c r="O447" i="29"/>
  <c r="C436" i="29"/>
  <c r="C377" i="29"/>
  <c r="C435" i="29" s="1"/>
  <c r="C342" i="29"/>
  <c r="C434" i="29" s="1"/>
  <c r="C270" i="29"/>
  <c r="C432" i="29" s="1"/>
  <c r="C306" i="29"/>
  <c r="C433" i="29" s="1"/>
  <c r="C236" i="29"/>
  <c r="C431" i="29" s="1"/>
  <c r="C201" i="29"/>
  <c r="C430" i="29" s="1"/>
  <c r="C167" i="29"/>
  <c r="C429" i="29" s="1"/>
  <c r="C133" i="29"/>
  <c r="C428" i="29" s="1"/>
  <c r="C98" i="29"/>
  <c r="C427" i="29" s="1"/>
  <c r="C64" i="29"/>
  <c r="C426" i="29" s="1"/>
  <c r="T425" i="3"/>
  <c r="T389" i="3"/>
  <c r="T353" i="3"/>
  <c r="T317" i="3"/>
  <c r="T281" i="3"/>
  <c r="T245" i="3"/>
  <c r="T209" i="3"/>
  <c r="T137" i="3"/>
  <c r="T65" i="3"/>
  <c r="D24" i="3"/>
  <c r="D25" i="3"/>
  <c r="D26" i="3"/>
  <c r="D27" i="3"/>
  <c r="D28" i="3"/>
  <c r="D29" i="3"/>
  <c r="D30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B9" i="2"/>
  <c r="C425" i="29"/>
  <c r="C437" i="29" l="1"/>
  <c r="S24" i="3"/>
  <c r="N24" i="3"/>
  <c r="N30" i="3"/>
  <c r="S30" i="3"/>
  <c r="S29" i="3"/>
  <c r="N29" i="3"/>
  <c r="N23" i="3"/>
  <c r="S23" i="3"/>
  <c r="S28" i="3"/>
  <c r="N28" i="3"/>
  <c r="N27" i="3"/>
  <c r="S27" i="3"/>
  <c r="N21" i="3"/>
  <c r="S21" i="3"/>
  <c r="S26" i="3"/>
  <c r="N26" i="3"/>
  <c r="N22" i="3"/>
  <c r="S22" i="3"/>
  <c r="S25" i="3"/>
  <c r="N25" i="3"/>
  <c r="N12" i="3"/>
  <c r="S12" i="3"/>
  <c r="S11" i="3"/>
  <c r="N11" i="3"/>
  <c r="N20" i="3"/>
  <c r="S20" i="3"/>
  <c r="N16" i="3"/>
  <c r="S16" i="3"/>
  <c r="N18" i="3"/>
  <c r="S18" i="3"/>
  <c r="S15" i="3"/>
  <c r="N15" i="3"/>
  <c r="N19" i="3"/>
  <c r="S19" i="3"/>
  <c r="N10" i="3"/>
  <c r="S10" i="3"/>
  <c r="N17" i="3"/>
  <c r="S17" i="3"/>
  <c r="S14" i="3"/>
  <c r="N14" i="3"/>
  <c r="N13" i="3"/>
  <c r="S13" i="3"/>
  <c r="Q173" i="3"/>
  <c r="Q281" i="3"/>
  <c r="Q425" i="3"/>
  <c r="Q137" i="3"/>
  <c r="Q209" i="3"/>
  <c r="Q353" i="3"/>
  <c r="Q245" i="3"/>
  <c r="Q389" i="3"/>
  <c r="Q101" i="3"/>
  <c r="Q317" i="3"/>
  <c r="R9" i="3"/>
  <c r="P44" i="3"/>
  <c r="R44" i="3" s="1"/>
  <c r="P45" i="3"/>
  <c r="R45" i="3" s="1"/>
  <c r="P46" i="3"/>
  <c r="R46" i="3" s="1"/>
  <c r="P47" i="3"/>
  <c r="R47" i="3" s="1"/>
  <c r="P48" i="3"/>
  <c r="R48" i="3" s="1"/>
  <c r="P49" i="3"/>
  <c r="R49" i="3" s="1"/>
  <c r="P50" i="3"/>
  <c r="R50" i="3" s="1"/>
  <c r="P51" i="3"/>
  <c r="R51" i="3" s="1"/>
  <c r="P52" i="3"/>
  <c r="R52" i="3" s="1"/>
  <c r="P53" i="3"/>
  <c r="R53" i="3" s="1"/>
  <c r="P54" i="3"/>
  <c r="R54" i="3" s="1"/>
  <c r="P55" i="3"/>
  <c r="R55" i="3" s="1"/>
  <c r="P56" i="3"/>
  <c r="R56" i="3" s="1"/>
  <c r="P57" i="3"/>
  <c r="R57" i="3" s="1"/>
  <c r="P58" i="3"/>
  <c r="P59" i="3"/>
  <c r="P60" i="3"/>
  <c r="P61" i="3"/>
  <c r="P62" i="3"/>
  <c r="P63" i="3"/>
  <c r="P64" i="3"/>
  <c r="R31" i="3" l="1"/>
  <c r="R64" i="3"/>
  <c r="R63" i="3"/>
  <c r="R62" i="3"/>
  <c r="R60" i="3"/>
  <c r="R59" i="3"/>
  <c r="R58" i="3"/>
  <c r="P93" i="3"/>
  <c r="R93" i="3" s="1"/>
  <c r="P92" i="3"/>
  <c r="R92" i="3" s="1"/>
  <c r="P91" i="3"/>
  <c r="R91" i="3" s="1"/>
  <c r="P90" i="3"/>
  <c r="R90" i="3" s="1"/>
  <c r="P89" i="3"/>
  <c r="R89" i="3" s="1"/>
  <c r="P88" i="3"/>
  <c r="R88" i="3" s="1"/>
  <c r="P87" i="3"/>
  <c r="R87" i="3" s="1"/>
  <c r="P86" i="3"/>
  <c r="R86" i="3" s="1"/>
  <c r="P85" i="3"/>
  <c r="R85" i="3" s="1"/>
  <c r="P84" i="3"/>
  <c r="R84" i="3" s="1"/>
  <c r="P83" i="3"/>
  <c r="R83" i="3" s="1"/>
  <c r="P82" i="3"/>
  <c r="R82" i="3" s="1"/>
  <c r="P81" i="3"/>
  <c r="R81" i="3" s="1"/>
  <c r="P80" i="3"/>
  <c r="R80" i="3" s="1"/>
  <c r="P43" i="3"/>
  <c r="P65" i="3" l="1"/>
  <c r="R43" i="3"/>
  <c r="P116" i="3"/>
  <c r="R116" i="3" s="1"/>
  <c r="P117" i="3"/>
  <c r="R117" i="3" s="1"/>
  <c r="P118" i="3"/>
  <c r="R118" i="3" s="1"/>
  <c r="P119" i="3"/>
  <c r="R119" i="3" s="1"/>
  <c r="P120" i="3"/>
  <c r="R120" i="3" s="1"/>
  <c r="P121" i="3"/>
  <c r="R121" i="3" s="1"/>
  <c r="P122" i="3"/>
  <c r="R122" i="3" s="1"/>
  <c r="P123" i="3"/>
  <c r="R123" i="3" s="1"/>
  <c r="P124" i="3"/>
  <c r="R124" i="3" s="1"/>
  <c r="P125" i="3"/>
  <c r="R125" i="3" s="1"/>
  <c r="P126" i="3"/>
  <c r="R126" i="3" s="1"/>
  <c r="P127" i="3"/>
  <c r="R127" i="3" s="1"/>
  <c r="P128" i="3"/>
  <c r="R128" i="3" s="1"/>
  <c r="P129" i="3"/>
  <c r="R129" i="3" s="1"/>
  <c r="P94" i="3"/>
  <c r="R94" i="3" s="1"/>
  <c r="P95" i="3"/>
  <c r="R95" i="3" s="1"/>
  <c r="P96" i="3"/>
  <c r="R96" i="3" s="1"/>
  <c r="P98" i="3"/>
  <c r="R98" i="3" s="1"/>
  <c r="P99" i="3"/>
  <c r="R99" i="3" s="1"/>
  <c r="P100" i="3"/>
  <c r="R100" i="3" s="1"/>
  <c r="P136" i="3" l="1"/>
  <c r="R136" i="3" s="1"/>
  <c r="P135" i="3"/>
  <c r="R135" i="3" s="1"/>
  <c r="P134" i="3"/>
  <c r="R134" i="3" s="1"/>
  <c r="P132" i="3"/>
  <c r="R132" i="3" s="1"/>
  <c r="P131" i="3"/>
  <c r="R131" i="3" s="1"/>
  <c r="P130" i="3"/>
  <c r="R130" i="3" s="1"/>
  <c r="P165" i="3"/>
  <c r="R165" i="3" s="1"/>
  <c r="P164" i="3"/>
  <c r="R164" i="3" s="1"/>
  <c r="P163" i="3"/>
  <c r="R163" i="3" s="1"/>
  <c r="P162" i="3"/>
  <c r="R162" i="3" s="1"/>
  <c r="P161" i="3"/>
  <c r="R161" i="3" s="1"/>
  <c r="P160" i="3"/>
  <c r="R160" i="3" s="1"/>
  <c r="P159" i="3"/>
  <c r="R159" i="3" s="1"/>
  <c r="P158" i="3"/>
  <c r="R158" i="3" s="1"/>
  <c r="P157" i="3"/>
  <c r="R157" i="3" s="1"/>
  <c r="P156" i="3"/>
  <c r="R156" i="3" s="1"/>
  <c r="P155" i="3"/>
  <c r="R155" i="3" s="1"/>
  <c r="P154" i="3"/>
  <c r="R154" i="3" s="1"/>
  <c r="P153" i="3"/>
  <c r="R153" i="3" s="1"/>
  <c r="P152" i="3"/>
  <c r="R152" i="3" s="1"/>
  <c r="P79" i="3"/>
  <c r="R79" i="3" l="1"/>
  <c r="P188" i="3"/>
  <c r="R188" i="3" s="1"/>
  <c r="P189" i="3"/>
  <c r="R189" i="3" s="1"/>
  <c r="P190" i="3"/>
  <c r="R190" i="3" s="1"/>
  <c r="P191" i="3"/>
  <c r="R191" i="3" s="1"/>
  <c r="P192" i="3"/>
  <c r="R192" i="3" s="1"/>
  <c r="P193" i="3"/>
  <c r="R193" i="3" s="1"/>
  <c r="P194" i="3"/>
  <c r="R194" i="3" s="1"/>
  <c r="P195" i="3"/>
  <c r="R195" i="3" s="1"/>
  <c r="P196" i="3"/>
  <c r="R196" i="3" s="1"/>
  <c r="P197" i="3"/>
  <c r="R197" i="3" s="1"/>
  <c r="P198" i="3"/>
  <c r="R198" i="3" s="1"/>
  <c r="P199" i="3"/>
  <c r="R199" i="3" s="1"/>
  <c r="P200" i="3"/>
  <c r="R200" i="3" s="1"/>
  <c r="P201" i="3"/>
  <c r="R201" i="3" s="1"/>
  <c r="P166" i="3"/>
  <c r="R166" i="3" s="1"/>
  <c r="P167" i="3"/>
  <c r="R167" i="3" s="1"/>
  <c r="P168" i="3"/>
  <c r="R168" i="3" s="1"/>
  <c r="P170" i="3"/>
  <c r="R170" i="3" s="1"/>
  <c r="P171" i="3"/>
  <c r="R171" i="3" s="1"/>
  <c r="P172" i="3"/>
  <c r="R172" i="3" s="1"/>
  <c r="P208" i="3" l="1"/>
  <c r="R208" i="3" s="1"/>
  <c r="P207" i="3"/>
  <c r="R207" i="3" s="1"/>
  <c r="P206" i="3"/>
  <c r="R206" i="3" s="1"/>
  <c r="P204" i="3"/>
  <c r="R204" i="3" s="1"/>
  <c r="P203" i="3"/>
  <c r="R203" i="3" s="1"/>
  <c r="P202" i="3"/>
  <c r="R202" i="3" s="1"/>
  <c r="P237" i="3"/>
  <c r="R237" i="3" s="1"/>
  <c r="P236" i="3"/>
  <c r="R236" i="3" s="1"/>
  <c r="P235" i="3"/>
  <c r="R235" i="3" s="1"/>
  <c r="P234" i="3"/>
  <c r="R234" i="3" s="1"/>
  <c r="P233" i="3"/>
  <c r="R233" i="3" s="1"/>
  <c r="P232" i="3"/>
  <c r="R232" i="3" s="1"/>
  <c r="P231" i="3"/>
  <c r="R231" i="3" s="1"/>
  <c r="P230" i="3"/>
  <c r="R230" i="3" s="1"/>
  <c r="P229" i="3"/>
  <c r="R229" i="3" s="1"/>
  <c r="P228" i="3"/>
  <c r="R228" i="3" s="1"/>
  <c r="P227" i="3"/>
  <c r="R227" i="3" s="1"/>
  <c r="P226" i="3"/>
  <c r="R226" i="3" s="1"/>
  <c r="P225" i="3"/>
  <c r="R225" i="3" s="1"/>
  <c r="P224" i="3"/>
  <c r="R224" i="3" s="1"/>
  <c r="P115" i="3"/>
  <c r="R115" i="3" l="1"/>
  <c r="P260" i="3"/>
  <c r="R260" i="3" s="1"/>
  <c r="P261" i="3"/>
  <c r="R261" i="3" s="1"/>
  <c r="P262" i="3"/>
  <c r="R262" i="3" s="1"/>
  <c r="P263" i="3"/>
  <c r="R263" i="3" s="1"/>
  <c r="P264" i="3"/>
  <c r="R264" i="3" s="1"/>
  <c r="P265" i="3"/>
  <c r="R265" i="3" s="1"/>
  <c r="P266" i="3"/>
  <c r="R266" i="3" s="1"/>
  <c r="P267" i="3"/>
  <c r="R267" i="3" s="1"/>
  <c r="P268" i="3"/>
  <c r="R268" i="3" s="1"/>
  <c r="P269" i="3"/>
  <c r="R269" i="3" s="1"/>
  <c r="P270" i="3"/>
  <c r="R270" i="3" s="1"/>
  <c r="P271" i="3"/>
  <c r="R271" i="3" s="1"/>
  <c r="P272" i="3"/>
  <c r="R272" i="3" s="1"/>
  <c r="P273" i="3"/>
  <c r="R273" i="3" s="1"/>
  <c r="P238" i="3"/>
  <c r="R238" i="3" s="1"/>
  <c r="P239" i="3"/>
  <c r="R239" i="3" s="1"/>
  <c r="P240" i="3"/>
  <c r="R240" i="3" s="1"/>
  <c r="P242" i="3"/>
  <c r="R242" i="3" s="1"/>
  <c r="P243" i="3"/>
  <c r="R243" i="3" s="1"/>
  <c r="P244" i="3"/>
  <c r="R244" i="3" s="1"/>
  <c r="P280" i="3" l="1"/>
  <c r="R280" i="3" s="1"/>
  <c r="P279" i="3"/>
  <c r="R279" i="3" s="1"/>
  <c r="P278" i="3"/>
  <c r="R278" i="3" s="1"/>
  <c r="P276" i="3"/>
  <c r="R276" i="3" s="1"/>
  <c r="P275" i="3"/>
  <c r="R275" i="3" s="1"/>
  <c r="P274" i="3"/>
  <c r="R274" i="3" s="1"/>
  <c r="P309" i="3"/>
  <c r="R309" i="3" s="1"/>
  <c r="P308" i="3"/>
  <c r="R308" i="3" s="1"/>
  <c r="P307" i="3"/>
  <c r="R307" i="3" s="1"/>
  <c r="P306" i="3"/>
  <c r="R306" i="3" s="1"/>
  <c r="P305" i="3"/>
  <c r="R305" i="3" s="1"/>
  <c r="P304" i="3"/>
  <c r="R304" i="3" s="1"/>
  <c r="P303" i="3"/>
  <c r="R303" i="3" s="1"/>
  <c r="P302" i="3"/>
  <c r="R302" i="3" s="1"/>
  <c r="P301" i="3"/>
  <c r="R301" i="3" s="1"/>
  <c r="P300" i="3"/>
  <c r="R300" i="3" s="1"/>
  <c r="P299" i="3"/>
  <c r="R299" i="3" s="1"/>
  <c r="P298" i="3"/>
  <c r="R298" i="3" s="1"/>
  <c r="P297" i="3"/>
  <c r="R297" i="3" s="1"/>
  <c r="P296" i="3"/>
  <c r="R296" i="3" s="1"/>
  <c r="P151" i="3"/>
  <c r="M416" i="33"/>
  <c r="N416" i="33"/>
  <c r="O416" i="33"/>
  <c r="P416" i="33"/>
  <c r="Q416" i="33"/>
  <c r="R416" i="33"/>
  <c r="S416" i="33"/>
  <c r="T416" i="33"/>
  <c r="U416" i="33"/>
  <c r="V416" i="33"/>
  <c r="W416" i="33"/>
  <c r="X416" i="33"/>
  <c r="Z416" i="33"/>
  <c r="AA416" i="33"/>
  <c r="AB416" i="33"/>
  <c r="AC416" i="33"/>
  <c r="AD416" i="33"/>
  <c r="AE416" i="33"/>
  <c r="AF416" i="33"/>
  <c r="AG416" i="33"/>
  <c r="AH416" i="33"/>
  <c r="AI416" i="33"/>
  <c r="AJ416" i="33"/>
  <c r="AK416" i="33"/>
  <c r="AL416" i="33"/>
  <c r="AM416" i="33"/>
  <c r="AN416" i="33"/>
  <c r="AO416" i="33"/>
  <c r="AP416" i="33"/>
  <c r="L416" i="33"/>
  <c r="M276" i="33"/>
  <c r="N276" i="33"/>
  <c r="O276" i="33"/>
  <c r="P276" i="33"/>
  <c r="Q276" i="33"/>
  <c r="R276" i="33"/>
  <c r="S276" i="33"/>
  <c r="T276" i="33"/>
  <c r="U276" i="33"/>
  <c r="V276" i="33"/>
  <c r="W276" i="33"/>
  <c r="X276" i="33"/>
  <c r="Z276" i="33"/>
  <c r="AA276" i="33"/>
  <c r="AB276" i="33"/>
  <c r="AC276" i="33"/>
  <c r="AD276" i="33"/>
  <c r="AE276" i="33"/>
  <c r="AF276" i="33"/>
  <c r="AG276" i="33"/>
  <c r="AH276" i="33"/>
  <c r="AI276" i="33"/>
  <c r="AJ276" i="33"/>
  <c r="AK276" i="33"/>
  <c r="AL276" i="33"/>
  <c r="AM276" i="33"/>
  <c r="AN276" i="33"/>
  <c r="AO276" i="33"/>
  <c r="AP276" i="33"/>
  <c r="L276" i="33"/>
  <c r="R151" i="3" l="1"/>
  <c r="P332" i="3"/>
  <c r="R332" i="3" s="1"/>
  <c r="P333" i="3"/>
  <c r="R333" i="3" s="1"/>
  <c r="P334" i="3"/>
  <c r="R334" i="3" s="1"/>
  <c r="P335" i="3"/>
  <c r="R335" i="3" s="1"/>
  <c r="P336" i="3"/>
  <c r="R336" i="3" s="1"/>
  <c r="P337" i="3"/>
  <c r="R337" i="3" s="1"/>
  <c r="P338" i="3"/>
  <c r="R338" i="3" s="1"/>
  <c r="P339" i="3"/>
  <c r="R339" i="3" s="1"/>
  <c r="P340" i="3"/>
  <c r="R340" i="3" s="1"/>
  <c r="P341" i="3"/>
  <c r="R341" i="3" s="1"/>
  <c r="P342" i="3"/>
  <c r="R342" i="3" s="1"/>
  <c r="P343" i="3"/>
  <c r="R343" i="3" s="1"/>
  <c r="P344" i="3"/>
  <c r="R344" i="3" s="1"/>
  <c r="P345" i="3"/>
  <c r="R345" i="3" s="1"/>
  <c r="P310" i="3"/>
  <c r="R310" i="3" s="1"/>
  <c r="P311" i="3"/>
  <c r="R311" i="3" s="1"/>
  <c r="P312" i="3"/>
  <c r="R312" i="3" s="1"/>
  <c r="P314" i="3"/>
  <c r="R314" i="3" s="1"/>
  <c r="P315" i="3"/>
  <c r="R315" i="3" s="1"/>
  <c r="P316" i="3"/>
  <c r="R316" i="3" s="1"/>
  <c r="P352" i="3" l="1"/>
  <c r="R352" i="3" s="1"/>
  <c r="P351" i="3"/>
  <c r="R351" i="3" s="1"/>
  <c r="P350" i="3"/>
  <c r="R350" i="3" s="1"/>
  <c r="P348" i="3"/>
  <c r="R348" i="3" s="1"/>
  <c r="P347" i="3"/>
  <c r="R347" i="3" s="1"/>
  <c r="P346" i="3"/>
  <c r="R346" i="3" s="1"/>
  <c r="P381" i="3"/>
  <c r="R381" i="3" s="1"/>
  <c r="P380" i="3"/>
  <c r="R380" i="3" s="1"/>
  <c r="P379" i="3"/>
  <c r="R379" i="3" s="1"/>
  <c r="P378" i="3"/>
  <c r="R378" i="3" s="1"/>
  <c r="P377" i="3"/>
  <c r="R377" i="3" s="1"/>
  <c r="P376" i="3"/>
  <c r="R376" i="3" s="1"/>
  <c r="P375" i="3"/>
  <c r="R375" i="3" s="1"/>
  <c r="P374" i="3"/>
  <c r="R374" i="3" s="1"/>
  <c r="P373" i="3"/>
  <c r="R373" i="3" s="1"/>
  <c r="P372" i="3"/>
  <c r="R372" i="3" s="1"/>
  <c r="P371" i="3"/>
  <c r="R371" i="3" s="1"/>
  <c r="P370" i="3"/>
  <c r="R370" i="3" s="1"/>
  <c r="P369" i="3"/>
  <c r="R369" i="3" s="1"/>
  <c r="P368" i="3"/>
  <c r="R368" i="3" s="1"/>
  <c r="P187" i="3"/>
  <c r="R187" i="3" l="1"/>
  <c r="P404" i="3"/>
  <c r="R404" i="3" s="1"/>
  <c r="P405" i="3"/>
  <c r="R405" i="3" s="1"/>
  <c r="P406" i="3"/>
  <c r="R406" i="3" s="1"/>
  <c r="P407" i="3"/>
  <c r="R407" i="3" s="1"/>
  <c r="P408" i="3"/>
  <c r="R408" i="3" s="1"/>
  <c r="P409" i="3"/>
  <c r="R409" i="3" s="1"/>
  <c r="P410" i="3"/>
  <c r="R410" i="3" s="1"/>
  <c r="P411" i="3"/>
  <c r="R411" i="3" s="1"/>
  <c r="P412" i="3"/>
  <c r="R412" i="3" s="1"/>
  <c r="P413" i="3"/>
  <c r="R413" i="3" s="1"/>
  <c r="P414" i="3"/>
  <c r="R414" i="3" s="1"/>
  <c r="P415" i="3"/>
  <c r="R415" i="3" s="1"/>
  <c r="P416" i="3"/>
  <c r="R416" i="3" s="1"/>
  <c r="P417" i="3"/>
  <c r="R417" i="3" s="1"/>
  <c r="P382" i="3"/>
  <c r="R382" i="3" s="1"/>
  <c r="P383" i="3"/>
  <c r="R383" i="3" s="1"/>
  <c r="P384" i="3"/>
  <c r="R384" i="3" s="1"/>
  <c r="P386" i="3"/>
  <c r="R386" i="3" s="1"/>
  <c r="P387" i="3"/>
  <c r="R387" i="3" s="1"/>
  <c r="P388" i="3"/>
  <c r="R388" i="3" s="1"/>
  <c r="P424" i="3" l="1"/>
  <c r="R424" i="3" s="1"/>
  <c r="P423" i="3"/>
  <c r="R423" i="3" s="1"/>
  <c r="P422" i="3"/>
  <c r="R422" i="3" s="1"/>
  <c r="P420" i="3"/>
  <c r="R420" i="3" s="1"/>
  <c r="P419" i="3"/>
  <c r="R419" i="3" s="1"/>
  <c r="P418" i="3"/>
  <c r="R418" i="3" s="1"/>
  <c r="P223" i="3"/>
  <c r="R223" i="3" l="1"/>
  <c r="E307" i="33"/>
  <c r="I307" i="33"/>
  <c r="E308" i="33"/>
  <c r="I308" i="33"/>
  <c r="E309" i="33"/>
  <c r="I309" i="33"/>
  <c r="E310" i="33"/>
  <c r="I310" i="33"/>
  <c r="E341" i="33"/>
  <c r="I341" i="33"/>
  <c r="E342" i="33"/>
  <c r="I342" i="33"/>
  <c r="E343" i="33"/>
  <c r="I343" i="33"/>
  <c r="E344" i="33"/>
  <c r="I344" i="33"/>
  <c r="E345" i="33"/>
  <c r="I345" i="33"/>
  <c r="E333" i="33"/>
  <c r="I333" i="33"/>
  <c r="E334" i="33"/>
  <c r="I334" i="33"/>
  <c r="E335" i="33"/>
  <c r="I335" i="33"/>
  <c r="E336" i="33"/>
  <c r="I336" i="33"/>
  <c r="E337" i="33"/>
  <c r="I337" i="33"/>
  <c r="E338" i="33"/>
  <c r="I338" i="33"/>
  <c r="E339" i="33"/>
  <c r="I339" i="33"/>
  <c r="E340" i="33"/>
  <c r="I340" i="33"/>
  <c r="E325" i="33"/>
  <c r="I325" i="33"/>
  <c r="E326" i="33"/>
  <c r="I326" i="33"/>
  <c r="E327" i="33"/>
  <c r="I327" i="33"/>
  <c r="E328" i="33"/>
  <c r="I328" i="33"/>
  <c r="E329" i="33"/>
  <c r="I329" i="33"/>
  <c r="E330" i="33"/>
  <c r="I330" i="33"/>
  <c r="E331" i="33"/>
  <c r="I331" i="33"/>
  <c r="E332" i="33"/>
  <c r="I332" i="33"/>
  <c r="P259" i="3" l="1"/>
  <c r="R259" i="3" l="1"/>
  <c r="C327" i="10"/>
  <c r="P295" i="3" l="1"/>
  <c r="AP346" i="33"/>
  <c r="L346" i="33"/>
  <c r="M346" i="33"/>
  <c r="N346" i="33"/>
  <c r="O346" i="33"/>
  <c r="P346" i="33"/>
  <c r="Q346" i="33"/>
  <c r="R346" i="33"/>
  <c r="S346" i="33"/>
  <c r="T346" i="33"/>
  <c r="U346" i="33"/>
  <c r="V346" i="33"/>
  <c r="W346" i="33"/>
  <c r="X346" i="33"/>
  <c r="Z346" i="33"/>
  <c r="AA346" i="33"/>
  <c r="AB346" i="33"/>
  <c r="AC346" i="33"/>
  <c r="AD346" i="33"/>
  <c r="AE346" i="33"/>
  <c r="AF346" i="33"/>
  <c r="AG346" i="33"/>
  <c r="AH346" i="33"/>
  <c r="AI346" i="33"/>
  <c r="AJ346" i="33"/>
  <c r="AK346" i="33"/>
  <c r="AL346" i="33"/>
  <c r="AM346" i="33"/>
  <c r="AN346" i="33"/>
  <c r="AO346" i="33"/>
  <c r="N311" i="33"/>
  <c r="B471" i="33"/>
  <c r="L471" i="33"/>
  <c r="M471" i="33"/>
  <c r="N471" i="33"/>
  <c r="O471" i="33"/>
  <c r="P471" i="33"/>
  <c r="Q471" i="33"/>
  <c r="R471" i="33"/>
  <c r="S471" i="33"/>
  <c r="T471" i="33"/>
  <c r="U471" i="33"/>
  <c r="V471" i="33"/>
  <c r="W471" i="33"/>
  <c r="X471" i="33"/>
  <c r="Z471" i="33"/>
  <c r="AA471" i="33"/>
  <c r="AB471" i="33"/>
  <c r="AC471" i="33"/>
  <c r="AD471" i="33"/>
  <c r="AE471" i="33"/>
  <c r="AF471" i="33"/>
  <c r="AG471" i="33"/>
  <c r="AI471" i="33"/>
  <c r="AJ471" i="33"/>
  <c r="AK471" i="33"/>
  <c r="AL471" i="33"/>
  <c r="AM471" i="33"/>
  <c r="AN471" i="33"/>
  <c r="AO471" i="33"/>
  <c r="AP471" i="33"/>
  <c r="B472" i="33"/>
  <c r="L472" i="33"/>
  <c r="M472" i="33"/>
  <c r="N472" i="33"/>
  <c r="O472" i="33"/>
  <c r="P472" i="33"/>
  <c r="Q472" i="33"/>
  <c r="R472" i="33"/>
  <c r="S472" i="33"/>
  <c r="T472" i="33"/>
  <c r="U472" i="33"/>
  <c r="V472" i="33"/>
  <c r="W472" i="33"/>
  <c r="X472" i="33"/>
  <c r="Z472" i="33"/>
  <c r="AA472" i="33"/>
  <c r="AB472" i="33"/>
  <c r="AC472" i="33"/>
  <c r="AD472" i="33"/>
  <c r="AE472" i="33"/>
  <c r="AF472" i="33"/>
  <c r="AG472" i="33"/>
  <c r="AI472" i="33"/>
  <c r="AJ472" i="33"/>
  <c r="AK472" i="33"/>
  <c r="AL472" i="33"/>
  <c r="AM472" i="33"/>
  <c r="AN472" i="33"/>
  <c r="AO472" i="33"/>
  <c r="AP472" i="33"/>
  <c r="B473" i="33"/>
  <c r="L473" i="33"/>
  <c r="M473" i="33"/>
  <c r="N473" i="33"/>
  <c r="O473" i="33"/>
  <c r="P473" i="33"/>
  <c r="Q473" i="33"/>
  <c r="R473" i="33"/>
  <c r="S473" i="33"/>
  <c r="T473" i="33"/>
  <c r="U473" i="33"/>
  <c r="V473" i="33"/>
  <c r="W473" i="33"/>
  <c r="X473" i="33"/>
  <c r="Z473" i="33"/>
  <c r="AA473" i="33"/>
  <c r="AB473" i="33"/>
  <c r="AC473" i="33"/>
  <c r="AD473" i="33"/>
  <c r="AE473" i="33"/>
  <c r="AF473" i="33"/>
  <c r="AG473" i="33"/>
  <c r="AI473" i="33"/>
  <c r="AJ473" i="33"/>
  <c r="AK473" i="33"/>
  <c r="AL473" i="33"/>
  <c r="AM473" i="33"/>
  <c r="AN473" i="33"/>
  <c r="AO473" i="33"/>
  <c r="AP473" i="33"/>
  <c r="B474" i="33"/>
  <c r="L474" i="33"/>
  <c r="M474" i="33"/>
  <c r="N474" i="33"/>
  <c r="O474" i="33"/>
  <c r="P474" i="33"/>
  <c r="Q474" i="33"/>
  <c r="R474" i="33"/>
  <c r="S474" i="33"/>
  <c r="T474" i="33"/>
  <c r="U474" i="33"/>
  <c r="V474" i="33"/>
  <c r="W474" i="33"/>
  <c r="X474" i="33"/>
  <c r="Z474" i="33"/>
  <c r="AA474" i="33"/>
  <c r="AB474" i="33"/>
  <c r="AC474" i="33"/>
  <c r="AD474" i="33"/>
  <c r="AE474" i="33"/>
  <c r="AF474" i="33"/>
  <c r="AG474" i="33"/>
  <c r="AI474" i="33"/>
  <c r="AJ474" i="33"/>
  <c r="AK474" i="33"/>
  <c r="AL474" i="33"/>
  <c r="AM474" i="33"/>
  <c r="AN474" i="33"/>
  <c r="AO474" i="33"/>
  <c r="AP474" i="33"/>
  <c r="B475" i="33"/>
  <c r="L475" i="33"/>
  <c r="M475" i="33"/>
  <c r="N475" i="33"/>
  <c r="O475" i="33"/>
  <c r="P475" i="33"/>
  <c r="Q475" i="33"/>
  <c r="R475" i="33"/>
  <c r="S475" i="33"/>
  <c r="T475" i="33"/>
  <c r="U475" i="33"/>
  <c r="V475" i="33"/>
  <c r="W475" i="33"/>
  <c r="X475" i="33"/>
  <c r="Z475" i="33"/>
  <c r="AA475" i="33"/>
  <c r="AB475" i="33"/>
  <c r="AC475" i="33"/>
  <c r="AD475" i="33"/>
  <c r="AE475" i="33"/>
  <c r="AF475" i="33"/>
  <c r="AG475" i="33"/>
  <c r="AI475" i="33"/>
  <c r="AJ475" i="33"/>
  <c r="AK475" i="33"/>
  <c r="AL475" i="33"/>
  <c r="AM475" i="33"/>
  <c r="AN475" i="33"/>
  <c r="AO475" i="33"/>
  <c r="AP475" i="33"/>
  <c r="B411" i="33"/>
  <c r="E411" i="33"/>
  <c r="I411" i="33"/>
  <c r="B412" i="33"/>
  <c r="E412" i="33"/>
  <c r="I412" i="33"/>
  <c r="B413" i="33"/>
  <c r="E413" i="33"/>
  <c r="I413" i="33"/>
  <c r="B414" i="33"/>
  <c r="E414" i="33"/>
  <c r="I414" i="33"/>
  <c r="B415" i="33"/>
  <c r="E415" i="33"/>
  <c r="I415" i="33"/>
  <c r="B374" i="33"/>
  <c r="E374" i="33"/>
  <c r="I374" i="33"/>
  <c r="B375" i="33"/>
  <c r="E375" i="33"/>
  <c r="I375" i="33"/>
  <c r="B376" i="33"/>
  <c r="E376" i="33"/>
  <c r="I376" i="33"/>
  <c r="B377" i="33"/>
  <c r="E377" i="33"/>
  <c r="I377" i="33"/>
  <c r="B378" i="33"/>
  <c r="E378" i="33"/>
  <c r="I378" i="33"/>
  <c r="B379" i="33"/>
  <c r="E379" i="33"/>
  <c r="I379" i="33"/>
  <c r="B380" i="33"/>
  <c r="E380" i="33"/>
  <c r="I380" i="33"/>
  <c r="B342" i="33"/>
  <c r="B343" i="33"/>
  <c r="B344" i="33"/>
  <c r="B345" i="33"/>
  <c r="R295" i="3" l="1"/>
  <c r="P331" i="3" l="1"/>
  <c r="R331" i="3" l="1"/>
  <c r="P367" i="3" l="1"/>
  <c r="R367" i="3" l="1"/>
  <c r="AD243" i="35"/>
  <c r="V243" i="35"/>
  <c r="N243" i="35"/>
  <c r="Z243" i="35"/>
  <c r="AH243" i="35"/>
  <c r="J243" i="35"/>
  <c r="R243" i="35"/>
  <c r="AB243" i="35"/>
  <c r="L243" i="35"/>
  <c r="AE243" i="35"/>
  <c r="W243" i="35"/>
  <c r="O243" i="35"/>
  <c r="D243" i="35"/>
  <c r="AI243" i="35"/>
  <c r="AA243" i="35"/>
  <c r="S243" i="35"/>
  <c r="K243" i="35"/>
  <c r="T243" i="35"/>
  <c r="C243" i="35"/>
  <c r="AF243" i="35"/>
  <c r="X243" i="35"/>
  <c r="P243" i="35"/>
  <c r="E243" i="35"/>
  <c r="AG243" i="35"/>
  <c r="Y243" i="35"/>
  <c r="Q243" i="35"/>
  <c r="I243" i="35"/>
  <c r="AC243" i="35"/>
  <c r="U243" i="35"/>
  <c r="M243" i="35"/>
  <c r="B305" i="33"/>
  <c r="B306" i="33"/>
  <c r="B307" i="33"/>
  <c r="B308" i="33"/>
  <c r="B309" i="33"/>
  <c r="B310" i="33"/>
  <c r="I306" i="33"/>
  <c r="E306" i="33"/>
  <c r="P403" i="3" l="1"/>
  <c r="R403" i="3" l="1"/>
  <c r="B270" i="33" l="1"/>
  <c r="E270" i="33"/>
  <c r="I270" i="33"/>
  <c r="B271" i="33"/>
  <c r="E271" i="33"/>
  <c r="I271" i="33"/>
  <c r="B272" i="33"/>
  <c r="E272" i="33"/>
  <c r="I272" i="33"/>
  <c r="B273" i="33"/>
  <c r="E273" i="33"/>
  <c r="I273" i="33"/>
  <c r="B274" i="33"/>
  <c r="E274" i="33"/>
  <c r="I274" i="33"/>
  <c r="B275" i="33"/>
  <c r="E275" i="33"/>
  <c r="I275" i="33"/>
  <c r="AA241" i="33" l="1"/>
  <c r="AB241" i="33"/>
  <c r="AC241" i="33"/>
  <c r="AD241" i="33"/>
  <c r="AE241" i="33"/>
  <c r="AF241" i="33"/>
  <c r="AG241" i="33"/>
  <c r="AH241" i="33"/>
  <c r="AI241" i="33"/>
  <c r="AJ241" i="33"/>
  <c r="AK241" i="33"/>
  <c r="AL241" i="33"/>
  <c r="AM241" i="33"/>
  <c r="AN241" i="33"/>
  <c r="AO241" i="33"/>
  <c r="AP241" i="33"/>
  <c r="Z241" i="33"/>
  <c r="M241" i="33"/>
  <c r="N241" i="33"/>
  <c r="O241" i="33"/>
  <c r="P241" i="33"/>
  <c r="Q241" i="33"/>
  <c r="R241" i="33"/>
  <c r="S241" i="33"/>
  <c r="T241" i="33"/>
  <c r="U241" i="33"/>
  <c r="V241" i="33"/>
  <c r="W241" i="33"/>
  <c r="X241" i="33"/>
  <c r="L241" i="33"/>
  <c r="E220" i="33"/>
  <c r="I220" i="33"/>
  <c r="E221" i="33"/>
  <c r="I221" i="33"/>
  <c r="E222" i="33"/>
  <c r="I222" i="33"/>
  <c r="E223" i="33"/>
  <c r="I223" i="33"/>
  <c r="E224" i="33"/>
  <c r="I224" i="33"/>
  <c r="E225" i="33"/>
  <c r="I225" i="33"/>
  <c r="E226" i="33"/>
  <c r="I226" i="33"/>
  <c r="E227" i="33"/>
  <c r="I227" i="33"/>
  <c r="E228" i="33"/>
  <c r="I228" i="33"/>
  <c r="E229" i="33"/>
  <c r="I229" i="33"/>
  <c r="E230" i="33"/>
  <c r="I230" i="33"/>
  <c r="E231" i="33"/>
  <c r="I231" i="33"/>
  <c r="E232" i="33"/>
  <c r="I232" i="33"/>
  <c r="E233" i="33"/>
  <c r="I233" i="33"/>
  <c r="E234" i="33"/>
  <c r="I234" i="33"/>
  <c r="E235" i="33"/>
  <c r="I235" i="33"/>
  <c r="E236" i="33"/>
  <c r="I236" i="33"/>
  <c r="E237" i="33"/>
  <c r="I237" i="33"/>
  <c r="E238" i="33"/>
  <c r="I238" i="33"/>
  <c r="E239" i="33"/>
  <c r="I239" i="33"/>
  <c r="E240" i="33"/>
  <c r="I240" i="33"/>
  <c r="C207" i="35" l="1"/>
  <c r="C505" i="35" s="1"/>
  <c r="D195" i="10"/>
  <c r="D409" i="10" s="1"/>
  <c r="E195" i="10"/>
  <c r="E409" i="10" s="1"/>
  <c r="F195" i="10"/>
  <c r="F409" i="10" s="1"/>
  <c r="G195" i="10"/>
  <c r="H195" i="10"/>
  <c r="H409" i="10" s="1"/>
  <c r="I195" i="10"/>
  <c r="I409" i="10" s="1"/>
  <c r="J195" i="10"/>
  <c r="J409" i="10" s="1"/>
  <c r="K195" i="10"/>
  <c r="K409" i="10" s="1"/>
  <c r="L195" i="10"/>
  <c r="L409" i="10" s="1"/>
  <c r="M195" i="10"/>
  <c r="M409" i="10" s="1"/>
  <c r="N195" i="10"/>
  <c r="N409" i="10" s="1"/>
  <c r="O195" i="10"/>
  <c r="P195" i="10"/>
  <c r="P409" i="10" s="1"/>
  <c r="Q195" i="10"/>
  <c r="Q409" i="10" s="1"/>
  <c r="R195" i="10"/>
  <c r="R409" i="10" s="1"/>
  <c r="C195" i="10"/>
  <c r="C409" i="10" s="1"/>
  <c r="L206" i="33"/>
  <c r="M206" i="33"/>
  <c r="N206" i="33"/>
  <c r="O206" i="33"/>
  <c r="P206" i="33"/>
  <c r="Q206" i="33"/>
  <c r="R206" i="33"/>
  <c r="S206" i="33"/>
  <c r="T206" i="33"/>
  <c r="U206" i="33"/>
  <c r="V206" i="33"/>
  <c r="W206" i="33"/>
  <c r="X206" i="33"/>
  <c r="Z206" i="33"/>
  <c r="AA206" i="33"/>
  <c r="AB206" i="33"/>
  <c r="AC206" i="33"/>
  <c r="AD206" i="33"/>
  <c r="AE206" i="33"/>
  <c r="AF206" i="33"/>
  <c r="AG206" i="33"/>
  <c r="AH206" i="33"/>
  <c r="AI206" i="33"/>
  <c r="AJ206" i="33"/>
  <c r="AK206" i="33"/>
  <c r="AL206" i="33"/>
  <c r="AM206" i="33"/>
  <c r="AN206" i="33"/>
  <c r="AO206" i="33"/>
  <c r="AP206" i="33"/>
  <c r="D418" i="35"/>
  <c r="D510" i="35" s="1"/>
  <c r="E418" i="35"/>
  <c r="E510" i="35" s="1"/>
  <c r="I418" i="35"/>
  <c r="I510" i="35" s="1"/>
  <c r="J418" i="35"/>
  <c r="J510" i="35" s="1"/>
  <c r="K418" i="35"/>
  <c r="K510" i="35" s="1"/>
  <c r="L418" i="35"/>
  <c r="L510" i="35" s="1"/>
  <c r="M418" i="35"/>
  <c r="M510" i="35" s="1"/>
  <c r="N418" i="35"/>
  <c r="N510" i="35" s="1"/>
  <c r="O418" i="35"/>
  <c r="O510" i="35" s="1"/>
  <c r="P418" i="35"/>
  <c r="P510" i="35" s="1"/>
  <c r="Q418" i="35"/>
  <c r="Q510" i="35" s="1"/>
  <c r="R418" i="35"/>
  <c r="R510" i="35" s="1"/>
  <c r="S418" i="35"/>
  <c r="S510" i="35" s="1"/>
  <c r="T418" i="35"/>
  <c r="T510" i="35" s="1"/>
  <c r="U418" i="35"/>
  <c r="U510" i="35" s="1"/>
  <c r="V418" i="35"/>
  <c r="V510" i="35" s="1"/>
  <c r="W418" i="35"/>
  <c r="W510" i="35" s="1"/>
  <c r="X418" i="35"/>
  <c r="X510" i="35" s="1"/>
  <c r="Y418" i="35"/>
  <c r="Y510" i="35" s="1"/>
  <c r="Z418" i="35"/>
  <c r="Z510" i="35" s="1"/>
  <c r="AA418" i="35"/>
  <c r="AA510" i="35" s="1"/>
  <c r="AB418" i="35"/>
  <c r="AB510" i="35" s="1"/>
  <c r="AC418" i="35"/>
  <c r="AC510" i="35" s="1"/>
  <c r="AD418" i="35"/>
  <c r="AD510" i="35" s="1"/>
  <c r="AE418" i="35"/>
  <c r="AE510" i="35" s="1"/>
  <c r="AF418" i="35"/>
  <c r="AF510" i="35" s="1"/>
  <c r="AG418" i="35"/>
  <c r="AG510" i="35" s="1"/>
  <c r="AH418" i="35"/>
  <c r="AH510" i="35" s="1"/>
  <c r="AI418" i="35"/>
  <c r="AI510" i="35" s="1"/>
  <c r="C418" i="35"/>
  <c r="C510" i="35" s="1"/>
  <c r="D348" i="35"/>
  <c r="D508" i="35" s="1"/>
  <c r="E348" i="35"/>
  <c r="E508" i="35" s="1"/>
  <c r="I348" i="35"/>
  <c r="I508" i="35" s="1"/>
  <c r="J348" i="35"/>
  <c r="J508" i="35" s="1"/>
  <c r="K348" i="35"/>
  <c r="K508" i="35" s="1"/>
  <c r="L348" i="35"/>
  <c r="L508" i="35" s="1"/>
  <c r="M348" i="35"/>
  <c r="M508" i="35" s="1"/>
  <c r="N348" i="35"/>
  <c r="N508" i="35" s="1"/>
  <c r="O348" i="35"/>
  <c r="O508" i="35" s="1"/>
  <c r="P348" i="35"/>
  <c r="P508" i="35" s="1"/>
  <c r="Q348" i="35"/>
  <c r="Q508" i="35" s="1"/>
  <c r="R348" i="35"/>
  <c r="R508" i="35" s="1"/>
  <c r="S348" i="35"/>
  <c r="S508" i="35" s="1"/>
  <c r="T348" i="35"/>
  <c r="T508" i="35" s="1"/>
  <c r="U348" i="35"/>
  <c r="U508" i="35" s="1"/>
  <c r="V348" i="35"/>
  <c r="V508" i="35" s="1"/>
  <c r="W348" i="35"/>
  <c r="W508" i="35" s="1"/>
  <c r="X348" i="35"/>
  <c r="X508" i="35" s="1"/>
  <c r="Y348" i="35"/>
  <c r="Y508" i="35" s="1"/>
  <c r="Z348" i="35"/>
  <c r="Z508" i="35" s="1"/>
  <c r="AA348" i="35"/>
  <c r="AA508" i="35" s="1"/>
  <c r="AB348" i="35"/>
  <c r="AB508" i="35" s="1"/>
  <c r="AC348" i="35"/>
  <c r="AC508" i="35" s="1"/>
  <c r="AD348" i="35"/>
  <c r="AD508" i="35" s="1"/>
  <c r="AE348" i="35"/>
  <c r="AE508" i="35" s="1"/>
  <c r="AF348" i="35"/>
  <c r="AF508" i="35" s="1"/>
  <c r="AG348" i="35"/>
  <c r="AG508" i="35" s="1"/>
  <c r="AH348" i="35"/>
  <c r="AH508" i="35" s="1"/>
  <c r="AI348" i="35"/>
  <c r="AI508" i="35" s="1"/>
  <c r="C348" i="35"/>
  <c r="C508" i="35" s="1"/>
  <c r="D313" i="35"/>
  <c r="D507" i="35" s="1"/>
  <c r="E313" i="35"/>
  <c r="E507" i="35" s="1"/>
  <c r="I313" i="35"/>
  <c r="I507" i="35" s="1"/>
  <c r="J313" i="35"/>
  <c r="J507" i="35" s="1"/>
  <c r="K313" i="35"/>
  <c r="K507" i="35" s="1"/>
  <c r="L313" i="35"/>
  <c r="L507" i="35" s="1"/>
  <c r="M313" i="35"/>
  <c r="M507" i="35" s="1"/>
  <c r="N313" i="35"/>
  <c r="N507" i="35" s="1"/>
  <c r="O313" i="35"/>
  <c r="O507" i="35" s="1"/>
  <c r="P313" i="35"/>
  <c r="P507" i="35" s="1"/>
  <c r="Q313" i="35"/>
  <c r="Q507" i="35" s="1"/>
  <c r="R313" i="35"/>
  <c r="R507" i="35" s="1"/>
  <c r="S313" i="35"/>
  <c r="S507" i="35" s="1"/>
  <c r="T313" i="35"/>
  <c r="T507" i="35" s="1"/>
  <c r="U313" i="35"/>
  <c r="U507" i="35" s="1"/>
  <c r="V313" i="35"/>
  <c r="V507" i="35" s="1"/>
  <c r="W313" i="35"/>
  <c r="W507" i="35" s="1"/>
  <c r="X313" i="35"/>
  <c r="X507" i="35" s="1"/>
  <c r="Y313" i="35"/>
  <c r="Y507" i="35" s="1"/>
  <c r="Z313" i="35"/>
  <c r="Z507" i="35" s="1"/>
  <c r="AA313" i="35"/>
  <c r="AA507" i="35" s="1"/>
  <c r="AB313" i="35"/>
  <c r="AB507" i="35" s="1"/>
  <c r="AC313" i="35"/>
  <c r="AC507" i="35" s="1"/>
  <c r="AD313" i="35"/>
  <c r="AD507" i="35" s="1"/>
  <c r="AE313" i="35"/>
  <c r="AE507" i="35" s="1"/>
  <c r="AF313" i="35"/>
  <c r="AF507" i="35" s="1"/>
  <c r="AG313" i="35"/>
  <c r="AG507" i="35" s="1"/>
  <c r="AH313" i="35"/>
  <c r="AH507" i="35" s="1"/>
  <c r="AI313" i="35"/>
  <c r="AI507" i="35" s="1"/>
  <c r="C313" i="35"/>
  <c r="C507" i="35" s="1"/>
  <c r="D278" i="35"/>
  <c r="D506" i="35" s="1"/>
  <c r="E278" i="35"/>
  <c r="E506" i="35" s="1"/>
  <c r="I278" i="35"/>
  <c r="I506" i="35" s="1"/>
  <c r="J278" i="35"/>
  <c r="J506" i="35" s="1"/>
  <c r="K278" i="35"/>
  <c r="K506" i="35" s="1"/>
  <c r="L278" i="35"/>
  <c r="L506" i="35" s="1"/>
  <c r="M278" i="35"/>
  <c r="M506" i="35" s="1"/>
  <c r="N278" i="35"/>
  <c r="N506" i="35" s="1"/>
  <c r="O278" i="35"/>
  <c r="O506" i="35" s="1"/>
  <c r="P278" i="35"/>
  <c r="P506" i="35" s="1"/>
  <c r="Q278" i="35"/>
  <c r="Q506" i="35" s="1"/>
  <c r="R278" i="35"/>
  <c r="R506" i="35" s="1"/>
  <c r="S278" i="35"/>
  <c r="S506" i="35" s="1"/>
  <c r="T278" i="35"/>
  <c r="T506" i="35" s="1"/>
  <c r="U278" i="35"/>
  <c r="U506" i="35" s="1"/>
  <c r="V278" i="35"/>
  <c r="V506" i="35" s="1"/>
  <c r="W278" i="35"/>
  <c r="W506" i="35" s="1"/>
  <c r="X278" i="35"/>
  <c r="X506" i="35" s="1"/>
  <c r="Y278" i="35"/>
  <c r="Y506" i="35" s="1"/>
  <c r="Z278" i="35"/>
  <c r="Z506" i="35" s="1"/>
  <c r="AA278" i="35"/>
  <c r="AA506" i="35" s="1"/>
  <c r="AB278" i="35"/>
  <c r="AB506" i="35" s="1"/>
  <c r="AC278" i="35"/>
  <c r="AC506" i="35" s="1"/>
  <c r="AD278" i="35"/>
  <c r="AD506" i="35" s="1"/>
  <c r="AE278" i="35"/>
  <c r="AE506" i="35" s="1"/>
  <c r="AF278" i="35"/>
  <c r="AF506" i="35" s="1"/>
  <c r="AG278" i="35"/>
  <c r="AG506" i="35" s="1"/>
  <c r="AH278" i="35"/>
  <c r="AH506" i="35" s="1"/>
  <c r="AI278" i="35"/>
  <c r="AI506" i="35" s="1"/>
  <c r="C278" i="35"/>
  <c r="C506" i="35" s="1"/>
  <c r="D207" i="35"/>
  <c r="D505" i="35" s="1"/>
  <c r="E207" i="35"/>
  <c r="E505" i="35" s="1"/>
  <c r="I207" i="35"/>
  <c r="I505" i="35" s="1"/>
  <c r="J207" i="35"/>
  <c r="J505" i="35" s="1"/>
  <c r="K207" i="35"/>
  <c r="K505" i="35" s="1"/>
  <c r="L207" i="35"/>
  <c r="L505" i="35" s="1"/>
  <c r="M207" i="35"/>
  <c r="M505" i="35" s="1"/>
  <c r="N207" i="35"/>
  <c r="N505" i="35" s="1"/>
  <c r="O207" i="35"/>
  <c r="O505" i="35" s="1"/>
  <c r="P207" i="35"/>
  <c r="P505" i="35" s="1"/>
  <c r="Q207" i="35"/>
  <c r="Q505" i="35" s="1"/>
  <c r="R207" i="35"/>
  <c r="R505" i="35" s="1"/>
  <c r="S207" i="35"/>
  <c r="S505" i="35" s="1"/>
  <c r="T207" i="35"/>
  <c r="T505" i="35" s="1"/>
  <c r="U207" i="35"/>
  <c r="U505" i="35" s="1"/>
  <c r="V207" i="35"/>
  <c r="V505" i="35" s="1"/>
  <c r="W207" i="35"/>
  <c r="W505" i="35" s="1"/>
  <c r="X207" i="35"/>
  <c r="X505" i="35" s="1"/>
  <c r="Y207" i="35"/>
  <c r="Y505" i="35" s="1"/>
  <c r="Z207" i="35"/>
  <c r="Z505" i="35" s="1"/>
  <c r="AA207" i="35"/>
  <c r="AA505" i="35" s="1"/>
  <c r="AB207" i="35"/>
  <c r="AB505" i="35" s="1"/>
  <c r="AC207" i="35"/>
  <c r="AC505" i="35" s="1"/>
  <c r="AD207" i="35"/>
  <c r="AD505" i="35" s="1"/>
  <c r="AE207" i="35"/>
  <c r="AE505" i="35" s="1"/>
  <c r="AF207" i="35"/>
  <c r="AF505" i="35" s="1"/>
  <c r="AG207" i="35"/>
  <c r="AG505" i="35" s="1"/>
  <c r="AH207" i="35"/>
  <c r="AH505" i="35" s="1"/>
  <c r="AI207" i="35"/>
  <c r="AI505" i="35" s="1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B445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B388" i="10"/>
  <c r="B389" i="10"/>
  <c r="B390" i="10"/>
  <c r="B391" i="10"/>
  <c r="B392" i="10"/>
  <c r="B354" i="10"/>
  <c r="B355" i="10"/>
  <c r="B356" i="10"/>
  <c r="B357" i="10"/>
  <c r="B358" i="10"/>
  <c r="B359" i="10"/>
  <c r="B320" i="10"/>
  <c r="B321" i="10"/>
  <c r="B322" i="10"/>
  <c r="B323" i="10"/>
  <c r="B324" i="10"/>
  <c r="B325" i="10"/>
  <c r="B326" i="10"/>
  <c r="B288" i="10"/>
  <c r="B289" i="10"/>
  <c r="B290" i="10"/>
  <c r="B291" i="10"/>
  <c r="B292" i="10"/>
  <c r="B293" i="10"/>
  <c r="D162" i="10"/>
  <c r="D408" i="10" s="1"/>
  <c r="E162" i="10"/>
  <c r="E408" i="10" s="1"/>
  <c r="F162" i="10"/>
  <c r="F408" i="10" s="1"/>
  <c r="G162" i="10"/>
  <c r="G408" i="10" s="1"/>
  <c r="H162" i="10"/>
  <c r="H408" i="10" s="1"/>
  <c r="I162" i="10"/>
  <c r="I408" i="10" s="1"/>
  <c r="J162" i="10"/>
  <c r="J408" i="10" s="1"/>
  <c r="K162" i="10"/>
  <c r="K408" i="10" s="1"/>
  <c r="L162" i="10"/>
  <c r="L408" i="10" s="1"/>
  <c r="M162" i="10"/>
  <c r="M408" i="10" s="1"/>
  <c r="N162" i="10"/>
  <c r="N408" i="10" s="1"/>
  <c r="O162" i="10"/>
  <c r="O408" i="10" s="1"/>
  <c r="P162" i="10"/>
  <c r="P408" i="10" s="1"/>
  <c r="Q162" i="10"/>
  <c r="Q408" i="10" s="1"/>
  <c r="R162" i="10"/>
  <c r="R408" i="10" s="1"/>
  <c r="C162" i="10"/>
  <c r="C408" i="10" s="1"/>
  <c r="G409" i="10"/>
  <c r="O409" i="10"/>
  <c r="D228" i="10"/>
  <c r="D410" i="10" s="1"/>
  <c r="E228" i="10"/>
  <c r="E410" i="10" s="1"/>
  <c r="F228" i="10"/>
  <c r="F410" i="10" s="1"/>
  <c r="G228" i="10"/>
  <c r="G410" i="10" s="1"/>
  <c r="H228" i="10"/>
  <c r="H410" i="10" s="1"/>
  <c r="I228" i="10"/>
  <c r="I410" i="10" s="1"/>
  <c r="J228" i="10"/>
  <c r="J410" i="10" s="1"/>
  <c r="K228" i="10"/>
  <c r="K410" i="10" s="1"/>
  <c r="L228" i="10"/>
  <c r="L410" i="10" s="1"/>
  <c r="M228" i="10"/>
  <c r="M410" i="10" s="1"/>
  <c r="N228" i="10"/>
  <c r="N410" i="10" s="1"/>
  <c r="O228" i="10"/>
  <c r="O410" i="10" s="1"/>
  <c r="P228" i="10"/>
  <c r="P410" i="10" s="1"/>
  <c r="Q228" i="10"/>
  <c r="Q410" i="10" s="1"/>
  <c r="R228" i="10"/>
  <c r="R410" i="10" s="1"/>
  <c r="C228" i="10"/>
  <c r="C410" i="10" s="1"/>
  <c r="D261" i="10"/>
  <c r="D411" i="10" s="1"/>
  <c r="E261" i="10"/>
  <c r="E411" i="10" s="1"/>
  <c r="F261" i="10"/>
  <c r="F411" i="10" s="1"/>
  <c r="G261" i="10"/>
  <c r="G411" i="10" s="1"/>
  <c r="H261" i="10"/>
  <c r="H411" i="10" s="1"/>
  <c r="I261" i="10"/>
  <c r="I411" i="10" s="1"/>
  <c r="J261" i="10"/>
  <c r="J411" i="10" s="1"/>
  <c r="K261" i="10"/>
  <c r="K411" i="10" s="1"/>
  <c r="L261" i="10"/>
  <c r="L411" i="10" s="1"/>
  <c r="M261" i="10"/>
  <c r="M411" i="10" s="1"/>
  <c r="N261" i="10"/>
  <c r="N411" i="10" s="1"/>
  <c r="O261" i="10"/>
  <c r="O411" i="10" s="1"/>
  <c r="P261" i="10"/>
  <c r="P411" i="10" s="1"/>
  <c r="Q261" i="10"/>
  <c r="Q411" i="10" s="1"/>
  <c r="R261" i="10"/>
  <c r="R411" i="10" s="1"/>
  <c r="C261" i="10"/>
  <c r="C411" i="10" s="1"/>
  <c r="B257" i="10"/>
  <c r="B258" i="10"/>
  <c r="B259" i="10"/>
  <c r="B260" i="10"/>
  <c r="B224" i="10"/>
  <c r="B225" i="10"/>
  <c r="B226" i="10"/>
  <c r="B227" i="10"/>
  <c r="B191" i="10"/>
  <c r="B192" i="10"/>
  <c r="B193" i="10"/>
  <c r="B194" i="10"/>
  <c r="B203" i="35" l="1"/>
  <c r="B239" i="35" s="1"/>
  <c r="B204" i="35"/>
  <c r="B240" i="35" s="1"/>
  <c r="B205" i="35"/>
  <c r="B241" i="35" s="1"/>
  <c r="B206" i="35"/>
  <c r="B242" i="35" s="1"/>
  <c r="B274" i="35"/>
  <c r="B275" i="35"/>
  <c r="B276" i="35"/>
  <c r="B277" i="35"/>
  <c r="B309" i="35"/>
  <c r="B310" i="35"/>
  <c r="B311" i="35"/>
  <c r="B312" i="35"/>
  <c r="B344" i="35"/>
  <c r="B345" i="35"/>
  <c r="B346" i="35"/>
  <c r="B347" i="35"/>
  <c r="B379" i="35"/>
  <c r="B380" i="35"/>
  <c r="B381" i="35"/>
  <c r="B382" i="35"/>
  <c r="B414" i="35"/>
  <c r="B415" i="35"/>
  <c r="B416" i="35"/>
  <c r="B417" i="35"/>
  <c r="B449" i="35"/>
  <c r="B450" i="35"/>
  <c r="B451" i="35"/>
  <c r="B452" i="35"/>
  <c r="C488" i="35" l="1"/>
  <c r="J425" i="3"/>
  <c r="O425" i="3"/>
  <c r="Y425" i="3"/>
  <c r="AD425" i="3"/>
  <c r="AQ425" i="3"/>
  <c r="AV425" i="3"/>
  <c r="B421" i="3"/>
  <c r="G421" i="3"/>
  <c r="L421" i="3"/>
  <c r="V421" i="3"/>
  <c r="AA421" i="3"/>
  <c r="AN421" i="3"/>
  <c r="AS421" i="3"/>
  <c r="B422" i="3"/>
  <c r="G422" i="3"/>
  <c r="L422" i="3"/>
  <c r="V422" i="3"/>
  <c r="AA422" i="3"/>
  <c r="AF422" i="3"/>
  <c r="AJ422" i="3"/>
  <c r="AN422" i="3"/>
  <c r="AS422" i="3"/>
  <c r="B423" i="3"/>
  <c r="G423" i="3"/>
  <c r="L423" i="3"/>
  <c r="V423" i="3"/>
  <c r="AA423" i="3"/>
  <c r="AF423" i="3"/>
  <c r="AJ423" i="3"/>
  <c r="AN423" i="3"/>
  <c r="AS423" i="3"/>
  <c r="B424" i="3"/>
  <c r="G424" i="3"/>
  <c r="L424" i="3"/>
  <c r="V424" i="3"/>
  <c r="AA424" i="3"/>
  <c r="AF424" i="3"/>
  <c r="AJ424" i="3"/>
  <c r="AN424" i="3"/>
  <c r="AS424" i="3"/>
  <c r="J389" i="3"/>
  <c r="O389" i="3"/>
  <c r="Y389" i="3"/>
  <c r="AD389" i="3"/>
  <c r="AQ389" i="3"/>
  <c r="AV389" i="3"/>
  <c r="B385" i="3"/>
  <c r="G385" i="3"/>
  <c r="L385" i="3"/>
  <c r="V385" i="3"/>
  <c r="AA385" i="3"/>
  <c r="AF385" i="3"/>
  <c r="AJ385" i="3"/>
  <c r="AN385" i="3"/>
  <c r="AS385" i="3"/>
  <c r="B386" i="3"/>
  <c r="G386" i="3"/>
  <c r="L386" i="3"/>
  <c r="V386" i="3"/>
  <c r="AA386" i="3"/>
  <c r="AF386" i="3"/>
  <c r="AJ386" i="3"/>
  <c r="AN386" i="3"/>
  <c r="AS386" i="3"/>
  <c r="B387" i="3"/>
  <c r="G387" i="3"/>
  <c r="L387" i="3"/>
  <c r="V387" i="3"/>
  <c r="AA387" i="3"/>
  <c r="AF387" i="3"/>
  <c r="AJ387" i="3"/>
  <c r="AN387" i="3"/>
  <c r="AS387" i="3"/>
  <c r="B388" i="3"/>
  <c r="G388" i="3"/>
  <c r="L388" i="3"/>
  <c r="V388" i="3"/>
  <c r="AA388" i="3"/>
  <c r="AF388" i="3"/>
  <c r="AJ388" i="3"/>
  <c r="AN388" i="3"/>
  <c r="AS388" i="3"/>
  <c r="J353" i="3"/>
  <c r="O353" i="3"/>
  <c r="Y353" i="3"/>
  <c r="AD353" i="3"/>
  <c r="AQ353" i="3"/>
  <c r="AV353" i="3"/>
  <c r="B349" i="3"/>
  <c r="G349" i="3"/>
  <c r="L349" i="3"/>
  <c r="V349" i="3"/>
  <c r="AA349" i="3"/>
  <c r="AN349" i="3"/>
  <c r="AS349" i="3"/>
  <c r="B350" i="3"/>
  <c r="G350" i="3"/>
  <c r="L350" i="3"/>
  <c r="V350" i="3"/>
  <c r="AA350" i="3"/>
  <c r="AN350" i="3"/>
  <c r="AS350" i="3"/>
  <c r="B351" i="3"/>
  <c r="G351" i="3"/>
  <c r="L351" i="3"/>
  <c r="V351" i="3"/>
  <c r="AA351" i="3"/>
  <c r="AN351" i="3"/>
  <c r="AS351" i="3"/>
  <c r="B352" i="3"/>
  <c r="G352" i="3"/>
  <c r="L352" i="3"/>
  <c r="V352" i="3"/>
  <c r="AA352" i="3"/>
  <c r="AN352" i="3"/>
  <c r="AS352" i="3"/>
  <c r="J317" i="3"/>
  <c r="O317" i="3"/>
  <c r="Y317" i="3"/>
  <c r="AD317" i="3"/>
  <c r="AQ317" i="3"/>
  <c r="AV317" i="3"/>
  <c r="B313" i="3"/>
  <c r="G313" i="3"/>
  <c r="L313" i="3"/>
  <c r="V313" i="3"/>
  <c r="AA313" i="3"/>
  <c r="AN313" i="3"/>
  <c r="AS313" i="3"/>
  <c r="B314" i="3"/>
  <c r="G314" i="3"/>
  <c r="L314" i="3"/>
  <c r="V314" i="3"/>
  <c r="AA314" i="3"/>
  <c r="AN314" i="3"/>
  <c r="AS314" i="3"/>
  <c r="AX314" i="3"/>
  <c r="B315" i="3"/>
  <c r="G315" i="3"/>
  <c r="L315" i="3"/>
  <c r="V315" i="3"/>
  <c r="AA315" i="3"/>
  <c r="AN315" i="3"/>
  <c r="AS315" i="3"/>
  <c r="B316" i="3"/>
  <c r="G316" i="3"/>
  <c r="L316" i="3"/>
  <c r="V316" i="3"/>
  <c r="AA316" i="3"/>
  <c r="AN316" i="3"/>
  <c r="AS316" i="3"/>
  <c r="J281" i="3"/>
  <c r="O281" i="3"/>
  <c r="Y281" i="3"/>
  <c r="AD281" i="3"/>
  <c r="AQ281" i="3"/>
  <c r="AV281" i="3"/>
  <c r="B277" i="3"/>
  <c r="G277" i="3"/>
  <c r="L277" i="3"/>
  <c r="V277" i="3"/>
  <c r="AA277" i="3"/>
  <c r="AN277" i="3"/>
  <c r="AS277" i="3"/>
  <c r="B278" i="3"/>
  <c r="G278" i="3"/>
  <c r="L278" i="3"/>
  <c r="V278" i="3"/>
  <c r="AA278" i="3"/>
  <c r="AN278" i="3"/>
  <c r="AS278" i="3"/>
  <c r="B279" i="3"/>
  <c r="G279" i="3"/>
  <c r="L279" i="3"/>
  <c r="V279" i="3"/>
  <c r="AA279" i="3"/>
  <c r="AN279" i="3"/>
  <c r="AS279" i="3"/>
  <c r="B280" i="3"/>
  <c r="G280" i="3"/>
  <c r="L280" i="3"/>
  <c r="V280" i="3"/>
  <c r="AA280" i="3"/>
  <c r="AN280" i="3"/>
  <c r="AS280" i="3"/>
  <c r="J245" i="3"/>
  <c r="O245" i="3"/>
  <c r="Y245" i="3"/>
  <c r="AD245" i="3"/>
  <c r="AQ245" i="3"/>
  <c r="AV245" i="3"/>
  <c r="B241" i="3"/>
  <c r="G241" i="3"/>
  <c r="L241" i="3"/>
  <c r="V241" i="3"/>
  <c r="AA241" i="3"/>
  <c r="AN241" i="3"/>
  <c r="AS241" i="3"/>
  <c r="AX241" i="3"/>
  <c r="B242" i="3"/>
  <c r="G242" i="3"/>
  <c r="L242" i="3"/>
  <c r="V242" i="3"/>
  <c r="AA242" i="3"/>
  <c r="AN242" i="3"/>
  <c r="AS242" i="3"/>
  <c r="AX242" i="3"/>
  <c r="B243" i="3"/>
  <c r="G243" i="3"/>
  <c r="L243" i="3"/>
  <c r="V243" i="3"/>
  <c r="AA243" i="3"/>
  <c r="AN243" i="3"/>
  <c r="AS243" i="3"/>
  <c r="AX243" i="3"/>
  <c r="B244" i="3"/>
  <c r="G244" i="3"/>
  <c r="L244" i="3"/>
  <c r="V244" i="3"/>
  <c r="AA244" i="3"/>
  <c r="AN244" i="3"/>
  <c r="AS244" i="3"/>
  <c r="AX244" i="3"/>
  <c r="J209" i="3"/>
  <c r="O209" i="3"/>
  <c r="Y209" i="3"/>
  <c r="AD209" i="3"/>
  <c r="AQ209" i="3"/>
  <c r="AV209" i="3"/>
  <c r="B205" i="3"/>
  <c r="L205" i="3"/>
  <c r="V205" i="3"/>
  <c r="AA205" i="3"/>
  <c r="AN205" i="3"/>
  <c r="AS205" i="3"/>
  <c r="AX205" i="3"/>
  <c r="B206" i="3"/>
  <c r="L206" i="3"/>
  <c r="V206" i="3"/>
  <c r="AA206" i="3"/>
  <c r="AN206" i="3"/>
  <c r="AS206" i="3"/>
  <c r="AX206" i="3"/>
  <c r="B207" i="3"/>
  <c r="L207" i="3"/>
  <c r="V207" i="3"/>
  <c r="AA207" i="3"/>
  <c r="AN207" i="3"/>
  <c r="AS207" i="3"/>
  <c r="AX207" i="3"/>
  <c r="B208" i="3"/>
  <c r="L208" i="3"/>
  <c r="V208" i="3"/>
  <c r="AA208" i="3"/>
  <c r="AN208" i="3"/>
  <c r="AS208" i="3"/>
  <c r="AX208" i="3"/>
  <c r="B169" i="3"/>
  <c r="G169" i="3"/>
  <c r="L169" i="3"/>
  <c r="V169" i="3"/>
  <c r="AA169" i="3"/>
  <c r="AF169" i="3"/>
  <c r="AJ169" i="3"/>
  <c r="AN169" i="3"/>
  <c r="AS169" i="3"/>
  <c r="B170" i="3"/>
  <c r="G170" i="3"/>
  <c r="L170" i="3"/>
  <c r="V170" i="3"/>
  <c r="AA170" i="3"/>
  <c r="AF170" i="3"/>
  <c r="AJ170" i="3"/>
  <c r="AN170" i="3"/>
  <c r="AS170" i="3"/>
  <c r="B171" i="3"/>
  <c r="G171" i="3"/>
  <c r="L171" i="3"/>
  <c r="V171" i="3"/>
  <c r="AA171" i="3"/>
  <c r="AF171" i="3"/>
  <c r="AJ171" i="3"/>
  <c r="AN171" i="3"/>
  <c r="AS171" i="3"/>
  <c r="B172" i="3"/>
  <c r="G172" i="3"/>
  <c r="L172" i="3"/>
  <c r="V172" i="3"/>
  <c r="AA172" i="3"/>
  <c r="AF172" i="3"/>
  <c r="AJ172" i="3"/>
  <c r="AN172" i="3"/>
  <c r="AS172" i="3"/>
  <c r="F405" i="2"/>
  <c r="F428" i="2" s="1"/>
  <c r="F337" i="2"/>
  <c r="F426" i="2" s="1"/>
  <c r="F303" i="2"/>
  <c r="F425" i="2" s="1"/>
  <c r="F269" i="2"/>
  <c r="F424" i="2" s="1"/>
  <c r="F371" i="2"/>
  <c r="F427" i="2" s="1"/>
  <c r="B367" i="2"/>
  <c r="AX385" i="3"/>
  <c r="B368" i="2"/>
  <c r="AX386" i="3"/>
  <c r="B369" i="2"/>
  <c r="AX387" i="3"/>
  <c r="B370" i="2"/>
  <c r="AX388" i="3"/>
  <c r="B333" i="2"/>
  <c r="AX349" i="3"/>
  <c r="B334" i="2"/>
  <c r="AX350" i="3"/>
  <c r="B335" i="2"/>
  <c r="AX351" i="3"/>
  <c r="B336" i="2"/>
  <c r="AX352" i="3"/>
  <c r="B299" i="2"/>
  <c r="AX313" i="3"/>
  <c r="B300" i="2"/>
  <c r="B301" i="2"/>
  <c r="AX315" i="3"/>
  <c r="B302" i="2"/>
  <c r="AX316" i="3"/>
  <c r="B265" i="2"/>
  <c r="AX277" i="3"/>
  <c r="B266" i="2"/>
  <c r="AX278" i="3"/>
  <c r="B267" i="2"/>
  <c r="AX279" i="3"/>
  <c r="B268" i="2"/>
  <c r="AX280" i="3"/>
  <c r="F235" i="2"/>
  <c r="F423" i="2" s="1"/>
  <c r="F201" i="2"/>
  <c r="P201" i="2"/>
  <c r="P422" i="2" s="1"/>
  <c r="Q201" i="2"/>
  <c r="Q422" i="2" s="1"/>
  <c r="R201" i="2"/>
  <c r="R422" i="2" s="1"/>
  <c r="S201" i="2"/>
  <c r="S422" i="2" s="1"/>
  <c r="T201" i="2"/>
  <c r="T422" i="2" s="1"/>
  <c r="U201" i="2"/>
  <c r="U422" i="2" s="1"/>
  <c r="V201" i="2"/>
  <c r="V422" i="2" s="1"/>
  <c r="W201" i="2"/>
  <c r="W422" i="2" s="1"/>
  <c r="X201" i="2"/>
  <c r="X422" i="2" s="1"/>
  <c r="Y201" i="2"/>
  <c r="Y422" i="2" s="1"/>
  <c r="Z201" i="2"/>
  <c r="Z422" i="2" s="1"/>
  <c r="AA201" i="2"/>
  <c r="AA422" i="2" s="1"/>
  <c r="AB201" i="2"/>
  <c r="AB422" i="2" s="1"/>
  <c r="AC422" i="2"/>
  <c r="AC429" i="2" s="1"/>
  <c r="AD201" i="2"/>
  <c r="AD422" i="2" s="1"/>
  <c r="AE201" i="2"/>
  <c r="AE422" i="2" s="1"/>
  <c r="AG201" i="2"/>
  <c r="AG422" i="2" s="1"/>
  <c r="AH201" i="2"/>
  <c r="AH422" i="2" s="1"/>
  <c r="AI201" i="2"/>
  <c r="AI422" i="2" s="1"/>
  <c r="AJ201" i="2"/>
  <c r="AJ422" i="2" s="1"/>
  <c r="AK201" i="2"/>
  <c r="AK422" i="2" s="1"/>
  <c r="AL201" i="2"/>
  <c r="AL422" i="2" s="1"/>
  <c r="B231" i="2"/>
  <c r="B232" i="2"/>
  <c r="B233" i="2"/>
  <c r="B234" i="2"/>
  <c r="B197" i="2"/>
  <c r="B198" i="2"/>
  <c r="B199" i="2"/>
  <c r="B200" i="2"/>
  <c r="B401" i="2"/>
  <c r="AX421" i="3"/>
  <c r="B402" i="2"/>
  <c r="AX422" i="3"/>
  <c r="B403" i="2"/>
  <c r="AX423" i="3"/>
  <c r="B404" i="2"/>
  <c r="AX424" i="3"/>
  <c r="F422" i="2" l="1"/>
  <c r="G208" i="3"/>
  <c r="AM188" i="36"/>
  <c r="AL188" i="36"/>
  <c r="AK188" i="36"/>
  <c r="AJ188" i="36"/>
  <c r="AI188" i="36"/>
  <c r="AH188" i="36"/>
  <c r="AG188" i="36"/>
  <c r="AF188" i="36"/>
  <c r="AE188" i="36"/>
  <c r="AD188" i="36"/>
  <c r="AC188" i="36"/>
  <c r="AB188" i="36"/>
  <c r="D172" i="35" l="1"/>
  <c r="D504" i="35" s="1"/>
  <c r="E172" i="35"/>
  <c r="E504" i="35" s="1"/>
  <c r="I172" i="35"/>
  <c r="I504" i="35" s="1"/>
  <c r="J172" i="35"/>
  <c r="J504" i="35" s="1"/>
  <c r="K172" i="35"/>
  <c r="K504" i="35" s="1"/>
  <c r="L172" i="35"/>
  <c r="L504" i="35" s="1"/>
  <c r="M172" i="35"/>
  <c r="M504" i="35" s="1"/>
  <c r="N172" i="35"/>
  <c r="N504" i="35" s="1"/>
  <c r="O172" i="35"/>
  <c r="O504" i="35" s="1"/>
  <c r="P172" i="35"/>
  <c r="P504" i="35" s="1"/>
  <c r="Q172" i="35"/>
  <c r="Q504" i="35" s="1"/>
  <c r="R172" i="35"/>
  <c r="R504" i="35" s="1"/>
  <c r="S172" i="35"/>
  <c r="S504" i="35" s="1"/>
  <c r="T172" i="35"/>
  <c r="T504" i="35" s="1"/>
  <c r="U172" i="35"/>
  <c r="U504" i="35" s="1"/>
  <c r="V172" i="35"/>
  <c r="V504" i="35" s="1"/>
  <c r="W172" i="35"/>
  <c r="W504" i="35" s="1"/>
  <c r="X172" i="35"/>
  <c r="X504" i="35" s="1"/>
  <c r="Y172" i="35"/>
  <c r="Y504" i="35" s="1"/>
  <c r="Z172" i="35"/>
  <c r="Z504" i="35" s="1"/>
  <c r="AA172" i="35"/>
  <c r="AA504" i="35" s="1"/>
  <c r="AB172" i="35"/>
  <c r="AB504" i="35" s="1"/>
  <c r="AC172" i="35"/>
  <c r="AC504" i="35" s="1"/>
  <c r="AD172" i="35"/>
  <c r="AD504" i="35" s="1"/>
  <c r="AE172" i="35"/>
  <c r="AE504" i="35" s="1"/>
  <c r="AF172" i="35"/>
  <c r="AF504" i="35" s="1"/>
  <c r="AG172" i="35"/>
  <c r="AG504" i="35" s="1"/>
  <c r="AH172" i="35"/>
  <c r="AH504" i="35" s="1"/>
  <c r="AI172" i="35"/>
  <c r="AI504" i="35" s="1"/>
  <c r="C172" i="35"/>
  <c r="C504" i="35" s="1"/>
  <c r="M171" i="33"/>
  <c r="N171" i="33"/>
  <c r="O171" i="33"/>
  <c r="P171" i="33"/>
  <c r="Q171" i="33"/>
  <c r="R171" i="33"/>
  <c r="S171" i="33"/>
  <c r="T171" i="33"/>
  <c r="U171" i="33"/>
  <c r="V171" i="33"/>
  <c r="W171" i="33"/>
  <c r="X171" i="33"/>
  <c r="Z171" i="33"/>
  <c r="AA171" i="33"/>
  <c r="AB171" i="33"/>
  <c r="AC171" i="33"/>
  <c r="AD171" i="33"/>
  <c r="AE171" i="33"/>
  <c r="AF171" i="33"/>
  <c r="AG171" i="33"/>
  <c r="AH171" i="33"/>
  <c r="AI171" i="33"/>
  <c r="AJ171" i="33"/>
  <c r="AK171" i="33"/>
  <c r="AL171" i="33"/>
  <c r="AM171" i="33"/>
  <c r="AN171" i="33"/>
  <c r="AO171" i="33"/>
  <c r="AP171" i="33"/>
  <c r="L171" i="33"/>
  <c r="AX169" i="3"/>
  <c r="AX170" i="3"/>
  <c r="AX171" i="3"/>
  <c r="AX172" i="3"/>
  <c r="F167" i="2"/>
  <c r="F421" i="2" s="1"/>
  <c r="C137" i="35" l="1"/>
  <c r="C503" i="35" s="1"/>
  <c r="B168" i="35" l="1"/>
  <c r="B169" i="35"/>
  <c r="B170" i="35"/>
  <c r="B171" i="35"/>
  <c r="B158" i="10"/>
  <c r="B159" i="10"/>
  <c r="B160" i="10"/>
  <c r="B161" i="10"/>
  <c r="B237" i="33"/>
  <c r="B238" i="33"/>
  <c r="B239" i="33"/>
  <c r="B240" i="33"/>
  <c r="B202" i="33"/>
  <c r="B203" i="33"/>
  <c r="B204" i="33"/>
  <c r="B205" i="33"/>
  <c r="B167" i="33"/>
  <c r="I167" i="33"/>
  <c r="B168" i="33"/>
  <c r="I168" i="33"/>
  <c r="B169" i="33"/>
  <c r="I169" i="33"/>
  <c r="B170" i="33"/>
  <c r="I170" i="33"/>
  <c r="D129" i="10" l="1"/>
  <c r="D407" i="10" s="1"/>
  <c r="E129" i="10"/>
  <c r="E407" i="10" s="1"/>
  <c r="F129" i="10"/>
  <c r="F407" i="10" s="1"/>
  <c r="G129" i="10"/>
  <c r="G407" i="10" s="1"/>
  <c r="H129" i="10"/>
  <c r="H407" i="10" s="1"/>
  <c r="I129" i="10"/>
  <c r="I407" i="10" s="1"/>
  <c r="J129" i="10"/>
  <c r="J407" i="10" s="1"/>
  <c r="K129" i="10"/>
  <c r="K407" i="10" s="1"/>
  <c r="L129" i="10"/>
  <c r="L407" i="10" s="1"/>
  <c r="M129" i="10"/>
  <c r="M407" i="10" s="1"/>
  <c r="N129" i="10"/>
  <c r="N407" i="10" s="1"/>
  <c r="O129" i="10"/>
  <c r="O407" i="10" s="1"/>
  <c r="P129" i="10"/>
  <c r="P407" i="10" s="1"/>
  <c r="Q129" i="10"/>
  <c r="Q407" i="10" s="1"/>
  <c r="R129" i="10"/>
  <c r="R407" i="10" s="1"/>
  <c r="C129" i="10"/>
  <c r="C407" i="10" s="1"/>
  <c r="D137" i="35"/>
  <c r="D503" i="35" s="1"/>
  <c r="E137" i="35"/>
  <c r="E503" i="35" s="1"/>
  <c r="I137" i="35"/>
  <c r="I503" i="35" s="1"/>
  <c r="J137" i="35"/>
  <c r="J503" i="35" s="1"/>
  <c r="K137" i="35"/>
  <c r="K503" i="35" s="1"/>
  <c r="L137" i="35"/>
  <c r="L503" i="35" s="1"/>
  <c r="M137" i="35"/>
  <c r="M503" i="35" s="1"/>
  <c r="N137" i="35"/>
  <c r="N503" i="35" s="1"/>
  <c r="O137" i="35"/>
  <c r="O503" i="35" s="1"/>
  <c r="P137" i="35"/>
  <c r="P503" i="35" s="1"/>
  <c r="Q137" i="35"/>
  <c r="Q503" i="35" s="1"/>
  <c r="R137" i="35"/>
  <c r="R503" i="35" s="1"/>
  <c r="S137" i="35"/>
  <c r="S503" i="35" s="1"/>
  <c r="T137" i="35"/>
  <c r="T503" i="35" s="1"/>
  <c r="U137" i="35"/>
  <c r="U503" i="35" s="1"/>
  <c r="V137" i="35"/>
  <c r="V503" i="35" s="1"/>
  <c r="W137" i="35"/>
  <c r="W503" i="35" s="1"/>
  <c r="X137" i="35"/>
  <c r="X503" i="35" s="1"/>
  <c r="Y137" i="35"/>
  <c r="Y503" i="35" s="1"/>
  <c r="Z137" i="35"/>
  <c r="Z503" i="35" s="1"/>
  <c r="AA137" i="35"/>
  <c r="AA503" i="35" s="1"/>
  <c r="AB137" i="35"/>
  <c r="AB503" i="35" s="1"/>
  <c r="AC137" i="35"/>
  <c r="AC503" i="35" s="1"/>
  <c r="AD137" i="35"/>
  <c r="AD503" i="35" s="1"/>
  <c r="AE137" i="35"/>
  <c r="AE503" i="35" s="1"/>
  <c r="AF137" i="35"/>
  <c r="AF503" i="35" s="1"/>
  <c r="AG137" i="35"/>
  <c r="AG503" i="35" s="1"/>
  <c r="AH137" i="35"/>
  <c r="AH503" i="35" s="1"/>
  <c r="AI137" i="35"/>
  <c r="AI503" i="35" s="1"/>
  <c r="B133" i="35"/>
  <c r="B134" i="35"/>
  <c r="B135" i="35"/>
  <c r="B136" i="35"/>
  <c r="B125" i="10"/>
  <c r="B126" i="10"/>
  <c r="B127" i="10"/>
  <c r="B128" i="10"/>
  <c r="M136" i="33"/>
  <c r="O136" i="33"/>
  <c r="O432" i="33" s="1"/>
  <c r="P136" i="33"/>
  <c r="Q136" i="33"/>
  <c r="S136" i="33"/>
  <c r="S432" i="33" s="1"/>
  <c r="T136" i="33"/>
  <c r="T432" i="33" s="1"/>
  <c r="U136" i="33"/>
  <c r="U432" i="33" s="1"/>
  <c r="V136" i="33"/>
  <c r="X136" i="33"/>
  <c r="AA136" i="33"/>
  <c r="AA432" i="33" s="1"/>
  <c r="AD136" i="33"/>
  <c r="AF136" i="33"/>
  <c r="AF432" i="33" s="1"/>
  <c r="AH136" i="33"/>
  <c r="AH432" i="33" s="1"/>
  <c r="AI136" i="33"/>
  <c r="AI432" i="33" s="1"/>
  <c r="AJ136" i="33"/>
  <c r="AJ432" i="33" s="1"/>
  <c r="AK136" i="33"/>
  <c r="AL136" i="33"/>
  <c r="AN136" i="33"/>
  <c r="AN432" i="33" s="1"/>
  <c r="AP136" i="33"/>
  <c r="AP432" i="33" s="1"/>
  <c r="I115" i="33"/>
  <c r="I120" i="33"/>
  <c r="I122" i="33"/>
  <c r="I117" i="33"/>
  <c r="I119" i="33"/>
  <c r="I116" i="33"/>
  <c r="I118" i="33"/>
  <c r="I121" i="33"/>
  <c r="I124" i="33"/>
  <c r="I125" i="33"/>
  <c r="I126" i="33"/>
  <c r="I127" i="33"/>
  <c r="I129" i="33"/>
  <c r="I131" i="33"/>
  <c r="I133" i="33"/>
  <c r="I134" i="33"/>
  <c r="I135" i="33"/>
  <c r="I128" i="33"/>
  <c r="E115" i="33"/>
  <c r="E120" i="33"/>
  <c r="E122" i="33"/>
  <c r="E117" i="33"/>
  <c r="E119" i="33"/>
  <c r="E116" i="33"/>
  <c r="E118" i="33"/>
  <c r="E121" i="33"/>
  <c r="E124" i="33"/>
  <c r="E125" i="33"/>
  <c r="E126" i="33"/>
  <c r="E127" i="33"/>
  <c r="B132" i="33"/>
  <c r="I132" i="33"/>
  <c r="B133" i="33"/>
  <c r="B134" i="33"/>
  <c r="B135" i="33"/>
  <c r="AX116" i="3"/>
  <c r="AX121" i="3"/>
  <c r="AX123" i="3"/>
  <c r="AX118" i="3"/>
  <c r="AX120" i="3"/>
  <c r="AX117" i="3"/>
  <c r="AX119" i="3"/>
  <c r="AX122" i="3"/>
  <c r="AX125" i="3"/>
  <c r="AX126" i="3"/>
  <c r="AX128" i="3"/>
  <c r="AX130" i="3"/>
  <c r="AX132" i="3"/>
  <c r="AX134" i="3"/>
  <c r="AX135" i="3"/>
  <c r="AX136" i="3"/>
  <c r="AX129" i="3"/>
  <c r="AX127" i="3"/>
  <c r="AX131" i="3"/>
  <c r="AJ43" i="3"/>
  <c r="AJ79" i="3"/>
  <c r="AJ115" i="3"/>
  <c r="AK10" i="3"/>
  <c r="AI44" i="3" s="1"/>
  <c r="AJ44" i="3"/>
  <c r="AJ80" i="3"/>
  <c r="AJ116" i="3"/>
  <c r="AK11" i="3"/>
  <c r="AI45" i="3" s="1"/>
  <c r="AJ81" i="3"/>
  <c r="AJ117" i="3"/>
  <c r="AK12" i="3"/>
  <c r="AI46" i="3" s="1"/>
  <c r="AJ82" i="3"/>
  <c r="AJ118" i="3"/>
  <c r="AK13" i="3"/>
  <c r="AI47" i="3" s="1"/>
  <c r="AK14" i="3"/>
  <c r="AI48" i="3" s="1"/>
  <c r="AK15" i="3"/>
  <c r="AI49" i="3" s="1"/>
  <c r="AK16" i="3"/>
  <c r="AK17" i="3"/>
  <c r="AI51" i="3" s="1"/>
  <c r="AK18" i="3"/>
  <c r="AI52" i="3" s="1"/>
  <c r="AK19" i="3"/>
  <c r="AK20" i="3"/>
  <c r="AK21" i="3"/>
  <c r="AK22" i="3"/>
  <c r="AI56" i="3" s="1"/>
  <c r="AK23" i="3"/>
  <c r="AI57" i="3" s="1"/>
  <c r="AK24" i="3"/>
  <c r="AI58" i="3" s="1"/>
  <c r="AK25" i="3"/>
  <c r="AI59" i="3" s="1"/>
  <c r="AK26" i="3"/>
  <c r="J33" i="35"/>
  <c r="AK28" i="3"/>
  <c r="AK29" i="3"/>
  <c r="AK30" i="3"/>
  <c r="AF43" i="3"/>
  <c r="AF79" i="3"/>
  <c r="AF115" i="3"/>
  <c r="AE44" i="3"/>
  <c r="AF80" i="3"/>
  <c r="AF116" i="3"/>
  <c r="AE45" i="3"/>
  <c r="AF81" i="3"/>
  <c r="AF117" i="3"/>
  <c r="AE46" i="3"/>
  <c r="AF82" i="3"/>
  <c r="AF118" i="3"/>
  <c r="AE47" i="3"/>
  <c r="AF83" i="3"/>
  <c r="AF119" i="3"/>
  <c r="AE48" i="3"/>
  <c r="AF84" i="3"/>
  <c r="AF120" i="3"/>
  <c r="AE49" i="3"/>
  <c r="AF85" i="3"/>
  <c r="AF121" i="3"/>
  <c r="AF86" i="3"/>
  <c r="AF122" i="3"/>
  <c r="AE51" i="3"/>
  <c r="AF87" i="3"/>
  <c r="AF123" i="3"/>
  <c r="AE52" i="3"/>
  <c r="AF88" i="3"/>
  <c r="AF124" i="3"/>
  <c r="AF89" i="3"/>
  <c r="AF125" i="3"/>
  <c r="AE54" i="3"/>
  <c r="AF90" i="3"/>
  <c r="AF126" i="3"/>
  <c r="AF91" i="3"/>
  <c r="AF127" i="3"/>
  <c r="AE56" i="3"/>
  <c r="AF92" i="3"/>
  <c r="AF128" i="3"/>
  <c r="AF93" i="3"/>
  <c r="AF129" i="3"/>
  <c r="AE58" i="3"/>
  <c r="AF94" i="3"/>
  <c r="AF130" i="3"/>
  <c r="AF95" i="3"/>
  <c r="AF131" i="3"/>
  <c r="AF96" i="3"/>
  <c r="AF132" i="3"/>
  <c r="AF97" i="3"/>
  <c r="AF98" i="3"/>
  <c r="AF99" i="3"/>
  <c r="AG30" i="3"/>
  <c r="AF100" i="3"/>
  <c r="AA116" i="3"/>
  <c r="AA121" i="3"/>
  <c r="AA123" i="3"/>
  <c r="AA118" i="3"/>
  <c r="AA120" i="3"/>
  <c r="AA117" i="3"/>
  <c r="AA119" i="3"/>
  <c r="AA122" i="3"/>
  <c r="AA125" i="3"/>
  <c r="AA126" i="3"/>
  <c r="AA127" i="3"/>
  <c r="AA128" i="3"/>
  <c r="AA130" i="3"/>
  <c r="AA132" i="3"/>
  <c r="AA134" i="3"/>
  <c r="AA135" i="3"/>
  <c r="AA136" i="3"/>
  <c r="AA129" i="3"/>
  <c r="V116" i="3"/>
  <c r="V121" i="3"/>
  <c r="V123" i="3"/>
  <c r="V118" i="3"/>
  <c r="V120" i="3"/>
  <c r="V117" i="3"/>
  <c r="V119" i="3"/>
  <c r="V122" i="3"/>
  <c r="V125" i="3"/>
  <c r="V126" i="3"/>
  <c r="V127" i="3"/>
  <c r="V128" i="3"/>
  <c r="V130" i="3"/>
  <c r="V132" i="3"/>
  <c r="V134" i="3"/>
  <c r="V135" i="3"/>
  <c r="V136" i="3"/>
  <c r="V129" i="3"/>
  <c r="L116" i="3"/>
  <c r="L121" i="3"/>
  <c r="L123" i="3"/>
  <c r="L118" i="3"/>
  <c r="L120" i="3"/>
  <c r="L117" i="3"/>
  <c r="L119" i="3"/>
  <c r="L122" i="3"/>
  <c r="L125" i="3"/>
  <c r="L126" i="3"/>
  <c r="L127" i="3"/>
  <c r="L128" i="3"/>
  <c r="L130" i="3"/>
  <c r="L132" i="3"/>
  <c r="L134" i="3"/>
  <c r="L135" i="3"/>
  <c r="L136" i="3"/>
  <c r="L129" i="3"/>
  <c r="G116" i="3"/>
  <c r="G121" i="3"/>
  <c r="G123" i="3"/>
  <c r="G118" i="3"/>
  <c r="G120" i="3"/>
  <c r="G117" i="3"/>
  <c r="G119" i="3"/>
  <c r="G122" i="3"/>
  <c r="G125" i="3"/>
  <c r="G126" i="3"/>
  <c r="G127" i="3"/>
  <c r="G128" i="3"/>
  <c r="J137" i="3"/>
  <c r="O137" i="3"/>
  <c r="Y137" i="3"/>
  <c r="AD137" i="3"/>
  <c r="AQ137" i="3"/>
  <c r="AV137" i="3"/>
  <c r="B133" i="3"/>
  <c r="B134" i="3"/>
  <c r="B135" i="3"/>
  <c r="B136" i="3"/>
  <c r="AX44" i="3"/>
  <c r="C61" i="3"/>
  <c r="C62" i="3"/>
  <c r="C63" i="3"/>
  <c r="C64" i="3"/>
  <c r="AS43" i="3"/>
  <c r="AT10" i="3"/>
  <c r="AR44" i="3" s="1"/>
  <c r="AT11" i="3"/>
  <c r="AR45" i="3" s="1"/>
  <c r="AT12" i="3"/>
  <c r="AR46" i="3" s="1"/>
  <c r="AT13" i="3"/>
  <c r="AR47" i="3" s="1"/>
  <c r="AT14" i="3"/>
  <c r="AT15" i="3"/>
  <c r="AR49" i="3" s="1"/>
  <c r="AT16" i="3"/>
  <c r="AR50" i="3" s="1"/>
  <c r="AT17" i="3"/>
  <c r="AR51" i="3" s="1"/>
  <c r="AT18" i="3"/>
  <c r="AR52" i="3" s="1"/>
  <c r="AT19" i="3"/>
  <c r="AR53" i="3" s="1"/>
  <c r="AT20" i="3"/>
  <c r="AR54" i="3" s="1"/>
  <c r="AT21" i="3"/>
  <c r="AT22" i="3"/>
  <c r="AR56" i="3" s="1"/>
  <c r="AT23" i="3"/>
  <c r="AR57" i="3" s="1"/>
  <c r="AT24" i="3"/>
  <c r="AR58" i="3" s="1"/>
  <c r="AT25" i="3"/>
  <c r="AR59" i="3" s="1"/>
  <c r="AT26" i="3"/>
  <c r="AR60" i="3" s="1"/>
  <c r="AT27" i="3"/>
  <c r="AR61" i="3" s="1"/>
  <c r="AT28" i="3"/>
  <c r="AR62" i="3" s="1"/>
  <c r="AT29" i="3"/>
  <c r="AR63" i="3" s="1"/>
  <c r="AT30" i="3"/>
  <c r="D61" i="3"/>
  <c r="D62" i="3"/>
  <c r="S62" i="3" s="1"/>
  <c r="D63" i="3"/>
  <c r="S63" i="3" s="1"/>
  <c r="D64" i="3"/>
  <c r="S64" i="3" s="1"/>
  <c r="AN43" i="3"/>
  <c r="AO10" i="3"/>
  <c r="AP10" i="3" s="1"/>
  <c r="AO11" i="3"/>
  <c r="AO12" i="3"/>
  <c r="AO13" i="3"/>
  <c r="AP13" i="3" s="1"/>
  <c r="AO14" i="3"/>
  <c r="AO15" i="3"/>
  <c r="AO16" i="3"/>
  <c r="AO17" i="3"/>
  <c r="AP17" i="3" s="1"/>
  <c r="AO18" i="3"/>
  <c r="AP18" i="3" s="1"/>
  <c r="AO19" i="3"/>
  <c r="AO20" i="3"/>
  <c r="AM54" i="3" s="1"/>
  <c r="AO21" i="3"/>
  <c r="AO22" i="3"/>
  <c r="AM56" i="3" s="1"/>
  <c r="AO23" i="3"/>
  <c r="AM57" i="3" s="1"/>
  <c r="AO24" i="3"/>
  <c r="AM58" i="3" s="1"/>
  <c r="AO25" i="3"/>
  <c r="AO26" i="3"/>
  <c r="AO27" i="3"/>
  <c r="AO28" i="3"/>
  <c r="AM62" i="3" s="1"/>
  <c r="AO29" i="3"/>
  <c r="AN30" i="3"/>
  <c r="AO30" i="3" s="1"/>
  <c r="AM64" i="3" s="1"/>
  <c r="AA9" i="3"/>
  <c r="AA43" i="3"/>
  <c r="Z44" i="3"/>
  <c r="AA44" i="3"/>
  <c r="AA45" i="3"/>
  <c r="Z46" i="3"/>
  <c r="AA46" i="3"/>
  <c r="AA47" i="3"/>
  <c r="Z48" i="3"/>
  <c r="AA48" i="3"/>
  <c r="AA49" i="3"/>
  <c r="Z50" i="3"/>
  <c r="AA50" i="3"/>
  <c r="Z51" i="3"/>
  <c r="AA51" i="3"/>
  <c r="Z52" i="3"/>
  <c r="AA52" i="3"/>
  <c r="AA53" i="3"/>
  <c r="Z54" i="3"/>
  <c r="AA54" i="3"/>
  <c r="AA55" i="3"/>
  <c r="Z56" i="3"/>
  <c r="AA56" i="3"/>
  <c r="AA57" i="3"/>
  <c r="AA58" i="3"/>
  <c r="Z59" i="3"/>
  <c r="AA59" i="3"/>
  <c r="Z60" i="3"/>
  <c r="AA60" i="3"/>
  <c r="Z62" i="3"/>
  <c r="AA62" i="3"/>
  <c r="AA63" i="3"/>
  <c r="Z64" i="3"/>
  <c r="AA64" i="3"/>
  <c r="V9" i="3"/>
  <c r="V43" i="3"/>
  <c r="W10" i="3"/>
  <c r="U44" i="3" s="1"/>
  <c r="V44" i="3"/>
  <c r="W11" i="3"/>
  <c r="U45" i="3" s="1"/>
  <c r="V45" i="3"/>
  <c r="W12" i="3"/>
  <c r="V46" i="3"/>
  <c r="W13" i="3"/>
  <c r="U47" i="3" s="1"/>
  <c r="V47" i="3"/>
  <c r="W14" i="3"/>
  <c r="V48" i="3"/>
  <c r="W15" i="3"/>
  <c r="V49" i="3"/>
  <c r="W16" i="3"/>
  <c r="U50" i="3" s="1"/>
  <c r="V50" i="3"/>
  <c r="W17" i="3"/>
  <c r="V51" i="3"/>
  <c r="W18" i="3"/>
  <c r="U52" i="3" s="1"/>
  <c r="V52" i="3"/>
  <c r="W19" i="3"/>
  <c r="V53" i="3"/>
  <c r="W20" i="3"/>
  <c r="V54" i="3"/>
  <c r="W21" i="3"/>
  <c r="V55" i="3"/>
  <c r="W22" i="3"/>
  <c r="U56" i="3" s="1"/>
  <c r="V56" i="3"/>
  <c r="W23" i="3"/>
  <c r="U57" i="3" s="1"/>
  <c r="V57" i="3"/>
  <c r="W24" i="3"/>
  <c r="V58" i="3"/>
  <c r="W25" i="3"/>
  <c r="V59" i="3"/>
  <c r="W26" i="3"/>
  <c r="U60" i="3" s="1"/>
  <c r="V60" i="3"/>
  <c r="W27" i="3"/>
  <c r="U61" i="3" s="1"/>
  <c r="W28" i="3"/>
  <c r="V62" i="3"/>
  <c r="W29" i="3"/>
  <c r="V63" i="3"/>
  <c r="W30" i="3"/>
  <c r="U64" i="3" s="1"/>
  <c r="V64" i="3"/>
  <c r="L43" i="3"/>
  <c r="K44" i="3"/>
  <c r="K46" i="3"/>
  <c r="K47" i="3"/>
  <c r="K48" i="3"/>
  <c r="K50" i="3"/>
  <c r="K51" i="3"/>
  <c r="K52" i="3"/>
  <c r="K56" i="3"/>
  <c r="K59" i="3"/>
  <c r="K63" i="3"/>
  <c r="G9" i="3"/>
  <c r="G43" i="3"/>
  <c r="J65" i="3"/>
  <c r="O65" i="3"/>
  <c r="Y65" i="3"/>
  <c r="AD65" i="3"/>
  <c r="AQ65" i="3"/>
  <c r="AV65" i="3"/>
  <c r="B62" i="3"/>
  <c r="B63" i="3"/>
  <c r="B64" i="3"/>
  <c r="D33" i="35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L98" i="3"/>
  <c r="L99" i="3"/>
  <c r="L100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E85" i="3"/>
  <c r="E121" i="3" s="1"/>
  <c r="E157" i="3" s="1"/>
  <c r="E193" i="3" s="1"/>
  <c r="E229" i="3" s="1"/>
  <c r="E265" i="3" s="1"/>
  <c r="E301" i="3" s="1"/>
  <c r="E337" i="3" s="1"/>
  <c r="E373" i="3" s="1"/>
  <c r="E409" i="3" s="1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B97" i="3"/>
  <c r="AN97" i="3"/>
  <c r="AS97" i="3"/>
  <c r="B98" i="3"/>
  <c r="AN98" i="3"/>
  <c r="AS98" i="3"/>
  <c r="B99" i="3"/>
  <c r="AN99" i="3"/>
  <c r="AS99" i="3"/>
  <c r="B100" i="3"/>
  <c r="AN100" i="3"/>
  <c r="AS100" i="3"/>
  <c r="B163" i="2"/>
  <c r="B164" i="2"/>
  <c r="B165" i="2"/>
  <c r="B166" i="2"/>
  <c r="D189" i="3"/>
  <c r="D118" i="3"/>
  <c r="D123" i="3"/>
  <c r="D197" i="3"/>
  <c r="D127" i="3"/>
  <c r="S127" i="3" s="1"/>
  <c r="C114" i="33"/>
  <c r="C122" i="33"/>
  <c r="C130" i="33"/>
  <c r="B129" i="2"/>
  <c r="B130" i="2"/>
  <c r="C133" i="33"/>
  <c r="B131" i="2"/>
  <c r="C134" i="33"/>
  <c r="B132" i="2"/>
  <c r="M417" i="2"/>
  <c r="M429" i="2" s="1"/>
  <c r="P417" i="2"/>
  <c r="P429" i="2" s="1"/>
  <c r="Q417" i="2"/>
  <c r="Q429" i="2" s="1"/>
  <c r="AK417" i="2"/>
  <c r="AK429" i="2" s="1"/>
  <c r="B469" i="29"/>
  <c r="B470" i="29"/>
  <c r="B471" i="29"/>
  <c r="B472" i="29"/>
  <c r="B467" i="35"/>
  <c r="B468" i="35"/>
  <c r="B469" i="35"/>
  <c r="B470" i="35"/>
  <c r="B471" i="35"/>
  <c r="B472" i="35"/>
  <c r="B473" i="35"/>
  <c r="B474" i="35"/>
  <c r="B475" i="35"/>
  <c r="B476" i="35"/>
  <c r="B477" i="35"/>
  <c r="B478" i="35"/>
  <c r="B479" i="35"/>
  <c r="B480" i="35"/>
  <c r="B481" i="35"/>
  <c r="B482" i="35"/>
  <c r="B483" i="35"/>
  <c r="B484" i="35"/>
  <c r="B485" i="35"/>
  <c r="B486" i="35"/>
  <c r="B487" i="35"/>
  <c r="B466" i="35"/>
  <c r="AX43" i="3"/>
  <c r="AX79" i="3"/>
  <c r="AX80" i="3"/>
  <c r="AX224" i="3"/>
  <c r="AX332" i="3"/>
  <c r="AX368" i="3"/>
  <c r="AX404" i="3"/>
  <c r="AX81" i="3"/>
  <c r="AX261" i="3"/>
  <c r="AX297" i="3"/>
  <c r="AX333" i="3"/>
  <c r="AX405" i="3"/>
  <c r="AX82" i="3"/>
  <c r="AX298" i="3"/>
  <c r="AX334" i="3"/>
  <c r="AX370" i="3"/>
  <c r="AX83" i="3"/>
  <c r="AX263" i="3"/>
  <c r="AX335" i="3"/>
  <c r="AX407" i="3"/>
  <c r="AX84" i="3"/>
  <c r="AX228" i="3"/>
  <c r="AX300" i="3"/>
  <c r="AX336" i="3"/>
  <c r="AX372" i="3"/>
  <c r="AX408" i="3"/>
  <c r="AX85" i="3"/>
  <c r="AX193" i="3"/>
  <c r="AX265" i="3"/>
  <c r="AX301" i="3"/>
  <c r="AX337" i="3"/>
  <c r="AX373" i="3"/>
  <c r="AX409" i="3"/>
  <c r="AX86" i="3"/>
  <c r="AX338" i="3"/>
  <c r="AX374" i="3"/>
  <c r="AX410" i="3"/>
  <c r="AX87" i="3"/>
  <c r="AX267" i="3"/>
  <c r="AX303" i="3"/>
  <c r="AX339" i="3"/>
  <c r="AX375" i="3"/>
  <c r="AX411" i="3"/>
  <c r="AX88" i="3"/>
  <c r="AX124" i="3"/>
  <c r="AX268" i="3"/>
  <c r="AX304" i="3"/>
  <c r="AX376" i="3"/>
  <c r="AX412" i="3"/>
  <c r="AX89" i="3"/>
  <c r="AX269" i="3"/>
  <c r="AX305" i="3"/>
  <c r="AX377" i="3"/>
  <c r="AX413" i="3"/>
  <c r="AX90" i="3"/>
  <c r="AX198" i="3"/>
  <c r="AX234" i="3"/>
  <c r="AX270" i="3"/>
  <c r="AX306" i="3"/>
  <c r="AX342" i="3"/>
  <c r="AX378" i="3"/>
  <c r="AX414" i="3"/>
  <c r="AX91" i="3"/>
  <c r="AX199" i="3"/>
  <c r="AX271" i="3"/>
  <c r="AX307" i="3"/>
  <c r="AX343" i="3"/>
  <c r="AX379" i="3"/>
  <c r="AX415" i="3"/>
  <c r="AX92" i="3"/>
  <c r="AX200" i="3"/>
  <c r="AX272" i="3"/>
  <c r="AX308" i="3"/>
  <c r="AX344" i="3"/>
  <c r="AX380" i="3"/>
  <c r="AX416" i="3"/>
  <c r="AX93" i="3"/>
  <c r="AX201" i="3"/>
  <c r="AX273" i="3"/>
  <c r="AX309" i="3"/>
  <c r="AX345" i="3"/>
  <c r="AX381" i="3"/>
  <c r="AX417" i="3"/>
  <c r="AX94" i="3"/>
  <c r="AX202" i="3"/>
  <c r="AX274" i="3"/>
  <c r="AX346" i="3"/>
  <c r="AX382" i="3"/>
  <c r="AX418" i="3"/>
  <c r="AX95" i="3"/>
  <c r="AX203" i="3"/>
  <c r="AX275" i="3"/>
  <c r="AX311" i="3"/>
  <c r="AX347" i="3"/>
  <c r="AX383" i="3"/>
  <c r="AX419" i="3"/>
  <c r="AX96" i="3"/>
  <c r="AX204" i="3"/>
  <c r="AX276" i="3"/>
  <c r="AX348" i="3"/>
  <c r="AX384" i="3"/>
  <c r="AX420" i="3"/>
  <c r="AX97" i="3"/>
  <c r="AX98" i="3"/>
  <c r="AX99" i="3"/>
  <c r="AX100" i="3"/>
  <c r="B459" i="2"/>
  <c r="B460" i="2"/>
  <c r="B461" i="2"/>
  <c r="B462" i="2"/>
  <c r="O429" i="33"/>
  <c r="P429" i="33"/>
  <c r="X429" i="33"/>
  <c r="AF429" i="33"/>
  <c r="AH429" i="33"/>
  <c r="AN429" i="33"/>
  <c r="AP429" i="33"/>
  <c r="H31" i="33"/>
  <c r="D31" i="33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D63" i="10"/>
  <c r="D405" i="10" s="1"/>
  <c r="E63" i="10"/>
  <c r="E405" i="10" s="1"/>
  <c r="F63" i="10"/>
  <c r="F405" i="10" s="1"/>
  <c r="G63" i="10"/>
  <c r="G405" i="10" s="1"/>
  <c r="H63" i="10"/>
  <c r="H405" i="10" s="1"/>
  <c r="I63" i="10"/>
  <c r="I405" i="10" s="1"/>
  <c r="J63" i="10"/>
  <c r="J405" i="10" s="1"/>
  <c r="K63" i="10"/>
  <c r="K405" i="10" s="1"/>
  <c r="L63" i="10"/>
  <c r="L405" i="10" s="1"/>
  <c r="M63" i="10"/>
  <c r="M405" i="10" s="1"/>
  <c r="N63" i="10"/>
  <c r="N405" i="10" s="1"/>
  <c r="O63" i="10"/>
  <c r="O405" i="10" s="1"/>
  <c r="P63" i="10"/>
  <c r="P405" i="10" s="1"/>
  <c r="Q63" i="10"/>
  <c r="Q405" i="10" s="1"/>
  <c r="R63" i="10"/>
  <c r="R405" i="10" s="1"/>
  <c r="C63" i="10"/>
  <c r="C405" i="10" s="1"/>
  <c r="I33" i="35"/>
  <c r="E33" i="35"/>
  <c r="K33" i="35"/>
  <c r="L33" i="35"/>
  <c r="M33" i="35"/>
  <c r="N33" i="35"/>
  <c r="O33" i="35"/>
  <c r="P33" i="35"/>
  <c r="Q33" i="35"/>
  <c r="R33" i="35"/>
  <c r="S33" i="35"/>
  <c r="T33" i="35"/>
  <c r="U33" i="35"/>
  <c r="V33" i="35"/>
  <c r="W33" i="35"/>
  <c r="X33" i="35"/>
  <c r="Y33" i="35"/>
  <c r="Z33" i="35"/>
  <c r="AA33" i="35"/>
  <c r="AB33" i="35"/>
  <c r="AC33" i="35"/>
  <c r="AD33" i="35"/>
  <c r="AE33" i="35"/>
  <c r="AF33" i="35"/>
  <c r="AG33" i="35"/>
  <c r="AH33" i="35"/>
  <c r="AI33" i="35"/>
  <c r="AJ33" i="35"/>
  <c r="AJ500" i="35" s="1"/>
  <c r="AJ512" i="35" s="1"/>
  <c r="AK33" i="35"/>
  <c r="AK500" i="35" s="1"/>
  <c r="AK512" i="35" s="1"/>
  <c r="AL33" i="35"/>
  <c r="AL500" i="35" s="1"/>
  <c r="AL512" i="35" s="1"/>
  <c r="AM33" i="35"/>
  <c r="AM500" i="35" s="1"/>
  <c r="AM512" i="35" s="1"/>
  <c r="C33" i="35"/>
  <c r="D67" i="35"/>
  <c r="D501" i="35" s="1"/>
  <c r="E67" i="35"/>
  <c r="E501" i="35" s="1"/>
  <c r="I67" i="35"/>
  <c r="I501" i="35" s="1"/>
  <c r="J67" i="35"/>
  <c r="J501" i="35" s="1"/>
  <c r="K67" i="35"/>
  <c r="K501" i="35" s="1"/>
  <c r="L67" i="35"/>
  <c r="L501" i="35" s="1"/>
  <c r="M67" i="35"/>
  <c r="M501" i="35" s="1"/>
  <c r="N67" i="35"/>
  <c r="N501" i="35" s="1"/>
  <c r="O67" i="35"/>
  <c r="O501" i="35" s="1"/>
  <c r="P67" i="35"/>
  <c r="P501" i="35" s="1"/>
  <c r="Q67" i="35"/>
  <c r="Q501" i="35" s="1"/>
  <c r="R67" i="35"/>
  <c r="R501" i="35" s="1"/>
  <c r="S67" i="35"/>
  <c r="S501" i="35" s="1"/>
  <c r="T67" i="35"/>
  <c r="T501" i="35" s="1"/>
  <c r="U67" i="35"/>
  <c r="U501" i="35" s="1"/>
  <c r="V67" i="35"/>
  <c r="V501" i="35" s="1"/>
  <c r="W67" i="35"/>
  <c r="W501" i="35" s="1"/>
  <c r="X67" i="35"/>
  <c r="X501" i="35" s="1"/>
  <c r="Y67" i="35"/>
  <c r="Y501" i="35" s="1"/>
  <c r="Z67" i="35"/>
  <c r="Z501" i="35" s="1"/>
  <c r="AA67" i="35"/>
  <c r="AA501" i="35" s="1"/>
  <c r="AB67" i="35"/>
  <c r="AB501" i="35" s="1"/>
  <c r="AC67" i="35"/>
  <c r="AC501" i="35" s="1"/>
  <c r="AD67" i="35"/>
  <c r="AD501" i="35" s="1"/>
  <c r="AE67" i="35"/>
  <c r="AE501" i="35" s="1"/>
  <c r="AF67" i="35"/>
  <c r="AF501" i="35" s="1"/>
  <c r="AG67" i="35"/>
  <c r="AG501" i="35" s="1"/>
  <c r="AH67" i="35"/>
  <c r="AH501" i="35" s="1"/>
  <c r="AI67" i="35"/>
  <c r="AI501" i="35" s="1"/>
  <c r="C67" i="35"/>
  <c r="C501" i="35" s="1"/>
  <c r="D102" i="35"/>
  <c r="D502" i="35" s="1"/>
  <c r="E102" i="35"/>
  <c r="E502" i="35" s="1"/>
  <c r="I102" i="35"/>
  <c r="I502" i="35" s="1"/>
  <c r="J102" i="35"/>
  <c r="J502" i="35" s="1"/>
  <c r="K102" i="35"/>
  <c r="K502" i="35" s="1"/>
  <c r="L102" i="35"/>
  <c r="L502" i="35" s="1"/>
  <c r="M102" i="35"/>
  <c r="M502" i="35" s="1"/>
  <c r="N102" i="35"/>
  <c r="N502" i="35" s="1"/>
  <c r="O102" i="35"/>
  <c r="O502" i="35" s="1"/>
  <c r="P102" i="35"/>
  <c r="P502" i="35" s="1"/>
  <c r="Q102" i="35"/>
  <c r="Q502" i="35" s="1"/>
  <c r="R102" i="35"/>
  <c r="R502" i="35" s="1"/>
  <c r="S102" i="35"/>
  <c r="S502" i="35" s="1"/>
  <c r="T102" i="35"/>
  <c r="T502" i="35" s="1"/>
  <c r="U102" i="35"/>
  <c r="U502" i="35" s="1"/>
  <c r="V102" i="35"/>
  <c r="V502" i="35" s="1"/>
  <c r="W102" i="35"/>
  <c r="W502" i="35" s="1"/>
  <c r="X102" i="35"/>
  <c r="X502" i="35" s="1"/>
  <c r="Y102" i="35"/>
  <c r="Y502" i="35" s="1"/>
  <c r="Z102" i="35"/>
  <c r="Z502" i="35" s="1"/>
  <c r="AA102" i="35"/>
  <c r="AA502" i="35" s="1"/>
  <c r="AB102" i="35"/>
  <c r="AB502" i="35" s="1"/>
  <c r="AC102" i="35"/>
  <c r="AC502" i="35" s="1"/>
  <c r="AD102" i="35"/>
  <c r="AD502" i="35" s="1"/>
  <c r="AE102" i="35"/>
  <c r="AE502" i="35" s="1"/>
  <c r="AF102" i="35"/>
  <c r="AF502" i="35" s="1"/>
  <c r="AG102" i="35"/>
  <c r="AG502" i="35" s="1"/>
  <c r="AH102" i="35"/>
  <c r="AH502" i="35" s="1"/>
  <c r="AI102" i="35"/>
  <c r="AI502" i="35" s="1"/>
  <c r="C102" i="35"/>
  <c r="C502" i="35" s="1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C406" i="10"/>
  <c r="M431" i="33"/>
  <c r="P431" i="33"/>
  <c r="Q431" i="33"/>
  <c r="S431" i="33"/>
  <c r="T431" i="33"/>
  <c r="U431" i="33"/>
  <c r="X431" i="33"/>
  <c r="AA431" i="33"/>
  <c r="AF431" i="33"/>
  <c r="AI431" i="33"/>
  <c r="AJ431" i="33"/>
  <c r="AK431" i="33"/>
  <c r="AN431" i="33"/>
  <c r="AP431" i="3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S91" i="3" s="1"/>
  <c r="D92" i="3"/>
  <c r="S92" i="3" s="1"/>
  <c r="D93" i="3"/>
  <c r="S93" i="3" s="1"/>
  <c r="D94" i="3"/>
  <c r="S94" i="3" s="1"/>
  <c r="D95" i="3"/>
  <c r="S95" i="3" s="1"/>
  <c r="D96" i="3"/>
  <c r="S96" i="3" s="1"/>
  <c r="D97" i="3"/>
  <c r="D98" i="3"/>
  <c r="S98" i="3" s="1"/>
  <c r="D99" i="3"/>
  <c r="S99" i="3" s="1"/>
  <c r="D100" i="3"/>
  <c r="S100" i="3" s="1"/>
  <c r="C79" i="33"/>
  <c r="C80" i="3"/>
  <c r="C84" i="3"/>
  <c r="C85" i="3"/>
  <c r="C86" i="33"/>
  <c r="C87" i="3"/>
  <c r="C88" i="3"/>
  <c r="C89" i="3"/>
  <c r="C92" i="3"/>
  <c r="C93" i="3"/>
  <c r="C94" i="33"/>
  <c r="C96" i="3"/>
  <c r="C98" i="3"/>
  <c r="C99" i="3"/>
  <c r="C100" i="3"/>
  <c r="F99" i="2"/>
  <c r="F419" i="2" s="1"/>
  <c r="B97" i="33"/>
  <c r="E97" i="33"/>
  <c r="I97" i="33"/>
  <c r="B98" i="33"/>
  <c r="E98" i="33"/>
  <c r="I98" i="33"/>
  <c r="B99" i="33"/>
  <c r="C99" i="33"/>
  <c r="E99" i="33"/>
  <c r="I99" i="33"/>
  <c r="B100" i="33"/>
  <c r="E100" i="33"/>
  <c r="I100" i="33"/>
  <c r="B92" i="10"/>
  <c r="B93" i="10"/>
  <c r="B94" i="10"/>
  <c r="B95" i="10"/>
  <c r="B95" i="2"/>
  <c r="B96" i="2"/>
  <c r="B97" i="2"/>
  <c r="B98" i="2"/>
  <c r="M430" i="33"/>
  <c r="Q430" i="33"/>
  <c r="S430" i="33"/>
  <c r="T430" i="33"/>
  <c r="U430" i="33"/>
  <c r="X430" i="33"/>
  <c r="AA430" i="33"/>
  <c r="AF430" i="33"/>
  <c r="AI430" i="33"/>
  <c r="AJ430" i="33"/>
  <c r="AK430" i="33"/>
  <c r="F65" i="2"/>
  <c r="F418" i="2" s="1"/>
  <c r="B63" i="35"/>
  <c r="B64" i="35"/>
  <c r="B65" i="35"/>
  <c r="B66" i="35"/>
  <c r="B59" i="10"/>
  <c r="B60" i="10"/>
  <c r="B61" i="10"/>
  <c r="B62" i="10"/>
  <c r="B62" i="33"/>
  <c r="C62" i="33"/>
  <c r="E62" i="33"/>
  <c r="I62" i="33"/>
  <c r="B63" i="33"/>
  <c r="C63" i="33"/>
  <c r="E63" i="33"/>
  <c r="I63" i="33"/>
  <c r="B64" i="33"/>
  <c r="C64" i="33"/>
  <c r="E64" i="33"/>
  <c r="I64" i="33"/>
  <c r="B65" i="33"/>
  <c r="C65" i="33"/>
  <c r="E65" i="33"/>
  <c r="I65" i="33"/>
  <c r="E78" i="2"/>
  <c r="E112" i="2" s="1"/>
  <c r="E146" i="2" s="1"/>
  <c r="E180" i="2" s="1"/>
  <c r="E214" i="2" s="1"/>
  <c r="E248" i="2" s="1"/>
  <c r="E282" i="2" s="1"/>
  <c r="E316" i="2" s="1"/>
  <c r="E350" i="2" s="1"/>
  <c r="E384" i="2" s="1"/>
  <c r="E79" i="2"/>
  <c r="E113" i="2" s="1"/>
  <c r="E147" i="2" s="1"/>
  <c r="E181" i="2" s="1"/>
  <c r="E215" i="2" s="1"/>
  <c r="E249" i="2" s="1"/>
  <c r="E283" i="2" s="1"/>
  <c r="E317" i="2" s="1"/>
  <c r="E351" i="2" s="1"/>
  <c r="E385" i="2" s="1"/>
  <c r="E80" i="2"/>
  <c r="E114" i="2" s="1"/>
  <c r="E148" i="2" s="1"/>
  <c r="E182" i="2" s="1"/>
  <c r="E216" i="2" s="1"/>
  <c r="E250" i="2" s="1"/>
  <c r="E284" i="2" s="1"/>
  <c r="E318" i="2" s="1"/>
  <c r="E352" i="2" s="1"/>
  <c r="E386" i="2" s="1"/>
  <c r="E81" i="2"/>
  <c r="E115" i="2" s="1"/>
  <c r="E149" i="2" s="1"/>
  <c r="E183" i="2" s="1"/>
  <c r="E217" i="2" s="1"/>
  <c r="E251" i="2" s="1"/>
  <c r="E285" i="2" s="1"/>
  <c r="E319" i="2" s="1"/>
  <c r="E353" i="2" s="1"/>
  <c r="E387" i="2" s="1"/>
  <c r="E82" i="2"/>
  <c r="E116" i="2" s="1"/>
  <c r="E150" i="2" s="1"/>
  <c r="E184" i="2" s="1"/>
  <c r="E218" i="2" s="1"/>
  <c r="E252" i="2" s="1"/>
  <c r="E286" i="2" s="1"/>
  <c r="E320" i="2" s="1"/>
  <c r="E354" i="2" s="1"/>
  <c r="E388" i="2" s="1"/>
  <c r="E83" i="2"/>
  <c r="E117" i="2" s="1"/>
  <c r="E151" i="2" s="1"/>
  <c r="E185" i="2" s="1"/>
  <c r="E219" i="2" s="1"/>
  <c r="E253" i="2" s="1"/>
  <c r="E287" i="2" s="1"/>
  <c r="E321" i="2" s="1"/>
  <c r="E355" i="2" s="1"/>
  <c r="E389" i="2" s="1"/>
  <c r="E84" i="2"/>
  <c r="E118" i="2" s="1"/>
  <c r="E152" i="2" s="1"/>
  <c r="E186" i="2" s="1"/>
  <c r="E220" i="2" s="1"/>
  <c r="E254" i="2" s="1"/>
  <c r="E288" i="2" s="1"/>
  <c r="E322" i="2" s="1"/>
  <c r="E356" i="2" s="1"/>
  <c r="E390" i="2" s="1"/>
  <c r="E85" i="2"/>
  <c r="E119" i="2" s="1"/>
  <c r="E153" i="2" s="1"/>
  <c r="E187" i="2" s="1"/>
  <c r="E221" i="2" s="1"/>
  <c r="E255" i="2" s="1"/>
  <c r="E289" i="2" s="1"/>
  <c r="E323" i="2" s="1"/>
  <c r="E357" i="2" s="1"/>
  <c r="E391" i="2" s="1"/>
  <c r="E87" i="2"/>
  <c r="E121" i="2" s="1"/>
  <c r="E155" i="2" s="1"/>
  <c r="E189" i="2" s="1"/>
  <c r="E223" i="2" s="1"/>
  <c r="E257" i="2" s="1"/>
  <c r="E291" i="2" s="1"/>
  <c r="E325" i="2" s="1"/>
  <c r="E359" i="2" s="1"/>
  <c r="E393" i="2" s="1"/>
  <c r="E88" i="2"/>
  <c r="E122" i="2" s="1"/>
  <c r="E156" i="2" s="1"/>
  <c r="E190" i="2" s="1"/>
  <c r="E224" i="2" s="1"/>
  <c r="E258" i="2" s="1"/>
  <c r="E292" i="2" s="1"/>
  <c r="E326" i="2" s="1"/>
  <c r="E360" i="2" s="1"/>
  <c r="E394" i="2" s="1"/>
  <c r="E89" i="2"/>
  <c r="E123" i="2" s="1"/>
  <c r="E157" i="2" s="1"/>
  <c r="E191" i="2" s="1"/>
  <c r="E225" i="2" s="1"/>
  <c r="E259" i="2" s="1"/>
  <c r="E293" i="2" s="1"/>
  <c r="E327" i="2" s="1"/>
  <c r="E361" i="2" s="1"/>
  <c r="E395" i="2" s="1"/>
  <c r="E93" i="2"/>
  <c r="E127" i="2" s="1"/>
  <c r="E161" i="2" s="1"/>
  <c r="E195" i="2" s="1"/>
  <c r="E229" i="2" s="1"/>
  <c r="E263" i="2" s="1"/>
  <c r="E297" i="2" s="1"/>
  <c r="E331" i="2" s="1"/>
  <c r="E365" i="2" s="1"/>
  <c r="E399" i="2" s="1"/>
  <c r="E94" i="2"/>
  <c r="E128" i="2" s="1"/>
  <c r="E162" i="2" s="1"/>
  <c r="E196" i="2" s="1"/>
  <c r="E230" i="2" s="1"/>
  <c r="E264" i="2" s="1"/>
  <c r="E298" i="2" s="1"/>
  <c r="E332" i="2" s="1"/>
  <c r="E366" i="2" s="1"/>
  <c r="E400" i="2" s="1"/>
  <c r="E95" i="2"/>
  <c r="E129" i="2" s="1"/>
  <c r="E163" i="2" s="1"/>
  <c r="E197" i="2" s="1"/>
  <c r="E231" i="2" s="1"/>
  <c r="E265" i="2" s="1"/>
  <c r="E299" i="2" s="1"/>
  <c r="E333" i="2" s="1"/>
  <c r="E367" i="2" s="1"/>
  <c r="E401" i="2" s="1"/>
  <c r="E96" i="2"/>
  <c r="E130" i="2" s="1"/>
  <c r="E164" i="2" s="1"/>
  <c r="E198" i="2" s="1"/>
  <c r="E232" i="2" s="1"/>
  <c r="E266" i="2" s="1"/>
  <c r="E300" i="2" s="1"/>
  <c r="E334" i="2" s="1"/>
  <c r="E368" i="2" s="1"/>
  <c r="E402" i="2" s="1"/>
  <c r="B27" i="33"/>
  <c r="C27" i="33"/>
  <c r="B28" i="33"/>
  <c r="C28" i="33"/>
  <c r="B29" i="33"/>
  <c r="C29" i="33"/>
  <c r="B30" i="33"/>
  <c r="C30" i="33"/>
  <c r="B26" i="10"/>
  <c r="B27" i="10"/>
  <c r="B28" i="10"/>
  <c r="B29" i="10"/>
  <c r="B29" i="35"/>
  <c r="B30" i="35"/>
  <c r="B31" i="35"/>
  <c r="B32" i="35"/>
  <c r="B44" i="2"/>
  <c r="B39" i="38" s="1"/>
  <c r="B45" i="2"/>
  <c r="B40" i="38" s="1"/>
  <c r="B46" i="2"/>
  <c r="B41" i="38" s="1"/>
  <c r="B47" i="2"/>
  <c r="B42" i="38" s="1"/>
  <c r="B48" i="2"/>
  <c r="B43" i="38" s="1"/>
  <c r="B49" i="2"/>
  <c r="B44" i="38" s="1"/>
  <c r="B50" i="2"/>
  <c r="B45" i="38" s="1"/>
  <c r="B51" i="2"/>
  <c r="B46" i="38" s="1"/>
  <c r="B52" i="2"/>
  <c r="B47" i="38" s="1"/>
  <c r="B53" i="2"/>
  <c r="B48" i="38" s="1"/>
  <c r="B54" i="2"/>
  <c r="B49" i="38" s="1"/>
  <c r="B55" i="2"/>
  <c r="B56" i="2"/>
  <c r="B57" i="2"/>
  <c r="B58" i="2"/>
  <c r="B59" i="2"/>
  <c r="B60" i="2"/>
  <c r="B61" i="2"/>
  <c r="B62" i="2"/>
  <c r="B63" i="2"/>
  <c r="B64" i="2"/>
  <c r="B61" i="3"/>
  <c r="B26" i="3"/>
  <c r="C26" i="3"/>
  <c r="B27" i="3"/>
  <c r="C27" i="3"/>
  <c r="B28" i="3"/>
  <c r="C28" i="3"/>
  <c r="B29" i="3"/>
  <c r="C29" i="3"/>
  <c r="B30" i="3"/>
  <c r="C30" i="3"/>
  <c r="B25" i="29"/>
  <c r="B26" i="29"/>
  <c r="B27" i="29"/>
  <c r="B28" i="29"/>
  <c r="D417" i="2"/>
  <c r="F417" i="2"/>
  <c r="R417" i="2"/>
  <c r="R429" i="2" s="1"/>
  <c r="S417" i="2"/>
  <c r="S429" i="2" s="1"/>
  <c r="T417" i="2"/>
  <c r="T429" i="2" s="1"/>
  <c r="U417" i="2"/>
  <c r="U429" i="2" s="1"/>
  <c r="W417" i="2"/>
  <c r="W429" i="2" s="1"/>
  <c r="X417" i="2"/>
  <c r="X429" i="2" s="1"/>
  <c r="Y417" i="2"/>
  <c r="Y429" i="2" s="1"/>
  <c r="Z417" i="2"/>
  <c r="Z429" i="2" s="1"/>
  <c r="AA417" i="2"/>
  <c r="AA429" i="2" s="1"/>
  <c r="AB417" i="2"/>
  <c r="AB429" i="2" s="1"/>
  <c r="AD417" i="2"/>
  <c r="AD429" i="2" s="1"/>
  <c r="AE417" i="2"/>
  <c r="AE429" i="2" s="1"/>
  <c r="AG417" i="2"/>
  <c r="AG429" i="2" s="1"/>
  <c r="AH417" i="2"/>
  <c r="AH429" i="2" s="1"/>
  <c r="AI417" i="2"/>
  <c r="AI429" i="2" s="1"/>
  <c r="AJ417" i="2"/>
  <c r="AJ429" i="2" s="1"/>
  <c r="AL417" i="2"/>
  <c r="AL429" i="2" s="1"/>
  <c r="B30" i="2"/>
  <c r="B27" i="2"/>
  <c r="B28" i="2"/>
  <c r="B29" i="2"/>
  <c r="O421" i="29"/>
  <c r="O386" i="29"/>
  <c r="O351" i="29"/>
  <c r="O316" i="29"/>
  <c r="O281" i="29"/>
  <c r="O245" i="29"/>
  <c r="O211" i="29"/>
  <c r="O176" i="29"/>
  <c r="O142" i="29"/>
  <c r="O108" i="29"/>
  <c r="O73" i="29"/>
  <c r="O39" i="29"/>
  <c r="N527" i="12"/>
  <c r="C559" i="12"/>
  <c r="C558" i="12"/>
  <c r="E388" i="33"/>
  <c r="E353" i="33"/>
  <c r="E318" i="33"/>
  <c r="E283" i="33"/>
  <c r="E248" i="33"/>
  <c r="E213" i="33"/>
  <c r="E178" i="33"/>
  <c r="E143" i="33"/>
  <c r="E108" i="33"/>
  <c r="E73" i="33"/>
  <c r="E38" i="33"/>
  <c r="E3" i="33"/>
  <c r="C397" i="3"/>
  <c r="C361" i="3"/>
  <c r="C325" i="3"/>
  <c r="C289" i="3"/>
  <c r="C253" i="3"/>
  <c r="C217" i="3"/>
  <c r="C181" i="3"/>
  <c r="C145" i="3"/>
  <c r="C109" i="3"/>
  <c r="C73" i="3"/>
  <c r="C37" i="3"/>
  <c r="B432" i="35"/>
  <c r="B433" i="35"/>
  <c r="B434" i="35"/>
  <c r="B435" i="35"/>
  <c r="B436" i="35"/>
  <c r="B437" i="35"/>
  <c r="B438" i="35"/>
  <c r="B439" i="35"/>
  <c r="B440" i="35"/>
  <c r="B441" i="35"/>
  <c r="B442" i="35"/>
  <c r="B443" i="35"/>
  <c r="B444" i="35"/>
  <c r="B445" i="35"/>
  <c r="B446" i="35"/>
  <c r="B447" i="35"/>
  <c r="B448" i="35"/>
  <c r="B397" i="35"/>
  <c r="B398" i="35"/>
  <c r="B399" i="35"/>
  <c r="B400" i="35"/>
  <c r="B401" i="35"/>
  <c r="B402" i="35"/>
  <c r="B403" i="35"/>
  <c r="B404" i="35"/>
  <c r="B405" i="35"/>
  <c r="B406" i="35"/>
  <c r="B407" i="35"/>
  <c r="B408" i="35"/>
  <c r="B409" i="35"/>
  <c r="B410" i="35"/>
  <c r="B411" i="35"/>
  <c r="B412" i="35"/>
  <c r="B413" i="35"/>
  <c r="B362" i="35"/>
  <c r="B363" i="35"/>
  <c r="B364" i="35"/>
  <c r="B365" i="35"/>
  <c r="B366" i="35"/>
  <c r="B367" i="35"/>
  <c r="B368" i="35"/>
  <c r="B369" i="35"/>
  <c r="B370" i="35"/>
  <c r="B371" i="35"/>
  <c r="B372" i="35"/>
  <c r="B373" i="35"/>
  <c r="B374" i="35"/>
  <c r="B375" i="35"/>
  <c r="B376" i="35"/>
  <c r="B377" i="35"/>
  <c r="B378" i="35"/>
  <c r="B343" i="35"/>
  <c r="B327" i="35"/>
  <c r="B328" i="35"/>
  <c r="B329" i="35"/>
  <c r="B330" i="35"/>
  <c r="B331" i="35"/>
  <c r="B332" i="35"/>
  <c r="B333" i="35"/>
  <c r="B334" i="35"/>
  <c r="B335" i="35"/>
  <c r="B336" i="35"/>
  <c r="B337" i="35"/>
  <c r="B338" i="35"/>
  <c r="B339" i="35"/>
  <c r="B340" i="35"/>
  <c r="B341" i="35"/>
  <c r="B342" i="35"/>
  <c r="B308" i="35"/>
  <c r="B292" i="35"/>
  <c r="B293" i="35"/>
  <c r="B294" i="35"/>
  <c r="B295" i="35"/>
  <c r="B296" i="35"/>
  <c r="B297" i="35"/>
  <c r="B298" i="35"/>
  <c r="B299" i="35"/>
  <c r="B300" i="35"/>
  <c r="B301" i="35"/>
  <c r="B302" i="35"/>
  <c r="B303" i="35"/>
  <c r="B304" i="35"/>
  <c r="B305" i="35"/>
  <c r="B306" i="35"/>
  <c r="B307" i="35"/>
  <c r="B257" i="35"/>
  <c r="B258" i="35"/>
  <c r="B259" i="35"/>
  <c r="B260" i="35"/>
  <c r="B261" i="35"/>
  <c r="B262" i="35"/>
  <c r="B263" i="35"/>
  <c r="B264" i="35"/>
  <c r="B265" i="35"/>
  <c r="B266" i="35"/>
  <c r="B267" i="35"/>
  <c r="B268" i="35"/>
  <c r="B269" i="35"/>
  <c r="B270" i="35"/>
  <c r="B271" i="35"/>
  <c r="B272" i="35"/>
  <c r="B273" i="35"/>
  <c r="B186" i="35"/>
  <c r="B222" i="35" s="1"/>
  <c r="B187" i="35"/>
  <c r="B223" i="35" s="1"/>
  <c r="B188" i="35"/>
  <c r="B224" i="35" s="1"/>
  <c r="B189" i="35"/>
  <c r="B225" i="35" s="1"/>
  <c r="B190" i="35"/>
  <c r="B226" i="35" s="1"/>
  <c r="B191" i="35"/>
  <c r="B227" i="35" s="1"/>
  <c r="B192" i="35"/>
  <c r="B228" i="35" s="1"/>
  <c r="B193" i="35"/>
  <c r="B229" i="35" s="1"/>
  <c r="B194" i="35"/>
  <c r="B230" i="35" s="1"/>
  <c r="B195" i="35"/>
  <c r="B231" i="35" s="1"/>
  <c r="B196" i="35"/>
  <c r="B232" i="35" s="1"/>
  <c r="B197" i="35"/>
  <c r="B233" i="35" s="1"/>
  <c r="B198" i="35"/>
  <c r="B234" i="35" s="1"/>
  <c r="B199" i="35"/>
  <c r="B235" i="35" s="1"/>
  <c r="B200" i="35"/>
  <c r="B236" i="35" s="1"/>
  <c r="B201" i="35"/>
  <c r="B237" i="35" s="1"/>
  <c r="B202" i="35"/>
  <c r="B238" i="35" s="1"/>
  <c r="B151" i="35"/>
  <c r="B152" i="35"/>
  <c r="B153" i="35"/>
  <c r="B154" i="35"/>
  <c r="B155" i="35"/>
  <c r="B156" i="35"/>
  <c r="B157" i="35"/>
  <c r="B158" i="35"/>
  <c r="B159" i="35"/>
  <c r="B160" i="35"/>
  <c r="B161" i="35"/>
  <c r="B162" i="35"/>
  <c r="B163" i="35"/>
  <c r="B164" i="35"/>
  <c r="B165" i="35"/>
  <c r="B166" i="35"/>
  <c r="B167" i="35"/>
  <c r="B116" i="35"/>
  <c r="B117" i="35"/>
  <c r="B118" i="35"/>
  <c r="B119" i="35"/>
  <c r="B120" i="35"/>
  <c r="B121" i="35"/>
  <c r="B122" i="35"/>
  <c r="B123" i="35"/>
  <c r="B124" i="35"/>
  <c r="B125" i="35"/>
  <c r="B126" i="35"/>
  <c r="B127" i="35"/>
  <c r="B128" i="35"/>
  <c r="B129" i="35"/>
  <c r="B130" i="35"/>
  <c r="B131" i="35"/>
  <c r="B132" i="35"/>
  <c r="B81" i="35"/>
  <c r="B82" i="35"/>
  <c r="B83" i="35"/>
  <c r="B84" i="35"/>
  <c r="B85" i="35"/>
  <c r="B86" i="35"/>
  <c r="B87" i="35"/>
  <c r="B88" i="35"/>
  <c r="B89" i="35"/>
  <c r="B90" i="35"/>
  <c r="B91" i="35"/>
  <c r="B46" i="35"/>
  <c r="B47" i="35"/>
  <c r="B48" i="35"/>
  <c r="B49" i="35"/>
  <c r="B50" i="35"/>
  <c r="B51" i="35"/>
  <c r="B52" i="35"/>
  <c r="B53" i="35"/>
  <c r="B54" i="35"/>
  <c r="B55" i="35"/>
  <c r="B56" i="35"/>
  <c r="B57" i="35"/>
  <c r="B58" i="35"/>
  <c r="B59" i="35"/>
  <c r="B60" i="35"/>
  <c r="B61" i="35"/>
  <c r="B62" i="35"/>
  <c r="B12" i="35"/>
  <c r="B13" i="35"/>
  <c r="B14" i="35"/>
  <c r="B15" i="35"/>
  <c r="B16" i="35"/>
  <c r="B17" i="35"/>
  <c r="B18" i="35"/>
  <c r="B19" i="35"/>
  <c r="B20" i="35"/>
  <c r="B21" i="35"/>
  <c r="B22" i="35"/>
  <c r="B23" i="35"/>
  <c r="B24" i="35"/>
  <c r="B25" i="35"/>
  <c r="B26" i="35"/>
  <c r="B27" i="35"/>
  <c r="B28" i="35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27" i="10"/>
  <c r="C422" i="10"/>
  <c r="AP454" i="33"/>
  <c r="AP455" i="33"/>
  <c r="AP456" i="33"/>
  <c r="AP457" i="33"/>
  <c r="AP458" i="33"/>
  <c r="AP459" i="33"/>
  <c r="AP460" i="33"/>
  <c r="AP461" i="33"/>
  <c r="AP462" i="33"/>
  <c r="AP463" i="33"/>
  <c r="AP464" i="33"/>
  <c r="AP465" i="33"/>
  <c r="AP466" i="33"/>
  <c r="AP467" i="33"/>
  <c r="AP468" i="33"/>
  <c r="AP469" i="33"/>
  <c r="AP470" i="33"/>
  <c r="M454" i="33"/>
  <c r="O454" i="33"/>
  <c r="P454" i="33"/>
  <c r="Q454" i="33"/>
  <c r="S454" i="33"/>
  <c r="T454" i="33"/>
  <c r="U454" i="33"/>
  <c r="V454" i="33"/>
  <c r="X454" i="33"/>
  <c r="AA454" i="33"/>
  <c r="AD454" i="33"/>
  <c r="AF454" i="33"/>
  <c r="AH454" i="33"/>
  <c r="AI454" i="33"/>
  <c r="AJ454" i="33"/>
  <c r="AK454" i="33"/>
  <c r="AL454" i="33"/>
  <c r="AN454" i="33"/>
  <c r="M455" i="33"/>
  <c r="O455" i="33"/>
  <c r="P455" i="33"/>
  <c r="Q455" i="33"/>
  <c r="S455" i="33"/>
  <c r="T455" i="33"/>
  <c r="U455" i="33"/>
  <c r="V455" i="33"/>
  <c r="X455" i="33"/>
  <c r="AA455" i="33"/>
  <c r="AD455" i="33"/>
  <c r="AF455" i="33"/>
  <c r="AH455" i="33"/>
  <c r="AI455" i="33"/>
  <c r="AJ455" i="33"/>
  <c r="AK455" i="33"/>
  <c r="AL455" i="33"/>
  <c r="AN455" i="33"/>
  <c r="M456" i="33"/>
  <c r="O456" i="33"/>
  <c r="P456" i="33"/>
  <c r="Q456" i="33"/>
  <c r="S456" i="33"/>
  <c r="T456" i="33"/>
  <c r="U456" i="33"/>
  <c r="V456" i="33"/>
  <c r="X456" i="33"/>
  <c r="AA456" i="33"/>
  <c r="AD456" i="33"/>
  <c r="AF456" i="33"/>
  <c r="AH456" i="33"/>
  <c r="AI456" i="33"/>
  <c r="AJ456" i="33"/>
  <c r="AK456" i="33"/>
  <c r="AL456" i="33"/>
  <c r="AN456" i="33"/>
  <c r="M457" i="33"/>
  <c r="O457" i="33"/>
  <c r="P457" i="33"/>
  <c r="Q457" i="33"/>
  <c r="S457" i="33"/>
  <c r="T457" i="33"/>
  <c r="U457" i="33"/>
  <c r="V457" i="33"/>
  <c r="X457" i="33"/>
  <c r="AA457" i="33"/>
  <c r="AD457" i="33"/>
  <c r="AF457" i="33"/>
  <c r="AH457" i="33"/>
  <c r="AI457" i="33"/>
  <c r="AJ457" i="33"/>
  <c r="AK457" i="33"/>
  <c r="AL457" i="33"/>
  <c r="AN457" i="33"/>
  <c r="M458" i="33"/>
  <c r="O458" i="33"/>
  <c r="P458" i="33"/>
  <c r="Q458" i="33"/>
  <c r="S458" i="33"/>
  <c r="T458" i="33"/>
  <c r="U458" i="33"/>
  <c r="V458" i="33"/>
  <c r="X458" i="33"/>
  <c r="AA458" i="33"/>
  <c r="AD458" i="33"/>
  <c r="AF458" i="33"/>
  <c r="AH458" i="33"/>
  <c r="AI458" i="33"/>
  <c r="AJ458" i="33"/>
  <c r="AK458" i="33"/>
  <c r="AL458" i="33"/>
  <c r="AN458" i="33"/>
  <c r="M459" i="33"/>
  <c r="O459" i="33"/>
  <c r="P459" i="33"/>
  <c r="Q459" i="33"/>
  <c r="S459" i="33"/>
  <c r="T459" i="33"/>
  <c r="U459" i="33"/>
  <c r="V459" i="33"/>
  <c r="X459" i="33"/>
  <c r="AA459" i="33"/>
  <c r="AD459" i="33"/>
  <c r="AF459" i="33"/>
  <c r="AH459" i="33"/>
  <c r="AI459" i="33"/>
  <c r="AJ459" i="33"/>
  <c r="AK459" i="33"/>
  <c r="AL459" i="33"/>
  <c r="AN459" i="33"/>
  <c r="M460" i="33"/>
  <c r="O460" i="33"/>
  <c r="P460" i="33"/>
  <c r="Q460" i="33"/>
  <c r="S460" i="33"/>
  <c r="T460" i="33"/>
  <c r="U460" i="33"/>
  <c r="V460" i="33"/>
  <c r="X460" i="33"/>
  <c r="AA460" i="33"/>
  <c r="AD460" i="33"/>
  <c r="AF460" i="33"/>
  <c r="AH460" i="33"/>
  <c r="AI460" i="33"/>
  <c r="AJ460" i="33"/>
  <c r="AK460" i="33"/>
  <c r="AL460" i="33"/>
  <c r="AN460" i="33"/>
  <c r="M461" i="33"/>
  <c r="O461" i="33"/>
  <c r="P461" i="33"/>
  <c r="Q461" i="33"/>
  <c r="S461" i="33"/>
  <c r="T461" i="33"/>
  <c r="U461" i="33"/>
  <c r="V461" i="33"/>
  <c r="X461" i="33"/>
  <c r="AA461" i="33"/>
  <c r="AD461" i="33"/>
  <c r="AF461" i="33"/>
  <c r="AH461" i="33"/>
  <c r="AI461" i="33"/>
  <c r="AJ461" i="33"/>
  <c r="AK461" i="33"/>
  <c r="AL461" i="33"/>
  <c r="AN461" i="33"/>
  <c r="M462" i="33"/>
  <c r="O462" i="33"/>
  <c r="P462" i="33"/>
  <c r="Q462" i="33"/>
  <c r="S462" i="33"/>
  <c r="T462" i="33"/>
  <c r="U462" i="33"/>
  <c r="V462" i="33"/>
  <c r="X462" i="33"/>
  <c r="AA462" i="33"/>
  <c r="AD462" i="33"/>
  <c r="AF462" i="33"/>
  <c r="AH462" i="33"/>
  <c r="AI462" i="33"/>
  <c r="AJ462" i="33"/>
  <c r="AK462" i="33"/>
  <c r="AL462" i="33"/>
  <c r="AN462" i="33"/>
  <c r="M463" i="33"/>
  <c r="O463" i="33"/>
  <c r="P463" i="33"/>
  <c r="Q463" i="33"/>
  <c r="S463" i="33"/>
  <c r="T463" i="33"/>
  <c r="U463" i="33"/>
  <c r="V463" i="33"/>
  <c r="X463" i="33"/>
  <c r="AA463" i="33"/>
  <c r="AD463" i="33"/>
  <c r="AF463" i="33"/>
  <c r="AH463" i="33"/>
  <c r="AI463" i="33"/>
  <c r="AJ463" i="33"/>
  <c r="AK463" i="33"/>
  <c r="AL463" i="33"/>
  <c r="AN463" i="33"/>
  <c r="M464" i="33"/>
  <c r="O464" i="33"/>
  <c r="P464" i="33"/>
  <c r="Q464" i="33"/>
  <c r="S464" i="33"/>
  <c r="T464" i="33"/>
  <c r="U464" i="33"/>
  <c r="V464" i="33"/>
  <c r="X464" i="33"/>
  <c r="AA464" i="33"/>
  <c r="AD464" i="33"/>
  <c r="AF464" i="33"/>
  <c r="AH464" i="33"/>
  <c r="AI464" i="33"/>
  <c r="AJ464" i="33"/>
  <c r="AK464" i="33"/>
  <c r="AL464" i="33"/>
  <c r="AN464" i="33"/>
  <c r="M465" i="33"/>
  <c r="O465" i="33"/>
  <c r="P465" i="33"/>
  <c r="Q465" i="33"/>
  <c r="S465" i="33"/>
  <c r="T465" i="33"/>
  <c r="U465" i="33"/>
  <c r="V465" i="33"/>
  <c r="X465" i="33"/>
  <c r="AA465" i="33"/>
  <c r="AD465" i="33"/>
  <c r="AF465" i="33"/>
  <c r="AH465" i="33"/>
  <c r="AI465" i="33"/>
  <c r="AJ465" i="33"/>
  <c r="AK465" i="33"/>
  <c r="AL465" i="33"/>
  <c r="AN465" i="33"/>
  <c r="L466" i="33"/>
  <c r="M466" i="33"/>
  <c r="N466" i="33"/>
  <c r="O466" i="33"/>
  <c r="P466" i="33"/>
  <c r="Q466" i="33"/>
  <c r="R466" i="33"/>
  <c r="S466" i="33"/>
  <c r="T466" i="33"/>
  <c r="U466" i="33"/>
  <c r="V466" i="33"/>
  <c r="W466" i="33"/>
  <c r="X466" i="33"/>
  <c r="Z466" i="33"/>
  <c r="AA466" i="33"/>
  <c r="AB466" i="33"/>
  <c r="AC466" i="33"/>
  <c r="AD466" i="33"/>
  <c r="AE466" i="33"/>
  <c r="AF466" i="33"/>
  <c r="AG466" i="33"/>
  <c r="AH466" i="33"/>
  <c r="AI466" i="33"/>
  <c r="AJ466" i="33"/>
  <c r="AK466" i="33"/>
  <c r="AL466" i="33"/>
  <c r="AM466" i="33"/>
  <c r="AN466" i="33"/>
  <c r="AO466" i="33"/>
  <c r="L467" i="33"/>
  <c r="M467" i="33"/>
  <c r="N467" i="33"/>
  <c r="O467" i="33"/>
  <c r="P467" i="33"/>
  <c r="Q467" i="33"/>
  <c r="R467" i="33"/>
  <c r="S467" i="33"/>
  <c r="T467" i="33"/>
  <c r="U467" i="33"/>
  <c r="V467" i="33"/>
  <c r="W467" i="33"/>
  <c r="X467" i="33"/>
  <c r="Z467" i="33"/>
  <c r="AA467" i="33"/>
  <c r="AB467" i="33"/>
  <c r="AC467" i="33"/>
  <c r="AD467" i="33"/>
  <c r="AE467" i="33"/>
  <c r="AF467" i="33"/>
  <c r="AG467" i="33"/>
  <c r="AI467" i="33"/>
  <c r="AJ467" i="33"/>
  <c r="AK467" i="33"/>
  <c r="AL467" i="33"/>
  <c r="AM467" i="33"/>
  <c r="AN467" i="33"/>
  <c r="AO467" i="33"/>
  <c r="L468" i="33"/>
  <c r="M468" i="33"/>
  <c r="N468" i="33"/>
  <c r="O468" i="33"/>
  <c r="P468" i="33"/>
  <c r="Q468" i="33"/>
  <c r="R468" i="33"/>
  <c r="S468" i="33"/>
  <c r="T468" i="33"/>
  <c r="U468" i="33"/>
  <c r="V468" i="33"/>
  <c r="W468" i="33"/>
  <c r="X468" i="33"/>
  <c r="Z468" i="33"/>
  <c r="AA468" i="33"/>
  <c r="AB468" i="33"/>
  <c r="AC468" i="33"/>
  <c r="AD468" i="33"/>
  <c r="AE468" i="33"/>
  <c r="AF468" i="33"/>
  <c r="AG468" i="33"/>
  <c r="AI468" i="33"/>
  <c r="AJ468" i="33"/>
  <c r="AK468" i="33"/>
  <c r="AL468" i="33"/>
  <c r="AM468" i="33"/>
  <c r="AN468" i="33"/>
  <c r="AO468" i="33"/>
  <c r="L469" i="33"/>
  <c r="M469" i="33"/>
  <c r="N469" i="33"/>
  <c r="O469" i="33"/>
  <c r="P469" i="33"/>
  <c r="Q469" i="33"/>
  <c r="R469" i="33"/>
  <c r="S469" i="33"/>
  <c r="T469" i="33"/>
  <c r="U469" i="33"/>
  <c r="V469" i="33"/>
  <c r="W469" i="33"/>
  <c r="X469" i="33"/>
  <c r="Z469" i="33"/>
  <c r="AA469" i="33"/>
  <c r="AB469" i="33"/>
  <c r="AC469" i="33"/>
  <c r="AD469" i="33"/>
  <c r="AE469" i="33"/>
  <c r="AF469" i="33"/>
  <c r="AG469" i="33"/>
  <c r="AI469" i="33"/>
  <c r="AJ469" i="33"/>
  <c r="AK469" i="33"/>
  <c r="AL469" i="33"/>
  <c r="AM469" i="33"/>
  <c r="AN469" i="33"/>
  <c r="AO469" i="33"/>
  <c r="L470" i="33"/>
  <c r="M470" i="33"/>
  <c r="N470" i="33"/>
  <c r="O470" i="33"/>
  <c r="P470" i="33"/>
  <c r="Q470" i="33"/>
  <c r="R470" i="33"/>
  <c r="S470" i="33"/>
  <c r="T470" i="33"/>
  <c r="U470" i="33"/>
  <c r="V470" i="33"/>
  <c r="W470" i="33"/>
  <c r="X470" i="33"/>
  <c r="Z470" i="33"/>
  <c r="AA470" i="33"/>
  <c r="AB470" i="33"/>
  <c r="AC470" i="33"/>
  <c r="AD470" i="33"/>
  <c r="AE470" i="33"/>
  <c r="AF470" i="33"/>
  <c r="AG470" i="33"/>
  <c r="AI470" i="33"/>
  <c r="AJ470" i="33"/>
  <c r="AK470" i="33"/>
  <c r="AL470" i="33"/>
  <c r="AM470" i="33"/>
  <c r="AN470" i="33"/>
  <c r="AO470" i="33"/>
  <c r="D429" i="33"/>
  <c r="B455" i="33"/>
  <c r="B456" i="33"/>
  <c r="B457" i="33"/>
  <c r="B458" i="33"/>
  <c r="B459" i="33"/>
  <c r="B460" i="33"/>
  <c r="B461" i="33"/>
  <c r="B462" i="33"/>
  <c r="B463" i="33"/>
  <c r="B464" i="33"/>
  <c r="B465" i="33"/>
  <c r="B466" i="33"/>
  <c r="B467" i="33"/>
  <c r="B468" i="33"/>
  <c r="B469" i="33"/>
  <c r="B470" i="33"/>
  <c r="B454" i="33"/>
  <c r="E447" i="33"/>
  <c r="B452" i="29"/>
  <c r="B453" i="29"/>
  <c r="B454" i="29"/>
  <c r="B455" i="29"/>
  <c r="B456" i="29"/>
  <c r="B457" i="29"/>
  <c r="B458" i="29"/>
  <c r="B459" i="29"/>
  <c r="B460" i="29"/>
  <c r="B461" i="29"/>
  <c r="B462" i="29"/>
  <c r="B463" i="29"/>
  <c r="B464" i="29"/>
  <c r="B465" i="29"/>
  <c r="B466" i="29"/>
  <c r="B467" i="29"/>
  <c r="B468" i="29"/>
  <c r="B451" i="29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41" i="2"/>
  <c r="C435" i="2"/>
  <c r="C3" i="3"/>
  <c r="D527" i="12"/>
  <c r="E527" i="12"/>
  <c r="F527" i="12"/>
  <c r="G527" i="12"/>
  <c r="H527" i="12"/>
  <c r="I527" i="12"/>
  <c r="J527" i="12"/>
  <c r="K527" i="12"/>
  <c r="L527" i="12"/>
  <c r="C527" i="12"/>
  <c r="D483" i="12"/>
  <c r="E483" i="12"/>
  <c r="F483" i="12"/>
  <c r="G483" i="12"/>
  <c r="H483" i="12"/>
  <c r="I483" i="12"/>
  <c r="J483" i="12"/>
  <c r="K483" i="12"/>
  <c r="L483" i="12"/>
  <c r="N483" i="12"/>
  <c r="C483" i="12"/>
  <c r="D439" i="12"/>
  <c r="E439" i="12"/>
  <c r="F439" i="12"/>
  <c r="G439" i="12"/>
  <c r="H439" i="12"/>
  <c r="I439" i="12"/>
  <c r="J439" i="12"/>
  <c r="K439" i="12"/>
  <c r="L439" i="12"/>
  <c r="N439" i="12"/>
  <c r="C439" i="12"/>
  <c r="D395" i="12"/>
  <c r="E395" i="12"/>
  <c r="F395" i="12"/>
  <c r="G395" i="12"/>
  <c r="H395" i="12"/>
  <c r="I395" i="12"/>
  <c r="J395" i="12"/>
  <c r="K395" i="12"/>
  <c r="L395" i="12"/>
  <c r="N395" i="12"/>
  <c r="C395" i="12"/>
  <c r="C351" i="12"/>
  <c r="D351" i="12"/>
  <c r="E351" i="12"/>
  <c r="F351" i="12"/>
  <c r="G351" i="12"/>
  <c r="H351" i="12"/>
  <c r="I351" i="12"/>
  <c r="J351" i="12"/>
  <c r="K351" i="12"/>
  <c r="L351" i="12"/>
  <c r="N351" i="12"/>
  <c r="D307" i="12"/>
  <c r="E307" i="12"/>
  <c r="F307" i="12"/>
  <c r="G307" i="12"/>
  <c r="H307" i="12"/>
  <c r="I307" i="12"/>
  <c r="J307" i="12"/>
  <c r="K307" i="12"/>
  <c r="L307" i="12"/>
  <c r="N307" i="12"/>
  <c r="C307" i="12"/>
  <c r="D263" i="12"/>
  <c r="E263" i="12"/>
  <c r="F263" i="12"/>
  <c r="G263" i="12"/>
  <c r="H263" i="12"/>
  <c r="I263" i="12"/>
  <c r="J263" i="12"/>
  <c r="K263" i="12"/>
  <c r="L263" i="12"/>
  <c r="N263" i="12"/>
  <c r="C263" i="12"/>
  <c r="D219" i="12"/>
  <c r="E219" i="12"/>
  <c r="F219" i="12"/>
  <c r="G219" i="12"/>
  <c r="H219" i="12"/>
  <c r="I219" i="12"/>
  <c r="J219" i="12"/>
  <c r="K219" i="12"/>
  <c r="L219" i="12"/>
  <c r="N219" i="12"/>
  <c r="C219" i="12"/>
  <c r="C175" i="12"/>
  <c r="D175" i="12"/>
  <c r="E175" i="12"/>
  <c r="F175" i="12"/>
  <c r="G175" i="12"/>
  <c r="H175" i="12"/>
  <c r="I175" i="12"/>
  <c r="J175" i="12"/>
  <c r="L175" i="12"/>
  <c r="N175" i="12"/>
  <c r="N131" i="12"/>
  <c r="D131" i="12"/>
  <c r="E131" i="12"/>
  <c r="F131" i="12"/>
  <c r="G131" i="12"/>
  <c r="H131" i="12"/>
  <c r="I131" i="12"/>
  <c r="J131" i="12"/>
  <c r="K131" i="12"/>
  <c r="L131" i="12"/>
  <c r="C131" i="12"/>
  <c r="D43" i="12"/>
  <c r="E43" i="12"/>
  <c r="F43" i="12"/>
  <c r="G43" i="12"/>
  <c r="H43" i="12"/>
  <c r="I43" i="12"/>
  <c r="J43" i="12"/>
  <c r="K43" i="12"/>
  <c r="L43" i="12"/>
  <c r="N43" i="12"/>
  <c r="C43" i="12"/>
  <c r="D87" i="12"/>
  <c r="E87" i="12"/>
  <c r="F87" i="12"/>
  <c r="G87" i="12"/>
  <c r="H87" i="12"/>
  <c r="I87" i="12"/>
  <c r="J87" i="12"/>
  <c r="K87" i="12"/>
  <c r="L87" i="12"/>
  <c r="N87" i="12"/>
  <c r="C87" i="12"/>
  <c r="AF368" i="3"/>
  <c r="AF369" i="3"/>
  <c r="AF370" i="3"/>
  <c r="AF371" i="3"/>
  <c r="AF372" i="3"/>
  <c r="AF373" i="3"/>
  <c r="AF374" i="3"/>
  <c r="AF375" i="3"/>
  <c r="AF376" i="3"/>
  <c r="AF377" i="3"/>
  <c r="AF378" i="3"/>
  <c r="AF379" i="3"/>
  <c r="AF380" i="3"/>
  <c r="AF381" i="3"/>
  <c r="AF382" i="3"/>
  <c r="AF383" i="3"/>
  <c r="AF384" i="3"/>
  <c r="AF367" i="3"/>
  <c r="AF296" i="3"/>
  <c r="AF297" i="3"/>
  <c r="AF298" i="3"/>
  <c r="AF260" i="3"/>
  <c r="AF224" i="3"/>
  <c r="AF152" i="3"/>
  <c r="AF153" i="3"/>
  <c r="AF154" i="3"/>
  <c r="AF155" i="3"/>
  <c r="AF156" i="3"/>
  <c r="AF157" i="3"/>
  <c r="AF158" i="3"/>
  <c r="AF159" i="3"/>
  <c r="AF160" i="3"/>
  <c r="AF161" i="3"/>
  <c r="AF162" i="3"/>
  <c r="AF163" i="3"/>
  <c r="AF164" i="3"/>
  <c r="AF165" i="3"/>
  <c r="AF166" i="3"/>
  <c r="AF167" i="3"/>
  <c r="AF168" i="3"/>
  <c r="C188" i="33"/>
  <c r="C189" i="33"/>
  <c r="C197" i="33"/>
  <c r="AJ404" i="3"/>
  <c r="AJ405" i="3"/>
  <c r="AJ406" i="3"/>
  <c r="AJ407" i="3"/>
  <c r="AJ408" i="3"/>
  <c r="AJ409" i="3"/>
  <c r="AJ410" i="3"/>
  <c r="AJ411" i="3"/>
  <c r="AJ412" i="3"/>
  <c r="AJ413" i="3"/>
  <c r="AJ414" i="3"/>
  <c r="AJ415" i="3"/>
  <c r="AJ416" i="3"/>
  <c r="AJ417" i="3"/>
  <c r="AJ418" i="3"/>
  <c r="AJ419" i="3"/>
  <c r="AJ420" i="3"/>
  <c r="AF404" i="3"/>
  <c r="AF405" i="3"/>
  <c r="AF406" i="3"/>
  <c r="AF407" i="3"/>
  <c r="AF408" i="3"/>
  <c r="AF409" i="3"/>
  <c r="AF410" i="3"/>
  <c r="AF411" i="3"/>
  <c r="AF412" i="3"/>
  <c r="AF413" i="3"/>
  <c r="AF414" i="3"/>
  <c r="AF415" i="3"/>
  <c r="AF416" i="3"/>
  <c r="AF417" i="3"/>
  <c r="AF418" i="3"/>
  <c r="AF419" i="3"/>
  <c r="AF420" i="3"/>
  <c r="AJ368" i="3"/>
  <c r="AJ369" i="3"/>
  <c r="AJ370" i="3"/>
  <c r="AJ371" i="3"/>
  <c r="AJ372" i="3"/>
  <c r="AJ373" i="3"/>
  <c r="AJ374" i="3"/>
  <c r="AJ375" i="3"/>
  <c r="AJ376" i="3"/>
  <c r="AJ377" i="3"/>
  <c r="AJ378" i="3"/>
  <c r="AJ379" i="3"/>
  <c r="AJ380" i="3"/>
  <c r="AJ381" i="3"/>
  <c r="AJ382" i="3"/>
  <c r="AJ383" i="3"/>
  <c r="AJ384" i="3"/>
  <c r="AJ332" i="3"/>
  <c r="AJ333" i="3"/>
  <c r="AJ296" i="3"/>
  <c r="AJ297" i="3"/>
  <c r="AJ260" i="3"/>
  <c r="AJ261" i="3"/>
  <c r="AJ262" i="3"/>
  <c r="AJ224" i="3"/>
  <c r="AJ225" i="3"/>
  <c r="AJ226" i="3"/>
  <c r="AJ188" i="3"/>
  <c r="AJ189" i="3"/>
  <c r="AJ190" i="3"/>
  <c r="AJ152" i="3"/>
  <c r="AJ153" i="3"/>
  <c r="AJ154" i="3"/>
  <c r="AJ155" i="3"/>
  <c r="AJ156" i="3"/>
  <c r="AJ157" i="3"/>
  <c r="AJ158" i="3"/>
  <c r="AJ159" i="3"/>
  <c r="AJ160" i="3"/>
  <c r="AJ161" i="3"/>
  <c r="AJ162" i="3"/>
  <c r="AJ163" i="3"/>
  <c r="AJ164" i="3"/>
  <c r="AJ165" i="3"/>
  <c r="AJ166" i="3"/>
  <c r="AJ167" i="3"/>
  <c r="AJ168" i="3"/>
  <c r="AF403" i="3"/>
  <c r="AJ403" i="3"/>
  <c r="AJ367" i="3"/>
  <c r="AJ331" i="3"/>
  <c r="AF331" i="3"/>
  <c r="AJ295" i="3"/>
  <c r="AF295" i="3"/>
  <c r="AJ259" i="3"/>
  <c r="AF259" i="3"/>
  <c r="AJ223" i="3"/>
  <c r="AF223" i="3"/>
  <c r="AJ187" i="3"/>
  <c r="AF187" i="3"/>
  <c r="AJ151" i="3"/>
  <c r="AF151" i="3"/>
  <c r="B431" i="35"/>
  <c r="B396" i="35"/>
  <c r="B361" i="35"/>
  <c r="B326" i="35"/>
  <c r="B291" i="35"/>
  <c r="B256" i="35"/>
  <c r="B185" i="35"/>
  <c r="B221" i="35" s="1"/>
  <c r="B150" i="35"/>
  <c r="B115" i="35"/>
  <c r="B80" i="35"/>
  <c r="B45" i="35"/>
  <c r="D2" i="35"/>
  <c r="D36" i="35" s="1"/>
  <c r="D212" i="35" s="1"/>
  <c r="B11" i="35"/>
  <c r="I395" i="33"/>
  <c r="I396" i="33"/>
  <c r="I397" i="33"/>
  <c r="I398" i="33"/>
  <c r="I399" i="33"/>
  <c r="I400" i="33"/>
  <c r="I401" i="33"/>
  <c r="I402" i="33"/>
  <c r="I403" i="33"/>
  <c r="I404" i="33"/>
  <c r="I405" i="33"/>
  <c r="I406" i="33"/>
  <c r="I407" i="33"/>
  <c r="I408" i="33"/>
  <c r="I409" i="33"/>
  <c r="I410" i="33"/>
  <c r="I394" i="33"/>
  <c r="E395" i="33"/>
  <c r="E396" i="33"/>
  <c r="E397" i="33"/>
  <c r="E398" i="33"/>
  <c r="E399" i="33"/>
  <c r="E400" i="33"/>
  <c r="E401" i="33"/>
  <c r="E402" i="33"/>
  <c r="E403" i="33"/>
  <c r="E404" i="33"/>
  <c r="E405" i="33"/>
  <c r="E406" i="33"/>
  <c r="E407" i="33"/>
  <c r="E408" i="33"/>
  <c r="E409" i="33"/>
  <c r="E410" i="33"/>
  <c r="E394" i="33"/>
  <c r="I360" i="33"/>
  <c r="I361" i="33"/>
  <c r="I362" i="33"/>
  <c r="I363" i="33"/>
  <c r="I364" i="33"/>
  <c r="I365" i="33"/>
  <c r="I366" i="33"/>
  <c r="I367" i="33"/>
  <c r="I368" i="33"/>
  <c r="I369" i="33"/>
  <c r="I370" i="33"/>
  <c r="I371" i="33"/>
  <c r="I372" i="33"/>
  <c r="I373" i="33"/>
  <c r="I359" i="33"/>
  <c r="E360" i="33"/>
  <c r="E361" i="33"/>
  <c r="E362" i="33"/>
  <c r="E363" i="33"/>
  <c r="E364" i="33"/>
  <c r="E365" i="33"/>
  <c r="E366" i="33"/>
  <c r="E367" i="33"/>
  <c r="E368" i="33"/>
  <c r="E369" i="33"/>
  <c r="E370" i="33"/>
  <c r="E371" i="33"/>
  <c r="E372" i="33"/>
  <c r="E373" i="33"/>
  <c r="E359" i="33"/>
  <c r="I324" i="33"/>
  <c r="E324" i="33"/>
  <c r="I290" i="33"/>
  <c r="I291" i="33"/>
  <c r="I292" i="33"/>
  <c r="I293" i="33"/>
  <c r="I294" i="33"/>
  <c r="I295" i="33"/>
  <c r="I296" i="33"/>
  <c r="I297" i="33"/>
  <c r="I298" i="33"/>
  <c r="I299" i="33"/>
  <c r="I300" i="33"/>
  <c r="I301" i="33"/>
  <c r="I302" i="33"/>
  <c r="I303" i="33"/>
  <c r="I304" i="33"/>
  <c r="I305" i="33"/>
  <c r="I289" i="33"/>
  <c r="E290" i="33"/>
  <c r="E291" i="33"/>
  <c r="E292" i="33"/>
  <c r="E293" i="33"/>
  <c r="E294" i="33"/>
  <c r="E295" i="33"/>
  <c r="E296" i="33"/>
  <c r="E297" i="33"/>
  <c r="E298" i="33"/>
  <c r="E299" i="33"/>
  <c r="E300" i="33"/>
  <c r="E301" i="33"/>
  <c r="E302" i="33"/>
  <c r="E303" i="33"/>
  <c r="E304" i="33"/>
  <c r="E305" i="33"/>
  <c r="E289" i="33"/>
  <c r="I255" i="33"/>
  <c r="I256" i="33"/>
  <c r="I257" i="33"/>
  <c r="I258" i="33"/>
  <c r="I259" i="33"/>
  <c r="I260" i="33"/>
  <c r="I261" i="33"/>
  <c r="I262" i="33"/>
  <c r="I263" i="33"/>
  <c r="I264" i="33"/>
  <c r="I265" i="33"/>
  <c r="I266" i="33"/>
  <c r="I267" i="33"/>
  <c r="I268" i="33"/>
  <c r="I269" i="33"/>
  <c r="I254" i="33"/>
  <c r="E255" i="33"/>
  <c r="E256" i="33"/>
  <c r="E257" i="33"/>
  <c r="E258" i="33"/>
  <c r="E259" i="33"/>
  <c r="E260" i="33"/>
  <c r="E261" i="33"/>
  <c r="E262" i="33"/>
  <c r="E263" i="33"/>
  <c r="E264" i="33"/>
  <c r="E265" i="33"/>
  <c r="E266" i="33"/>
  <c r="E267" i="33"/>
  <c r="E268" i="33"/>
  <c r="E269" i="33"/>
  <c r="E254" i="33"/>
  <c r="I219" i="33"/>
  <c r="I241" i="33" s="1"/>
  <c r="E219" i="33"/>
  <c r="E241" i="33" s="1"/>
  <c r="I184" i="33"/>
  <c r="I206" i="33" s="1"/>
  <c r="E184" i="33"/>
  <c r="E206" i="33" s="1"/>
  <c r="I150" i="33"/>
  <c r="I151" i="33"/>
  <c r="I152" i="33"/>
  <c r="I153" i="33"/>
  <c r="I154" i="33"/>
  <c r="I155" i="33"/>
  <c r="I156" i="33"/>
  <c r="I157" i="33"/>
  <c r="I158" i="33"/>
  <c r="I159" i="33"/>
  <c r="I160" i="33"/>
  <c r="I161" i="33"/>
  <c r="I162" i="33"/>
  <c r="I163" i="33"/>
  <c r="I164" i="33"/>
  <c r="I165" i="33"/>
  <c r="I166" i="33"/>
  <c r="I149" i="33"/>
  <c r="E150" i="33"/>
  <c r="E151" i="33"/>
  <c r="E152" i="33"/>
  <c r="E153" i="33"/>
  <c r="E154" i="33"/>
  <c r="E155" i="33"/>
  <c r="E156" i="33"/>
  <c r="E157" i="33"/>
  <c r="E158" i="33"/>
  <c r="E159" i="33"/>
  <c r="E149" i="33"/>
  <c r="I123" i="33"/>
  <c r="I130" i="33"/>
  <c r="I114" i="33"/>
  <c r="E123" i="33"/>
  <c r="I80" i="33"/>
  <c r="I81" i="33"/>
  <c r="I82" i="33"/>
  <c r="I83" i="33"/>
  <c r="I84" i="33"/>
  <c r="I85" i="33"/>
  <c r="I86" i="33"/>
  <c r="I87" i="33"/>
  <c r="I88" i="33"/>
  <c r="I89" i="33"/>
  <c r="I90" i="33"/>
  <c r="I91" i="33"/>
  <c r="I92" i="33"/>
  <c r="I93" i="33"/>
  <c r="I94" i="33"/>
  <c r="I95" i="33"/>
  <c r="I96" i="33"/>
  <c r="I79" i="33"/>
  <c r="E80" i="33"/>
  <c r="E81" i="33"/>
  <c r="E82" i="33"/>
  <c r="E83" i="33"/>
  <c r="E84" i="33"/>
  <c r="E85" i="33"/>
  <c r="E86" i="33"/>
  <c r="E87" i="33"/>
  <c r="E88" i="33"/>
  <c r="E89" i="33"/>
  <c r="E90" i="33"/>
  <c r="E91" i="33"/>
  <c r="E92" i="33"/>
  <c r="E93" i="33"/>
  <c r="E94" i="33"/>
  <c r="E95" i="33"/>
  <c r="E96" i="33"/>
  <c r="E79" i="33"/>
  <c r="I45" i="33"/>
  <c r="I46" i="33"/>
  <c r="I47" i="33"/>
  <c r="I48" i="33"/>
  <c r="I49" i="33"/>
  <c r="I50" i="33"/>
  <c r="I51" i="33"/>
  <c r="I52" i="33"/>
  <c r="I53" i="33"/>
  <c r="I54" i="33"/>
  <c r="I55" i="33"/>
  <c r="I56" i="33"/>
  <c r="I57" i="33"/>
  <c r="I58" i="33"/>
  <c r="I59" i="33"/>
  <c r="I60" i="33"/>
  <c r="I61" i="33"/>
  <c r="I44" i="33"/>
  <c r="E45" i="33"/>
  <c r="E46" i="33"/>
  <c r="E47" i="33"/>
  <c r="E48" i="33"/>
  <c r="E49" i="33"/>
  <c r="E50" i="33"/>
  <c r="E51" i="33"/>
  <c r="E52" i="33"/>
  <c r="E53" i="33"/>
  <c r="E54" i="33"/>
  <c r="E55" i="33"/>
  <c r="E56" i="33"/>
  <c r="E57" i="33"/>
  <c r="E58" i="33"/>
  <c r="E59" i="33"/>
  <c r="E60" i="33"/>
  <c r="E61" i="33"/>
  <c r="E44" i="33"/>
  <c r="H47" i="33"/>
  <c r="H53" i="33"/>
  <c r="H55" i="33"/>
  <c r="H56" i="33"/>
  <c r="H57" i="33"/>
  <c r="H59" i="33"/>
  <c r="I9" i="33"/>
  <c r="D46" i="33"/>
  <c r="D51" i="33"/>
  <c r="D55" i="33"/>
  <c r="D56" i="33"/>
  <c r="D59" i="33"/>
  <c r="E9" i="33"/>
  <c r="F9" i="33" s="1"/>
  <c r="D44" i="33" s="1"/>
  <c r="AS404" i="3"/>
  <c r="AS405" i="3"/>
  <c r="AS406" i="3"/>
  <c r="AS407" i="3"/>
  <c r="AS408" i="3"/>
  <c r="AS409" i="3"/>
  <c r="AS410" i="3"/>
  <c r="AS411" i="3"/>
  <c r="AS412" i="3"/>
  <c r="AS413" i="3"/>
  <c r="AS414" i="3"/>
  <c r="AS415" i="3"/>
  <c r="AS416" i="3"/>
  <c r="AS417" i="3"/>
  <c r="AS418" i="3"/>
  <c r="AS419" i="3"/>
  <c r="AS420" i="3"/>
  <c r="AS403" i="3"/>
  <c r="AS368" i="3"/>
  <c r="AS369" i="3"/>
  <c r="AS370" i="3"/>
  <c r="AS371" i="3"/>
  <c r="AS372" i="3"/>
  <c r="AS373" i="3"/>
  <c r="AS374" i="3"/>
  <c r="AS375" i="3"/>
  <c r="AS376" i="3"/>
  <c r="AS377" i="3"/>
  <c r="AS378" i="3"/>
  <c r="AS379" i="3"/>
  <c r="AS380" i="3"/>
  <c r="AS381" i="3"/>
  <c r="AS382" i="3"/>
  <c r="AS383" i="3"/>
  <c r="AS384" i="3"/>
  <c r="AS367" i="3"/>
  <c r="AS332" i="3"/>
  <c r="AS333" i="3"/>
  <c r="AS334" i="3"/>
  <c r="AS335" i="3"/>
  <c r="AS336" i="3"/>
  <c r="AS337" i="3"/>
  <c r="AS338" i="3"/>
  <c r="AS339" i="3"/>
  <c r="AS340" i="3"/>
  <c r="AS341" i="3"/>
  <c r="AS342" i="3"/>
  <c r="AS343" i="3"/>
  <c r="AS344" i="3"/>
  <c r="AS345" i="3"/>
  <c r="AS346" i="3"/>
  <c r="AS347" i="3"/>
  <c r="AS348" i="3"/>
  <c r="AS331" i="3"/>
  <c r="AS296" i="3"/>
  <c r="AS297" i="3"/>
  <c r="AS298" i="3"/>
  <c r="AS299" i="3"/>
  <c r="AS300" i="3"/>
  <c r="AS301" i="3"/>
  <c r="AS302" i="3"/>
  <c r="AS303" i="3"/>
  <c r="AS304" i="3"/>
  <c r="AS305" i="3"/>
  <c r="AS306" i="3"/>
  <c r="AS307" i="3"/>
  <c r="AS308" i="3"/>
  <c r="AS309" i="3"/>
  <c r="AS310" i="3"/>
  <c r="AS311" i="3"/>
  <c r="AS312" i="3"/>
  <c r="AS295" i="3"/>
  <c r="AS260" i="3"/>
  <c r="AS261" i="3"/>
  <c r="AS262" i="3"/>
  <c r="AS263" i="3"/>
  <c r="AS264" i="3"/>
  <c r="AS265" i="3"/>
  <c r="AS266" i="3"/>
  <c r="AS267" i="3"/>
  <c r="AS268" i="3"/>
  <c r="AS269" i="3"/>
  <c r="AS270" i="3"/>
  <c r="AS271" i="3"/>
  <c r="AS272" i="3"/>
  <c r="AS273" i="3"/>
  <c r="AS274" i="3"/>
  <c r="AS275" i="3"/>
  <c r="AS276" i="3"/>
  <c r="AS259" i="3"/>
  <c r="AS224" i="3"/>
  <c r="AS225" i="3"/>
  <c r="AS226" i="3"/>
  <c r="AS227" i="3"/>
  <c r="AS228" i="3"/>
  <c r="AS229" i="3"/>
  <c r="AS230" i="3"/>
  <c r="AS231" i="3"/>
  <c r="AS232" i="3"/>
  <c r="AS233" i="3"/>
  <c r="AS234" i="3"/>
  <c r="AS235" i="3"/>
  <c r="AS236" i="3"/>
  <c r="AS237" i="3"/>
  <c r="AS238" i="3"/>
  <c r="AS239" i="3"/>
  <c r="AS240" i="3"/>
  <c r="AS223" i="3"/>
  <c r="AS188" i="3"/>
  <c r="AS190" i="3"/>
  <c r="AS191" i="3"/>
  <c r="AS192" i="3"/>
  <c r="AS193" i="3"/>
  <c r="AS194" i="3"/>
  <c r="AS195" i="3"/>
  <c r="AS196" i="3"/>
  <c r="AS197" i="3"/>
  <c r="AS198" i="3"/>
  <c r="AS199" i="3"/>
  <c r="AS200" i="3"/>
  <c r="AS201" i="3"/>
  <c r="AS202" i="3"/>
  <c r="AS203" i="3"/>
  <c r="AS204" i="3"/>
  <c r="AS187" i="3"/>
  <c r="AS152" i="3"/>
  <c r="AS153" i="3"/>
  <c r="AS154" i="3"/>
  <c r="AS155" i="3"/>
  <c r="AS156" i="3"/>
  <c r="AS157" i="3"/>
  <c r="AS158" i="3"/>
  <c r="AS159" i="3"/>
  <c r="AS160" i="3"/>
  <c r="AS161" i="3"/>
  <c r="AS162" i="3"/>
  <c r="AS163" i="3"/>
  <c r="AS164" i="3"/>
  <c r="AS165" i="3"/>
  <c r="AS166" i="3"/>
  <c r="AS167" i="3"/>
  <c r="AS168" i="3"/>
  <c r="AS151" i="3"/>
  <c r="AS115" i="3"/>
  <c r="AS80" i="3"/>
  <c r="AS81" i="3"/>
  <c r="AS82" i="3"/>
  <c r="AS83" i="3"/>
  <c r="AS84" i="3"/>
  <c r="AS85" i="3"/>
  <c r="AS86" i="3"/>
  <c r="AS87" i="3"/>
  <c r="AS88" i="3"/>
  <c r="AS89" i="3"/>
  <c r="AS90" i="3"/>
  <c r="AS91" i="3"/>
  <c r="AS92" i="3"/>
  <c r="AS93" i="3"/>
  <c r="AS94" i="3"/>
  <c r="AS95" i="3"/>
  <c r="AS96" i="3"/>
  <c r="AS79" i="3"/>
  <c r="AN115" i="3"/>
  <c r="AN152" i="3"/>
  <c r="AN153" i="3"/>
  <c r="AN154" i="3"/>
  <c r="AN155" i="3"/>
  <c r="AN156" i="3"/>
  <c r="AN157" i="3"/>
  <c r="AN158" i="3"/>
  <c r="AN159" i="3"/>
  <c r="AN160" i="3"/>
  <c r="AN161" i="3"/>
  <c r="AN162" i="3"/>
  <c r="AN163" i="3"/>
  <c r="AN164" i="3"/>
  <c r="AN165" i="3"/>
  <c r="AN166" i="3"/>
  <c r="AN167" i="3"/>
  <c r="AN168" i="3"/>
  <c r="AN151" i="3"/>
  <c r="AN188" i="3"/>
  <c r="AN190" i="3"/>
  <c r="AN191" i="3"/>
  <c r="AN192" i="3"/>
  <c r="AN193" i="3"/>
  <c r="AN194" i="3"/>
  <c r="AN195" i="3"/>
  <c r="AN196" i="3"/>
  <c r="AN197" i="3"/>
  <c r="AN198" i="3"/>
  <c r="AN199" i="3"/>
  <c r="AN200" i="3"/>
  <c r="AN201" i="3"/>
  <c r="AN202" i="3"/>
  <c r="AN203" i="3"/>
  <c r="AN204" i="3"/>
  <c r="AN187" i="3"/>
  <c r="AN224" i="3"/>
  <c r="AN225" i="3"/>
  <c r="AN226" i="3"/>
  <c r="AN227" i="3"/>
  <c r="AN228" i="3"/>
  <c r="AN229" i="3"/>
  <c r="AN230" i="3"/>
  <c r="AN231" i="3"/>
  <c r="AN232" i="3"/>
  <c r="AN233" i="3"/>
  <c r="AN234" i="3"/>
  <c r="AN235" i="3"/>
  <c r="AN236" i="3"/>
  <c r="AN237" i="3"/>
  <c r="AN238" i="3"/>
  <c r="AN239" i="3"/>
  <c r="AN240" i="3"/>
  <c r="AN223" i="3"/>
  <c r="AN260" i="3"/>
  <c r="AN261" i="3"/>
  <c r="AN262" i="3"/>
  <c r="AN263" i="3"/>
  <c r="AN264" i="3"/>
  <c r="AN265" i="3"/>
  <c r="AN266" i="3"/>
  <c r="AN267" i="3"/>
  <c r="AN268" i="3"/>
  <c r="AN269" i="3"/>
  <c r="AN270" i="3"/>
  <c r="AN271" i="3"/>
  <c r="AN272" i="3"/>
  <c r="AN273" i="3"/>
  <c r="AN274" i="3"/>
  <c r="AN275" i="3"/>
  <c r="AN276" i="3"/>
  <c r="AN259" i="3"/>
  <c r="AN296" i="3"/>
  <c r="AN297" i="3"/>
  <c r="AN298" i="3"/>
  <c r="AN299" i="3"/>
  <c r="AN300" i="3"/>
  <c r="AN301" i="3"/>
  <c r="AN302" i="3"/>
  <c r="AN303" i="3"/>
  <c r="AN304" i="3"/>
  <c r="AN305" i="3"/>
  <c r="AN306" i="3"/>
  <c r="AN307" i="3"/>
  <c r="AN308" i="3"/>
  <c r="AN309" i="3"/>
  <c r="AN310" i="3"/>
  <c r="AN311" i="3"/>
  <c r="AN312" i="3"/>
  <c r="AN295" i="3"/>
  <c r="AN332" i="3"/>
  <c r="AN333" i="3"/>
  <c r="AN334" i="3"/>
  <c r="AN335" i="3"/>
  <c r="AN336" i="3"/>
  <c r="AN337" i="3"/>
  <c r="AN338" i="3"/>
  <c r="AN339" i="3"/>
  <c r="AN340" i="3"/>
  <c r="AN341" i="3"/>
  <c r="AN342" i="3"/>
  <c r="AN343" i="3"/>
  <c r="AN344" i="3"/>
  <c r="AN345" i="3"/>
  <c r="AN346" i="3"/>
  <c r="AN347" i="3"/>
  <c r="AN348" i="3"/>
  <c r="AN331" i="3"/>
  <c r="AN368" i="3"/>
  <c r="AN369" i="3"/>
  <c r="AN370" i="3"/>
  <c r="AN371" i="3"/>
  <c r="AN372" i="3"/>
  <c r="AN373" i="3"/>
  <c r="AN374" i="3"/>
  <c r="AN375" i="3"/>
  <c r="AN376" i="3"/>
  <c r="AN377" i="3"/>
  <c r="AN378" i="3"/>
  <c r="AN379" i="3"/>
  <c r="AN380" i="3"/>
  <c r="AN381" i="3"/>
  <c r="AN382" i="3"/>
  <c r="AN383" i="3"/>
  <c r="AN384" i="3"/>
  <c r="AN367" i="3"/>
  <c r="AN404" i="3"/>
  <c r="AN405" i="3"/>
  <c r="AN406" i="3"/>
  <c r="AN407" i="3"/>
  <c r="AN408" i="3"/>
  <c r="AN409" i="3"/>
  <c r="AN410" i="3"/>
  <c r="AN411" i="3"/>
  <c r="AN412" i="3"/>
  <c r="AN413" i="3"/>
  <c r="AN414" i="3"/>
  <c r="AN415" i="3"/>
  <c r="AN416" i="3"/>
  <c r="AN417" i="3"/>
  <c r="AN418" i="3"/>
  <c r="AN419" i="3"/>
  <c r="AN420" i="3"/>
  <c r="AN403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79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03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67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31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295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59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23" i="3"/>
  <c r="AA188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187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51" i="3"/>
  <c r="AA124" i="3"/>
  <c r="AA131" i="3"/>
  <c r="AA115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03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67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31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295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59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23" i="3"/>
  <c r="V188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187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51" i="3"/>
  <c r="V124" i="3"/>
  <c r="V131" i="3"/>
  <c r="V115" i="3"/>
  <c r="C3" i="2"/>
  <c r="N559" i="12"/>
  <c r="N558" i="12"/>
  <c r="N557" i="12"/>
  <c r="N556" i="12"/>
  <c r="N555" i="12"/>
  <c r="N554" i="12"/>
  <c r="N553" i="12"/>
  <c r="N552" i="12"/>
  <c r="N551" i="12"/>
  <c r="N550" i="12"/>
  <c r="N549" i="12"/>
  <c r="N548" i="12"/>
  <c r="N547" i="12"/>
  <c r="N546" i="12"/>
  <c r="N545" i="12"/>
  <c r="N544" i="12"/>
  <c r="N543" i="12"/>
  <c r="N542" i="12"/>
  <c r="N541" i="12"/>
  <c r="N540" i="12"/>
  <c r="N539" i="12"/>
  <c r="N538" i="12"/>
  <c r="N537" i="12"/>
  <c r="N536" i="12"/>
  <c r="D536" i="12"/>
  <c r="E536" i="12"/>
  <c r="F536" i="12"/>
  <c r="G536" i="12"/>
  <c r="H536" i="12"/>
  <c r="I536" i="12"/>
  <c r="J536" i="12"/>
  <c r="K536" i="12"/>
  <c r="L536" i="12"/>
  <c r="D537" i="12"/>
  <c r="E537" i="12"/>
  <c r="F537" i="12"/>
  <c r="G537" i="12"/>
  <c r="H537" i="12"/>
  <c r="I537" i="12"/>
  <c r="J537" i="12"/>
  <c r="M537" i="12" s="1"/>
  <c r="K537" i="12"/>
  <c r="L537" i="12"/>
  <c r="D538" i="12"/>
  <c r="E538" i="12"/>
  <c r="F538" i="12"/>
  <c r="G538" i="12"/>
  <c r="H538" i="12"/>
  <c r="I538" i="12"/>
  <c r="J538" i="12"/>
  <c r="K538" i="12"/>
  <c r="L538" i="12"/>
  <c r="D539" i="12"/>
  <c r="E539" i="12"/>
  <c r="F539" i="12"/>
  <c r="G539" i="12"/>
  <c r="H539" i="12"/>
  <c r="I539" i="12"/>
  <c r="J539" i="12"/>
  <c r="K539" i="12"/>
  <c r="L539" i="12"/>
  <c r="D540" i="12"/>
  <c r="E540" i="12"/>
  <c r="F540" i="12"/>
  <c r="G540" i="12"/>
  <c r="H540" i="12"/>
  <c r="I540" i="12"/>
  <c r="J540" i="12"/>
  <c r="K540" i="12"/>
  <c r="L540" i="12"/>
  <c r="D541" i="12"/>
  <c r="E541" i="12"/>
  <c r="F541" i="12"/>
  <c r="G541" i="12"/>
  <c r="H541" i="12"/>
  <c r="I541" i="12"/>
  <c r="J541" i="12"/>
  <c r="K541" i="12"/>
  <c r="L541" i="12"/>
  <c r="D542" i="12"/>
  <c r="E542" i="12"/>
  <c r="F542" i="12"/>
  <c r="G542" i="12"/>
  <c r="H542" i="12"/>
  <c r="I542" i="12"/>
  <c r="J542" i="12"/>
  <c r="K542" i="12"/>
  <c r="L542" i="12"/>
  <c r="D543" i="12"/>
  <c r="E543" i="12"/>
  <c r="F543" i="12"/>
  <c r="G543" i="12"/>
  <c r="H543" i="12"/>
  <c r="I543" i="12"/>
  <c r="J543" i="12"/>
  <c r="K543" i="12"/>
  <c r="L543" i="12"/>
  <c r="D544" i="12"/>
  <c r="E544" i="12"/>
  <c r="F544" i="12"/>
  <c r="G544" i="12"/>
  <c r="H544" i="12"/>
  <c r="I544" i="12"/>
  <c r="J544" i="12"/>
  <c r="K544" i="12"/>
  <c r="L544" i="12"/>
  <c r="D545" i="12"/>
  <c r="E545" i="12"/>
  <c r="F545" i="12"/>
  <c r="G545" i="12"/>
  <c r="H545" i="12"/>
  <c r="I545" i="12"/>
  <c r="J545" i="12"/>
  <c r="K545" i="12"/>
  <c r="L545" i="12"/>
  <c r="D546" i="12"/>
  <c r="E546" i="12"/>
  <c r="F546" i="12"/>
  <c r="G546" i="12"/>
  <c r="H546" i="12"/>
  <c r="I546" i="12"/>
  <c r="J546" i="12"/>
  <c r="K546" i="12"/>
  <c r="L546" i="12"/>
  <c r="D547" i="12"/>
  <c r="E547" i="12"/>
  <c r="F547" i="12"/>
  <c r="G547" i="12"/>
  <c r="H547" i="12"/>
  <c r="I547" i="12"/>
  <c r="J547" i="12"/>
  <c r="K547" i="12"/>
  <c r="L547" i="12"/>
  <c r="D548" i="12"/>
  <c r="E548" i="12"/>
  <c r="F548" i="12"/>
  <c r="G548" i="12"/>
  <c r="H548" i="12"/>
  <c r="I548" i="12"/>
  <c r="J548" i="12"/>
  <c r="K548" i="12"/>
  <c r="L548" i="12"/>
  <c r="D549" i="12"/>
  <c r="E549" i="12"/>
  <c r="F549" i="12"/>
  <c r="G549" i="12"/>
  <c r="H549" i="12"/>
  <c r="I549" i="12"/>
  <c r="J549" i="12"/>
  <c r="K549" i="12"/>
  <c r="L549" i="12"/>
  <c r="D550" i="12"/>
  <c r="E550" i="12"/>
  <c r="F550" i="12"/>
  <c r="G550" i="12"/>
  <c r="H550" i="12"/>
  <c r="I550" i="12"/>
  <c r="J550" i="12"/>
  <c r="K550" i="12"/>
  <c r="L550" i="12"/>
  <c r="D551" i="12"/>
  <c r="E551" i="12"/>
  <c r="F551" i="12"/>
  <c r="G551" i="12"/>
  <c r="H551" i="12"/>
  <c r="I551" i="12"/>
  <c r="J551" i="12"/>
  <c r="K551" i="12"/>
  <c r="L551" i="12"/>
  <c r="D552" i="12"/>
  <c r="E552" i="12"/>
  <c r="F552" i="12"/>
  <c r="G552" i="12"/>
  <c r="H552" i="12"/>
  <c r="I552" i="12"/>
  <c r="J552" i="12"/>
  <c r="K552" i="12"/>
  <c r="L552" i="12"/>
  <c r="D553" i="12"/>
  <c r="E553" i="12"/>
  <c r="F553" i="12"/>
  <c r="G553" i="12"/>
  <c r="H553" i="12"/>
  <c r="I553" i="12"/>
  <c r="J553" i="12"/>
  <c r="K553" i="12"/>
  <c r="L553" i="12"/>
  <c r="D554" i="12"/>
  <c r="E554" i="12"/>
  <c r="F554" i="12"/>
  <c r="G554" i="12"/>
  <c r="H554" i="12"/>
  <c r="I554" i="12"/>
  <c r="J554" i="12"/>
  <c r="K554" i="12"/>
  <c r="L554" i="12"/>
  <c r="D555" i="12"/>
  <c r="E555" i="12"/>
  <c r="F555" i="12"/>
  <c r="G555" i="12"/>
  <c r="H555" i="12"/>
  <c r="I555" i="12"/>
  <c r="J555" i="12"/>
  <c r="K555" i="12"/>
  <c r="L555" i="12"/>
  <c r="D556" i="12"/>
  <c r="E556" i="12"/>
  <c r="F556" i="12"/>
  <c r="G556" i="12"/>
  <c r="H556" i="12"/>
  <c r="I556" i="12"/>
  <c r="J556" i="12"/>
  <c r="K556" i="12"/>
  <c r="L556" i="12"/>
  <c r="D557" i="12"/>
  <c r="E557" i="12"/>
  <c r="F557" i="12"/>
  <c r="G557" i="12"/>
  <c r="H557" i="12"/>
  <c r="I557" i="12"/>
  <c r="J557" i="12"/>
  <c r="K557" i="12"/>
  <c r="L557" i="12"/>
  <c r="D558" i="12"/>
  <c r="E558" i="12"/>
  <c r="F558" i="12"/>
  <c r="G558" i="12"/>
  <c r="H558" i="12"/>
  <c r="I558" i="12"/>
  <c r="J558" i="12"/>
  <c r="K558" i="12"/>
  <c r="L558" i="12"/>
  <c r="D559" i="12"/>
  <c r="E559" i="12"/>
  <c r="F559" i="12"/>
  <c r="G559" i="12"/>
  <c r="H559" i="12"/>
  <c r="I559" i="12"/>
  <c r="J559" i="12"/>
  <c r="K559" i="12"/>
  <c r="L559" i="12"/>
  <c r="C537" i="12"/>
  <c r="C538" i="12"/>
  <c r="C539" i="12"/>
  <c r="C540" i="12"/>
  <c r="C541" i="12"/>
  <c r="C542" i="12"/>
  <c r="C543" i="12"/>
  <c r="C544" i="12"/>
  <c r="C545" i="12"/>
  <c r="C546" i="12"/>
  <c r="C547" i="12"/>
  <c r="C548" i="12"/>
  <c r="C549" i="12"/>
  <c r="C550" i="12"/>
  <c r="C551" i="12"/>
  <c r="C552" i="12"/>
  <c r="C553" i="12"/>
  <c r="C554" i="12"/>
  <c r="C555" i="12"/>
  <c r="C556" i="12"/>
  <c r="C557" i="12"/>
  <c r="C536" i="12"/>
  <c r="C531" i="12"/>
  <c r="C487" i="12"/>
  <c r="C443" i="12"/>
  <c r="C399" i="12"/>
  <c r="C355" i="12"/>
  <c r="C311" i="12"/>
  <c r="C267" i="12"/>
  <c r="C223" i="12"/>
  <c r="C179" i="12"/>
  <c r="C135" i="12"/>
  <c r="C91" i="12"/>
  <c r="C47" i="12"/>
  <c r="C2" i="12"/>
  <c r="C399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72" i="10"/>
  <c r="B371" i="10"/>
  <c r="C366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39" i="10"/>
  <c r="B338" i="10"/>
  <c r="C333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06" i="10"/>
  <c r="B305" i="10"/>
  <c r="C300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73" i="10"/>
  <c r="B272" i="10"/>
  <c r="C267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40" i="10"/>
  <c r="B239" i="10"/>
  <c r="C234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07" i="10"/>
  <c r="B206" i="10"/>
  <c r="C201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74" i="10"/>
  <c r="B173" i="10"/>
  <c r="C168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7" i="10"/>
  <c r="B141" i="10"/>
  <c r="B140" i="10"/>
  <c r="C135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08" i="10"/>
  <c r="B107" i="10"/>
  <c r="C102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75" i="10"/>
  <c r="B74" i="10"/>
  <c r="C69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42" i="10"/>
  <c r="B41" i="10"/>
  <c r="C36" i="10"/>
  <c r="R393" i="10"/>
  <c r="R415" i="10" s="1"/>
  <c r="Q393" i="10"/>
  <c r="Q415" i="10" s="1"/>
  <c r="P393" i="10"/>
  <c r="P415" i="10" s="1"/>
  <c r="O393" i="10"/>
  <c r="O415" i="10" s="1"/>
  <c r="N393" i="10"/>
  <c r="N415" i="10" s="1"/>
  <c r="M393" i="10"/>
  <c r="M415" i="10" s="1"/>
  <c r="L393" i="10"/>
  <c r="L415" i="10" s="1"/>
  <c r="K393" i="10"/>
  <c r="K415" i="10" s="1"/>
  <c r="J393" i="10"/>
  <c r="J415" i="10" s="1"/>
  <c r="I393" i="10"/>
  <c r="I415" i="10" s="1"/>
  <c r="H393" i="10"/>
  <c r="H415" i="10" s="1"/>
  <c r="G393" i="10"/>
  <c r="G415" i="10" s="1"/>
  <c r="F393" i="10"/>
  <c r="F415" i="10" s="1"/>
  <c r="E393" i="10"/>
  <c r="E415" i="10" s="1"/>
  <c r="D393" i="10"/>
  <c r="D415" i="10" s="1"/>
  <c r="C393" i="10"/>
  <c r="C415" i="10" s="1"/>
  <c r="R360" i="10"/>
  <c r="R414" i="10" s="1"/>
  <c r="Q360" i="10"/>
  <c r="Q414" i="10" s="1"/>
  <c r="P360" i="10"/>
  <c r="P414" i="10" s="1"/>
  <c r="O360" i="10"/>
  <c r="O414" i="10" s="1"/>
  <c r="N360" i="10"/>
  <c r="N414" i="10" s="1"/>
  <c r="M360" i="10"/>
  <c r="M414" i="10" s="1"/>
  <c r="L360" i="10"/>
  <c r="L414" i="10" s="1"/>
  <c r="K360" i="10"/>
  <c r="K414" i="10" s="1"/>
  <c r="J360" i="10"/>
  <c r="J414" i="10" s="1"/>
  <c r="I360" i="10"/>
  <c r="I414" i="10" s="1"/>
  <c r="H360" i="10"/>
  <c r="H414" i="10" s="1"/>
  <c r="G360" i="10"/>
  <c r="G414" i="10" s="1"/>
  <c r="F360" i="10"/>
  <c r="F414" i="10" s="1"/>
  <c r="E360" i="10"/>
  <c r="E414" i="10" s="1"/>
  <c r="D360" i="10"/>
  <c r="D414" i="10" s="1"/>
  <c r="C360" i="10"/>
  <c r="C414" i="10" s="1"/>
  <c r="R327" i="10"/>
  <c r="R413" i="10" s="1"/>
  <c r="Q327" i="10"/>
  <c r="Q413" i="10" s="1"/>
  <c r="P327" i="10"/>
  <c r="P413" i="10" s="1"/>
  <c r="O327" i="10"/>
  <c r="O413" i="10" s="1"/>
  <c r="N327" i="10"/>
  <c r="N413" i="10" s="1"/>
  <c r="M327" i="10"/>
  <c r="M413" i="10" s="1"/>
  <c r="L327" i="10"/>
  <c r="L413" i="10" s="1"/>
  <c r="K327" i="10"/>
  <c r="K413" i="10" s="1"/>
  <c r="J327" i="10"/>
  <c r="J413" i="10" s="1"/>
  <c r="I327" i="10"/>
  <c r="I413" i="10" s="1"/>
  <c r="H327" i="10"/>
  <c r="H413" i="10" s="1"/>
  <c r="G327" i="10"/>
  <c r="G413" i="10" s="1"/>
  <c r="F327" i="10"/>
  <c r="F413" i="10" s="1"/>
  <c r="E327" i="10"/>
  <c r="E413" i="10" s="1"/>
  <c r="D327" i="10"/>
  <c r="D413" i="10" s="1"/>
  <c r="C413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8" i="10"/>
  <c r="C3" i="10"/>
  <c r="E422" i="33"/>
  <c r="B396" i="33"/>
  <c r="B397" i="33"/>
  <c r="B398" i="33"/>
  <c r="B399" i="33"/>
  <c r="B400" i="33"/>
  <c r="B401" i="33"/>
  <c r="B402" i="33"/>
  <c r="B403" i="33"/>
  <c r="B404" i="33"/>
  <c r="B405" i="33"/>
  <c r="B406" i="33"/>
  <c r="B407" i="33"/>
  <c r="B408" i="33"/>
  <c r="B409" i="33"/>
  <c r="B410" i="33"/>
  <c r="B395" i="33"/>
  <c r="B394" i="33"/>
  <c r="E387" i="33"/>
  <c r="B361" i="33"/>
  <c r="B362" i="33"/>
  <c r="B363" i="33"/>
  <c r="B364" i="33"/>
  <c r="B365" i="33"/>
  <c r="B366" i="33"/>
  <c r="B367" i="33"/>
  <c r="B368" i="33"/>
  <c r="B369" i="33"/>
  <c r="B370" i="33"/>
  <c r="B371" i="33"/>
  <c r="B372" i="33"/>
  <c r="B373" i="33"/>
  <c r="B360" i="33"/>
  <c r="B359" i="33"/>
  <c r="E352" i="33"/>
  <c r="B326" i="33"/>
  <c r="B327" i="33"/>
  <c r="B328" i="33"/>
  <c r="B329" i="33"/>
  <c r="B330" i="33"/>
  <c r="B331" i="33"/>
  <c r="B332" i="33"/>
  <c r="B333" i="33"/>
  <c r="B334" i="33"/>
  <c r="B335" i="33"/>
  <c r="B336" i="33"/>
  <c r="B337" i="33"/>
  <c r="B338" i="33"/>
  <c r="B339" i="33"/>
  <c r="B340" i="33"/>
  <c r="B341" i="33"/>
  <c r="B325" i="33"/>
  <c r="B324" i="33"/>
  <c r="E317" i="33"/>
  <c r="B291" i="33"/>
  <c r="B292" i="33"/>
  <c r="B293" i="33"/>
  <c r="B294" i="33"/>
  <c r="B295" i="33"/>
  <c r="B296" i="33"/>
  <c r="B297" i="33"/>
  <c r="B298" i="33"/>
  <c r="B299" i="33"/>
  <c r="B300" i="33"/>
  <c r="B301" i="33"/>
  <c r="B302" i="33"/>
  <c r="B303" i="33"/>
  <c r="B304" i="33"/>
  <c r="B290" i="33"/>
  <c r="B289" i="33"/>
  <c r="E282" i="33"/>
  <c r="B256" i="33"/>
  <c r="B257" i="33"/>
  <c r="B258" i="33"/>
  <c r="B259" i="33"/>
  <c r="B260" i="33"/>
  <c r="B261" i="33"/>
  <c r="B262" i="33"/>
  <c r="B263" i="33"/>
  <c r="B264" i="33"/>
  <c r="B265" i="33"/>
  <c r="B266" i="33"/>
  <c r="B267" i="33"/>
  <c r="B268" i="33"/>
  <c r="B269" i="33"/>
  <c r="B255" i="33"/>
  <c r="B254" i="33"/>
  <c r="E247" i="33"/>
  <c r="B221" i="33"/>
  <c r="B222" i="33"/>
  <c r="B223" i="33"/>
  <c r="B224" i="33"/>
  <c r="B225" i="33"/>
  <c r="B226" i="33"/>
  <c r="B227" i="33"/>
  <c r="B228" i="33"/>
  <c r="B229" i="33"/>
  <c r="B230" i="33"/>
  <c r="B231" i="33"/>
  <c r="B232" i="33"/>
  <c r="B233" i="33"/>
  <c r="B234" i="33"/>
  <c r="B235" i="33"/>
  <c r="B236" i="33"/>
  <c r="B220" i="33"/>
  <c r="B219" i="33"/>
  <c r="E212" i="33"/>
  <c r="E177" i="33"/>
  <c r="B186" i="33"/>
  <c r="B187" i="33"/>
  <c r="B188" i="33"/>
  <c r="B189" i="33"/>
  <c r="B190" i="33"/>
  <c r="B191" i="33"/>
  <c r="B192" i="33"/>
  <c r="B193" i="33"/>
  <c r="B194" i="33"/>
  <c r="B195" i="33"/>
  <c r="B196" i="33"/>
  <c r="B197" i="33"/>
  <c r="B198" i="33"/>
  <c r="B199" i="33"/>
  <c r="B200" i="33"/>
  <c r="B201" i="33"/>
  <c r="B185" i="33"/>
  <c r="B184" i="33"/>
  <c r="B151" i="33"/>
  <c r="B152" i="33"/>
  <c r="B153" i="33"/>
  <c r="B154" i="33"/>
  <c r="B155" i="33"/>
  <c r="B156" i="33"/>
  <c r="B157" i="33"/>
  <c r="B158" i="33"/>
  <c r="B159" i="33"/>
  <c r="B160" i="33"/>
  <c r="B161" i="33"/>
  <c r="B162" i="33"/>
  <c r="B163" i="33"/>
  <c r="B164" i="33"/>
  <c r="B165" i="33"/>
  <c r="B166" i="33"/>
  <c r="B150" i="33"/>
  <c r="B149" i="33"/>
  <c r="E142" i="33"/>
  <c r="B116" i="33"/>
  <c r="B117" i="33"/>
  <c r="B118" i="33"/>
  <c r="B119" i="33"/>
  <c r="B120" i="33"/>
  <c r="B121" i="33"/>
  <c r="B122" i="33"/>
  <c r="B123" i="33"/>
  <c r="B124" i="33"/>
  <c r="B125" i="33"/>
  <c r="B126" i="33"/>
  <c r="B127" i="33"/>
  <c r="B128" i="33"/>
  <c r="B129" i="33"/>
  <c r="B130" i="33"/>
  <c r="B131" i="33"/>
  <c r="B115" i="33"/>
  <c r="B114" i="33"/>
  <c r="E107" i="33"/>
  <c r="B81" i="33"/>
  <c r="B82" i="33"/>
  <c r="B83" i="33"/>
  <c r="B84" i="33"/>
  <c r="B85" i="33"/>
  <c r="B86" i="33"/>
  <c r="B87" i="33"/>
  <c r="B88" i="33"/>
  <c r="B89" i="33"/>
  <c r="B90" i="33"/>
  <c r="B91" i="33"/>
  <c r="B92" i="33"/>
  <c r="B93" i="33"/>
  <c r="B94" i="33"/>
  <c r="B95" i="33"/>
  <c r="B96" i="33"/>
  <c r="B80" i="33"/>
  <c r="B79" i="33"/>
  <c r="E72" i="33"/>
  <c r="C11" i="33"/>
  <c r="C12" i="33"/>
  <c r="C13" i="33"/>
  <c r="C14" i="33"/>
  <c r="C15" i="33"/>
  <c r="C16" i="33"/>
  <c r="C17" i="33"/>
  <c r="C18" i="33"/>
  <c r="C19" i="33"/>
  <c r="C20" i="33"/>
  <c r="C21" i="33"/>
  <c r="C22" i="33"/>
  <c r="C23" i="33"/>
  <c r="C24" i="33"/>
  <c r="C25" i="33"/>
  <c r="C26" i="33"/>
  <c r="C10" i="33"/>
  <c r="C9" i="33"/>
  <c r="B46" i="33"/>
  <c r="B47" i="33"/>
  <c r="B48" i="33"/>
  <c r="B49" i="33"/>
  <c r="B50" i="33"/>
  <c r="B51" i="33"/>
  <c r="B52" i="33"/>
  <c r="B53" i="33"/>
  <c r="B54" i="33"/>
  <c r="B55" i="33"/>
  <c r="B56" i="33"/>
  <c r="B57" i="33"/>
  <c r="B58" i="33"/>
  <c r="B59" i="33"/>
  <c r="B60" i="33"/>
  <c r="B61" i="33"/>
  <c r="B45" i="33"/>
  <c r="B44" i="33"/>
  <c r="E37" i="33"/>
  <c r="AP440" i="33"/>
  <c r="AO440" i="33"/>
  <c r="AN440" i="33"/>
  <c r="AM440" i="33"/>
  <c r="AL440" i="33"/>
  <c r="AK440" i="33"/>
  <c r="AJ440" i="33"/>
  <c r="AI440" i="33"/>
  <c r="AH440" i="33"/>
  <c r="AG440" i="33"/>
  <c r="AF440" i="33"/>
  <c r="AE440" i="33"/>
  <c r="AD440" i="33"/>
  <c r="AC440" i="33"/>
  <c r="AB440" i="33"/>
  <c r="AA440" i="33"/>
  <c r="Z440" i="33"/>
  <c r="X440" i="33"/>
  <c r="W440" i="33"/>
  <c r="V440" i="33"/>
  <c r="U440" i="33"/>
  <c r="T440" i="33"/>
  <c r="S440" i="33"/>
  <c r="R440" i="33"/>
  <c r="Q440" i="33"/>
  <c r="P440" i="33"/>
  <c r="O440" i="33"/>
  <c r="N440" i="33"/>
  <c r="M440" i="33"/>
  <c r="L440" i="33"/>
  <c r="AP381" i="33"/>
  <c r="AP439" i="33" s="1"/>
  <c r="AO381" i="33"/>
  <c r="AO439" i="33" s="1"/>
  <c r="AN381" i="33"/>
  <c r="AN439" i="33" s="1"/>
  <c r="AM381" i="33"/>
  <c r="AM439" i="33" s="1"/>
  <c r="AL381" i="33"/>
  <c r="AL439" i="33" s="1"/>
  <c r="AK381" i="33"/>
  <c r="AK439" i="33" s="1"/>
  <c r="AJ381" i="33"/>
  <c r="AJ439" i="33" s="1"/>
  <c r="AI381" i="33"/>
  <c r="AI439" i="33" s="1"/>
  <c r="AH381" i="33"/>
  <c r="AH439" i="33" s="1"/>
  <c r="AG381" i="33"/>
  <c r="AG439" i="33" s="1"/>
  <c r="AF381" i="33"/>
  <c r="AF439" i="33" s="1"/>
  <c r="AE381" i="33"/>
  <c r="AE439" i="33" s="1"/>
  <c r="AD381" i="33"/>
  <c r="AD439" i="33" s="1"/>
  <c r="AC381" i="33"/>
  <c r="AC439" i="33" s="1"/>
  <c r="AB381" i="33"/>
  <c r="AB439" i="33" s="1"/>
  <c r="AA381" i="33"/>
  <c r="AA439" i="33" s="1"/>
  <c r="Z381" i="33"/>
  <c r="Z439" i="33" s="1"/>
  <c r="X381" i="33"/>
  <c r="X439" i="33" s="1"/>
  <c r="W381" i="33"/>
  <c r="W439" i="33" s="1"/>
  <c r="V381" i="33"/>
  <c r="V439" i="33" s="1"/>
  <c r="U381" i="33"/>
  <c r="U439" i="33" s="1"/>
  <c r="T381" i="33"/>
  <c r="T439" i="33" s="1"/>
  <c r="S381" i="33"/>
  <c r="S439" i="33" s="1"/>
  <c r="R381" i="33"/>
  <c r="R439" i="33" s="1"/>
  <c r="Q381" i="33"/>
  <c r="Q439" i="33" s="1"/>
  <c r="P381" i="33"/>
  <c r="P439" i="33" s="1"/>
  <c r="O381" i="33"/>
  <c r="O439" i="33" s="1"/>
  <c r="N381" i="33"/>
  <c r="N439" i="33" s="1"/>
  <c r="M381" i="33"/>
  <c r="M439" i="33" s="1"/>
  <c r="L381" i="33"/>
  <c r="L439" i="33" s="1"/>
  <c r="AP438" i="33"/>
  <c r="AO438" i="33"/>
  <c r="AN438" i="33"/>
  <c r="AM438" i="33"/>
  <c r="AL438" i="33"/>
  <c r="AK438" i="33"/>
  <c r="AJ438" i="33"/>
  <c r="AI438" i="33"/>
  <c r="AH438" i="33"/>
  <c r="AG438" i="33"/>
  <c r="AF438" i="33"/>
  <c r="AE438" i="33"/>
  <c r="AD438" i="33"/>
  <c r="AC438" i="33"/>
  <c r="AB438" i="33"/>
  <c r="AA438" i="33"/>
  <c r="Z438" i="33"/>
  <c r="X438" i="33"/>
  <c r="W438" i="33"/>
  <c r="V438" i="33"/>
  <c r="U438" i="33"/>
  <c r="T438" i="33"/>
  <c r="S438" i="33"/>
  <c r="R438" i="33"/>
  <c r="Q438" i="33"/>
  <c r="P438" i="33"/>
  <c r="O438" i="33"/>
  <c r="N438" i="33"/>
  <c r="M438" i="33"/>
  <c r="L438" i="33"/>
  <c r="AP311" i="33"/>
  <c r="AP437" i="33" s="1"/>
  <c r="AO311" i="33"/>
  <c r="AO437" i="33" s="1"/>
  <c r="AN311" i="33"/>
  <c r="AN437" i="33" s="1"/>
  <c r="AM311" i="33"/>
  <c r="AM437" i="33" s="1"/>
  <c r="AL311" i="33"/>
  <c r="AL437" i="33" s="1"/>
  <c r="AK311" i="33"/>
  <c r="AK437" i="33" s="1"/>
  <c r="AJ311" i="33"/>
  <c r="AJ437" i="33" s="1"/>
  <c r="AI311" i="33"/>
  <c r="AI437" i="33" s="1"/>
  <c r="AH311" i="33"/>
  <c r="AH437" i="33" s="1"/>
  <c r="AG311" i="33"/>
  <c r="AG437" i="33" s="1"/>
  <c r="AF311" i="33"/>
  <c r="AF437" i="33" s="1"/>
  <c r="AE311" i="33"/>
  <c r="AE437" i="33" s="1"/>
  <c r="AD311" i="33"/>
  <c r="AD437" i="33" s="1"/>
  <c r="AC311" i="33"/>
  <c r="AC437" i="33" s="1"/>
  <c r="AB311" i="33"/>
  <c r="AB437" i="33" s="1"/>
  <c r="AA311" i="33"/>
  <c r="AA437" i="33" s="1"/>
  <c r="Z311" i="33"/>
  <c r="Z437" i="33" s="1"/>
  <c r="X311" i="33"/>
  <c r="X437" i="33" s="1"/>
  <c r="W311" i="33"/>
  <c r="W437" i="33" s="1"/>
  <c r="V311" i="33"/>
  <c r="V437" i="33" s="1"/>
  <c r="U311" i="33"/>
  <c r="U437" i="33" s="1"/>
  <c r="T311" i="33"/>
  <c r="T437" i="33" s="1"/>
  <c r="S311" i="33"/>
  <c r="S437" i="33" s="1"/>
  <c r="R311" i="33"/>
  <c r="R437" i="33" s="1"/>
  <c r="Q311" i="33"/>
  <c r="Q437" i="33" s="1"/>
  <c r="P311" i="33"/>
  <c r="P437" i="33" s="1"/>
  <c r="O311" i="33"/>
  <c r="O437" i="33" s="1"/>
  <c r="N437" i="33"/>
  <c r="M311" i="33"/>
  <c r="M437" i="33" s="1"/>
  <c r="L311" i="33"/>
  <c r="L437" i="33" s="1"/>
  <c r="AP436" i="33"/>
  <c r="AO436" i="33"/>
  <c r="AN436" i="33"/>
  <c r="AM436" i="33"/>
  <c r="AL436" i="33"/>
  <c r="AK436" i="33"/>
  <c r="AJ436" i="33"/>
  <c r="AI436" i="33"/>
  <c r="AH436" i="33"/>
  <c r="AG436" i="33"/>
  <c r="AF436" i="33"/>
  <c r="AE436" i="33"/>
  <c r="AD436" i="33"/>
  <c r="AC436" i="33"/>
  <c r="AB436" i="33"/>
  <c r="AA436" i="33"/>
  <c r="Z436" i="33"/>
  <c r="X436" i="33"/>
  <c r="W436" i="33"/>
  <c r="V436" i="33"/>
  <c r="U436" i="33"/>
  <c r="T436" i="33"/>
  <c r="S436" i="33"/>
  <c r="R436" i="33"/>
  <c r="Q436" i="33"/>
  <c r="P436" i="33"/>
  <c r="O436" i="33"/>
  <c r="N436" i="33"/>
  <c r="M436" i="33"/>
  <c r="L436" i="33"/>
  <c r="AP435" i="33"/>
  <c r="AO435" i="33"/>
  <c r="AN435" i="33"/>
  <c r="AM435" i="33"/>
  <c r="AL435" i="33"/>
  <c r="AK435" i="33"/>
  <c r="AJ435" i="33"/>
  <c r="AI435" i="33"/>
  <c r="AH435" i="33"/>
  <c r="AG435" i="33"/>
  <c r="AF435" i="33"/>
  <c r="AE435" i="33"/>
  <c r="AD435" i="33"/>
  <c r="AC435" i="33"/>
  <c r="AB435" i="33"/>
  <c r="AA435" i="33"/>
  <c r="Z435" i="33"/>
  <c r="X435" i="33"/>
  <c r="W435" i="33"/>
  <c r="V435" i="33"/>
  <c r="U435" i="33"/>
  <c r="T435" i="33"/>
  <c r="S435" i="33"/>
  <c r="R435" i="33"/>
  <c r="Q435" i="33"/>
  <c r="P435" i="33"/>
  <c r="O435" i="33"/>
  <c r="N435" i="33"/>
  <c r="M435" i="33"/>
  <c r="L435" i="33"/>
  <c r="AP434" i="33"/>
  <c r="AO434" i="33"/>
  <c r="AN434" i="33"/>
  <c r="AM434" i="33"/>
  <c r="AL434" i="33"/>
  <c r="AK434" i="33"/>
  <c r="AJ434" i="33"/>
  <c r="AI434" i="33"/>
  <c r="AH434" i="33"/>
  <c r="AG434" i="33"/>
  <c r="AF434" i="33"/>
  <c r="AE434" i="33"/>
  <c r="AD434" i="33"/>
  <c r="AC434" i="33"/>
  <c r="AB434" i="33"/>
  <c r="AA434" i="33"/>
  <c r="Z434" i="33"/>
  <c r="X434" i="33"/>
  <c r="W434" i="33"/>
  <c r="V434" i="33"/>
  <c r="U434" i="33"/>
  <c r="T434" i="33"/>
  <c r="S434" i="33"/>
  <c r="R434" i="33"/>
  <c r="Q434" i="33"/>
  <c r="P434" i="33"/>
  <c r="O434" i="33"/>
  <c r="N434" i="33"/>
  <c r="M434" i="33"/>
  <c r="L434" i="33"/>
  <c r="AP433" i="33"/>
  <c r="AO433" i="33"/>
  <c r="AN433" i="33"/>
  <c r="AM433" i="33"/>
  <c r="AL433" i="33"/>
  <c r="AK433" i="33"/>
  <c r="AJ433" i="33"/>
  <c r="AI433" i="33"/>
  <c r="AH433" i="33"/>
  <c r="AG433" i="33"/>
  <c r="AF433" i="33"/>
  <c r="AE433" i="33"/>
  <c r="AD433" i="33"/>
  <c r="AC433" i="33"/>
  <c r="AB433" i="33"/>
  <c r="AA433" i="33"/>
  <c r="Z433" i="33"/>
  <c r="X433" i="33"/>
  <c r="W433" i="33"/>
  <c r="V433" i="33"/>
  <c r="U433" i="33"/>
  <c r="T433" i="33"/>
  <c r="S433" i="33"/>
  <c r="R433" i="33"/>
  <c r="Q433" i="33"/>
  <c r="P433" i="33"/>
  <c r="O433" i="33"/>
  <c r="N433" i="33"/>
  <c r="M433" i="33"/>
  <c r="L433" i="33"/>
  <c r="AL432" i="33"/>
  <c r="AK432" i="33"/>
  <c r="AD432" i="33"/>
  <c r="X432" i="33"/>
  <c r="V432" i="33"/>
  <c r="Q432" i="33"/>
  <c r="P432" i="33"/>
  <c r="M432" i="33"/>
  <c r="AL431" i="33"/>
  <c r="AD431" i="33"/>
  <c r="V431" i="33"/>
  <c r="O431" i="33"/>
  <c r="AP430" i="33"/>
  <c r="AN430" i="33"/>
  <c r="AL430" i="33"/>
  <c r="AH430" i="33"/>
  <c r="AD430" i="33"/>
  <c r="V430" i="33"/>
  <c r="P430" i="33"/>
  <c r="O430" i="33"/>
  <c r="B11" i="33"/>
  <c r="B12" i="33"/>
  <c r="B13" i="33"/>
  <c r="B14" i="33"/>
  <c r="B15" i="33"/>
  <c r="B16" i="33"/>
  <c r="B17" i="33"/>
  <c r="B18" i="33"/>
  <c r="B19" i="33"/>
  <c r="B20" i="33"/>
  <c r="B21" i="33"/>
  <c r="B22" i="33"/>
  <c r="B23" i="33"/>
  <c r="B24" i="33"/>
  <c r="B25" i="33"/>
  <c r="B26" i="33"/>
  <c r="B10" i="33"/>
  <c r="B9" i="33"/>
  <c r="E2" i="33"/>
  <c r="AL429" i="33"/>
  <c r="AK429" i="33"/>
  <c r="AJ429" i="33"/>
  <c r="AI429" i="33"/>
  <c r="AD429" i="33"/>
  <c r="AA429" i="33"/>
  <c r="V429" i="33"/>
  <c r="U429" i="33"/>
  <c r="T429" i="33"/>
  <c r="S429" i="33"/>
  <c r="Q429" i="33"/>
  <c r="M429" i="33"/>
  <c r="B259" i="3"/>
  <c r="B8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7" i="29"/>
  <c r="O38" i="29"/>
  <c r="O72" i="29"/>
  <c r="O107" i="29"/>
  <c r="O141" i="29"/>
  <c r="O175" i="29"/>
  <c r="O210" i="29"/>
  <c r="O244" i="29"/>
  <c r="O280" i="29"/>
  <c r="O315" i="29"/>
  <c r="O350" i="29"/>
  <c r="O385" i="29"/>
  <c r="O420" i="29"/>
  <c r="AX341" i="3"/>
  <c r="AX340" i="3"/>
  <c r="AX312" i="3"/>
  <c r="AX310" i="3"/>
  <c r="AX299" i="3"/>
  <c r="AX296" i="3"/>
  <c r="AX266" i="3"/>
  <c r="AX264" i="3"/>
  <c r="AX240" i="3"/>
  <c r="AX239" i="3"/>
  <c r="AX236" i="3"/>
  <c r="AX235" i="3"/>
  <c r="AX232" i="3"/>
  <c r="AX231" i="3"/>
  <c r="AX230" i="3"/>
  <c r="AX229" i="3"/>
  <c r="AX227" i="3"/>
  <c r="AX226" i="3"/>
  <c r="AX225" i="3"/>
  <c r="AX197" i="3"/>
  <c r="AX196" i="3"/>
  <c r="AX195" i="3"/>
  <c r="AX194" i="3"/>
  <c r="AX192" i="3"/>
  <c r="AX191" i="3"/>
  <c r="AX190" i="3"/>
  <c r="AX188" i="3"/>
  <c r="AX168" i="3"/>
  <c r="AX167" i="3"/>
  <c r="AX166" i="3"/>
  <c r="AX165" i="3"/>
  <c r="AX164" i="3"/>
  <c r="AX163" i="3"/>
  <c r="AX162" i="3"/>
  <c r="AX161" i="3"/>
  <c r="AX160" i="3"/>
  <c r="AX159" i="3"/>
  <c r="AX158" i="3"/>
  <c r="AX157" i="3"/>
  <c r="AX156" i="3"/>
  <c r="AX155" i="3"/>
  <c r="AX154" i="3"/>
  <c r="AX153" i="3"/>
  <c r="AX152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03" i="3"/>
  <c r="C396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67" i="3"/>
  <c r="C360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31" i="3"/>
  <c r="C324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295" i="3"/>
  <c r="C288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C252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23" i="3"/>
  <c r="C216" i="3"/>
  <c r="L188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187" i="3"/>
  <c r="G188" i="3"/>
  <c r="G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187" i="3"/>
  <c r="C180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51" i="3"/>
  <c r="C144" i="3"/>
  <c r="G124" i="3"/>
  <c r="L124" i="3"/>
  <c r="L131" i="3"/>
  <c r="L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15" i="3"/>
  <c r="C108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80" i="3"/>
  <c r="B79" i="3"/>
  <c r="C72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44" i="3"/>
  <c r="B43" i="3"/>
  <c r="C36" i="3"/>
  <c r="C10" i="3"/>
  <c r="C11" i="3"/>
  <c r="C12" i="3"/>
  <c r="I12" i="3" s="1"/>
  <c r="C13" i="3"/>
  <c r="C14" i="3"/>
  <c r="C15" i="3"/>
  <c r="C16" i="3"/>
  <c r="C17" i="3"/>
  <c r="C18" i="3"/>
  <c r="I18" i="3" s="1"/>
  <c r="C19" i="3"/>
  <c r="C20" i="3"/>
  <c r="C21" i="3"/>
  <c r="C22" i="3"/>
  <c r="C23" i="3"/>
  <c r="C24" i="3"/>
  <c r="I24" i="3" s="1"/>
  <c r="C25" i="3"/>
  <c r="D9" i="3"/>
  <c r="C9" i="3"/>
  <c r="C2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9" i="3"/>
  <c r="C411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383" i="2"/>
  <c r="C377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49" i="2"/>
  <c r="C343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15" i="2"/>
  <c r="C309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81" i="2"/>
  <c r="C275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47" i="2"/>
  <c r="C241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13" i="2"/>
  <c r="C207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79" i="2"/>
  <c r="C173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45" i="2"/>
  <c r="C139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11" i="2"/>
  <c r="C105" i="2"/>
  <c r="B78" i="2"/>
  <c r="B69" i="38" s="1"/>
  <c r="B79" i="2"/>
  <c r="B70" i="38" s="1"/>
  <c r="B80" i="2"/>
  <c r="B71" i="38" s="1"/>
  <c r="B81" i="2"/>
  <c r="B72" i="38" s="1"/>
  <c r="B82" i="2"/>
  <c r="B73" i="38" s="1"/>
  <c r="B83" i="2"/>
  <c r="B74" i="38" s="1"/>
  <c r="B84" i="2"/>
  <c r="B75" i="38" s="1"/>
  <c r="B85" i="2"/>
  <c r="B76" i="38" s="1"/>
  <c r="B86" i="2"/>
  <c r="B77" i="38" s="1"/>
  <c r="B87" i="2"/>
  <c r="B78" i="38" s="1"/>
  <c r="B88" i="2"/>
  <c r="B79" i="38" s="1"/>
  <c r="B89" i="2"/>
  <c r="B90" i="2"/>
  <c r="B91" i="2"/>
  <c r="B92" i="2"/>
  <c r="B93" i="2"/>
  <c r="B94" i="2"/>
  <c r="B77" i="2"/>
  <c r="B68" i="38" s="1"/>
  <c r="C71" i="2"/>
  <c r="B43" i="2"/>
  <c r="B38" i="38" s="1"/>
  <c r="C37" i="2"/>
  <c r="C44" i="3"/>
  <c r="D44" i="3"/>
  <c r="C45" i="3"/>
  <c r="D45" i="3"/>
  <c r="D46" i="3"/>
  <c r="C47" i="3"/>
  <c r="D47" i="3"/>
  <c r="C48" i="3"/>
  <c r="D48" i="3"/>
  <c r="D49" i="3"/>
  <c r="C50" i="3"/>
  <c r="C51" i="3"/>
  <c r="D51" i="3"/>
  <c r="C52" i="3"/>
  <c r="D52" i="3"/>
  <c r="D53" i="3"/>
  <c r="C54" i="3"/>
  <c r="D54" i="3"/>
  <c r="C55" i="3"/>
  <c r="D55" i="3"/>
  <c r="S55" i="3" s="1"/>
  <c r="D56" i="3"/>
  <c r="S56" i="3" s="1"/>
  <c r="C57" i="3"/>
  <c r="D57" i="3"/>
  <c r="S57" i="3" s="1"/>
  <c r="C58" i="3"/>
  <c r="D58" i="3"/>
  <c r="S58" i="3" s="1"/>
  <c r="C60" i="33"/>
  <c r="D59" i="3"/>
  <c r="S59" i="3" s="1"/>
  <c r="D60" i="3"/>
  <c r="S60" i="3" s="1"/>
  <c r="C43" i="3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D130" i="3"/>
  <c r="S130" i="3" s="1"/>
  <c r="AX260" i="3"/>
  <c r="C131" i="33"/>
  <c r="C93" i="33"/>
  <c r="C85" i="33"/>
  <c r="C126" i="33"/>
  <c r="C119" i="33"/>
  <c r="C120" i="3"/>
  <c r="C81" i="33"/>
  <c r="C89" i="33"/>
  <c r="C127" i="33"/>
  <c r="C128" i="3"/>
  <c r="C127" i="3"/>
  <c r="C126" i="3"/>
  <c r="C119" i="3"/>
  <c r="C118" i="33"/>
  <c r="C153" i="33"/>
  <c r="R119" i="33" l="1"/>
  <c r="N119" i="33"/>
  <c r="AE119" i="33"/>
  <c r="AC119" i="33"/>
  <c r="AO119" i="33"/>
  <c r="L119" i="33"/>
  <c r="AM119" i="33"/>
  <c r="AG119" i="33"/>
  <c r="W119" i="33"/>
  <c r="Z119" i="33" s="1"/>
  <c r="AB119" i="33" s="1"/>
  <c r="M545" i="12"/>
  <c r="AM85" i="33"/>
  <c r="AG85" i="33"/>
  <c r="AE85" i="33"/>
  <c r="AC85" i="33"/>
  <c r="W85" i="33"/>
  <c r="Z85" i="33" s="1"/>
  <c r="AB85" i="33" s="1"/>
  <c r="R85" i="33"/>
  <c r="AO85" i="33"/>
  <c r="N85" i="33"/>
  <c r="L85" i="33"/>
  <c r="W117" i="33"/>
  <c r="Z117" i="33" s="1"/>
  <c r="AB117" i="33" s="1"/>
  <c r="R117" i="33"/>
  <c r="N117" i="33"/>
  <c r="AE117" i="33"/>
  <c r="L117" i="33"/>
  <c r="AM117" i="33"/>
  <c r="AG117" i="33"/>
  <c r="AC117" i="33"/>
  <c r="AO84" i="33"/>
  <c r="L84" i="33"/>
  <c r="AM84" i="33"/>
  <c r="AG84" i="33"/>
  <c r="AE84" i="33"/>
  <c r="AC84" i="33"/>
  <c r="W84" i="33"/>
  <c r="Z84" i="33" s="1"/>
  <c r="AB84" i="33" s="1"/>
  <c r="N84" i="33"/>
  <c r="R84" i="33"/>
  <c r="AE123" i="33"/>
  <c r="AC123" i="33"/>
  <c r="N123" i="33"/>
  <c r="AG123" i="33"/>
  <c r="W123" i="33"/>
  <c r="Z123" i="33" s="1"/>
  <c r="AB123" i="33" s="1"/>
  <c r="R123" i="33"/>
  <c r="AM123" i="33"/>
  <c r="AO123" i="33"/>
  <c r="L123" i="33"/>
  <c r="AM122" i="33"/>
  <c r="AG122" i="33"/>
  <c r="N122" i="33"/>
  <c r="L122" i="33"/>
  <c r="AE122" i="33"/>
  <c r="AC122" i="33"/>
  <c r="W122" i="33"/>
  <c r="Z122" i="33" s="1"/>
  <c r="AB122" i="33" s="1"/>
  <c r="R122" i="33"/>
  <c r="AO122" i="33"/>
  <c r="N83" i="33"/>
  <c r="AO83" i="33"/>
  <c r="L83" i="33"/>
  <c r="AM83" i="33"/>
  <c r="AG83" i="33"/>
  <c r="AE83" i="33"/>
  <c r="AC83" i="33"/>
  <c r="W83" i="33"/>
  <c r="Z83" i="33" s="1"/>
  <c r="AB83" i="33" s="1"/>
  <c r="R83" i="33"/>
  <c r="W125" i="33"/>
  <c r="Z125" i="33" s="1"/>
  <c r="AB125" i="33" s="1"/>
  <c r="R125" i="33"/>
  <c r="N125" i="33"/>
  <c r="AE125" i="33"/>
  <c r="AO125" i="33"/>
  <c r="L125" i="33"/>
  <c r="AM125" i="33"/>
  <c r="AG125" i="33"/>
  <c r="AC125" i="33"/>
  <c r="N120" i="33"/>
  <c r="AO120" i="33"/>
  <c r="L120" i="33"/>
  <c r="AM120" i="33"/>
  <c r="AG120" i="33"/>
  <c r="AE120" i="33"/>
  <c r="AC120" i="33"/>
  <c r="R120" i="33"/>
  <c r="W120" i="33"/>
  <c r="Z120" i="33" s="1"/>
  <c r="AB120" i="33" s="1"/>
  <c r="W90" i="33"/>
  <c r="Z90" i="33" s="1"/>
  <c r="AB90" i="33" s="1"/>
  <c r="R90" i="33"/>
  <c r="N90" i="33"/>
  <c r="AO90" i="33"/>
  <c r="L90" i="33"/>
  <c r="AM90" i="33"/>
  <c r="AG90" i="33"/>
  <c r="AC90" i="33"/>
  <c r="AE90" i="33"/>
  <c r="R82" i="33"/>
  <c r="N82" i="33"/>
  <c r="AO82" i="33"/>
  <c r="L82" i="33"/>
  <c r="AM82" i="33"/>
  <c r="AG82" i="33"/>
  <c r="W82" i="33"/>
  <c r="Z82" i="33" s="1"/>
  <c r="AB82" i="33" s="1"/>
  <c r="AE82" i="33"/>
  <c r="AC82" i="33"/>
  <c r="AC124" i="33"/>
  <c r="W124" i="33"/>
  <c r="Z124" i="33" s="1"/>
  <c r="AB124" i="33" s="1"/>
  <c r="AO124" i="33"/>
  <c r="AG124" i="33"/>
  <c r="R124" i="33"/>
  <c r="L124" i="33"/>
  <c r="AM124" i="33"/>
  <c r="AE124" i="33"/>
  <c r="N124" i="33"/>
  <c r="AE115" i="33"/>
  <c r="N115" i="33"/>
  <c r="AC115" i="33"/>
  <c r="L115" i="33"/>
  <c r="W115" i="33"/>
  <c r="Z115" i="33" s="1"/>
  <c r="AB115" i="33" s="1"/>
  <c r="AO115" i="33"/>
  <c r="AG115" i="33"/>
  <c r="R115" i="33"/>
  <c r="AM115" i="33"/>
  <c r="AG86" i="33"/>
  <c r="AE86" i="33"/>
  <c r="AC86" i="33"/>
  <c r="W86" i="33"/>
  <c r="Z86" i="33" s="1"/>
  <c r="AB86" i="33" s="1"/>
  <c r="R86" i="33"/>
  <c r="N86" i="33"/>
  <c r="AO86" i="33"/>
  <c r="L86" i="33"/>
  <c r="AM86" i="33"/>
  <c r="AC79" i="33"/>
  <c r="W79" i="33"/>
  <c r="Z79" i="33" s="1"/>
  <c r="AB79" i="33" s="1"/>
  <c r="R79" i="33"/>
  <c r="AE79" i="33"/>
  <c r="AO79" i="33"/>
  <c r="N79" i="33"/>
  <c r="AM79" i="33"/>
  <c r="L79" i="33"/>
  <c r="AG79" i="33"/>
  <c r="AC89" i="33"/>
  <c r="W89" i="33"/>
  <c r="Z89" i="33" s="1"/>
  <c r="AB89" i="33" s="1"/>
  <c r="R89" i="33"/>
  <c r="N89" i="33"/>
  <c r="AO89" i="33"/>
  <c r="L89" i="33"/>
  <c r="AM89" i="33"/>
  <c r="AG89" i="33"/>
  <c r="AE89" i="33"/>
  <c r="W81" i="33"/>
  <c r="Z81" i="33" s="1"/>
  <c r="AB81" i="33" s="1"/>
  <c r="R81" i="33"/>
  <c r="N81" i="33"/>
  <c r="AO81" i="33"/>
  <c r="L81" i="33"/>
  <c r="AM81" i="33"/>
  <c r="AG81" i="33"/>
  <c r="AC81" i="33"/>
  <c r="AE81" i="33"/>
  <c r="AO121" i="33"/>
  <c r="L121" i="33"/>
  <c r="AM121" i="33"/>
  <c r="AG121" i="33"/>
  <c r="AC121" i="33"/>
  <c r="W121" i="33"/>
  <c r="Z121" i="33" s="1"/>
  <c r="AB121" i="33" s="1"/>
  <c r="R121" i="33"/>
  <c r="N121" i="33"/>
  <c r="AE121" i="33"/>
  <c r="AG114" i="33"/>
  <c r="AE114" i="33"/>
  <c r="AO114" i="33"/>
  <c r="AC114" i="33"/>
  <c r="R114" i="33"/>
  <c r="W114" i="33"/>
  <c r="N114" i="33"/>
  <c r="L114" i="33"/>
  <c r="AM114" i="33"/>
  <c r="AE88" i="33"/>
  <c r="AC88" i="33"/>
  <c r="W88" i="33"/>
  <c r="Z88" i="33" s="1"/>
  <c r="AB88" i="33" s="1"/>
  <c r="R88" i="33"/>
  <c r="AG88" i="33"/>
  <c r="N88" i="33"/>
  <c r="AO88" i="33"/>
  <c r="L88" i="33"/>
  <c r="AM88" i="33"/>
  <c r="W80" i="33"/>
  <c r="Z80" i="33" s="1"/>
  <c r="AB80" i="33" s="1"/>
  <c r="R80" i="33"/>
  <c r="N80" i="33"/>
  <c r="L80" i="33"/>
  <c r="AM80" i="33"/>
  <c r="AG80" i="33"/>
  <c r="AE80" i="33"/>
  <c r="AC80" i="33"/>
  <c r="W118" i="33"/>
  <c r="Z118" i="33" s="1"/>
  <c r="AB118" i="33" s="1"/>
  <c r="R118" i="33"/>
  <c r="AC118" i="33"/>
  <c r="N118" i="33"/>
  <c r="AM118" i="33"/>
  <c r="AG118" i="33"/>
  <c r="AO118" i="33"/>
  <c r="L118" i="33"/>
  <c r="AE118" i="33"/>
  <c r="AC116" i="33"/>
  <c r="W116" i="33"/>
  <c r="Z116" i="33" s="1"/>
  <c r="AB116" i="33" s="1"/>
  <c r="AG116" i="33"/>
  <c r="AE116" i="33"/>
  <c r="R116" i="33"/>
  <c r="AO116" i="33"/>
  <c r="N116" i="33"/>
  <c r="L116" i="33"/>
  <c r="AM116" i="33"/>
  <c r="AG87" i="33"/>
  <c r="AE87" i="33"/>
  <c r="AE101" i="33" s="1"/>
  <c r="AE431" i="33" s="1"/>
  <c r="AC87" i="33"/>
  <c r="W87" i="33"/>
  <c r="R87" i="33"/>
  <c r="N87" i="33"/>
  <c r="AO87" i="33"/>
  <c r="AM87" i="33"/>
  <c r="AM101" i="33" s="1"/>
  <c r="AM431" i="33" s="1"/>
  <c r="L87" i="33"/>
  <c r="AO48" i="33"/>
  <c r="AO458" i="33" s="1"/>
  <c r="L48" i="33"/>
  <c r="L458" i="33" s="1"/>
  <c r="AM48" i="33"/>
  <c r="AG48" i="33"/>
  <c r="AG458" i="33" s="1"/>
  <c r="AE48" i="33"/>
  <c r="AE458" i="33" s="1"/>
  <c r="AC48" i="33"/>
  <c r="AC458" i="33" s="1"/>
  <c r="W48" i="33"/>
  <c r="R48" i="33"/>
  <c r="N48" i="33"/>
  <c r="N458" i="33" s="1"/>
  <c r="J9" i="33"/>
  <c r="H44" i="33" s="1"/>
  <c r="AG9" i="33"/>
  <c r="AE9" i="33"/>
  <c r="AM9" i="33"/>
  <c r="AC9" i="33"/>
  <c r="W9" i="33"/>
  <c r="R9" i="33"/>
  <c r="N9" i="33"/>
  <c r="AO9" i="33"/>
  <c r="L9" i="33"/>
  <c r="N55" i="33"/>
  <c r="N465" i="33" s="1"/>
  <c r="AO55" i="33"/>
  <c r="AO465" i="33" s="1"/>
  <c r="L55" i="33"/>
  <c r="AM55" i="33"/>
  <c r="AM465" i="33" s="1"/>
  <c r="W55" i="33"/>
  <c r="AG55" i="33"/>
  <c r="AG465" i="33" s="1"/>
  <c r="AE55" i="33"/>
  <c r="AE465" i="33" s="1"/>
  <c r="AC55" i="33"/>
  <c r="R55" i="33"/>
  <c r="R465" i="33" s="1"/>
  <c r="N47" i="33"/>
  <c r="AO47" i="33"/>
  <c r="AO457" i="33" s="1"/>
  <c r="L47" i="33"/>
  <c r="L457" i="33" s="1"/>
  <c r="AM47" i="33"/>
  <c r="AM457" i="33" s="1"/>
  <c r="W47" i="33"/>
  <c r="AG47" i="33"/>
  <c r="AE47" i="33"/>
  <c r="AC47" i="33"/>
  <c r="AC457" i="33" s="1"/>
  <c r="R47" i="33"/>
  <c r="R457" i="33" s="1"/>
  <c r="AC44" i="33"/>
  <c r="W44" i="33"/>
  <c r="Z44" i="33" s="1"/>
  <c r="AB44" i="33" s="1"/>
  <c r="R44" i="33"/>
  <c r="N44" i="33"/>
  <c r="AO44" i="33"/>
  <c r="L44" i="33"/>
  <c r="AM44" i="33"/>
  <c r="AG44" i="33"/>
  <c r="AE44" i="33"/>
  <c r="W54" i="33"/>
  <c r="R54" i="33"/>
  <c r="AO54" i="33"/>
  <c r="N54" i="33"/>
  <c r="N464" i="33" s="1"/>
  <c r="AM54" i="33"/>
  <c r="L54" i="33"/>
  <c r="L464" i="33" s="1"/>
  <c r="AG54" i="33"/>
  <c r="AG464" i="33" s="1"/>
  <c r="AE54" i="33"/>
  <c r="AC54" i="33"/>
  <c r="AC464" i="33" s="1"/>
  <c r="R46" i="33"/>
  <c r="R456" i="33" s="1"/>
  <c r="N46" i="33"/>
  <c r="N456" i="33" s="1"/>
  <c r="AO46" i="33"/>
  <c r="AO456" i="33" s="1"/>
  <c r="L46" i="33"/>
  <c r="L456" i="33" s="1"/>
  <c r="AM46" i="33"/>
  <c r="AG46" i="33"/>
  <c r="AE46" i="33"/>
  <c r="AE456" i="33" s="1"/>
  <c r="AC46" i="33"/>
  <c r="AC456" i="33" s="1"/>
  <c r="W46" i="33"/>
  <c r="AC53" i="33"/>
  <c r="W53" i="33"/>
  <c r="R53" i="33"/>
  <c r="R463" i="33" s="1"/>
  <c r="AG53" i="33"/>
  <c r="N53" i="33"/>
  <c r="N463" i="33" s="1"/>
  <c r="AO53" i="33"/>
  <c r="AO463" i="33" s="1"/>
  <c r="L53" i="33"/>
  <c r="L463" i="33" s="1"/>
  <c r="AM53" i="33"/>
  <c r="AM463" i="33" s="1"/>
  <c r="AE53" i="33"/>
  <c r="AE463" i="33" s="1"/>
  <c r="W45" i="33"/>
  <c r="R45" i="33"/>
  <c r="N45" i="33"/>
  <c r="AE45" i="33"/>
  <c r="AE455" i="33" s="1"/>
  <c r="AO45" i="33"/>
  <c r="AO455" i="33" s="1"/>
  <c r="L45" i="33"/>
  <c r="L455" i="33" s="1"/>
  <c r="AM45" i="33"/>
  <c r="AM455" i="33" s="1"/>
  <c r="AG45" i="33"/>
  <c r="AG455" i="33" s="1"/>
  <c r="AC45" i="33"/>
  <c r="AC455" i="33" s="1"/>
  <c r="AE52" i="33"/>
  <c r="AC52" i="33"/>
  <c r="AC462" i="33" s="1"/>
  <c r="W52" i="33"/>
  <c r="R52" i="33"/>
  <c r="R462" i="33" s="1"/>
  <c r="N52" i="33"/>
  <c r="N462" i="33" s="1"/>
  <c r="AO52" i="33"/>
  <c r="L52" i="33"/>
  <c r="L462" i="33" s="1"/>
  <c r="AM52" i="33"/>
  <c r="AG52" i="33"/>
  <c r="AG51" i="33"/>
  <c r="AE51" i="33"/>
  <c r="AE461" i="33" s="1"/>
  <c r="AC51" i="33"/>
  <c r="AO51" i="33"/>
  <c r="AO461" i="33" s="1"/>
  <c r="W51" i="33"/>
  <c r="R51" i="33"/>
  <c r="R461" i="33" s="1"/>
  <c r="N51" i="33"/>
  <c r="N461" i="33" s="1"/>
  <c r="L51" i="33"/>
  <c r="L461" i="33" s="1"/>
  <c r="AM51" i="33"/>
  <c r="AM49" i="33"/>
  <c r="AG49" i="33"/>
  <c r="AE49" i="33"/>
  <c r="AE459" i="33" s="1"/>
  <c r="N49" i="33"/>
  <c r="N459" i="33" s="1"/>
  <c r="AC49" i="33"/>
  <c r="AC459" i="33" s="1"/>
  <c r="W49" i="33"/>
  <c r="R49" i="33"/>
  <c r="R459" i="33" s="1"/>
  <c r="L49" i="33"/>
  <c r="AO49" i="33"/>
  <c r="AO459" i="33" s="1"/>
  <c r="AG50" i="33"/>
  <c r="AC50" i="33"/>
  <c r="AE50" i="33"/>
  <c r="W50" i="33"/>
  <c r="N50" i="33"/>
  <c r="L50" i="33"/>
  <c r="R50" i="33"/>
  <c r="AM50" i="33"/>
  <c r="F46" i="33"/>
  <c r="S53" i="3"/>
  <c r="S90" i="3"/>
  <c r="S82" i="3"/>
  <c r="S52" i="3"/>
  <c r="S47" i="3"/>
  <c r="S89" i="3"/>
  <c r="S81" i="3"/>
  <c r="S123" i="3"/>
  <c r="S88" i="3"/>
  <c r="S80" i="3"/>
  <c r="S118" i="3"/>
  <c r="C31" i="3"/>
  <c r="S87" i="3"/>
  <c r="S79" i="3"/>
  <c r="S48" i="3"/>
  <c r="S83" i="3"/>
  <c r="S46" i="3"/>
  <c r="S45" i="3"/>
  <c r="D31" i="3"/>
  <c r="S9" i="3"/>
  <c r="S86" i="3"/>
  <c r="S85" i="3"/>
  <c r="S51" i="3"/>
  <c r="S54" i="3"/>
  <c r="S49" i="3"/>
  <c r="S44" i="3"/>
  <c r="S84" i="3"/>
  <c r="I25" i="3"/>
  <c r="I23" i="3"/>
  <c r="I22" i="3"/>
  <c r="I21" i="3"/>
  <c r="I20" i="3"/>
  <c r="I19" i="3"/>
  <c r="I17" i="3"/>
  <c r="I16" i="3"/>
  <c r="I15" i="3"/>
  <c r="I14" i="3"/>
  <c r="I13" i="3"/>
  <c r="I11" i="3"/>
  <c r="I10" i="3"/>
  <c r="I30" i="3"/>
  <c r="I29" i="3"/>
  <c r="I28" i="3"/>
  <c r="I27" i="3"/>
  <c r="I26" i="3"/>
  <c r="AM50" i="3"/>
  <c r="AP16" i="3"/>
  <c r="AM49" i="3"/>
  <c r="AP15" i="3"/>
  <c r="AM48" i="3"/>
  <c r="AP14" i="3"/>
  <c r="AM46" i="3"/>
  <c r="AP12" i="3"/>
  <c r="AM45" i="3"/>
  <c r="AP11" i="3"/>
  <c r="C500" i="35"/>
  <c r="C511" i="35"/>
  <c r="C512" i="35" s="1"/>
  <c r="AI500" i="35"/>
  <c r="AI511" i="35"/>
  <c r="AH500" i="35"/>
  <c r="AH511" i="35"/>
  <c r="AG500" i="35"/>
  <c r="AG511" i="35"/>
  <c r="AF500" i="35"/>
  <c r="AF511" i="35"/>
  <c r="AE500" i="35"/>
  <c r="AE511" i="35"/>
  <c r="AD500" i="35"/>
  <c r="AD511" i="35"/>
  <c r="AC500" i="35"/>
  <c r="AC511" i="35"/>
  <c r="AC512" i="35" s="1"/>
  <c r="AB500" i="35"/>
  <c r="AB511" i="35"/>
  <c r="AB512" i="35" s="1"/>
  <c r="AA500" i="35"/>
  <c r="AA511" i="35"/>
  <c r="AA512" i="35" s="1"/>
  <c r="Z500" i="35"/>
  <c r="Z511" i="35"/>
  <c r="Y500" i="35"/>
  <c r="Y511" i="35"/>
  <c r="Y512" i="35" s="1"/>
  <c r="X500" i="35"/>
  <c r="X511" i="35"/>
  <c r="X512" i="35" s="1"/>
  <c r="W500" i="35"/>
  <c r="W511" i="35"/>
  <c r="W512" i="35" s="1"/>
  <c r="V500" i="35"/>
  <c r="V511" i="35"/>
  <c r="U500" i="35"/>
  <c r="U511" i="35"/>
  <c r="U512" i="35" s="1"/>
  <c r="T500" i="35"/>
  <c r="T511" i="35"/>
  <c r="T512" i="35" s="1"/>
  <c r="S500" i="35"/>
  <c r="S511" i="35"/>
  <c r="S512" i="35" s="1"/>
  <c r="R500" i="35"/>
  <c r="R511" i="35"/>
  <c r="Q500" i="35"/>
  <c r="Q511" i="35"/>
  <c r="Q512" i="35" s="1"/>
  <c r="P500" i="35"/>
  <c r="P511" i="35"/>
  <c r="P512" i="35" s="1"/>
  <c r="O500" i="35"/>
  <c r="O511" i="35"/>
  <c r="O512" i="35" s="1"/>
  <c r="N500" i="35"/>
  <c r="N511" i="35"/>
  <c r="M500" i="35"/>
  <c r="M511" i="35"/>
  <c r="L500" i="35"/>
  <c r="L511" i="35"/>
  <c r="L512" i="35" s="1"/>
  <c r="K500" i="35"/>
  <c r="K511" i="35"/>
  <c r="E500" i="35"/>
  <c r="E511" i="35"/>
  <c r="I500" i="35"/>
  <c r="I511" i="35"/>
  <c r="I512" i="35" s="1"/>
  <c r="D500" i="35"/>
  <c r="J500" i="35"/>
  <c r="AF31" i="3"/>
  <c r="G31" i="3"/>
  <c r="L31" i="3"/>
  <c r="V31" i="3"/>
  <c r="AA31" i="3"/>
  <c r="AN31" i="3"/>
  <c r="AS31" i="3"/>
  <c r="AK9" i="3"/>
  <c r="AK31" i="3" s="1"/>
  <c r="AJ31" i="3"/>
  <c r="H9" i="3"/>
  <c r="F43" i="3" s="1"/>
  <c r="H43" i="3" s="1"/>
  <c r="M9" i="3"/>
  <c r="N9" i="3" s="1"/>
  <c r="W9" i="3"/>
  <c r="W31" i="3" s="1"/>
  <c r="AB9" i="3"/>
  <c r="AB31" i="3" s="1"/>
  <c r="AO9" i="3"/>
  <c r="AT9" i="3"/>
  <c r="AT31" i="3" s="1"/>
  <c r="M547" i="12"/>
  <c r="E44" i="3"/>
  <c r="AL18" i="3"/>
  <c r="E64" i="3"/>
  <c r="E60" i="3"/>
  <c r="E91" i="3"/>
  <c r="E127" i="3" s="1"/>
  <c r="E163" i="3" s="1"/>
  <c r="E199" i="3" s="1"/>
  <c r="E235" i="3" s="1"/>
  <c r="E271" i="3" s="1"/>
  <c r="E307" i="3" s="1"/>
  <c r="E343" i="3" s="1"/>
  <c r="E379" i="3" s="1"/>
  <c r="E415" i="3" s="1"/>
  <c r="E87" i="3"/>
  <c r="E123" i="3" s="1"/>
  <c r="E159" i="3" s="1"/>
  <c r="E195" i="3" s="1"/>
  <c r="E231" i="3" s="1"/>
  <c r="E267" i="3" s="1"/>
  <c r="E303" i="3" s="1"/>
  <c r="E339" i="3" s="1"/>
  <c r="E375" i="3" s="1"/>
  <c r="E411" i="3" s="1"/>
  <c r="E47" i="3"/>
  <c r="E79" i="3"/>
  <c r="E115" i="3" s="1"/>
  <c r="E151" i="3" s="1"/>
  <c r="E187" i="3" s="1"/>
  <c r="E48" i="3"/>
  <c r="E99" i="3"/>
  <c r="E135" i="3" s="1"/>
  <c r="E171" i="3" s="1"/>
  <c r="E207" i="3" s="1"/>
  <c r="E243" i="3" s="1"/>
  <c r="E279" i="3" s="1"/>
  <c r="E315" i="3" s="1"/>
  <c r="E351" i="3" s="1"/>
  <c r="E387" i="3" s="1"/>
  <c r="E423" i="3" s="1"/>
  <c r="E95" i="3"/>
  <c r="E131" i="3" s="1"/>
  <c r="E167" i="3" s="1"/>
  <c r="E203" i="3" s="1"/>
  <c r="E239" i="3" s="1"/>
  <c r="E275" i="3" s="1"/>
  <c r="E311" i="3" s="1"/>
  <c r="E347" i="3" s="1"/>
  <c r="E383" i="3" s="1"/>
  <c r="E419" i="3" s="1"/>
  <c r="E90" i="3"/>
  <c r="E126" i="3" s="1"/>
  <c r="E162" i="3" s="1"/>
  <c r="E198" i="3" s="1"/>
  <c r="E234" i="3" s="1"/>
  <c r="E270" i="3" s="1"/>
  <c r="E306" i="3" s="1"/>
  <c r="E342" i="3" s="1"/>
  <c r="E378" i="3" s="1"/>
  <c r="E414" i="3" s="1"/>
  <c r="E86" i="3"/>
  <c r="E122" i="3" s="1"/>
  <c r="E158" i="3" s="1"/>
  <c r="E194" i="3" s="1"/>
  <c r="E230" i="3" s="1"/>
  <c r="E266" i="3" s="1"/>
  <c r="E302" i="3" s="1"/>
  <c r="E338" i="3" s="1"/>
  <c r="E374" i="3" s="1"/>
  <c r="E410" i="3" s="1"/>
  <c r="E82" i="3"/>
  <c r="E118" i="3" s="1"/>
  <c r="E154" i="3" s="1"/>
  <c r="E190" i="3" s="1"/>
  <c r="E226" i="3" s="1"/>
  <c r="E262" i="3" s="1"/>
  <c r="E298" i="3" s="1"/>
  <c r="E334" i="3" s="1"/>
  <c r="E370" i="3" s="1"/>
  <c r="E406" i="3" s="1"/>
  <c r="E61" i="3"/>
  <c r="E56" i="3"/>
  <c r="E52" i="3"/>
  <c r="AL24" i="3"/>
  <c r="AL12" i="3"/>
  <c r="E94" i="3"/>
  <c r="E130" i="3" s="1"/>
  <c r="E166" i="3" s="1"/>
  <c r="E202" i="3" s="1"/>
  <c r="E238" i="3" s="1"/>
  <c r="E274" i="3" s="1"/>
  <c r="E310" i="3" s="1"/>
  <c r="E346" i="3" s="1"/>
  <c r="E382" i="3" s="1"/>
  <c r="E418" i="3" s="1"/>
  <c r="E98" i="3"/>
  <c r="E134" i="3" s="1"/>
  <c r="E170" i="3" s="1"/>
  <c r="E206" i="3" s="1"/>
  <c r="E242" i="3" s="1"/>
  <c r="E278" i="3" s="1"/>
  <c r="E314" i="3" s="1"/>
  <c r="E350" i="3" s="1"/>
  <c r="E386" i="3" s="1"/>
  <c r="E422" i="3" s="1"/>
  <c r="E57" i="3"/>
  <c r="E53" i="3"/>
  <c r="E49" i="3"/>
  <c r="E45" i="3"/>
  <c r="E179" i="2"/>
  <c r="E213" i="2" s="1"/>
  <c r="E247" i="2" s="1"/>
  <c r="E281" i="2" s="1"/>
  <c r="E315" i="2" s="1"/>
  <c r="E349" i="2" s="1"/>
  <c r="E383" i="2" s="1"/>
  <c r="D176" i="35"/>
  <c r="AH14" i="3"/>
  <c r="AH10" i="3"/>
  <c r="D282" i="35"/>
  <c r="D71" i="35"/>
  <c r="E89" i="3"/>
  <c r="E125" i="3" s="1"/>
  <c r="E161" i="3" s="1"/>
  <c r="E197" i="3" s="1"/>
  <c r="E233" i="3" s="1"/>
  <c r="E269" i="3" s="1"/>
  <c r="E305" i="3" s="1"/>
  <c r="E341" i="3" s="1"/>
  <c r="E377" i="3" s="1"/>
  <c r="E413" i="3" s="1"/>
  <c r="E59" i="3"/>
  <c r="E97" i="3"/>
  <c r="E81" i="3"/>
  <c r="E117" i="3" s="1"/>
  <c r="E153" i="3" s="1"/>
  <c r="E189" i="3" s="1"/>
  <c r="E225" i="3" s="1"/>
  <c r="E261" i="3" s="1"/>
  <c r="E297" i="3" s="1"/>
  <c r="E333" i="3" s="1"/>
  <c r="E369" i="3" s="1"/>
  <c r="E405" i="3" s="1"/>
  <c r="E93" i="3"/>
  <c r="E129" i="3" s="1"/>
  <c r="E165" i="3" s="1"/>
  <c r="E201" i="3" s="1"/>
  <c r="E237" i="3" s="1"/>
  <c r="E273" i="3" s="1"/>
  <c r="E309" i="3" s="1"/>
  <c r="E345" i="3" s="1"/>
  <c r="E381" i="3" s="1"/>
  <c r="E417" i="3" s="1"/>
  <c r="E63" i="3"/>
  <c r="E100" i="3"/>
  <c r="E136" i="3" s="1"/>
  <c r="E172" i="3" s="1"/>
  <c r="E208" i="3" s="1"/>
  <c r="E244" i="3" s="1"/>
  <c r="E280" i="3" s="1"/>
  <c r="E316" i="3" s="1"/>
  <c r="E352" i="3" s="1"/>
  <c r="E388" i="3" s="1"/>
  <c r="E424" i="3" s="1"/>
  <c r="E96" i="3"/>
  <c r="E132" i="3" s="1"/>
  <c r="E168" i="3" s="1"/>
  <c r="E204" i="3" s="1"/>
  <c r="E240" i="3" s="1"/>
  <c r="E276" i="3" s="1"/>
  <c r="E312" i="3" s="1"/>
  <c r="E348" i="3" s="1"/>
  <c r="E384" i="3" s="1"/>
  <c r="E420" i="3" s="1"/>
  <c r="E92" i="3"/>
  <c r="E128" i="3" s="1"/>
  <c r="E164" i="3" s="1"/>
  <c r="E200" i="3" s="1"/>
  <c r="E236" i="3" s="1"/>
  <c r="E272" i="3" s="1"/>
  <c r="E308" i="3" s="1"/>
  <c r="E344" i="3" s="1"/>
  <c r="E380" i="3" s="1"/>
  <c r="E416" i="3" s="1"/>
  <c r="E88" i="3"/>
  <c r="E124" i="3" s="1"/>
  <c r="E160" i="3" s="1"/>
  <c r="E196" i="3" s="1"/>
  <c r="E232" i="3" s="1"/>
  <c r="E268" i="3" s="1"/>
  <c r="E304" i="3" s="1"/>
  <c r="E340" i="3" s="1"/>
  <c r="E376" i="3" s="1"/>
  <c r="E412" i="3" s="1"/>
  <c r="E84" i="3"/>
  <c r="E120" i="3" s="1"/>
  <c r="E156" i="3" s="1"/>
  <c r="E192" i="3" s="1"/>
  <c r="E228" i="3" s="1"/>
  <c r="E264" i="3" s="1"/>
  <c r="E300" i="3" s="1"/>
  <c r="E336" i="3" s="1"/>
  <c r="E372" i="3" s="1"/>
  <c r="E408" i="3" s="1"/>
  <c r="E80" i="3"/>
  <c r="E116" i="3" s="1"/>
  <c r="E152" i="3" s="1"/>
  <c r="E188" i="3" s="1"/>
  <c r="E62" i="3"/>
  <c r="E58" i="3"/>
  <c r="E54" i="3"/>
  <c r="E50" i="3"/>
  <c r="E46" i="3"/>
  <c r="E55" i="3"/>
  <c r="E51" i="3"/>
  <c r="E43" i="3"/>
  <c r="E83" i="3"/>
  <c r="E119" i="3" s="1"/>
  <c r="E155" i="3" s="1"/>
  <c r="E191" i="3" s="1"/>
  <c r="E227" i="3" s="1"/>
  <c r="E263" i="3" s="1"/>
  <c r="E299" i="3" s="1"/>
  <c r="E335" i="3" s="1"/>
  <c r="E371" i="3" s="1"/>
  <c r="E407" i="3" s="1"/>
  <c r="F63" i="3"/>
  <c r="H63" i="3" s="1"/>
  <c r="F62" i="3"/>
  <c r="F60" i="3"/>
  <c r="H60" i="3" s="1"/>
  <c r="F59" i="3"/>
  <c r="H59" i="3" s="1"/>
  <c r="F55" i="3"/>
  <c r="H55" i="3" s="1"/>
  <c r="F54" i="3"/>
  <c r="F47" i="3"/>
  <c r="H47" i="3" s="1"/>
  <c r="D135" i="3"/>
  <c r="S135" i="3" s="1"/>
  <c r="D134" i="3"/>
  <c r="S134" i="3" s="1"/>
  <c r="E131" i="33"/>
  <c r="E471" i="33" s="1"/>
  <c r="G132" i="3"/>
  <c r="D203" i="3"/>
  <c r="D202" i="3"/>
  <c r="D129" i="3"/>
  <c r="S129" i="3" s="1"/>
  <c r="D151" i="3"/>
  <c r="AX403" i="3"/>
  <c r="AX331" i="3"/>
  <c r="AX353" i="3" s="1"/>
  <c r="AU27" i="3"/>
  <c r="AU20" i="3"/>
  <c r="AU16" i="3"/>
  <c r="D121" i="3"/>
  <c r="D122" i="3"/>
  <c r="AP20" i="3"/>
  <c r="AP23" i="3"/>
  <c r="D232" i="3"/>
  <c r="D196" i="3"/>
  <c r="D124" i="3"/>
  <c r="D160" i="3"/>
  <c r="C417" i="2"/>
  <c r="E417" i="2" s="1"/>
  <c r="D120" i="3"/>
  <c r="D43" i="3"/>
  <c r="E276" i="33"/>
  <c r="E436" i="33" s="1"/>
  <c r="I276" i="33"/>
  <c r="I436" i="33" s="1"/>
  <c r="C80" i="33"/>
  <c r="C156" i="3"/>
  <c r="C154" i="33"/>
  <c r="C121" i="3"/>
  <c r="C84" i="33"/>
  <c r="C88" i="33"/>
  <c r="C155" i="3"/>
  <c r="C96" i="33"/>
  <c r="C92" i="33"/>
  <c r="AU9" i="3"/>
  <c r="X16" i="3"/>
  <c r="K9" i="33"/>
  <c r="E416" i="33"/>
  <c r="E440" i="33" s="1"/>
  <c r="E441" i="33" s="1"/>
  <c r="I416" i="33"/>
  <c r="I440" i="33" s="1"/>
  <c r="I441" i="33" s="1"/>
  <c r="AP28" i="3"/>
  <c r="AX371" i="3"/>
  <c r="M554" i="12"/>
  <c r="M540" i="12"/>
  <c r="M538" i="12"/>
  <c r="D131" i="3"/>
  <c r="S131" i="3" s="1"/>
  <c r="C128" i="33"/>
  <c r="AL13" i="3"/>
  <c r="M553" i="12"/>
  <c r="C165" i="3"/>
  <c r="D115" i="3"/>
  <c r="C129" i="3"/>
  <c r="C120" i="33"/>
  <c r="AU23" i="3"/>
  <c r="AU19" i="3"/>
  <c r="AU15" i="3"/>
  <c r="AU11" i="3"/>
  <c r="AL15" i="3"/>
  <c r="M539" i="12"/>
  <c r="J47" i="33"/>
  <c r="H82" i="33" s="1"/>
  <c r="J82" i="33" s="1"/>
  <c r="H65" i="33"/>
  <c r="I475" i="33"/>
  <c r="K28" i="33"/>
  <c r="I473" i="33"/>
  <c r="F30" i="33"/>
  <c r="D65" i="33" s="1"/>
  <c r="G28" i="33"/>
  <c r="C97" i="33"/>
  <c r="J56" i="33"/>
  <c r="H91" i="33" s="1"/>
  <c r="J91" i="33" s="1"/>
  <c r="H126" i="33" s="1"/>
  <c r="J126" i="33" s="1"/>
  <c r="F44" i="33"/>
  <c r="D79" i="33" s="1"/>
  <c r="F79" i="33" s="1"/>
  <c r="D114" i="33" s="1"/>
  <c r="H64" i="33"/>
  <c r="J64" i="33" s="1"/>
  <c r="K64" i="33" s="1"/>
  <c r="I474" i="33"/>
  <c r="K27" i="33"/>
  <c r="I472" i="33"/>
  <c r="J55" i="33"/>
  <c r="H90" i="33" s="1"/>
  <c r="J90" i="33" s="1"/>
  <c r="D61" i="33"/>
  <c r="D64" i="33"/>
  <c r="F64" i="33" s="1"/>
  <c r="D62" i="33"/>
  <c r="AT46" i="3"/>
  <c r="AR82" i="3" s="1"/>
  <c r="AT82" i="3" s="1"/>
  <c r="AU82" i="3" s="1"/>
  <c r="C58" i="33"/>
  <c r="AO50" i="3"/>
  <c r="AM86" i="3" s="1"/>
  <c r="AO86" i="3" s="1"/>
  <c r="I471" i="33"/>
  <c r="E346" i="33"/>
  <c r="E438" i="33" s="1"/>
  <c r="I346" i="33"/>
  <c r="I438" i="33" s="1"/>
  <c r="AX295" i="3"/>
  <c r="K24" i="33"/>
  <c r="AX223" i="3"/>
  <c r="M552" i="12"/>
  <c r="M544" i="12"/>
  <c r="M536" i="12"/>
  <c r="K20" i="33"/>
  <c r="M557" i="12"/>
  <c r="M549" i="12"/>
  <c r="AJ65" i="3"/>
  <c r="M527" i="12"/>
  <c r="AX302" i="3"/>
  <c r="M543" i="12"/>
  <c r="C157" i="3"/>
  <c r="D119" i="3"/>
  <c r="AT59" i="3"/>
  <c r="AU59" i="3" s="1"/>
  <c r="K22" i="33"/>
  <c r="M558" i="12"/>
  <c r="L571" i="12"/>
  <c r="C117" i="3"/>
  <c r="AC26" i="3"/>
  <c r="AY19" i="3"/>
  <c r="AX259" i="3"/>
  <c r="V65" i="3"/>
  <c r="C125" i="33"/>
  <c r="C124" i="33"/>
  <c r="M43" i="12"/>
  <c r="M87" i="12"/>
  <c r="M263" i="12"/>
  <c r="M351" i="12"/>
  <c r="M395" i="12"/>
  <c r="M439" i="12"/>
  <c r="M483" i="12"/>
  <c r="M556" i="12"/>
  <c r="M555" i="12"/>
  <c r="M548" i="12"/>
  <c r="M546" i="12"/>
  <c r="J44" i="33"/>
  <c r="H79" i="33" s="1"/>
  <c r="J79" i="33" s="1"/>
  <c r="K79" i="33" s="1"/>
  <c r="G65" i="3"/>
  <c r="C571" i="12"/>
  <c r="C116" i="33"/>
  <c r="C155" i="33"/>
  <c r="AJ137" i="3"/>
  <c r="AJ209" i="3"/>
  <c r="M551" i="12"/>
  <c r="C162" i="33"/>
  <c r="C135" i="3"/>
  <c r="M559" i="12"/>
  <c r="M550" i="12"/>
  <c r="D571" i="12"/>
  <c r="C164" i="3"/>
  <c r="C125" i="3"/>
  <c r="C118" i="3"/>
  <c r="C117" i="33"/>
  <c r="D128" i="3"/>
  <c r="S128" i="3" s="1"/>
  <c r="AF101" i="3"/>
  <c r="H60" i="33"/>
  <c r="J60" i="33" s="1"/>
  <c r="H95" i="33" s="1"/>
  <c r="J95" i="33" s="1"/>
  <c r="H130" i="33" s="1"/>
  <c r="K25" i="33"/>
  <c r="J57" i="33"/>
  <c r="H92" i="33" s="1"/>
  <c r="J92" i="33" s="1"/>
  <c r="G11" i="33"/>
  <c r="G15" i="33"/>
  <c r="D54" i="33"/>
  <c r="F54" i="33" s="1"/>
  <c r="D89" i="33" s="1"/>
  <c r="F89" i="33" s="1"/>
  <c r="G19" i="33"/>
  <c r="K17" i="33"/>
  <c r="H52" i="33"/>
  <c r="J52" i="33" s="1"/>
  <c r="H87" i="33" s="1"/>
  <c r="J87" i="33" s="1"/>
  <c r="F51" i="33"/>
  <c r="D86" i="33" s="1"/>
  <c r="F86" i="33" s="1"/>
  <c r="AT63" i="3"/>
  <c r="AR99" i="3" s="1"/>
  <c r="AT99" i="3" s="1"/>
  <c r="AR135" i="3" s="1"/>
  <c r="AT135" i="3" s="1"/>
  <c r="AP24" i="3"/>
  <c r="AT62" i="3"/>
  <c r="AU62" i="3" s="1"/>
  <c r="D50" i="33"/>
  <c r="F50" i="33" s="1"/>
  <c r="D85" i="33" s="1"/>
  <c r="F85" i="33" s="1"/>
  <c r="D120" i="33" s="1"/>
  <c r="F120" i="33" s="1"/>
  <c r="D155" i="33" s="1"/>
  <c r="F155" i="33" s="1"/>
  <c r="I571" i="12"/>
  <c r="C95" i="3"/>
  <c r="C95" i="33"/>
  <c r="C169" i="3"/>
  <c r="C167" i="33"/>
  <c r="AC25" i="3"/>
  <c r="AL25" i="3"/>
  <c r="AC17" i="3"/>
  <c r="AL17" i="3"/>
  <c r="M541" i="12"/>
  <c r="C100" i="33"/>
  <c r="C133" i="3"/>
  <c r="C132" i="33"/>
  <c r="K571" i="12"/>
  <c r="M542" i="12"/>
  <c r="G571" i="12"/>
  <c r="M307" i="12"/>
  <c r="AX369" i="3"/>
  <c r="E571" i="12"/>
  <c r="F571" i="12"/>
  <c r="AX367" i="3"/>
  <c r="D164" i="3"/>
  <c r="S164" i="3" s="1"/>
  <c r="AX262" i="3"/>
  <c r="M131" i="12"/>
  <c r="M175" i="12"/>
  <c r="M61" i="3"/>
  <c r="N61" i="3" s="1"/>
  <c r="H571" i="12"/>
  <c r="D157" i="3"/>
  <c r="J412" i="10"/>
  <c r="J445" i="10"/>
  <c r="J449" i="10" s="1"/>
  <c r="R412" i="10"/>
  <c r="R416" i="10" s="1"/>
  <c r="R445" i="10"/>
  <c r="R449" i="10" s="1"/>
  <c r="AN65" i="3"/>
  <c r="C87" i="33"/>
  <c r="H51" i="33"/>
  <c r="J51" i="33" s="1"/>
  <c r="H86" i="33" s="1"/>
  <c r="J86" i="33" s="1"/>
  <c r="K16" i="33"/>
  <c r="C445" i="10"/>
  <c r="C449" i="10" s="1"/>
  <c r="C412" i="10"/>
  <c r="K445" i="10"/>
  <c r="K449" i="10" s="1"/>
  <c r="K412" i="10"/>
  <c r="M219" i="12"/>
  <c r="J571" i="12"/>
  <c r="N571" i="12"/>
  <c r="AX406" i="3"/>
  <c r="AX425" i="3" s="1"/>
  <c r="C129" i="33"/>
  <c r="C130" i="3"/>
  <c r="C164" i="33"/>
  <c r="C122" i="3"/>
  <c r="C121" i="33"/>
  <c r="D132" i="3"/>
  <c r="S132" i="3" s="1"/>
  <c r="D268" i="3"/>
  <c r="D116" i="3"/>
  <c r="F56" i="33"/>
  <c r="D412" i="10"/>
  <c r="D416" i="10" s="1"/>
  <c r="D445" i="10"/>
  <c r="D449" i="10" s="1"/>
  <c r="L412" i="10"/>
  <c r="L416" i="10" s="1"/>
  <c r="L445" i="10"/>
  <c r="AA425" i="3"/>
  <c r="AK59" i="3"/>
  <c r="AI95" i="3" s="1"/>
  <c r="AK95" i="3" s="1"/>
  <c r="AK57" i="3"/>
  <c r="AI93" i="3" s="1"/>
  <c r="AK93" i="3" s="1"/>
  <c r="AK51" i="3"/>
  <c r="AI87" i="3" s="1"/>
  <c r="AK87" i="3" s="1"/>
  <c r="AK49" i="3"/>
  <c r="AI85" i="3" s="1"/>
  <c r="AK85" i="3" s="1"/>
  <c r="AK47" i="3"/>
  <c r="AI83" i="3" s="1"/>
  <c r="AK83" i="3" s="1"/>
  <c r="AI119" i="3" s="1"/>
  <c r="AK119" i="3" s="1"/>
  <c r="AI155" i="3" s="1"/>
  <c r="AK155" i="3" s="1"/>
  <c r="AI191" i="3" s="1"/>
  <c r="AK191" i="3" s="1"/>
  <c r="AI227" i="3" s="1"/>
  <c r="AK227" i="3" s="1"/>
  <c r="AK45" i="3"/>
  <c r="AI81" i="3" s="1"/>
  <c r="AK81" i="3" s="1"/>
  <c r="AI117" i="3" s="1"/>
  <c r="AK117" i="3" s="1"/>
  <c r="AI153" i="3" s="1"/>
  <c r="AK153" i="3" s="1"/>
  <c r="E412" i="10"/>
  <c r="E416" i="10" s="1"/>
  <c r="E445" i="10"/>
  <c r="E449" i="10" s="1"/>
  <c r="M412" i="10"/>
  <c r="M416" i="10" s="1"/>
  <c r="M445" i="10"/>
  <c r="M449" i="10" s="1"/>
  <c r="C98" i="33"/>
  <c r="C134" i="3"/>
  <c r="F412" i="10"/>
  <c r="F416" i="10" s="1"/>
  <c r="F445" i="10"/>
  <c r="F449" i="10" s="1"/>
  <c r="N412" i="10"/>
  <c r="N416" i="10" s="1"/>
  <c r="N445" i="10"/>
  <c r="N449" i="10" s="1"/>
  <c r="AS425" i="3"/>
  <c r="C231" i="33"/>
  <c r="C196" i="33"/>
  <c r="C97" i="3"/>
  <c r="AA65" i="3"/>
  <c r="X23" i="3"/>
  <c r="AH11" i="3"/>
  <c r="G425" i="3"/>
  <c r="G445" i="10"/>
  <c r="G449" i="10" s="1"/>
  <c r="G412" i="10"/>
  <c r="G416" i="10" s="1"/>
  <c r="O445" i="10"/>
  <c r="O449" i="10" s="1"/>
  <c r="O412" i="10"/>
  <c r="O416" i="10" s="1"/>
  <c r="AG58" i="3"/>
  <c r="AE94" i="3" s="1"/>
  <c r="AG94" i="3" s="1"/>
  <c r="AE130" i="3" s="1"/>
  <c r="AG130" i="3" s="1"/>
  <c r="AE166" i="3" s="1"/>
  <c r="AG166" i="3" s="1"/>
  <c r="AC9" i="3"/>
  <c r="H445" i="10"/>
  <c r="H449" i="10" s="1"/>
  <c r="H412" i="10"/>
  <c r="H416" i="10" s="1"/>
  <c r="P445" i="10"/>
  <c r="P449" i="10" s="1"/>
  <c r="P412" i="10"/>
  <c r="AN425" i="3"/>
  <c r="I458" i="33"/>
  <c r="L425" i="3"/>
  <c r="I412" i="10"/>
  <c r="I416" i="10" s="1"/>
  <c r="I445" i="10"/>
  <c r="I449" i="10" s="1"/>
  <c r="Q412" i="10"/>
  <c r="Q416" i="10" s="1"/>
  <c r="Q445" i="10"/>
  <c r="Q449" i="10" s="1"/>
  <c r="V425" i="3"/>
  <c r="P476" i="33"/>
  <c r="AS65" i="3"/>
  <c r="AH476" i="33"/>
  <c r="Q476" i="33"/>
  <c r="AX238" i="3"/>
  <c r="AX237" i="3"/>
  <c r="AX233" i="3"/>
  <c r="T476" i="33"/>
  <c r="AI476" i="33"/>
  <c r="AA476" i="33"/>
  <c r="V476" i="33"/>
  <c r="U476" i="33"/>
  <c r="U441" i="33"/>
  <c r="S476" i="33"/>
  <c r="Q441" i="33"/>
  <c r="AD441" i="33"/>
  <c r="V441" i="33"/>
  <c r="O441" i="33"/>
  <c r="AN441" i="33"/>
  <c r="AK476" i="33"/>
  <c r="AJ476" i="33"/>
  <c r="AH441" i="33"/>
  <c r="AP441" i="33"/>
  <c r="AA441" i="33"/>
  <c r="S441" i="33"/>
  <c r="T441" i="33"/>
  <c r="AF441" i="33"/>
  <c r="X441" i="33"/>
  <c r="O476" i="33"/>
  <c r="P416" i="10"/>
  <c r="J416" i="10"/>
  <c r="K416" i="10"/>
  <c r="AI441" i="33"/>
  <c r="AJ441" i="33"/>
  <c r="AK441" i="33"/>
  <c r="M441" i="33"/>
  <c r="AL441" i="33"/>
  <c r="P441" i="33"/>
  <c r="AG48" i="3"/>
  <c r="AE84" i="3" s="1"/>
  <c r="AG84" i="3" s="1"/>
  <c r="D106" i="35"/>
  <c r="D141" i="35"/>
  <c r="D352" i="35"/>
  <c r="D247" i="35"/>
  <c r="D422" i="35"/>
  <c r="D317" i="35"/>
  <c r="D387" i="35"/>
  <c r="AF65" i="3"/>
  <c r="AJ101" i="3"/>
  <c r="AA389" i="3"/>
  <c r="AN389" i="3"/>
  <c r="AS353" i="3"/>
  <c r="AU26" i="3"/>
  <c r="AP30" i="3"/>
  <c r="AP22" i="3"/>
  <c r="V389" i="3"/>
  <c r="AF317" i="3"/>
  <c r="AS389" i="3"/>
  <c r="AJ317" i="3"/>
  <c r="G389" i="3"/>
  <c r="AF353" i="3"/>
  <c r="AJ353" i="3"/>
  <c r="AF389" i="3"/>
  <c r="L389" i="3"/>
  <c r="AJ389" i="3"/>
  <c r="AA353" i="3"/>
  <c r="V353" i="3"/>
  <c r="X13" i="3"/>
  <c r="AN353" i="3"/>
  <c r="AH13" i="3"/>
  <c r="L353" i="3"/>
  <c r="G353" i="3"/>
  <c r="V317" i="3"/>
  <c r="AS317" i="3"/>
  <c r="L317" i="3"/>
  <c r="AA281" i="3"/>
  <c r="AA317" i="3"/>
  <c r="AN317" i="3"/>
  <c r="G317" i="3"/>
  <c r="AF281" i="3"/>
  <c r="AJ281" i="3"/>
  <c r="V281" i="3"/>
  <c r="G281" i="3"/>
  <c r="AN281" i="3"/>
  <c r="L281" i="3"/>
  <c r="AS281" i="3"/>
  <c r="AG49" i="3"/>
  <c r="AE85" i="3" s="1"/>
  <c r="AG85" i="3" s="1"/>
  <c r="AG47" i="3"/>
  <c r="AE83" i="3" s="1"/>
  <c r="AG83" i="3" s="1"/>
  <c r="AG45" i="3"/>
  <c r="AE81" i="3" s="1"/>
  <c r="AG81" i="3" s="1"/>
  <c r="AK58" i="3"/>
  <c r="AI94" i="3" s="1"/>
  <c r="AK94" i="3" s="1"/>
  <c r="AI130" i="3" s="1"/>
  <c r="AK130" i="3" s="1"/>
  <c r="AK56" i="3"/>
  <c r="AI92" i="3" s="1"/>
  <c r="AK92" i="3" s="1"/>
  <c r="AK52" i="3"/>
  <c r="AI88" i="3" s="1"/>
  <c r="AK88" i="3" s="1"/>
  <c r="AK48" i="3"/>
  <c r="AI84" i="3" s="1"/>
  <c r="AK84" i="3" s="1"/>
  <c r="AK46" i="3"/>
  <c r="AI82" i="3" s="1"/>
  <c r="AK82" i="3" s="1"/>
  <c r="AI118" i="3" s="1"/>
  <c r="AK118" i="3" s="1"/>
  <c r="AI154" i="3" s="1"/>
  <c r="AK154" i="3" s="1"/>
  <c r="AI190" i="3" s="1"/>
  <c r="AK190" i="3" s="1"/>
  <c r="AI226" i="3" s="1"/>
  <c r="AK226" i="3" s="1"/>
  <c r="AK44" i="3"/>
  <c r="AI80" i="3" s="1"/>
  <c r="AK80" i="3" s="1"/>
  <c r="AI116" i="3" s="1"/>
  <c r="AK116" i="3" s="1"/>
  <c r="AI152" i="3" s="1"/>
  <c r="AK152" i="3" s="1"/>
  <c r="AI188" i="3" s="1"/>
  <c r="AK188" i="3" s="1"/>
  <c r="AI224" i="3" s="1"/>
  <c r="AK224" i="3" s="1"/>
  <c r="AA245" i="3"/>
  <c r="AN245" i="3"/>
  <c r="V245" i="3"/>
  <c r="AJ245" i="3"/>
  <c r="G245" i="3"/>
  <c r="L245" i="3"/>
  <c r="AS245" i="3"/>
  <c r="AG46" i="3"/>
  <c r="AE82" i="3" s="1"/>
  <c r="AG82" i="3" s="1"/>
  <c r="AE118" i="3" s="1"/>
  <c r="AG118" i="3" s="1"/>
  <c r="AE154" i="3" s="1"/>
  <c r="AG154" i="3" s="1"/>
  <c r="AG44" i="3"/>
  <c r="AE80" i="3" s="1"/>
  <c r="AG80" i="3" s="1"/>
  <c r="AF245" i="3"/>
  <c r="V209" i="3"/>
  <c r="AA209" i="3"/>
  <c r="AS209" i="3"/>
  <c r="G209" i="3"/>
  <c r="E223" i="3"/>
  <c r="AN209" i="3"/>
  <c r="L209" i="3"/>
  <c r="AH18" i="3"/>
  <c r="AH58" i="3"/>
  <c r="AF173" i="3"/>
  <c r="AF137" i="3"/>
  <c r="G173" i="3"/>
  <c r="V173" i="3"/>
  <c r="M48" i="3"/>
  <c r="N48" i="3" s="1"/>
  <c r="AS173" i="3"/>
  <c r="AJ173" i="3"/>
  <c r="L173" i="3"/>
  <c r="AB64" i="3"/>
  <c r="AC64" i="3" s="1"/>
  <c r="AA173" i="3"/>
  <c r="AN173" i="3"/>
  <c r="AU12" i="3"/>
  <c r="AB60" i="3"/>
  <c r="Z96" i="3" s="1"/>
  <c r="AB96" i="3" s="1"/>
  <c r="AB52" i="3"/>
  <c r="Z88" i="3" s="1"/>
  <c r="AB88" i="3" s="1"/>
  <c r="AB48" i="3"/>
  <c r="M47" i="3"/>
  <c r="K83" i="3" s="1"/>
  <c r="M83" i="3" s="1"/>
  <c r="K119" i="3" s="1"/>
  <c r="M119" i="3" s="1"/>
  <c r="AH12" i="3"/>
  <c r="AH24" i="3"/>
  <c r="AH20" i="3"/>
  <c r="AL10" i="3"/>
  <c r="AT45" i="3"/>
  <c r="AR81" i="3" s="1"/>
  <c r="AT81" i="3" s="1"/>
  <c r="AR117" i="3" s="1"/>
  <c r="AT117" i="3" s="1"/>
  <c r="AR153" i="3" s="1"/>
  <c r="AT153" i="3" s="1"/>
  <c r="AR189" i="3" s="1"/>
  <c r="AT189" i="3" s="1"/>
  <c r="C46" i="33"/>
  <c r="G46" i="33" s="1"/>
  <c r="AB59" i="3"/>
  <c r="Z95" i="3" s="1"/>
  <c r="AB95" i="3" s="1"/>
  <c r="K10" i="33"/>
  <c r="C56" i="33"/>
  <c r="G23" i="33"/>
  <c r="C199" i="3"/>
  <c r="S199" i="3" s="1"/>
  <c r="H45" i="33"/>
  <c r="J45" i="33" s="1"/>
  <c r="H80" i="33" s="1"/>
  <c r="D125" i="3"/>
  <c r="D58" i="33"/>
  <c r="F58" i="33" s="1"/>
  <c r="C161" i="33"/>
  <c r="C123" i="3"/>
  <c r="H48" i="33"/>
  <c r="J48" i="33" s="1"/>
  <c r="H83" i="33" s="1"/>
  <c r="J83" i="33" s="1"/>
  <c r="H118" i="33" s="1"/>
  <c r="J118" i="33" s="1"/>
  <c r="C163" i="3"/>
  <c r="I9" i="3"/>
  <c r="J53" i="33"/>
  <c r="H88" i="33" s="1"/>
  <c r="J88" i="33" s="1"/>
  <c r="H123" i="33" s="1"/>
  <c r="D156" i="3"/>
  <c r="F59" i="33"/>
  <c r="D94" i="33" s="1"/>
  <c r="F94" i="33" s="1"/>
  <c r="E466" i="33"/>
  <c r="AT57" i="3"/>
  <c r="AR93" i="3" s="1"/>
  <c r="AT93" i="3" s="1"/>
  <c r="J59" i="33"/>
  <c r="H94" i="33" s="1"/>
  <c r="J94" i="33" s="1"/>
  <c r="H129" i="33" s="1"/>
  <c r="J129" i="33" s="1"/>
  <c r="G18" i="33"/>
  <c r="D53" i="33"/>
  <c r="F53" i="33" s="1"/>
  <c r="D88" i="33" s="1"/>
  <c r="F88" i="33" s="1"/>
  <c r="D123" i="33" s="1"/>
  <c r="F123" i="33" s="1"/>
  <c r="D45" i="33"/>
  <c r="F45" i="33" s="1"/>
  <c r="G10" i="33"/>
  <c r="H54" i="33"/>
  <c r="J54" i="33" s="1"/>
  <c r="H89" i="33" s="1"/>
  <c r="J89" i="33" s="1"/>
  <c r="H124" i="33" s="1"/>
  <c r="J124" i="33" s="1"/>
  <c r="K19" i="33"/>
  <c r="H46" i="33"/>
  <c r="J46" i="33" s="1"/>
  <c r="H81" i="33" s="1"/>
  <c r="J81" i="33" s="1"/>
  <c r="H116" i="33" s="1"/>
  <c r="J116" i="33" s="1"/>
  <c r="K11" i="33"/>
  <c r="M46" i="3"/>
  <c r="K82" i="3" s="1"/>
  <c r="M82" i="3" s="1"/>
  <c r="K118" i="3" s="1"/>
  <c r="M118" i="3" s="1"/>
  <c r="K154" i="3" s="1"/>
  <c r="M154" i="3" s="1"/>
  <c r="W64" i="3"/>
  <c r="X64" i="3" s="1"/>
  <c r="AB62" i="3"/>
  <c r="Z98" i="3" s="1"/>
  <c r="AB98" i="3" s="1"/>
  <c r="Z134" i="3" s="1"/>
  <c r="AB134" i="3" s="1"/>
  <c r="AB54" i="3"/>
  <c r="Z90" i="3" s="1"/>
  <c r="AB90" i="3" s="1"/>
  <c r="Z126" i="3" s="1"/>
  <c r="AB126" i="3" s="1"/>
  <c r="C131" i="3"/>
  <c r="AH15" i="3"/>
  <c r="C115" i="3"/>
  <c r="D153" i="3"/>
  <c r="D117" i="3"/>
  <c r="D161" i="3"/>
  <c r="AT52" i="3"/>
  <c r="AR88" i="3" s="1"/>
  <c r="AT88" i="3" s="1"/>
  <c r="AX187" i="3"/>
  <c r="AX209" i="3" s="1"/>
  <c r="AF201" i="2"/>
  <c r="AF422" i="2" s="1"/>
  <c r="C52" i="33"/>
  <c r="G16" i="33"/>
  <c r="K18" i="33"/>
  <c r="C53" i="33"/>
  <c r="K60" i="3"/>
  <c r="D198" i="3"/>
  <c r="D162" i="3"/>
  <c r="C124" i="3"/>
  <c r="K12" i="33"/>
  <c r="G20" i="33"/>
  <c r="C132" i="3"/>
  <c r="AL11" i="3"/>
  <c r="AU10" i="3"/>
  <c r="V137" i="3"/>
  <c r="AN137" i="3"/>
  <c r="G9" i="33"/>
  <c r="AC12" i="3"/>
  <c r="X22" i="3"/>
  <c r="L137" i="3"/>
  <c r="AU29" i="3"/>
  <c r="C123" i="33"/>
  <c r="C116" i="3"/>
  <c r="C55" i="33"/>
  <c r="D155" i="3"/>
  <c r="AC20" i="3"/>
  <c r="AU25" i="3"/>
  <c r="AU17" i="3"/>
  <c r="AU13" i="3"/>
  <c r="C44" i="33"/>
  <c r="AA137" i="3"/>
  <c r="D126" i="3"/>
  <c r="C115" i="33"/>
  <c r="AL23" i="3"/>
  <c r="X11" i="3"/>
  <c r="AC16" i="3"/>
  <c r="H62" i="3"/>
  <c r="AT54" i="3"/>
  <c r="AU54" i="3" s="1"/>
  <c r="M62" i="3"/>
  <c r="AM55" i="3"/>
  <c r="AO55" i="3" s="1"/>
  <c r="AP21" i="3"/>
  <c r="K49" i="3"/>
  <c r="M49" i="3" s="1"/>
  <c r="K85" i="3" s="1"/>
  <c r="M85" i="3" s="1"/>
  <c r="N85" i="3" s="1"/>
  <c r="U55" i="3"/>
  <c r="W55" i="3" s="1"/>
  <c r="X21" i="3"/>
  <c r="Z63" i="3"/>
  <c r="AB63" i="3" s="1"/>
  <c r="Z99" i="3" s="1"/>
  <c r="AB99" i="3" s="1"/>
  <c r="AC29" i="3"/>
  <c r="AC14" i="3"/>
  <c r="AL22" i="3"/>
  <c r="AC22" i="3"/>
  <c r="K61" i="3"/>
  <c r="AU18" i="3"/>
  <c r="AH22" i="3"/>
  <c r="AL14" i="3"/>
  <c r="X27" i="3"/>
  <c r="AB46" i="3"/>
  <c r="Z82" i="3" s="1"/>
  <c r="AB82" i="3" s="1"/>
  <c r="Z118" i="3" s="1"/>
  <c r="AB118" i="3" s="1"/>
  <c r="Z154" i="3" s="1"/>
  <c r="AB154" i="3" s="1"/>
  <c r="K54" i="3"/>
  <c r="M54" i="3" s="1"/>
  <c r="N54" i="3" s="1"/>
  <c r="Z61" i="3"/>
  <c r="AC27" i="3"/>
  <c r="Z49" i="3"/>
  <c r="AB49" i="3" s="1"/>
  <c r="Z85" i="3" s="1"/>
  <c r="AB85" i="3" s="1"/>
  <c r="AC85" i="3" s="1"/>
  <c r="AC15" i="3"/>
  <c r="D192" i="3"/>
  <c r="U53" i="3"/>
  <c r="W53" i="3" s="1"/>
  <c r="U89" i="3" s="1"/>
  <c r="W89" i="3" s="1"/>
  <c r="X89" i="3" s="1"/>
  <c r="X19" i="3"/>
  <c r="AM53" i="3"/>
  <c r="AO53" i="3" s="1"/>
  <c r="AP19" i="3"/>
  <c r="F57" i="3"/>
  <c r="H57" i="3" s="1"/>
  <c r="Z47" i="3"/>
  <c r="AB47" i="3" s="1"/>
  <c r="AC13" i="3"/>
  <c r="F52" i="3"/>
  <c r="H52" i="3" s="1"/>
  <c r="AM59" i="3"/>
  <c r="AO59" i="3" s="1"/>
  <c r="AM95" i="3" s="1"/>
  <c r="AO95" i="3" s="1"/>
  <c r="AP25" i="3"/>
  <c r="H54" i="3"/>
  <c r="K64" i="3"/>
  <c r="M44" i="3"/>
  <c r="N44" i="3" s="1"/>
  <c r="AB44" i="3"/>
  <c r="Z80" i="3" s="1"/>
  <c r="AB80" i="3" s="1"/>
  <c r="C49" i="33"/>
  <c r="M58" i="3"/>
  <c r="I454" i="33"/>
  <c r="I470" i="33"/>
  <c r="I462" i="33"/>
  <c r="E464" i="33"/>
  <c r="I466" i="33"/>
  <c r="C59" i="33"/>
  <c r="W52" i="3"/>
  <c r="U62" i="3"/>
  <c r="W62" i="3" s="1"/>
  <c r="U98" i="3" s="1"/>
  <c r="W98" i="3" s="1"/>
  <c r="X28" i="3"/>
  <c r="AM61" i="3"/>
  <c r="AP27" i="3"/>
  <c r="F46" i="3"/>
  <c r="H46" i="3" s="1"/>
  <c r="U51" i="3"/>
  <c r="W51" i="3" s="1"/>
  <c r="X17" i="3"/>
  <c r="F53" i="3"/>
  <c r="H53" i="3" s="1"/>
  <c r="C224" i="33"/>
  <c r="C192" i="3"/>
  <c r="K57" i="3"/>
  <c r="M57" i="3" s="1"/>
  <c r="N57" i="3" s="1"/>
  <c r="C200" i="3"/>
  <c r="S200" i="3" s="1"/>
  <c r="C232" i="33"/>
  <c r="K53" i="3"/>
  <c r="M53" i="3" s="1"/>
  <c r="N53" i="3" s="1"/>
  <c r="Z57" i="3"/>
  <c r="AB57" i="3" s="1"/>
  <c r="AC23" i="3"/>
  <c r="Z53" i="3"/>
  <c r="AB53" i="3" s="1"/>
  <c r="Z89" i="3" s="1"/>
  <c r="AB89" i="3" s="1"/>
  <c r="AC19" i="3"/>
  <c r="C191" i="3"/>
  <c r="C223" i="33"/>
  <c r="F44" i="3"/>
  <c r="H44" i="3" s="1"/>
  <c r="AM44" i="3"/>
  <c r="AO44" i="3" s="1"/>
  <c r="D239" i="3"/>
  <c r="S239" i="3" s="1"/>
  <c r="Z45" i="3"/>
  <c r="AB45" i="3" s="1"/>
  <c r="AC11" i="3"/>
  <c r="K55" i="3"/>
  <c r="M55" i="3" s="1"/>
  <c r="N55" i="3" s="1"/>
  <c r="AM51" i="3"/>
  <c r="AO51" i="3" s="1"/>
  <c r="AM47" i="3"/>
  <c r="AO47" i="3" s="1"/>
  <c r="AM43" i="3"/>
  <c r="AO43" i="3" s="1"/>
  <c r="C51" i="33"/>
  <c r="AU24" i="3"/>
  <c r="W60" i="3"/>
  <c r="U96" i="3" s="1"/>
  <c r="W96" i="3" s="1"/>
  <c r="W56" i="3"/>
  <c r="U92" i="3" s="1"/>
  <c r="W92" i="3" s="1"/>
  <c r="U128" i="3" s="1"/>
  <c r="W128" i="3" s="1"/>
  <c r="AO58" i="3"/>
  <c r="AT47" i="3"/>
  <c r="AR83" i="3" s="1"/>
  <c r="AT83" i="3" s="1"/>
  <c r="K62" i="3"/>
  <c r="M60" i="3"/>
  <c r="G24" i="33"/>
  <c r="M50" i="3"/>
  <c r="W44" i="3"/>
  <c r="X44" i="3" s="1"/>
  <c r="AB56" i="3"/>
  <c r="Z92" i="3" s="1"/>
  <c r="AB92" i="3" s="1"/>
  <c r="AU22" i="3"/>
  <c r="K58" i="3"/>
  <c r="M64" i="3"/>
  <c r="N64" i="3" s="1"/>
  <c r="M52" i="3"/>
  <c r="N52" i="3" s="1"/>
  <c r="W57" i="3"/>
  <c r="AU28" i="3"/>
  <c r="W50" i="3"/>
  <c r="U86" i="3" s="1"/>
  <c r="W86" i="3" s="1"/>
  <c r="U122" i="3" s="1"/>
  <c r="W122" i="3" s="1"/>
  <c r="AT44" i="3"/>
  <c r="C235" i="3"/>
  <c r="F56" i="3"/>
  <c r="H56" i="3" s="1"/>
  <c r="D48" i="33"/>
  <c r="F48" i="33" s="1"/>
  <c r="D83" i="33" s="1"/>
  <c r="F83" i="33" s="1"/>
  <c r="E458" i="33"/>
  <c r="K14" i="33"/>
  <c r="H49" i="33"/>
  <c r="J49" i="33" s="1"/>
  <c r="H84" i="33" s="1"/>
  <c r="J84" i="33" s="1"/>
  <c r="I464" i="33"/>
  <c r="C166" i="3"/>
  <c r="C199" i="33"/>
  <c r="D158" i="3"/>
  <c r="D191" i="3"/>
  <c r="X30" i="3"/>
  <c r="AC30" i="3"/>
  <c r="F49" i="3"/>
  <c r="H49" i="3" s="1"/>
  <c r="U49" i="3"/>
  <c r="W49" i="3" s="1"/>
  <c r="X15" i="3"/>
  <c r="C46" i="3"/>
  <c r="C47" i="33"/>
  <c r="K43" i="3"/>
  <c r="M43" i="3" s="1"/>
  <c r="U59" i="3"/>
  <c r="W59" i="3" s="1"/>
  <c r="U95" i="3" s="1"/>
  <c r="W95" i="3" s="1"/>
  <c r="X25" i="3"/>
  <c r="AM60" i="3"/>
  <c r="AO60" i="3" s="1"/>
  <c r="AP26" i="3"/>
  <c r="C53" i="3"/>
  <c r="C54" i="33"/>
  <c r="C49" i="3"/>
  <c r="C50" i="33"/>
  <c r="F58" i="3"/>
  <c r="H58" i="3" s="1"/>
  <c r="F48" i="3"/>
  <c r="H48" i="3" s="1"/>
  <c r="AP29" i="3"/>
  <c r="AM63" i="3"/>
  <c r="AO63" i="3" s="1"/>
  <c r="C60" i="3"/>
  <c r="C61" i="33"/>
  <c r="F61" i="3"/>
  <c r="U58" i="3"/>
  <c r="W58" i="3" s="1"/>
  <c r="X24" i="3"/>
  <c r="C57" i="33"/>
  <c r="AH17" i="3"/>
  <c r="D47" i="33"/>
  <c r="F47" i="33" s="1"/>
  <c r="D82" i="33" s="1"/>
  <c r="F82" i="33" s="1"/>
  <c r="G12" i="33"/>
  <c r="X20" i="3"/>
  <c r="U54" i="3"/>
  <c r="W54" i="3" s="1"/>
  <c r="U43" i="3"/>
  <c r="W43" i="3" s="1"/>
  <c r="X9" i="3"/>
  <c r="Z55" i="3"/>
  <c r="AB55" i="3" s="1"/>
  <c r="AC21" i="3"/>
  <c r="C91" i="3"/>
  <c r="C91" i="33"/>
  <c r="C83" i="3"/>
  <c r="C83" i="33"/>
  <c r="F64" i="3"/>
  <c r="H64" i="3" s="1"/>
  <c r="K45" i="3"/>
  <c r="M45" i="3" s="1"/>
  <c r="N45" i="3" s="1"/>
  <c r="U63" i="3"/>
  <c r="W63" i="3" s="1"/>
  <c r="X63" i="3" s="1"/>
  <c r="X29" i="3"/>
  <c r="AC24" i="3"/>
  <c r="Z58" i="3"/>
  <c r="AB58" i="3" s="1"/>
  <c r="AM52" i="3"/>
  <c r="AO52" i="3" s="1"/>
  <c r="AR48" i="3"/>
  <c r="AT48" i="3" s="1"/>
  <c r="AU14" i="3"/>
  <c r="F50" i="3"/>
  <c r="H50" i="3" s="1"/>
  <c r="U46" i="3"/>
  <c r="W46" i="3" s="1"/>
  <c r="X12" i="3"/>
  <c r="L101" i="3"/>
  <c r="M56" i="3"/>
  <c r="E456" i="33"/>
  <c r="I468" i="33"/>
  <c r="I460" i="33"/>
  <c r="AO49" i="3"/>
  <c r="AT49" i="3"/>
  <c r="AU49" i="3" s="1"/>
  <c r="C45" i="33"/>
  <c r="AX101" i="3"/>
  <c r="AB51" i="3"/>
  <c r="AO57" i="3"/>
  <c r="C48" i="33"/>
  <c r="V417" i="2"/>
  <c r="V429" i="2" s="1"/>
  <c r="AO54" i="3"/>
  <c r="AT60" i="3"/>
  <c r="AT51" i="3"/>
  <c r="AR87" i="3" s="1"/>
  <c r="AT87" i="3" s="1"/>
  <c r="AA101" i="3"/>
  <c r="M51" i="3"/>
  <c r="N51" i="3" s="1"/>
  <c r="C90" i="3"/>
  <c r="C90" i="33"/>
  <c r="C82" i="3"/>
  <c r="C82" i="33"/>
  <c r="C56" i="3"/>
  <c r="C65" i="2"/>
  <c r="C418" i="2" s="1"/>
  <c r="C59" i="3"/>
  <c r="AN101" i="3"/>
  <c r="AS101" i="3"/>
  <c r="U48" i="3"/>
  <c r="W48" i="3" s="1"/>
  <c r="X14" i="3"/>
  <c r="AR64" i="3"/>
  <c r="AT64" i="3" s="1"/>
  <c r="AU30" i="3"/>
  <c r="AR55" i="3"/>
  <c r="AT55" i="3" s="1"/>
  <c r="AU21" i="3"/>
  <c r="AC10" i="3"/>
  <c r="X10" i="3"/>
  <c r="C94" i="3"/>
  <c r="C86" i="3"/>
  <c r="C99" i="2"/>
  <c r="D50" i="3"/>
  <c r="D65" i="2"/>
  <c r="D418" i="2" s="1"/>
  <c r="F51" i="3"/>
  <c r="H51" i="3" s="1"/>
  <c r="X18" i="3"/>
  <c r="AC18" i="3"/>
  <c r="C81" i="3"/>
  <c r="W45" i="3"/>
  <c r="AC28" i="3"/>
  <c r="W47" i="3"/>
  <c r="X26" i="3"/>
  <c r="D101" i="3"/>
  <c r="G101" i="3"/>
  <c r="C79" i="3"/>
  <c r="AY24" i="3"/>
  <c r="AW58" i="3" s="1"/>
  <c r="AY20" i="3"/>
  <c r="AW54" i="3" s="1"/>
  <c r="V101" i="3"/>
  <c r="AB50" i="3"/>
  <c r="E171" i="33"/>
  <c r="E433" i="33" s="1"/>
  <c r="D99" i="2"/>
  <c r="AS137" i="3"/>
  <c r="E460" i="33"/>
  <c r="I171" i="33"/>
  <c r="I433" i="33" s="1"/>
  <c r="AY16" i="3"/>
  <c r="AW50" i="3" s="1"/>
  <c r="AO62" i="3"/>
  <c r="AO48" i="3"/>
  <c r="AY23" i="3"/>
  <c r="AW57" i="3" s="1"/>
  <c r="AO56" i="3"/>
  <c r="AO45" i="3"/>
  <c r="AT58" i="3"/>
  <c r="AY29" i="3"/>
  <c r="AW63" i="3" s="1"/>
  <c r="AY15" i="3"/>
  <c r="AW49" i="3" s="1"/>
  <c r="AO64" i="3"/>
  <c r="AY26" i="3"/>
  <c r="AW60" i="3" s="1"/>
  <c r="AY22" i="3"/>
  <c r="AW56" i="3" s="1"/>
  <c r="AY27" i="3"/>
  <c r="AW61" i="3" s="1"/>
  <c r="AY11" i="3"/>
  <c r="AW45" i="3" s="1"/>
  <c r="AY18" i="3"/>
  <c r="AW52" i="3" s="1"/>
  <c r="AY14" i="3"/>
  <c r="AW48" i="3" s="1"/>
  <c r="AY25" i="3"/>
  <c r="AW59" i="3" s="1"/>
  <c r="AY21" i="3"/>
  <c r="AW55" i="3" s="1"/>
  <c r="AY10" i="3"/>
  <c r="AW44" i="3" s="1"/>
  <c r="AT53" i="3"/>
  <c r="AT50" i="3"/>
  <c r="AX30" i="3"/>
  <c r="AY30" i="3" s="1"/>
  <c r="AW64" i="3" s="1"/>
  <c r="AY28" i="3"/>
  <c r="AW62" i="3" s="1"/>
  <c r="AY17" i="3"/>
  <c r="AW51" i="3" s="1"/>
  <c r="AY13" i="3"/>
  <c r="AW47" i="3" s="1"/>
  <c r="AO46" i="3"/>
  <c r="AT56" i="3"/>
  <c r="AP476" i="33"/>
  <c r="L449" i="10"/>
  <c r="X476" i="33"/>
  <c r="AN476" i="33"/>
  <c r="AL476" i="33"/>
  <c r="AD476" i="33"/>
  <c r="M476" i="33"/>
  <c r="AF476" i="33"/>
  <c r="AH488" i="35"/>
  <c r="Z488" i="35"/>
  <c r="R488" i="35"/>
  <c r="J488" i="35"/>
  <c r="N488" i="35"/>
  <c r="AG488" i="35"/>
  <c r="AC488" i="35"/>
  <c r="Y488" i="35"/>
  <c r="U488" i="35"/>
  <c r="Q488" i="35"/>
  <c r="M488" i="35"/>
  <c r="I488" i="35"/>
  <c r="AF488" i="35"/>
  <c r="AB488" i="35"/>
  <c r="X488" i="35"/>
  <c r="T488" i="35"/>
  <c r="P488" i="35"/>
  <c r="L488" i="35"/>
  <c r="E488" i="35"/>
  <c r="V488" i="35"/>
  <c r="AI488" i="35"/>
  <c r="AE488" i="35"/>
  <c r="AA488" i="35"/>
  <c r="W488" i="35"/>
  <c r="S488" i="35"/>
  <c r="O488" i="35"/>
  <c r="K488" i="35"/>
  <c r="D488" i="35"/>
  <c r="AD488" i="35"/>
  <c r="AI55" i="3"/>
  <c r="AK55" i="3" s="1"/>
  <c r="AL21" i="3"/>
  <c r="AE50" i="3"/>
  <c r="AG50" i="3" s="1"/>
  <c r="AH16" i="3"/>
  <c r="AI60" i="3"/>
  <c r="AK60" i="3" s="1"/>
  <c r="AL26" i="3"/>
  <c r="AI54" i="3"/>
  <c r="AK54" i="3" s="1"/>
  <c r="AI90" i="3" s="1"/>
  <c r="AK90" i="3" s="1"/>
  <c r="AL20" i="3"/>
  <c r="AI50" i="3"/>
  <c r="AK50" i="3" s="1"/>
  <c r="AL16" i="3"/>
  <c r="AI53" i="3"/>
  <c r="AK53" i="3" s="1"/>
  <c r="AL19" i="3"/>
  <c r="AG51" i="3"/>
  <c r="AE87" i="3" s="1"/>
  <c r="AG87" i="3" s="1"/>
  <c r="AH87" i="3" s="1"/>
  <c r="AG56" i="3"/>
  <c r="AG54" i="3"/>
  <c r="AG52" i="3"/>
  <c r="AE63" i="3"/>
  <c r="AG63" i="3" s="1"/>
  <c r="AH29" i="3"/>
  <c r="AE61" i="3"/>
  <c r="AG61" i="3" s="1"/>
  <c r="AH27" i="3"/>
  <c r="AE59" i="3"/>
  <c r="AG59" i="3" s="1"/>
  <c r="AH25" i="3"/>
  <c r="AE57" i="3"/>
  <c r="AG57" i="3" s="1"/>
  <c r="AH23" i="3"/>
  <c r="AE55" i="3"/>
  <c r="AG55" i="3" s="1"/>
  <c r="AH21" i="3"/>
  <c r="AE53" i="3"/>
  <c r="AG53" i="3" s="1"/>
  <c r="AH19" i="3"/>
  <c r="AI43" i="3"/>
  <c r="AL9" i="3"/>
  <c r="AL29" i="3"/>
  <c r="AI63" i="3"/>
  <c r="AK63" i="3" s="1"/>
  <c r="AI61" i="3"/>
  <c r="AL27" i="3"/>
  <c r="AE64" i="3"/>
  <c r="AG64" i="3" s="1"/>
  <c r="AH30" i="3"/>
  <c r="AH28" i="3"/>
  <c r="AE62" i="3"/>
  <c r="AG62" i="3" s="1"/>
  <c r="AE60" i="3"/>
  <c r="AG60" i="3" s="1"/>
  <c r="AH26" i="3"/>
  <c r="AI64" i="3"/>
  <c r="AK64" i="3" s="1"/>
  <c r="AL30" i="3"/>
  <c r="AL28" i="3"/>
  <c r="AI62" i="3"/>
  <c r="AK62" i="3" s="1"/>
  <c r="C31" i="33"/>
  <c r="E457" i="33"/>
  <c r="I467" i="33"/>
  <c r="G25" i="33"/>
  <c r="I455" i="33"/>
  <c r="E463" i="33"/>
  <c r="I465" i="33"/>
  <c r="I457" i="33"/>
  <c r="I469" i="33"/>
  <c r="I456" i="33"/>
  <c r="G21" i="33"/>
  <c r="G17" i="33"/>
  <c r="F55" i="33"/>
  <c r="I66" i="33"/>
  <c r="I430" i="33" s="1"/>
  <c r="E461" i="33"/>
  <c r="E434" i="33"/>
  <c r="I434" i="33"/>
  <c r="E435" i="33"/>
  <c r="I435" i="33"/>
  <c r="E311" i="33"/>
  <c r="E437" i="33" s="1"/>
  <c r="I311" i="33"/>
  <c r="I437" i="33" s="1"/>
  <c r="E381" i="33"/>
  <c r="E439" i="33" s="1"/>
  <c r="I381" i="33"/>
  <c r="I439" i="33" s="1"/>
  <c r="K21" i="33"/>
  <c r="G22" i="33"/>
  <c r="D57" i="33"/>
  <c r="F57" i="33" s="1"/>
  <c r="G14" i="33"/>
  <c r="D49" i="33"/>
  <c r="F49" i="33" s="1"/>
  <c r="E465" i="33"/>
  <c r="E459" i="33"/>
  <c r="E462" i="33"/>
  <c r="E66" i="33"/>
  <c r="E430" i="33" s="1"/>
  <c r="I459" i="33"/>
  <c r="E467" i="33"/>
  <c r="D81" i="33"/>
  <c r="F81" i="33" s="1"/>
  <c r="E455" i="33"/>
  <c r="E101" i="33"/>
  <c r="E431" i="33" s="1"/>
  <c r="D52" i="33"/>
  <c r="F52" i="33" s="1"/>
  <c r="D60" i="33"/>
  <c r="F60" i="33" s="1"/>
  <c r="E31" i="33"/>
  <c r="E429" i="33" s="1"/>
  <c r="F429" i="33" s="1"/>
  <c r="D430" i="33" s="1"/>
  <c r="I136" i="33"/>
  <c r="I432" i="33" s="1"/>
  <c r="I101" i="33"/>
  <c r="I431" i="33" s="1"/>
  <c r="I463" i="33"/>
  <c r="I461" i="33"/>
  <c r="I31" i="33"/>
  <c r="I429" i="33" s="1"/>
  <c r="J429" i="33" s="1"/>
  <c r="AE457" i="33" l="1"/>
  <c r="AC463" i="33"/>
  <c r="AO464" i="33"/>
  <c r="Z114" i="33"/>
  <c r="W136" i="33"/>
  <c r="W432" i="33" s="1"/>
  <c r="AL31" i="3"/>
  <c r="AO462" i="33"/>
  <c r="R464" i="33"/>
  <c r="R458" i="33"/>
  <c r="L101" i="33"/>
  <c r="L431" i="33" s="1"/>
  <c r="AG101" i="33"/>
  <c r="AG431" i="33" s="1"/>
  <c r="R136" i="33"/>
  <c r="R432" i="33" s="1"/>
  <c r="AC136" i="33"/>
  <c r="AC432" i="33" s="1"/>
  <c r="AG459" i="33"/>
  <c r="AC461" i="33"/>
  <c r="AE464" i="33"/>
  <c r="L465" i="33"/>
  <c r="AO101" i="33"/>
  <c r="AO431" i="33" s="1"/>
  <c r="AO136" i="33"/>
  <c r="AO432" i="33" s="1"/>
  <c r="AC31" i="3"/>
  <c r="AM459" i="33"/>
  <c r="AG456" i="33"/>
  <c r="N457" i="33"/>
  <c r="N101" i="33"/>
  <c r="N431" i="33" s="1"/>
  <c r="AE136" i="33"/>
  <c r="AE432" i="33" s="1"/>
  <c r="X31" i="3"/>
  <c r="L459" i="33"/>
  <c r="AM461" i="33"/>
  <c r="AG461" i="33"/>
  <c r="N455" i="33"/>
  <c r="AG463" i="33"/>
  <c r="AM456" i="33"/>
  <c r="R101" i="33"/>
  <c r="R431" i="33" s="1"/>
  <c r="AM136" i="33"/>
  <c r="AM432" i="33" s="1"/>
  <c r="AG136" i="33"/>
  <c r="AG432" i="33" s="1"/>
  <c r="E512" i="35"/>
  <c r="R512" i="35"/>
  <c r="V512" i="35"/>
  <c r="Z512" i="35"/>
  <c r="AE462" i="33"/>
  <c r="R455" i="33"/>
  <c r="AM464" i="33"/>
  <c r="AC465" i="33"/>
  <c r="AM458" i="33"/>
  <c r="L136" i="33"/>
  <c r="L432" i="33" s="1"/>
  <c r="AG457" i="33"/>
  <c r="AC101" i="33"/>
  <c r="AC431" i="33" s="1"/>
  <c r="N136" i="33"/>
  <c r="N432" i="33" s="1"/>
  <c r="AG462" i="33"/>
  <c r="Z87" i="33"/>
  <c r="W101" i="33"/>
  <c r="W431" i="33" s="1"/>
  <c r="AM462" i="33"/>
  <c r="K96" i="3"/>
  <c r="M96" i="3" s="1"/>
  <c r="N96" i="3" s="1"/>
  <c r="N60" i="3"/>
  <c r="AF512" i="35"/>
  <c r="Z51" i="33"/>
  <c r="W461" i="33"/>
  <c r="Z46" i="33"/>
  <c r="W456" i="33"/>
  <c r="Z55" i="33"/>
  <c r="W465" i="33"/>
  <c r="R31" i="33"/>
  <c r="R429" i="33" s="1"/>
  <c r="R454" i="33"/>
  <c r="Z54" i="33"/>
  <c r="W464" i="33"/>
  <c r="Z9" i="33"/>
  <c r="W31" i="33"/>
  <c r="W429" i="33" s="1"/>
  <c r="W454" i="33"/>
  <c r="Z48" i="33"/>
  <c r="W458" i="33"/>
  <c r="K98" i="3"/>
  <c r="M98" i="3" s="1"/>
  <c r="N98" i="3" s="1"/>
  <c r="N62" i="3"/>
  <c r="AC31" i="33"/>
  <c r="AC429" i="33" s="1"/>
  <c r="AC454" i="33"/>
  <c r="Z52" i="33"/>
  <c r="W462" i="33"/>
  <c r="AM31" i="33"/>
  <c r="AM429" i="33" s="1"/>
  <c r="AM454" i="33"/>
  <c r="K92" i="3"/>
  <c r="M92" i="3" s="1"/>
  <c r="N92" i="3" s="1"/>
  <c r="N56" i="3"/>
  <c r="K94" i="3"/>
  <c r="M94" i="3" s="1"/>
  <c r="N58" i="3"/>
  <c r="AE31" i="33"/>
  <c r="AE429" i="33" s="1"/>
  <c r="AE454" i="33"/>
  <c r="L31" i="33"/>
  <c r="L429" i="33" s="1"/>
  <c r="L454" i="33"/>
  <c r="AG31" i="33"/>
  <c r="AG429" i="33" s="1"/>
  <c r="AG454" i="33"/>
  <c r="AE512" i="35"/>
  <c r="Z49" i="33"/>
  <c r="W459" i="33"/>
  <c r="Z45" i="33"/>
  <c r="W455" i="33"/>
  <c r="Z53" i="33"/>
  <c r="W463" i="33"/>
  <c r="AO31" i="33"/>
  <c r="AO429" i="33" s="1"/>
  <c r="AO454" i="33"/>
  <c r="Z47" i="33"/>
  <c r="W457" i="33"/>
  <c r="N31" i="33"/>
  <c r="N429" i="33" s="1"/>
  <c r="N454" i="33"/>
  <c r="AO66" i="33"/>
  <c r="AO430" i="33" s="1"/>
  <c r="AO441" i="33" s="1"/>
  <c r="AO460" i="33"/>
  <c r="L66" i="33"/>
  <c r="L430" i="33" s="1"/>
  <c r="L441" i="33" s="1"/>
  <c r="L460" i="33"/>
  <c r="N66" i="33"/>
  <c r="N430" i="33" s="1"/>
  <c r="N460" i="33"/>
  <c r="Z50" i="33"/>
  <c r="W66" i="33"/>
  <c r="W430" i="33" s="1"/>
  <c r="W441" i="33" s="1"/>
  <c r="W460" i="33"/>
  <c r="R66" i="33"/>
  <c r="R430" i="33" s="1"/>
  <c r="R460" i="33"/>
  <c r="AE66" i="33"/>
  <c r="AE430" i="33" s="1"/>
  <c r="AE441" i="33" s="1"/>
  <c r="AE460" i="33"/>
  <c r="AC66" i="33"/>
  <c r="AC430" i="33" s="1"/>
  <c r="AC460" i="33"/>
  <c r="AM66" i="33"/>
  <c r="AM430" i="33" s="1"/>
  <c r="AM441" i="33" s="1"/>
  <c r="AM460" i="33"/>
  <c r="AG66" i="33"/>
  <c r="AG430" i="33" s="1"/>
  <c r="AG441" i="33" s="1"/>
  <c r="AG460" i="33"/>
  <c r="N46" i="3"/>
  <c r="N82" i="3"/>
  <c r="N512" i="35"/>
  <c r="AI512" i="35"/>
  <c r="AH512" i="35"/>
  <c r="AD512" i="35"/>
  <c r="M512" i="35"/>
  <c r="K512" i="35"/>
  <c r="AG512" i="35"/>
  <c r="N49" i="3"/>
  <c r="N83" i="3"/>
  <c r="N47" i="3"/>
  <c r="N118" i="3"/>
  <c r="N50" i="3"/>
  <c r="S50" i="3"/>
  <c r="N43" i="3"/>
  <c r="S43" i="3"/>
  <c r="S151" i="3"/>
  <c r="S155" i="3"/>
  <c r="S120" i="3"/>
  <c r="S122" i="3"/>
  <c r="S126" i="3"/>
  <c r="S162" i="3"/>
  <c r="S156" i="3"/>
  <c r="S125" i="3"/>
  <c r="S116" i="3"/>
  <c r="S157" i="3"/>
  <c r="S121" i="3"/>
  <c r="S158" i="3"/>
  <c r="S191" i="3"/>
  <c r="S268" i="3"/>
  <c r="S160" i="3"/>
  <c r="S31" i="3"/>
  <c r="S192" i="3"/>
  <c r="S161" i="3"/>
  <c r="S124" i="3"/>
  <c r="S117" i="3"/>
  <c r="S119" i="3"/>
  <c r="N119" i="3"/>
  <c r="S115" i="3"/>
  <c r="AU31" i="3"/>
  <c r="S153" i="3"/>
  <c r="S232" i="3"/>
  <c r="J511" i="35"/>
  <c r="J512" i="35" s="1"/>
  <c r="AJ421" i="3"/>
  <c r="AJ425" i="3" s="1"/>
  <c r="D511" i="35"/>
  <c r="D512" i="35" s="1"/>
  <c r="AF421" i="3"/>
  <c r="AF425" i="3" s="1"/>
  <c r="E133" i="3"/>
  <c r="E169" i="3" s="1"/>
  <c r="E205" i="3" s="1"/>
  <c r="E241" i="3" s="1"/>
  <c r="E277" i="3" s="1"/>
  <c r="E313" i="3" s="1"/>
  <c r="E349" i="3" s="1"/>
  <c r="E385" i="3" s="1"/>
  <c r="E421" i="3" s="1"/>
  <c r="AZ19" i="3"/>
  <c r="AW53" i="3"/>
  <c r="AO31" i="3"/>
  <c r="AP31" i="3" s="1"/>
  <c r="AP9" i="3"/>
  <c r="H31" i="3"/>
  <c r="I31" i="3" s="1"/>
  <c r="M31" i="3"/>
  <c r="N31" i="3" s="1"/>
  <c r="AH9" i="3"/>
  <c r="AG31" i="3"/>
  <c r="AH31" i="3" s="1"/>
  <c r="AR43" i="3"/>
  <c r="AT43" i="3" s="1"/>
  <c r="AR79" i="3" s="1"/>
  <c r="Z43" i="3"/>
  <c r="AB43" i="3" s="1"/>
  <c r="D419" i="2"/>
  <c r="C419" i="2"/>
  <c r="C431" i="33" s="1"/>
  <c r="C169" i="33"/>
  <c r="D167" i="3"/>
  <c r="S167" i="3" s="1"/>
  <c r="E65" i="3"/>
  <c r="E173" i="3"/>
  <c r="E137" i="3"/>
  <c r="D166" i="3"/>
  <c r="S166" i="3" s="1"/>
  <c r="E209" i="3"/>
  <c r="E101" i="3"/>
  <c r="Q65" i="3"/>
  <c r="R61" i="3"/>
  <c r="S61" i="3" s="1"/>
  <c r="I63" i="3"/>
  <c r="I47" i="3"/>
  <c r="F79" i="3"/>
  <c r="H79" i="3" s="1"/>
  <c r="I50" i="3"/>
  <c r="I58" i="3"/>
  <c r="F85" i="3"/>
  <c r="H85" i="3" s="1"/>
  <c r="F121" i="3" s="1"/>
  <c r="H121" i="3" s="1"/>
  <c r="F92" i="3"/>
  <c r="H92" i="3" s="1"/>
  <c r="F128" i="3" s="1"/>
  <c r="H128" i="3" s="1"/>
  <c r="I44" i="3"/>
  <c r="F89" i="3"/>
  <c r="H89" i="3" s="1"/>
  <c r="F82" i="3"/>
  <c r="H82" i="3" s="1"/>
  <c r="I82" i="3" s="1"/>
  <c r="F91" i="3"/>
  <c r="H91" i="3" s="1"/>
  <c r="F95" i="3"/>
  <c r="H95" i="3" s="1"/>
  <c r="F90" i="3"/>
  <c r="H90" i="3" s="1"/>
  <c r="I52" i="3"/>
  <c r="I57" i="3"/>
  <c r="F98" i="3"/>
  <c r="H98" i="3" s="1"/>
  <c r="D171" i="3"/>
  <c r="S171" i="3" s="1"/>
  <c r="D207" i="3"/>
  <c r="D169" i="3"/>
  <c r="D199" i="3"/>
  <c r="D201" i="3"/>
  <c r="F133" i="2"/>
  <c r="F420" i="2" s="1"/>
  <c r="F429" i="2" s="1"/>
  <c r="F441" i="2"/>
  <c r="E114" i="33"/>
  <c r="G115" i="3"/>
  <c r="E128" i="33"/>
  <c r="E468" i="33" s="1"/>
  <c r="G129" i="3"/>
  <c r="E129" i="33"/>
  <c r="E469" i="33" s="1"/>
  <c r="G130" i="3"/>
  <c r="E130" i="33"/>
  <c r="E470" i="33" s="1"/>
  <c r="G131" i="3"/>
  <c r="E132" i="33"/>
  <c r="E472" i="33" s="1"/>
  <c r="E133" i="33"/>
  <c r="E473" i="33" s="1"/>
  <c r="G134" i="3"/>
  <c r="E134" i="33"/>
  <c r="E474" i="33" s="1"/>
  <c r="G135" i="3"/>
  <c r="E135" i="33"/>
  <c r="E475" i="33" s="1"/>
  <c r="G136" i="3"/>
  <c r="AY53" i="3"/>
  <c r="AZ53" i="3" s="1"/>
  <c r="D165" i="3"/>
  <c r="S165" i="3" s="1"/>
  <c r="AX31" i="3"/>
  <c r="F45" i="3"/>
  <c r="H45" i="3" s="1"/>
  <c r="I45" i="3" s="1"/>
  <c r="K60" i="33"/>
  <c r="D163" i="3"/>
  <c r="S163" i="3" s="1"/>
  <c r="D195" i="3"/>
  <c r="C429" i="33"/>
  <c r="K429" i="33" s="1"/>
  <c r="D159" i="3"/>
  <c r="Z100" i="3"/>
  <c r="AB100" i="3" s="1"/>
  <c r="Z136" i="3" s="1"/>
  <c r="AB136" i="3" s="1"/>
  <c r="AF417" i="2"/>
  <c r="AF429" i="2" s="1"/>
  <c r="G27" i="33"/>
  <c r="G26" i="33"/>
  <c r="AT61" i="3"/>
  <c r="AR97" i="3" s="1"/>
  <c r="AT97" i="3" s="1"/>
  <c r="AR133" i="3" s="1"/>
  <c r="AT133" i="3" s="1"/>
  <c r="AU133" i="3" s="1"/>
  <c r="W61" i="3"/>
  <c r="U97" i="3" s="1"/>
  <c r="W97" i="3" s="1"/>
  <c r="U133" i="3" s="1"/>
  <c r="W133" i="3" s="1"/>
  <c r="X133" i="3" s="1"/>
  <c r="K57" i="33"/>
  <c r="G30" i="33"/>
  <c r="K29" i="33"/>
  <c r="G29" i="33"/>
  <c r="D65" i="3"/>
  <c r="K30" i="33"/>
  <c r="D200" i="3"/>
  <c r="G44" i="33"/>
  <c r="K55" i="33"/>
  <c r="G58" i="33"/>
  <c r="AR95" i="3"/>
  <c r="AT95" i="3" s="1"/>
  <c r="AR131" i="3" s="1"/>
  <c r="AT131" i="3" s="1"/>
  <c r="G50" i="33"/>
  <c r="K47" i="33"/>
  <c r="AU63" i="3"/>
  <c r="G120" i="33"/>
  <c r="AX281" i="3"/>
  <c r="AX317" i="3"/>
  <c r="G85" i="33"/>
  <c r="AP86" i="3"/>
  <c r="AM122" i="3"/>
  <c r="AO122" i="3" s="1"/>
  <c r="AM158" i="3" s="1"/>
  <c r="AO158" i="3" s="1"/>
  <c r="H62" i="33"/>
  <c r="J62" i="33" s="1"/>
  <c r="H63" i="33"/>
  <c r="J63" i="33" s="1"/>
  <c r="K63" i="33" s="1"/>
  <c r="L65" i="3"/>
  <c r="AX65" i="3"/>
  <c r="H61" i="3"/>
  <c r="H114" i="33"/>
  <c r="J114" i="33" s="1"/>
  <c r="K114" i="33" s="1"/>
  <c r="AO61" i="3"/>
  <c r="AM97" i="3" s="1"/>
  <c r="AO97" i="3" s="1"/>
  <c r="AM133" i="3" s="1"/>
  <c r="AO133" i="3" s="1"/>
  <c r="AP133" i="3" s="1"/>
  <c r="AX389" i="3"/>
  <c r="AU46" i="3"/>
  <c r="AK61" i="3"/>
  <c r="AL61" i="3" s="1"/>
  <c r="K44" i="33"/>
  <c r="C151" i="33"/>
  <c r="K116" i="33"/>
  <c r="C163" i="33"/>
  <c r="D341" i="3"/>
  <c r="D93" i="33"/>
  <c r="F93" i="33" s="1"/>
  <c r="D128" i="33" s="1"/>
  <c r="F128" i="33" s="1"/>
  <c r="AP50" i="3"/>
  <c r="K126" i="33"/>
  <c r="H161" i="33"/>
  <c r="J161" i="33" s="1"/>
  <c r="H196" i="33" s="1"/>
  <c r="J196" i="33" s="1"/>
  <c r="AF209" i="3"/>
  <c r="K56" i="33"/>
  <c r="K91" i="33"/>
  <c r="C159" i="33"/>
  <c r="F65" i="33"/>
  <c r="D100" i="33" s="1"/>
  <c r="F100" i="33" s="1"/>
  <c r="AR98" i="3"/>
  <c r="AT98" i="3" s="1"/>
  <c r="AR134" i="3" s="1"/>
  <c r="AT134" i="3" s="1"/>
  <c r="AU134" i="3" s="1"/>
  <c r="F61" i="33"/>
  <c r="D96" i="33" s="1"/>
  <c r="F96" i="33" s="1"/>
  <c r="D131" i="33" s="1"/>
  <c r="F131" i="33" s="1"/>
  <c r="G131" i="33" s="1"/>
  <c r="D63" i="33"/>
  <c r="D66" i="33" s="1"/>
  <c r="K26" i="33"/>
  <c r="J65" i="33"/>
  <c r="H100" i="33" s="1"/>
  <c r="J100" i="33" s="1"/>
  <c r="H61" i="33"/>
  <c r="C151" i="3"/>
  <c r="K124" i="33"/>
  <c r="M571" i="12"/>
  <c r="AX245" i="3"/>
  <c r="C152" i="33"/>
  <c r="C154" i="3"/>
  <c r="C162" i="3"/>
  <c r="C160" i="33"/>
  <c r="I55" i="3"/>
  <c r="D170" i="3"/>
  <c r="S170" i="3" s="1"/>
  <c r="K95" i="33"/>
  <c r="C153" i="3"/>
  <c r="K52" i="33"/>
  <c r="AL47" i="3"/>
  <c r="D206" i="3"/>
  <c r="C161" i="3"/>
  <c r="AH48" i="3"/>
  <c r="AE43" i="3"/>
  <c r="AG43" i="3" s="1"/>
  <c r="AL45" i="3"/>
  <c r="AL57" i="3"/>
  <c r="G59" i="33"/>
  <c r="G51" i="33"/>
  <c r="G55" i="33"/>
  <c r="G54" i="33"/>
  <c r="K49" i="33"/>
  <c r="G56" i="33"/>
  <c r="K89" i="33"/>
  <c r="D91" i="33"/>
  <c r="F91" i="33" s="1"/>
  <c r="D126" i="33" s="1"/>
  <c r="F126" i="33" s="1"/>
  <c r="K45" i="33"/>
  <c r="C101" i="33"/>
  <c r="D413" i="3"/>
  <c r="D193" i="3"/>
  <c r="AX151" i="3"/>
  <c r="AX173" i="3" s="1"/>
  <c r="C186" i="33"/>
  <c r="C189" i="3"/>
  <c r="D304" i="3"/>
  <c r="D269" i="3"/>
  <c r="AL51" i="3"/>
  <c r="C198" i="33"/>
  <c r="D168" i="3"/>
  <c r="S168" i="3" s="1"/>
  <c r="C202" i="33"/>
  <c r="C205" i="3"/>
  <c r="G123" i="33"/>
  <c r="AB61" i="3"/>
  <c r="D305" i="3"/>
  <c r="C170" i="3"/>
  <c r="C168" i="33"/>
  <c r="H159" i="33"/>
  <c r="J159" i="33" s="1"/>
  <c r="H194" i="33" s="1"/>
  <c r="J194" i="33" s="1"/>
  <c r="D233" i="3"/>
  <c r="AX115" i="3"/>
  <c r="AX137" i="3" s="1"/>
  <c r="D152" i="3"/>
  <c r="AI189" i="3"/>
  <c r="AK189" i="3" s="1"/>
  <c r="AI225" i="3" s="1"/>
  <c r="AK225" i="3" s="1"/>
  <c r="AI121" i="3"/>
  <c r="AK121" i="3" s="1"/>
  <c r="AI157" i="3" s="1"/>
  <c r="AK157" i="3" s="1"/>
  <c r="AL85" i="3"/>
  <c r="AH45" i="3"/>
  <c r="AC54" i="3"/>
  <c r="AL44" i="3"/>
  <c r="I62" i="3"/>
  <c r="U80" i="3"/>
  <c r="W80" i="3" s="1"/>
  <c r="AL80" i="3"/>
  <c r="AL52" i="3"/>
  <c r="AH47" i="3"/>
  <c r="AL48" i="3"/>
  <c r="AI123" i="3"/>
  <c r="AK123" i="3" s="1"/>
  <c r="AI159" i="3" s="1"/>
  <c r="AK159" i="3" s="1"/>
  <c r="AL87" i="3"/>
  <c r="AI129" i="3"/>
  <c r="AK129" i="3" s="1"/>
  <c r="AI165" i="3" s="1"/>
  <c r="AK165" i="3" s="1"/>
  <c r="AL93" i="3"/>
  <c r="F94" i="3"/>
  <c r="H94" i="3" s="1"/>
  <c r="AI131" i="3"/>
  <c r="AK131" i="3" s="1"/>
  <c r="AI167" i="3" s="1"/>
  <c r="AK167" i="3" s="1"/>
  <c r="AL95" i="3"/>
  <c r="AH44" i="3"/>
  <c r="AI120" i="3"/>
  <c r="AK120" i="3" s="1"/>
  <c r="AI156" i="3" s="1"/>
  <c r="AK156" i="3" s="1"/>
  <c r="AI192" i="3" s="1"/>
  <c r="AK192" i="3" s="1"/>
  <c r="AI228" i="3" s="1"/>
  <c r="AK228" i="3" s="1"/>
  <c r="AI264" i="3" s="1"/>
  <c r="AK264" i="3" s="1"/>
  <c r="AL84" i="3"/>
  <c r="AI124" i="3"/>
  <c r="AK124" i="3" s="1"/>
  <c r="AI160" i="3" s="1"/>
  <c r="AK160" i="3" s="1"/>
  <c r="AL88" i="3"/>
  <c r="AI128" i="3"/>
  <c r="AK128" i="3" s="1"/>
  <c r="AI164" i="3" s="1"/>
  <c r="AK164" i="3" s="1"/>
  <c r="AL164" i="3" s="1"/>
  <c r="AL92" i="3"/>
  <c r="AL58" i="3"/>
  <c r="F80" i="3"/>
  <c r="H80" i="3" s="1"/>
  <c r="AR90" i="3"/>
  <c r="AT90" i="3" s="1"/>
  <c r="AU90" i="3" s="1"/>
  <c r="E259" i="3"/>
  <c r="AL117" i="3"/>
  <c r="AL118" i="3"/>
  <c r="F93" i="3"/>
  <c r="H93" i="3" s="1"/>
  <c r="AL155" i="3"/>
  <c r="AL119" i="3"/>
  <c r="AU99" i="3"/>
  <c r="AL191" i="3"/>
  <c r="AU88" i="3"/>
  <c r="AR124" i="3"/>
  <c r="AT124" i="3" s="1"/>
  <c r="AR160" i="3" s="1"/>
  <c r="AT160" i="3" s="1"/>
  <c r="AU52" i="3"/>
  <c r="AC118" i="3"/>
  <c r="AR85" i="3"/>
  <c r="AT85" i="3" s="1"/>
  <c r="AU85" i="3" s="1"/>
  <c r="K84" i="3"/>
  <c r="M84" i="3" s="1"/>
  <c r="N84" i="3" s="1"/>
  <c r="AH130" i="3"/>
  <c r="AU135" i="3"/>
  <c r="AR171" i="3"/>
  <c r="AT171" i="3" s="1"/>
  <c r="AC134" i="3"/>
  <c r="Z170" i="3"/>
  <c r="AB170" i="3" s="1"/>
  <c r="AC52" i="3"/>
  <c r="AP59" i="3"/>
  <c r="AL116" i="3"/>
  <c r="AE120" i="3"/>
  <c r="AG120" i="3" s="1"/>
  <c r="AH84" i="3"/>
  <c r="AU45" i="3"/>
  <c r="Z162" i="3"/>
  <c r="AB162" i="3" s="1"/>
  <c r="Z198" i="3" s="1"/>
  <c r="AB198" i="3" s="1"/>
  <c r="Z234" i="3" s="1"/>
  <c r="AC126" i="3"/>
  <c r="I49" i="3"/>
  <c r="AH118" i="3"/>
  <c r="Z84" i="3"/>
  <c r="AB84" i="3" s="1"/>
  <c r="AC84" i="3" s="1"/>
  <c r="AC48" i="3"/>
  <c r="AC62" i="3"/>
  <c r="AE123" i="3"/>
  <c r="AG123" i="3" s="1"/>
  <c r="AH123" i="3" s="1"/>
  <c r="K90" i="3"/>
  <c r="M90" i="3" s="1"/>
  <c r="E224" i="3"/>
  <c r="E245" i="3" s="1"/>
  <c r="AH51" i="3"/>
  <c r="AU189" i="3"/>
  <c r="AR225" i="3"/>
  <c r="AT225" i="3" s="1"/>
  <c r="AR261" i="3" s="1"/>
  <c r="AT261" i="3" s="1"/>
  <c r="K59" i="33"/>
  <c r="AU81" i="3"/>
  <c r="G88" i="33"/>
  <c r="D158" i="33"/>
  <c r="I56" i="3"/>
  <c r="K46" i="33"/>
  <c r="K53" i="33"/>
  <c r="K13" i="33"/>
  <c r="G53" i="33"/>
  <c r="K48" i="33"/>
  <c r="I60" i="3"/>
  <c r="G45" i="33"/>
  <c r="D80" i="33"/>
  <c r="F80" i="33" s="1"/>
  <c r="D115" i="33" s="1"/>
  <c r="F115" i="33" s="1"/>
  <c r="K86" i="33"/>
  <c r="H121" i="33"/>
  <c r="J121" i="33" s="1"/>
  <c r="H156" i="33" s="1"/>
  <c r="J156" i="33" s="1"/>
  <c r="H191" i="33" s="1"/>
  <c r="J191" i="33" s="1"/>
  <c r="X50" i="3"/>
  <c r="X86" i="3"/>
  <c r="U100" i="3"/>
  <c r="W100" i="3" s="1"/>
  <c r="U136" i="3" s="1"/>
  <c r="W136" i="3" s="1"/>
  <c r="K93" i="3"/>
  <c r="M93" i="3" s="1"/>
  <c r="G47" i="33"/>
  <c r="F86" i="3"/>
  <c r="H86" i="3" s="1"/>
  <c r="K51" i="33"/>
  <c r="F96" i="3"/>
  <c r="H96" i="3" s="1"/>
  <c r="K65" i="3"/>
  <c r="D377" i="3"/>
  <c r="C184" i="33"/>
  <c r="C219" i="33"/>
  <c r="AU57" i="3"/>
  <c r="AU117" i="3"/>
  <c r="D225" i="3"/>
  <c r="C149" i="33"/>
  <c r="C65" i="3"/>
  <c r="H164" i="33"/>
  <c r="J164" i="33" s="1"/>
  <c r="H199" i="33" s="1"/>
  <c r="J199" i="33" s="1"/>
  <c r="K129" i="33"/>
  <c r="I54" i="3"/>
  <c r="K54" i="33"/>
  <c r="K94" i="33"/>
  <c r="F31" i="33"/>
  <c r="G31" i="33" s="1"/>
  <c r="G13" i="33"/>
  <c r="X62" i="3"/>
  <c r="F88" i="3"/>
  <c r="H88" i="3" s="1"/>
  <c r="C187" i="3"/>
  <c r="K81" i="33"/>
  <c r="I53" i="3"/>
  <c r="Z131" i="3"/>
  <c r="AB131" i="3" s="1"/>
  <c r="AC95" i="3"/>
  <c r="AR118" i="3"/>
  <c r="AT118" i="3" s="1"/>
  <c r="AU118" i="3" s="1"/>
  <c r="U125" i="3"/>
  <c r="W125" i="3" s="1"/>
  <c r="X125" i="3" s="1"/>
  <c r="X92" i="3"/>
  <c r="C193" i="33"/>
  <c r="C160" i="3"/>
  <c r="C158" i="33"/>
  <c r="I59" i="3"/>
  <c r="C201" i="33"/>
  <c r="C168" i="3"/>
  <c r="C166" i="33"/>
  <c r="C185" i="33"/>
  <c r="C152" i="3"/>
  <c r="C150" i="33"/>
  <c r="D154" i="3"/>
  <c r="AC99" i="3"/>
  <c r="Z135" i="3"/>
  <c r="AB135" i="3" s="1"/>
  <c r="AP43" i="3"/>
  <c r="AM79" i="3"/>
  <c r="AO79" i="3" s="1"/>
  <c r="G79" i="33"/>
  <c r="Z65" i="3"/>
  <c r="I98" i="3"/>
  <c r="F99" i="3"/>
  <c r="H99" i="3" s="1"/>
  <c r="AM65" i="3"/>
  <c r="G48" i="33"/>
  <c r="U99" i="3"/>
  <c r="W99" i="3" s="1"/>
  <c r="U135" i="3" s="1"/>
  <c r="W135" i="3" s="1"/>
  <c r="U65" i="3"/>
  <c r="I46" i="3"/>
  <c r="F83" i="3"/>
  <c r="H83" i="3" s="1"/>
  <c r="I43" i="3"/>
  <c r="AC98" i="3"/>
  <c r="C66" i="33"/>
  <c r="Z121" i="3"/>
  <c r="AB121" i="3" s="1"/>
  <c r="AC121" i="3" s="1"/>
  <c r="AC63" i="3"/>
  <c r="E65" i="2"/>
  <c r="U91" i="3"/>
  <c r="W91" i="3" s="1"/>
  <c r="U127" i="3" s="1"/>
  <c r="W127" i="3" s="1"/>
  <c r="X55" i="3"/>
  <c r="AC43" i="3"/>
  <c r="Z79" i="3"/>
  <c r="AB79" i="3" s="1"/>
  <c r="Z115" i="3" s="1"/>
  <c r="K155" i="3"/>
  <c r="M155" i="3" s="1"/>
  <c r="N155" i="3" s="1"/>
  <c r="K80" i="3"/>
  <c r="M80" i="3" s="1"/>
  <c r="Z83" i="3"/>
  <c r="AB83" i="3" s="1"/>
  <c r="Z119" i="3" s="1"/>
  <c r="AB119" i="3" s="1"/>
  <c r="AC119" i="3" s="1"/>
  <c r="AC47" i="3"/>
  <c r="D228" i="3"/>
  <c r="U88" i="3"/>
  <c r="W88" i="3" s="1"/>
  <c r="X88" i="3" s="1"/>
  <c r="X52" i="3"/>
  <c r="AC44" i="3"/>
  <c r="U93" i="3"/>
  <c r="W93" i="3" s="1"/>
  <c r="X57" i="3"/>
  <c r="D238" i="3"/>
  <c r="S238" i="3" s="1"/>
  <c r="D231" i="3"/>
  <c r="AC57" i="3"/>
  <c r="Z93" i="3"/>
  <c r="AB93" i="3" s="1"/>
  <c r="K88" i="3"/>
  <c r="M88" i="3" s="1"/>
  <c r="N88" i="3" s="1"/>
  <c r="C236" i="3"/>
  <c r="K100" i="3"/>
  <c r="M100" i="3" s="1"/>
  <c r="AU47" i="3"/>
  <c r="AP51" i="3"/>
  <c r="AM87" i="3"/>
  <c r="AO87" i="3" s="1"/>
  <c r="Z81" i="3"/>
  <c r="AB81" i="3" s="1"/>
  <c r="Z117" i="3" s="1"/>
  <c r="AB117" i="3" s="1"/>
  <c r="AC117" i="3" s="1"/>
  <c r="AC45" i="3"/>
  <c r="C228" i="3"/>
  <c r="D237" i="3"/>
  <c r="S237" i="3" s="1"/>
  <c r="AU44" i="3"/>
  <c r="AR80" i="3"/>
  <c r="AT80" i="3" s="1"/>
  <c r="Z190" i="3"/>
  <c r="AB190" i="3" s="1"/>
  <c r="C227" i="3"/>
  <c r="AR119" i="3"/>
  <c r="AT119" i="3" s="1"/>
  <c r="AU83" i="3"/>
  <c r="K91" i="3"/>
  <c r="M91" i="3" s="1"/>
  <c r="D236" i="3"/>
  <c r="S236" i="3" s="1"/>
  <c r="U87" i="3"/>
  <c r="W87" i="3" s="1"/>
  <c r="U123" i="3" s="1"/>
  <c r="W123" i="3" s="1"/>
  <c r="X51" i="3"/>
  <c r="AP58" i="3"/>
  <c r="AM94" i="3"/>
  <c r="AO94" i="3" s="1"/>
  <c r="K121" i="3"/>
  <c r="M121" i="3" s="1"/>
  <c r="N121" i="3" s="1"/>
  <c r="K86" i="3"/>
  <c r="M86" i="3" s="1"/>
  <c r="M63" i="3"/>
  <c r="N63" i="3" s="1"/>
  <c r="D275" i="3"/>
  <c r="S275" i="3" s="1"/>
  <c r="AC89" i="3"/>
  <c r="Z125" i="3"/>
  <c r="AB125" i="3" s="1"/>
  <c r="F125" i="3"/>
  <c r="H125" i="3" s="1"/>
  <c r="AC88" i="3"/>
  <c r="Z124" i="3"/>
  <c r="AB124" i="3" s="1"/>
  <c r="Z128" i="3"/>
  <c r="AB128" i="3" s="1"/>
  <c r="AC92" i="3"/>
  <c r="Z94" i="3"/>
  <c r="AB94" i="3" s="1"/>
  <c r="Z130" i="3" s="1"/>
  <c r="AB130" i="3" s="1"/>
  <c r="AC58" i="3"/>
  <c r="U79" i="3"/>
  <c r="W79" i="3" s="1"/>
  <c r="U115" i="3" s="1"/>
  <c r="W115" i="3" s="1"/>
  <c r="X43" i="3"/>
  <c r="U94" i="3"/>
  <c r="W94" i="3" s="1"/>
  <c r="U130" i="3" s="1"/>
  <c r="W130" i="3" s="1"/>
  <c r="X58" i="3"/>
  <c r="X60" i="3"/>
  <c r="AC60" i="3"/>
  <c r="AC53" i="3"/>
  <c r="X53" i="3"/>
  <c r="U131" i="3"/>
  <c r="W131" i="3" s="1"/>
  <c r="X95" i="3"/>
  <c r="U85" i="3"/>
  <c r="W85" i="3" s="1"/>
  <c r="X49" i="3"/>
  <c r="D227" i="3"/>
  <c r="Z132" i="3"/>
  <c r="AB132" i="3" s="1"/>
  <c r="AC96" i="3"/>
  <c r="AM99" i="3"/>
  <c r="AO99" i="3" s="1"/>
  <c r="AP63" i="3"/>
  <c r="AM91" i="3"/>
  <c r="AO91" i="3" s="1"/>
  <c r="AP55" i="3"/>
  <c r="AR129" i="3"/>
  <c r="AT129" i="3" s="1"/>
  <c r="AU129" i="3" s="1"/>
  <c r="AU93" i="3"/>
  <c r="U90" i="3"/>
  <c r="W90" i="3" s="1"/>
  <c r="U126" i="3" s="1"/>
  <c r="W126" i="3" s="1"/>
  <c r="X54" i="3"/>
  <c r="E99" i="2"/>
  <c r="AR123" i="3"/>
  <c r="AT123" i="3" s="1"/>
  <c r="AU87" i="3"/>
  <c r="AP57" i="3"/>
  <c r="AM93" i="3"/>
  <c r="AO93" i="3" s="1"/>
  <c r="U82" i="3"/>
  <c r="W82" i="3" s="1"/>
  <c r="U118" i="3" s="1"/>
  <c r="W118" i="3" s="1"/>
  <c r="X46" i="3"/>
  <c r="K97" i="3"/>
  <c r="M97" i="3" s="1"/>
  <c r="K190" i="3"/>
  <c r="M190" i="3" s="1"/>
  <c r="K132" i="3"/>
  <c r="M132" i="3" s="1"/>
  <c r="N132" i="3" s="1"/>
  <c r="AU60" i="3"/>
  <c r="AR96" i="3"/>
  <c r="AT96" i="3" s="1"/>
  <c r="C191" i="33"/>
  <c r="C158" i="3"/>
  <c r="C156" i="33"/>
  <c r="Z87" i="3"/>
  <c r="AB87" i="3" s="1"/>
  <c r="AC51" i="3"/>
  <c r="AP49" i="3"/>
  <c r="AM85" i="3"/>
  <c r="AO85" i="3" s="1"/>
  <c r="AL83" i="3"/>
  <c r="D194" i="3"/>
  <c r="AP54" i="3"/>
  <c r="AM90" i="3"/>
  <c r="AO90" i="3" s="1"/>
  <c r="AP44" i="3"/>
  <c r="AM80" i="3"/>
  <c r="AO80" i="3" s="1"/>
  <c r="U158" i="3"/>
  <c r="W158" i="3" s="1"/>
  <c r="X122" i="3"/>
  <c r="AH46" i="3"/>
  <c r="AL46" i="3"/>
  <c r="AC46" i="3"/>
  <c r="C234" i="33"/>
  <c r="C202" i="3"/>
  <c r="S202" i="3" s="1"/>
  <c r="U164" i="3"/>
  <c r="W164" i="3" s="1"/>
  <c r="X128" i="3"/>
  <c r="K87" i="3"/>
  <c r="M87" i="3" s="1"/>
  <c r="N87" i="3" s="1"/>
  <c r="M59" i="3"/>
  <c r="U132" i="3"/>
  <c r="W132" i="3" s="1"/>
  <c r="X96" i="3"/>
  <c r="AP47" i="3"/>
  <c r="AM83" i="3"/>
  <c r="AO83" i="3" s="1"/>
  <c r="AH49" i="3"/>
  <c r="AL49" i="3"/>
  <c r="AC49" i="3"/>
  <c r="AU153" i="3"/>
  <c r="Z91" i="3"/>
  <c r="AB91" i="3" s="1"/>
  <c r="AC55" i="3"/>
  <c r="AP60" i="3"/>
  <c r="AM96" i="3"/>
  <c r="AO96" i="3" s="1"/>
  <c r="C301" i="33"/>
  <c r="C266" i="33"/>
  <c r="C271" i="3"/>
  <c r="AC80" i="3"/>
  <c r="Z116" i="3"/>
  <c r="AB116" i="3" s="1"/>
  <c r="AU51" i="3"/>
  <c r="D187" i="3"/>
  <c r="AM88" i="3"/>
  <c r="AO88" i="3" s="1"/>
  <c r="AP52" i="3"/>
  <c r="K81" i="3"/>
  <c r="M81" i="3" s="1"/>
  <c r="AP95" i="3"/>
  <c r="AM131" i="3"/>
  <c r="AO131" i="3" s="1"/>
  <c r="AY64" i="3"/>
  <c r="AZ64" i="3" s="1"/>
  <c r="AZ30" i="3"/>
  <c r="AY63" i="3"/>
  <c r="AZ63" i="3" s="1"/>
  <c r="AZ29" i="3"/>
  <c r="AP48" i="3"/>
  <c r="AM84" i="3"/>
  <c r="AO84" i="3" s="1"/>
  <c r="C192" i="33"/>
  <c r="C159" i="3"/>
  <c r="C157" i="33"/>
  <c r="K134" i="3"/>
  <c r="M134" i="3" s="1"/>
  <c r="N134" i="3" s="1"/>
  <c r="AP62" i="3"/>
  <c r="AM98" i="3"/>
  <c r="AO98" i="3" s="1"/>
  <c r="AY50" i="3"/>
  <c r="AZ50" i="3" s="1"/>
  <c r="AZ16" i="3"/>
  <c r="U134" i="3"/>
  <c r="W134" i="3" s="1"/>
  <c r="X98" i="3"/>
  <c r="Z86" i="3"/>
  <c r="AC50" i="3"/>
  <c r="C101" i="3"/>
  <c r="AL81" i="3"/>
  <c r="AH82" i="3"/>
  <c r="AL82" i="3"/>
  <c r="AC82" i="3"/>
  <c r="F430" i="33"/>
  <c r="D431" i="33" s="1"/>
  <c r="F431" i="33" s="1"/>
  <c r="AY47" i="3"/>
  <c r="AZ47" i="3" s="1"/>
  <c r="AZ13" i="3"/>
  <c r="AY48" i="3"/>
  <c r="AZ48" i="3" s="1"/>
  <c r="AZ14" i="3"/>
  <c r="AY45" i="3"/>
  <c r="AZ45" i="3" s="1"/>
  <c r="AZ11" i="3"/>
  <c r="AR84" i="3"/>
  <c r="AT84" i="3" s="1"/>
  <c r="AU48" i="3"/>
  <c r="K89" i="3"/>
  <c r="M89" i="3" s="1"/>
  <c r="N89" i="3" s="1"/>
  <c r="AY54" i="3"/>
  <c r="AZ54" i="3" s="1"/>
  <c r="AZ20" i="3"/>
  <c r="I95" i="3"/>
  <c r="F131" i="3"/>
  <c r="C200" i="33"/>
  <c r="C165" i="33"/>
  <c r="C167" i="3"/>
  <c r="AU55" i="3"/>
  <c r="AR91" i="3"/>
  <c r="AT91" i="3" s="1"/>
  <c r="C430" i="33"/>
  <c r="E418" i="2"/>
  <c r="AY55" i="3"/>
  <c r="AZ55" i="3" s="1"/>
  <c r="AZ21" i="3"/>
  <c r="AZ27" i="3"/>
  <c r="AP53" i="3"/>
  <c r="AM89" i="3"/>
  <c r="AO89" i="3" s="1"/>
  <c r="AY9" i="3"/>
  <c r="AY57" i="3"/>
  <c r="AZ57" i="3" s="1"/>
  <c r="AZ23" i="3"/>
  <c r="U81" i="3"/>
  <c r="W81" i="3" s="1"/>
  <c r="X45" i="3"/>
  <c r="X56" i="3"/>
  <c r="AC56" i="3"/>
  <c r="AL56" i="3"/>
  <c r="AY51" i="3"/>
  <c r="AZ51" i="3" s="1"/>
  <c r="AZ17" i="3"/>
  <c r="AY52" i="3"/>
  <c r="AZ52" i="3" s="1"/>
  <c r="AZ18" i="3"/>
  <c r="AY56" i="3"/>
  <c r="AZ56" i="3" s="1"/>
  <c r="AZ22" i="3"/>
  <c r="AP64" i="3"/>
  <c r="AM100" i="3"/>
  <c r="AO100" i="3" s="1"/>
  <c r="I64" i="3"/>
  <c r="F100" i="3"/>
  <c r="H100" i="3" s="1"/>
  <c r="I48" i="3"/>
  <c r="F84" i="3"/>
  <c r="H84" i="3" s="1"/>
  <c r="AU64" i="3"/>
  <c r="AR100" i="3"/>
  <c r="AT100" i="3" s="1"/>
  <c r="AC90" i="3"/>
  <c r="I90" i="3"/>
  <c r="AY44" i="3"/>
  <c r="AZ10" i="3"/>
  <c r="AR92" i="3"/>
  <c r="AT92" i="3" s="1"/>
  <c r="AU56" i="3"/>
  <c r="AU50" i="3"/>
  <c r="AR86" i="3"/>
  <c r="AT86" i="3" s="1"/>
  <c r="AY59" i="3"/>
  <c r="AZ59" i="3" s="1"/>
  <c r="AZ25" i="3"/>
  <c r="AU58" i="3"/>
  <c r="AR94" i="3"/>
  <c r="AT94" i="3" s="1"/>
  <c r="K79" i="3"/>
  <c r="I51" i="3"/>
  <c r="F87" i="3"/>
  <c r="H87" i="3" s="1"/>
  <c r="AW89" i="3"/>
  <c r="AY89" i="3" s="1"/>
  <c r="AP46" i="3"/>
  <c r="AM82" i="3"/>
  <c r="AO82" i="3" s="1"/>
  <c r="AY62" i="3"/>
  <c r="AZ62" i="3" s="1"/>
  <c r="AZ28" i="3"/>
  <c r="AU53" i="3"/>
  <c r="AR89" i="3"/>
  <c r="AT89" i="3" s="1"/>
  <c r="AY60" i="3"/>
  <c r="AZ60" i="3" s="1"/>
  <c r="AZ26" i="3"/>
  <c r="AY49" i="3"/>
  <c r="AZ49" i="3" s="1"/>
  <c r="AZ15" i="3"/>
  <c r="AP45" i="3"/>
  <c r="AM81" i="3"/>
  <c r="AY58" i="3"/>
  <c r="AZ58" i="3" s="1"/>
  <c r="AZ24" i="3"/>
  <c r="U83" i="3"/>
  <c r="W83" i="3" s="1"/>
  <c r="X47" i="3"/>
  <c r="K128" i="3"/>
  <c r="M128" i="3" s="1"/>
  <c r="N128" i="3" s="1"/>
  <c r="AP56" i="3"/>
  <c r="AM92" i="3"/>
  <c r="AO92" i="3" s="1"/>
  <c r="AH94" i="3"/>
  <c r="AL94" i="3"/>
  <c r="U84" i="3"/>
  <c r="W84" i="3" s="1"/>
  <c r="X48" i="3"/>
  <c r="AL59" i="3"/>
  <c r="X59" i="3"/>
  <c r="AC59" i="3"/>
  <c r="AL130" i="3"/>
  <c r="AI166" i="3"/>
  <c r="AK166" i="3" s="1"/>
  <c r="AE116" i="3"/>
  <c r="AG116" i="3" s="1"/>
  <c r="AH80" i="3"/>
  <c r="AI91" i="3"/>
  <c r="AK91" i="3" s="1"/>
  <c r="AL55" i="3"/>
  <c r="AE190" i="3"/>
  <c r="AG190" i="3" s="1"/>
  <c r="AE226" i="3" s="1"/>
  <c r="AE117" i="3"/>
  <c r="AG117" i="3" s="1"/>
  <c r="AH81" i="3"/>
  <c r="AE119" i="3"/>
  <c r="AG119" i="3" s="1"/>
  <c r="AH83" i="3"/>
  <c r="AE88" i="3"/>
  <c r="AG88" i="3" s="1"/>
  <c r="AH52" i="3"/>
  <c r="AE121" i="3"/>
  <c r="AG121" i="3" s="1"/>
  <c r="AH85" i="3"/>
  <c r="AE90" i="3"/>
  <c r="AG90" i="3" s="1"/>
  <c r="AH54" i="3"/>
  <c r="AI96" i="3"/>
  <c r="AK96" i="3" s="1"/>
  <c r="AL60" i="3"/>
  <c r="AE92" i="3"/>
  <c r="AG92" i="3" s="1"/>
  <c r="AH56" i="3"/>
  <c r="AL54" i="3"/>
  <c r="AE202" i="3"/>
  <c r="AG202" i="3" s="1"/>
  <c r="AE238" i="3" s="1"/>
  <c r="AH166" i="3"/>
  <c r="AI89" i="3"/>
  <c r="AK89" i="3" s="1"/>
  <c r="AL53" i="3"/>
  <c r="AE86" i="3"/>
  <c r="AG86" i="3" s="1"/>
  <c r="AH50" i="3"/>
  <c r="AI86" i="3"/>
  <c r="AK86" i="3" s="1"/>
  <c r="AL50" i="3"/>
  <c r="AE98" i="3"/>
  <c r="AG98" i="3" s="1"/>
  <c r="AH62" i="3"/>
  <c r="AI126" i="3"/>
  <c r="AK126" i="3" s="1"/>
  <c r="AL90" i="3"/>
  <c r="AE93" i="3"/>
  <c r="AG93" i="3" s="1"/>
  <c r="AH57" i="3"/>
  <c r="AL62" i="3"/>
  <c r="AI98" i="3"/>
  <c r="AK98" i="3" s="1"/>
  <c r="AI262" i="3"/>
  <c r="AK262" i="3" s="1"/>
  <c r="AI298" i="3" s="1"/>
  <c r="AE100" i="3"/>
  <c r="AG100" i="3" s="1"/>
  <c r="AH64" i="3"/>
  <c r="AE95" i="3"/>
  <c r="AG95" i="3" s="1"/>
  <c r="AH59" i="3"/>
  <c r="AE89" i="3"/>
  <c r="AG89" i="3" s="1"/>
  <c r="AH53" i="3"/>
  <c r="AE97" i="3"/>
  <c r="AG97" i="3" s="1"/>
  <c r="AE133" i="3" s="1"/>
  <c r="AG133" i="3" s="1"/>
  <c r="AH133" i="3" s="1"/>
  <c r="AH61" i="3"/>
  <c r="AI99" i="3"/>
  <c r="AK99" i="3" s="1"/>
  <c r="AL63" i="3"/>
  <c r="AL64" i="3"/>
  <c r="AI100" i="3"/>
  <c r="AK100" i="3" s="1"/>
  <c r="AE96" i="3"/>
  <c r="AG96" i="3" s="1"/>
  <c r="AH60" i="3"/>
  <c r="AI263" i="3"/>
  <c r="AK263" i="3" s="1"/>
  <c r="AI299" i="3" s="1"/>
  <c r="AK43" i="3"/>
  <c r="AI65" i="3"/>
  <c r="AE91" i="3"/>
  <c r="AG91" i="3" s="1"/>
  <c r="AH55" i="3"/>
  <c r="AH63" i="3"/>
  <c r="AE99" i="3"/>
  <c r="AG99" i="3" s="1"/>
  <c r="AI260" i="3"/>
  <c r="AK260" i="3" s="1"/>
  <c r="K88" i="33"/>
  <c r="H151" i="33"/>
  <c r="J151" i="33" s="1"/>
  <c r="H186" i="33" s="1"/>
  <c r="J186" i="33" s="1"/>
  <c r="D90" i="33"/>
  <c r="F90" i="33" s="1"/>
  <c r="G90" i="33" s="1"/>
  <c r="K83" i="33"/>
  <c r="K118" i="33"/>
  <c r="H153" i="33"/>
  <c r="J153" i="33" s="1"/>
  <c r="H188" i="33" s="1"/>
  <c r="J188" i="33" s="1"/>
  <c r="H99" i="33"/>
  <c r="J99" i="33" s="1"/>
  <c r="K99" i="33" s="1"/>
  <c r="J31" i="33"/>
  <c r="K31" i="33" s="1"/>
  <c r="H122" i="33"/>
  <c r="J122" i="33" s="1"/>
  <c r="K87" i="33"/>
  <c r="I476" i="33"/>
  <c r="K82" i="33"/>
  <c r="H117" i="33"/>
  <c r="J117" i="33" s="1"/>
  <c r="J123" i="33"/>
  <c r="D129" i="33"/>
  <c r="G94" i="33"/>
  <c r="K15" i="33"/>
  <c r="H50" i="33"/>
  <c r="J50" i="33" s="1"/>
  <c r="K23" i="33"/>
  <c r="H58" i="33"/>
  <c r="J58" i="33" s="1"/>
  <c r="G83" i="33"/>
  <c r="D118" i="33"/>
  <c r="F118" i="33" s="1"/>
  <c r="G82" i="33"/>
  <c r="D117" i="33"/>
  <c r="F117" i="33" s="1"/>
  <c r="D95" i="33"/>
  <c r="F95" i="33" s="1"/>
  <c r="G60" i="33"/>
  <c r="G89" i="33"/>
  <c r="D124" i="33"/>
  <c r="F124" i="33" s="1"/>
  <c r="K92" i="33"/>
  <c r="H127" i="33"/>
  <c r="J127" i="33" s="1"/>
  <c r="G52" i="33"/>
  <c r="D87" i="33"/>
  <c r="F87" i="33" s="1"/>
  <c r="D116" i="33"/>
  <c r="F116" i="33" s="1"/>
  <c r="G81" i="33"/>
  <c r="D84" i="33"/>
  <c r="F84" i="33" s="1"/>
  <c r="G49" i="33"/>
  <c r="K84" i="33"/>
  <c r="H119" i="33"/>
  <c r="J119" i="33" s="1"/>
  <c r="H125" i="33"/>
  <c r="J125" i="33" s="1"/>
  <c r="K90" i="33"/>
  <c r="D121" i="33"/>
  <c r="F121" i="33" s="1"/>
  <c r="G86" i="33"/>
  <c r="H430" i="33"/>
  <c r="J430" i="33" s="1"/>
  <c r="J130" i="33"/>
  <c r="G57" i="33"/>
  <c r="D92" i="33"/>
  <c r="F92" i="33" s="1"/>
  <c r="D99" i="33"/>
  <c r="F99" i="33" s="1"/>
  <c r="G64" i="33"/>
  <c r="D190" i="33"/>
  <c r="F190" i="33" s="1"/>
  <c r="J80" i="33"/>
  <c r="F62" i="33"/>
  <c r="AU43" i="3" l="1"/>
  <c r="R441" i="33"/>
  <c r="AR65" i="3"/>
  <c r="AC476" i="33"/>
  <c r="AB114" i="33"/>
  <c r="AB136" i="33" s="1"/>
  <c r="AB432" i="33" s="1"/>
  <c r="Z136" i="33"/>
  <c r="Z432" i="33" s="1"/>
  <c r="AI97" i="3"/>
  <c r="AK97" i="3" s="1"/>
  <c r="AI133" i="3" s="1"/>
  <c r="AK133" i="3" s="1"/>
  <c r="AL133" i="3" s="1"/>
  <c r="AC441" i="33"/>
  <c r="N476" i="33"/>
  <c r="AM476" i="33"/>
  <c r="AG476" i="33"/>
  <c r="AB87" i="33"/>
  <c r="AB101" i="33" s="1"/>
  <c r="AB431" i="33" s="1"/>
  <c r="Z101" i="33"/>
  <c r="Z431" i="33" s="1"/>
  <c r="R476" i="33"/>
  <c r="AE476" i="33"/>
  <c r="L476" i="33"/>
  <c r="AO476" i="33"/>
  <c r="AB45" i="33"/>
  <c r="AB455" i="33" s="1"/>
  <c r="Z455" i="33"/>
  <c r="AB55" i="33"/>
  <c r="AB465" i="33" s="1"/>
  <c r="Z465" i="33"/>
  <c r="AB52" i="33"/>
  <c r="AB462" i="33" s="1"/>
  <c r="Z462" i="33"/>
  <c r="N441" i="33"/>
  <c r="AB47" i="33"/>
  <c r="AB457" i="33" s="1"/>
  <c r="Z457" i="33"/>
  <c r="AB49" i="33"/>
  <c r="AB459" i="33" s="1"/>
  <c r="Z459" i="33"/>
  <c r="AB9" i="33"/>
  <c r="Z31" i="33"/>
  <c r="Z429" i="33" s="1"/>
  <c r="Z454" i="33"/>
  <c r="AB46" i="33"/>
  <c r="AB456" i="33" s="1"/>
  <c r="Z456" i="33"/>
  <c r="K136" i="3"/>
  <c r="M136" i="3" s="1"/>
  <c r="N100" i="3"/>
  <c r="K130" i="3"/>
  <c r="M130" i="3" s="1"/>
  <c r="N94" i="3"/>
  <c r="K133" i="3"/>
  <c r="M133" i="3" s="1"/>
  <c r="N133" i="3" s="1"/>
  <c r="N97" i="3"/>
  <c r="AB54" i="33"/>
  <c r="AB464" i="33" s="1"/>
  <c r="Z464" i="33"/>
  <c r="AB51" i="33"/>
  <c r="AB461" i="33" s="1"/>
  <c r="Z461" i="33"/>
  <c r="K127" i="3"/>
  <c r="M127" i="3" s="1"/>
  <c r="N127" i="3" s="1"/>
  <c r="N91" i="3"/>
  <c r="K129" i="3"/>
  <c r="M129" i="3" s="1"/>
  <c r="N129" i="3" s="1"/>
  <c r="N93" i="3"/>
  <c r="W476" i="33"/>
  <c r="AB53" i="33"/>
  <c r="AB463" i="33" s="1"/>
  <c r="Z463" i="33"/>
  <c r="K95" i="3"/>
  <c r="M95" i="3" s="1"/>
  <c r="N95" i="3" s="1"/>
  <c r="N59" i="3"/>
  <c r="AB48" i="33"/>
  <c r="AB458" i="33" s="1"/>
  <c r="Z458" i="33"/>
  <c r="AB50" i="33"/>
  <c r="Z66" i="33"/>
  <c r="Z430" i="33" s="1"/>
  <c r="Z460" i="33"/>
  <c r="AB65" i="3"/>
  <c r="AC65" i="3" s="1"/>
  <c r="AL124" i="3"/>
  <c r="AL129" i="3"/>
  <c r="K126" i="3"/>
  <c r="M126" i="3" s="1"/>
  <c r="N90" i="3"/>
  <c r="K122" i="3"/>
  <c r="M122" i="3" s="1"/>
  <c r="N122" i="3" s="1"/>
  <c r="N86" i="3"/>
  <c r="K117" i="3"/>
  <c r="M117" i="3" s="1"/>
  <c r="N117" i="3" s="1"/>
  <c r="N81" i="3"/>
  <c r="K116" i="3"/>
  <c r="M116" i="3" s="1"/>
  <c r="N116" i="3" s="1"/>
  <c r="N80" i="3"/>
  <c r="I85" i="3"/>
  <c r="S413" i="3"/>
  <c r="S305" i="3"/>
  <c r="S269" i="3"/>
  <c r="S225" i="3"/>
  <c r="S304" i="3"/>
  <c r="S152" i="3"/>
  <c r="S189" i="3"/>
  <c r="S377" i="3"/>
  <c r="N154" i="3"/>
  <c r="S154" i="3"/>
  <c r="S231" i="3"/>
  <c r="S227" i="3"/>
  <c r="S233" i="3"/>
  <c r="S341" i="3"/>
  <c r="S228" i="3"/>
  <c r="S187" i="3"/>
  <c r="S159" i="3"/>
  <c r="F158" i="33"/>
  <c r="D193" i="33" s="1"/>
  <c r="F193" i="33" s="1"/>
  <c r="G193" i="33" s="1"/>
  <c r="AI300" i="3"/>
  <c r="AK300" i="3" s="1"/>
  <c r="AI336" i="3" s="1"/>
  <c r="AK336" i="3" s="1"/>
  <c r="AY12" i="3"/>
  <c r="AZ12" i="3" s="1"/>
  <c r="E419" i="2"/>
  <c r="E133" i="2"/>
  <c r="C171" i="3"/>
  <c r="AL227" i="3"/>
  <c r="AL152" i="3"/>
  <c r="AL153" i="3"/>
  <c r="AL154" i="3"/>
  <c r="C136" i="3"/>
  <c r="C135" i="33"/>
  <c r="C136" i="33" s="1"/>
  <c r="C133" i="2"/>
  <c r="D133" i="2"/>
  <c r="D136" i="3"/>
  <c r="I91" i="3"/>
  <c r="H131" i="3"/>
  <c r="I131" i="3" s="1"/>
  <c r="H149" i="33"/>
  <c r="J149" i="33" s="1"/>
  <c r="H184" i="33" s="1"/>
  <c r="I92" i="3"/>
  <c r="I89" i="3"/>
  <c r="P97" i="3"/>
  <c r="R65" i="3"/>
  <c r="S65" i="3" s="1"/>
  <c r="F129" i="33"/>
  <c r="D164" i="33" s="1"/>
  <c r="F127" i="3"/>
  <c r="H127" i="3" s="1"/>
  <c r="I127" i="3" s="1"/>
  <c r="F119" i="3"/>
  <c r="H119" i="3" s="1"/>
  <c r="I119" i="3" s="1"/>
  <c r="I99" i="3"/>
  <c r="I88" i="3"/>
  <c r="F132" i="3"/>
  <c r="H132" i="3" s="1"/>
  <c r="F122" i="3"/>
  <c r="H122" i="3" s="1"/>
  <c r="F158" i="3" s="1"/>
  <c r="H158" i="3" s="1"/>
  <c r="I93" i="3"/>
  <c r="I80" i="3"/>
  <c r="I94" i="3"/>
  <c r="I61" i="3"/>
  <c r="F81" i="3"/>
  <c r="H81" i="3" s="1"/>
  <c r="I81" i="3" s="1"/>
  <c r="F134" i="3"/>
  <c r="H134" i="3" s="1"/>
  <c r="F126" i="3"/>
  <c r="H126" i="3" s="1"/>
  <c r="F118" i="3"/>
  <c r="H118" i="3" s="1"/>
  <c r="AL189" i="3"/>
  <c r="G137" i="3"/>
  <c r="E454" i="33"/>
  <c r="E476" i="33" s="1"/>
  <c r="E136" i="33"/>
  <c r="E432" i="33" s="1"/>
  <c r="F114" i="33"/>
  <c r="F463" i="2"/>
  <c r="W65" i="3"/>
  <c r="X65" i="3" s="1"/>
  <c r="F65" i="3"/>
  <c r="AU61" i="3"/>
  <c r="AO65" i="3"/>
  <c r="AP65" i="3" s="1"/>
  <c r="AT65" i="3"/>
  <c r="AU65" i="3" s="1"/>
  <c r="G429" i="33"/>
  <c r="X61" i="3"/>
  <c r="D235" i="3"/>
  <c r="S235" i="3" s="1"/>
  <c r="AU95" i="3"/>
  <c r="H98" i="33"/>
  <c r="J98" i="33" s="1"/>
  <c r="K98" i="33" s="1"/>
  <c r="AC100" i="3"/>
  <c r="AP122" i="3"/>
  <c r="G93" i="33"/>
  <c r="AP61" i="3"/>
  <c r="G65" i="33"/>
  <c r="Z120" i="3"/>
  <c r="AB120" i="3" s="1"/>
  <c r="Z156" i="3" s="1"/>
  <c r="AB156" i="3" s="1"/>
  <c r="D166" i="33"/>
  <c r="G96" i="33"/>
  <c r="AC61" i="3"/>
  <c r="AC154" i="3"/>
  <c r="AH154" i="3"/>
  <c r="Z97" i="3"/>
  <c r="AB97" i="3" s="1"/>
  <c r="H65" i="3"/>
  <c r="I65" i="3" s="1"/>
  <c r="AY61" i="3"/>
  <c r="D205" i="3"/>
  <c r="K65" i="33"/>
  <c r="F130" i="3"/>
  <c r="H130" i="3" s="1"/>
  <c r="F97" i="3"/>
  <c r="H97" i="3" s="1"/>
  <c r="F133" i="3" s="1"/>
  <c r="H133" i="3" s="1"/>
  <c r="I133" i="3" s="1"/>
  <c r="AE65" i="3"/>
  <c r="AR121" i="3"/>
  <c r="AT121" i="3" s="1"/>
  <c r="AR157" i="3" s="1"/>
  <c r="AT157" i="3" s="1"/>
  <c r="AU98" i="3"/>
  <c r="C201" i="3"/>
  <c r="S201" i="3" s="1"/>
  <c r="D234" i="3"/>
  <c r="AR170" i="3"/>
  <c r="AT170" i="3" s="1"/>
  <c r="AU170" i="3" s="1"/>
  <c r="C193" i="3"/>
  <c r="C190" i="33"/>
  <c r="G190" i="33" s="1"/>
  <c r="G61" i="33"/>
  <c r="F63" i="33"/>
  <c r="F66" i="33" s="1"/>
  <c r="G66" i="33" s="1"/>
  <c r="J61" i="33"/>
  <c r="J66" i="33" s="1"/>
  <c r="K66" i="33" s="1"/>
  <c r="G91" i="33"/>
  <c r="C198" i="3"/>
  <c r="C195" i="33"/>
  <c r="C194" i="33"/>
  <c r="K194" i="33" s="1"/>
  <c r="C197" i="3"/>
  <c r="C190" i="3"/>
  <c r="C187" i="33"/>
  <c r="G158" i="33"/>
  <c r="K121" i="33"/>
  <c r="G80" i="33"/>
  <c r="H229" i="33"/>
  <c r="J229" i="33" s="1"/>
  <c r="K186" i="33"/>
  <c r="H221" i="33"/>
  <c r="J221" i="33" s="1"/>
  <c r="H226" i="33"/>
  <c r="J226" i="33" s="1"/>
  <c r="K191" i="33"/>
  <c r="D188" i="3"/>
  <c r="C237" i="33"/>
  <c r="C241" i="3"/>
  <c r="C237" i="3"/>
  <c r="C233" i="33"/>
  <c r="D229" i="3"/>
  <c r="K196" i="33"/>
  <c r="H231" i="33"/>
  <c r="J231" i="33" s="1"/>
  <c r="K231" i="33" s="1"/>
  <c r="H234" i="33"/>
  <c r="J234" i="33" s="1"/>
  <c r="K234" i="33" s="1"/>
  <c r="K199" i="33"/>
  <c r="K188" i="33"/>
  <c r="H223" i="33"/>
  <c r="J223" i="33" s="1"/>
  <c r="K223" i="33" s="1"/>
  <c r="C203" i="33"/>
  <c r="C206" i="3"/>
  <c r="S206" i="3" s="1"/>
  <c r="D225" i="33"/>
  <c r="F225" i="33" s="1"/>
  <c r="AL121" i="3"/>
  <c r="D204" i="3"/>
  <c r="D241" i="3"/>
  <c r="D340" i="3"/>
  <c r="C221" i="33"/>
  <c r="C225" i="3"/>
  <c r="AL123" i="3"/>
  <c r="AE159" i="3"/>
  <c r="AG159" i="3" s="1"/>
  <c r="AE195" i="3" s="1"/>
  <c r="AG195" i="3" s="1"/>
  <c r="AE231" i="3" s="1"/>
  <c r="U161" i="3"/>
  <c r="W161" i="3" s="1"/>
  <c r="X161" i="3" s="1"/>
  <c r="AL131" i="3"/>
  <c r="AI193" i="3"/>
  <c r="AK193" i="3" s="1"/>
  <c r="AL157" i="3"/>
  <c r="AC81" i="3"/>
  <c r="AL228" i="3"/>
  <c r="AL128" i="3"/>
  <c r="E295" i="3"/>
  <c r="AL192" i="3"/>
  <c r="AL120" i="3"/>
  <c r="AL156" i="3"/>
  <c r="F116" i="3"/>
  <c r="H116" i="3" s="1"/>
  <c r="F129" i="3"/>
  <c r="H129" i="3" s="1"/>
  <c r="F124" i="3"/>
  <c r="H124" i="3" s="1"/>
  <c r="AR126" i="3"/>
  <c r="AT126" i="3" s="1"/>
  <c r="Z153" i="3"/>
  <c r="AB153" i="3" s="1"/>
  <c r="AC153" i="3" s="1"/>
  <c r="AC170" i="3"/>
  <c r="Z206" i="3"/>
  <c r="AB206" i="3" s="1"/>
  <c r="X100" i="3"/>
  <c r="K120" i="3"/>
  <c r="M120" i="3" s="1"/>
  <c r="AU171" i="3"/>
  <c r="AR207" i="3"/>
  <c r="AT207" i="3" s="1"/>
  <c r="AU225" i="3"/>
  <c r="AR154" i="3"/>
  <c r="AT154" i="3" s="1"/>
  <c r="AU154" i="3" s="1"/>
  <c r="AC162" i="3"/>
  <c r="I86" i="3"/>
  <c r="AU124" i="3"/>
  <c r="AC94" i="3"/>
  <c r="I96" i="3"/>
  <c r="AC135" i="3"/>
  <c r="Z171" i="3"/>
  <c r="AB171" i="3" s="1"/>
  <c r="X136" i="3"/>
  <c r="U172" i="3"/>
  <c r="W172" i="3" s="1"/>
  <c r="X134" i="3"/>
  <c r="U170" i="3"/>
  <c r="W170" i="3" s="1"/>
  <c r="K172" i="3"/>
  <c r="M172" i="3" s="1"/>
  <c r="X135" i="3"/>
  <c r="U171" i="3"/>
  <c r="W171" i="3" s="1"/>
  <c r="AC136" i="3"/>
  <c r="Z172" i="3"/>
  <c r="AB172" i="3" s="1"/>
  <c r="K170" i="3"/>
  <c r="M170" i="3" s="1"/>
  <c r="N170" i="3" s="1"/>
  <c r="X99" i="3"/>
  <c r="X79" i="3"/>
  <c r="AE156" i="3"/>
  <c r="AG156" i="3" s="1"/>
  <c r="AH120" i="3"/>
  <c r="X90" i="3"/>
  <c r="AI200" i="3"/>
  <c r="AK200" i="3" s="1"/>
  <c r="AI236" i="3" s="1"/>
  <c r="AK236" i="3" s="1"/>
  <c r="AR165" i="3"/>
  <c r="AT165" i="3" s="1"/>
  <c r="AU165" i="3" s="1"/>
  <c r="E260" i="3"/>
  <c r="E281" i="3" s="1"/>
  <c r="F135" i="3"/>
  <c r="H135" i="3" s="1"/>
  <c r="I83" i="3"/>
  <c r="AC79" i="3"/>
  <c r="AC83" i="3"/>
  <c r="C223" i="3"/>
  <c r="Z157" i="3"/>
  <c r="AB157" i="3" s="1"/>
  <c r="Z193" i="3" s="1"/>
  <c r="AB193" i="3" s="1"/>
  <c r="M65" i="3"/>
  <c r="N65" i="3" s="1"/>
  <c r="X94" i="3"/>
  <c r="X87" i="3"/>
  <c r="X91" i="3"/>
  <c r="D261" i="3"/>
  <c r="Z155" i="3"/>
  <c r="AB155" i="3" s="1"/>
  <c r="Z167" i="3"/>
  <c r="AB167" i="3" s="1"/>
  <c r="Z203" i="3" s="1"/>
  <c r="AB203" i="3" s="1"/>
  <c r="Z239" i="3" s="1"/>
  <c r="AB239" i="3" s="1"/>
  <c r="Z275" i="3" s="1"/>
  <c r="AB275" i="3" s="1"/>
  <c r="Z311" i="3" s="1"/>
  <c r="AB311" i="3" s="1"/>
  <c r="AC131" i="3"/>
  <c r="H134" i="33"/>
  <c r="J134" i="33" s="1"/>
  <c r="K134" i="33" s="1"/>
  <c r="G431" i="33"/>
  <c r="U124" i="3"/>
  <c r="W124" i="3" s="1"/>
  <c r="U160" i="3" s="1"/>
  <c r="W160" i="3" s="1"/>
  <c r="C236" i="33"/>
  <c r="C204" i="3"/>
  <c r="S204" i="3" s="1"/>
  <c r="X82" i="3"/>
  <c r="C220" i="33"/>
  <c r="C188" i="3"/>
  <c r="C196" i="3"/>
  <c r="C228" i="33"/>
  <c r="D190" i="3"/>
  <c r="AP79" i="3"/>
  <c r="AM115" i="3"/>
  <c r="AO115" i="3" s="1"/>
  <c r="AM151" i="3" s="1"/>
  <c r="D264" i="3"/>
  <c r="K191" i="3"/>
  <c r="M191" i="3" s="1"/>
  <c r="N191" i="3" s="1"/>
  <c r="D311" i="3"/>
  <c r="S311" i="3" s="1"/>
  <c r="K157" i="3"/>
  <c r="M157" i="3" s="1"/>
  <c r="N157" i="3" s="1"/>
  <c r="Z226" i="3"/>
  <c r="AB226" i="3" s="1"/>
  <c r="C302" i="33"/>
  <c r="C272" i="3"/>
  <c r="C267" i="33"/>
  <c r="AP94" i="3"/>
  <c r="AM130" i="3"/>
  <c r="AO130" i="3" s="1"/>
  <c r="AR116" i="3"/>
  <c r="AT116" i="3" s="1"/>
  <c r="AU80" i="3"/>
  <c r="D270" i="3"/>
  <c r="K163" i="3"/>
  <c r="M163" i="3" s="1"/>
  <c r="N163" i="3" s="1"/>
  <c r="D267" i="3"/>
  <c r="K99" i="3"/>
  <c r="M99" i="3" s="1"/>
  <c r="N99" i="3" s="1"/>
  <c r="AR155" i="3"/>
  <c r="AT155" i="3" s="1"/>
  <c r="AU119" i="3"/>
  <c r="C293" i="33"/>
  <c r="C258" i="33"/>
  <c r="C263" i="3"/>
  <c r="D273" i="3"/>
  <c r="S273" i="3" s="1"/>
  <c r="C294" i="33"/>
  <c r="C259" i="33"/>
  <c r="C264" i="3"/>
  <c r="K124" i="3"/>
  <c r="M124" i="3" s="1"/>
  <c r="N124" i="3" s="1"/>
  <c r="D274" i="3"/>
  <c r="S274" i="3" s="1"/>
  <c r="Z161" i="3"/>
  <c r="AB161" i="3" s="1"/>
  <c r="AC125" i="3"/>
  <c r="D272" i="3"/>
  <c r="S272" i="3" s="1"/>
  <c r="AP97" i="3"/>
  <c r="AU97" i="3"/>
  <c r="U129" i="3"/>
  <c r="W129" i="3" s="1"/>
  <c r="X93" i="3"/>
  <c r="F161" i="3"/>
  <c r="H161" i="3" s="1"/>
  <c r="I125" i="3"/>
  <c r="AM123" i="3"/>
  <c r="AO123" i="3" s="1"/>
  <c r="AP87" i="3"/>
  <c r="Z129" i="3"/>
  <c r="AB129" i="3" s="1"/>
  <c r="AC93" i="3"/>
  <c r="Z127" i="3"/>
  <c r="AB127" i="3" s="1"/>
  <c r="AC91" i="3"/>
  <c r="AM116" i="3"/>
  <c r="AO116" i="3" s="1"/>
  <c r="AP80" i="3"/>
  <c r="K165" i="3"/>
  <c r="M165" i="3" s="1"/>
  <c r="N165" i="3" s="1"/>
  <c r="U200" i="3"/>
  <c r="W200" i="3" s="1"/>
  <c r="X164" i="3"/>
  <c r="D230" i="3"/>
  <c r="K168" i="3"/>
  <c r="M168" i="3" s="1"/>
  <c r="N168" i="3" s="1"/>
  <c r="U154" i="3"/>
  <c r="W154" i="3" s="1"/>
  <c r="X118" i="3"/>
  <c r="AP99" i="3"/>
  <c r="AM135" i="3"/>
  <c r="AO135" i="3" s="1"/>
  <c r="D271" i="3"/>
  <c r="S271" i="3" s="1"/>
  <c r="U166" i="3"/>
  <c r="W166" i="3" s="1"/>
  <c r="X130" i="3"/>
  <c r="AP88" i="3"/>
  <c r="AM124" i="3"/>
  <c r="AO124" i="3" s="1"/>
  <c r="AU160" i="3"/>
  <c r="AR196" i="3"/>
  <c r="AT196" i="3" s="1"/>
  <c r="U168" i="3"/>
  <c r="W168" i="3" s="1"/>
  <c r="X132" i="3"/>
  <c r="AC87" i="3"/>
  <c r="Z123" i="3"/>
  <c r="AB123" i="3" s="1"/>
  <c r="X123" i="3"/>
  <c r="U159" i="3"/>
  <c r="W159" i="3" s="1"/>
  <c r="U195" i="3" s="1"/>
  <c r="W195" i="3" s="1"/>
  <c r="U231" i="3" s="1"/>
  <c r="W231" i="3" s="1"/>
  <c r="U267" i="3" s="1"/>
  <c r="W267" i="3" s="1"/>
  <c r="AM129" i="3"/>
  <c r="AO129" i="3" s="1"/>
  <c r="AP93" i="3"/>
  <c r="D223" i="3"/>
  <c r="U162" i="3"/>
  <c r="W162" i="3" s="1"/>
  <c r="X126" i="3"/>
  <c r="Z168" i="3"/>
  <c r="AB168" i="3" s="1"/>
  <c r="AC132" i="3"/>
  <c r="U167" i="3"/>
  <c r="W167" i="3" s="1"/>
  <c r="U203" i="3" s="1"/>
  <c r="W203" i="3" s="1"/>
  <c r="U239" i="3" s="1"/>
  <c r="W239" i="3" s="1"/>
  <c r="U275" i="3" s="1"/>
  <c r="W275" i="3" s="1"/>
  <c r="U311" i="3" s="1"/>
  <c r="W311" i="3" s="1"/>
  <c r="X131" i="3"/>
  <c r="U151" i="3"/>
  <c r="X115" i="3"/>
  <c r="Z164" i="3"/>
  <c r="AB164" i="3" s="1"/>
  <c r="AC128" i="3"/>
  <c r="C336" i="33"/>
  <c r="C307" i="3"/>
  <c r="K131" i="3"/>
  <c r="M131" i="3" s="1"/>
  <c r="N131" i="3" s="1"/>
  <c r="AM126" i="3"/>
  <c r="AO126" i="3" s="1"/>
  <c r="AP90" i="3"/>
  <c r="AU131" i="3"/>
  <c r="AR167" i="3"/>
  <c r="AT167" i="3" s="1"/>
  <c r="AP131" i="3"/>
  <c r="AM167" i="3"/>
  <c r="AO167" i="3" s="1"/>
  <c r="AP96" i="3"/>
  <c r="AM132" i="3"/>
  <c r="AO132" i="3" s="1"/>
  <c r="C238" i="3"/>
  <c r="K226" i="3"/>
  <c r="M226" i="3" s="1"/>
  <c r="D263" i="3"/>
  <c r="K123" i="3"/>
  <c r="M123" i="3" s="1"/>
  <c r="N123" i="3" s="1"/>
  <c r="C226" i="33"/>
  <c r="C194" i="3"/>
  <c r="Z160" i="3"/>
  <c r="AB160" i="3" s="1"/>
  <c r="AC124" i="3"/>
  <c r="Z152" i="3"/>
  <c r="AB152" i="3" s="1"/>
  <c r="AC116" i="3"/>
  <c r="AM119" i="3"/>
  <c r="AO119" i="3" s="1"/>
  <c r="AP83" i="3"/>
  <c r="U194" i="3"/>
  <c r="W194" i="3" s="1"/>
  <c r="X158" i="3"/>
  <c r="K152" i="3"/>
  <c r="M152" i="3" s="1"/>
  <c r="N152" i="3" s="1"/>
  <c r="AP85" i="3"/>
  <c r="AM121" i="3"/>
  <c r="AO121" i="3" s="1"/>
  <c r="AR132" i="3"/>
  <c r="AT132" i="3" s="1"/>
  <c r="AU96" i="3"/>
  <c r="AU123" i="3"/>
  <c r="AR159" i="3"/>
  <c r="AT159" i="3" s="1"/>
  <c r="AP91" i="3"/>
  <c r="AM127" i="3"/>
  <c r="AO127" i="3" s="1"/>
  <c r="U121" i="3"/>
  <c r="W121" i="3" s="1"/>
  <c r="X85" i="3"/>
  <c r="Z166" i="3"/>
  <c r="AB166" i="3" s="1"/>
  <c r="AC130" i="3"/>
  <c r="AP92" i="3"/>
  <c r="AM128" i="3"/>
  <c r="AO128" i="3" s="1"/>
  <c r="AW83" i="3"/>
  <c r="AY83" i="3" s="1"/>
  <c r="AO81" i="3"/>
  <c r="AM101" i="3"/>
  <c r="AR125" i="3"/>
  <c r="AT125" i="3" s="1"/>
  <c r="AU89" i="3"/>
  <c r="AR130" i="3"/>
  <c r="AT130" i="3" s="1"/>
  <c r="AU94" i="3"/>
  <c r="AW87" i="3"/>
  <c r="AY87" i="3" s="1"/>
  <c r="F163" i="3"/>
  <c r="H163" i="3" s="1"/>
  <c r="AW91" i="3"/>
  <c r="AY91" i="3" s="1"/>
  <c r="G430" i="33"/>
  <c r="AR122" i="3"/>
  <c r="AT122" i="3" s="1"/>
  <c r="AU86" i="3"/>
  <c r="AR120" i="3"/>
  <c r="AT120" i="3" s="1"/>
  <c r="AU84" i="3"/>
  <c r="F157" i="3"/>
  <c r="H157" i="3" s="1"/>
  <c r="I121" i="3"/>
  <c r="X97" i="3"/>
  <c r="I84" i="3"/>
  <c r="F120" i="3"/>
  <c r="H120" i="3" s="1"/>
  <c r="AM136" i="3"/>
  <c r="AO136" i="3" s="1"/>
  <c r="AP100" i="3"/>
  <c r="C203" i="3"/>
  <c r="S203" i="3" s="1"/>
  <c r="C235" i="33"/>
  <c r="K125" i="3"/>
  <c r="M125" i="3" s="1"/>
  <c r="N125" i="3" s="1"/>
  <c r="AW81" i="3"/>
  <c r="AY81" i="3" s="1"/>
  <c r="AM194" i="3"/>
  <c r="AO194" i="3" s="1"/>
  <c r="AP158" i="3"/>
  <c r="K158" i="3"/>
  <c r="M158" i="3" s="1"/>
  <c r="N158" i="3" s="1"/>
  <c r="AR128" i="3"/>
  <c r="AT128" i="3" s="1"/>
  <c r="AU92" i="3"/>
  <c r="AW43" i="3"/>
  <c r="AZ9" i="3"/>
  <c r="AU91" i="3"/>
  <c r="AR127" i="3"/>
  <c r="AT127" i="3" s="1"/>
  <c r="I128" i="3"/>
  <c r="F164" i="3"/>
  <c r="H164" i="3" s="1"/>
  <c r="AB86" i="3"/>
  <c r="AM134" i="3"/>
  <c r="AO134" i="3" s="1"/>
  <c r="AP98" i="3"/>
  <c r="D125" i="33"/>
  <c r="F125" i="33" s="1"/>
  <c r="G125" i="33" s="1"/>
  <c r="K164" i="3"/>
  <c r="M164" i="3" s="1"/>
  <c r="N164" i="3" s="1"/>
  <c r="AW94" i="3"/>
  <c r="AY94" i="3" s="1"/>
  <c r="AW85" i="3"/>
  <c r="AY85" i="3" s="1"/>
  <c r="AW98" i="3"/>
  <c r="AY98" i="3" s="1"/>
  <c r="AB115" i="3"/>
  <c r="F136" i="3"/>
  <c r="H136" i="3" s="1"/>
  <c r="I100" i="3"/>
  <c r="AM125" i="3"/>
  <c r="AO125" i="3" s="1"/>
  <c r="AP89" i="3"/>
  <c r="AW84" i="3"/>
  <c r="AY84" i="3" s="1"/>
  <c r="F115" i="3"/>
  <c r="I79" i="3"/>
  <c r="E167" i="2"/>
  <c r="AP84" i="3"/>
  <c r="AM120" i="3"/>
  <c r="AO120" i="3" s="1"/>
  <c r="U163" i="3"/>
  <c r="W163" i="3" s="1"/>
  <c r="X127" i="3"/>
  <c r="AM118" i="3"/>
  <c r="AO118" i="3" s="1"/>
  <c r="AP82" i="3"/>
  <c r="AW125" i="3"/>
  <c r="AY125" i="3" s="1"/>
  <c r="AZ89" i="3"/>
  <c r="M79" i="3"/>
  <c r="N79" i="3" s="1"/>
  <c r="AZ44" i="3"/>
  <c r="AW80" i="3"/>
  <c r="AY80" i="3" s="1"/>
  <c r="AT79" i="3"/>
  <c r="AR101" i="3"/>
  <c r="AW92" i="3"/>
  <c r="AY92" i="3" s="1"/>
  <c r="C227" i="33"/>
  <c r="C195" i="3"/>
  <c r="AW100" i="3"/>
  <c r="AY100" i="3" s="1"/>
  <c r="U119" i="3"/>
  <c r="W119" i="3" s="1"/>
  <c r="X83" i="3"/>
  <c r="AW96" i="3"/>
  <c r="AY96" i="3" s="1"/>
  <c r="AR136" i="3"/>
  <c r="AT136" i="3" s="1"/>
  <c r="AU100" i="3"/>
  <c r="U101" i="3"/>
  <c r="AW90" i="3"/>
  <c r="AY90" i="3" s="1"/>
  <c r="U120" i="3"/>
  <c r="W120" i="3" s="1"/>
  <c r="X84" i="3"/>
  <c r="I87" i="3"/>
  <c r="F123" i="3"/>
  <c r="H123" i="3" s="1"/>
  <c r="AW95" i="3"/>
  <c r="AY95" i="3" s="1"/>
  <c r="U116" i="3"/>
  <c r="X80" i="3"/>
  <c r="W101" i="3"/>
  <c r="X101" i="3" s="1"/>
  <c r="AW88" i="3"/>
  <c r="AY88" i="3" s="1"/>
  <c r="U117" i="3"/>
  <c r="W117" i="3" s="1"/>
  <c r="X81" i="3"/>
  <c r="AW93" i="3"/>
  <c r="AY93" i="3" s="1"/>
  <c r="AW86" i="3"/>
  <c r="AY86" i="3" s="1"/>
  <c r="AW99" i="3"/>
  <c r="AY99" i="3" s="1"/>
  <c r="AR297" i="3"/>
  <c r="AT297" i="3" s="1"/>
  <c r="AI202" i="3"/>
  <c r="AK202" i="3" s="1"/>
  <c r="AL166" i="3"/>
  <c r="AI127" i="3"/>
  <c r="AK127" i="3" s="1"/>
  <c r="AL91" i="3"/>
  <c r="AI203" i="3"/>
  <c r="AK203" i="3" s="1"/>
  <c r="AL167" i="3"/>
  <c r="AE152" i="3"/>
  <c r="AG152" i="3" s="1"/>
  <c r="AH116" i="3"/>
  <c r="AL165" i="3"/>
  <c r="AI201" i="3"/>
  <c r="AK201" i="3" s="1"/>
  <c r="AI125" i="3"/>
  <c r="AK125" i="3" s="1"/>
  <c r="AL89" i="3"/>
  <c r="AI132" i="3"/>
  <c r="AK132" i="3" s="1"/>
  <c r="AL96" i="3"/>
  <c r="AE155" i="3"/>
  <c r="AG155" i="3" s="1"/>
  <c r="AH119" i="3"/>
  <c r="AG238" i="3"/>
  <c r="AH202" i="3"/>
  <c r="AI122" i="3"/>
  <c r="AK122" i="3" s="1"/>
  <c r="AL86" i="3"/>
  <c r="AE126" i="3"/>
  <c r="AG126" i="3" s="1"/>
  <c r="AH90" i="3"/>
  <c r="AL160" i="3"/>
  <c r="AI196" i="3"/>
  <c r="AK196" i="3" s="1"/>
  <c r="AL159" i="3"/>
  <c r="AI195" i="3"/>
  <c r="AK195" i="3" s="1"/>
  <c r="AE157" i="3"/>
  <c r="AG157" i="3" s="1"/>
  <c r="AH121" i="3"/>
  <c r="AE153" i="3"/>
  <c r="AG153" i="3" s="1"/>
  <c r="AH117" i="3"/>
  <c r="AE122" i="3"/>
  <c r="AG122" i="3" s="1"/>
  <c r="AH86" i="3"/>
  <c r="AE128" i="3"/>
  <c r="AG128" i="3" s="1"/>
  <c r="AH92" i="3"/>
  <c r="AE124" i="3"/>
  <c r="AG124" i="3" s="1"/>
  <c r="AH88" i="3"/>
  <c r="AG226" i="3"/>
  <c r="AK65" i="3"/>
  <c r="AL65" i="3" s="1"/>
  <c r="AI79" i="3"/>
  <c r="AL43" i="3"/>
  <c r="AI134" i="3"/>
  <c r="AK134" i="3" s="1"/>
  <c r="AL134" i="3" s="1"/>
  <c r="AL98" i="3"/>
  <c r="AL97" i="3"/>
  <c r="AI261" i="3"/>
  <c r="AK261" i="3" s="1"/>
  <c r="AE79" i="3"/>
  <c r="AG65" i="3"/>
  <c r="AH65" i="3" s="1"/>
  <c r="AH43" i="3"/>
  <c r="AI296" i="3"/>
  <c r="AK296" i="3" s="1"/>
  <c r="AE135" i="3"/>
  <c r="AG135" i="3" s="1"/>
  <c r="AH99" i="3"/>
  <c r="AI135" i="3"/>
  <c r="AK135" i="3" s="1"/>
  <c r="AL135" i="3" s="1"/>
  <c r="AL99" i="3"/>
  <c r="AE131" i="3"/>
  <c r="AG131" i="3" s="1"/>
  <c r="AH95" i="3"/>
  <c r="AH100" i="3"/>
  <c r="AE136" i="3"/>
  <c r="AG136" i="3" s="1"/>
  <c r="AE129" i="3"/>
  <c r="AG129" i="3" s="1"/>
  <c r="AH93" i="3"/>
  <c r="AE132" i="3"/>
  <c r="AG132" i="3" s="1"/>
  <c r="AH96" i="3"/>
  <c r="AK298" i="3"/>
  <c r="AI334" i="3" s="1"/>
  <c r="AK299" i="3"/>
  <c r="AI335" i="3" s="1"/>
  <c r="AL100" i="3"/>
  <c r="AI136" i="3"/>
  <c r="AK136" i="3" s="1"/>
  <c r="AH97" i="3"/>
  <c r="AI162" i="3"/>
  <c r="AK162" i="3" s="1"/>
  <c r="AL126" i="3"/>
  <c r="AE127" i="3"/>
  <c r="AG127" i="3" s="1"/>
  <c r="AH91" i="3"/>
  <c r="AE125" i="3"/>
  <c r="AG125" i="3" s="1"/>
  <c r="AH89" i="3"/>
  <c r="AH98" i="3"/>
  <c r="AE134" i="3"/>
  <c r="AG134" i="3" s="1"/>
  <c r="D432" i="33"/>
  <c r="H66" i="33"/>
  <c r="G128" i="33"/>
  <c r="D163" i="33"/>
  <c r="H157" i="33"/>
  <c r="J157" i="33" s="1"/>
  <c r="K122" i="33"/>
  <c r="K127" i="33"/>
  <c r="H162" i="33"/>
  <c r="J162" i="33" s="1"/>
  <c r="D153" i="33"/>
  <c r="G118" i="33"/>
  <c r="D156" i="33"/>
  <c r="G121" i="33"/>
  <c r="D161" i="33"/>
  <c r="F161" i="33" s="1"/>
  <c r="G126" i="33"/>
  <c r="K58" i="33"/>
  <c r="H93" i="33"/>
  <c r="J93" i="33" s="1"/>
  <c r="H431" i="33"/>
  <c r="J431" i="33" s="1"/>
  <c r="K430" i="33"/>
  <c r="D119" i="33"/>
  <c r="F119" i="33" s="1"/>
  <c r="G84" i="33"/>
  <c r="K123" i="33"/>
  <c r="H158" i="33"/>
  <c r="G124" i="33"/>
  <c r="D159" i="33"/>
  <c r="D127" i="33"/>
  <c r="F127" i="33" s="1"/>
  <c r="G92" i="33"/>
  <c r="H85" i="33"/>
  <c r="J85" i="33" s="1"/>
  <c r="K50" i="33"/>
  <c r="H152" i="33"/>
  <c r="J152" i="33" s="1"/>
  <c r="H187" i="33" s="1"/>
  <c r="J187" i="33" s="1"/>
  <c r="K117" i="33"/>
  <c r="H160" i="33"/>
  <c r="J160" i="33" s="1"/>
  <c r="H195" i="33" s="1"/>
  <c r="J195" i="33" s="1"/>
  <c r="K125" i="33"/>
  <c r="D151" i="33"/>
  <c r="F151" i="33" s="1"/>
  <c r="G116" i="33"/>
  <c r="D130" i="33"/>
  <c r="F130" i="33" s="1"/>
  <c r="G95" i="33"/>
  <c r="H165" i="33"/>
  <c r="K130" i="33"/>
  <c r="H154" i="33"/>
  <c r="J154" i="33" s="1"/>
  <c r="K119" i="33"/>
  <c r="D122" i="33"/>
  <c r="F122" i="33" s="1"/>
  <c r="G87" i="33"/>
  <c r="D152" i="33"/>
  <c r="F152" i="33" s="1"/>
  <c r="G117" i="33"/>
  <c r="D97" i="33"/>
  <c r="G62" i="33"/>
  <c r="G155" i="33"/>
  <c r="K164" i="33"/>
  <c r="H135" i="33"/>
  <c r="J135" i="33" s="1"/>
  <c r="K100" i="33"/>
  <c r="H97" i="33"/>
  <c r="K62" i="33"/>
  <c r="K153" i="33"/>
  <c r="K161" i="33"/>
  <c r="K159" i="33"/>
  <c r="D135" i="33"/>
  <c r="F135" i="33" s="1"/>
  <c r="G100" i="33"/>
  <c r="K156" i="33"/>
  <c r="D134" i="33"/>
  <c r="F134" i="33" s="1"/>
  <c r="G99" i="33"/>
  <c r="K151" i="33"/>
  <c r="D150" i="33"/>
  <c r="F150" i="33" s="1"/>
  <c r="G115" i="33"/>
  <c r="K80" i="33"/>
  <c r="H115" i="33"/>
  <c r="AB234" i="3"/>
  <c r="Z441" i="33" l="1"/>
  <c r="Z476" i="33"/>
  <c r="D137" i="3"/>
  <c r="S136" i="3"/>
  <c r="AB31" i="33"/>
  <c r="AB429" i="33" s="1"/>
  <c r="AB454" i="33"/>
  <c r="N130" i="3"/>
  <c r="K166" i="3"/>
  <c r="M166" i="3" s="1"/>
  <c r="N136" i="3"/>
  <c r="AB66" i="33"/>
  <c r="AB430" i="33" s="1"/>
  <c r="AB460" i="33"/>
  <c r="K153" i="3"/>
  <c r="M153" i="3" s="1"/>
  <c r="N153" i="3" s="1"/>
  <c r="D228" i="33"/>
  <c r="F228" i="33" s="1"/>
  <c r="K162" i="3"/>
  <c r="M162" i="3" s="1"/>
  <c r="N126" i="3"/>
  <c r="K156" i="3"/>
  <c r="M156" i="3" s="1"/>
  <c r="N156" i="3" s="1"/>
  <c r="N120" i="3"/>
  <c r="S270" i="3"/>
  <c r="S196" i="3"/>
  <c r="S223" i="3"/>
  <c r="S198" i="3"/>
  <c r="S188" i="3"/>
  <c r="S194" i="3"/>
  <c r="S190" i="3"/>
  <c r="N190" i="3"/>
  <c r="S230" i="3"/>
  <c r="S264" i="3"/>
  <c r="S229" i="3"/>
  <c r="S197" i="3"/>
  <c r="S234" i="3"/>
  <c r="AU261" i="3"/>
  <c r="S261" i="3"/>
  <c r="S340" i="3"/>
  <c r="S193" i="3"/>
  <c r="S195" i="3"/>
  <c r="S263" i="3"/>
  <c r="S267" i="3"/>
  <c r="F159" i="33"/>
  <c r="D194" i="33" s="1"/>
  <c r="F194" i="33" s="1"/>
  <c r="G194" i="33" s="1"/>
  <c r="F156" i="33"/>
  <c r="D191" i="33" s="1"/>
  <c r="F191" i="33" s="1"/>
  <c r="D226" i="33" s="1"/>
  <c r="F226" i="33" s="1"/>
  <c r="G226" i="33" s="1"/>
  <c r="F153" i="33"/>
  <c r="D188" i="33" s="1"/>
  <c r="F188" i="33" s="1"/>
  <c r="G188" i="33" s="1"/>
  <c r="F163" i="33"/>
  <c r="D198" i="33" s="1"/>
  <c r="F198" i="33" s="1"/>
  <c r="F166" i="33"/>
  <c r="D201" i="33" s="1"/>
  <c r="F201" i="33" s="1"/>
  <c r="G201" i="33" s="1"/>
  <c r="F164" i="33"/>
  <c r="D199" i="33" s="1"/>
  <c r="F199" i="33" s="1"/>
  <c r="AL136" i="3"/>
  <c r="D196" i="33"/>
  <c r="F196" i="33" s="1"/>
  <c r="AC97" i="3"/>
  <c r="Z133" i="3"/>
  <c r="AB133" i="3" s="1"/>
  <c r="AC133" i="3" s="1"/>
  <c r="AW97" i="3"/>
  <c r="AY97" i="3" s="1"/>
  <c r="AW133" i="3" s="1"/>
  <c r="AY133" i="3" s="1"/>
  <c r="AZ133" i="3" s="1"/>
  <c r="AZ61" i="3"/>
  <c r="AY31" i="3"/>
  <c r="AZ31" i="3" s="1"/>
  <c r="AW46" i="3"/>
  <c r="AY46" i="3" s="1"/>
  <c r="AZ46" i="3" s="1"/>
  <c r="I122" i="3"/>
  <c r="F167" i="3"/>
  <c r="H167" i="3" s="1"/>
  <c r="F155" i="3"/>
  <c r="H155" i="3" s="1"/>
  <c r="D420" i="2"/>
  <c r="K149" i="33"/>
  <c r="C420" i="2"/>
  <c r="C432" i="33" s="1"/>
  <c r="C238" i="33"/>
  <c r="C204" i="33"/>
  <c r="C207" i="3"/>
  <c r="S207" i="3" s="1"/>
  <c r="AL264" i="3"/>
  <c r="AL263" i="3"/>
  <c r="AL225" i="3"/>
  <c r="AL188" i="3"/>
  <c r="AL190" i="3"/>
  <c r="AC198" i="3"/>
  <c r="C137" i="3"/>
  <c r="G129" i="33"/>
  <c r="F432" i="33"/>
  <c r="D433" i="33" s="1"/>
  <c r="F433" i="33" s="1"/>
  <c r="D434" i="33" s="1"/>
  <c r="F434" i="33" s="1"/>
  <c r="F168" i="3"/>
  <c r="H168" i="3" s="1"/>
  <c r="I168" i="3" s="1"/>
  <c r="R97" i="3"/>
  <c r="S97" i="3" s="1"/>
  <c r="P101" i="3"/>
  <c r="H133" i="33"/>
  <c r="J133" i="33" s="1"/>
  <c r="K133" i="33" s="1"/>
  <c r="I132" i="3"/>
  <c r="F160" i="3"/>
  <c r="H160" i="3" s="1"/>
  <c r="I129" i="3"/>
  <c r="I116" i="3"/>
  <c r="I97" i="3"/>
  <c r="I130" i="3"/>
  <c r="I118" i="3"/>
  <c r="F154" i="3"/>
  <c r="H154" i="3" s="1"/>
  <c r="F162" i="3"/>
  <c r="H162" i="3" s="1"/>
  <c r="I126" i="3"/>
  <c r="I134" i="3"/>
  <c r="F170" i="3"/>
  <c r="H170" i="3" s="1"/>
  <c r="F117" i="3"/>
  <c r="H117" i="3" s="1"/>
  <c r="D149" i="33"/>
  <c r="F149" i="33" s="1"/>
  <c r="G149" i="33" s="1"/>
  <c r="G114" i="33"/>
  <c r="AC120" i="3"/>
  <c r="F166" i="3"/>
  <c r="H166" i="3" s="1"/>
  <c r="D236" i="33"/>
  <c r="G166" i="33"/>
  <c r="Z101" i="3"/>
  <c r="H101" i="3"/>
  <c r="H169" i="33"/>
  <c r="J169" i="33" s="1"/>
  <c r="H204" i="33" s="1"/>
  <c r="J204" i="33" s="1"/>
  <c r="AU121" i="3"/>
  <c r="F101" i="3"/>
  <c r="AC190" i="3"/>
  <c r="AR206" i="3"/>
  <c r="AT206" i="3" s="1"/>
  <c r="AR242" i="3" s="1"/>
  <c r="AT242" i="3" s="1"/>
  <c r="D242" i="3"/>
  <c r="S242" i="3" s="1"/>
  <c r="C229" i="3"/>
  <c r="C225" i="33"/>
  <c r="G225" i="33" s="1"/>
  <c r="AH159" i="3"/>
  <c r="K61" i="33"/>
  <c r="H96" i="33"/>
  <c r="H101" i="33" s="1"/>
  <c r="G63" i="33"/>
  <c r="D98" i="33"/>
  <c r="D101" i="33" s="1"/>
  <c r="C295" i="3"/>
  <c r="AH190" i="3"/>
  <c r="C226" i="3"/>
  <c r="C222" i="33"/>
  <c r="C230" i="33"/>
  <c r="C234" i="3"/>
  <c r="C229" i="33"/>
  <c r="K229" i="33" s="1"/>
  <c r="C233" i="3"/>
  <c r="D160" i="33"/>
  <c r="F160" i="33" s="1"/>
  <c r="K226" i="33"/>
  <c r="U197" i="3"/>
  <c r="W197" i="3" s="1"/>
  <c r="X197" i="3" s="1"/>
  <c r="K162" i="33"/>
  <c r="H197" i="33"/>
  <c r="J197" i="33" s="1"/>
  <c r="G228" i="33"/>
  <c r="D224" i="3"/>
  <c r="D277" i="3"/>
  <c r="C303" i="33"/>
  <c r="C268" i="33"/>
  <c r="C273" i="3"/>
  <c r="D223" i="33"/>
  <c r="F223" i="33" s="1"/>
  <c r="G223" i="33" s="1"/>
  <c r="H222" i="33"/>
  <c r="J222" i="33" s="1"/>
  <c r="K187" i="33"/>
  <c r="D234" i="33"/>
  <c r="F234" i="33" s="1"/>
  <c r="G234" i="33" s="1"/>
  <c r="G199" i="33"/>
  <c r="C291" i="33"/>
  <c r="C256" i="33"/>
  <c r="C261" i="3"/>
  <c r="D240" i="3"/>
  <c r="S240" i="3" s="1"/>
  <c r="G191" i="33"/>
  <c r="K221" i="33"/>
  <c r="K154" i="33"/>
  <c r="H189" i="33"/>
  <c r="J189" i="33" s="1"/>
  <c r="J184" i="33"/>
  <c r="K184" i="33" s="1"/>
  <c r="G198" i="33"/>
  <c r="D233" i="33"/>
  <c r="F233" i="33" s="1"/>
  <c r="G233" i="33" s="1"/>
  <c r="H230" i="33"/>
  <c r="J230" i="33" s="1"/>
  <c r="K195" i="33"/>
  <c r="G151" i="33"/>
  <c r="D186" i="33"/>
  <c r="F186" i="33" s="1"/>
  <c r="AR190" i="3"/>
  <c r="AT190" i="3" s="1"/>
  <c r="AR226" i="3" s="1"/>
  <c r="AT226" i="3" s="1"/>
  <c r="C254" i="33"/>
  <c r="D412" i="3"/>
  <c r="D376" i="3"/>
  <c r="D265" i="3"/>
  <c r="G152" i="33"/>
  <c r="D187" i="33"/>
  <c r="F187" i="33" s="1"/>
  <c r="G196" i="33"/>
  <c r="D231" i="33"/>
  <c r="F231" i="33" s="1"/>
  <c r="G231" i="33" s="1"/>
  <c r="K157" i="33"/>
  <c r="H192" i="33"/>
  <c r="J192" i="33" s="1"/>
  <c r="Z189" i="3"/>
  <c r="AB189" i="3" s="1"/>
  <c r="AC189" i="3" s="1"/>
  <c r="C259" i="3"/>
  <c r="I124" i="3"/>
  <c r="AI229" i="3"/>
  <c r="AK229" i="3" s="1"/>
  <c r="AL193" i="3"/>
  <c r="AP115" i="3"/>
  <c r="E331" i="3"/>
  <c r="F152" i="3"/>
  <c r="H152" i="3" s="1"/>
  <c r="F165" i="3"/>
  <c r="H165" i="3" s="1"/>
  <c r="AC206" i="3"/>
  <c r="Z242" i="3"/>
  <c r="AB242" i="3" s="1"/>
  <c r="AU207" i="3"/>
  <c r="AR243" i="3"/>
  <c r="AT243" i="3" s="1"/>
  <c r="AC167" i="3"/>
  <c r="AR162" i="3"/>
  <c r="AT162" i="3" s="1"/>
  <c r="AU126" i="3"/>
  <c r="AR201" i="3"/>
  <c r="AT201" i="3" s="1"/>
  <c r="AR237" i="3" s="1"/>
  <c r="AT237" i="3" s="1"/>
  <c r="X171" i="3"/>
  <c r="U207" i="3"/>
  <c r="W207" i="3" s="1"/>
  <c r="AC171" i="3"/>
  <c r="Z207" i="3"/>
  <c r="AB207" i="3" s="1"/>
  <c r="K206" i="3"/>
  <c r="M206" i="3" s="1"/>
  <c r="N206" i="3" s="1"/>
  <c r="AL200" i="3"/>
  <c r="K208" i="3"/>
  <c r="M208" i="3" s="1"/>
  <c r="X170" i="3"/>
  <c r="U206" i="3"/>
  <c r="W206" i="3" s="1"/>
  <c r="U208" i="3"/>
  <c r="W208" i="3" s="1"/>
  <c r="Z208" i="3"/>
  <c r="AB208" i="3" s="1"/>
  <c r="AP135" i="3"/>
  <c r="AM171" i="3"/>
  <c r="AO171" i="3" s="1"/>
  <c r="I135" i="3"/>
  <c r="F171" i="3"/>
  <c r="H171" i="3" s="1"/>
  <c r="AI171" i="3"/>
  <c r="AK171" i="3" s="1"/>
  <c r="I136" i="3"/>
  <c r="F172" i="3"/>
  <c r="H172" i="3" s="1"/>
  <c r="AI172" i="3"/>
  <c r="AK172" i="3" s="1"/>
  <c r="AE169" i="3"/>
  <c r="AG169" i="3" s="1"/>
  <c r="AH135" i="3"/>
  <c r="AE171" i="3"/>
  <c r="AG171" i="3" s="1"/>
  <c r="AI169" i="3"/>
  <c r="AK169" i="3" s="1"/>
  <c r="AP136" i="3"/>
  <c r="AM172" i="3"/>
  <c r="AO172" i="3" s="1"/>
  <c r="K169" i="3"/>
  <c r="M169" i="3" s="1"/>
  <c r="N169" i="3" s="1"/>
  <c r="W151" i="3"/>
  <c r="X151" i="3" s="1"/>
  <c r="AR169" i="3"/>
  <c r="AT169" i="3" s="1"/>
  <c r="AH134" i="3"/>
  <c r="AE170" i="3"/>
  <c r="AG170" i="3" s="1"/>
  <c r="AH136" i="3"/>
  <c r="AE172" i="3"/>
  <c r="AG172" i="3" s="1"/>
  <c r="AP134" i="3"/>
  <c r="AM170" i="3"/>
  <c r="AO170" i="3" s="1"/>
  <c r="AM169" i="3"/>
  <c r="AO169" i="3" s="1"/>
  <c r="AI170" i="3"/>
  <c r="AK170" i="3" s="1"/>
  <c r="AU136" i="3"/>
  <c r="AR172" i="3"/>
  <c r="AT172" i="3" s="1"/>
  <c r="U169" i="3"/>
  <c r="W169" i="3" s="1"/>
  <c r="AE192" i="3"/>
  <c r="AG192" i="3" s="1"/>
  <c r="AE228" i="3" s="1"/>
  <c r="AH156" i="3"/>
  <c r="E296" i="3"/>
  <c r="E317" i="3" s="1"/>
  <c r="X159" i="3"/>
  <c r="AC157" i="3"/>
  <c r="X124" i="3"/>
  <c r="E201" i="2"/>
  <c r="D297" i="3"/>
  <c r="X167" i="3"/>
  <c r="Z191" i="3"/>
  <c r="AB191" i="3" s="1"/>
  <c r="AC155" i="3"/>
  <c r="C224" i="3"/>
  <c r="K101" i="3"/>
  <c r="D226" i="3"/>
  <c r="C240" i="3"/>
  <c r="C271" i="33"/>
  <c r="C232" i="3"/>
  <c r="K227" i="3"/>
  <c r="M227" i="3" s="1"/>
  <c r="N227" i="3" s="1"/>
  <c r="D300" i="3"/>
  <c r="F197" i="3"/>
  <c r="H197" i="3" s="1"/>
  <c r="I161" i="3"/>
  <c r="D308" i="3"/>
  <c r="S308" i="3" s="1"/>
  <c r="D306" i="3"/>
  <c r="C337" i="33"/>
  <c r="C308" i="3"/>
  <c r="AC193" i="3"/>
  <c r="Z229" i="3"/>
  <c r="AB229" i="3" s="1"/>
  <c r="U165" i="3"/>
  <c r="W165" i="3" s="1"/>
  <c r="X129" i="3"/>
  <c r="C328" i="33"/>
  <c r="C299" i="3"/>
  <c r="AR152" i="3"/>
  <c r="AT152" i="3" s="1"/>
  <c r="AU116" i="3"/>
  <c r="Z165" i="3"/>
  <c r="AB165" i="3" s="1"/>
  <c r="AC129" i="3"/>
  <c r="Z197" i="3"/>
  <c r="AB197" i="3" s="1"/>
  <c r="AC161" i="3"/>
  <c r="AM166" i="3"/>
  <c r="AO166" i="3" s="1"/>
  <c r="AP130" i="3"/>
  <c r="K193" i="3"/>
  <c r="M193" i="3" s="1"/>
  <c r="N193" i="3" s="1"/>
  <c r="C329" i="33"/>
  <c r="C300" i="3"/>
  <c r="AU155" i="3"/>
  <c r="AR191" i="3"/>
  <c r="AT191" i="3" s="1"/>
  <c r="D303" i="3"/>
  <c r="AP123" i="3"/>
  <c r="AM159" i="3"/>
  <c r="AO159" i="3" s="1"/>
  <c r="D310" i="3"/>
  <c r="S310" i="3" s="1"/>
  <c r="K135" i="3"/>
  <c r="M135" i="3" s="1"/>
  <c r="N135" i="3" s="1"/>
  <c r="K199" i="3"/>
  <c r="M199" i="3" s="1"/>
  <c r="N199" i="3" s="1"/>
  <c r="Z262" i="3"/>
  <c r="AB262" i="3" s="1"/>
  <c r="K160" i="3"/>
  <c r="M160" i="3" s="1"/>
  <c r="N160" i="3" s="1"/>
  <c r="D309" i="3"/>
  <c r="S309" i="3" s="1"/>
  <c r="D347" i="3"/>
  <c r="S347" i="3" s="1"/>
  <c r="Z159" i="3"/>
  <c r="AB159" i="3" s="1"/>
  <c r="AC123" i="3"/>
  <c r="AP124" i="3"/>
  <c r="AM160" i="3"/>
  <c r="AO160" i="3" s="1"/>
  <c r="K201" i="3"/>
  <c r="M201" i="3" s="1"/>
  <c r="N201" i="3" s="1"/>
  <c r="U157" i="3"/>
  <c r="W157" i="3" s="1"/>
  <c r="X121" i="3"/>
  <c r="AR168" i="3"/>
  <c r="AT168" i="3" s="1"/>
  <c r="AU132" i="3"/>
  <c r="AP119" i="3"/>
  <c r="AM155" i="3"/>
  <c r="AO155" i="3" s="1"/>
  <c r="C230" i="3"/>
  <c r="AC156" i="3"/>
  <c r="Z192" i="3"/>
  <c r="AB192" i="3" s="1"/>
  <c r="C304" i="33"/>
  <c r="C274" i="3"/>
  <c r="C269" i="33"/>
  <c r="D259" i="3"/>
  <c r="U190" i="3"/>
  <c r="W190" i="3" s="1"/>
  <c r="X154" i="3"/>
  <c r="AP127" i="3"/>
  <c r="AM163" i="3"/>
  <c r="AO163" i="3" s="1"/>
  <c r="AM157" i="3"/>
  <c r="AO157" i="3" s="1"/>
  <c r="AP121" i="3"/>
  <c r="AP132" i="3"/>
  <c r="AM168" i="3"/>
  <c r="AO168" i="3" s="1"/>
  <c r="AM162" i="3"/>
  <c r="AO162" i="3" s="1"/>
  <c r="AP126" i="3"/>
  <c r="C343" i="3"/>
  <c r="Z204" i="3"/>
  <c r="AB204" i="3" s="1"/>
  <c r="AC168" i="3"/>
  <c r="Z188" i="3"/>
  <c r="AB188" i="3" s="1"/>
  <c r="AC152" i="3"/>
  <c r="K159" i="3"/>
  <c r="M159" i="3" s="1"/>
  <c r="N159" i="3" s="1"/>
  <c r="D299" i="3"/>
  <c r="AM165" i="3"/>
  <c r="AO165" i="3" s="1"/>
  <c r="AP129" i="3"/>
  <c r="U202" i="3"/>
  <c r="W202" i="3" s="1"/>
  <c r="X166" i="3"/>
  <c r="K204" i="3"/>
  <c r="M204" i="3" s="1"/>
  <c r="N204" i="3" s="1"/>
  <c r="AP116" i="3"/>
  <c r="AM152" i="3"/>
  <c r="AO152" i="3" s="1"/>
  <c r="AR195" i="3"/>
  <c r="AT195" i="3" s="1"/>
  <c r="AU159" i="3"/>
  <c r="K188" i="3"/>
  <c r="M188" i="3" s="1"/>
  <c r="N188" i="3" s="1"/>
  <c r="K167" i="3"/>
  <c r="M167" i="3" s="1"/>
  <c r="N167" i="3" s="1"/>
  <c r="Z200" i="3"/>
  <c r="AB200" i="3" s="1"/>
  <c r="AC164" i="3"/>
  <c r="U198" i="3"/>
  <c r="W198" i="3" s="1"/>
  <c r="X162" i="3"/>
  <c r="Z196" i="3"/>
  <c r="AB196" i="3" s="1"/>
  <c r="AC160" i="3"/>
  <c r="U196" i="3"/>
  <c r="W196" i="3" s="1"/>
  <c r="X160" i="3"/>
  <c r="AM203" i="3"/>
  <c r="AO203" i="3" s="1"/>
  <c r="AP167" i="3"/>
  <c r="U204" i="3"/>
  <c r="W204" i="3" s="1"/>
  <c r="X168" i="3"/>
  <c r="D307" i="3"/>
  <c r="S307" i="3" s="1"/>
  <c r="D266" i="3"/>
  <c r="Z163" i="3"/>
  <c r="AB163" i="3" s="1"/>
  <c r="AC127" i="3"/>
  <c r="AU196" i="3"/>
  <c r="AR232" i="3"/>
  <c r="AT232" i="3" s="1"/>
  <c r="Z202" i="3"/>
  <c r="AB202" i="3" s="1"/>
  <c r="AC166" i="3"/>
  <c r="U230" i="3"/>
  <c r="W230" i="3" s="1"/>
  <c r="X194" i="3"/>
  <c r="K192" i="3"/>
  <c r="M192" i="3" s="1"/>
  <c r="N192" i="3" s="1"/>
  <c r="K262" i="3"/>
  <c r="M262" i="3" s="1"/>
  <c r="AR203" i="3"/>
  <c r="AT203" i="3" s="1"/>
  <c r="AU167" i="3"/>
  <c r="U236" i="3"/>
  <c r="W236" i="3" s="1"/>
  <c r="X200" i="3"/>
  <c r="U156" i="3"/>
  <c r="W156" i="3" s="1"/>
  <c r="X120" i="3"/>
  <c r="C231" i="3"/>
  <c r="AZ80" i="3"/>
  <c r="AW116" i="3"/>
  <c r="AY116" i="3" s="1"/>
  <c r="H115" i="3"/>
  <c r="Z151" i="3"/>
  <c r="AC115" i="3"/>
  <c r="K200" i="3"/>
  <c r="M200" i="3" s="1"/>
  <c r="N200" i="3" s="1"/>
  <c r="AU127" i="3"/>
  <c r="AR163" i="3"/>
  <c r="AT163" i="3" s="1"/>
  <c r="AU128" i="3"/>
  <c r="AR164" i="3"/>
  <c r="AT164" i="3" s="1"/>
  <c r="AU157" i="3"/>
  <c r="AR193" i="3"/>
  <c r="AT193" i="3" s="1"/>
  <c r="AU120" i="3"/>
  <c r="AR156" i="3"/>
  <c r="AT156" i="3" s="1"/>
  <c r="AO151" i="3"/>
  <c r="I120" i="3"/>
  <c r="F156" i="3"/>
  <c r="H156" i="3" s="1"/>
  <c r="AW131" i="3"/>
  <c r="AY131" i="3" s="1"/>
  <c r="AZ95" i="3"/>
  <c r="I155" i="3"/>
  <c r="F191" i="3"/>
  <c r="H191" i="3" s="1"/>
  <c r="U155" i="3"/>
  <c r="W155" i="3" s="1"/>
  <c r="X119" i="3"/>
  <c r="U199" i="3"/>
  <c r="W199" i="3" s="1"/>
  <c r="X163" i="3"/>
  <c r="K161" i="3"/>
  <c r="M161" i="3" s="1"/>
  <c r="N161" i="3" s="1"/>
  <c r="F199" i="3"/>
  <c r="H199" i="3" s="1"/>
  <c r="I163" i="3"/>
  <c r="AP118" i="3"/>
  <c r="AM154" i="3"/>
  <c r="AO154" i="3" s="1"/>
  <c r="AZ81" i="3"/>
  <c r="AW117" i="3"/>
  <c r="AY117" i="3" s="1"/>
  <c r="AW136" i="3"/>
  <c r="AY136" i="3" s="1"/>
  <c r="AZ100" i="3"/>
  <c r="AZ84" i="3"/>
  <c r="AW120" i="3"/>
  <c r="AY120" i="3" s="1"/>
  <c r="K194" i="3"/>
  <c r="M194" i="3" s="1"/>
  <c r="N194" i="3" s="1"/>
  <c r="AR158" i="3"/>
  <c r="AT158" i="3" s="1"/>
  <c r="AU122" i="3"/>
  <c r="AZ87" i="3"/>
  <c r="AW123" i="3"/>
  <c r="AY123" i="3" s="1"/>
  <c r="AW119" i="3"/>
  <c r="AY119" i="3" s="1"/>
  <c r="AZ83" i="3"/>
  <c r="AW122" i="3"/>
  <c r="AY122" i="3" s="1"/>
  <c r="AZ86" i="3"/>
  <c r="AZ97" i="3"/>
  <c r="AZ88" i="3"/>
  <c r="AW124" i="3"/>
  <c r="AY124" i="3" s="1"/>
  <c r="F159" i="3"/>
  <c r="H159" i="3" s="1"/>
  <c r="I123" i="3"/>
  <c r="M101" i="3"/>
  <c r="N101" i="3" s="1"/>
  <c r="K115" i="3"/>
  <c r="AW134" i="3"/>
  <c r="AY134" i="3" s="1"/>
  <c r="AZ98" i="3"/>
  <c r="Z122" i="3"/>
  <c r="AC86" i="3"/>
  <c r="AB101" i="3"/>
  <c r="AC101" i="3" s="1"/>
  <c r="U153" i="3"/>
  <c r="W153" i="3" s="1"/>
  <c r="X117" i="3"/>
  <c r="AW132" i="3"/>
  <c r="AY132" i="3" s="1"/>
  <c r="AZ96" i="3"/>
  <c r="F194" i="3"/>
  <c r="H194" i="3" s="1"/>
  <c r="I158" i="3"/>
  <c r="AZ92" i="3"/>
  <c r="AW128" i="3"/>
  <c r="AY128" i="3" s="1"/>
  <c r="AM156" i="3"/>
  <c r="AO156" i="3" s="1"/>
  <c r="AP120" i="3"/>
  <c r="F200" i="3"/>
  <c r="H200" i="3" s="1"/>
  <c r="I164" i="3"/>
  <c r="AY43" i="3"/>
  <c r="AW65" i="3"/>
  <c r="AM230" i="3"/>
  <c r="AO230" i="3" s="1"/>
  <c r="AP194" i="3"/>
  <c r="AR161" i="3"/>
  <c r="AT161" i="3" s="1"/>
  <c r="AU125" i="3"/>
  <c r="AW129" i="3"/>
  <c r="AY129" i="3" s="1"/>
  <c r="AZ93" i="3"/>
  <c r="X195" i="3"/>
  <c r="AZ125" i="3"/>
  <c r="AW161" i="3"/>
  <c r="AY161" i="3" s="1"/>
  <c r="AM161" i="3"/>
  <c r="AO161" i="3" s="1"/>
  <c r="AP125" i="3"/>
  <c r="AZ85" i="3"/>
  <c r="AW121" i="3"/>
  <c r="AY121" i="3" s="1"/>
  <c r="C270" i="33"/>
  <c r="C239" i="3"/>
  <c r="AU130" i="3"/>
  <c r="AR166" i="3"/>
  <c r="AT166" i="3" s="1"/>
  <c r="AP128" i="3"/>
  <c r="AM164" i="3"/>
  <c r="AO164" i="3" s="1"/>
  <c r="AW126" i="3"/>
  <c r="AY126" i="3" s="1"/>
  <c r="AZ90" i="3"/>
  <c r="AU79" i="3"/>
  <c r="AR115" i="3"/>
  <c r="AT101" i="3"/>
  <c r="AU101" i="3" s="1"/>
  <c r="AW135" i="3"/>
  <c r="AY135" i="3" s="1"/>
  <c r="AZ99" i="3"/>
  <c r="W116" i="3"/>
  <c r="U137" i="3"/>
  <c r="AW130" i="3"/>
  <c r="AY130" i="3" s="1"/>
  <c r="AZ94" i="3"/>
  <c r="F203" i="3"/>
  <c r="H203" i="3" s="1"/>
  <c r="I167" i="3"/>
  <c r="AC203" i="3"/>
  <c r="X203" i="3"/>
  <c r="I157" i="3"/>
  <c r="F193" i="3"/>
  <c r="H193" i="3" s="1"/>
  <c r="AZ91" i="3"/>
  <c r="AW127" i="3"/>
  <c r="AY127" i="3" s="1"/>
  <c r="AM117" i="3"/>
  <c r="AP81" i="3"/>
  <c r="AO101" i="3"/>
  <c r="AP101" i="3" s="1"/>
  <c r="Z347" i="3"/>
  <c r="AB347" i="3" s="1"/>
  <c r="U347" i="3"/>
  <c r="W347" i="3" s="1"/>
  <c r="AR333" i="3"/>
  <c r="AT333" i="3" s="1"/>
  <c r="U303" i="3"/>
  <c r="W303" i="3" s="1"/>
  <c r="AE188" i="3"/>
  <c r="AG188" i="3" s="1"/>
  <c r="AE224" i="3" s="1"/>
  <c r="AH152" i="3"/>
  <c r="AI239" i="3"/>
  <c r="AK239" i="3" s="1"/>
  <c r="AL203" i="3"/>
  <c r="AI163" i="3"/>
  <c r="AK163" i="3" s="1"/>
  <c r="AL127" i="3"/>
  <c r="AL201" i="3"/>
  <c r="AI237" i="3"/>
  <c r="AK237" i="3" s="1"/>
  <c r="AI238" i="3"/>
  <c r="AK238" i="3" s="1"/>
  <c r="AL202" i="3"/>
  <c r="AI272" i="3"/>
  <c r="AK272" i="3" s="1"/>
  <c r="AI308" i="3" s="1"/>
  <c r="AL236" i="3"/>
  <c r="AE162" i="3"/>
  <c r="AG162" i="3" s="1"/>
  <c r="AH126" i="3"/>
  <c r="AE191" i="3"/>
  <c r="AG191" i="3" s="1"/>
  <c r="AE227" i="3" s="1"/>
  <c r="AH155" i="3"/>
  <c r="AI231" i="3"/>
  <c r="AK231" i="3" s="1"/>
  <c r="AL195" i="3"/>
  <c r="AE262" i="3"/>
  <c r="AG262" i="3" s="1"/>
  <c r="AE158" i="3"/>
  <c r="AG158" i="3" s="1"/>
  <c r="AH122" i="3"/>
  <c r="AI158" i="3"/>
  <c r="AK158" i="3" s="1"/>
  <c r="AL122" i="3"/>
  <c r="AI168" i="3"/>
  <c r="AK168" i="3" s="1"/>
  <c r="AL132" i="3"/>
  <c r="AL196" i="3"/>
  <c r="AI232" i="3"/>
  <c r="AK232" i="3" s="1"/>
  <c r="AE160" i="3"/>
  <c r="AG160" i="3" s="1"/>
  <c r="AH124" i="3"/>
  <c r="AE189" i="3"/>
  <c r="AG189" i="3" s="1"/>
  <c r="AE225" i="3" s="1"/>
  <c r="AH153" i="3"/>
  <c r="AE274" i="3"/>
  <c r="AG274" i="3" s="1"/>
  <c r="AH238" i="3"/>
  <c r="AE164" i="3"/>
  <c r="AG164" i="3" s="1"/>
  <c r="AH128" i="3"/>
  <c r="AE193" i="3"/>
  <c r="AG193" i="3" s="1"/>
  <c r="AE229" i="3" s="1"/>
  <c r="AH157" i="3"/>
  <c r="AI161" i="3"/>
  <c r="AK161" i="3" s="1"/>
  <c r="AL125" i="3"/>
  <c r="AI332" i="3"/>
  <c r="AK332" i="3" s="1"/>
  <c r="AE161" i="3"/>
  <c r="AG161" i="3" s="1"/>
  <c r="AH125" i="3"/>
  <c r="AE168" i="3"/>
  <c r="AG168" i="3" s="1"/>
  <c r="AH132" i="3"/>
  <c r="AE167" i="3"/>
  <c r="AG167" i="3" s="1"/>
  <c r="AH131" i="3"/>
  <c r="AL162" i="3"/>
  <c r="AI198" i="3"/>
  <c r="AK198" i="3" s="1"/>
  <c r="AK335" i="3"/>
  <c r="AE101" i="3"/>
  <c r="AG79" i="3"/>
  <c r="AE163" i="3"/>
  <c r="AG163" i="3" s="1"/>
  <c r="AH127" i="3"/>
  <c r="AG231" i="3"/>
  <c r="AH195" i="3"/>
  <c r="AE165" i="3"/>
  <c r="AG165" i="3" s="1"/>
  <c r="AH129" i="3"/>
  <c r="AI297" i="3"/>
  <c r="AK297" i="3" s="1"/>
  <c r="AK79" i="3"/>
  <c r="AI101" i="3"/>
  <c r="AK334" i="3"/>
  <c r="AI372" i="3"/>
  <c r="AK372" i="3" s="1"/>
  <c r="G161" i="33"/>
  <c r="G163" i="33"/>
  <c r="K152" i="33"/>
  <c r="H168" i="33"/>
  <c r="J168" i="33" s="1"/>
  <c r="H203" i="33" s="1"/>
  <c r="J203" i="33" s="1"/>
  <c r="K135" i="33"/>
  <c r="H170" i="33"/>
  <c r="J170" i="33" s="1"/>
  <c r="H205" i="33" s="1"/>
  <c r="J205" i="33" s="1"/>
  <c r="G134" i="33"/>
  <c r="D169" i="33"/>
  <c r="G135" i="33"/>
  <c r="D170" i="33"/>
  <c r="G164" i="33"/>
  <c r="G156" i="33"/>
  <c r="D154" i="33"/>
  <c r="G119" i="33"/>
  <c r="K431" i="33"/>
  <c r="H432" i="33"/>
  <c r="J432" i="33" s="1"/>
  <c r="J165" i="33"/>
  <c r="H200" i="33" s="1"/>
  <c r="J200" i="33" s="1"/>
  <c r="H128" i="33"/>
  <c r="J128" i="33" s="1"/>
  <c r="K93" i="33"/>
  <c r="G127" i="33"/>
  <c r="D162" i="33"/>
  <c r="D165" i="33"/>
  <c r="G130" i="33"/>
  <c r="J158" i="33"/>
  <c r="H193" i="33" s="1"/>
  <c r="J193" i="33" s="1"/>
  <c r="H120" i="33"/>
  <c r="J120" i="33" s="1"/>
  <c r="K85" i="33"/>
  <c r="K160" i="33"/>
  <c r="D157" i="33"/>
  <c r="G122" i="33"/>
  <c r="J115" i="33"/>
  <c r="J97" i="33"/>
  <c r="D185" i="33"/>
  <c r="F185" i="33" s="1"/>
  <c r="F97" i="33"/>
  <c r="Z270" i="3"/>
  <c r="K189" i="3" l="1"/>
  <c r="M189" i="3" s="1"/>
  <c r="N189" i="3" s="1"/>
  <c r="G153" i="33"/>
  <c r="N166" i="3"/>
  <c r="K202" i="3"/>
  <c r="M202" i="3" s="1"/>
  <c r="AB476" i="33"/>
  <c r="AB441" i="33"/>
  <c r="K198" i="3"/>
  <c r="M198" i="3" s="1"/>
  <c r="N162" i="3"/>
  <c r="G159" i="33"/>
  <c r="D229" i="33"/>
  <c r="F229" i="33" s="1"/>
  <c r="S300" i="3"/>
  <c r="S224" i="3"/>
  <c r="S299" i="3"/>
  <c r="S265" i="3"/>
  <c r="S266" i="3"/>
  <c r="S259" i="3"/>
  <c r="AU297" i="3"/>
  <c r="S297" i="3"/>
  <c r="S376" i="3"/>
  <c r="S306" i="3"/>
  <c r="S412" i="3"/>
  <c r="N226" i="3"/>
  <c r="S226" i="3"/>
  <c r="S303" i="3"/>
  <c r="F236" i="33"/>
  <c r="F157" i="33"/>
  <c r="D192" i="33" s="1"/>
  <c r="F192" i="33" s="1"/>
  <c r="F165" i="33"/>
  <c r="D200" i="33" s="1"/>
  <c r="F200" i="33" s="1"/>
  <c r="F162" i="33"/>
  <c r="D197" i="33" s="1"/>
  <c r="F197" i="33" s="1"/>
  <c r="F154" i="33"/>
  <c r="D189" i="33" s="1"/>
  <c r="F189" i="33" s="1"/>
  <c r="G189" i="33" s="1"/>
  <c r="F170" i="33"/>
  <c r="D205" i="33" s="1"/>
  <c r="F205" i="33" s="1"/>
  <c r="F169" i="33"/>
  <c r="D204" i="33" s="1"/>
  <c r="F204" i="33" s="1"/>
  <c r="D195" i="33"/>
  <c r="F195" i="33" s="1"/>
  <c r="D230" i="33" s="1"/>
  <c r="F230" i="33" s="1"/>
  <c r="P133" i="3"/>
  <c r="R133" i="3" s="1"/>
  <c r="S133" i="3" s="1"/>
  <c r="AW82" i="3"/>
  <c r="AY82" i="3" s="1"/>
  <c r="F204" i="3"/>
  <c r="H204" i="3" s="1"/>
  <c r="C242" i="3"/>
  <c r="D172" i="3"/>
  <c r="D167" i="2"/>
  <c r="D421" i="2" s="1"/>
  <c r="Z169" i="3"/>
  <c r="AB169" i="3" s="1"/>
  <c r="AC169" i="3" s="1"/>
  <c r="D184" i="33"/>
  <c r="E420" i="2"/>
  <c r="K204" i="33"/>
  <c r="D243" i="3"/>
  <c r="S243" i="3" s="1"/>
  <c r="G432" i="33"/>
  <c r="C172" i="3"/>
  <c r="C170" i="33"/>
  <c r="C171" i="33" s="1"/>
  <c r="C167" i="2"/>
  <c r="C421" i="2" s="1"/>
  <c r="AL300" i="3"/>
  <c r="AL299" i="3"/>
  <c r="AL261" i="3"/>
  <c r="AL226" i="3"/>
  <c r="AL224" i="3"/>
  <c r="D208" i="3"/>
  <c r="D209" i="3" s="1"/>
  <c r="D201" i="2"/>
  <c r="I160" i="3"/>
  <c r="F196" i="3"/>
  <c r="H196" i="3" s="1"/>
  <c r="I196" i="3" s="1"/>
  <c r="R101" i="3"/>
  <c r="S101" i="3" s="1"/>
  <c r="I193" i="3"/>
  <c r="I203" i="3"/>
  <c r="I200" i="3"/>
  <c r="I194" i="3"/>
  <c r="I204" i="3"/>
  <c r="I199" i="3"/>
  <c r="I191" i="3"/>
  <c r="I197" i="3"/>
  <c r="I165" i="3"/>
  <c r="F188" i="3"/>
  <c r="H188" i="3" s="1"/>
  <c r="F224" i="3" s="1"/>
  <c r="H224" i="3" s="1"/>
  <c r="I101" i="3"/>
  <c r="I166" i="3"/>
  <c r="F153" i="3"/>
  <c r="H153" i="3" s="1"/>
  <c r="I117" i="3"/>
  <c r="I170" i="3"/>
  <c r="F206" i="3"/>
  <c r="H206" i="3" s="1"/>
  <c r="F198" i="3"/>
  <c r="H198" i="3" s="1"/>
  <c r="I162" i="3"/>
  <c r="I154" i="3"/>
  <c r="F190" i="3"/>
  <c r="H190" i="3" s="1"/>
  <c r="F202" i="3"/>
  <c r="H202" i="3" s="1"/>
  <c r="F238" i="3" s="1"/>
  <c r="H238" i="3" s="1"/>
  <c r="H239" i="33"/>
  <c r="J239" i="33" s="1"/>
  <c r="H274" i="33" s="1"/>
  <c r="J274" i="33" s="1"/>
  <c r="K169" i="33"/>
  <c r="AC226" i="3"/>
  <c r="AC234" i="3"/>
  <c r="AU206" i="3"/>
  <c r="F137" i="3"/>
  <c r="F169" i="3"/>
  <c r="H169" i="3" s="1"/>
  <c r="C289" i="33"/>
  <c r="C331" i="3"/>
  <c r="AH226" i="3"/>
  <c r="C265" i="3"/>
  <c r="C260" i="33"/>
  <c r="C295" i="33"/>
  <c r="AU190" i="3"/>
  <c r="J96" i="33"/>
  <c r="J101" i="33" s="1"/>
  <c r="K101" i="33" s="1"/>
  <c r="F98" i="33"/>
  <c r="F101" i="33" s="1"/>
  <c r="G101" i="33" s="1"/>
  <c r="K230" i="33"/>
  <c r="G230" i="33"/>
  <c r="U187" i="3"/>
  <c r="W187" i="3" s="1"/>
  <c r="U223" i="3" s="1"/>
  <c r="U233" i="3"/>
  <c r="W233" i="3" s="1"/>
  <c r="U269" i="3" s="1"/>
  <c r="W269" i="3" s="1"/>
  <c r="G229" i="33"/>
  <c r="K222" i="33"/>
  <c r="C299" i="33"/>
  <c r="C264" i="33"/>
  <c r="C269" i="3"/>
  <c r="C300" i="33"/>
  <c r="C265" i="33"/>
  <c r="C270" i="3"/>
  <c r="C257" i="33"/>
  <c r="C262" i="3"/>
  <c r="C292" i="33"/>
  <c r="G160" i="33"/>
  <c r="Z225" i="3"/>
  <c r="AB225" i="3" s="1"/>
  <c r="Z261" i="3" s="1"/>
  <c r="AB261" i="3" s="1"/>
  <c r="I152" i="3"/>
  <c r="F201" i="3"/>
  <c r="H201" i="3" s="1"/>
  <c r="G200" i="33"/>
  <c r="D235" i="33"/>
  <c r="F235" i="33" s="1"/>
  <c r="G197" i="33"/>
  <c r="D232" i="33"/>
  <c r="F232" i="33" s="1"/>
  <c r="G232" i="33" s="1"/>
  <c r="D276" i="3"/>
  <c r="S276" i="3" s="1"/>
  <c r="C338" i="33"/>
  <c r="C309" i="3"/>
  <c r="D260" i="3"/>
  <c r="K197" i="33"/>
  <c r="H232" i="33"/>
  <c r="J232" i="33" s="1"/>
  <c r="K232" i="33" s="1"/>
  <c r="G192" i="33"/>
  <c r="D227" i="33"/>
  <c r="F227" i="33" s="1"/>
  <c r="G227" i="33" s="1"/>
  <c r="D240" i="33"/>
  <c r="F240" i="33" s="1"/>
  <c r="D275" i="33" s="1"/>
  <c r="F275" i="33" s="1"/>
  <c r="D222" i="33"/>
  <c r="F222" i="33" s="1"/>
  <c r="G222" i="33" s="1"/>
  <c r="G187" i="33"/>
  <c r="H219" i="33"/>
  <c r="G185" i="33"/>
  <c r="D220" i="33"/>
  <c r="F220" i="33" s="1"/>
  <c r="G220" i="33" s="1"/>
  <c r="K189" i="33"/>
  <c r="H224" i="33"/>
  <c r="J224" i="33" s="1"/>
  <c r="K224" i="33" s="1"/>
  <c r="G204" i="33"/>
  <c r="D239" i="33"/>
  <c r="F239" i="33" s="1"/>
  <c r="D274" i="33" s="1"/>
  <c r="F274" i="33" s="1"/>
  <c r="H238" i="33"/>
  <c r="J238" i="33" s="1"/>
  <c r="H273" i="33" s="1"/>
  <c r="J273" i="33" s="1"/>
  <c r="K203" i="33"/>
  <c r="K200" i="33"/>
  <c r="H235" i="33"/>
  <c r="J235" i="33" s="1"/>
  <c r="F184" i="33"/>
  <c r="D301" i="3"/>
  <c r="G186" i="33"/>
  <c r="D221" i="33"/>
  <c r="F221" i="33" s="1"/>
  <c r="G221" i="33" s="1"/>
  <c r="C326" i="33"/>
  <c r="C297" i="3"/>
  <c r="K193" i="33"/>
  <c r="H228" i="33"/>
  <c r="J228" i="33" s="1"/>
  <c r="K228" i="33" s="1"/>
  <c r="H240" i="33"/>
  <c r="J240" i="33" s="1"/>
  <c r="H275" i="33" s="1"/>
  <c r="J275" i="33" s="1"/>
  <c r="K192" i="33"/>
  <c r="H227" i="33"/>
  <c r="J227" i="33" s="1"/>
  <c r="K227" i="33" s="1"/>
  <c r="AI265" i="3"/>
  <c r="AK265" i="3" s="1"/>
  <c r="AI301" i="3" s="1"/>
  <c r="AL229" i="3"/>
  <c r="E367" i="3"/>
  <c r="AU201" i="3"/>
  <c r="AC242" i="3"/>
  <c r="Z278" i="3"/>
  <c r="AB278" i="3" s="1"/>
  <c r="AU242" i="3"/>
  <c r="AR278" i="3"/>
  <c r="AT278" i="3" s="1"/>
  <c r="AU243" i="3"/>
  <c r="AR279" i="3"/>
  <c r="AT279" i="3" s="1"/>
  <c r="U244" i="3"/>
  <c r="W244" i="3" s="1"/>
  <c r="K244" i="3"/>
  <c r="M244" i="3" s="1"/>
  <c r="X206" i="3"/>
  <c r="U242" i="3"/>
  <c r="W242" i="3" s="1"/>
  <c r="K242" i="3"/>
  <c r="M242" i="3" s="1"/>
  <c r="N242" i="3" s="1"/>
  <c r="AR198" i="3"/>
  <c r="AT198" i="3" s="1"/>
  <c r="AU162" i="3"/>
  <c r="AC207" i="3"/>
  <c r="Z243" i="3"/>
  <c r="AB243" i="3" s="1"/>
  <c r="Z244" i="3"/>
  <c r="AB244" i="3" s="1"/>
  <c r="X207" i="3"/>
  <c r="U243" i="3"/>
  <c r="W243" i="3" s="1"/>
  <c r="AH171" i="3"/>
  <c r="AE207" i="3"/>
  <c r="AG207" i="3" s="1"/>
  <c r="AE243" i="3" s="1"/>
  <c r="AL171" i="3"/>
  <c r="AI207" i="3"/>
  <c r="AK207" i="3" s="1"/>
  <c r="AU172" i="3"/>
  <c r="AR208" i="3"/>
  <c r="AT208" i="3" s="1"/>
  <c r="Z205" i="3"/>
  <c r="AB205" i="3" s="1"/>
  <c r="K205" i="3"/>
  <c r="M205" i="3" s="1"/>
  <c r="N205" i="3" s="1"/>
  <c r="AH169" i="3"/>
  <c r="AE205" i="3"/>
  <c r="AG205" i="3" s="1"/>
  <c r="AE241" i="3" s="1"/>
  <c r="I171" i="3"/>
  <c r="F207" i="3"/>
  <c r="H207" i="3" s="1"/>
  <c r="AL170" i="3"/>
  <c r="AI206" i="3"/>
  <c r="AK206" i="3" s="1"/>
  <c r="AH172" i="3"/>
  <c r="AE208" i="3"/>
  <c r="AG208" i="3" s="1"/>
  <c r="AE244" i="3" s="1"/>
  <c r="AP172" i="3"/>
  <c r="AM208" i="3"/>
  <c r="AO208" i="3" s="1"/>
  <c r="AL172" i="3"/>
  <c r="AI208" i="3"/>
  <c r="AK208" i="3" s="1"/>
  <c r="AP171" i="3"/>
  <c r="AM207" i="3"/>
  <c r="AO207" i="3" s="1"/>
  <c r="AP169" i="3"/>
  <c r="AM205" i="3"/>
  <c r="AO205" i="3" s="1"/>
  <c r="AH170" i="3"/>
  <c r="AE206" i="3"/>
  <c r="AG206" i="3" s="1"/>
  <c r="AE242" i="3" s="1"/>
  <c r="AL169" i="3"/>
  <c r="AI205" i="3"/>
  <c r="AK205" i="3" s="1"/>
  <c r="I172" i="3"/>
  <c r="F208" i="3"/>
  <c r="H208" i="3" s="1"/>
  <c r="X169" i="3"/>
  <c r="U205" i="3"/>
  <c r="W205" i="3" s="1"/>
  <c r="AP170" i="3"/>
  <c r="AM206" i="3"/>
  <c r="AO206" i="3" s="1"/>
  <c r="AU169" i="3"/>
  <c r="AR205" i="3"/>
  <c r="AT205" i="3" s="1"/>
  <c r="AZ135" i="3"/>
  <c r="AW171" i="3"/>
  <c r="AY171" i="3" s="1"/>
  <c r="AZ136" i="3"/>
  <c r="AW172" i="3"/>
  <c r="AY172" i="3" s="1"/>
  <c r="AW169" i="3"/>
  <c r="AY169" i="3" s="1"/>
  <c r="AZ134" i="3"/>
  <c r="AW170" i="3"/>
  <c r="AY170" i="3" s="1"/>
  <c r="K171" i="3"/>
  <c r="M171" i="3" s="1"/>
  <c r="N171" i="3" s="1"/>
  <c r="AG228" i="3"/>
  <c r="AH192" i="3"/>
  <c r="E332" i="3"/>
  <c r="E353" i="3" s="1"/>
  <c r="D333" i="3"/>
  <c r="E235" i="2"/>
  <c r="Z227" i="3"/>
  <c r="AB227" i="3" s="1"/>
  <c r="AC191" i="3"/>
  <c r="C276" i="3"/>
  <c r="C298" i="33"/>
  <c r="C263" i="33"/>
  <c r="C268" i="3"/>
  <c r="D262" i="3"/>
  <c r="C290" i="33"/>
  <c r="C260" i="3"/>
  <c r="C255" i="33"/>
  <c r="D336" i="3"/>
  <c r="K263" i="3"/>
  <c r="M263" i="3" s="1"/>
  <c r="N263" i="3" s="1"/>
  <c r="Z233" i="3"/>
  <c r="AB233" i="3" s="1"/>
  <c r="AC197" i="3"/>
  <c r="U201" i="3"/>
  <c r="W201" i="3" s="1"/>
  <c r="X165" i="3"/>
  <c r="D342" i="3"/>
  <c r="D345" i="3"/>
  <c r="S345" i="3" s="1"/>
  <c r="C336" i="3"/>
  <c r="Z201" i="3"/>
  <c r="AB201" i="3" s="1"/>
  <c r="AC165" i="3"/>
  <c r="Z265" i="3"/>
  <c r="AB265" i="3" s="1"/>
  <c r="AC229" i="3"/>
  <c r="K196" i="3"/>
  <c r="M196" i="3" s="1"/>
  <c r="N196" i="3" s="1"/>
  <c r="D346" i="3"/>
  <c r="S346" i="3" s="1"/>
  <c r="D339" i="3"/>
  <c r="K229" i="3"/>
  <c r="M229" i="3" s="1"/>
  <c r="N229" i="3" s="1"/>
  <c r="Z298" i="3"/>
  <c r="AB298" i="3" s="1"/>
  <c r="AM195" i="3"/>
  <c r="AO195" i="3" s="1"/>
  <c r="AP159" i="3"/>
  <c r="AR227" i="3"/>
  <c r="AT227" i="3" s="1"/>
  <c r="AU191" i="3"/>
  <c r="D344" i="3"/>
  <c r="S344" i="3" s="1"/>
  <c r="AP166" i="3"/>
  <c r="AM202" i="3"/>
  <c r="AO202" i="3" s="1"/>
  <c r="K235" i="3"/>
  <c r="M235" i="3" s="1"/>
  <c r="N235" i="3" s="1"/>
  <c r="AR188" i="3"/>
  <c r="AT188" i="3" s="1"/>
  <c r="AU152" i="3"/>
  <c r="C335" i="3"/>
  <c r="C344" i="3"/>
  <c r="F233" i="3"/>
  <c r="H233" i="3" s="1"/>
  <c r="K225" i="3"/>
  <c r="M225" i="3" s="1"/>
  <c r="N225" i="3" s="1"/>
  <c r="K228" i="3"/>
  <c r="M228" i="3" s="1"/>
  <c r="N228" i="3" s="1"/>
  <c r="K224" i="3"/>
  <c r="M224" i="3" s="1"/>
  <c r="N224" i="3" s="1"/>
  <c r="Z240" i="3"/>
  <c r="AB240" i="3" s="1"/>
  <c r="AC204" i="3"/>
  <c r="D295" i="3"/>
  <c r="D302" i="3"/>
  <c r="AM239" i="3"/>
  <c r="AO239" i="3" s="1"/>
  <c r="AP203" i="3"/>
  <c r="Z232" i="3"/>
  <c r="AB232" i="3" s="1"/>
  <c r="AC196" i="3"/>
  <c r="X202" i="3"/>
  <c r="U238" i="3"/>
  <c r="W238" i="3" s="1"/>
  <c r="U193" i="3"/>
  <c r="W193" i="3" s="1"/>
  <c r="X157" i="3"/>
  <c r="X236" i="3"/>
  <c r="U272" i="3"/>
  <c r="W272" i="3" s="1"/>
  <c r="D335" i="3"/>
  <c r="AP157" i="3"/>
  <c r="AM193" i="3"/>
  <c r="AO193" i="3" s="1"/>
  <c r="U266" i="3"/>
  <c r="W266" i="3" s="1"/>
  <c r="X230" i="3"/>
  <c r="D343" i="3"/>
  <c r="S343" i="3" s="1"/>
  <c r="U234" i="3"/>
  <c r="W234" i="3" s="1"/>
  <c r="X198" i="3"/>
  <c r="AR231" i="3"/>
  <c r="AT231" i="3" s="1"/>
  <c r="AU195" i="3"/>
  <c r="AP163" i="3"/>
  <c r="AM199" i="3"/>
  <c r="AO199" i="3" s="1"/>
  <c r="C296" i="33"/>
  <c r="C266" i="3"/>
  <c r="C261" i="33"/>
  <c r="K237" i="3"/>
  <c r="M237" i="3" s="1"/>
  <c r="N237" i="3" s="1"/>
  <c r="AP152" i="3"/>
  <c r="AM188" i="3"/>
  <c r="AO188" i="3" s="1"/>
  <c r="K195" i="3"/>
  <c r="M195" i="3" s="1"/>
  <c r="N195" i="3" s="1"/>
  <c r="C371" i="33"/>
  <c r="C379" i="3"/>
  <c r="AP155" i="3"/>
  <c r="AM191" i="3"/>
  <c r="AO191" i="3" s="1"/>
  <c r="AP160" i="3"/>
  <c r="AM196" i="3"/>
  <c r="AO196" i="3" s="1"/>
  <c r="AR239" i="3"/>
  <c r="AT239" i="3" s="1"/>
  <c r="AU203" i="3"/>
  <c r="Z238" i="3"/>
  <c r="AB238" i="3" s="1"/>
  <c r="AC202" i="3"/>
  <c r="X204" i="3"/>
  <c r="U240" i="3"/>
  <c r="W240" i="3" s="1"/>
  <c r="U232" i="3"/>
  <c r="W232" i="3" s="1"/>
  <c r="X196" i="3"/>
  <c r="AC200" i="3"/>
  <c r="Z236" i="3"/>
  <c r="AB236" i="3" s="1"/>
  <c r="AP165" i="3"/>
  <c r="AM201" i="3"/>
  <c r="AO201" i="3" s="1"/>
  <c r="C339" i="33"/>
  <c r="C310" i="3"/>
  <c r="K298" i="3"/>
  <c r="M298" i="3" s="1"/>
  <c r="AU232" i="3"/>
  <c r="AR268" i="3"/>
  <c r="AT268" i="3" s="1"/>
  <c r="Z224" i="3"/>
  <c r="AB224" i="3" s="1"/>
  <c r="AC188" i="3"/>
  <c r="AP162" i="3"/>
  <c r="AM198" i="3"/>
  <c r="AO198" i="3" s="1"/>
  <c r="U226" i="3"/>
  <c r="W226" i="3" s="1"/>
  <c r="X190" i="3"/>
  <c r="Z228" i="3"/>
  <c r="AB228" i="3" s="1"/>
  <c r="AC192" i="3"/>
  <c r="Z199" i="3"/>
  <c r="AB199" i="3" s="1"/>
  <c r="AC163" i="3"/>
  <c r="K203" i="3"/>
  <c r="M203" i="3" s="1"/>
  <c r="N203" i="3" s="1"/>
  <c r="K240" i="3"/>
  <c r="M240" i="3" s="1"/>
  <c r="N240" i="3" s="1"/>
  <c r="AP168" i="3"/>
  <c r="AM204" i="3"/>
  <c r="AO204" i="3" s="1"/>
  <c r="AR204" i="3"/>
  <c r="AT204" i="3" s="1"/>
  <c r="AU168" i="3"/>
  <c r="Z195" i="3"/>
  <c r="AB195" i="3" s="1"/>
  <c r="AC159" i="3"/>
  <c r="AP156" i="3"/>
  <c r="AM192" i="3"/>
  <c r="AO192" i="3" s="1"/>
  <c r="AW162" i="3"/>
  <c r="AY162" i="3" s="1"/>
  <c r="AZ126" i="3"/>
  <c r="X239" i="3"/>
  <c r="AC239" i="3"/>
  <c r="AR197" i="3"/>
  <c r="AT197" i="3" s="1"/>
  <c r="AU161" i="3"/>
  <c r="AZ128" i="3"/>
  <c r="AW164" i="3"/>
  <c r="AY164" i="3" s="1"/>
  <c r="F240" i="3"/>
  <c r="H240" i="3" s="1"/>
  <c r="AR192" i="3"/>
  <c r="AT192" i="3" s="1"/>
  <c r="AU156" i="3"/>
  <c r="AZ116" i="3"/>
  <c r="AW152" i="3"/>
  <c r="AY152" i="3" s="1"/>
  <c r="U192" i="3"/>
  <c r="W192" i="3" s="1"/>
  <c r="X156" i="3"/>
  <c r="F229" i="3"/>
  <c r="H229" i="3" s="1"/>
  <c r="F239" i="3"/>
  <c r="H239" i="3" s="1"/>
  <c r="U152" i="3"/>
  <c r="U173" i="3" s="1"/>
  <c r="X116" i="3"/>
  <c r="W137" i="3"/>
  <c r="X137" i="3" s="1"/>
  <c r="AP230" i="3"/>
  <c r="AM266" i="3"/>
  <c r="AO266" i="3" s="1"/>
  <c r="F230" i="3"/>
  <c r="H230" i="3" s="1"/>
  <c r="AR194" i="3"/>
  <c r="AT194" i="3" s="1"/>
  <c r="AU158" i="3"/>
  <c r="X199" i="3"/>
  <c r="U235" i="3"/>
  <c r="W235" i="3" s="1"/>
  <c r="AZ131" i="3"/>
  <c r="AW167" i="3"/>
  <c r="AY167" i="3" s="1"/>
  <c r="K236" i="3"/>
  <c r="M236" i="3" s="1"/>
  <c r="N236" i="3" s="1"/>
  <c r="AR199" i="3"/>
  <c r="AT199" i="3" s="1"/>
  <c r="AU163" i="3"/>
  <c r="C305" i="33"/>
  <c r="C275" i="3"/>
  <c r="AP161" i="3"/>
  <c r="AM197" i="3"/>
  <c r="AO197" i="3" s="1"/>
  <c r="AU226" i="3"/>
  <c r="AR262" i="3"/>
  <c r="AT262" i="3" s="1"/>
  <c r="F192" i="3"/>
  <c r="H192" i="3" s="1"/>
  <c r="I156" i="3"/>
  <c r="AR229" i="3"/>
  <c r="AT229" i="3" s="1"/>
  <c r="AU193" i="3"/>
  <c r="X231" i="3"/>
  <c r="AW166" i="3"/>
  <c r="AY166" i="3" s="1"/>
  <c r="AZ130" i="3"/>
  <c r="AM200" i="3"/>
  <c r="AO200" i="3" s="1"/>
  <c r="AP164" i="3"/>
  <c r="AW197" i="3"/>
  <c r="AY197" i="3" s="1"/>
  <c r="AZ161" i="3"/>
  <c r="AY65" i="3"/>
  <c r="AZ65" i="3" s="1"/>
  <c r="AW79" i="3"/>
  <c r="AZ43" i="3"/>
  <c r="AR273" i="3"/>
  <c r="AT273" i="3" s="1"/>
  <c r="AU237" i="3"/>
  <c r="AZ122" i="3"/>
  <c r="AW158" i="3"/>
  <c r="AY158" i="3" s="1"/>
  <c r="K230" i="3"/>
  <c r="M230" i="3" s="1"/>
  <c r="N230" i="3" s="1"/>
  <c r="F235" i="3"/>
  <c r="H235" i="3" s="1"/>
  <c r="U191" i="3"/>
  <c r="W191" i="3" s="1"/>
  <c r="X155" i="3"/>
  <c r="AZ127" i="3"/>
  <c r="AW163" i="3"/>
  <c r="AY163" i="3" s="1"/>
  <c r="AZ121" i="3"/>
  <c r="AW157" i="3"/>
  <c r="AY157" i="3" s="1"/>
  <c r="AP151" i="3"/>
  <c r="AM187" i="3"/>
  <c r="AO117" i="3"/>
  <c r="AM137" i="3"/>
  <c r="AZ129" i="3"/>
  <c r="AW165" i="3"/>
  <c r="AY165" i="3" s="1"/>
  <c r="K137" i="3"/>
  <c r="M115" i="3"/>
  <c r="N115" i="3" s="1"/>
  <c r="AW153" i="3"/>
  <c r="AY153" i="3" s="1"/>
  <c r="AZ117" i="3"/>
  <c r="F227" i="3"/>
  <c r="H227" i="3" s="1"/>
  <c r="AB151" i="3"/>
  <c r="K197" i="3"/>
  <c r="M197" i="3" s="1"/>
  <c r="N197" i="3" s="1"/>
  <c r="AR137" i="3"/>
  <c r="AT115" i="3"/>
  <c r="AR202" i="3"/>
  <c r="AT202" i="3" s="1"/>
  <c r="AU166" i="3"/>
  <c r="F236" i="3"/>
  <c r="H236" i="3" s="1"/>
  <c r="AW168" i="3"/>
  <c r="AY168" i="3" s="1"/>
  <c r="AZ132" i="3"/>
  <c r="F195" i="3"/>
  <c r="H195" i="3" s="1"/>
  <c r="I159" i="3"/>
  <c r="AW155" i="3"/>
  <c r="AY155" i="3" s="1"/>
  <c r="AZ119" i="3"/>
  <c r="AZ120" i="3"/>
  <c r="AW156" i="3"/>
  <c r="AY156" i="3" s="1"/>
  <c r="AU164" i="3"/>
  <c r="AR200" i="3"/>
  <c r="AT200" i="3" s="1"/>
  <c r="U189" i="3"/>
  <c r="W189" i="3" s="1"/>
  <c r="X153" i="3"/>
  <c r="AB122" i="3"/>
  <c r="Z137" i="3"/>
  <c r="AZ124" i="3"/>
  <c r="AW160" i="3"/>
  <c r="AY160" i="3" s="1"/>
  <c r="AZ123" i="3"/>
  <c r="AW159" i="3"/>
  <c r="AY159" i="3" s="1"/>
  <c r="AM190" i="3"/>
  <c r="AO190" i="3" s="1"/>
  <c r="AP154" i="3"/>
  <c r="H137" i="3"/>
  <c r="F151" i="3"/>
  <c r="I115" i="3"/>
  <c r="C297" i="33"/>
  <c r="C262" i="33"/>
  <c r="C267" i="3"/>
  <c r="U383" i="3"/>
  <c r="W383" i="3" s="1"/>
  <c r="Z383" i="3"/>
  <c r="AB383" i="3" s="1"/>
  <c r="AR369" i="3"/>
  <c r="AT369" i="3" s="1"/>
  <c r="U339" i="3"/>
  <c r="W339" i="3" s="1"/>
  <c r="AI273" i="3"/>
  <c r="AK273" i="3" s="1"/>
  <c r="AI309" i="3" s="1"/>
  <c r="AL237" i="3"/>
  <c r="AI199" i="3"/>
  <c r="AK199" i="3" s="1"/>
  <c r="AL163" i="3"/>
  <c r="AI275" i="3"/>
  <c r="AK275" i="3" s="1"/>
  <c r="AI311" i="3" s="1"/>
  <c r="AL239" i="3"/>
  <c r="AI274" i="3"/>
  <c r="AK274" i="3" s="1"/>
  <c r="AI310" i="3" s="1"/>
  <c r="AL238" i="3"/>
  <c r="AG224" i="3"/>
  <c r="AH188" i="3"/>
  <c r="AG229" i="3"/>
  <c r="AH193" i="3"/>
  <c r="AG225" i="3"/>
  <c r="AH189" i="3"/>
  <c r="AL158" i="3"/>
  <c r="AI194" i="3"/>
  <c r="AK194" i="3" s="1"/>
  <c r="AG227" i="3"/>
  <c r="AH191" i="3"/>
  <c r="AL161" i="3"/>
  <c r="AI197" i="3"/>
  <c r="AK197" i="3" s="1"/>
  <c r="AE200" i="3"/>
  <c r="AG200" i="3" s="1"/>
  <c r="AE236" i="3" s="1"/>
  <c r="AH164" i="3"/>
  <c r="AE196" i="3"/>
  <c r="AG196" i="3" s="1"/>
  <c r="AE232" i="3" s="1"/>
  <c r="AH160" i="3"/>
  <c r="AE194" i="3"/>
  <c r="AG194" i="3" s="1"/>
  <c r="AE230" i="3" s="1"/>
  <c r="AH158" i="3"/>
  <c r="AE198" i="3"/>
  <c r="AG198" i="3" s="1"/>
  <c r="AE234" i="3" s="1"/>
  <c r="AH162" i="3"/>
  <c r="AI268" i="3"/>
  <c r="AK268" i="3" s="1"/>
  <c r="AI304" i="3" s="1"/>
  <c r="AL232" i="3"/>
  <c r="AE298" i="3"/>
  <c r="AG298" i="3" s="1"/>
  <c r="AE334" i="3" s="1"/>
  <c r="AK308" i="3"/>
  <c r="AI344" i="3" s="1"/>
  <c r="AL272" i="3"/>
  <c r="AE310" i="3"/>
  <c r="AG310" i="3" s="1"/>
  <c r="AE346" i="3" s="1"/>
  <c r="AH274" i="3"/>
  <c r="AI204" i="3"/>
  <c r="AK204" i="3" s="1"/>
  <c r="AL168" i="3"/>
  <c r="AL231" i="3"/>
  <c r="AI267" i="3"/>
  <c r="AK267" i="3" s="1"/>
  <c r="AI303" i="3" s="1"/>
  <c r="AI234" i="3"/>
  <c r="AK234" i="3" s="1"/>
  <c r="AL198" i="3"/>
  <c r="AE201" i="3"/>
  <c r="AG201" i="3" s="1"/>
  <c r="AE237" i="3" s="1"/>
  <c r="AH165" i="3"/>
  <c r="AI371" i="3"/>
  <c r="AK371" i="3" s="1"/>
  <c r="AE204" i="3"/>
  <c r="AG204" i="3" s="1"/>
  <c r="AE240" i="3" s="1"/>
  <c r="AH168" i="3"/>
  <c r="AI408" i="3"/>
  <c r="AK408" i="3" s="1"/>
  <c r="AE267" i="3"/>
  <c r="AG267" i="3" s="1"/>
  <c r="AH231" i="3"/>
  <c r="AI370" i="3"/>
  <c r="AK370" i="3" s="1"/>
  <c r="AI115" i="3"/>
  <c r="AL79" i="3"/>
  <c r="AK101" i="3"/>
  <c r="AL101" i="3" s="1"/>
  <c r="AE199" i="3"/>
  <c r="AG199" i="3" s="1"/>
  <c r="AE235" i="3" s="1"/>
  <c r="AH163" i="3"/>
  <c r="AE197" i="3"/>
  <c r="AG197" i="3" s="1"/>
  <c r="AE233" i="3" s="1"/>
  <c r="AH161" i="3"/>
  <c r="AG101" i="3"/>
  <c r="AH101" i="3" s="1"/>
  <c r="AE115" i="3"/>
  <c r="AH79" i="3"/>
  <c r="AI333" i="3"/>
  <c r="AK333" i="3" s="1"/>
  <c r="AE203" i="3"/>
  <c r="AG203" i="3" s="1"/>
  <c r="AE239" i="3" s="1"/>
  <c r="AH167" i="3"/>
  <c r="AI368" i="3"/>
  <c r="AK368" i="3" s="1"/>
  <c r="K168" i="33"/>
  <c r="G170" i="33"/>
  <c r="G169" i="33"/>
  <c r="K165" i="33"/>
  <c r="K158" i="33"/>
  <c r="H433" i="33"/>
  <c r="J433" i="33" s="1"/>
  <c r="K432" i="33"/>
  <c r="G165" i="33"/>
  <c r="H155" i="33"/>
  <c r="J155" i="33" s="1"/>
  <c r="H190" i="33" s="1"/>
  <c r="J190" i="33" s="1"/>
  <c r="K120" i="33"/>
  <c r="G157" i="33"/>
  <c r="G162" i="33"/>
  <c r="H163" i="33"/>
  <c r="J163" i="33" s="1"/>
  <c r="H198" i="33" s="1"/>
  <c r="J198" i="33" s="1"/>
  <c r="K128" i="33"/>
  <c r="D435" i="33"/>
  <c r="F435" i="33" s="1"/>
  <c r="H150" i="33"/>
  <c r="K115" i="33"/>
  <c r="D132" i="33"/>
  <c r="G97" i="33"/>
  <c r="K97" i="33"/>
  <c r="H132" i="33"/>
  <c r="G150" i="33"/>
  <c r="AB270" i="3"/>
  <c r="G154" i="33" l="1"/>
  <c r="D173" i="3"/>
  <c r="S172" i="3"/>
  <c r="N172" i="3"/>
  <c r="N202" i="3"/>
  <c r="K238" i="3"/>
  <c r="M238" i="3" s="1"/>
  <c r="G195" i="33"/>
  <c r="D224" i="33"/>
  <c r="F224" i="33" s="1"/>
  <c r="G224" i="33" s="1"/>
  <c r="K234" i="3"/>
  <c r="M234" i="3" s="1"/>
  <c r="N198" i="3"/>
  <c r="S295" i="3"/>
  <c r="N262" i="3"/>
  <c r="S262" i="3"/>
  <c r="AU333" i="3"/>
  <c r="S333" i="3"/>
  <c r="S335" i="3"/>
  <c r="S336" i="3"/>
  <c r="S339" i="3"/>
  <c r="S260" i="3"/>
  <c r="S342" i="3"/>
  <c r="S302" i="3"/>
  <c r="S301" i="3"/>
  <c r="G236" i="33"/>
  <c r="D271" i="33"/>
  <c r="F271" i="33" s="1"/>
  <c r="AZ82" i="3"/>
  <c r="AW118" i="3"/>
  <c r="AY118" i="3" s="1"/>
  <c r="K170" i="33"/>
  <c r="D422" i="2"/>
  <c r="C173" i="3"/>
  <c r="X172" i="3"/>
  <c r="AC172" i="3"/>
  <c r="C272" i="33"/>
  <c r="C277" i="3"/>
  <c r="C205" i="33"/>
  <c r="C208" i="3"/>
  <c r="C201" i="2"/>
  <c r="D278" i="3"/>
  <c r="S278" i="3" s="1"/>
  <c r="C433" i="33"/>
  <c r="G433" i="33" s="1"/>
  <c r="E421" i="2"/>
  <c r="AL336" i="3"/>
  <c r="AL335" i="3"/>
  <c r="AL297" i="3"/>
  <c r="AL262" i="3"/>
  <c r="F232" i="3"/>
  <c r="H232" i="3" s="1"/>
  <c r="F268" i="3" s="1"/>
  <c r="H268" i="3" s="1"/>
  <c r="P137" i="3"/>
  <c r="I137" i="3"/>
  <c r="I195" i="3"/>
  <c r="I192" i="3"/>
  <c r="I201" i="3"/>
  <c r="I169" i="3"/>
  <c r="I202" i="3"/>
  <c r="I190" i="3"/>
  <c r="F226" i="3"/>
  <c r="H226" i="3" s="1"/>
  <c r="I198" i="3"/>
  <c r="F234" i="3"/>
  <c r="H234" i="3" s="1"/>
  <c r="I206" i="3"/>
  <c r="F242" i="3"/>
  <c r="H242" i="3" s="1"/>
  <c r="F189" i="3"/>
  <c r="H189" i="3" s="1"/>
  <c r="I153" i="3"/>
  <c r="I188" i="3"/>
  <c r="H309" i="33"/>
  <c r="J309" i="33" s="1"/>
  <c r="F173" i="3"/>
  <c r="F205" i="3"/>
  <c r="H205" i="3" s="1"/>
  <c r="F237" i="3"/>
  <c r="H237" i="3" s="1"/>
  <c r="F273" i="3" s="1"/>
  <c r="H273" i="3" s="1"/>
  <c r="AC262" i="3"/>
  <c r="D309" i="33"/>
  <c r="F309" i="33" s="1"/>
  <c r="D344" i="33" s="1"/>
  <c r="F344" i="33" s="1"/>
  <c r="H308" i="33"/>
  <c r="J308" i="33" s="1"/>
  <c r="C367" i="3"/>
  <c r="D310" i="33"/>
  <c r="F310" i="33" s="1"/>
  <c r="D345" i="33" s="1"/>
  <c r="F345" i="33" s="1"/>
  <c r="H310" i="33"/>
  <c r="J310" i="33" s="1"/>
  <c r="X233" i="3"/>
  <c r="C301" i="3"/>
  <c r="C330" i="33"/>
  <c r="C324" i="33"/>
  <c r="D133" i="33"/>
  <c r="D136" i="33" s="1"/>
  <c r="G98" i="33"/>
  <c r="H131" i="33"/>
  <c r="H136" i="33" s="1"/>
  <c r="K96" i="33"/>
  <c r="AH262" i="3"/>
  <c r="C335" i="33"/>
  <c r="C306" i="3"/>
  <c r="AC225" i="3"/>
  <c r="C327" i="33"/>
  <c r="C298" i="3"/>
  <c r="C334" i="33"/>
  <c r="C305" i="3"/>
  <c r="K235" i="33"/>
  <c r="H270" i="33"/>
  <c r="J270" i="33" s="1"/>
  <c r="K270" i="33" s="1"/>
  <c r="G235" i="33"/>
  <c r="D270" i="33"/>
  <c r="F270" i="33" s="1"/>
  <c r="K238" i="33"/>
  <c r="K266" i="3"/>
  <c r="M266" i="3" s="1"/>
  <c r="N266" i="3" s="1"/>
  <c r="D219" i="33"/>
  <c r="G184" i="33"/>
  <c r="C333" i="3"/>
  <c r="D296" i="3"/>
  <c r="K198" i="33"/>
  <c r="H233" i="33"/>
  <c r="J233" i="33" s="1"/>
  <c r="K233" i="33" s="1"/>
  <c r="D312" i="3"/>
  <c r="S312" i="3" s="1"/>
  <c r="K190" i="33"/>
  <c r="H225" i="33"/>
  <c r="J225" i="33" s="1"/>
  <c r="K225" i="33" s="1"/>
  <c r="D337" i="3"/>
  <c r="E269" i="2"/>
  <c r="J219" i="33"/>
  <c r="C345" i="3"/>
  <c r="E403" i="3"/>
  <c r="AK301" i="3"/>
  <c r="AI337" i="3" s="1"/>
  <c r="AL265" i="3"/>
  <c r="AU278" i="3"/>
  <c r="AR314" i="3"/>
  <c r="AT314" i="3" s="1"/>
  <c r="Z314" i="3"/>
  <c r="AB314" i="3" s="1"/>
  <c r="AR315" i="3"/>
  <c r="AT315" i="3" s="1"/>
  <c r="X242" i="3"/>
  <c r="U278" i="3"/>
  <c r="W278" i="3" s="1"/>
  <c r="Z279" i="3"/>
  <c r="AB279" i="3" s="1"/>
  <c r="K280" i="3"/>
  <c r="M280" i="3" s="1"/>
  <c r="U279" i="3"/>
  <c r="W279" i="3" s="1"/>
  <c r="U280" i="3"/>
  <c r="W280" i="3" s="1"/>
  <c r="Z280" i="3"/>
  <c r="AB280" i="3" s="1"/>
  <c r="K278" i="3"/>
  <c r="M278" i="3" s="1"/>
  <c r="N278" i="3" s="1"/>
  <c r="AP206" i="3"/>
  <c r="AM242" i="3"/>
  <c r="AO242" i="3" s="1"/>
  <c r="W223" i="3"/>
  <c r="U259" i="3" s="1"/>
  <c r="AL260" i="3"/>
  <c r="AH206" i="3"/>
  <c r="AG242" i="3"/>
  <c r="AP208" i="3"/>
  <c r="AM244" i="3"/>
  <c r="AO244" i="3" s="1"/>
  <c r="AH205" i="3"/>
  <c r="AG241" i="3"/>
  <c r="AL207" i="3"/>
  <c r="AI243" i="3"/>
  <c r="AK243" i="3" s="1"/>
  <c r="X205" i="3"/>
  <c r="U241" i="3"/>
  <c r="W241" i="3" s="1"/>
  <c r="AP205" i="3"/>
  <c r="AM241" i="3"/>
  <c r="AO241" i="3" s="1"/>
  <c r="AH208" i="3"/>
  <c r="AG244" i="3"/>
  <c r="K241" i="3"/>
  <c r="M241" i="3" s="1"/>
  <c r="N241" i="3" s="1"/>
  <c r="AH207" i="3"/>
  <c r="AG243" i="3"/>
  <c r="I208" i="3"/>
  <c r="F244" i="3"/>
  <c r="H244" i="3" s="1"/>
  <c r="AP207" i="3"/>
  <c r="AM243" i="3"/>
  <c r="AO243" i="3" s="1"/>
  <c r="AL206" i="3"/>
  <c r="AI242" i="3"/>
  <c r="AK242" i="3" s="1"/>
  <c r="AC205" i="3"/>
  <c r="Z241" i="3"/>
  <c r="AB241" i="3" s="1"/>
  <c r="AU205" i="3"/>
  <c r="AR241" i="3"/>
  <c r="AT241" i="3" s="1"/>
  <c r="AL205" i="3"/>
  <c r="AI241" i="3"/>
  <c r="AK241" i="3" s="1"/>
  <c r="AL208" i="3"/>
  <c r="AI244" i="3"/>
  <c r="AK244" i="3" s="1"/>
  <c r="I207" i="3"/>
  <c r="F243" i="3"/>
  <c r="H243" i="3" s="1"/>
  <c r="AU208" i="3"/>
  <c r="AR244" i="3"/>
  <c r="AT244" i="3" s="1"/>
  <c r="AR234" i="3"/>
  <c r="AT234" i="3" s="1"/>
  <c r="AU198" i="3"/>
  <c r="X187" i="3"/>
  <c r="AZ169" i="3"/>
  <c r="AW205" i="3"/>
  <c r="AY205" i="3" s="1"/>
  <c r="AZ170" i="3"/>
  <c r="AW206" i="3"/>
  <c r="AY206" i="3" s="1"/>
  <c r="AZ172" i="3"/>
  <c r="AW208" i="3"/>
  <c r="AY208" i="3" s="1"/>
  <c r="K207" i="3"/>
  <c r="M207" i="3" s="1"/>
  <c r="N207" i="3" s="1"/>
  <c r="AZ171" i="3"/>
  <c r="AW207" i="3"/>
  <c r="AY207" i="3" s="1"/>
  <c r="AE264" i="3"/>
  <c r="AG264" i="3" s="1"/>
  <c r="AH228" i="3"/>
  <c r="E368" i="3"/>
  <c r="E389" i="3" s="1"/>
  <c r="D405" i="3"/>
  <c r="D369" i="3"/>
  <c r="AC227" i="3"/>
  <c r="Z263" i="3"/>
  <c r="AB263" i="3" s="1"/>
  <c r="C325" i="33"/>
  <c r="C296" i="3"/>
  <c r="D298" i="3"/>
  <c r="C333" i="33"/>
  <c r="C304" i="3"/>
  <c r="K299" i="3"/>
  <c r="M299" i="3" s="1"/>
  <c r="N299" i="3" s="1"/>
  <c r="D408" i="3"/>
  <c r="D372" i="3"/>
  <c r="AP202" i="3"/>
  <c r="AM238" i="3"/>
  <c r="AO238" i="3" s="1"/>
  <c r="AM231" i="3"/>
  <c r="AO231" i="3" s="1"/>
  <c r="AP195" i="3"/>
  <c r="D382" i="3"/>
  <c r="S382" i="3" s="1"/>
  <c r="C364" i="33"/>
  <c r="C372" i="3"/>
  <c r="D414" i="3"/>
  <c r="D378" i="3"/>
  <c r="I233" i="3"/>
  <c r="F269" i="3"/>
  <c r="H269" i="3" s="1"/>
  <c r="C363" i="33"/>
  <c r="C371" i="3"/>
  <c r="D416" i="3"/>
  <c r="S416" i="3" s="1"/>
  <c r="D380" i="3"/>
  <c r="S380" i="3" s="1"/>
  <c r="Z334" i="3"/>
  <c r="AB334" i="3" s="1"/>
  <c r="K232" i="3"/>
  <c r="M232" i="3" s="1"/>
  <c r="N232" i="3" s="1"/>
  <c r="AC265" i="3"/>
  <c r="Z301" i="3"/>
  <c r="AB301" i="3" s="1"/>
  <c r="U237" i="3"/>
  <c r="W237" i="3" s="1"/>
  <c r="X201" i="3"/>
  <c r="K265" i="3"/>
  <c r="M265" i="3" s="1"/>
  <c r="N265" i="3" s="1"/>
  <c r="AR224" i="3"/>
  <c r="AT224" i="3" s="1"/>
  <c r="AU188" i="3"/>
  <c r="Z237" i="3"/>
  <c r="AB237" i="3" s="1"/>
  <c r="AC201" i="3"/>
  <c r="AC233" i="3"/>
  <c r="Z269" i="3"/>
  <c r="AB269" i="3" s="1"/>
  <c r="K271" i="3"/>
  <c r="M271" i="3" s="1"/>
  <c r="N271" i="3" s="1"/>
  <c r="C380" i="3"/>
  <c r="C372" i="33"/>
  <c r="AU227" i="3"/>
  <c r="AR263" i="3"/>
  <c r="AT263" i="3" s="1"/>
  <c r="D411" i="3"/>
  <c r="D375" i="3"/>
  <c r="D417" i="3"/>
  <c r="S417" i="3" s="1"/>
  <c r="D381" i="3"/>
  <c r="S381" i="3" s="1"/>
  <c r="K276" i="3"/>
  <c r="M276" i="3" s="1"/>
  <c r="N276" i="3" s="1"/>
  <c r="U276" i="3"/>
  <c r="W276" i="3" s="1"/>
  <c r="X240" i="3"/>
  <c r="AM227" i="3"/>
  <c r="AO227" i="3" s="1"/>
  <c r="AP191" i="3"/>
  <c r="AP188" i="3"/>
  <c r="AM224" i="3"/>
  <c r="AO224" i="3" s="1"/>
  <c r="AM229" i="3"/>
  <c r="AO229" i="3" s="1"/>
  <c r="AP193" i="3"/>
  <c r="AM275" i="3"/>
  <c r="AO275" i="3" s="1"/>
  <c r="AP239" i="3"/>
  <c r="Z235" i="3"/>
  <c r="AB235" i="3" s="1"/>
  <c r="AC199" i="3"/>
  <c r="AC224" i="3"/>
  <c r="Z260" i="3"/>
  <c r="AB260" i="3" s="1"/>
  <c r="C346" i="3"/>
  <c r="C331" i="33"/>
  <c r="C302" i="3"/>
  <c r="X234" i="3"/>
  <c r="U270" i="3"/>
  <c r="W270" i="3" s="1"/>
  <c r="X193" i="3"/>
  <c r="U229" i="3"/>
  <c r="W229" i="3" s="1"/>
  <c r="AC240" i="3"/>
  <c r="Z276" i="3"/>
  <c r="AB276" i="3" s="1"/>
  <c r="AU268" i="3"/>
  <c r="AR304" i="3"/>
  <c r="AT304" i="3" s="1"/>
  <c r="AM237" i="3"/>
  <c r="AO237" i="3" s="1"/>
  <c r="AP201" i="3"/>
  <c r="AP199" i="3"/>
  <c r="AM235" i="3"/>
  <c r="AO235" i="3" s="1"/>
  <c r="D338" i="3"/>
  <c r="K260" i="3"/>
  <c r="M260" i="3" s="1"/>
  <c r="N260" i="3" s="1"/>
  <c r="Z231" i="3"/>
  <c r="AB231" i="3" s="1"/>
  <c r="AC195" i="3"/>
  <c r="K239" i="3"/>
  <c r="M239" i="3" s="1"/>
  <c r="N239" i="3" s="1"/>
  <c r="Z264" i="3"/>
  <c r="AB264" i="3" s="1"/>
  <c r="AC228" i="3"/>
  <c r="AC238" i="3"/>
  <c r="Z274" i="3"/>
  <c r="AB274" i="3" s="1"/>
  <c r="D407" i="3"/>
  <c r="D371" i="3"/>
  <c r="X238" i="3"/>
  <c r="U274" i="3"/>
  <c r="W274" i="3" s="1"/>
  <c r="K334" i="3"/>
  <c r="M334" i="3" s="1"/>
  <c r="AC236" i="3"/>
  <c r="Z272" i="3"/>
  <c r="AB272" i="3" s="1"/>
  <c r="Z297" i="3"/>
  <c r="AB297" i="3" s="1"/>
  <c r="AC261" i="3"/>
  <c r="K264" i="3"/>
  <c r="M264" i="3" s="1"/>
  <c r="N264" i="3" s="1"/>
  <c r="AR240" i="3"/>
  <c r="AT240" i="3" s="1"/>
  <c r="AU204" i="3"/>
  <c r="X269" i="3"/>
  <c r="U305" i="3"/>
  <c r="W305" i="3" s="1"/>
  <c r="X226" i="3"/>
  <c r="U262" i="3"/>
  <c r="W262" i="3" s="1"/>
  <c r="AR275" i="3"/>
  <c r="AT275" i="3" s="1"/>
  <c r="AU239" i="3"/>
  <c r="C406" i="33"/>
  <c r="C466" i="33" s="1"/>
  <c r="C415" i="3"/>
  <c r="K273" i="3"/>
  <c r="M273" i="3" s="1"/>
  <c r="N273" i="3" s="1"/>
  <c r="D415" i="3"/>
  <c r="S415" i="3" s="1"/>
  <c r="D379" i="3"/>
  <c r="S379" i="3" s="1"/>
  <c r="AM240" i="3"/>
  <c r="AO240" i="3" s="1"/>
  <c r="AP204" i="3"/>
  <c r="AM234" i="3"/>
  <c r="AO234" i="3" s="1"/>
  <c r="AP198" i="3"/>
  <c r="AP196" i="3"/>
  <c r="AM232" i="3"/>
  <c r="AO232" i="3" s="1"/>
  <c r="X272" i="3"/>
  <c r="U308" i="3"/>
  <c r="W308" i="3" s="1"/>
  <c r="Z268" i="3"/>
  <c r="AB268" i="3" s="1"/>
  <c r="AC232" i="3"/>
  <c r="K261" i="3"/>
  <c r="M261" i="3" s="1"/>
  <c r="N261" i="3" s="1"/>
  <c r="U268" i="3"/>
  <c r="W268" i="3" s="1"/>
  <c r="X232" i="3"/>
  <c r="K231" i="3"/>
  <c r="M231" i="3" s="1"/>
  <c r="N231" i="3" s="1"/>
  <c r="AU231" i="3"/>
  <c r="AR267" i="3"/>
  <c r="AT267" i="3" s="1"/>
  <c r="U302" i="3"/>
  <c r="W302" i="3" s="1"/>
  <c r="X266" i="3"/>
  <c r="D331" i="3"/>
  <c r="H151" i="3"/>
  <c r="F231" i="3"/>
  <c r="H231" i="3" s="1"/>
  <c r="F272" i="3"/>
  <c r="H272" i="3" s="1"/>
  <c r="I236" i="3"/>
  <c r="M137" i="3"/>
  <c r="N137" i="3" s="1"/>
  <c r="K151" i="3"/>
  <c r="K173" i="3" s="1"/>
  <c r="AM236" i="3"/>
  <c r="AO236" i="3" s="1"/>
  <c r="AP200" i="3"/>
  <c r="AU199" i="3"/>
  <c r="AR235" i="3"/>
  <c r="AT235" i="3" s="1"/>
  <c r="AZ167" i="3"/>
  <c r="AW203" i="3"/>
  <c r="AY203" i="3" s="1"/>
  <c r="AZ163" i="3"/>
  <c r="AW199" i="3"/>
  <c r="AY199" i="3" s="1"/>
  <c r="I232" i="3"/>
  <c r="AP117" i="3"/>
  <c r="AM153" i="3"/>
  <c r="AM173" i="3" s="1"/>
  <c r="AO137" i="3"/>
  <c r="AP137" i="3" s="1"/>
  <c r="AP197" i="3"/>
  <c r="AM233" i="3"/>
  <c r="AO233" i="3" s="1"/>
  <c r="AZ168" i="3"/>
  <c r="AW204" i="3"/>
  <c r="AY204" i="3" s="1"/>
  <c r="I238" i="3"/>
  <c r="F274" i="3"/>
  <c r="H274" i="3" s="1"/>
  <c r="AZ165" i="3"/>
  <c r="AW201" i="3"/>
  <c r="AY201" i="3" s="1"/>
  <c r="AZ158" i="3"/>
  <c r="AW194" i="3"/>
  <c r="AY194" i="3" s="1"/>
  <c r="AZ166" i="3"/>
  <c r="AW202" i="3"/>
  <c r="AY202" i="3" s="1"/>
  <c r="AU229" i="3"/>
  <c r="AR265" i="3"/>
  <c r="AT265" i="3" s="1"/>
  <c r="U271" i="3"/>
  <c r="W271" i="3" s="1"/>
  <c r="X235" i="3"/>
  <c r="U228" i="3"/>
  <c r="W228" i="3" s="1"/>
  <c r="X192" i="3"/>
  <c r="I240" i="3"/>
  <c r="F276" i="3"/>
  <c r="H276" i="3" s="1"/>
  <c r="F265" i="3"/>
  <c r="H265" i="3" s="1"/>
  <c r="I229" i="3"/>
  <c r="X267" i="3"/>
  <c r="AM226" i="3"/>
  <c r="AO226" i="3" s="1"/>
  <c r="AP190" i="3"/>
  <c r="Z158" i="3"/>
  <c r="Z173" i="3" s="1"/>
  <c r="AC122" i="3"/>
  <c r="AB137" i="3"/>
  <c r="AC137" i="3" s="1"/>
  <c r="AZ156" i="3"/>
  <c r="AW192" i="3"/>
  <c r="AY192" i="3" s="1"/>
  <c r="K233" i="3"/>
  <c r="M233" i="3" s="1"/>
  <c r="N233" i="3" s="1"/>
  <c r="Z187" i="3"/>
  <c r="AC151" i="3"/>
  <c r="AO187" i="3"/>
  <c r="AW101" i="3"/>
  <c r="AY79" i="3"/>
  <c r="X275" i="3"/>
  <c r="AC275" i="3"/>
  <c r="F266" i="3"/>
  <c r="H266" i="3" s="1"/>
  <c r="I230" i="3"/>
  <c r="AZ152" i="3"/>
  <c r="AW188" i="3"/>
  <c r="AY188" i="3" s="1"/>
  <c r="AZ164" i="3"/>
  <c r="AW200" i="3"/>
  <c r="AY200" i="3" s="1"/>
  <c r="AW198" i="3"/>
  <c r="AY198" i="3" s="1"/>
  <c r="AZ162" i="3"/>
  <c r="AR230" i="3"/>
  <c r="AT230" i="3" s="1"/>
  <c r="AU194" i="3"/>
  <c r="AZ159" i="3"/>
  <c r="AW195" i="3"/>
  <c r="AY195" i="3" s="1"/>
  <c r="U225" i="3"/>
  <c r="W225" i="3" s="1"/>
  <c r="X189" i="3"/>
  <c r="F228" i="3"/>
  <c r="H228" i="3" s="1"/>
  <c r="AP266" i="3"/>
  <c r="AM302" i="3"/>
  <c r="AO302" i="3" s="1"/>
  <c r="W152" i="3"/>
  <c r="W173" i="3" s="1"/>
  <c r="AM228" i="3"/>
  <c r="AO228" i="3" s="1"/>
  <c r="AP228" i="3" s="1"/>
  <c r="AP192" i="3"/>
  <c r="AZ153" i="3"/>
  <c r="AW189" i="3"/>
  <c r="AY189" i="3" s="1"/>
  <c r="F271" i="3"/>
  <c r="H271" i="3" s="1"/>
  <c r="I235" i="3"/>
  <c r="AR236" i="3"/>
  <c r="AT236" i="3" s="1"/>
  <c r="AU200" i="3"/>
  <c r="AR238" i="3"/>
  <c r="AT238" i="3" s="1"/>
  <c r="AU202" i="3"/>
  <c r="F263" i="3"/>
  <c r="H263" i="3" s="1"/>
  <c r="I227" i="3"/>
  <c r="F260" i="3"/>
  <c r="H260" i="3" s="1"/>
  <c r="I224" i="3"/>
  <c r="AW193" i="3"/>
  <c r="AY193" i="3" s="1"/>
  <c r="AZ157" i="3"/>
  <c r="U227" i="3"/>
  <c r="W227" i="3" s="1"/>
  <c r="X191" i="3"/>
  <c r="AU273" i="3"/>
  <c r="AR309" i="3"/>
  <c r="AT309" i="3" s="1"/>
  <c r="AU262" i="3"/>
  <c r="AR298" i="3"/>
  <c r="AT298" i="3" s="1"/>
  <c r="I239" i="3"/>
  <c r="F275" i="3"/>
  <c r="H275" i="3" s="1"/>
  <c r="C332" i="33"/>
  <c r="C303" i="3"/>
  <c r="AW196" i="3"/>
  <c r="AY196" i="3" s="1"/>
  <c r="AZ160" i="3"/>
  <c r="AZ155" i="3"/>
  <c r="AW191" i="3"/>
  <c r="AY191" i="3" s="1"/>
  <c r="AT137" i="3"/>
  <c r="AU137" i="3" s="1"/>
  <c r="AU115" i="3"/>
  <c r="AR151" i="3"/>
  <c r="AR173" i="3" s="1"/>
  <c r="AW233" i="3"/>
  <c r="AY233" i="3" s="1"/>
  <c r="AZ197" i="3"/>
  <c r="C311" i="3"/>
  <c r="K272" i="3"/>
  <c r="M272" i="3" s="1"/>
  <c r="N272" i="3" s="1"/>
  <c r="AU192" i="3"/>
  <c r="AR228" i="3"/>
  <c r="AT228" i="3" s="1"/>
  <c r="AU197" i="3"/>
  <c r="AR233" i="3"/>
  <c r="AT233" i="3" s="1"/>
  <c r="U419" i="3"/>
  <c r="W419" i="3" s="1"/>
  <c r="Z419" i="3"/>
  <c r="AB419" i="3" s="1"/>
  <c r="AR405" i="3"/>
  <c r="AT405" i="3" s="1"/>
  <c r="U375" i="3"/>
  <c r="W375" i="3" s="1"/>
  <c r="AK310" i="3"/>
  <c r="AI346" i="3" s="1"/>
  <c r="AL274" i="3"/>
  <c r="AK311" i="3"/>
  <c r="AI347" i="3" s="1"/>
  <c r="AL275" i="3"/>
  <c r="AI235" i="3"/>
  <c r="AK235" i="3" s="1"/>
  <c r="AL199" i="3"/>
  <c r="AE260" i="3"/>
  <c r="AG260" i="3" s="1"/>
  <c r="AH224" i="3"/>
  <c r="AK309" i="3"/>
  <c r="AI345" i="3" s="1"/>
  <c r="AL273" i="3"/>
  <c r="AG346" i="3"/>
  <c r="AH310" i="3"/>
  <c r="AG230" i="3"/>
  <c r="AH194" i="3"/>
  <c r="AE263" i="3"/>
  <c r="AG263" i="3" s="1"/>
  <c r="AH227" i="3"/>
  <c r="AI230" i="3"/>
  <c r="AK230" i="3" s="1"/>
  <c r="AL194" i="3"/>
  <c r="AG232" i="3"/>
  <c r="AH196" i="3"/>
  <c r="AL267" i="3"/>
  <c r="AK303" i="3"/>
  <c r="AI339" i="3" s="1"/>
  <c r="AK344" i="3"/>
  <c r="AL308" i="3"/>
  <c r="AL268" i="3"/>
  <c r="AK304" i="3"/>
  <c r="AI340" i="3" s="1"/>
  <c r="AG236" i="3"/>
  <c r="AH200" i="3"/>
  <c r="AE261" i="3"/>
  <c r="AG261" i="3" s="1"/>
  <c r="AH225" i="3"/>
  <c r="AI233" i="3"/>
  <c r="AK233" i="3" s="1"/>
  <c r="AL197" i="3"/>
  <c r="AL204" i="3"/>
  <c r="AI240" i="3"/>
  <c r="AK240" i="3" s="1"/>
  <c r="AG334" i="3"/>
  <c r="AG234" i="3"/>
  <c r="AH198" i="3"/>
  <c r="AE265" i="3"/>
  <c r="AG265" i="3" s="1"/>
  <c r="AH229" i="3"/>
  <c r="AG233" i="3"/>
  <c r="AH197" i="3"/>
  <c r="AE303" i="3"/>
  <c r="AG303" i="3" s="1"/>
  <c r="AE339" i="3" s="1"/>
  <c r="AH267" i="3"/>
  <c r="AG240" i="3"/>
  <c r="AH204" i="3"/>
  <c r="AG235" i="3"/>
  <c r="AH199" i="3"/>
  <c r="AI404" i="3"/>
  <c r="AK404" i="3" s="1"/>
  <c r="AG239" i="3"/>
  <c r="AH203" i="3"/>
  <c r="AG115" i="3"/>
  <c r="AE137" i="3"/>
  <c r="AI406" i="3"/>
  <c r="AK406" i="3" s="1"/>
  <c r="AI407" i="3"/>
  <c r="AK407" i="3" s="1"/>
  <c r="AI137" i="3"/>
  <c r="AK115" i="3"/>
  <c r="AG237" i="3"/>
  <c r="AH201" i="3"/>
  <c r="AI369" i="3"/>
  <c r="AK369" i="3" s="1"/>
  <c r="AI270" i="3"/>
  <c r="AK270" i="3" s="1"/>
  <c r="AI306" i="3" s="1"/>
  <c r="AL234" i="3"/>
  <c r="D263" i="33"/>
  <c r="D265" i="33"/>
  <c r="F265" i="33" s="1"/>
  <c r="D300" i="33" s="1"/>
  <c r="K163" i="33"/>
  <c r="K433" i="33"/>
  <c r="H434" i="33"/>
  <c r="J434" i="33" s="1"/>
  <c r="K155" i="33"/>
  <c r="H265" i="33"/>
  <c r="J265" i="33" s="1"/>
  <c r="F132" i="33"/>
  <c r="J132" i="33"/>
  <c r="J150" i="33"/>
  <c r="H185" i="33" s="1"/>
  <c r="J185" i="33" s="1"/>
  <c r="D436" i="33"/>
  <c r="F436" i="33" s="1"/>
  <c r="Z306" i="3"/>
  <c r="AC270" i="3"/>
  <c r="N238" i="3" l="1"/>
  <c r="K274" i="3"/>
  <c r="M274" i="3" s="1"/>
  <c r="S208" i="3"/>
  <c r="N208" i="3"/>
  <c r="K270" i="3"/>
  <c r="M270" i="3" s="1"/>
  <c r="N234" i="3"/>
  <c r="S411" i="3"/>
  <c r="S378" i="3"/>
  <c r="S375" i="3"/>
  <c r="S414" i="3"/>
  <c r="S372" i="3"/>
  <c r="S331" i="3"/>
  <c r="S371" i="3"/>
  <c r="S408" i="3"/>
  <c r="S407" i="3"/>
  <c r="AU369" i="3"/>
  <c r="S369" i="3"/>
  <c r="S296" i="3"/>
  <c r="S338" i="3"/>
  <c r="S405" i="3"/>
  <c r="N298" i="3"/>
  <c r="S298" i="3"/>
  <c r="S337" i="3"/>
  <c r="D306" i="33"/>
  <c r="F306" i="33" s="1"/>
  <c r="D341" i="33" s="1"/>
  <c r="F341" i="33" s="1"/>
  <c r="G271" i="33"/>
  <c r="G270" i="33"/>
  <c r="D305" i="33"/>
  <c r="AW154" i="3"/>
  <c r="AY154" i="3" s="1"/>
  <c r="AZ118" i="3"/>
  <c r="C209" i="3"/>
  <c r="X208" i="3"/>
  <c r="AC208" i="3"/>
  <c r="C206" i="33"/>
  <c r="G205" i="33"/>
  <c r="K205" i="33"/>
  <c r="D244" i="3"/>
  <c r="D235" i="2"/>
  <c r="C235" i="2"/>
  <c r="C422" i="2"/>
  <c r="C312" i="3"/>
  <c r="C306" i="33"/>
  <c r="D313" i="3"/>
  <c r="C239" i="33"/>
  <c r="C243" i="3"/>
  <c r="AL371" i="3"/>
  <c r="AL372" i="3"/>
  <c r="AL333" i="3"/>
  <c r="AL298" i="3"/>
  <c r="I237" i="3"/>
  <c r="H344" i="33"/>
  <c r="J344" i="33" s="1"/>
  <c r="H379" i="33" s="1"/>
  <c r="J379" i="33" s="1"/>
  <c r="P169" i="3"/>
  <c r="R137" i="3"/>
  <c r="S137" i="3" s="1"/>
  <c r="H173" i="3"/>
  <c r="I173" i="3" s="1"/>
  <c r="F241" i="3"/>
  <c r="H241" i="3" s="1"/>
  <c r="F277" i="3" s="1"/>
  <c r="H277" i="3" s="1"/>
  <c r="I189" i="3"/>
  <c r="F225" i="3"/>
  <c r="H225" i="3" s="1"/>
  <c r="I242" i="3"/>
  <c r="F278" i="3"/>
  <c r="H278" i="3" s="1"/>
  <c r="F270" i="3"/>
  <c r="H270" i="3" s="1"/>
  <c r="I234" i="3"/>
  <c r="I226" i="3"/>
  <c r="F262" i="3"/>
  <c r="H262" i="3" s="1"/>
  <c r="I205" i="3"/>
  <c r="H345" i="33"/>
  <c r="J345" i="33" s="1"/>
  <c r="H343" i="33"/>
  <c r="J343" i="33" s="1"/>
  <c r="AC298" i="3"/>
  <c r="C359" i="33"/>
  <c r="E463" i="2"/>
  <c r="D380" i="33"/>
  <c r="F380" i="33" s="1"/>
  <c r="C337" i="3"/>
  <c r="AH298" i="3"/>
  <c r="F133" i="33"/>
  <c r="F136" i="33" s="1"/>
  <c r="G136" i="33" s="1"/>
  <c r="H167" i="33"/>
  <c r="J131" i="33"/>
  <c r="J136" i="33" s="1"/>
  <c r="K136" i="33" s="1"/>
  <c r="D167" i="33"/>
  <c r="F167" i="33" s="1"/>
  <c r="D379" i="33"/>
  <c r="H414" i="33"/>
  <c r="C334" i="3"/>
  <c r="C341" i="3"/>
  <c r="C342" i="3"/>
  <c r="C361" i="33"/>
  <c r="C369" i="3"/>
  <c r="C381" i="3"/>
  <c r="C373" i="33"/>
  <c r="H254" i="33"/>
  <c r="J254" i="33" s="1"/>
  <c r="K219" i="33"/>
  <c r="E303" i="2"/>
  <c r="D332" i="3"/>
  <c r="D409" i="3"/>
  <c r="D373" i="3"/>
  <c r="F219" i="33"/>
  <c r="D348" i="3"/>
  <c r="S348" i="3" s="1"/>
  <c r="X223" i="3"/>
  <c r="AL301" i="3"/>
  <c r="AK337" i="3"/>
  <c r="Z350" i="3"/>
  <c r="AB350" i="3" s="1"/>
  <c r="AR350" i="3"/>
  <c r="AT350" i="3" s="1"/>
  <c r="AR351" i="3"/>
  <c r="AT351" i="3" s="1"/>
  <c r="Z315" i="3"/>
  <c r="AB315" i="3" s="1"/>
  <c r="U316" i="3"/>
  <c r="W316" i="3" s="1"/>
  <c r="U314" i="3"/>
  <c r="W314" i="3" s="1"/>
  <c r="Z316" i="3"/>
  <c r="AB316" i="3" s="1"/>
  <c r="AL296" i="3"/>
  <c r="U315" i="3"/>
  <c r="W315" i="3" s="1"/>
  <c r="K314" i="3"/>
  <c r="M314" i="3" s="1"/>
  <c r="K316" i="3"/>
  <c r="M316" i="3" s="1"/>
  <c r="W259" i="3"/>
  <c r="U295" i="3" s="1"/>
  <c r="I243" i="3"/>
  <c r="F279" i="3"/>
  <c r="H279" i="3" s="1"/>
  <c r="AC241" i="3"/>
  <c r="Z277" i="3"/>
  <c r="AB277" i="3" s="1"/>
  <c r="AH243" i="3"/>
  <c r="AE279" i="3"/>
  <c r="AG279" i="3" s="1"/>
  <c r="X241" i="3"/>
  <c r="U277" i="3"/>
  <c r="W277" i="3" s="1"/>
  <c r="AH242" i="3"/>
  <c r="AE278" i="3"/>
  <c r="AG278" i="3" s="1"/>
  <c r="AI280" i="3"/>
  <c r="AK280" i="3" s="1"/>
  <c r="AI316" i="3" s="1"/>
  <c r="AL242" i="3"/>
  <c r="AI278" i="3"/>
  <c r="AK278" i="3" s="1"/>
  <c r="AI314" i="3" s="1"/>
  <c r="K277" i="3"/>
  <c r="M277" i="3" s="1"/>
  <c r="N277" i="3" s="1"/>
  <c r="AL243" i="3"/>
  <c r="AI279" i="3"/>
  <c r="AK279" i="3" s="1"/>
  <c r="AI315" i="3" s="1"/>
  <c r="AL241" i="3"/>
  <c r="AI277" i="3"/>
  <c r="AK277" i="3" s="1"/>
  <c r="AI313" i="3" s="1"/>
  <c r="AP243" i="3"/>
  <c r="AM279" i="3"/>
  <c r="AO279" i="3" s="1"/>
  <c r="AE280" i="3"/>
  <c r="AG280" i="3" s="1"/>
  <c r="AH241" i="3"/>
  <c r="AE277" i="3"/>
  <c r="AG277" i="3" s="1"/>
  <c r="AP242" i="3"/>
  <c r="AM278" i="3"/>
  <c r="AO278" i="3" s="1"/>
  <c r="AR280" i="3"/>
  <c r="AT280" i="3" s="1"/>
  <c r="AU241" i="3"/>
  <c r="AR277" i="3"/>
  <c r="AT277" i="3" s="1"/>
  <c r="F280" i="3"/>
  <c r="H280" i="3" s="1"/>
  <c r="AP241" i="3"/>
  <c r="AM277" i="3"/>
  <c r="AO277" i="3" s="1"/>
  <c r="AP244" i="3"/>
  <c r="AM280" i="3"/>
  <c r="AO280" i="3" s="1"/>
  <c r="AZ205" i="3"/>
  <c r="AW241" i="3"/>
  <c r="AY241" i="3" s="1"/>
  <c r="K243" i="3"/>
  <c r="M243" i="3" s="1"/>
  <c r="N243" i="3" s="1"/>
  <c r="AZ207" i="3"/>
  <c r="AW243" i="3"/>
  <c r="AY243" i="3" s="1"/>
  <c r="AZ208" i="3"/>
  <c r="AW244" i="3"/>
  <c r="AY244" i="3" s="1"/>
  <c r="AR270" i="3"/>
  <c r="AT270" i="3" s="1"/>
  <c r="AU234" i="3"/>
  <c r="AZ206" i="3"/>
  <c r="AW242" i="3"/>
  <c r="AY242" i="3" s="1"/>
  <c r="AU405" i="3"/>
  <c r="AE300" i="3"/>
  <c r="AG300" i="3" s="1"/>
  <c r="AE336" i="3" s="1"/>
  <c r="AH264" i="3"/>
  <c r="AM264" i="3"/>
  <c r="AO264" i="3" s="1"/>
  <c r="E404" i="3"/>
  <c r="E425" i="3" s="1"/>
  <c r="AC263" i="3"/>
  <c r="Z299" i="3"/>
  <c r="AB299" i="3" s="1"/>
  <c r="C340" i="3"/>
  <c r="D334" i="3"/>
  <c r="C332" i="3"/>
  <c r="K335" i="3"/>
  <c r="M335" i="3" s="1"/>
  <c r="N335" i="3" s="1"/>
  <c r="Z305" i="3"/>
  <c r="AB305" i="3" s="1"/>
  <c r="AC269" i="3"/>
  <c r="X237" i="3"/>
  <c r="U273" i="3"/>
  <c r="W273" i="3" s="1"/>
  <c r="Z337" i="3"/>
  <c r="AB337" i="3" s="1"/>
  <c r="AC301" i="3"/>
  <c r="AR260" i="3"/>
  <c r="AT260" i="3" s="1"/>
  <c r="AU224" i="3"/>
  <c r="C416" i="3"/>
  <c r="C407" i="33"/>
  <c r="C467" i="33" s="1"/>
  <c r="K268" i="3"/>
  <c r="M268" i="3" s="1"/>
  <c r="N268" i="3" s="1"/>
  <c r="C398" i="33"/>
  <c r="C458" i="33" s="1"/>
  <c r="C407" i="3"/>
  <c r="K301" i="3"/>
  <c r="M301" i="3" s="1"/>
  <c r="N301" i="3" s="1"/>
  <c r="F305" i="3"/>
  <c r="H305" i="3" s="1"/>
  <c r="I269" i="3"/>
  <c r="C399" i="33"/>
  <c r="C459" i="33" s="1"/>
  <c r="C408" i="3"/>
  <c r="AM267" i="3"/>
  <c r="AO267" i="3" s="1"/>
  <c r="AP231" i="3"/>
  <c r="Z273" i="3"/>
  <c r="AB273" i="3" s="1"/>
  <c r="AC237" i="3"/>
  <c r="Z370" i="3"/>
  <c r="AB370" i="3" s="1"/>
  <c r="AP238" i="3"/>
  <c r="AM274" i="3"/>
  <c r="AO274" i="3" s="1"/>
  <c r="AU263" i="3"/>
  <c r="AR299" i="3"/>
  <c r="AT299" i="3" s="1"/>
  <c r="K307" i="3"/>
  <c r="M307" i="3" s="1"/>
  <c r="N307" i="3" s="1"/>
  <c r="K297" i="3"/>
  <c r="M297" i="3" s="1"/>
  <c r="N297" i="3" s="1"/>
  <c r="X262" i="3"/>
  <c r="U298" i="3"/>
  <c r="W298" i="3" s="1"/>
  <c r="U310" i="3"/>
  <c r="W310" i="3" s="1"/>
  <c r="X274" i="3"/>
  <c r="AR340" i="3"/>
  <c r="AT340" i="3" s="1"/>
  <c r="AU304" i="3"/>
  <c r="AC260" i="3"/>
  <c r="Z296" i="3"/>
  <c r="AB296" i="3" s="1"/>
  <c r="AP224" i="3"/>
  <c r="AM260" i="3"/>
  <c r="AO260" i="3" s="1"/>
  <c r="AM270" i="3"/>
  <c r="AO270" i="3" s="1"/>
  <c r="AP234" i="3"/>
  <c r="Z333" i="3"/>
  <c r="AB333" i="3" s="1"/>
  <c r="AC297" i="3"/>
  <c r="K275" i="3"/>
  <c r="M275" i="3" s="1"/>
  <c r="N275" i="3" s="1"/>
  <c r="K267" i="3"/>
  <c r="M267" i="3" s="1"/>
  <c r="N267" i="3" s="1"/>
  <c r="K309" i="3"/>
  <c r="M309" i="3" s="1"/>
  <c r="N309" i="3" s="1"/>
  <c r="U341" i="3"/>
  <c r="W341" i="3" s="1"/>
  <c r="X305" i="3"/>
  <c r="AP235" i="3"/>
  <c r="AM271" i="3"/>
  <c r="AO271" i="3" s="1"/>
  <c r="Z312" i="3"/>
  <c r="AB312" i="3" s="1"/>
  <c r="AC276" i="3"/>
  <c r="D367" i="3"/>
  <c r="D463" i="2"/>
  <c r="AC268" i="3"/>
  <c r="Z304" i="3"/>
  <c r="AB304" i="3" s="1"/>
  <c r="AM276" i="3"/>
  <c r="AO276" i="3" s="1"/>
  <c r="AP240" i="3"/>
  <c r="Z267" i="3"/>
  <c r="AB267" i="3" s="1"/>
  <c r="AC231" i="3"/>
  <c r="C338" i="3"/>
  <c r="Z271" i="3"/>
  <c r="AB271" i="3" s="1"/>
  <c r="AC235" i="3"/>
  <c r="AM263" i="3"/>
  <c r="AO263" i="3" s="1"/>
  <c r="AP227" i="3"/>
  <c r="X268" i="3"/>
  <c r="U304" i="3"/>
  <c r="W304" i="3" s="1"/>
  <c r="U344" i="3"/>
  <c r="W344" i="3" s="1"/>
  <c r="X308" i="3"/>
  <c r="Z308" i="3"/>
  <c r="AB308" i="3" s="1"/>
  <c r="AC272" i="3"/>
  <c r="Z310" i="3"/>
  <c r="AB310" i="3" s="1"/>
  <c r="AC274" i="3"/>
  <c r="U265" i="3"/>
  <c r="W265" i="3" s="1"/>
  <c r="X229" i="3"/>
  <c r="AR276" i="3"/>
  <c r="AT276" i="3" s="1"/>
  <c r="AU240" i="3"/>
  <c r="K296" i="3"/>
  <c r="M296" i="3" s="1"/>
  <c r="N296" i="3" s="1"/>
  <c r="AP275" i="3"/>
  <c r="AM311" i="3"/>
  <c r="AO311" i="3" s="1"/>
  <c r="X276" i="3"/>
  <c r="U312" i="3"/>
  <c r="W312" i="3" s="1"/>
  <c r="X302" i="3"/>
  <c r="U338" i="3"/>
  <c r="W338" i="3" s="1"/>
  <c r="AM268" i="3"/>
  <c r="AO268" i="3" s="1"/>
  <c r="AP232" i="3"/>
  <c r="X270" i="3"/>
  <c r="U306" i="3"/>
  <c r="W306" i="3" s="1"/>
  <c r="X306" i="3" s="1"/>
  <c r="K312" i="3"/>
  <c r="M312" i="3" s="1"/>
  <c r="N312" i="3" s="1"/>
  <c r="AR303" i="3"/>
  <c r="AT303" i="3" s="1"/>
  <c r="AU267" i="3"/>
  <c r="AR311" i="3"/>
  <c r="AT311" i="3" s="1"/>
  <c r="AU275" i="3"/>
  <c r="K300" i="3"/>
  <c r="M300" i="3" s="1"/>
  <c r="N300" i="3" s="1"/>
  <c r="K370" i="3"/>
  <c r="M370" i="3" s="1"/>
  <c r="AC264" i="3"/>
  <c r="Z300" i="3"/>
  <c r="AB300" i="3" s="1"/>
  <c r="D410" i="3"/>
  <c r="D374" i="3"/>
  <c r="AM273" i="3"/>
  <c r="AO273" i="3" s="1"/>
  <c r="AP237" i="3"/>
  <c r="AM265" i="3"/>
  <c r="AO265" i="3" s="1"/>
  <c r="AP229" i="3"/>
  <c r="I228" i="3"/>
  <c r="F264" i="3"/>
  <c r="H264" i="3" s="1"/>
  <c r="I231" i="3"/>
  <c r="F267" i="3"/>
  <c r="H267" i="3" s="1"/>
  <c r="I263" i="3"/>
  <c r="F299" i="3"/>
  <c r="H299" i="3" s="1"/>
  <c r="U188" i="3"/>
  <c r="U209" i="3" s="1"/>
  <c r="X152" i="3"/>
  <c r="X173" i="3"/>
  <c r="AU265" i="3"/>
  <c r="AR301" i="3"/>
  <c r="AT301" i="3" s="1"/>
  <c r="I274" i="3"/>
  <c r="F310" i="3"/>
  <c r="H310" i="3" s="1"/>
  <c r="AR269" i="3"/>
  <c r="AT269" i="3" s="1"/>
  <c r="AU233" i="3"/>
  <c r="X271" i="3"/>
  <c r="U307" i="3"/>
  <c r="W307" i="3" s="1"/>
  <c r="AU228" i="3"/>
  <c r="AR264" i="3"/>
  <c r="AT264" i="3" s="1"/>
  <c r="AP302" i="3"/>
  <c r="AM338" i="3"/>
  <c r="AO338" i="3" s="1"/>
  <c r="X225" i="3"/>
  <c r="U261" i="3"/>
  <c r="W261" i="3" s="1"/>
  <c r="AW234" i="3"/>
  <c r="AY234" i="3" s="1"/>
  <c r="AZ198" i="3"/>
  <c r="AB158" i="3"/>
  <c r="AB173" i="3" s="1"/>
  <c r="I265" i="3"/>
  <c r="F301" i="3"/>
  <c r="H301" i="3" s="1"/>
  <c r="AM272" i="3"/>
  <c r="AO272" i="3" s="1"/>
  <c r="AP236" i="3"/>
  <c r="AU309" i="3"/>
  <c r="AR345" i="3"/>
  <c r="AT345" i="3" s="1"/>
  <c r="I266" i="3"/>
  <c r="F302" i="3"/>
  <c r="H302" i="3" s="1"/>
  <c r="AW269" i="3"/>
  <c r="AY269" i="3" s="1"/>
  <c r="AZ233" i="3"/>
  <c r="X303" i="3"/>
  <c r="X227" i="3"/>
  <c r="U263" i="3"/>
  <c r="W263" i="3" s="1"/>
  <c r="F307" i="3"/>
  <c r="H307" i="3" s="1"/>
  <c r="I271" i="3"/>
  <c r="AW231" i="3"/>
  <c r="AY231" i="3" s="1"/>
  <c r="AZ195" i="3"/>
  <c r="AW236" i="3"/>
  <c r="AY236" i="3" s="1"/>
  <c r="AZ200" i="3"/>
  <c r="AB187" i="3"/>
  <c r="F312" i="3"/>
  <c r="H312" i="3" s="1"/>
  <c r="I276" i="3"/>
  <c r="AZ202" i="3"/>
  <c r="AW238" i="3"/>
  <c r="AY238" i="3" s="1"/>
  <c r="AZ204" i="3"/>
  <c r="AW240" i="3"/>
  <c r="AY240" i="3" s="1"/>
  <c r="I268" i="3"/>
  <c r="F304" i="3"/>
  <c r="H304" i="3" s="1"/>
  <c r="AZ203" i="3"/>
  <c r="AW239" i="3"/>
  <c r="AY239" i="3" s="1"/>
  <c r="K308" i="3"/>
  <c r="M308" i="3" s="1"/>
  <c r="N308" i="3" s="1"/>
  <c r="AW225" i="3"/>
  <c r="AY225" i="3" s="1"/>
  <c r="AZ189" i="3"/>
  <c r="K269" i="3"/>
  <c r="M269" i="3" s="1"/>
  <c r="N269" i="3" s="1"/>
  <c r="AM262" i="3"/>
  <c r="AO262" i="3" s="1"/>
  <c r="AP226" i="3"/>
  <c r="M151" i="3"/>
  <c r="F311" i="3"/>
  <c r="H311" i="3" s="1"/>
  <c r="I275" i="3"/>
  <c r="AZ191" i="3"/>
  <c r="AW227" i="3"/>
  <c r="AY227" i="3" s="1"/>
  <c r="C339" i="3"/>
  <c r="AW229" i="3"/>
  <c r="AY229" i="3" s="1"/>
  <c r="AZ193" i="3"/>
  <c r="AR274" i="3"/>
  <c r="AT274" i="3" s="1"/>
  <c r="AU238" i="3"/>
  <c r="AZ188" i="3"/>
  <c r="AW224" i="3"/>
  <c r="AY224" i="3" s="1"/>
  <c r="AZ224" i="3" s="1"/>
  <c r="AZ79" i="3"/>
  <c r="AW115" i="3"/>
  <c r="AY101" i="3"/>
  <c r="AZ101" i="3" s="1"/>
  <c r="AZ194" i="3"/>
  <c r="AW230" i="3"/>
  <c r="AY230" i="3" s="1"/>
  <c r="AR271" i="3"/>
  <c r="AT271" i="3" s="1"/>
  <c r="AU235" i="3"/>
  <c r="F187" i="3"/>
  <c r="F209" i="3" s="1"/>
  <c r="I151" i="3"/>
  <c r="AR334" i="3"/>
  <c r="AT334" i="3" s="1"/>
  <c r="AU298" i="3"/>
  <c r="AR266" i="3"/>
  <c r="AT266" i="3" s="1"/>
  <c r="AU230" i="3"/>
  <c r="AW228" i="3"/>
  <c r="AY228" i="3" s="1"/>
  <c r="AZ192" i="3"/>
  <c r="X228" i="3"/>
  <c r="U264" i="3"/>
  <c r="W264" i="3" s="1"/>
  <c r="AO153" i="3"/>
  <c r="AO173" i="3" s="1"/>
  <c r="AZ196" i="3"/>
  <c r="AW232" i="3"/>
  <c r="AY232" i="3" s="1"/>
  <c r="AP187" i="3"/>
  <c r="AM223" i="3"/>
  <c r="I273" i="3"/>
  <c r="F309" i="3"/>
  <c r="H309" i="3" s="1"/>
  <c r="X311" i="3"/>
  <c r="AC311" i="3"/>
  <c r="AT151" i="3"/>
  <c r="AT173" i="3" s="1"/>
  <c r="F296" i="3"/>
  <c r="H296" i="3" s="1"/>
  <c r="I260" i="3"/>
  <c r="AU236" i="3"/>
  <c r="AR272" i="3"/>
  <c r="AT272" i="3" s="1"/>
  <c r="AZ201" i="3"/>
  <c r="AW237" i="3"/>
  <c r="AY237" i="3" s="1"/>
  <c r="AP233" i="3"/>
  <c r="AM269" i="3"/>
  <c r="AO269" i="3" s="1"/>
  <c r="AW235" i="3"/>
  <c r="AY235" i="3" s="1"/>
  <c r="AZ199" i="3"/>
  <c r="I272" i="3"/>
  <c r="F308" i="3"/>
  <c r="H308" i="3" s="1"/>
  <c r="U411" i="3"/>
  <c r="W411" i="3" s="1"/>
  <c r="K302" i="3"/>
  <c r="AE296" i="3"/>
  <c r="AG296" i="3" s="1"/>
  <c r="AH260" i="3"/>
  <c r="AI271" i="3"/>
  <c r="AK271" i="3" s="1"/>
  <c r="AI307" i="3" s="1"/>
  <c r="AL235" i="3"/>
  <c r="AK347" i="3"/>
  <c r="AL311" i="3"/>
  <c r="AK345" i="3"/>
  <c r="AL309" i="3"/>
  <c r="AK346" i="3"/>
  <c r="AL310" i="3"/>
  <c r="AI276" i="3"/>
  <c r="AK276" i="3" s="1"/>
  <c r="AI312" i="3" s="1"/>
  <c r="AL240" i="3"/>
  <c r="AK340" i="3"/>
  <c r="AL304" i="3"/>
  <c r="AE299" i="3"/>
  <c r="AG299" i="3" s="1"/>
  <c r="AE335" i="3" s="1"/>
  <c r="AH263" i="3"/>
  <c r="AE301" i="3"/>
  <c r="AG301" i="3" s="1"/>
  <c r="AE337" i="3" s="1"/>
  <c r="AH265" i="3"/>
  <c r="AL233" i="3"/>
  <c r="AI269" i="3"/>
  <c r="AK269" i="3" s="1"/>
  <c r="AI305" i="3" s="1"/>
  <c r="AI380" i="3"/>
  <c r="AK380" i="3" s="1"/>
  <c r="AL344" i="3"/>
  <c r="AE266" i="3"/>
  <c r="AG266" i="3" s="1"/>
  <c r="AH230" i="3"/>
  <c r="AK339" i="3"/>
  <c r="AL303" i="3"/>
  <c r="AE270" i="3"/>
  <c r="AG270" i="3" s="1"/>
  <c r="AH234" i="3"/>
  <c r="AE297" i="3"/>
  <c r="AG297" i="3" s="1"/>
  <c r="AH261" i="3"/>
  <c r="AE370" i="3"/>
  <c r="AG370" i="3" s="1"/>
  <c r="AE406" i="3" s="1"/>
  <c r="AE272" i="3"/>
  <c r="AG272" i="3" s="1"/>
  <c r="AH236" i="3"/>
  <c r="AE268" i="3"/>
  <c r="AG268" i="3" s="1"/>
  <c r="AH232" i="3"/>
  <c r="AI266" i="3"/>
  <c r="AK266" i="3" s="1"/>
  <c r="AI302" i="3" s="1"/>
  <c r="AL230" i="3"/>
  <c r="AE382" i="3"/>
  <c r="AG382" i="3" s="1"/>
  <c r="AE418" i="3" s="1"/>
  <c r="AH346" i="3"/>
  <c r="AE276" i="3"/>
  <c r="AG276" i="3" s="1"/>
  <c r="AH240" i="3"/>
  <c r="AE275" i="3"/>
  <c r="AG275" i="3" s="1"/>
  <c r="AH239" i="3"/>
  <c r="AG339" i="3"/>
  <c r="AH303" i="3"/>
  <c r="AE151" i="3"/>
  <c r="AE173" i="3" s="1"/>
  <c r="AG137" i="3"/>
  <c r="AH137" i="3" s="1"/>
  <c r="AH115" i="3"/>
  <c r="AI405" i="3"/>
  <c r="AK405" i="3" s="1"/>
  <c r="AK137" i="3"/>
  <c r="AL137" i="3" s="1"/>
  <c r="AI151" i="3"/>
  <c r="AI173" i="3" s="1"/>
  <c r="AL115" i="3"/>
  <c r="AE273" i="3"/>
  <c r="AG273" i="3" s="1"/>
  <c r="AH237" i="3"/>
  <c r="AL270" i="3"/>
  <c r="AK306" i="3"/>
  <c r="AI342" i="3" s="1"/>
  <c r="AE271" i="3"/>
  <c r="AG271" i="3" s="1"/>
  <c r="AH235" i="3"/>
  <c r="AE269" i="3"/>
  <c r="AG269" i="3" s="1"/>
  <c r="AH233" i="3"/>
  <c r="H260" i="33"/>
  <c r="H435" i="33"/>
  <c r="J435" i="33" s="1"/>
  <c r="H268" i="33"/>
  <c r="K265" i="33"/>
  <c r="H300" i="33"/>
  <c r="J300" i="33" s="1"/>
  <c r="H335" i="33" s="1"/>
  <c r="J335" i="33" s="1"/>
  <c r="K335" i="33" s="1"/>
  <c r="F263" i="33"/>
  <c r="F300" i="33"/>
  <c r="D335" i="33" s="1"/>
  <c r="F335" i="33" s="1"/>
  <c r="G335" i="33" s="1"/>
  <c r="G265" i="33"/>
  <c r="K150" i="33"/>
  <c r="D269" i="33"/>
  <c r="D267" i="33"/>
  <c r="H256" i="33"/>
  <c r="D258" i="33"/>
  <c r="D266" i="33"/>
  <c r="D256" i="33"/>
  <c r="H269" i="33"/>
  <c r="D259" i="33"/>
  <c r="D268" i="33"/>
  <c r="D261" i="33"/>
  <c r="H261" i="33"/>
  <c r="D262" i="33"/>
  <c r="H257" i="33"/>
  <c r="H262" i="33"/>
  <c r="K132" i="33"/>
  <c r="H267" i="33"/>
  <c r="H258" i="33"/>
  <c r="H264" i="33"/>
  <c r="H259" i="33"/>
  <c r="H266" i="33"/>
  <c r="D437" i="33"/>
  <c r="F437" i="33" s="1"/>
  <c r="D260" i="33"/>
  <c r="D257" i="33"/>
  <c r="D264" i="33"/>
  <c r="G132" i="33"/>
  <c r="AB306" i="3"/>
  <c r="G306" i="33" l="1"/>
  <c r="D245" i="3"/>
  <c r="S244" i="3"/>
  <c r="N244" i="3"/>
  <c r="N274" i="3"/>
  <c r="K310" i="3"/>
  <c r="M310" i="3" s="1"/>
  <c r="N270" i="3"/>
  <c r="K306" i="3"/>
  <c r="M306" i="3" s="1"/>
  <c r="M173" i="3"/>
  <c r="N173" i="3" s="1"/>
  <c r="N151" i="3"/>
  <c r="S374" i="3"/>
  <c r="S367" i="3"/>
  <c r="S334" i="3"/>
  <c r="N334" i="3"/>
  <c r="S410" i="3"/>
  <c r="S332" i="3"/>
  <c r="S373" i="3"/>
  <c r="S409" i="3"/>
  <c r="AZ154" i="3"/>
  <c r="AW190" i="3"/>
  <c r="AY190" i="3" s="1"/>
  <c r="AU244" i="3"/>
  <c r="K239" i="33"/>
  <c r="G239" i="33"/>
  <c r="C340" i="33"/>
  <c r="C347" i="3"/>
  <c r="C423" i="2"/>
  <c r="C273" i="33"/>
  <c r="C278" i="3"/>
  <c r="I278" i="3" s="1"/>
  <c r="E422" i="2"/>
  <c r="C434" i="33"/>
  <c r="D279" i="3"/>
  <c r="S279" i="3" s="1"/>
  <c r="X243" i="3"/>
  <c r="AC243" i="3"/>
  <c r="C240" i="33"/>
  <c r="C244" i="3"/>
  <c r="C245" i="3" s="1"/>
  <c r="D418" i="3"/>
  <c r="S418" i="3" s="1"/>
  <c r="D383" i="3"/>
  <c r="S383" i="3" s="1"/>
  <c r="D423" i="2"/>
  <c r="AL408" i="3"/>
  <c r="AL407" i="3"/>
  <c r="AL369" i="3"/>
  <c r="AL334" i="3"/>
  <c r="F313" i="3"/>
  <c r="H313" i="3" s="1"/>
  <c r="F349" i="3" s="1"/>
  <c r="H349" i="3" s="1"/>
  <c r="I277" i="3"/>
  <c r="R169" i="3"/>
  <c r="S169" i="3" s="1"/>
  <c r="P173" i="3"/>
  <c r="F298" i="3"/>
  <c r="H298" i="3" s="1"/>
  <c r="I262" i="3"/>
  <c r="I270" i="3"/>
  <c r="F306" i="3"/>
  <c r="H306" i="3" s="1"/>
  <c r="F314" i="3"/>
  <c r="H314" i="3" s="1"/>
  <c r="I225" i="3"/>
  <c r="F261" i="3"/>
  <c r="H261" i="3" s="1"/>
  <c r="I241" i="3"/>
  <c r="H380" i="33"/>
  <c r="J380" i="33" s="1"/>
  <c r="H378" i="33"/>
  <c r="J378" i="33" s="1"/>
  <c r="AH334" i="3"/>
  <c r="C394" i="33"/>
  <c r="C454" i="33" s="1"/>
  <c r="C403" i="3"/>
  <c r="AC334" i="3"/>
  <c r="D415" i="33"/>
  <c r="F415" i="33" s="1"/>
  <c r="C373" i="3"/>
  <c r="C365" i="33"/>
  <c r="G133" i="33"/>
  <c r="D168" i="33"/>
  <c r="F168" i="33" s="1"/>
  <c r="K131" i="33"/>
  <c r="H166" i="33"/>
  <c r="J167" i="33"/>
  <c r="J414" i="33"/>
  <c r="H474" i="33"/>
  <c r="F379" i="33"/>
  <c r="C378" i="3"/>
  <c r="C370" i="33"/>
  <c r="C362" i="33"/>
  <c r="C370" i="3"/>
  <c r="C369" i="33"/>
  <c r="C377" i="3"/>
  <c r="E337" i="2"/>
  <c r="K185" i="33"/>
  <c r="H220" i="33"/>
  <c r="H289" i="33"/>
  <c r="J289" i="33" s="1"/>
  <c r="K254" i="33"/>
  <c r="D404" i="3"/>
  <c r="D368" i="3"/>
  <c r="G219" i="33"/>
  <c r="D254" i="33"/>
  <c r="F254" i="33" s="1"/>
  <c r="D202" i="33"/>
  <c r="C396" i="33"/>
  <c r="C456" i="33" s="1"/>
  <c r="C405" i="3"/>
  <c r="X259" i="3"/>
  <c r="Z386" i="3"/>
  <c r="AB386" i="3" s="1"/>
  <c r="AR387" i="3"/>
  <c r="AT387" i="3" s="1"/>
  <c r="AR386" i="3"/>
  <c r="AT386" i="3" s="1"/>
  <c r="AI373" i="3"/>
  <c r="AK373" i="3" s="1"/>
  <c r="AL337" i="3"/>
  <c r="U350" i="3"/>
  <c r="W350" i="3" s="1"/>
  <c r="AL332" i="3"/>
  <c r="U351" i="3"/>
  <c r="W351" i="3" s="1"/>
  <c r="U352" i="3"/>
  <c r="W352" i="3" s="1"/>
  <c r="K352" i="3"/>
  <c r="M352" i="3" s="1"/>
  <c r="Z351" i="3"/>
  <c r="AB351" i="3" s="1"/>
  <c r="K350" i="3"/>
  <c r="M350" i="3" s="1"/>
  <c r="Z352" i="3"/>
  <c r="AB352" i="3" s="1"/>
  <c r="AP277" i="3"/>
  <c r="AM313" i="3"/>
  <c r="AO313" i="3" s="1"/>
  <c r="AP278" i="3"/>
  <c r="AM314" i="3"/>
  <c r="AO314" i="3" s="1"/>
  <c r="AL277" i="3"/>
  <c r="AK313" i="3"/>
  <c r="AI349" i="3" s="1"/>
  <c r="AK316" i="3"/>
  <c r="AI352" i="3" s="1"/>
  <c r="AC277" i="3"/>
  <c r="Z313" i="3"/>
  <c r="AB313" i="3" s="1"/>
  <c r="F316" i="3"/>
  <c r="H316" i="3" s="1"/>
  <c r="AH277" i="3"/>
  <c r="AE313" i="3"/>
  <c r="AG313" i="3" s="1"/>
  <c r="AE349" i="3" s="1"/>
  <c r="AK315" i="3"/>
  <c r="AI351" i="3" s="1"/>
  <c r="AE314" i="3"/>
  <c r="AG314" i="3" s="1"/>
  <c r="AE350" i="3" s="1"/>
  <c r="F315" i="3"/>
  <c r="H315" i="3" s="1"/>
  <c r="AU277" i="3"/>
  <c r="AR313" i="3"/>
  <c r="AT313" i="3" s="1"/>
  <c r="AE316" i="3"/>
  <c r="AG316" i="3" s="1"/>
  <c r="AE352" i="3" s="1"/>
  <c r="K313" i="3"/>
  <c r="M313" i="3" s="1"/>
  <c r="N313" i="3" s="1"/>
  <c r="X277" i="3"/>
  <c r="U313" i="3"/>
  <c r="W313" i="3" s="1"/>
  <c r="W295" i="3"/>
  <c r="X295" i="3" s="1"/>
  <c r="AP280" i="3"/>
  <c r="AM316" i="3"/>
  <c r="AO316" i="3" s="1"/>
  <c r="AR316" i="3"/>
  <c r="AT316" i="3" s="1"/>
  <c r="AP279" i="3"/>
  <c r="AM315" i="3"/>
  <c r="AO315" i="3" s="1"/>
  <c r="AK314" i="3"/>
  <c r="AI350" i="3" s="1"/>
  <c r="AE315" i="3"/>
  <c r="AG315" i="3" s="1"/>
  <c r="AE351" i="3" s="1"/>
  <c r="AW280" i="3"/>
  <c r="AY280" i="3" s="1"/>
  <c r="AZ243" i="3"/>
  <c r="AW279" i="3"/>
  <c r="AY279" i="3" s="1"/>
  <c r="AZ242" i="3"/>
  <c r="AW278" i="3"/>
  <c r="AY278" i="3" s="1"/>
  <c r="K279" i="3"/>
  <c r="M279" i="3" s="1"/>
  <c r="N279" i="3" s="1"/>
  <c r="AZ241" i="3"/>
  <c r="AW277" i="3"/>
  <c r="AY277" i="3" s="1"/>
  <c r="AR306" i="3"/>
  <c r="AT306" i="3" s="1"/>
  <c r="AU270" i="3"/>
  <c r="U342" i="3"/>
  <c r="W342" i="3" s="1"/>
  <c r="AG336" i="3"/>
  <c r="AH300" i="3"/>
  <c r="Z335" i="3"/>
  <c r="AB335" i="3" s="1"/>
  <c r="AC299" i="3"/>
  <c r="C376" i="3"/>
  <c r="C368" i="33"/>
  <c r="C360" i="33"/>
  <c r="C368" i="3"/>
  <c r="D406" i="3"/>
  <c r="D370" i="3"/>
  <c r="K371" i="3"/>
  <c r="M371" i="3" s="1"/>
  <c r="N371" i="3" s="1"/>
  <c r="G167" i="33"/>
  <c r="AP267" i="3"/>
  <c r="AM303" i="3"/>
  <c r="AO303" i="3" s="1"/>
  <c r="AP274" i="3"/>
  <c r="AM310" i="3"/>
  <c r="AO310" i="3" s="1"/>
  <c r="Z373" i="3"/>
  <c r="AB373" i="3" s="1"/>
  <c r="AC337" i="3"/>
  <c r="U309" i="3"/>
  <c r="W309" i="3" s="1"/>
  <c r="X273" i="3"/>
  <c r="Z406" i="3"/>
  <c r="AB406" i="3" s="1"/>
  <c r="I305" i="3"/>
  <c r="F341" i="3"/>
  <c r="H341" i="3" s="1"/>
  <c r="K304" i="3"/>
  <c r="M304" i="3" s="1"/>
  <c r="N304" i="3" s="1"/>
  <c r="AU260" i="3"/>
  <c r="AR296" i="3"/>
  <c r="AT296" i="3" s="1"/>
  <c r="K343" i="3"/>
  <c r="M343" i="3" s="1"/>
  <c r="N343" i="3" s="1"/>
  <c r="AC273" i="3"/>
  <c r="Z309" i="3"/>
  <c r="AB309" i="3" s="1"/>
  <c r="AC305" i="3"/>
  <c r="Z341" i="3"/>
  <c r="AB341" i="3" s="1"/>
  <c r="AR335" i="3"/>
  <c r="AT335" i="3" s="1"/>
  <c r="AU299" i="3"/>
  <c r="K337" i="3"/>
  <c r="M337" i="3" s="1"/>
  <c r="N337" i="3" s="1"/>
  <c r="K336" i="3"/>
  <c r="M336" i="3" s="1"/>
  <c r="N336" i="3" s="1"/>
  <c r="X312" i="3"/>
  <c r="U348" i="3"/>
  <c r="W348" i="3" s="1"/>
  <c r="Z348" i="3"/>
  <c r="AB348" i="3" s="1"/>
  <c r="AC312" i="3"/>
  <c r="K345" i="3"/>
  <c r="M345" i="3" s="1"/>
  <c r="N345" i="3" s="1"/>
  <c r="AM306" i="3"/>
  <c r="AO306" i="3" s="1"/>
  <c r="AP270" i="3"/>
  <c r="AP273" i="3"/>
  <c r="AM309" i="3"/>
  <c r="AO309" i="3" s="1"/>
  <c r="AR312" i="3"/>
  <c r="AT312" i="3" s="1"/>
  <c r="AU276" i="3"/>
  <c r="Z344" i="3"/>
  <c r="AB344" i="3" s="1"/>
  <c r="AC308" i="3"/>
  <c r="AC271" i="3"/>
  <c r="Z307" i="3"/>
  <c r="AB307" i="3" s="1"/>
  <c r="AM312" i="3"/>
  <c r="AO312" i="3" s="1"/>
  <c r="AP276" i="3"/>
  <c r="AM307" i="3"/>
  <c r="AO307" i="3" s="1"/>
  <c r="AP271" i="3"/>
  <c r="AP260" i="3"/>
  <c r="AM296" i="3"/>
  <c r="AO296" i="3" s="1"/>
  <c r="AP311" i="3"/>
  <c r="AM347" i="3"/>
  <c r="AO347" i="3" s="1"/>
  <c r="Z340" i="3"/>
  <c r="AB340" i="3" s="1"/>
  <c r="AC304" i="3"/>
  <c r="K303" i="3"/>
  <c r="M303" i="3" s="1"/>
  <c r="N303" i="3" s="1"/>
  <c r="U346" i="3"/>
  <c r="W346" i="3" s="1"/>
  <c r="X310" i="3"/>
  <c r="AP265" i="3"/>
  <c r="AM301" i="3"/>
  <c r="AO301" i="3" s="1"/>
  <c r="AR347" i="3"/>
  <c r="AT347" i="3" s="1"/>
  <c r="AU311" i="3"/>
  <c r="X344" i="3"/>
  <c r="U380" i="3"/>
  <c r="W380" i="3" s="1"/>
  <c r="Z332" i="3"/>
  <c r="AB332" i="3" s="1"/>
  <c r="AC296" i="3"/>
  <c r="U334" i="3"/>
  <c r="W334" i="3" s="1"/>
  <c r="X298" i="3"/>
  <c r="AC300" i="3"/>
  <c r="Z336" i="3"/>
  <c r="AB336" i="3" s="1"/>
  <c r="X304" i="3"/>
  <c r="U340" i="3"/>
  <c r="W340" i="3" s="1"/>
  <c r="D403" i="3"/>
  <c r="K311" i="3"/>
  <c r="M311" i="3" s="1"/>
  <c r="N311" i="3" s="1"/>
  <c r="AR339" i="3"/>
  <c r="AT339" i="3" s="1"/>
  <c r="AU303" i="3"/>
  <c r="AP268" i="3"/>
  <c r="AM304" i="3"/>
  <c r="AO304" i="3" s="1"/>
  <c r="U301" i="3"/>
  <c r="W301" i="3" s="1"/>
  <c r="X265" i="3"/>
  <c r="C374" i="3"/>
  <c r="C366" i="33"/>
  <c r="K333" i="3"/>
  <c r="M333" i="3" s="1"/>
  <c r="N333" i="3" s="1"/>
  <c r="K406" i="3"/>
  <c r="M406" i="3" s="1"/>
  <c r="X338" i="3"/>
  <c r="U374" i="3"/>
  <c r="W374" i="3" s="1"/>
  <c r="K332" i="3"/>
  <c r="M332" i="3" s="1"/>
  <c r="N332" i="3" s="1"/>
  <c r="U377" i="3"/>
  <c r="W377" i="3" s="1"/>
  <c r="X341" i="3"/>
  <c r="Z369" i="3"/>
  <c r="AB369" i="3" s="1"/>
  <c r="AC333" i="3"/>
  <c r="AR376" i="3"/>
  <c r="AT376" i="3" s="1"/>
  <c r="AU340" i="3"/>
  <c r="K348" i="3"/>
  <c r="M348" i="3" s="1"/>
  <c r="N348" i="3" s="1"/>
  <c r="Z346" i="3"/>
  <c r="AB346" i="3" s="1"/>
  <c r="AC310" i="3"/>
  <c r="AM299" i="3"/>
  <c r="AO299" i="3" s="1"/>
  <c r="AP263" i="3"/>
  <c r="Z303" i="3"/>
  <c r="AB303" i="3" s="1"/>
  <c r="AC267" i="3"/>
  <c r="F344" i="3"/>
  <c r="H344" i="3" s="1"/>
  <c r="I308" i="3"/>
  <c r="AR307" i="3"/>
  <c r="AT307" i="3" s="1"/>
  <c r="AU271" i="3"/>
  <c r="AP262" i="3"/>
  <c r="AM298" i="3"/>
  <c r="AO298" i="3" s="1"/>
  <c r="F340" i="3"/>
  <c r="H340" i="3" s="1"/>
  <c r="I304" i="3"/>
  <c r="AR300" i="3"/>
  <c r="AT300" i="3" s="1"/>
  <c r="AU264" i="3"/>
  <c r="F332" i="3"/>
  <c r="H332" i="3" s="1"/>
  <c r="I296" i="3"/>
  <c r="I309" i="3"/>
  <c r="F345" i="3"/>
  <c r="H345" i="3" s="1"/>
  <c r="AP153" i="3"/>
  <c r="AM189" i="3"/>
  <c r="AM209" i="3" s="1"/>
  <c r="AP173" i="3"/>
  <c r="AR302" i="3"/>
  <c r="AT302" i="3" s="1"/>
  <c r="AU266" i="3"/>
  <c r="I311" i="3"/>
  <c r="F347" i="3"/>
  <c r="H347" i="3" s="1"/>
  <c r="AC187" i="3"/>
  <c r="Z223" i="3"/>
  <c r="AZ269" i="3"/>
  <c r="AW305" i="3"/>
  <c r="AY305" i="3" s="1"/>
  <c r="Z194" i="3"/>
  <c r="Z209" i="3" s="1"/>
  <c r="AC158" i="3"/>
  <c r="AC173" i="3"/>
  <c r="W188" i="3"/>
  <c r="W209" i="3" s="1"/>
  <c r="X209" i="3" s="1"/>
  <c r="AZ237" i="3"/>
  <c r="AW273" i="3"/>
  <c r="AY273" i="3" s="1"/>
  <c r="K305" i="3"/>
  <c r="M305" i="3" s="1"/>
  <c r="N305" i="3" s="1"/>
  <c r="AC347" i="3"/>
  <c r="X347" i="3"/>
  <c r="AU334" i="3"/>
  <c r="AR370" i="3"/>
  <c r="AT370" i="3" s="1"/>
  <c r="AZ230" i="3"/>
  <c r="AW266" i="3"/>
  <c r="AY266" i="3" s="1"/>
  <c r="AU274" i="3"/>
  <c r="AR310" i="3"/>
  <c r="AT310" i="3" s="1"/>
  <c r="C375" i="3"/>
  <c r="C367" i="33"/>
  <c r="K344" i="3"/>
  <c r="M344" i="3" s="1"/>
  <c r="N344" i="3" s="1"/>
  <c r="AZ236" i="3"/>
  <c r="AW272" i="3"/>
  <c r="AY272" i="3" s="1"/>
  <c r="AP272" i="3"/>
  <c r="AM308" i="3"/>
  <c r="AO308" i="3" s="1"/>
  <c r="AW270" i="3"/>
  <c r="AY270" i="3" s="1"/>
  <c r="AZ234" i="3"/>
  <c r="X307" i="3"/>
  <c r="U343" i="3"/>
  <c r="W343" i="3" s="1"/>
  <c r="F346" i="3"/>
  <c r="H346" i="3" s="1"/>
  <c r="I310" i="3"/>
  <c r="X339" i="3"/>
  <c r="AW260" i="3"/>
  <c r="AY260" i="3" s="1"/>
  <c r="AO223" i="3"/>
  <c r="U300" i="3"/>
  <c r="W300" i="3" s="1"/>
  <c r="X264" i="3"/>
  <c r="AW263" i="3"/>
  <c r="AY263" i="3" s="1"/>
  <c r="AZ227" i="3"/>
  <c r="AW274" i="3"/>
  <c r="AY274" i="3" s="1"/>
  <c r="AZ238" i="3"/>
  <c r="I302" i="3"/>
  <c r="F338" i="3"/>
  <c r="H338" i="3" s="1"/>
  <c r="U297" i="3"/>
  <c r="W297" i="3" s="1"/>
  <c r="X261" i="3"/>
  <c r="I299" i="3"/>
  <c r="F335" i="3"/>
  <c r="H335" i="3" s="1"/>
  <c r="I267" i="3"/>
  <c r="F303" i="3"/>
  <c r="H303" i="3" s="1"/>
  <c r="AW276" i="3"/>
  <c r="AY276" i="3" s="1"/>
  <c r="AZ240" i="3"/>
  <c r="AZ235" i="3"/>
  <c r="AW271" i="3"/>
  <c r="AY271" i="3" s="1"/>
  <c r="AR187" i="3"/>
  <c r="AR209" i="3" s="1"/>
  <c r="AU151" i="3"/>
  <c r="AU173" i="3"/>
  <c r="AW265" i="3"/>
  <c r="AY265" i="3" s="1"/>
  <c r="AZ229" i="3"/>
  <c r="AW267" i="3"/>
  <c r="AY267" i="3" s="1"/>
  <c r="AZ231" i="3"/>
  <c r="AR337" i="3"/>
  <c r="AT337" i="3" s="1"/>
  <c r="AU301" i="3"/>
  <c r="U299" i="3"/>
  <c r="W299" i="3" s="1"/>
  <c r="X263" i="3"/>
  <c r="AP269" i="3"/>
  <c r="AM305" i="3"/>
  <c r="AO305" i="3" s="1"/>
  <c r="AU272" i="3"/>
  <c r="AR308" i="3"/>
  <c r="AT308" i="3" s="1"/>
  <c r="AZ232" i="3"/>
  <c r="AW268" i="3"/>
  <c r="AY268" i="3" s="1"/>
  <c r="H187" i="3"/>
  <c r="AW137" i="3"/>
  <c r="AY115" i="3"/>
  <c r="AW261" i="3"/>
  <c r="AY261" i="3" s="1"/>
  <c r="AZ225" i="3"/>
  <c r="AW275" i="3"/>
  <c r="AY275" i="3" s="1"/>
  <c r="AZ239" i="3"/>
  <c r="AR381" i="3"/>
  <c r="AT381" i="3" s="1"/>
  <c r="AU345" i="3"/>
  <c r="I301" i="3"/>
  <c r="F337" i="3"/>
  <c r="H337" i="3" s="1"/>
  <c r="AP338" i="3"/>
  <c r="AM374" i="3"/>
  <c r="AO374" i="3" s="1"/>
  <c r="AR305" i="3"/>
  <c r="AT305" i="3" s="1"/>
  <c r="AU269" i="3"/>
  <c r="I264" i="3"/>
  <c r="F300" i="3"/>
  <c r="H300" i="3" s="1"/>
  <c r="K187" i="3"/>
  <c r="K209" i="3" s="1"/>
  <c r="AW264" i="3"/>
  <c r="AY264" i="3" s="1"/>
  <c r="AZ228" i="3"/>
  <c r="I312" i="3"/>
  <c r="F348" i="3"/>
  <c r="H348" i="3" s="1"/>
  <c r="F343" i="3"/>
  <c r="H343" i="3" s="1"/>
  <c r="I307" i="3"/>
  <c r="AM300" i="3"/>
  <c r="AP264" i="3"/>
  <c r="M302" i="3"/>
  <c r="N302" i="3" s="1"/>
  <c r="AL345" i="3"/>
  <c r="AI381" i="3"/>
  <c r="AK381" i="3" s="1"/>
  <c r="AI383" i="3"/>
  <c r="AK383" i="3" s="1"/>
  <c r="AL347" i="3"/>
  <c r="AK307" i="3"/>
  <c r="AI343" i="3" s="1"/>
  <c r="AL271" i="3"/>
  <c r="AL346" i="3"/>
  <c r="AI382" i="3"/>
  <c r="AK382" i="3" s="1"/>
  <c r="AE332" i="3"/>
  <c r="AG332" i="3" s="1"/>
  <c r="AH296" i="3"/>
  <c r="AE308" i="3"/>
  <c r="AG308" i="3" s="1"/>
  <c r="AE344" i="3" s="1"/>
  <c r="AH272" i="3"/>
  <c r="AE333" i="3"/>
  <c r="AG333" i="3" s="1"/>
  <c r="AH297" i="3"/>
  <c r="AG335" i="3"/>
  <c r="AH299" i="3"/>
  <c r="AG418" i="3"/>
  <c r="AG406" i="3"/>
  <c r="AE306" i="3"/>
  <c r="AG306" i="3" s="1"/>
  <c r="AE342" i="3" s="1"/>
  <c r="AH270" i="3"/>
  <c r="AI416" i="3"/>
  <c r="AK416" i="3" s="1"/>
  <c r="AL416" i="3" s="1"/>
  <c r="AL380" i="3"/>
  <c r="AL269" i="3"/>
  <c r="AK305" i="3"/>
  <c r="AI341" i="3" s="1"/>
  <c r="AL266" i="3"/>
  <c r="AK302" i="3"/>
  <c r="AI338" i="3" s="1"/>
  <c r="AL339" i="3"/>
  <c r="AI375" i="3"/>
  <c r="AK375" i="3" s="1"/>
  <c r="AI376" i="3"/>
  <c r="AK376" i="3" s="1"/>
  <c r="AL340" i="3"/>
  <c r="AE304" i="3"/>
  <c r="AG304" i="3" s="1"/>
  <c r="AE340" i="3" s="1"/>
  <c r="AH268" i="3"/>
  <c r="AE302" i="3"/>
  <c r="AG302" i="3" s="1"/>
  <c r="AE338" i="3" s="1"/>
  <c r="AH266" i="3"/>
  <c r="AG337" i="3"/>
  <c r="AH301" i="3"/>
  <c r="AK312" i="3"/>
  <c r="AI348" i="3" s="1"/>
  <c r="AL276" i="3"/>
  <c r="AL306" i="3"/>
  <c r="AK342" i="3"/>
  <c r="AE375" i="3"/>
  <c r="AG375" i="3" s="1"/>
  <c r="AE411" i="3" s="1"/>
  <c r="AH339" i="3"/>
  <c r="AE305" i="3"/>
  <c r="AG305" i="3" s="1"/>
  <c r="AE341" i="3" s="1"/>
  <c r="AH269" i="3"/>
  <c r="AE309" i="3"/>
  <c r="AG309" i="3" s="1"/>
  <c r="AE345" i="3" s="1"/>
  <c r="AH273" i="3"/>
  <c r="AE311" i="3"/>
  <c r="AG311" i="3" s="1"/>
  <c r="AE347" i="3" s="1"/>
  <c r="AH275" i="3"/>
  <c r="AE307" i="3"/>
  <c r="AG307" i="3" s="1"/>
  <c r="AE343" i="3" s="1"/>
  <c r="AH271" i="3"/>
  <c r="AK151" i="3"/>
  <c r="AK173" i="3" s="1"/>
  <c r="AG151" i="3"/>
  <c r="AG173" i="3" s="1"/>
  <c r="AE312" i="3"/>
  <c r="AG312" i="3" s="1"/>
  <c r="AE348" i="3" s="1"/>
  <c r="AH276" i="3"/>
  <c r="H436" i="33"/>
  <c r="J436" i="33" s="1"/>
  <c r="G300" i="33"/>
  <c r="D298" i="33"/>
  <c r="G263" i="33"/>
  <c r="K300" i="33"/>
  <c r="F257" i="33"/>
  <c r="J257" i="33"/>
  <c r="F261" i="33"/>
  <c r="F268" i="33"/>
  <c r="D303" i="33" s="1"/>
  <c r="J260" i="33"/>
  <c r="J259" i="33"/>
  <c r="F256" i="33"/>
  <c r="F269" i="33"/>
  <c r="D304" i="33" s="1"/>
  <c r="J264" i="33"/>
  <c r="F262" i="33"/>
  <c r="J268" i="33"/>
  <c r="J266" i="33"/>
  <c r="J267" i="33"/>
  <c r="F267" i="33"/>
  <c r="D302" i="33" s="1"/>
  <c r="F259" i="33"/>
  <c r="J256" i="33"/>
  <c r="F264" i="33"/>
  <c r="D438" i="33"/>
  <c r="F438" i="33" s="1"/>
  <c r="J258" i="33"/>
  <c r="J262" i="33"/>
  <c r="J261" i="33"/>
  <c r="F266" i="33"/>
  <c r="D301" i="33" s="1"/>
  <c r="F260" i="33"/>
  <c r="J269" i="33"/>
  <c r="F258" i="33"/>
  <c r="AC306" i="3"/>
  <c r="Z342" i="3"/>
  <c r="N310" i="3" l="1"/>
  <c r="K346" i="3"/>
  <c r="M346" i="3" s="1"/>
  <c r="N306" i="3"/>
  <c r="K342" i="3"/>
  <c r="M342" i="3" s="1"/>
  <c r="N342" i="3" s="1"/>
  <c r="N370" i="3"/>
  <c r="S370" i="3"/>
  <c r="N406" i="3"/>
  <c r="S406" i="3"/>
  <c r="S403" i="3"/>
  <c r="S368" i="3"/>
  <c r="S404" i="3"/>
  <c r="AZ190" i="3"/>
  <c r="AW226" i="3"/>
  <c r="AY226" i="3" s="1"/>
  <c r="AL278" i="3"/>
  <c r="AH278" i="3"/>
  <c r="G434" i="33"/>
  <c r="K434" i="33"/>
  <c r="C374" i="33"/>
  <c r="C382" i="3"/>
  <c r="D280" i="3"/>
  <c r="G240" i="33"/>
  <c r="K240" i="33"/>
  <c r="D269" i="2"/>
  <c r="K273" i="33"/>
  <c r="X244" i="3"/>
  <c r="AC244" i="3"/>
  <c r="I244" i="3"/>
  <c r="AL244" i="3"/>
  <c r="AH244" i="3"/>
  <c r="C275" i="33"/>
  <c r="C280" i="3"/>
  <c r="AZ244" i="3"/>
  <c r="C274" i="33"/>
  <c r="C279" i="3"/>
  <c r="AU279" i="3"/>
  <c r="C307" i="33"/>
  <c r="C313" i="3"/>
  <c r="AL313" i="3" s="1"/>
  <c r="C269" i="2"/>
  <c r="D314" i="3"/>
  <c r="AC278" i="3"/>
  <c r="X278" i="3"/>
  <c r="C435" i="33"/>
  <c r="E423" i="2"/>
  <c r="C241" i="33"/>
  <c r="AL405" i="3"/>
  <c r="AL370" i="3"/>
  <c r="H415" i="33"/>
  <c r="J415" i="33" s="1"/>
  <c r="P205" i="3"/>
  <c r="R173" i="3"/>
  <c r="S173" i="3" s="1"/>
  <c r="H209" i="3"/>
  <c r="I261" i="3"/>
  <c r="F297" i="3"/>
  <c r="H297" i="3" s="1"/>
  <c r="F350" i="3"/>
  <c r="H350" i="3" s="1"/>
  <c r="I306" i="3"/>
  <c r="F342" i="3"/>
  <c r="H342" i="3" s="1"/>
  <c r="I298" i="3"/>
  <c r="F334" i="3"/>
  <c r="H334" i="3" s="1"/>
  <c r="AH370" i="3"/>
  <c r="H413" i="33"/>
  <c r="C400" i="33"/>
  <c r="C460" i="33" s="1"/>
  <c r="C409" i="3"/>
  <c r="AC370" i="3"/>
  <c r="J166" i="33"/>
  <c r="H171" i="33"/>
  <c r="D171" i="33"/>
  <c r="H202" i="33"/>
  <c r="J202" i="33" s="1"/>
  <c r="K167" i="33"/>
  <c r="D414" i="33"/>
  <c r="J474" i="33"/>
  <c r="C406" i="3"/>
  <c r="C397" i="33"/>
  <c r="C457" i="33" s="1"/>
  <c r="C404" i="33"/>
  <c r="C464" i="33" s="1"/>
  <c r="C413" i="3"/>
  <c r="C414" i="3"/>
  <c r="C405" i="33"/>
  <c r="C465" i="33" s="1"/>
  <c r="J220" i="33"/>
  <c r="E371" i="2"/>
  <c r="F202" i="33"/>
  <c r="K289" i="33"/>
  <c r="H324" i="33"/>
  <c r="J324" i="33" s="1"/>
  <c r="D289" i="33"/>
  <c r="F289" i="33" s="1"/>
  <c r="G254" i="33"/>
  <c r="Z422" i="3"/>
  <c r="AB422" i="3" s="1"/>
  <c r="AR422" i="3"/>
  <c r="AT422" i="3" s="1"/>
  <c r="AR423" i="3"/>
  <c r="AT423" i="3" s="1"/>
  <c r="K388" i="3"/>
  <c r="M388" i="3" s="1"/>
  <c r="U386" i="3"/>
  <c r="W386" i="3" s="1"/>
  <c r="Z388" i="3"/>
  <c r="AB388" i="3" s="1"/>
  <c r="U388" i="3"/>
  <c r="W388" i="3" s="1"/>
  <c r="F385" i="3"/>
  <c r="H385" i="3" s="1"/>
  <c r="F421" i="3" s="1"/>
  <c r="K386" i="3"/>
  <c r="M386" i="3" s="1"/>
  <c r="U387" i="3"/>
  <c r="W387" i="3" s="1"/>
  <c r="AL368" i="3"/>
  <c r="Z387" i="3"/>
  <c r="AB387" i="3" s="1"/>
  <c r="AI409" i="3"/>
  <c r="AK409" i="3" s="1"/>
  <c r="AL373" i="3"/>
  <c r="AU313" i="3"/>
  <c r="AR349" i="3"/>
  <c r="AT349" i="3" s="1"/>
  <c r="AG349" i="3"/>
  <c r="AK349" i="3"/>
  <c r="AK350" i="3"/>
  <c r="U349" i="3"/>
  <c r="W349" i="3" s="1"/>
  <c r="F351" i="3"/>
  <c r="H351" i="3" s="1"/>
  <c r="F352" i="3"/>
  <c r="H352" i="3" s="1"/>
  <c r="AP314" i="3"/>
  <c r="AM350" i="3"/>
  <c r="AO350" i="3" s="1"/>
  <c r="AP315" i="3"/>
  <c r="AM351" i="3"/>
  <c r="AO351" i="3" s="1"/>
  <c r="K349" i="3"/>
  <c r="M349" i="3" s="1"/>
  <c r="AG350" i="3"/>
  <c r="AC313" i="3"/>
  <c r="Z349" i="3"/>
  <c r="AB349" i="3" s="1"/>
  <c r="AP313" i="3"/>
  <c r="AM349" i="3"/>
  <c r="AO349" i="3" s="1"/>
  <c r="AR352" i="3"/>
  <c r="AT352" i="3" s="1"/>
  <c r="AG352" i="3"/>
  <c r="AK351" i="3"/>
  <c r="AK352" i="3"/>
  <c r="AG351" i="3"/>
  <c r="AP316" i="3"/>
  <c r="AM352" i="3"/>
  <c r="AO352" i="3" s="1"/>
  <c r="U331" i="3"/>
  <c r="K315" i="3"/>
  <c r="M315" i="3" s="1"/>
  <c r="AZ278" i="3"/>
  <c r="AW314" i="3"/>
  <c r="AY314" i="3" s="1"/>
  <c r="AZ279" i="3"/>
  <c r="AW315" i="3"/>
  <c r="AY315" i="3" s="1"/>
  <c r="AZ277" i="3"/>
  <c r="AW313" i="3"/>
  <c r="AY313" i="3" s="1"/>
  <c r="AZ280" i="3"/>
  <c r="AW316" i="3"/>
  <c r="AY316" i="3" s="1"/>
  <c r="AR342" i="3"/>
  <c r="AT342" i="3" s="1"/>
  <c r="AU342" i="3" s="1"/>
  <c r="AU306" i="3"/>
  <c r="AH336" i="3"/>
  <c r="AE372" i="3"/>
  <c r="AG372" i="3" s="1"/>
  <c r="AE408" i="3" s="1"/>
  <c r="Z371" i="3"/>
  <c r="AB371" i="3" s="1"/>
  <c r="AC335" i="3"/>
  <c r="C404" i="3"/>
  <c r="C395" i="33"/>
  <c r="C455" i="33" s="1"/>
  <c r="C403" i="33"/>
  <c r="C463" i="33" s="1"/>
  <c r="C412" i="3"/>
  <c r="K407" i="3"/>
  <c r="M407" i="3" s="1"/>
  <c r="N407" i="3" s="1"/>
  <c r="AR332" i="3"/>
  <c r="AT332" i="3" s="1"/>
  <c r="AU296" i="3"/>
  <c r="AU335" i="3"/>
  <c r="AR371" i="3"/>
  <c r="AT371" i="3" s="1"/>
  <c r="U345" i="3"/>
  <c r="W345" i="3" s="1"/>
  <c r="X309" i="3"/>
  <c r="AC341" i="3"/>
  <c r="Z377" i="3"/>
  <c r="AB377" i="3" s="1"/>
  <c r="K340" i="3"/>
  <c r="M340" i="3" s="1"/>
  <c r="N340" i="3" s="1"/>
  <c r="Z409" i="3"/>
  <c r="AB409" i="3" s="1"/>
  <c r="AC373" i="3"/>
  <c r="Z345" i="3"/>
  <c r="AB345" i="3" s="1"/>
  <c r="AC309" i="3"/>
  <c r="F377" i="3"/>
  <c r="H377" i="3" s="1"/>
  <c r="F413" i="3" s="1"/>
  <c r="I341" i="3"/>
  <c r="AM346" i="3"/>
  <c r="AO346" i="3" s="1"/>
  <c r="AP310" i="3"/>
  <c r="K373" i="3"/>
  <c r="M373" i="3" s="1"/>
  <c r="N373" i="3" s="1"/>
  <c r="K379" i="3"/>
  <c r="M379" i="3" s="1"/>
  <c r="N379" i="3" s="1"/>
  <c r="AM339" i="3"/>
  <c r="AO339" i="3" s="1"/>
  <c r="AP303" i="3"/>
  <c r="K384" i="3"/>
  <c r="M384" i="3" s="1"/>
  <c r="Z405" i="3"/>
  <c r="AB405" i="3" s="1"/>
  <c r="AC405" i="3" s="1"/>
  <c r="AC369" i="3"/>
  <c r="AM332" i="3"/>
  <c r="AO332" i="3" s="1"/>
  <c r="AP296" i="3"/>
  <c r="K381" i="3"/>
  <c r="M381" i="3" s="1"/>
  <c r="N381" i="3" s="1"/>
  <c r="U337" i="3"/>
  <c r="W337" i="3" s="1"/>
  <c r="X301" i="3"/>
  <c r="X334" i="3"/>
  <c r="U370" i="3"/>
  <c r="W370" i="3" s="1"/>
  <c r="K339" i="3"/>
  <c r="M339" i="3" s="1"/>
  <c r="N339" i="3" s="1"/>
  <c r="AC344" i="3"/>
  <c r="Z380" i="3"/>
  <c r="AB380" i="3" s="1"/>
  <c r="U413" i="3"/>
  <c r="W413" i="3" s="1"/>
  <c r="X377" i="3"/>
  <c r="K369" i="3"/>
  <c r="M369" i="3" s="1"/>
  <c r="N369" i="3" s="1"/>
  <c r="AP304" i="3"/>
  <c r="AM340" i="3"/>
  <c r="AO340" i="3" s="1"/>
  <c r="U376" i="3"/>
  <c r="W376" i="3" s="1"/>
  <c r="X340" i="3"/>
  <c r="Z339" i="3"/>
  <c r="AB339" i="3" s="1"/>
  <c r="AC303" i="3"/>
  <c r="K368" i="3"/>
  <c r="M368" i="3" s="1"/>
  <c r="N368" i="3" s="1"/>
  <c r="AC332" i="3"/>
  <c r="Z368" i="3"/>
  <c r="AB368" i="3" s="1"/>
  <c r="AU347" i="3"/>
  <c r="AR383" i="3"/>
  <c r="AT383" i="3" s="1"/>
  <c r="Z376" i="3"/>
  <c r="AB376" i="3" s="1"/>
  <c r="AC340" i="3"/>
  <c r="AM343" i="3"/>
  <c r="AO343" i="3" s="1"/>
  <c r="AP307" i="3"/>
  <c r="AU312" i="3"/>
  <c r="AR348" i="3"/>
  <c r="AT348" i="3" s="1"/>
  <c r="Z384" i="3"/>
  <c r="AB384" i="3" s="1"/>
  <c r="AP301" i="3"/>
  <c r="AM337" i="3"/>
  <c r="AO337" i="3" s="1"/>
  <c r="AP347" i="3"/>
  <c r="AM383" i="3"/>
  <c r="AO383" i="3" s="1"/>
  <c r="AP309" i="3"/>
  <c r="AM345" i="3"/>
  <c r="AO345" i="3" s="1"/>
  <c r="U384" i="3"/>
  <c r="W384" i="3" s="1"/>
  <c r="AP299" i="3"/>
  <c r="AM335" i="3"/>
  <c r="AO335" i="3" s="1"/>
  <c r="U410" i="3"/>
  <c r="W410" i="3" s="1"/>
  <c r="X374" i="3"/>
  <c r="AR375" i="3"/>
  <c r="AT375" i="3" s="1"/>
  <c r="AU339" i="3"/>
  <c r="AM348" i="3"/>
  <c r="AO348" i="3" s="1"/>
  <c r="AP312" i="3"/>
  <c r="AU376" i="3"/>
  <c r="AR412" i="3"/>
  <c r="AC336" i="3"/>
  <c r="Z372" i="3"/>
  <c r="AB372" i="3" s="1"/>
  <c r="X380" i="3"/>
  <c r="U416" i="3"/>
  <c r="W416" i="3" s="1"/>
  <c r="X416" i="3" s="1"/>
  <c r="Z343" i="3"/>
  <c r="AB343" i="3" s="1"/>
  <c r="AC307" i="3"/>
  <c r="K372" i="3"/>
  <c r="M372" i="3" s="1"/>
  <c r="N372" i="3" s="1"/>
  <c r="AC346" i="3"/>
  <c r="Z382" i="3"/>
  <c r="AB382" i="3" s="1"/>
  <c r="C401" i="33"/>
  <c r="C461" i="33" s="1"/>
  <c r="C410" i="3"/>
  <c r="K347" i="3"/>
  <c r="M347" i="3" s="1"/>
  <c r="N347" i="3" s="1"/>
  <c r="X346" i="3"/>
  <c r="U382" i="3"/>
  <c r="W382" i="3" s="1"/>
  <c r="AP306" i="3"/>
  <c r="AM342" i="3"/>
  <c r="AO342" i="3" s="1"/>
  <c r="AM378" i="3" s="1"/>
  <c r="AZ261" i="3"/>
  <c r="AW297" i="3"/>
  <c r="AY297" i="3" s="1"/>
  <c r="AZ265" i="3"/>
  <c r="AW301" i="3"/>
  <c r="AY301" i="3" s="1"/>
  <c r="AZ305" i="3"/>
  <c r="AW341" i="3"/>
  <c r="AY341" i="3" s="1"/>
  <c r="I337" i="3"/>
  <c r="F373" i="3"/>
  <c r="H373" i="3" s="1"/>
  <c r="F409" i="3" s="1"/>
  <c r="AZ115" i="3"/>
  <c r="AW151" i="3"/>
  <c r="AW173" i="3" s="1"/>
  <c r="AY137" i="3"/>
  <c r="AZ137" i="3" s="1"/>
  <c r="AP305" i="3"/>
  <c r="AM341" i="3"/>
  <c r="AO341" i="3" s="1"/>
  <c r="AZ276" i="3"/>
  <c r="AW312" i="3"/>
  <c r="AY312" i="3" s="1"/>
  <c r="X297" i="3"/>
  <c r="U333" i="3"/>
  <c r="W333" i="3" s="1"/>
  <c r="AZ272" i="3"/>
  <c r="AW308" i="3"/>
  <c r="AY308" i="3" s="1"/>
  <c r="C402" i="33"/>
  <c r="C462" i="33" s="1"/>
  <c r="C411" i="3"/>
  <c r="I332" i="3"/>
  <c r="F368" i="3"/>
  <c r="H368" i="3" s="1"/>
  <c r="F404" i="3" s="1"/>
  <c r="F376" i="3"/>
  <c r="H376" i="3" s="1"/>
  <c r="F412" i="3" s="1"/>
  <c r="I340" i="3"/>
  <c r="AU337" i="3"/>
  <c r="AR373" i="3"/>
  <c r="AT373" i="3" s="1"/>
  <c r="F382" i="3"/>
  <c r="H382" i="3" s="1"/>
  <c r="F418" i="3" s="1"/>
  <c r="I346" i="3"/>
  <c r="AR346" i="3"/>
  <c r="AT346" i="3" s="1"/>
  <c r="AU310" i="3"/>
  <c r="U224" i="3"/>
  <c r="U245" i="3" s="1"/>
  <c r="X188" i="3"/>
  <c r="AR338" i="3"/>
  <c r="AT338" i="3" s="1"/>
  <c r="AU302" i="3"/>
  <c r="AM334" i="3"/>
  <c r="AO334" i="3" s="1"/>
  <c r="AP298" i="3"/>
  <c r="F336" i="3"/>
  <c r="H336" i="3" s="1"/>
  <c r="I300" i="3"/>
  <c r="AT187" i="3"/>
  <c r="AT209" i="3" s="1"/>
  <c r="AU209" i="3" s="1"/>
  <c r="AZ263" i="3"/>
  <c r="AW299" i="3"/>
  <c r="AY299" i="3" s="1"/>
  <c r="X343" i="3"/>
  <c r="U379" i="3"/>
  <c r="W379" i="3" s="1"/>
  <c r="K380" i="3"/>
  <c r="M380" i="3" s="1"/>
  <c r="N380" i="3" s="1"/>
  <c r="AB223" i="3"/>
  <c r="AW300" i="3"/>
  <c r="AY300" i="3" s="1"/>
  <c r="AZ264" i="3"/>
  <c r="AR417" i="3"/>
  <c r="AT417" i="3" s="1"/>
  <c r="AU417" i="3" s="1"/>
  <c r="AU381" i="3"/>
  <c r="I187" i="3"/>
  <c r="F223" i="3"/>
  <c r="F245" i="3" s="1"/>
  <c r="AZ267" i="3"/>
  <c r="AW303" i="3"/>
  <c r="AY303" i="3" s="1"/>
  <c r="F339" i="3"/>
  <c r="H339" i="3" s="1"/>
  <c r="I303" i="3"/>
  <c r="F374" i="3"/>
  <c r="H374" i="3" s="1"/>
  <c r="F410" i="3" s="1"/>
  <c r="I338" i="3"/>
  <c r="AZ266" i="3"/>
  <c r="AW302" i="3"/>
  <c r="AY302" i="3" s="1"/>
  <c r="AZ302" i="3" s="1"/>
  <c r="AO189" i="3"/>
  <c r="AO209" i="3" s="1"/>
  <c r="AP209" i="3" s="1"/>
  <c r="AW304" i="3"/>
  <c r="AY304" i="3" s="1"/>
  <c r="AZ268" i="3"/>
  <c r="U336" i="3"/>
  <c r="W336" i="3" s="1"/>
  <c r="X300" i="3"/>
  <c r="K341" i="3"/>
  <c r="M341" i="3" s="1"/>
  <c r="N341" i="3" s="1"/>
  <c r="I347" i="3"/>
  <c r="F383" i="3"/>
  <c r="H383" i="3" s="1"/>
  <c r="F419" i="3" s="1"/>
  <c r="AU300" i="3"/>
  <c r="AR336" i="3"/>
  <c r="AT336" i="3" s="1"/>
  <c r="AR343" i="3"/>
  <c r="AT343" i="3" s="1"/>
  <c r="AU307" i="3"/>
  <c r="F379" i="3"/>
  <c r="H379" i="3" s="1"/>
  <c r="F415" i="3" s="1"/>
  <c r="I343" i="3"/>
  <c r="AR341" i="3"/>
  <c r="AT341" i="3" s="1"/>
  <c r="AU305" i="3"/>
  <c r="AW311" i="3"/>
  <c r="AY311" i="3" s="1"/>
  <c r="AZ275" i="3"/>
  <c r="X299" i="3"/>
  <c r="U335" i="3"/>
  <c r="W335" i="3" s="1"/>
  <c r="AW307" i="3"/>
  <c r="AY307" i="3" s="1"/>
  <c r="AZ271" i="3"/>
  <c r="I335" i="3"/>
  <c r="F371" i="3"/>
  <c r="H371" i="3" s="1"/>
  <c r="F407" i="3" s="1"/>
  <c r="AW306" i="3"/>
  <c r="AY306" i="3" s="1"/>
  <c r="AZ270" i="3"/>
  <c r="AR406" i="3"/>
  <c r="AT406" i="3" s="1"/>
  <c r="AU406" i="3" s="1"/>
  <c r="AU370" i="3"/>
  <c r="I345" i="3"/>
  <c r="F381" i="3"/>
  <c r="H381" i="3" s="1"/>
  <c r="F417" i="3" s="1"/>
  <c r="F384" i="3"/>
  <c r="H384" i="3" s="1"/>
  <c r="F420" i="3" s="1"/>
  <c r="M187" i="3"/>
  <c r="AP374" i="3"/>
  <c r="AM410" i="3"/>
  <c r="AO410" i="3" s="1"/>
  <c r="AP410" i="3" s="1"/>
  <c r="AR344" i="3"/>
  <c r="AT344" i="3" s="1"/>
  <c r="AU308" i="3"/>
  <c r="AW310" i="3"/>
  <c r="AY310" i="3" s="1"/>
  <c r="AZ274" i="3"/>
  <c r="AM259" i="3"/>
  <c r="AP223" i="3"/>
  <c r="AP308" i="3"/>
  <c r="AM344" i="3"/>
  <c r="AO344" i="3" s="1"/>
  <c r="X375" i="3"/>
  <c r="AZ273" i="3"/>
  <c r="AW309" i="3"/>
  <c r="AY309" i="3" s="1"/>
  <c r="AB194" i="3"/>
  <c r="AB209" i="3" s="1"/>
  <c r="AC209" i="3" s="1"/>
  <c r="F380" i="3"/>
  <c r="H380" i="3" s="1"/>
  <c r="F416" i="3" s="1"/>
  <c r="I344" i="3"/>
  <c r="AW296" i="3"/>
  <c r="AZ260" i="3"/>
  <c r="AO300" i="3"/>
  <c r="K338" i="3"/>
  <c r="AI418" i="3"/>
  <c r="AK418" i="3" s="1"/>
  <c r="AL382" i="3"/>
  <c r="AK343" i="3"/>
  <c r="AL307" i="3"/>
  <c r="AI419" i="3"/>
  <c r="AK419" i="3" s="1"/>
  <c r="AI417" i="3"/>
  <c r="AK417" i="3" s="1"/>
  <c r="AL381" i="3"/>
  <c r="AE368" i="3"/>
  <c r="AG368" i="3" s="1"/>
  <c r="AE404" i="3" s="1"/>
  <c r="AH332" i="3"/>
  <c r="AI411" i="3"/>
  <c r="AK411" i="3" s="1"/>
  <c r="AL375" i="3"/>
  <c r="AE371" i="3"/>
  <c r="AG371" i="3" s="1"/>
  <c r="AE407" i="3" s="1"/>
  <c r="AH335" i="3"/>
  <c r="AL302" i="3"/>
  <c r="AK338" i="3"/>
  <c r="AG342" i="3"/>
  <c r="AH306" i="3"/>
  <c r="AG338" i="3"/>
  <c r="AH302" i="3"/>
  <c r="AK341" i="3"/>
  <c r="AL305" i="3"/>
  <c r="AL312" i="3"/>
  <c r="AK348" i="3"/>
  <c r="AG340" i="3"/>
  <c r="AH304" i="3"/>
  <c r="AE369" i="3"/>
  <c r="AG369" i="3" s="1"/>
  <c r="AE405" i="3" s="1"/>
  <c r="AH333" i="3"/>
  <c r="AE373" i="3"/>
  <c r="AG373" i="3" s="1"/>
  <c r="AE409" i="3" s="1"/>
  <c r="AH337" i="3"/>
  <c r="AI412" i="3"/>
  <c r="AK412" i="3" s="1"/>
  <c r="AL376" i="3"/>
  <c r="AG344" i="3"/>
  <c r="AH308" i="3"/>
  <c r="AE187" i="3"/>
  <c r="AE209" i="3" s="1"/>
  <c r="AH173" i="3"/>
  <c r="AH151" i="3"/>
  <c r="AL173" i="3"/>
  <c r="AI187" i="3"/>
  <c r="AI209" i="3" s="1"/>
  <c r="AL151" i="3"/>
  <c r="AG343" i="3"/>
  <c r="AH307" i="3"/>
  <c r="AG411" i="3"/>
  <c r="AH375" i="3"/>
  <c r="AG341" i="3"/>
  <c r="AH305" i="3"/>
  <c r="AI378" i="3"/>
  <c r="AK378" i="3" s="1"/>
  <c r="AL342" i="3"/>
  <c r="AG345" i="3"/>
  <c r="AH309" i="3"/>
  <c r="AG348" i="3"/>
  <c r="AH312" i="3"/>
  <c r="AG347" i="3"/>
  <c r="AH311" i="3"/>
  <c r="F298" i="33"/>
  <c r="D333" i="33" s="1"/>
  <c r="F333" i="33" s="1"/>
  <c r="G333" i="33" s="1"/>
  <c r="D370" i="33"/>
  <c r="F370" i="33" s="1"/>
  <c r="G370" i="33" s="1"/>
  <c r="H370" i="33"/>
  <c r="J370" i="33" s="1"/>
  <c r="K370" i="33" s="1"/>
  <c r="H437" i="33"/>
  <c r="J437" i="33" s="1"/>
  <c r="H263" i="33"/>
  <c r="D293" i="33"/>
  <c r="G258" i="33"/>
  <c r="H303" i="33"/>
  <c r="K268" i="33"/>
  <c r="D291" i="33"/>
  <c r="G256" i="33"/>
  <c r="D296" i="33"/>
  <c r="G261" i="33"/>
  <c r="H293" i="33"/>
  <c r="K258" i="33"/>
  <c r="H291" i="33"/>
  <c r="K256" i="33"/>
  <c r="G267" i="33"/>
  <c r="D297" i="33"/>
  <c r="G262" i="33"/>
  <c r="H294" i="33"/>
  <c r="K259" i="33"/>
  <c r="H292" i="33"/>
  <c r="K257" i="33"/>
  <c r="G266" i="33"/>
  <c r="G264" i="33"/>
  <c r="D299" i="33"/>
  <c r="K269" i="33"/>
  <c r="H304" i="33"/>
  <c r="D294" i="33"/>
  <c r="G259" i="33"/>
  <c r="K267" i="33"/>
  <c r="H302" i="33"/>
  <c r="H299" i="33"/>
  <c r="K264" i="33"/>
  <c r="H295" i="33"/>
  <c r="K260" i="33"/>
  <c r="D292" i="33"/>
  <c r="G257" i="33"/>
  <c r="H297" i="33"/>
  <c r="K262" i="33"/>
  <c r="D295" i="33"/>
  <c r="G260" i="33"/>
  <c r="D439" i="33"/>
  <c r="F439" i="33" s="1"/>
  <c r="H296" i="33"/>
  <c r="K261" i="33"/>
  <c r="D255" i="33"/>
  <c r="D475" i="33"/>
  <c r="H301" i="33"/>
  <c r="K266" i="33"/>
  <c r="G269" i="33"/>
  <c r="G268" i="33"/>
  <c r="X342" i="3"/>
  <c r="U378" i="3"/>
  <c r="I342" i="3"/>
  <c r="F378" i="3"/>
  <c r="AB342" i="3"/>
  <c r="C281" i="3" l="1"/>
  <c r="K378" i="3"/>
  <c r="AU280" i="3"/>
  <c r="S280" i="3"/>
  <c r="N280" i="3"/>
  <c r="C276" i="33"/>
  <c r="N346" i="3"/>
  <c r="K382" i="3"/>
  <c r="M382" i="3" s="1"/>
  <c r="S314" i="3"/>
  <c r="N314" i="3"/>
  <c r="M209" i="3"/>
  <c r="N209" i="3" s="1"/>
  <c r="N187" i="3"/>
  <c r="AZ226" i="3"/>
  <c r="AW262" i="3"/>
  <c r="AY262" i="3" s="1"/>
  <c r="AH313" i="3"/>
  <c r="D281" i="3"/>
  <c r="C408" i="33"/>
  <c r="C468" i="33" s="1"/>
  <c r="C417" i="3"/>
  <c r="C303" i="2"/>
  <c r="C424" i="2"/>
  <c r="C309" i="33"/>
  <c r="C315" i="3"/>
  <c r="AZ315" i="3" s="1"/>
  <c r="AH382" i="3"/>
  <c r="C308" i="33"/>
  <c r="K308" i="33" s="1"/>
  <c r="C314" i="3"/>
  <c r="X313" i="3"/>
  <c r="AU314" i="3"/>
  <c r="C341" i="33"/>
  <c r="C348" i="3"/>
  <c r="X279" i="3"/>
  <c r="AC279" i="3"/>
  <c r="AL279" i="3"/>
  <c r="I279" i="3"/>
  <c r="AH279" i="3"/>
  <c r="I313" i="3"/>
  <c r="G275" i="33"/>
  <c r="K275" i="33"/>
  <c r="G435" i="33"/>
  <c r="K435" i="33"/>
  <c r="D349" i="3"/>
  <c r="AU349" i="3" s="1"/>
  <c r="G274" i="33"/>
  <c r="K274" i="33"/>
  <c r="X280" i="3"/>
  <c r="AC280" i="3"/>
  <c r="AL280" i="3"/>
  <c r="I280" i="3"/>
  <c r="AH280" i="3"/>
  <c r="D424" i="2"/>
  <c r="D315" i="3"/>
  <c r="N315" i="3" s="1"/>
  <c r="AL406" i="3"/>
  <c r="R205" i="3"/>
  <c r="S205" i="3" s="1"/>
  <c r="P209" i="3"/>
  <c r="I334" i="3"/>
  <c r="F370" i="3"/>
  <c r="H370" i="3" s="1"/>
  <c r="F406" i="3" s="1"/>
  <c r="F386" i="3"/>
  <c r="H386" i="3" s="1"/>
  <c r="F422" i="3" s="1"/>
  <c r="I297" i="3"/>
  <c r="F333" i="3"/>
  <c r="H333" i="3" s="1"/>
  <c r="I209" i="3"/>
  <c r="AC409" i="3"/>
  <c r="J413" i="33"/>
  <c r="H473" i="33"/>
  <c r="AL409" i="3"/>
  <c r="H201" i="33"/>
  <c r="J201" i="33" s="1"/>
  <c r="K166" i="33"/>
  <c r="J171" i="33"/>
  <c r="K171" i="33" s="1"/>
  <c r="D203" i="33"/>
  <c r="G168" i="33"/>
  <c r="F171" i="33"/>
  <c r="G171" i="33" s="1"/>
  <c r="F414" i="33"/>
  <c r="D474" i="33"/>
  <c r="X413" i="3"/>
  <c r="AH406" i="3"/>
  <c r="AC406" i="3"/>
  <c r="AL404" i="3"/>
  <c r="G289" i="33"/>
  <c r="D324" i="33"/>
  <c r="F324" i="33" s="1"/>
  <c r="E405" i="2"/>
  <c r="G202" i="33"/>
  <c r="D237" i="33"/>
  <c r="F237" i="33" s="1"/>
  <c r="G237" i="33" s="1"/>
  <c r="K220" i="33"/>
  <c r="H359" i="33"/>
  <c r="K324" i="33"/>
  <c r="AR378" i="3"/>
  <c r="AT378" i="3" s="1"/>
  <c r="K422" i="3"/>
  <c r="M422" i="3" s="1"/>
  <c r="U422" i="3"/>
  <c r="W422" i="3" s="1"/>
  <c r="U423" i="3"/>
  <c r="W423" i="3" s="1"/>
  <c r="Z423" i="3"/>
  <c r="AB423" i="3" s="1"/>
  <c r="Z424" i="3"/>
  <c r="AB424" i="3" s="1"/>
  <c r="K424" i="3"/>
  <c r="M424" i="3" s="1"/>
  <c r="U424" i="3"/>
  <c r="W424" i="3" s="1"/>
  <c r="H421" i="3"/>
  <c r="AT412" i="3"/>
  <c r="AI388" i="3"/>
  <c r="AK388" i="3" s="1"/>
  <c r="AP349" i="3"/>
  <c r="AM385" i="3"/>
  <c r="AO385" i="3" s="1"/>
  <c r="AP351" i="3"/>
  <c r="AM387" i="3"/>
  <c r="AO387" i="3" s="1"/>
  <c r="U385" i="3"/>
  <c r="W385" i="3" s="1"/>
  <c r="AR385" i="3"/>
  <c r="AT385" i="3" s="1"/>
  <c r="AI387" i="3"/>
  <c r="AK387" i="3" s="1"/>
  <c r="Z385" i="3"/>
  <c r="AB385" i="3" s="1"/>
  <c r="AP350" i="3"/>
  <c r="AM386" i="3"/>
  <c r="AO386" i="3" s="1"/>
  <c r="AI386" i="3"/>
  <c r="AK386" i="3" s="1"/>
  <c r="AP352" i="3"/>
  <c r="AM388" i="3"/>
  <c r="AO388" i="3" s="1"/>
  <c r="AE388" i="3"/>
  <c r="AG388" i="3" s="1"/>
  <c r="AE424" i="3" s="1"/>
  <c r="AE386" i="3"/>
  <c r="AG386" i="3" s="1"/>
  <c r="AE422" i="3" s="1"/>
  <c r="F388" i="3"/>
  <c r="H388" i="3" s="1"/>
  <c r="F424" i="3" s="1"/>
  <c r="AI385" i="3"/>
  <c r="AK385" i="3" s="1"/>
  <c r="AE387" i="3"/>
  <c r="AG387" i="3" s="1"/>
  <c r="AE423" i="3" s="1"/>
  <c r="AR388" i="3"/>
  <c r="AT388" i="3" s="1"/>
  <c r="K385" i="3"/>
  <c r="M385" i="3" s="1"/>
  <c r="F387" i="3"/>
  <c r="H387" i="3" s="1"/>
  <c r="F423" i="3" s="1"/>
  <c r="AE385" i="3"/>
  <c r="AG385" i="3" s="1"/>
  <c r="AE421" i="3" s="1"/>
  <c r="AG421" i="3" s="1"/>
  <c r="AZ313" i="3"/>
  <c r="AW349" i="3"/>
  <c r="AY349" i="3" s="1"/>
  <c r="W331" i="3"/>
  <c r="AW351" i="3"/>
  <c r="AY351" i="3" s="1"/>
  <c r="AW350" i="3"/>
  <c r="AY350" i="3" s="1"/>
  <c r="AW352" i="3"/>
  <c r="AY352" i="3" s="1"/>
  <c r="K351" i="3"/>
  <c r="M351" i="3" s="1"/>
  <c r="AG408" i="3"/>
  <c r="AH408" i="3" s="1"/>
  <c r="AH372" i="3"/>
  <c r="AH411" i="3"/>
  <c r="AL412" i="3"/>
  <c r="AC371" i="3"/>
  <c r="Z407" i="3"/>
  <c r="AB407" i="3" s="1"/>
  <c r="AC407" i="3" s="1"/>
  <c r="AP342" i="3"/>
  <c r="AL411" i="3"/>
  <c r="AW338" i="3"/>
  <c r="AY338" i="3" s="1"/>
  <c r="Z413" i="3"/>
  <c r="AB413" i="3" s="1"/>
  <c r="AC413" i="3" s="1"/>
  <c r="AC377" i="3"/>
  <c r="K415" i="3"/>
  <c r="M415" i="3" s="1"/>
  <c r="N415" i="3" s="1"/>
  <c r="Z381" i="3"/>
  <c r="AB381" i="3" s="1"/>
  <c r="AC345" i="3"/>
  <c r="K409" i="3"/>
  <c r="M409" i="3" s="1"/>
  <c r="N409" i="3" s="1"/>
  <c r="U381" i="3"/>
  <c r="W381" i="3" s="1"/>
  <c r="X345" i="3"/>
  <c r="AR407" i="3"/>
  <c r="AT407" i="3" s="1"/>
  <c r="AU407" i="3" s="1"/>
  <c r="AU371" i="3"/>
  <c r="AP346" i="3"/>
  <c r="AM382" i="3"/>
  <c r="AO382" i="3" s="1"/>
  <c r="AP339" i="3"/>
  <c r="AM375" i="3"/>
  <c r="AO375" i="3" s="1"/>
  <c r="H413" i="3"/>
  <c r="I377" i="3"/>
  <c r="K376" i="3"/>
  <c r="M376" i="3" s="1"/>
  <c r="N376" i="3" s="1"/>
  <c r="AR368" i="3"/>
  <c r="AT368" i="3" s="1"/>
  <c r="AU332" i="3"/>
  <c r="Z408" i="3"/>
  <c r="AB408" i="3" s="1"/>
  <c r="AC408" i="3" s="1"/>
  <c r="AC372" i="3"/>
  <c r="AP345" i="3"/>
  <c r="AM381" i="3"/>
  <c r="AO381" i="3" s="1"/>
  <c r="AR384" i="3"/>
  <c r="AT384" i="3" s="1"/>
  <c r="AU348" i="3"/>
  <c r="AC368" i="3"/>
  <c r="Z404" i="3"/>
  <c r="AB404" i="3" s="1"/>
  <c r="AC404" i="3" s="1"/>
  <c r="AM376" i="3"/>
  <c r="AO376" i="3" s="1"/>
  <c r="AP340" i="3"/>
  <c r="K408" i="3"/>
  <c r="M408" i="3" s="1"/>
  <c r="N408" i="3" s="1"/>
  <c r="AR411" i="3"/>
  <c r="AT411" i="3" s="1"/>
  <c r="AU411" i="3" s="1"/>
  <c r="AU375" i="3"/>
  <c r="K375" i="3"/>
  <c r="M375" i="3" s="1"/>
  <c r="N375" i="3" s="1"/>
  <c r="AP332" i="3"/>
  <c r="AM368" i="3"/>
  <c r="AO368" i="3" s="1"/>
  <c r="K383" i="3"/>
  <c r="M383" i="3" s="1"/>
  <c r="N383" i="3" s="1"/>
  <c r="AM419" i="3"/>
  <c r="AO419" i="3" s="1"/>
  <c r="AP419" i="3" s="1"/>
  <c r="AP383" i="3"/>
  <c r="X370" i="3"/>
  <c r="U406" i="3"/>
  <c r="W406" i="3" s="1"/>
  <c r="X406" i="3" s="1"/>
  <c r="Z379" i="3"/>
  <c r="AB379" i="3" s="1"/>
  <c r="AC343" i="3"/>
  <c r="X410" i="3"/>
  <c r="AM379" i="3"/>
  <c r="AO379" i="3" s="1"/>
  <c r="AP343" i="3"/>
  <c r="K404" i="3"/>
  <c r="M404" i="3" s="1"/>
  <c r="N404" i="3" s="1"/>
  <c r="K405" i="3"/>
  <c r="M405" i="3" s="1"/>
  <c r="N405" i="3" s="1"/>
  <c r="AM371" i="3"/>
  <c r="AO371" i="3" s="1"/>
  <c r="AP335" i="3"/>
  <c r="AP337" i="3"/>
  <c r="AM373" i="3"/>
  <c r="AO373" i="3" s="1"/>
  <c r="AM384" i="3"/>
  <c r="AO384" i="3" s="1"/>
  <c r="AP348" i="3"/>
  <c r="Z412" i="3"/>
  <c r="AB412" i="3" s="1"/>
  <c r="AC412" i="3" s="1"/>
  <c r="AC376" i="3"/>
  <c r="Z375" i="3"/>
  <c r="AB375" i="3" s="1"/>
  <c r="AC339" i="3"/>
  <c r="U373" i="3"/>
  <c r="W373" i="3" s="1"/>
  <c r="X337" i="3"/>
  <c r="K420" i="3"/>
  <c r="M420" i="3" s="1"/>
  <c r="D405" i="33"/>
  <c r="F405" i="33" s="1"/>
  <c r="AC382" i="3"/>
  <c r="Z418" i="3"/>
  <c r="AB418" i="3" s="1"/>
  <c r="U420" i="3"/>
  <c r="W420" i="3" s="1"/>
  <c r="Z420" i="3"/>
  <c r="AB420" i="3" s="1"/>
  <c r="AU383" i="3"/>
  <c r="AR419" i="3"/>
  <c r="AT419" i="3" s="1"/>
  <c r="AC380" i="3"/>
  <c r="Z416" i="3"/>
  <c r="AB416" i="3" s="1"/>
  <c r="AC416" i="3" s="1"/>
  <c r="X382" i="3"/>
  <c r="U418" i="3"/>
  <c r="W418" i="3" s="1"/>
  <c r="X376" i="3"/>
  <c r="U412" i="3"/>
  <c r="W412" i="3" s="1"/>
  <c r="X412" i="3" s="1"/>
  <c r="K417" i="3"/>
  <c r="M417" i="3" s="1"/>
  <c r="N417" i="3" s="1"/>
  <c r="I380" i="3"/>
  <c r="H416" i="3"/>
  <c r="U371" i="3"/>
  <c r="W371" i="3" s="1"/>
  <c r="X335" i="3"/>
  <c r="AZ303" i="3"/>
  <c r="AW339" i="3"/>
  <c r="AY339" i="3" s="1"/>
  <c r="I336" i="3"/>
  <c r="F372" i="3"/>
  <c r="H372" i="3" s="1"/>
  <c r="F408" i="3" s="1"/>
  <c r="AR409" i="3"/>
  <c r="AT409" i="3" s="1"/>
  <c r="AU409" i="3" s="1"/>
  <c r="AU373" i="3"/>
  <c r="AZ312" i="3"/>
  <c r="AW348" i="3"/>
  <c r="AY348" i="3" s="1"/>
  <c r="AU343" i="3"/>
  <c r="AR379" i="3"/>
  <c r="AT379" i="3" s="1"/>
  <c r="AP189" i="3"/>
  <c r="AM225" i="3"/>
  <c r="AM245" i="3" s="1"/>
  <c r="U415" i="3"/>
  <c r="W415" i="3" s="1"/>
  <c r="X415" i="3" s="1"/>
  <c r="X379" i="3"/>
  <c r="W224" i="3"/>
  <c r="W245" i="3" s="1"/>
  <c r="X245" i="3" s="1"/>
  <c r="X411" i="3"/>
  <c r="AO259" i="3"/>
  <c r="K223" i="3"/>
  <c r="K245" i="3" s="1"/>
  <c r="AU336" i="3"/>
  <c r="AR372" i="3"/>
  <c r="AT372" i="3" s="1"/>
  <c r="AZ300" i="3"/>
  <c r="AW336" i="3"/>
  <c r="AY336" i="3" s="1"/>
  <c r="AP334" i="3"/>
  <c r="AM370" i="3"/>
  <c r="AO370" i="3" s="1"/>
  <c r="AP341" i="3"/>
  <c r="AM377" i="3"/>
  <c r="AO377" i="3" s="1"/>
  <c r="AW337" i="3"/>
  <c r="AY337" i="3" s="1"/>
  <c r="AZ301" i="3"/>
  <c r="AM380" i="3"/>
  <c r="AO380" i="3" s="1"/>
  <c r="AP344" i="3"/>
  <c r="AW342" i="3"/>
  <c r="AY342" i="3" s="1"/>
  <c r="AZ306" i="3"/>
  <c r="AW347" i="3"/>
  <c r="AY347" i="3" s="1"/>
  <c r="AZ311" i="3"/>
  <c r="U372" i="3"/>
  <c r="W372" i="3" s="1"/>
  <c r="X336" i="3"/>
  <c r="AW335" i="3"/>
  <c r="AY335" i="3" s="1"/>
  <c r="AZ299" i="3"/>
  <c r="AU346" i="3"/>
  <c r="AR382" i="3"/>
  <c r="AT382" i="3" s="1"/>
  <c r="Z230" i="3"/>
  <c r="Z245" i="3" s="1"/>
  <c r="AC194" i="3"/>
  <c r="AZ310" i="3"/>
  <c r="AW346" i="3"/>
  <c r="AY346" i="3" s="1"/>
  <c r="H420" i="3"/>
  <c r="I371" i="3"/>
  <c r="H407" i="3"/>
  <c r="H419" i="3"/>
  <c r="Z259" i="3"/>
  <c r="AC223" i="3"/>
  <c r="AZ308" i="3"/>
  <c r="AW344" i="3"/>
  <c r="AY344" i="3" s="1"/>
  <c r="AW345" i="3"/>
  <c r="AY345" i="3" s="1"/>
  <c r="AZ309" i="3"/>
  <c r="H417" i="3"/>
  <c r="I381" i="3"/>
  <c r="AR377" i="3"/>
  <c r="AT377" i="3" s="1"/>
  <c r="AU341" i="3"/>
  <c r="I374" i="3"/>
  <c r="H410" i="3"/>
  <c r="H223" i="3"/>
  <c r="I382" i="3"/>
  <c r="H418" i="3"/>
  <c r="H412" i="3"/>
  <c r="I376" i="3"/>
  <c r="AY151" i="3"/>
  <c r="AY173" i="3" s="1"/>
  <c r="AW377" i="3"/>
  <c r="AY377" i="3" s="1"/>
  <c r="AZ341" i="3"/>
  <c r="AR380" i="3"/>
  <c r="AT380" i="3" s="1"/>
  <c r="AU344" i="3"/>
  <c r="AR223" i="3"/>
  <c r="AR245" i="3" s="1"/>
  <c r="AU187" i="3"/>
  <c r="AU338" i="3"/>
  <c r="AR374" i="3"/>
  <c r="AT374" i="3" s="1"/>
  <c r="I368" i="3"/>
  <c r="H404" i="3"/>
  <c r="U369" i="3"/>
  <c r="W369" i="3" s="1"/>
  <c r="X333" i="3"/>
  <c r="AW333" i="3"/>
  <c r="AY333" i="3" s="1"/>
  <c r="AZ297" i="3"/>
  <c r="AZ307" i="3"/>
  <c r="AW343" i="3"/>
  <c r="AY343" i="3" s="1"/>
  <c r="I379" i="3"/>
  <c r="H415" i="3"/>
  <c r="K377" i="3"/>
  <c r="M377" i="3" s="1"/>
  <c r="N377" i="3" s="1"/>
  <c r="AZ304" i="3"/>
  <c r="AW340" i="3"/>
  <c r="AY340" i="3" s="1"/>
  <c r="I339" i="3"/>
  <c r="F375" i="3"/>
  <c r="H375" i="3" s="1"/>
  <c r="F411" i="3" s="1"/>
  <c r="K416" i="3"/>
  <c r="M416" i="3" s="1"/>
  <c r="N416" i="3" s="1"/>
  <c r="H409" i="3"/>
  <c r="I373" i="3"/>
  <c r="AY296" i="3"/>
  <c r="AM336" i="3"/>
  <c r="AP300" i="3"/>
  <c r="M338" i="3"/>
  <c r="N338" i="3" s="1"/>
  <c r="AI379" i="3"/>
  <c r="AK379" i="3" s="1"/>
  <c r="AL343" i="3"/>
  <c r="AG404" i="3"/>
  <c r="AH404" i="3" s="1"/>
  <c r="AH368" i="3"/>
  <c r="AE380" i="3"/>
  <c r="AG380" i="3" s="1"/>
  <c r="AE416" i="3" s="1"/>
  <c r="AH344" i="3"/>
  <c r="AE376" i="3"/>
  <c r="AG376" i="3" s="1"/>
  <c r="AE412" i="3" s="1"/>
  <c r="AH340" i="3"/>
  <c r="AE378" i="3"/>
  <c r="AG378" i="3" s="1"/>
  <c r="AE414" i="3" s="1"/>
  <c r="AH342" i="3"/>
  <c r="AI384" i="3"/>
  <c r="AK384" i="3" s="1"/>
  <c r="AI374" i="3"/>
  <c r="AK374" i="3" s="1"/>
  <c r="AL338" i="3"/>
  <c r="AG409" i="3"/>
  <c r="AH409" i="3" s="1"/>
  <c r="AH373" i="3"/>
  <c r="AI377" i="3"/>
  <c r="AK377" i="3" s="1"/>
  <c r="AL341" i="3"/>
  <c r="AG407" i="3"/>
  <c r="AH407" i="3" s="1"/>
  <c r="AH371" i="3"/>
  <c r="AG405" i="3"/>
  <c r="AH405" i="3" s="1"/>
  <c r="AH369" i="3"/>
  <c r="AE374" i="3"/>
  <c r="AG374" i="3" s="1"/>
  <c r="AE410" i="3" s="1"/>
  <c r="AH338" i="3"/>
  <c r="AE379" i="3"/>
  <c r="AG379" i="3" s="1"/>
  <c r="AE415" i="3" s="1"/>
  <c r="AH343" i="3"/>
  <c r="AI414" i="3"/>
  <c r="AK414" i="3" s="1"/>
  <c r="AL414" i="3" s="1"/>
  <c r="AL378" i="3"/>
  <c r="AK187" i="3"/>
  <c r="AK209" i="3" s="1"/>
  <c r="AL209" i="3" s="1"/>
  <c r="AE383" i="3"/>
  <c r="AG383" i="3" s="1"/>
  <c r="AE419" i="3" s="1"/>
  <c r="AH347" i="3"/>
  <c r="AE377" i="3"/>
  <c r="AG377" i="3" s="1"/>
  <c r="AE413" i="3" s="1"/>
  <c r="AH341" i="3"/>
  <c r="AE381" i="3"/>
  <c r="AG381" i="3" s="1"/>
  <c r="AE417" i="3" s="1"/>
  <c r="AH345" i="3"/>
  <c r="AE384" i="3"/>
  <c r="AG384" i="3" s="1"/>
  <c r="AE420" i="3" s="1"/>
  <c r="AG187" i="3"/>
  <c r="AG209" i="3" s="1"/>
  <c r="AH209" i="3" s="1"/>
  <c r="H405" i="33"/>
  <c r="J405" i="33" s="1"/>
  <c r="F305" i="33"/>
  <c r="D340" i="33" s="1"/>
  <c r="F340" i="33" s="1"/>
  <c r="G340" i="33" s="1"/>
  <c r="H438" i="33"/>
  <c r="J438" i="33" s="1"/>
  <c r="G298" i="33"/>
  <c r="J263" i="33"/>
  <c r="J302" i="33"/>
  <c r="H337" i="33" s="1"/>
  <c r="J337" i="33" s="1"/>
  <c r="K337" i="33" s="1"/>
  <c r="J303" i="33"/>
  <c r="H338" i="33" s="1"/>
  <c r="J338" i="33" s="1"/>
  <c r="K338" i="33" s="1"/>
  <c r="J301" i="33"/>
  <c r="H336" i="33" s="1"/>
  <c r="J336" i="33" s="1"/>
  <c r="K336" i="33" s="1"/>
  <c r="F299" i="33"/>
  <c r="D334" i="33" s="1"/>
  <c r="F334" i="33" s="1"/>
  <c r="G334" i="33" s="1"/>
  <c r="F302" i="33"/>
  <c r="D337" i="33" s="1"/>
  <c r="F337" i="33" s="1"/>
  <c r="G337" i="33" s="1"/>
  <c r="J294" i="33"/>
  <c r="H329" i="33" s="1"/>
  <c r="J329" i="33" s="1"/>
  <c r="K329" i="33" s="1"/>
  <c r="F295" i="33"/>
  <c r="D330" i="33" s="1"/>
  <c r="F330" i="33" s="1"/>
  <c r="G330" i="33" s="1"/>
  <c r="F294" i="33"/>
  <c r="D329" i="33" s="1"/>
  <c r="F329" i="33" s="1"/>
  <c r="G329" i="33" s="1"/>
  <c r="J291" i="33"/>
  <c r="H326" i="33" s="1"/>
  <c r="J326" i="33" s="1"/>
  <c r="K326" i="33" s="1"/>
  <c r="F296" i="33"/>
  <c r="D331" i="33" s="1"/>
  <c r="F331" i="33" s="1"/>
  <c r="G331" i="33" s="1"/>
  <c r="F303" i="33"/>
  <c r="D338" i="33" s="1"/>
  <c r="F338" i="33" s="1"/>
  <c r="G338" i="33" s="1"/>
  <c r="J296" i="33"/>
  <c r="H331" i="33" s="1"/>
  <c r="J331" i="33" s="1"/>
  <c r="K331" i="33" s="1"/>
  <c r="J295" i="33"/>
  <c r="H330" i="33" s="1"/>
  <c r="J330" i="33" s="1"/>
  <c r="K330" i="33" s="1"/>
  <c r="F475" i="33"/>
  <c r="D440" i="33"/>
  <c r="J297" i="33"/>
  <c r="H332" i="33" s="1"/>
  <c r="J332" i="33" s="1"/>
  <c r="K332" i="33" s="1"/>
  <c r="F301" i="33"/>
  <c r="D336" i="33" s="1"/>
  <c r="F336" i="33" s="1"/>
  <c r="G336" i="33" s="1"/>
  <c r="F291" i="33"/>
  <c r="D326" i="33" s="1"/>
  <c r="F326" i="33" s="1"/>
  <c r="G326" i="33" s="1"/>
  <c r="F304" i="33"/>
  <c r="D339" i="33" s="1"/>
  <c r="F339" i="33" s="1"/>
  <c r="G339" i="33" s="1"/>
  <c r="J299" i="33"/>
  <c r="H334" i="33" s="1"/>
  <c r="J334" i="33" s="1"/>
  <c r="K334" i="33" s="1"/>
  <c r="J304" i="33"/>
  <c r="H339" i="33" s="1"/>
  <c r="J339" i="33" s="1"/>
  <c r="K339" i="33" s="1"/>
  <c r="F297" i="33"/>
  <c r="D332" i="33" s="1"/>
  <c r="F332" i="33" s="1"/>
  <c r="G332" i="33" s="1"/>
  <c r="F292" i="33"/>
  <c r="D327" i="33" s="1"/>
  <c r="F327" i="33" s="1"/>
  <c r="G327" i="33" s="1"/>
  <c r="J292" i="33"/>
  <c r="H327" i="33" s="1"/>
  <c r="J327" i="33" s="1"/>
  <c r="K327" i="33" s="1"/>
  <c r="F255" i="33"/>
  <c r="J293" i="33"/>
  <c r="H328" i="33" s="1"/>
  <c r="J328" i="33" s="1"/>
  <c r="K328" i="33" s="1"/>
  <c r="F293" i="33"/>
  <c r="D328" i="33" s="1"/>
  <c r="F328" i="33" s="1"/>
  <c r="G328" i="33" s="1"/>
  <c r="M378" i="3"/>
  <c r="N378" i="3" s="1"/>
  <c r="W378" i="3"/>
  <c r="AC342" i="3"/>
  <c r="Z378" i="3"/>
  <c r="H378" i="3"/>
  <c r="F414" i="3" s="1"/>
  <c r="AO378" i="3"/>
  <c r="AU315" i="3" l="1"/>
  <c r="S315" i="3"/>
  <c r="N382" i="3"/>
  <c r="K418" i="3"/>
  <c r="M418" i="3" s="1"/>
  <c r="N418" i="3" s="1"/>
  <c r="N349" i="3"/>
  <c r="AW298" i="3"/>
  <c r="AY298" i="3" s="1"/>
  <c r="AZ262" i="3"/>
  <c r="AL417" i="3"/>
  <c r="AC348" i="3"/>
  <c r="X348" i="3"/>
  <c r="I348" i="3"/>
  <c r="C425" i="2"/>
  <c r="AC314" i="3"/>
  <c r="X314" i="3"/>
  <c r="AL314" i="3"/>
  <c r="I314" i="3"/>
  <c r="AH314" i="3"/>
  <c r="AL348" i="3"/>
  <c r="AZ314" i="3"/>
  <c r="D350" i="3"/>
  <c r="AC315" i="3"/>
  <c r="X315" i="3"/>
  <c r="AL315" i="3"/>
  <c r="I315" i="3"/>
  <c r="AH315" i="3"/>
  <c r="C436" i="33"/>
  <c r="E424" i="2"/>
  <c r="D316" i="3"/>
  <c r="D303" i="2"/>
  <c r="G341" i="33"/>
  <c r="C342" i="33"/>
  <c r="C349" i="3"/>
  <c r="AZ349" i="3" s="1"/>
  <c r="K309" i="33"/>
  <c r="G309" i="33"/>
  <c r="C337" i="2"/>
  <c r="C310" i="33"/>
  <c r="C316" i="3"/>
  <c r="AH348" i="3"/>
  <c r="D384" i="3"/>
  <c r="C375" i="33"/>
  <c r="C383" i="3"/>
  <c r="C343" i="33"/>
  <c r="K343" i="33" s="1"/>
  <c r="C350" i="3"/>
  <c r="AZ350" i="3" s="1"/>
  <c r="P241" i="3"/>
  <c r="R209" i="3"/>
  <c r="S209" i="3" s="1"/>
  <c r="I409" i="3"/>
  <c r="I415" i="3"/>
  <c r="I404" i="3"/>
  <c r="I412" i="3"/>
  <c r="H245" i="3"/>
  <c r="I410" i="3"/>
  <c r="I417" i="3"/>
  <c r="I407" i="3"/>
  <c r="I416" i="3"/>
  <c r="I413" i="3"/>
  <c r="F369" i="3"/>
  <c r="H369" i="3" s="1"/>
  <c r="F405" i="3" s="1"/>
  <c r="I333" i="3"/>
  <c r="H422" i="3"/>
  <c r="I370" i="3"/>
  <c r="H406" i="3"/>
  <c r="J473" i="33"/>
  <c r="K202" i="33"/>
  <c r="H237" i="33"/>
  <c r="H206" i="33"/>
  <c r="F203" i="33"/>
  <c r="D206" i="33"/>
  <c r="F474" i="33"/>
  <c r="D465" i="33"/>
  <c r="G324" i="33"/>
  <c r="D359" i="33"/>
  <c r="F359" i="33" s="1"/>
  <c r="J359" i="33"/>
  <c r="H465" i="33"/>
  <c r="AP386" i="3"/>
  <c r="AM422" i="3"/>
  <c r="AO422" i="3" s="1"/>
  <c r="AP422" i="3" s="1"/>
  <c r="AP387" i="3"/>
  <c r="AM423" i="3"/>
  <c r="AO423" i="3" s="1"/>
  <c r="AP423" i="3" s="1"/>
  <c r="H423" i="3"/>
  <c r="AP388" i="3"/>
  <c r="AM424" i="3"/>
  <c r="AO424" i="3" s="1"/>
  <c r="AP424" i="3" s="1"/>
  <c r="H424" i="3"/>
  <c r="AR424" i="3"/>
  <c r="AT424" i="3" s="1"/>
  <c r="AP385" i="3"/>
  <c r="AM421" i="3"/>
  <c r="AO421" i="3" s="1"/>
  <c r="AP421" i="3" s="1"/>
  <c r="K421" i="3"/>
  <c r="M421" i="3" s="1"/>
  <c r="AR421" i="3"/>
  <c r="AT421" i="3" s="1"/>
  <c r="U421" i="3"/>
  <c r="W421" i="3" s="1"/>
  <c r="Z421" i="3"/>
  <c r="AB421" i="3" s="1"/>
  <c r="AG423" i="3"/>
  <c r="AG424" i="3"/>
  <c r="AI421" i="3"/>
  <c r="AK421" i="3" s="1"/>
  <c r="AI423" i="3"/>
  <c r="AK423" i="3" s="1"/>
  <c r="AI422" i="3"/>
  <c r="AK422" i="3" s="1"/>
  <c r="AI424" i="3"/>
  <c r="AK424" i="3" s="1"/>
  <c r="AG422" i="3"/>
  <c r="AU412" i="3"/>
  <c r="AW385" i="3"/>
  <c r="AY385" i="3" s="1"/>
  <c r="AW388" i="3"/>
  <c r="AY388" i="3" s="1"/>
  <c r="AW386" i="3"/>
  <c r="AY386" i="3" s="1"/>
  <c r="AW387" i="3"/>
  <c r="AY387" i="3" s="1"/>
  <c r="K387" i="3"/>
  <c r="M387" i="3" s="1"/>
  <c r="U367" i="3"/>
  <c r="X331" i="3"/>
  <c r="AM411" i="3"/>
  <c r="AO411" i="3" s="1"/>
  <c r="AP411" i="3" s="1"/>
  <c r="AP375" i="3"/>
  <c r="AP382" i="3"/>
  <c r="AM418" i="3"/>
  <c r="AO418" i="3" s="1"/>
  <c r="AP418" i="3" s="1"/>
  <c r="AU368" i="3"/>
  <c r="AR404" i="3"/>
  <c r="AT404" i="3" s="1"/>
  <c r="AU404" i="3" s="1"/>
  <c r="AC381" i="3"/>
  <c r="Z417" i="3"/>
  <c r="AB417" i="3" s="1"/>
  <c r="AC417" i="3" s="1"/>
  <c r="K412" i="3"/>
  <c r="M412" i="3" s="1"/>
  <c r="N412" i="3" s="1"/>
  <c r="X381" i="3"/>
  <c r="U417" i="3"/>
  <c r="W417" i="3" s="1"/>
  <c r="X417" i="3" s="1"/>
  <c r="AP384" i="3"/>
  <c r="AM420" i="3"/>
  <c r="AO420" i="3" s="1"/>
  <c r="AP420" i="3" s="1"/>
  <c r="K411" i="3"/>
  <c r="M411" i="3" s="1"/>
  <c r="N411" i="3" s="1"/>
  <c r="U409" i="3"/>
  <c r="W409" i="3" s="1"/>
  <c r="X409" i="3" s="1"/>
  <c r="X373" i="3"/>
  <c r="AM409" i="3"/>
  <c r="AO409" i="3" s="1"/>
  <c r="AP409" i="3" s="1"/>
  <c r="AP373" i="3"/>
  <c r="AR420" i="3"/>
  <c r="AT420" i="3" s="1"/>
  <c r="Z411" i="3"/>
  <c r="AB411" i="3" s="1"/>
  <c r="AC411" i="3" s="1"/>
  <c r="AC375" i="3"/>
  <c r="AP379" i="3"/>
  <c r="AM415" i="3"/>
  <c r="AO415" i="3" s="1"/>
  <c r="AP415" i="3" s="1"/>
  <c r="AP381" i="3"/>
  <c r="AM417" i="3"/>
  <c r="AO417" i="3" s="1"/>
  <c r="AP417" i="3" s="1"/>
  <c r="K419" i="3"/>
  <c r="M419" i="3" s="1"/>
  <c r="AP371" i="3"/>
  <c r="AM407" i="3"/>
  <c r="AO407" i="3" s="1"/>
  <c r="AP407" i="3" s="1"/>
  <c r="AP368" i="3"/>
  <c r="AM404" i="3"/>
  <c r="AO404" i="3" s="1"/>
  <c r="AP404" i="3" s="1"/>
  <c r="AC379" i="3"/>
  <c r="Z415" i="3"/>
  <c r="AB415" i="3" s="1"/>
  <c r="AC415" i="3" s="1"/>
  <c r="AM412" i="3"/>
  <c r="AO412" i="3" s="1"/>
  <c r="AP412" i="3" s="1"/>
  <c r="AP376" i="3"/>
  <c r="AT223" i="3"/>
  <c r="AT245" i="3" s="1"/>
  <c r="AU245" i="3" s="1"/>
  <c r="AU377" i="3"/>
  <c r="AR413" i="3"/>
  <c r="AT413" i="3" s="1"/>
  <c r="AU413" i="3" s="1"/>
  <c r="AZ346" i="3"/>
  <c r="AW382" i="3"/>
  <c r="AY382" i="3" s="1"/>
  <c r="AZ335" i="3"/>
  <c r="AW371" i="3"/>
  <c r="AY371" i="3" s="1"/>
  <c r="AP380" i="3"/>
  <c r="AM416" i="3"/>
  <c r="AO416" i="3" s="1"/>
  <c r="AP416" i="3" s="1"/>
  <c r="I372" i="3"/>
  <c r="H408" i="3"/>
  <c r="K413" i="3"/>
  <c r="M413" i="3" s="1"/>
  <c r="N413" i="3" s="1"/>
  <c r="U405" i="3"/>
  <c r="W405" i="3" s="1"/>
  <c r="X405" i="3" s="1"/>
  <c r="X369" i="3"/>
  <c r="AB259" i="3"/>
  <c r="AU372" i="3"/>
  <c r="AR408" i="3"/>
  <c r="AT408" i="3" s="1"/>
  <c r="AU408" i="3" s="1"/>
  <c r="AO225" i="3"/>
  <c r="AO245" i="3" s="1"/>
  <c r="AP245" i="3" s="1"/>
  <c r="AR416" i="3"/>
  <c r="AT416" i="3" s="1"/>
  <c r="AU416" i="3" s="1"/>
  <c r="AU380" i="3"/>
  <c r="X372" i="3"/>
  <c r="U408" i="3"/>
  <c r="W408" i="3" s="1"/>
  <c r="X408" i="3" s="1"/>
  <c r="AW373" i="3"/>
  <c r="AY373" i="3" s="1"/>
  <c r="AZ337" i="3"/>
  <c r="AZ348" i="3"/>
  <c r="AW384" i="3"/>
  <c r="AY384" i="3" s="1"/>
  <c r="AZ339" i="3"/>
  <c r="AW375" i="3"/>
  <c r="AY375" i="3" s="1"/>
  <c r="AP377" i="3"/>
  <c r="AM413" i="3"/>
  <c r="AO413" i="3" s="1"/>
  <c r="AP413" i="3" s="1"/>
  <c r="H411" i="3"/>
  <c r="I375" i="3"/>
  <c r="AZ343" i="3"/>
  <c r="AW379" i="3"/>
  <c r="AY379" i="3" s="1"/>
  <c r="AR410" i="3"/>
  <c r="AT410" i="3" s="1"/>
  <c r="AU410" i="3" s="1"/>
  <c r="AU374" i="3"/>
  <c r="AW413" i="3"/>
  <c r="AY413" i="3" s="1"/>
  <c r="AZ413" i="3" s="1"/>
  <c r="AZ377" i="3"/>
  <c r="I223" i="3"/>
  <c r="F259" i="3"/>
  <c r="F281" i="3" s="1"/>
  <c r="AZ345" i="3"/>
  <c r="AW381" i="3"/>
  <c r="AY381" i="3" s="1"/>
  <c r="AB230" i="3"/>
  <c r="AB245" i="3" s="1"/>
  <c r="AC245" i="3" s="1"/>
  <c r="AZ347" i="3"/>
  <c r="AW383" i="3"/>
  <c r="AY383" i="3" s="1"/>
  <c r="AW380" i="3"/>
  <c r="AY380" i="3" s="1"/>
  <c r="AZ344" i="3"/>
  <c r="AU382" i="3"/>
  <c r="AR418" i="3"/>
  <c r="AT418" i="3" s="1"/>
  <c r="AU418" i="3" s="1"/>
  <c r="AM406" i="3"/>
  <c r="AO406" i="3" s="1"/>
  <c r="AP406" i="3" s="1"/>
  <c r="AP370" i="3"/>
  <c r="M223" i="3"/>
  <c r="X224" i="3"/>
  <c r="U260" i="3"/>
  <c r="U281" i="3" s="1"/>
  <c r="AU379" i="3"/>
  <c r="AR415" i="3"/>
  <c r="AT415" i="3" s="1"/>
  <c r="AU415" i="3" s="1"/>
  <c r="X371" i="3"/>
  <c r="U407" i="3"/>
  <c r="W407" i="3" s="1"/>
  <c r="X407" i="3" s="1"/>
  <c r="AW376" i="3"/>
  <c r="AY376" i="3" s="1"/>
  <c r="AZ340" i="3"/>
  <c r="AZ151" i="3"/>
  <c r="AW187" i="3"/>
  <c r="AW209" i="3" s="1"/>
  <c r="AZ173" i="3"/>
  <c r="AW378" i="3"/>
  <c r="AY378" i="3" s="1"/>
  <c r="AZ342" i="3"/>
  <c r="AW369" i="3"/>
  <c r="AY369" i="3" s="1"/>
  <c r="AZ333" i="3"/>
  <c r="AZ336" i="3"/>
  <c r="AW372" i="3"/>
  <c r="AY372" i="3" s="1"/>
  <c r="AP259" i="3"/>
  <c r="AM295" i="3"/>
  <c r="AZ296" i="3"/>
  <c r="AW332" i="3"/>
  <c r="AO336" i="3"/>
  <c r="K374" i="3"/>
  <c r="AW374" i="3"/>
  <c r="AZ338" i="3"/>
  <c r="AI415" i="3"/>
  <c r="AK415" i="3" s="1"/>
  <c r="AL415" i="3" s="1"/>
  <c r="AL379" i="3"/>
  <c r="AI420" i="3"/>
  <c r="AK420" i="3" s="1"/>
  <c r="AI413" i="3"/>
  <c r="AK413" i="3" s="1"/>
  <c r="AL413" i="3" s="1"/>
  <c r="AL377" i="3"/>
  <c r="AG414" i="3"/>
  <c r="AH414" i="3" s="1"/>
  <c r="AH378" i="3"/>
  <c r="AG410" i="3"/>
  <c r="AH410" i="3" s="1"/>
  <c r="AH374" i="3"/>
  <c r="AG412" i="3"/>
  <c r="AH412" i="3" s="1"/>
  <c r="AH376" i="3"/>
  <c r="AI410" i="3"/>
  <c r="AK410" i="3" s="1"/>
  <c r="AL410" i="3" s="1"/>
  <c r="AL374" i="3"/>
  <c r="AG416" i="3"/>
  <c r="AH416" i="3" s="1"/>
  <c r="AH380" i="3"/>
  <c r="AG419" i="3"/>
  <c r="AL187" i="3"/>
  <c r="AI223" i="3"/>
  <c r="AI245" i="3" s="1"/>
  <c r="AE223" i="3"/>
  <c r="AE245" i="3" s="1"/>
  <c r="AH187" i="3"/>
  <c r="AG420" i="3"/>
  <c r="AG417" i="3"/>
  <c r="AH417" i="3" s="1"/>
  <c r="AH381" i="3"/>
  <c r="AG413" i="3"/>
  <c r="AH413" i="3" s="1"/>
  <c r="AH377" i="3"/>
  <c r="AG415" i="3"/>
  <c r="AH415" i="3" s="1"/>
  <c r="AH379" i="3"/>
  <c r="H305" i="33"/>
  <c r="H439" i="33"/>
  <c r="J439" i="33" s="1"/>
  <c r="K263" i="33"/>
  <c r="H298" i="33"/>
  <c r="G305" i="33"/>
  <c r="G291" i="33"/>
  <c r="G294" i="33"/>
  <c r="G299" i="33"/>
  <c r="K292" i="33"/>
  <c r="K304" i="33"/>
  <c r="G301" i="33"/>
  <c r="K295" i="33"/>
  <c r="G293" i="33"/>
  <c r="G295" i="33"/>
  <c r="K301" i="33"/>
  <c r="G292" i="33"/>
  <c r="K299" i="33"/>
  <c r="K297" i="33"/>
  <c r="K296" i="33"/>
  <c r="D290" i="33"/>
  <c r="G255" i="33"/>
  <c r="H255" i="33"/>
  <c r="K294" i="33"/>
  <c r="K303" i="33"/>
  <c r="G304" i="33"/>
  <c r="F440" i="33"/>
  <c r="D441" i="33"/>
  <c r="G303" i="33"/>
  <c r="G297" i="33"/>
  <c r="G296" i="33"/>
  <c r="K293" i="33"/>
  <c r="K291" i="33"/>
  <c r="G302" i="33"/>
  <c r="K302" i="33"/>
  <c r="U414" i="3"/>
  <c r="X378" i="3"/>
  <c r="AP378" i="3"/>
  <c r="AM414" i="3"/>
  <c r="G405" i="33"/>
  <c r="F465" i="33"/>
  <c r="K405" i="33"/>
  <c r="J465" i="33"/>
  <c r="AU378" i="3"/>
  <c r="AR414" i="3"/>
  <c r="I378" i="3"/>
  <c r="AB378" i="3"/>
  <c r="K414" i="3"/>
  <c r="AU384" i="3" l="1"/>
  <c r="S384" i="3"/>
  <c r="N384" i="3"/>
  <c r="AU316" i="3"/>
  <c r="S316" i="3"/>
  <c r="N316" i="3"/>
  <c r="AU350" i="3"/>
  <c r="S350" i="3"/>
  <c r="N350" i="3"/>
  <c r="M245" i="3"/>
  <c r="N245" i="3" s="1"/>
  <c r="N223" i="3"/>
  <c r="AW334" i="3"/>
  <c r="AY334" i="3" s="1"/>
  <c r="AZ298" i="3"/>
  <c r="AC383" i="3"/>
  <c r="AL383" i="3"/>
  <c r="X383" i="3"/>
  <c r="I383" i="3"/>
  <c r="C426" i="2"/>
  <c r="D420" i="3"/>
  <c r="D385" i="3"/>
  <c r="C345" i="33"/>
  <c r="C352" i="3"/>
  <c r="X316" i="3"/>
  <c r="AC316" i="3"/>
  <c r="I316" i="3"/>
  <c r="AH316" i="3"/>
  <c r="AL316" i="3"/>
  <c r="AZ316" i="3"/>
  <c r="C384" i="3"/>
  <c r="AZ384" i="3" s="1"/>
  <c r="C376" i="33"/>
  <c r="C317" i="3"/>
  <c r="D351" i="3"/>
  <c r="C377" i="33"/>
  <c r="C385" i="3"/>
  <c r="G310" i="33"/>
  <c r="K310" i="33"/>
  <c r="C311" i="33"/>
  <c r="D317" i="3"/>
  <c r="AC350" i="3"/>
  <c r="X350" i="3"/>
  <c r="AL350" i="3"/>
  <c r="AH350" i="3"/>
  <c r="I350" i="3"/>
  <c r="AH383" i="3"/>
  <c r="C418" i="3"/>
  <c r="C409" i="33"/>
  <c r="C469" i="33" s="1"/>
  <c r="D419" i="3"/>
  <c r="S419" i="3" s="1"/>
  <c r="C344" i="33"/>
  <c r="C351" i="3"/>
  <c r="I349" i="3"/>
  <c r="X349" i="3"/>
  <c r="AL349" i="3"/>
  <c r="AC349" i="3"/>
  <c r="AH349" i="3"/>
  <c r="D425" i="2"/>
  <c r="D337" i="2"/>
  <c r="G436" i="33"/>
  <c r="K436" i="33"/>
  <c r="C437" i="33"/>
  <c r="E425" i="2"/>
  <c r="R241" i="3"/>
  <c r="S241" i="3" s="1"/>
  <c r="P245" i="3"/>
  <c r="I411" i="3"/>
  <c r="I408" i="3"/>
  <c r="I406" i="3"/>
  <c r="H405" i="3"/>
  <c r="I369" i="3"/>
  <c r="I245" i="3"/>
  <c r="D272" i="33"/>
  <c r="K201" i="33"/>
  <c r="K206" i="33" s="1"/>
  <c r="H236" i="33"/>
  <c r="J206" i="33"/>
  <c r="J237" i="33"/>
  <c r="D238" i="33"/>
  <c r="F238" i="33" s="1"/>
  <c r="G203" i="33"/>
  <c r="G206" i="33" s="1"/>
  <c r="F206" i="33"/>
  <c r="K359" i="33"/>
  <c r="H394" i="33"/>
  <c r="G359" i="33"/>
  <c r="D394" i="33"/>
  <c r="F394" i="33" s="1"/>
  <c r="G394" i="33" s="1"/>
  <c r="AW422" i="3"/>
  <c r="AY422" i="3" s="1"/>
  <c r="K423" i="3"/>
  <c r="M423" i="3" s="1"/>
  <c r="AW423" i="3"/>
  <c r="AY423" i="3" s="1"/>
  <c r="AW424" i="3"/>
  <c r="AY424" i="3" s="1"/>
  <c r="AW421" i="3"/>
  <c r="AY421" i="3" s="1"/>
  <c r="W367" i="3"/>
  <c r="AW412" i="3"/>
  <c r="AY412" i="3" s="1"/>
  <c r="AZ412" i="3" s="1"/>
  <c r="AZ376" i="3"/>
  <c r="AW415" i="3"/>
  <c r="AY415" i="3" s="1"/>
  <c r="AZ415" i="3" s="1"/>
  <c r="AZ379" i="3"/>
  <c r="AW420" i="3"/>
  <c r="AY420" i="3" s="1"/>
  <c r="AZ371" i="3"/>
  <c r="AW407" i="3"/>
  <c r="AY407" i="3" s="1"/>
  <c r="AZ407" i="3" s="1"/>
  <c r="AW405" i="3"/>
  <c r="AY405" i="3" s="1"/>
  <c r="AZ405" i="3" s="1"/>
  <c r="AZ369" i="3"/>
  <c r="W260" i="3"/>
  <c r="W281" i="3" s="1"/>
  <c r="X281" i="3" s="1"/>
  <c r="AP225" i="3"/>
  <c r="AM261" i="3"/>
  <c r="AM281" i="3" s="1"/>
  <c r="AW416" i="3"/>
  <c r="AY416" i="3" s="1"/>
  <c r="AZ416" i="3" s="1"/>
  <c r="AZ380" i="3"/>
  <c r="H259" i="3"/>
  <c r="AW418" i="3"/>
  <c r="AY418" i="3" s="1"/>
  <c r="AZ382" i="3"/>
  <c r="AW414" i="3"/>
  <c r="AY414" i="3" s="1"/>
  <c r="AZ414" i="3" s="1"/>
  <c r="AZ378" i="3"/>
  <c r="AZ383" i="3"/>
  <c r="AW419" i="3"/>
  <c r="AY419" i="3" s="1"/>
  <c r="AZ373" i="3"/>
  <c r="AW409" i="3"/>
  <c r="AY409" i="3" s="1"/>
  <c r="AZ409" i="3" s="1"/>
  <c r="AO295" i="3"/>
  <c r="K259" i="3"/>
  <c r="K281" i="3" s="1"/>
  <c r="AY187" i="3"/>
  <c r="AY209" i="3" s="1"/>
  <c r="AZ209" i="3" s="1"/>
  <c r="Z295" i="3"/>
  <c r="AC259" i="3"/>
  <c r="AZ372" i="3"/>
  <c r="AW408" i="3"/>
  <c r="AY408" i="3" s="1"/>
  <c r="AZ408" i="3" s="1"/>
  <c r="Z266" i="3"/>
  <c r="Z281" i="3" s="1"/>
  <c r="AC230" i="3"/>
  <c r="AW411" i="3"/>
  <c r="AY411" i="3" s="1"/>
  <c r="AZ411" i="3" s="1"/>
  <c r="AZ375" i="3"/>
  <c r="AZ381" i="3"/>
  <c r="AW417" i="3"/>
  <c r="AY417" i="3" s="1"/>
  <c r="AZ417" i="3" s="1"/>
  <c r="AU223" i="3"/>
  <c r="AR259" i="3"/>
  <c r="AR281" i="3" s="1"/>
  <c r="AY332" i="3"/>
  <c r="AM372" i="3"/>
  <c r="AP336" i="3"/>
  <c r="AY374" i="3"/>
  <c r="M374" i="3"/>
  <c r="N374" i="3" s="1"/>
  <c r="AK223" i="3"/>
  <c r="AK245" i="3" s="1"/>
  <c r="AL245" i="3" s="1"/>
  <c r="AG223" i="3"/>
  <c r="AG245" i="3" s="1"/>
  <c r="AH245" i="3" s="1"/>
  <c r="H440" i="33"/>
  <c r="J305" i="33"/>
  <c r="H340" i="33" s="1"/>
  <c r="J340" i="33" s="1"/>
  <c r="K340" i="33" s="1"/>
  <c r="J298" i="33"/>
  <c r="H333" i="33" s="1"/>
  <c r="J333" i="33" s="1"/>
  <c r="K333" i="33" s="1"/>
  <c r="D368" i="33"/>
  <c r="F441" i="33"/>
  <c r="J255" i="33"/>
  <c r="F290" i="33"/>
  <c r="D325" i="33" s="1"/>
  <c r="F325" i="33" s="1"/>
  <c r="G325" i="33" s="1"/>
  <c r="AT414" i="3"/>
  <c r="K465" i="33"/>
  <c r="AC378" i="3"/>
  <c r="Z414" i="3"/>
  <c r="AO414" i="3"/>
  <c r="H414" i="3"/>
  <c r="M414" i="3"/>
  <c r="N414" i="3" s="1"/>
  <c r="G465" i="33"/>
  <c r="W414" i="3"/>
  <c r="AU385" i="3" l="1"/>
  <c r="N385" i="3"/>
  <c r="AU420" i="3"/>
  <c r="S420" i="3"/>
  <c r="N420" i="3"/>
  <c r="S351" i="3"/>
  <c r="N351" i="3"/>
  <c r="N419" i="3"/>
  <c r="AW370" i="3"/>
  <c r="AY370" i="3" s="1"/>
  <c r="AZ334" i="3"/>
  <c r="AZ418" i="3"/>
  <c r="D426" i="2"/>
  <c r="G345" i="33"/>
  <c r="K345" i="33"/>
  <c r="G437" i="33"/>
  <c r="K437" i="33"/>
  <c r="AU351" i="3"/>
  <c r="C379" i="33"/>
  <c r="C387" i="3"/>
  <c r="C380" i="33"/>
  <c r="C388" i="3"/>
  <c r="C438" i="33"/>
  <c r="E426" i="2"/>
  <c r="X351" i="3"/>
  <c r="AC351" i="3"/>
  <c r="AL351" i="3"/>
  <c r="I351" i="3"/>
  <c r="AH351" i="3"/>
  <c r="AZ351" i="3"/>
  <c r="AU419" i="3"/>
  <c r="AH418" i="3"/>
  <c r="AL418" i="3"/>
  <c r="X418" i="3"/>
  <c r="AC418" i="3"/>
  <c r="I418" i="3"/>
  <c r="C411" i="33"/>
  <c r="C471" i="33" s="1"/>
  <c r="C420" i="3"/>
  <c r="AZ420" i="3" s="1"/>
  <c r="D386" i="3"/>
  <c r="AC384" i="3"/>
  <c r="X384" i="3"/>
  <c r="I384" i="3"/>
  <c r="AL384" i="3"/>
  <c r="AH384" i="3"/>
  <c r="C353" i="3"/>
  <c r="D352" i="3"/>
  <c r="C378" i="33"/>
  <c r="K378" i="33" s="1"/>
  <c r="C386" i="3"/>
  <c r="C371" i="2"/>
  <c r="I385" i="3"/>
  <c r="X385" i="3"/>
  <c r="AH385" i="3"/>
  <c r="AC385" i="3"/>
  <c r="AL385" i="3"/>
  <c r="AZ385" i="3"/>
  <c r="G344" i="33"/>
  <c r="K344" i="33"/>
  <c r="C410" i="33"/>
  <c r="C470" i="33" s="1"/>
  <c r="C419" i="3"/>
  <c r="AZ419" i="3" s="1"/>
  <c r="AC352" i="3"/>
  <c r="X352" i="3"/>
  <c r="AL352" i="3"/>
  <c r="I352" i="3"/>
  <c r="AH352" i="3"/>
  <c r="AZ352" i="3"/>
  <c r="C346" i="33"/>
  <c r="P277" i="3"/>
  <c r="R245" i="3"/>
  <c r="S245" i="3" s="1"/>
  <c r="H281" i="3"/>
  <c r="I405" i="3"/>
  <c r="H272" i="33"/>
  <c r="K237" i="33"/>
  <c r="D375" i="33"/>
  <c r="F375" i="33" s="1"/>
  <c r="G375" i="33" s="1"/>
  <c r="D376" i="33"/>
  <c r="J236" i="33"/>
  <c r="H241" i="33"/>
  <c r="D374" i="33"/>
  <c r="F374" i="33" s="1"/>
  <c r="G374" i="33" s="1"/>
  <c r="D241" i="33"/>
  <c r="H374" i="33"/>
  <c r="J374" i="33" s="1"/>
  <c r="K374" i="33" s="1"/>
  <c r="F272" i="33"/>
  <c r="D307" i="33" s="1"/>
  <c r="F454" i="33"/>
  <c r="G454" i="33" s="1"/>
  <c r="D454" i="33"/>
  <c r="J394" i="33"/>
  <c r="H454" i="33"/>
  <c r="X367" i="3"/>
  <c r="U403" i="3"/>
  <c r="AP295" i="3"/>
  <c r="AM331" i="3"/>
  <c r="AO261" i="3"/>
  <c r="AO281" i="3" s="1"/>
  <c r="AP281" i="3" s="1"/>
  <c r="AB295" i="3"/>
  <c r="AZ187" i="3"/>
  <c r="AW223" i="3"/>
  <c r="AW245" i="3" s="1"/>
  <c r="X260" i="3"/>
  <c r="U296" i="3"/>
  <c r="U317" i="3" s="1"/>
  <c r="AT259" i="3"/>
  <c r="AT281" i="3" s="1"/>
  <c r="AU281" i="3" s="1"/>
  <c r="AB266" i="3"/>
  <c r="AB281" i="3" s="1"/>
  <c r="AC281" i="3" s="1"/>
  <c r="I259" i="3"/>
  <c r="F295" i="3"/>
  <c r="F317" i="3" s="1"/>
  <c r="M259" i="3"/>
  <c r="AZ332" i="3"/>
  <c r="AW368" i="3"/>
  <c r="AO372" i="3"/>
  <c r="K410" i="3"/>
  <c r="AZ374" i="3"/>
  <c r="AW410" i="3"/>
  <c r="AE259" i="3"/>
  <c r="AE281" i="3" s="1"/>
  <c r="AH223" i="3"/>
  <c r="AI259" i="3"/>
  <c r="AI281" i="3" s="1"/>
  <c r="AL223" i="3"/>
  <c r="K305" i="33"/>
  <c r="K298" i="33"/>
  <c r="F368" i="33"/>
  <c r="J440" i="33"/>
  <c r="H441" i="33"/>
  <c r="H361" i="33"/>
  <c r="D362" i="33"/>
  <c r="D361" i="33"/>
  <c r="D366" i="33"/>
  <c r="H362" i="33"/>
  <c r="H367" i="33"/>
  <c r="D365" i="33"/>
  <c r="D371" i="33"/>
  <c r="G290" i="33"/>
  <c r="D367" i="33"/>
  <c r="D373" i="33"/>
  <c r="H371" i="33"/>
  <c r="H363" i="33"/>
  <c r="D369" i="33"/>
  <c r="H373" i="33"/>
  <c r="K255" i="33"/>
  <c r="H290" i="33"/>
  <c r="H366" i="33"/>
  <c r="D372" i="33"/>
  <c r="D363" i="33"/>
  <c r="D364" i="33"/>
  <c r="H364" i="33"/>
  <c r="H372" i="33"/>
  <c r="H365" i="33"/>
  <c r="H369" i="33"/>
  <c r="X414" i="3"/>
  <c r="AB414" i="3"/>
  <c r="I414" i="3"/>
  <c r="AU414" i="3"/>
  <c r="AP414" i="3"/>
  <c r="S386" i="3" l="1"/>
  <c r="N386" i="3"/>
  <c r="AU352" i="3"/>
  <c r="S352" i="3"/>
  <c r="N352" i="3"/>
  <c r="M281" i="3"/>
  <c r="N281" i="3" s="1"/>
  <c r="N259" i="3"/>
  <c r="AW406" i="3"/>
  <c r="AY406" i="3" s="1"/>
  <c r="AZ406" i="3" s="1"/>
  <c r="AZ370" i="3"/>
  <c r="AC386" i="3"/>
  <c r="X386" i="3"/>
  <c r="I386" i="3"/>
  <c r="AL386" i="3"/>
  <c r="AH386" i="3"/>
  <c r="AZ386" i="3"/>
  <c r="D422" i="3"/>
  <c r="D387" i="3"/>
  <c r="D371" i="2"/>
  <c r="D421" i="3"/>
  <c r="N421" i="3" s="1"/>
  <c r="AC388" i="3"/>
  <c r="X388" i="3"/>
  <c r="AH388" i="3"/>
  <c r="AL388" i="3"/>
  <c r="I388" i="3"/>
  <c r="AZ388" i="3"/>
  <c r="K379" i="33"/>
  <c r="G379" i="33"/>
  <c r="AC420" i="3"/>
  <c r="I420" i="3"/>
  <c r="X420" i="3"/>
  <c r="AL420" i="3"/>
  <c r="AH420" i="3"/>
  <c r="G380" i="33"/>
  <c r="K380" i="33"/>
  <c r="C413" i="33"/>
  <c r="C422" i="3"/>
  <c r="C381" i="33"/>
  <c r="C427" i="2"/>
  <c r="C412" i="33"/>
  <c r="C472" i="33" s="1"/>
  <c r="C421" i="3"/>
  <c r="C428" i="2"/>
  <c r="G438" i="33"/>
  <c r="K438" i="33"/>
  <c r="C414" i="33"/>
  <c r="C474" i="33" s="1"/>
  <c r="C423" i="3"/>
  <c r="D353" i="3"/>
  <c r="D423" i="3"/>
  <c r="D388" i="3"/>
  <c r="AL419" i="3"/>
  <c r="AC419" i="3"/>
  <c r="X419" i="3"/>
  <c r="I419" i="3"/>
  <c r="AH419" i="3"/>
  <c r="C389" i="3"/>
  <c r="AU386" i="3"/>
  <c r="AC387" i="3"/>
  <c r="X387" i="3"/>
  <c r="AL387" i="3"/>
  <c r="I387" i="3"/>
  <c r="AH387" i="3"/>
  <c r="AZ387" i="3"/>
  <c r="R277" i="3"/>
  <c r="S277" i="3" s="1"/>
  <c r="P281" i="3"/>
  <c r="I281" i="3"/>
  <c r="F307" i="33"/>
  <c r="G307" i="33" s="1"/>
  <c r="G272" i="33"/>
  <c r="D273" i="33"/>
  <c r="D276" i="33" s="1"/>
  <c r="G238" i="33"/>
  <c r="F241" i="33"/>
  <c r="G241" i="33" s="1"/>
  <c r="F376" i="33"/>
  <c r="K236" i="33"/>
  <c r="H271" i="33"/>
  <c r="H276" i="33" s="1"/>
  <c r="J241" i="33"/>
  <c r="K241" i="33" s="1"/>
  <c r="J272" i="33"/>
  <c r="K394" i="33"/>
  <c r="J454" i="33"/>
  <c r="K454" i="33" s="1"/>
  <c r="W403" i="3"/>
  <c r="Z302" i="3"/>
  <c r="Z317" i="3" s="1"/>
  <c r="AC266" i="3"/>
  <c r="AR295" i="3"/>
  <c r="AR317" i="3" s="1"/>
  <c r="AU259" i="3"/>
  <c r="AC295" i="3"/>
  <c r="Z331" i="3"/>
  <c r="K295" i="3"/>
  <c r="K317" i="3" s="1"/>
  <c r="W296" i="3"/>
  <c r="W317" i="3" s="1"/>
  <c r="X317" i="3" s="1"/>
  <c r="AM297" i="3"/>
  <c r="AM317" i="3" s="1"/>
  <c r="AP261" i="3"/>
  <c r="H295" i="3"/>
  <c r="AO331" i="3"/>
  <c r="AY223" i="3"/>
  <c r="AY245" i="3" s="1"/>
  <c r="AZ245" i="3" s="1"/>
  <c r="AY368" i="3"/>
  <c r="AM408" i="3"/>
  <c r="AP372" i="3"/>
  <c r="AY410" i="3"/>
  <c r="M410" i="3"/>
  <c r="N410" i="3" s="1"/>
  <c r="AK259" i="3"/>
  <c r="AK281" i="3" s="1"/>
  <c r="AL281" i="3" s="1"/>
  <c r="AG259" i="3"/>
  <c r="AG281" i="3" s="1"/>
  <c r="AH281" i="3" s="1"/>
  <c r="J441" i="33"/>
  <c r="G368" i="33"/>
  <c r="D403" i="33"/>
  <c r="F361" i="33"/>
  <c r="F369" i="33"/>
  <c r="J364" i="33"/>
  <c r="J369" i="33"/>
  <c r="F372" i="33"/>
  <c r="J363" i="33"/>
  <c r="F362" i="33"/>
  <c r="F365" i="33"/>
  <c r="F367" i="33"/>
  <c r="J367" i="33"/>
  <c r="J362" i="33"/>
  <c r="F363" i="33"/>
  <c r="F373" i="33"/>
  <c r="J365" i="33"/>
  <c r="J373" i="33"/>
  <c r="F364" i="33"/>
  <c r="F366" i="33"/>
  <c r="J290" i="33"/>
  <c r="H325" i="33" s="1"/>
  <c r="J325" i="33" s="1"/>
  <c r="K325" i="33" s="1"/>
  <c r="J372" i="33"/>
  <c r="J366" i="33"/>
  <c r="J371" i="33"/>
  <c r="F371" i="33"/>
  <c r="J361" i="33"/>
  <c r="AC414" i="3"/>
  <c r="AU388" i="3" l="1"/>
  <c r="S388" i="3"/>
  <c r="N388" i="3"/>
  <c r="AU422" i="3"/>
  <c r="S422" i="3"/>
  <c r="N422" i="3"/>
  <c r="AU423" i="3"/>
  <c r="S423" i="3"/>
  <c r="N423" i="3"/>
  <c r="AU387" i="3"/>
  <c r="S387" i="3"/>
  <c r="N387" i="3"/>
  <c r="K474" i="33"/>
  <c r="G474" i="33"/>
  <c r="K413" i="33"/>
  <c r="C473" i="33"/>
  <c r="AU421" i="3"/>
  <c r="D427" i="2"/>
  <c r="D424" i="3"/>
  <c r="D389" i="3"/>
  <c r="K414" i="33"/>
  <c r="G414" i="33"/>
  <c r="E428" i="2"/>
  <c r="C440" i="33"/>
  <c r="C439" i="33"/>
  <c r="E427" i="2"/>
  <c r="C429" i="2"/>
  <c r="E429" i="2" s="1"/>
  <c r="I421" i="3"/>
  <c r="AL421" i="3"/>
  <c r="AH421" i="3"/>
  <c r="X421" i="3"/>
  <c r="AC421" i="3"/>
  <c r="AZ421" i="3"/>
  <c r="X423" i="3"/>
  <c r="AC423" i="3"/>
  <c r="AL423" i="3"/>
  <c r="AH423" i="3"/>
  <c r="I423" i="3"/>
  <c r="AZ423" i="3"/>
  <c r="AC422" i="3"/>
  <c r="X422" i="3"/>
  <c r="AL422" i="3"/>
  <c r="I422" i="3"/>
  <c r="AH422" i="3"/>
  <c r="AZ422" i="3"/>
  <c r="C415" i="33"/>
  <c r="C424" i="3"/>
  <c r="C463" i="2"/>
  <c r="P313" i="3"/>
  <c r="R281" i="3"/>
  <c r="S281" i="3" s="1"/>
  <c r="H317" i="3"/>
  <c r="D342" i="33"/>
  <c r="F342" i="33" s="1"/>
  <c r="G342" i="33" s="1"/>
  <c r="H307" i="33"/>
  <c r="J307" i="33" s="1"/>
  <c r="K307" i="33" s="1"/>
  <c r="K272" i="33"/>
  <c r="H375" i="33"/>
  <c r="J375" i="33" s="1"/>
  <c r="K375" i="33" s="1"/>
  <c r="D411" i="33"/>
  <c r="G376" i="33"/>
  <c r="J271" i="33"/>
  <c r="F273" i="33"/>
  <c r="D308" i="33" s="1"/>
  <c r="X403" i="3"/>
  <c r="AB331" i="3"/>
  <c r="AO297" i="3"/>
  <c r="AO317" i="3" s="1"/>
  <c r="AP317" i="3" s="1"/>
  <c r="AZ223" i="3"/>
  <c r="AW259" i="3"/>
  <c r="AW281" i="3" s="1"/>
  <c r="U332" i="3"/>
  <c r="U353" i="3" s="1"/>
  <c r="X296" i="3"/>
  <c r="AP331" i="3"/>
  <c r="AM367" i="3"/>
  <c r="AT295" i="3"/>
  <c r="AT317" i="3" s="1"/>
  <c r="AU317" i="3" s="1"/>
  <c r="I295" i="3"/>
  <c r="F331" i="3"/>
  <c r="F353" i="3" s="1"/>
  <c r="M295" i="3"/>
  <c r="AB302" i="3"/>
  <c r="AB317" i="3" s="1"/>
  <c r="AC317" i="3" s="1"/>
  <c r="AZ368" i="3"/>
  <c r="AW404" i="3"/>
  <c r="AO408" i="3"/>
  <c r="AZ410" i="3"/>
  <c r="AE295" i="3"/>
  <c r="AE317" i="3" s="1"/>
  <c r="AH259" i="3"/>
  <c r="AL259" i="3"/>
  <c r="AI295" i="3"/>
  <c r="AI317" i="3" s="1"/>
  <c r="F403" i="33"/>
  <c r="D463" i="33"/>
  <c r="H368" i="33"/>
  <c r="D410" i="33"/>
  <c r="D360" i="33"/>
  <c r="K373" i="33"/>
  <c r="H408" i="33"/>
  <c r="D398" i="33"/>
  <c r="G363" i="33"/>
  <c r="G365" i="33"/>
  <c r="D400" i="33"/>
  <c r="G372" i="33"/>
  <c r="D407" i="33"/>
  <c r="D408" i="33"/>
  <c r="G373" i="33"/>
  <c r="H398" i="33"/>
  <c r="K363" i="33"/>
  <c r="G366" i="33"/>
  <c r="D401" i="33"/>
  <c r="H400" i="33"/>
  <c r="K365" i="33"/>
  <c r="H397" i="33"/>
  <c r="K362" i="33"/>
  <c r="D397" i="33"/>
  <c r="G362" i="33"/>
  <c r="H404" i="33"/>
  <c r="K369" i="33"/>
  <c r="G367" i="33"/>
  <c r="D402" i="33"/>
  <c r="D406" i="33"/>
  <c r="G371" i="33"/>
  <c r="K290" i="33"/>
  <c r="K371" i="33"/>
  <c r="H406" i="33"/>
  <c r="H401" i="33"/>
  <c r="K366" i="33"/>
  <c r="D404" i="33"/>
  <c r="G369" i="33"/>
  <c r="D399" i="33"/>
  <c r="G364" i="33"/>
  <c r="D409" i="33"/>
  <c r="H402" i="33"/>
  <c r="K367" i="33"/>
  <c r="H399" i="33"/>
  <c r="K364" i="33"/>
  <c r="H409" i="33"/>
  <c r="H396" i="33"/>
  <c r="K361" i="33"/>
  <c r="K372" i="33"/>
  <c r="H407" i="33"/>
  <c r="G361" i="33"/>
  <c r="D396" i="33"/>
  <c r="AU424" i="3" l="1"/>
  <c r="S424" i="3"/>
  <c r="N424" i="3"/>
  <c r="M317" i="3"/>
  <c r="N317" i="3" s="1"/>
  <c r="N295" i="3"/>
  <c r="C416" i="33"/>
  <c r="C475" i="33"/>
  <c r="G475" i="33" s="1"/>
  <c r="K473" i="33"/>
  <c r="D428" i="2"/>
  <c r="D429" i="2" s="1"/>
  <c r="C441" i="33"/>
  <c r="G440" i="33"/>
  <c r="K440" i="33"/>
  <c r="D425" i="3"/>
  <c r="G439" i="33"/>
  <c r="K439" i="33"/>
  <c r="X424" i="3"/>
  <c r="AC424" i="3"/>
  <c r="AH424" i="3"/>
  <c r="I424" i="3"/>
  <c r="AL424" i="3"/>
  <c r="AZ424" i="3"/>
  <c r="G415" i="33"/>
  <c r="K415" i="33"/>
  <c r="C425" i="3"/>
  <c r="R313" i="3"/>
  <c r="S313" i="3" s="1"/>
  <c r="P317" i="3"/>
  <c r="I317" i="3"/>
  <c r="H342" i="33"/>
  <c r="J342" i="33" s="1"/>
  <c r="K342" i="33" s="1"/>
  <c r="F308" i="33"/>
  <c r="D343" i="33" s="1"/>
  <c r="F343" i="33" s="1"/>
  <c r="G273" i="33"/>
  <c r="F276" i="33"/>
  <c r="G276" i="33" s="1"/>
  <c r="K271" i="33"/>
  <c r="J276" i="33"/>
  <c r="K276" i="33" s="1"/>
  <c r="H306" i="33"/>
  <c r="F411" i="33"/>
  <c r="D471" i="33"/>
  <c r="W332" i="3"/>
  <c r="W353" i="3" s="1"/>
  <c r="X353" i="3" s="1"/>
  <c r="AR331" i="3"/>
  <c r="AR353" i="3" s="1"/>
  <c r="AU295" i="3"/>
  <c r="AY259" i="3"/>
  <c r="AY281" i="3" s="1"/>
  <c r="AZ281" i="3" s="1"/>
  <c r="AC302" i="3"/>
  <c r="Z338" i="3"/>
  <c r="Z353" i="3" s="1"/>
  <c r="AO367" i="3"/>
  <c r="K331" i="3"/>
  <c r="K353" i="3" s="1"/>
  <c r="AP297" i="3"/>
  <c r="AM333" i="3"/>
  <c r="AM353" i="3" s="1"/>
  <c r="H331" i="3"/>
  <c r="Z367" i="3"/>
  <c r="AC331" i="3"/>
  <c r="AY404" i="3"/>
  <c r="AP408" i="3"/>
  <c r="AK295" i="3"/>
  <c r="AK317" i="3" s="1"/>
  <c r="AL317" i="3" s="1"/>
  <c r="AG295" i="3"/>
  <c r="AG317" i="3" s="1"/>
  <c r="AH317" i="3" s="1"/>
  <c r="F410" i="33"/>
  <c r="D470" i="33"/>
  <c r="J368" i="33"/>
  <c r="G403" i="33"/>
  <c r="F463" i="33"/>
  <c r="G463" i="33" s="1"/>
  <c r="J399" i="33"/>
  <c r="H459" i="33"/>
  <c r="F407" i="33"/>
  <c r="D467" i="33"/>
  <c r="J397" i="33"/>
  <c r="H457" i="33"/>
  <c r="J401" i="33"/>
  <c r="H461" i="33"/>
  <c r="J404" i="33"/>
  <c r="H464" i="33"/>
  <c r="J408" i="33"/>
  <c r="H468" i="33"/>
  <c r="J400" i="33"/>
  <c r="H460" i="33"/>
  <c r="F409" i="33"/>
  <c r="D469" i="33"/>
  <c r="J396" i="33"/>
  <c r="H456" i="33"/>
  <c r="F399" i="33"/>
  <c r="D459" i="33"/>
  <c r="J406" i="33"/>
  <c r="H466" i="33"/>
  <c r="F406" i="33"/>
  <c r="D466" i="33"/>
  <c r="J398" i="33"/>
  <c r="H458" i="33"/>
  <c r="F400" i="33"/>
  <c r="D460" i="33"/>
  <c r="F397" i="33"/>
  <c r="D457" i="33"/>
  <c r="F401" i="33"/>
  <c r="D461" i="33"/>
  <c r="F398" i="33"/>
  <c r="D458" i="33"/>
  <c r="F396" i="33"/>
  <c r="D456" i="33"/>
  <c r="J407" i="33"/>
  <c r="H467" i="33"/>
  <c r="J402" i="33"/>
  <c r="H462" i="33"/>
  <c r="F402" i="33"/>
  <c r="D462" i="33"/>
  <c r="F360" i="33"/>
  <c r="J409" i="33"/>
  <c r="H469" i="33"/>
  <c r="F404" i="33"/>
  <c r="D464" i="33"/>
  <c r="F408" i="33"/>
  <c r="D468" i="33"/>
  <c r="C476" i="33" l="1"/>
  <c r="G441" i="33"/>
  <c r="K441" i="33"/>
  <c r="P349" i="3"/>
  <c r="R317" i="3"/>
  <c r="S317" i="3" s="1"/>
  <c r="H353" i="3"/>
  <c r="G308" i="33"/>
  <c r="G343" i="33"/>
  <c r="D378" i="33"/>
  <c r="F378" i="33" s="1"/>
  <c r="G411" i="33"/>
  <c r="F471" i="33"/>
  <c r="G471" i="33" s="1"/>
  <c r="D311" i="33"/>
  <c r="H475" i="33"/>
  <c r="D346" i="33"/>
  <c r="J306" i="33"/>
  <c r="H341" i="33" s="1"/>
  <c r="J341" i="33" s="1"/>
  <c r="K341" i="33" s="1"/>
  <c r="H311" i="33"/>
  <c r="M331" i="3"/>
  <c r="AZ259" i="3"/>
  <c r="AW295" i="3"/>
  <c r="AW317" i="3" s="1"/>
  <c r="AB367" i="3"/>
  <c r="F367" i="3"/>
  <c r="F389" i="3" s="1"/>
  <c r="I331" i="3"/>
  <c r="AP367" i="3"/>
  <c r="AM403" i="3"/>
  <c r="AT331" i="3"/>
  <c r="AT353" i="3" s="1"/>
  <c r="AU353" i="3" s="1"/>
  <c r="AO333" i="3"/>
  <c r="AO353" i="3" s="1"/>
  <c r="AP353" i="3" s="1"/>
  <c r="AB338" i="3"/>
  <c r="AB353" i="3" s="1"/>
  <c r="AC353" i="3" s="1"/>
  <c r="X332" i="3"/>
  <c r="U368" i="3"/>
  <c r="U389" i="3" s="1"/>
  <c r="AZ404" i="3"/>
  <c r="AE331" i="3"/>
  <c r="AE353" i="3" s="1"/>
  <c r="AH295" i="3"/>
  <c r="AI331" i="3"/>
  <c r="AI353" i="3" s="1"/>
  <c r="AL295" i="3"/>
  <c r="H403" i="33"/>
  <c r="K368" i="33"/>
  <c r="H410" i="33"/>
  <c r="G410" i="33"/>
  <c r="F470" i="33"/>
  <c r="G470" i="33" s="1"/>
  <c r="G400" i="33"/>
  <c r="F460" i="33"/>
  <c r="G460" i="33" s="1"/>
  <c r="H360" i="33"/>
  <c r="K397" i="33"/>
  <c r="J457" i="33"/>
  <c r="K457" i="33" s="1"/>
  <c r="G398" i="33"/>
  <c r="F458" i="33"/>
  <c r="G458" i="33" s="1"/>
  <c r="K396" i="33"/>
  <c r="J456" i="33"/>
  <c r="K456" i="33" s="1"/>
  <c r="G402" i="33"/>
  <c r="F462" i="33"/>
  <c r="G462" i="33" s="1"/>
  <c r="G399" i="33"/>
  <c r="F459" i="33"/>
  <c r="G459" i="33" s="1"/>
  <c r="G404" i="33"/>
  <c r="F464" i="33"/>
  <c r="G464" i="33" s="1"/>
  <c r="K408" i="33"/>
  <c r="J468" i="33"/>
  <c r="K468" i="33" s="1"/>
  <c r="G407" i="33"/>
  <c r="F467" i="33"/>
  <c r="G467" i="33" s="1"/>
  <c r="K398" i="33"/>
  <c r="J458" i="33"/>
  <c r="K458" i="33" s="1"/>
  <c r="K407" i="33"/>
  <c r="J467" i="33"/>
  <c r="K467" i="33" s="1"/>
  <c r="G401" i="33"/>
  <c r="F461" i="33"/>
  <c r="G461" i="33" s="1"/>
  <c r="G406" i="33"/>
  <c r="F466" i="33"/>
  <c r="G466" i="33" s="1"/>
  <c r="G409" i="33"/>
  <c r="F469" i="33"/>
  <c r="G469" i="33" s="1"/>
  <c r="K402" i="33"/>
  <c r="J462" i="33"/>
  <c r="K462" i="33" s="1"/>
  <c r="K409" i="33"/>
  <c r="J469" i="33"/>
  <c r="K469" i="33" s="1"/>
  <c r="K404" i="33"/>
  <c r="J464" i="33"/>
  <c r="K464" i="33" s="1"/>
  <c r="D395" i="33"/>
  <c r="G360" i="33"/>
  <c r="G396" i="33"/>
  <c r="F456" i="33"/>
  <c r="G456" i="33" s="1"/>
  <c r="G397" i="33"/>
  <c r="F457" i="33"/>
  <c r="G457" i="33" s="1"/>
  <c r="K406" i="33"/>
  <c r="J466" i="33"/>
  <c r="K466" i="33" s="1"/>
  <c r="K400" i="33"/>
  <c r="J460" i="33"/>
  <c r="K460" i="33" s="1"/>
  <c r="G408" i="33"/>
  <c r="F468" i="33"/>
  <c r="G468" i="33" s="1"/>
  <c r="K401" i="33"/>
  <c r="J461" i="33"/>
  <c r="K461" i="33" s="1"/>
  <c r="K399" i="33"/>
  <c r="J459" i="33"/>
  <c r="K459" i="33" s="1"/>
  <c r="M353" i="3" l="1"/>
  <c r="N353" i="3" s="1"/>
  <c r="N331" i="3"/>
  <c r="R349" i="3"/>
  <c r="S349" i="3" s="1"/>
  <c r="P353" i="3"/>
  <c r="I353" i="3"/>
  <c r="D413" i="33"/>
  <c r="F413" i="33" s="1"/>
  <c r="G413" i="33" s="1"/>
  <c r="G378" i="33"/>
  <c r="K306" i="33"/>
  <c r="J311" i="33"/>
  <c r="K311" i="33" s="1"/>
  <c r="D377" i="33"/>
  <c r="F346" i="33"/>
  <c r="G346" i="33" s="1"/>
  <c r="F311" i="33"/>
  <c r="G311" i="33" s="1"/>
  <c r="J475" i="33"/>
  <c r="K475" i="33" s="1"/>
  <c r="AM369" i="3"/>
  <c r="AM389" i="3" s="1"/>
  <c r="AP333" i="3"/>
  <c r="H367" i="3"/>
  <c r="AR367" i="3"/>
  <c r="AR389" i="3" s="1"/>
  <c r="AU331" i="3"/>
  <c r="AC367" i="3"/>
  <c r="Z403" i="3"/>
  <c r="W368" i="3"/>
  <c r="W389" i="3" s="1"/>
  <c r="X389" i="3" s="1"/>
  <c r="AO403" i="3"/>
  <c r="AY295" i="3"/>
  <c r="AY317" i="3" s="1"/>
  <c r="AZ317" i="3" s="1"/>
  <c r="AC338" i="3"/>
  <c r="Z374" i="3"/>
  <c r="Z389" i="3" s="1"/>
  <c r="K367" i="3"/>
  <c r="K389" i="3" s="1"/>
  <c r="AK331" i="3"/>
  <c r="AK353" i="3" s="1"/>
  <c r="AL353" i="3" s="1"/>
  <c r="AG331" i="3"/>
  <c r="AG353" i="3" s="1"/>
  <c r="AH353" i="3" s="1"/>
  <c r="J410" i="33"/>
  <c r="H470" i="33"/>
  <c r="J403" i="33"/>
  <c r="H463" i="33"/>
  <c r="J360" i="33"/>
  <c r="F395" i="33"/>
  <c r="D455" i="33"/>
  <c r="D476" i="33" s="1"/>
  <c r="F473" i="33" l="1"/>
  <c r="G473" i="33" s="1"/>
  <c r="D473" i="33"/>
  <c r="P385" i="3"/>
  <c r="R353" i="3"/>
  <c r="S353" i="3" s="1"/>
  <c r="H389" i="3"/>
  <c r="H346" i="33"/>
  <c r="F377" i="33"/>
  <c r="D381" i="33"/>
  <c r="H377" i="33"/>
  <c r="AZ295" i="3"/>
  <c r="AW331" i="3"/>
  <c r="AW353" i="3" s="1"/>
  <c r="AP403" i="3"/>
  <c r="AT367" i="3"/>
  <c r="AT389" i="3" s="1"/>
  <c r="AU389" i="3" s="1"/>
  <c r="X368" i="3"/>
  <c r="U404" i="3"/>
  <c r="U425" i="3" s="1"/>
  <c r="I367" i="3"/>
  <c r="F403" i="3"/>
  <c r="F425" i="3" s="1"/>
  <c r="M367" i="3"/>
  <c r="AB374" i="3"/>
  <c r="AB389" i="3" s="1"/>
  <c r="AC389" i="3" s="1"/>
  <c r="AB403" i="3"/>
  <c r="AO369" i="3"/>
  <c r="AO389" i="3" s="1"/>
  <c r="AP389" i="3" s="1"/>
  <c r="AE367" i="3"/>
  <c r="AE389" i="3" s="1"/>
  <c r="AH331" i="3"/>
  <c r="AL331" i="3"/>
  <c r="AI367" i="3"/>
  <c r="AI389" i="3" s="1"/>
  <c r="K403" i="33"/>
  <c r="J463" i="33"/>
  <c r="K463" i="33" s="1"/>
  <c r="K410" i="33"/>
  <c r="J470" i="33"/>
  <c r="K470" i="33" s="1"/>
  <c r="G395" i="33"/>
  <c r="F455" i="33"/>
  <c r="K360" i="33"/>
  <c r="H395" i="33"/>
  <c r="M389" i="3" l="1"/>
  <c r="N389" i="3" s="1"/>
  <c r="N367" i="3"/>
  <c r="R385" i="3"/>
  <c r="S385" i="3" s="1"/>
  <c r="P389" i="3"/>
  <c r="I389" i="3"/>
  <c r="J377" i="33"/>
  <c r="G377" i="33"/>
  <c r="D412" i="33"/>
  <c r="D416" i="33" s="1"/>
  <c r="F381" i="33"/>
  <c r="G381" i="33" s="1"/>
  <c r="H376" i="33"/>
  <c r="J346" i="33"/>
  <c r="K346" i="33" s="1"/>
  <c r="AC374" i="3"/>
  <c r="Z410" i="3"/>
  <c r="Z425" i="3" s="1"/>
  <c r="K403" i="3"/>
  <c r="K425" i="3" s="1"/>
  <c r="AR403" i="3"/>
  <c r="AR425" i="3" s="1"/>
  <c r="AU367" i="3"/>
  <c r="AP369" i="3"/>
  <c r="AM405" i="3"/>
  <c r="AM425" i="3" s="1"/>
  <c r="H403" i="3"/>
  <c r="AY331" i="3"/>
  <c r="AY353" i="3" s="1"/>
  <c r="AZ353" i="3" s="1"/>
  <c r="AC403" i="3"/>
  <c r="W404" i="3"/>
  <c r="W425" i="3" s="1"/>
  <c r="X425" i="3" s="1"/>
  <c r="AK367" i="3"/>
  <c r="AK389" i="3" s="1"/>
  <c r="AL389" i="3" s="1"/>
  <c r="AG367" i="3"/>
  <c r="AG389" i="3" s="1"/>
  <c r="AH389" i="3" s="1"/>
  <c r="G455" i="33"/>
  <c r="F476" i="33"/>
  <c r="G476" i="33" s="1"/>
  <c r="J395" i="33"/>
  <c r="H455" i="33"/>
  <c r="P421" i="3" l="1"/>
  <c r="R389" i="3"/>
  <c r="S389" i="3" s="1"/>
  <c r="H425" i="3"/>
  <c r="K377" i="33"/>
  <c r="H412" i="33"/>
  <c r="J376" i="33"/>
  <c r="H381" i="33"/>
  <c r="F412" i="33"/>
  <c r="F416" i="33" s="1"/>
  <c r="D472" i="33"/>
  <c r="AW367" i="3"/>
  <c r="AW389" i="3" s="1"/>
  <c r="AZ331" i="3"/>
  <c r="I403" i="3"/>
  <c r="M403" i="3"/>
  <c r="AT403" i="3"/>
  <c r="AT425" i="3" s="1"/>
  <c r="AU425" i="3" s="1"/>
  <c r="X404" i="3"/>
  <c r="AB410" i="3"/>
  <c r="AB425" i="3" s="1"/>
  <c r="AC425" i="3" s="1"/>
  <c r="AO405" i="3"/>
  <c r="AO425" i="3" s="1"/>
  <c r="AP425" i="3" s="1"/>
  <c r="AI403" i="3"/>
  <c r="AI425" i="3" s="1"/>
  <c r="AL367" i="3"/>
  <c r="AE403" i="3"/>
  <c r="AE425" i="3" s="1"/>
  <c r="AH367" i="3"/>
  <c r="K395" i="33"/>
  <c r="J455" i="33"/>
  <c r="M425" i="3" l="1"/>
  <c r="N425" i="3" s="1"/>
  <c r="N403" i="3"/>
  <c r="R421" i="3"/>
  <c r="S421" i="3" s="1"/>
  <c r="P425" i="3"/>
  <c r="I425" i="3"/>
  <c r="G412" i="33"/>
  <c r="G416" i="33" s="1"/>
  <c r="F472" i="33"/>
  <c r="G472" i="33" s="1"/>
  <c r="K376" i="33"/>
  <c r="H411" i="33"/>
  <c r="H416" i="33" s="1"/>
  <c r="J381" i="33"/>
  <c r="K381" i="33" s="1"/>
  <c r="J412" i="33"/>
  <c r="H472" i="33"/>
  <c r="AU403" i="3"/>
  <c r="AP405" i="3"/>
  <c r="AC410" i="3"/>
  <c r="AY367" i="3"/>
  <c r="AY389" i="3" s="1"/>
  <c r="AZ389" i="3" s="1"/>
  <c r="AG403" i="3"/>
  <c r="AG425" i="3" s="1"/>
  <c r="AH425" i="3" s="1"/>
  <c r="AK403" i="3"/>
  <c r="AK425" i="3" s="1"/>
  <c r="AL425" i="3" s="1"/>
  <c r="K455" i="33"/>
  <c r="R425" i="3" l="1"/>
  <c r="S425" i="3" s="1"/>
  <c r="K412" i="33"/>
  <c r="J472" i="33"/>
  <c r="K472" i="33" s="1"/>
  <c r="J411" i="33"/>
  <c r="J416" i="33" s="1"/>
  <c r="H471" i="33"/>
  <c r="H476" i="33" s="1"/>
  <c r="AZ367" i="3"/>
  <c r="AW403" i="3"/>
  <c r="AW425" i="3" s="1"/>
  <c r="AL403" i="3"/>
  <c r="AH403" i="3"/>
  <c r="K411" i="33" l="1"/>
  <c r="K416" i="33" s="1"/>
  <c r="J471" i="33"/>
  <c r="AY403" i="3"/>
  <c r="AY425" i="3" s="1"/>
  <c r="AZ425" i="3" s="1"/>
  <c r="K471" i="33" l="1"/>
  <c r="J476" i="33"/>
  <c r="K476" i="33" s="1"/>
  <c r="AZ403" i="3"/>
  <c r="C404" i="10"/>
  <c r="C416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ARIN</author>
  </authors>
  <commentList>
    <comment ref="AG13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ARIN:</t>
        </r>
        <r>
          <rPr>
            <sz val="9"/>
            <color indexed="81"/>
            <rFont val="Tahoma"/>
            <family val="2"/>
          </rPr>
          <t xml:space="preserve">
DATA DISESUAIKAN LAP ANAK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XP</author>
  </authors>
  <commentList>
    <comment ref="I43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XP: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<sst xmlns="http://schemas.openxmlformats.org/spreadsheetml/2006/main" count="6883" uniqueCount="715">
  <si>
    <t>BULAN</t>
  </si>
  <si>
    <t>NO</t>
  </si>
  <si>
    <t>DESA</t>
  </si>
  <si>
    <t>VIT.A NIFAS</t>
  </si>
  <si>
    <t>PERSALINAN</t>
  </si>
  <si>
    <t>BUMIL</t>
  </si>
  <si>
    <t>BULIN</t>
  </si>
  <si>
    <t>BAYI</t>
  </si>
  <si>
    <t xml:space="preserve">K 1 </t>
  </si>
  <si>
    <t>K 4</t>
  </si>
  <si>
    <t>TT 1</t>
  </si>
  <si>
    <t>TT 2</t>
  </si>
  <si>
    <t>TT 3</t>
  </si>
  <si>
    <t>TT 4</t>
  </si>
  <si>
    <t>TT 5</t>
  </si>
  <si>
    <t>Fe. 1</t>
  </si>
  <si>
    <t>Fe. 3</t>
  </si>
  <si>
    <t>TOTAL</t>
  </si>
  <si>
    <t>JUMLAH</t>
  </si>
  <si>
    <t>LAPORAN PWS KIA</t>
  </si>
  <si>
    <t>SASARAN</t>
  </si>
  <si>
    <t>K 1</t>
  </si>
  <si>
    <t>DETEKSI RESIKO TINGGI</t>
  </si>
  <si>
    <t>NEONATUS</t>
  </si>
  <si>
    <t>PERSALINAN OLEH NAKES</t>
  </si>
  <si>
    <t>KET</t>
  </si>
  <si>
    <t>BLN LALU</t>
  </si>
  <si>
    <t>BLN INI</t>
  </si>
  <si>
    <t>KUM</t>
  </si>
  <si>
    <t>RANGKING</t>
  </si>
  <si>
    <t>OLEH NAKES</t>
  </si>
  <si>
    <t>OLEH MASYARAKAT</t>
  </si>
  <si>
    <t>ANEMIA</t>
  </si>
  <si>
    <t>KEK</t>
  </si>
  <si>
    <t>BLN. LALU</t>
  </si>
  <si>
    <t>BLN. INI</t>
  </si>
  <si>
    <t>ABS</t>
  </si>
  <si>
    <t>%</t>
  </si>
  <si>
    <t>&lt; 11 MG</t>
  </si>
  <si>
    <t>&lt;23,5</t>
  </si>
  <si>
    <t>PUSKESMAS</t>
  </si>
  <si>
    <t>KPD</t>
  </si>
  <si>
    <t>Kelainan Letak</t>
  </si>
  <si>
    <t>PEB / Eklamsi</t>
  </si>
  <si>
    <t>Abortus</t>
  </si>
  <si>
    <t>IUFD</t>
  </si>
  <si>
    <t>APH</t>
  </si>
  <si>
    <t>Gamelly</t>
  </si>
  <si>
    <t>Serotinus</t>
  </si>
  <si>
    <t>parts prematur</t>
  </si>
  <si>
    <t>penyakit kronis</t>
  </si>
  <si>
    <t>HPP</t>
  </si>
  <si>
    <t>CPD</t>
  </si>
  <si>
    <t>Infeksi / Febris</t>
  </si>
  <si>
    <t>Hidramnion</t>
  </si>
  <si>
    <t>Anemia</t>
  </si>
  <si>
    <t>Premi Tua</t>
  </si>
  <si>
    <t>Tali Pusat Menumbung</t>
  </si>
  <si>
    <t>Foetal Distres</t>
  </si>
  <si>
    <t>Makrosomia</t>
  </si>
  <si>
    <t>Hiperemisis</t>
  </si>
  <si>
    <t>Lain - lain</t>
  </si>
  <si>
    <t>Jumlah</t>
  </si>
  <si>
    <t>CATATAN  :</t>
  </si>
  <si>
    <t>LAPORAN HASIL PELAKSANAAN P4K</t>
  </si>
  <si>
    <t>SASARAN BUMIL</t>
  </si>
  <si>
    <t>BUMIL TERPASANG STIKER</t>
  </si>
  <si>
    <t>HASIL AKHIR AMANAT PERSALINAN</t>
  </si>
  <si>
    <t>Bln Lalu</t>
  </si>
  <si>
    <t>Bln ini</t>
  </si>
  <si>
    <t>PAHAM TANDA BAHAYA KEHAMILAN DAN PERSALINAN</t>
  </si>
  <si>
    <t>PENOLONG PERSALINAN</t>
  </si>
  <si>
    <t>&gt; 4 KL</t>
  </si>
  <si>
    <t>&lt; 4 KL</t>
  </si>
  <si>
    <t>TAHU</t>
  </si>
  <si>
    <t>TIDAK</t>
  </si>
  <si>
    <t>BIDAN</t>
  </si>
  <si>
    <t>DUKUN</t>
  </si>
  <si>
    <t>DOKTER</t>
  </si>
  <si>
    <t>HASIL AKHIR PELAYANAN AMANAT PERSALINAN</t>
  </si>
  <si>
    <t>TEMPAT BERSALIN</t>
  </si>
  <si>
    <t>PENDAMPINGAN PERSALINAN</t>
  </si>
  <si>
    <t>DONOR DARAH</t>
  </si>
  <si>
    <t xml:space="preserve"> KB YANG DIGUNAKAN</t>
  </si>
  <si>
    <t xml:space="preserve">KEADAAN </t>
  </si>
  <si>
    <t>PUSK</t>
  </si>
  <si>
    <t>PKD</t>
  </si>
  <si>
    <t>RS</t>
  </si>
  <si>
    <t>RB</t>
  </si>
  <si>
    <t>RUMAH</t>
  </si>
  <si>
    <t>KELUARGA</t>
  </si>
  <si>
    <t>IBU</t>
  </si>
  <si>
    <t>SENDIRI</t>
  </si>
  <si>
    <t>KLG</t>
  </si>
  <si>
    <t>BLM</t>
  </si>
  <si>
    <t>KOND</t>
  </si>
  <si>
    <t>SUNT</t>
  </si>
  <si>
    <t>PIL</t>
  </si>
  <si>
    <t>IMPL</t>
  </si>
  <si>
    <t>LAIN2</t>
  </si>
  <si>
    <t>HIDUP</t>
  </si>
  <si>
    <t>MATI</t>
  </si>
  <si>
    <t>LAPORAN KEMATIAN MENURUT GOLONGAN UMUR</t>
  </si>
  <si>
    <t>LAHIR MATI</t>
  </si>
  <si>
    <t>0 - 7 HR</t>
  </si>
  <si>
    <t>&gt; 7 HR-1 BL</t>
  </si>
  <si>
    <t>&gt; 1 BL - 1 TH</t>
  </si>
  <si>
    <t>1TH - 5 TH</t>
  </si>
  <si>
    <t>5 TH - 15 TH</t>
  </si>
  <si>
    <t>&gt; 15 TH</t>
  </si>
  <si>
    <t>L</t>
  </si>
  <si>
    <t>P</t>
  </si>
  <si>
    <t>NAMA</t>
  </si>
  <si>
    <t>ALAMAT</t>
  </si>
  <si>
    <t>MENINGGAL SAAT</t>
  </si>
  <si>
    <t>SD</t>
  </si>
  <si>
    <t>JENIS KASUS DITANGANI</t>
  </si>
  <si>
    <t>JUMLAH KASUS DITANGANI</t>
  </si>
  <si>
    <t>Persalinan Normal</t>
  </si>
  <si>
    <t>Gemelly</t>
  </si>
  <si>
    <t>Partus Macet</t>
  </si>
  <si>
    <t>Retensio Placenta</t>
  </si>
  <si>
    <t>Pre Eklampsi</t>
  </si>
  <si>
    <t>Eklampsi</t>
  </si>
  <si>
    <t>Partus Tak maju</t>
  </si>
  <si>
    <t>Inpartu dengan anemia</t>
  </si>
  <si>
    <t>Inpartu dengan plasenta previa</t>
  </si>
  <si>
    <t>Partus Lama</t>
  </si>
  <si>
    <t>Oligohidramion</t>
  </si>
  <si>
    <t>Riwayat Obstetri Jelek</t>
  </si>
  <si>
    <t>Inersia Uteri</t>
  </si>
  <si>
    <t>LAPORAN KEGIATAN PONED</t>
  </si>
  <si>
    <t>Dirujuk</t>
  </si>
  <si>
    <t>KOMPLIKASI</t>
  </si>
  <si>
    <t>KF 3</t>
  </si>
  <si>
    <t>Tahun</t>
  </si>
  <si>
    <t>No.</t>
  </si>
  <si>
    <t>JANUARI</t>
  </si>
  <si>
    <t>MARET</t>
  </si>
  <si>
    <t>APRIL</t>
  </si>
  <si>
    <t>MEI</t>
  </si>
  <si>
    <t>JUNI</t>
  </si>
  <si>
    <t>JULI</t>
  </si>
  <si>
    <t>AGUSTUS</t>
  </si>
  <si>
    <t>SEPTEMBER</t>
  </si>
  <si>
    <t>DESEMBER</t>
  </si>
  <si>
    <t>OKTOBER</t>
  </si>
  <si>
    <t>Puskesmas</t>
  </si>
  <si>
    <t>Kabupaten</t>
  </si>
  <si>
    <t>JEPARA</t>
  </si>
  <si>
    <t>PETUNJUK PENGISIAN</t>
  </si>
  <si>
    <t>Desa</t>
  </si>
  <si>
    <t>Nama Bidan</t>
  </si>
  <si>
    <t>1.</t>
  </si>
  <si>
    <t>Isilah terlebih dahulu Puskesmas Saudara</t>
  </si>
  <si>
    <t>2.</t>
  </si>
  <si>
    <t>Isi nama Desa dan Bidan Desa di wilayah Puskesmas</t>
  </si>
  <si>
    <t>3.</t>
  </si>
  <si>
    <t>Pengisian data hanya pada kolom yang kosong</t>
  </si>
  <si>
    <t>4.</t>
  </si>
  <si>
    <t>Kepala Tabel / nama kolom tidak perlu dirubah</t>
  </si>
  <si>
    <t>5.</t>
  </si>
  <si>
    <t>6.</t>
  </si>
  <si>
    <t>7.</t>
  </si>
  <si>
    <t>Rekapitulasi akan dihitung secara otomatis</t>
  </si>
  <si>
    <t>PROGRAM KESEHATAN IBU</t>
  </si>
  <si>
    <t>KF 1</t>
  </si>
  <si>
    <t>KF 2</t>
  </si>
  <si>
    <t>PUSKESMAS           :</t>
  </si>
  <si>
    <t>BULAN                   :</t>
  </si>
  <si>
    <t>BULAN                  :</t>
  </si>
  <si>
    <t>LAPORAN KEGIATAN</t>
  </si>
  <si>
    <t>PEBRUARI</t>
  </si>
  <si>
    <t>NOPEMBER</t>
  </si>
  <si>
    <t xml:space="preserve">SASARAN </t>
  </si>
  <si>
    <t>PUSKESMAS         :</t>
  </si>
  <si>
    <t>:</t>
  </si>
  <si>
    <t xml:space="preserve">LAPORAN KASUS MATERNAL KOMPLIKASI </t>
  </si>
  <si>
    <t>Partus tak maju/ macet/lama</t>
  </si>
  <si>
    <t>Riwayat Persalinan Buruk</t>
  </si>
  <si>
    <t>Retplas / Sisa Plas</t>
  </si>
  <si>
    <t>Data diambil dari fas.yankes yg menangani (BPM, Pusk, PONED, RB, RS)</t>
  </si>
  <si>
    <t>TANGGAL</t>
  </si>
  <si>
    <t>DIAGNOSA</t>
  </si>
  <si>
    <t>DIRUJUK KE</t>
  </si>
  <si>
    <t>Ibu</t>
  </si>
  <si>
    <t>Suami</t>
  </si>
  <si>
    <t>UMUR</t>
  </si>
  <si>
    <t>(TH)</t>
  </si>
  <si>
    <t xml:space="preserve">PUSKESMAS             : </t>
  </si>
  <si>
    <t>Perdarahan</t>
  </si>
  <si>
    <t>Dukun</t>
  </si>
  <si>
    <t>Bidan</t>
  </si>
  <si>
    <t>Dokter</t>
  </si>
  <si>
    <t>BUMIL TERPASANG STIKER BERSALIN</t>
  </si>
  <si>
    <t>KESIAPAN TRANSPORTASI</t>
  </si>
  <si>
    <t>FREK ANC</t>
  </si>
  <si>
    <t>PUSKESMAS   :</t>
  </si>
  <si>
    <t>BULAN           :</t>
  </si>
  <si>
    <t>Lamp. 1</t>
  </si>
  <si>
    <t>Lamp. 2</t>
  </si>
  <si>
    <t>BULAN                       :</t>
  </si>
  <si>
    <t>8.</t>
  </si>
  <si>
    <t>Untuk Cetak Laporan : Blok area yg akan di Print kemudian set print area</t>
  </si>
  <si>
    <t xml:space="preserve">Datang </t>
  </si>
  <si>
    <t xml:space="preserve">Pulang </t>
  </si>
  <si>
    <t>Keterangan</t>
  </si>
  <si>
    <t>Sendiri</t>
  </si>
  <si>
    <t>Sembuh</t>
  </si>
  <si>
    <t>Meninggal</t>
  </si>
  <si>
    <t>RSUD</t>
  </si>
  <si>
    <t>RS Swasta</t>
  </si>
  <si>
    <t>Paksa</t>
  </si>
  <si>
    <t>Dirawat</t>
  </si>
  <si>
    <t>Asal Rujukan</t>
  </si>
  <si>
    <t>Ketuban Pecah Dini (KPD)</t>
  </si>
  <si>
    <t xml:space="preserve"> Atonia uteri</t>
  </si>
  <si>
    <t xml:space="preserve"> Serotinus</t>
  </si>
  <si>
    <t>Perdarahan Post Partum (HPP)</t>
  </si>
  <si>
    <t xml:space="preserve">Abortus </t>
  </si>
  <si>
    <t>Hamil Letak Lintang</t>
  </si>
  <si>
    <t>Hamil Letak Sungsang</t>
  </si>
  <si>
    <t>Hamil dengan TB paru</t>
  </si>
  <si>
    <t>Hamil dengan IMS</t>
  </si>
  <si>
    <t xml:space="preserve"> Hamil Anemi/KEK</t>
  </si>
  <si>
    <t>PUSKESMAS                             :</t>
  </si>
  <si>
    <t>BULAN                                    :</t>
  </si>
  <si>
    <t>T2 +</t>
  </si>
  <si>
    <t>Nakes</t>
  </si>
  <si>
    <t>Masyarakat</t>
  </si>
  <si>
    <t>Status T Bumil</t>
  </si>
  <si>
    <t xml:space="preserve">Deteksi Risti </t>
  </si>
  <si>
    <t>DITOLONG NAKES</t>
  </si>
  <si>
    <t>PN</t>
  </si>
  <si>
    <t>PN Di Fasyankes</t>
  </si>
  <si>
    <t>PN Di Non Fasyankes</t>
  </si>
  <si>
    <t>DI TOLONG NON NAKES</t>
  </si>
  <si>
    <t>Komplikasi Maternal Ditangani (PK)</t>
  </si>
  <si>
    <t>Kunjungan Nifas</t>
  </si>
  <si>
    <t>DATA ANC, PERSALINAN, NIFAS</t>
  </si>
  <si>
    <t>Rujukan Kasus Risti Maternal</t>
  </si>
  <si>
    <t>KOMPLIKASI DITANGANI</t>
  </si>
  <si>
    <t>Bulan</t>
  </si>
  <si>
    <t xml:space="preserve">: </t>
  </si>
  <si>
    <t>No</t>
  </si>
  <si>
    <t>Protein Urin</t>
  </si>
  <si>
    <t>Gula Darah (GD)</t>
  </si>
  <si>
    <t>Integrasi Program</t>
  </si>
  <si>
    <t>Pelaksanaan Kelas Ibu Hamil</t>
  </si>
  <si>
    <t>Diperiksa Hb</t>
  </si>
  <si>
    <t>Anemia (8-11 mg/dl)</t>
  </si>
  <si>
    <t>&lt;8 mg</t>
  </si>
  <si>
    <t>Diperiksa LILA</t>
  </si>
  <si>
    <t>KEK (LILA&lt;23,5 cm)</t>
  </si>
  <si>
    <t>Di periksa</t>
  </si>
  <si>
    <t>Positif (+)</t>
  </si>
  <si>
    <t>GD &gt;140g/dl</t>
  </si>
  <si>
    <t>Pencegahan Penularan HIV dari Ibu ke Anak (PPIA)</t>
  </si>
  <si>
    <t>Pencegahan Malaria dalam Kehamilan (PMDK)</t>
  </si>
  <si>
    <t>TB Dalam Kehamilan</t>
  </si>
  <si>
    <t>Kecacingan Dalam Kehamilan</t>
  </si>
  <si>
    <t>Pencegahan IMS Dalam kehamilan</t>
  </si>
  <si>
    <t>Pencegahan Hepatitis Dalam kehamilan</t>
  </si>
  <si>
    <t>Jml Kelas Bumil yang terbentuk</t>
  </si>
  <si>
    <t>Jml Bumil yang mengikuti kelas Bumil</t>
  </si>
  <si>
    <t>Jml suami/ keluarga yang mengikuti kelas bumil</t>
  </si>
  <si>
    <t>Ibu Hamil datang dgn HIV (+)</t>
  </si>
  <si>
    <t>Ibu Hamil ditawarkan Tes HIV</t>
  </si>
  <si>
    <t>Ibu Hamil Di Tes HIV</t>
  </si>
  <si>
    <t>Ibu Hamil HIV (+)</t>
  </si>
  <si>
    <t>Ibu Hamil Mendapatkan kelambu</t>
  </si>
  <si>
    <t>Ibu Hamil Diperiksa Microskopis/RDT</t>
  </si>
  <si>
    <t>Ibu Hamil Malaria (+)</t>
  </si>
  <si>
    <t>Ibu Hamil Mendapatkan Kina/ACT</t>
  </si>
  <si>
    <t>Ibu Hamil Diperiksa Dahak</t>
  </si>
  <si>
    <t>Ibu Hamil Hasil Dahak TB (+)</t>
  </si>
  <si>
    <t>Obat**</t>
  </si>
  <si>
    <t>Ibu Hamil Diperiksa Ankylostoma</t>
  </si>
  <si>
    <t>Ibu Hamil Hasil Tes Ankylostoma (+)</t>
  </si>
  <si>
    <t>Ibu Hamil Di Obati</t>
  </si>
  <si>
    <t>Ibu Hamil Diperiksa IMS</t>
  </si>
  <si>
    <t>Ibu Hamil Hasil Tes IMS (+)</t>
  </si>
  <si>
    <t>Ibu Hamil Diobati</t>
  </si>
  <si>
    <t>Ibu Hamil Diperiksa Hepatitis B</t>
  </si>
  <si>
    <t>Ibu Hamil Hasil Tes Hepatitis B (+)</t>
  </si>
  <si>
    <t>Persalinan Pervaginam</t>
  </si>
  <si>
    <t>Persalinan Perabdominam (SC)</t>
  </si>
  <si>
    <t xml:space="preserve">Isi Tabel / Data pada Lampiran 1 sampai 8 </t>
  </si>
  <si>
    <t>KOMULATIF</t>
  </si>
  <si>
    <t>K 6</t>
  </si>
  <si>
    <t>TM 1 Riil</t>
  </si>
  <si>
    <t>KF 4</t>
  </si>
  <si>
    <t>KABUPATEN                            :</t>
  </si>
  <si>
    <t xml:space="preserve"> </t>
  </si>
  <si>
    <t>Jantung</t>
  </si>
  <si>
    <t>Ibu Hamil dengan 4T</t>
  </si>
  <si>
    <t>K1 oleh dokter</t>
  </si>
  <si>
    <t>K1 USG oleh dokter</t>
  </si>
  <si>
    <t>K5 oleh dokter</t>
  </si>
  <si>
    <t>K5 USG oleh dokter</t>
  </si>
  <si>
    <t>LAPORAN KASUS KOMPLIKASI KEBIDANAN</t>
  </si>
  <si>
    <t>JUMLAH KOMPLIKASI KEBIDANAN</t>
  </si>
  <si>
    <t>Tuberculosis</t>
  </si>
  <si>
    <t>Malaria</t>
  </si>
  <si>
    <t>DM</t>
  </si>
  <si>
    <t>Obesitas</t>
  </si>
  <si>
    <t>Covid-19 (Confirm0</t>
  </si>
  <si>
    <t>JUMLAH KOMPLIKASI DALAM KEHAMILAN</t>
  </si>
  <si>
    <t>JUMLAH KOMPLIKASI DALAM PERSALINAN</t>
  </si>
  <si>
    <t>JUMLAH KOMPLIKASI PASCA PERSALINAN (NIFAS)</t>
  </si>
  <si>
    <t>PJT/IUGR</t>
  </si>
  <si>
    <t>Hb TM 1</t>
  </si>
  <si>
    <t>Hb TM 3</t>
  </si>
  <si>
    <t xml:space="preserve">                                                                                                                        </t>
  </si>
  <si>
    <t>NAMA IBU</t>
  </si>
  <si>
    <t>NAMA SUAMI</t>
  </si>
  <si>
    <t>WILAYAH PUSKESMAS</t>
  </si>
  <si>
    <t>TANGGAL
KEMATIAN</t>
  </si>
  <si>
    <t>USIA IBU</t>
  </si>
  <si>
    <t>PENDIDIKAN IBU</t>
  </si>
  <si>
    <t>G P A</t>
  </si>
  <si>
    <t>PARITAS</t>
  </si>
  <si>
    <t>JARAK  ANAK</t>
  </si>
  <si>
    <t>JARAK KEHAMILAN TERAKHIR</t>
  </si>
  <si>
    <t>SEBAB KEMATIAN</t>
  </si>
  <si>
    <t>TEMPAT PERSALINAN</t>
  </si>
  <si>
    <t xml:space="preserve">RS </t>
  </si>
  <si>
    <t>TEMPAT KEMATIAN</t>
  </si>
  <si>
    <t>MATI DI RS</t>
  </si>
  <si>
    <t>CARA PERSALINAN</t>
  </si>
  <si>
    <t>RIWAYAT VAKSINASI COVID</t>
  </si>
  <si>
    <t>&lt; 20 TH</t>
  </si>
  <si>
    <t>20 - 30 TH</t>
  </si>
  <si>
    <t>&gt; 30 TH</t>
  </si>
  <si>
    <t>&lt;SD</t>
  </si>
  <si>
    <t>SMP</t>
  </si>
  <si>
    <t>SMA</t>
  </si>
  <si>
    <t>PT</t>
  </si>
  <si>
    <t>PRIMI</t>
  </si>
  <si>
    <t>MULTI</t>
  </si>
  <si>
    <t>GRANDE</t>
  </si>
  <si>
    <t>&lt; 6 KALI</t>
  </si>
  <si>
    <t>&gt; 6 KALI</t>
  </si>
  <si>
    <t>&lt; 2 TH</t>
  </si>
  <si>
    <t>&gt; 2 TH</t>
  </si>
  <si>
    <t>HIPERTENSI / EKLAMSI</t>
  </si>
  <si>
    <t>PERDARAHAN</t>
  </si>
  <si>
    <t>INFEKSI MASA NIFAS</t>
  </si>
  <si>
    <t>ABORTUS</t>
  </si>
  <si>
    <t>JANTUNG</t>
  </si>
  <si>
    <t>GG sistem metabolik</t>
  </si>
  <si>
    <t>GANGGUAN DARAH</t>
  </si>
  <si>
    <t>KEHAMILAN EKTOPIK</t>
  </si>
  <si>
    <t>COVID</t>
  </si>
  <si>
    <t>LAIN2 (sebutkan)</t>
  </si>
  <si>
    <t>HAMIL</t>
  </si>
  <si>
    <t>BERSALIN NIFAS</t>
  </si>
  <si>
    <t>NIFAS</t>
  </si>
  <si>
    <t>JALAN</t>
  </si>
  <si>
    <t>BPM</t>
  </si>
  <si>
    <t>&lt; 48 JAM</t>
  </si>
  <si>
    <t>&gt; 48 JAM</t>
  </si>
  <si>
    <t>NORMAL</t>
  </si>
  <si>
    <t>VE/Forcep</t>
  </si>
  <si>
    <t>SC</t>
  </si>
  <si>
    <t>TDK VAKSIN</t>
  </si>
  <si>
    <t>V 1</t>
  </si>
  <si>
    <t>V2</t>
  </si>
  <si>
    <t>V3</t>
  </si>
  <si>
    <t xml:space="preserve">BULAN                       </t>
  </si>
  <si>
    <t xml:space="preserve">PUSKESMAS             </t>
  </si>
  <si>
    <t>Kedung I</t>
  </si>
  <si>
    <t>Pecangaan</t>
  </si>
  <si>
    <t>Welahan I</t>
  </si>
  <si>
    <t>Welahan II</t>
  </si>
  <si>
    <t>Mayong I</t>
  </si>
  <si>
    <t>Batealit</t>
  </si>
  <si>
    <t>Mlonggo</t>
  </si>
  <si>
    <t>Pakis Aji</t>
  </si>
  <si>
    <t>Bangsri I</t>
  </si>
  <si>
    <t>Keling I</t>
  </si>
  <si>
    <t>Karimunjawa</t>
  </si>
  <si>
    <t>Nalumsari I</t>
  </si>
  <si>
    <t>Kalinyamatan</t>
  </si>
  <si>
    <t>Donorojo</t>
  </si>
  <si>
    <t xml:space="preserve">MEI </t>
  </si>
  <si>
    <t xml:space="preserve">AGUSTUS </t>
  </si>
  <si>
    <t xml:space="preserve">SEPTEMBER </t>
  </si>
  <si>
    <t xml:space="preserve">NOVEMBER </t>
  </si>
  <si>
    <r>
      <t xml:space="preserve">Isi Tabel / Data pada Lampiran 1 sampai 9 </t>
    </r>
    <r>
      <rPr>
        <i/>
        <sz val="12"/>
        <color rgb="FFFF0000"/>
        <rFont val="Arial"/>
        <family val="2"/>
      </rPr>
      <t>(Bagi Puskesmas PONED)</t>
    </r>
  </si>
  <si>
    <t>*wajib diisi</t>
  </si>
  <si>
    <t>KOMULATIF DES 2025</t>
  </si>
  <si>
    <t>JANUARI - DESEMBER 2025</t>
  </si>
  <si>
    <t xml:space="preserve">JANUARI </t>
  </si>
  <si>
    <t xml:space="preserve">PEBRUARI </t>
  </si>
  <si>
    <t xml:space="preserve">MARET </t>
  </si>
  <si>
    <t xml:space="preserve">JUNI </t>
  </si>
  <si>
    <t xml:space="preserve">JULI </t>
  </si>
  <si>
    <t xml:space="preserve">OKTOBER </t>
  </si>
  <si>
    <t xml:space="preserve">NOPEMBER </t>
  </si>
  <si>
    <t xml:space="preserve">DESEMBER </t>
  </si>
  <si>
    <t xml:space="preserve">APRIL </t>
  </si>
  <si>
    <t xml:space="preserve">PUSKESMAS      </t>
  </si>
  <si>
    <t xml:space="preserve">PUSKESMAS </t>
  </si>
  <si>
    <t>KOMULATIF JANUARI - DESEMBER 2025</t>
  </si>
  <si>
    <t xml:space="preserve">JANUARI - DESEMBER </t>
  </si>
  <si>
    <t xml:space="preserve">KOMULATIF JANUARI - DESEMBER </t>
  </si>
  <si>
    <t>Anemia 
(8-11 mg/dl)</t>
  </si>
  <si>
    <t>Diperiksa 
LILA</t>
  </si>
  <si>
    <t>KEK 
(LILA&lt;23,5 cm)</t>
  </si>
  <si>
    <t>Ibu Hamil 
datang dgn HIV (+)</t>
  </si>
  <si>
    <t>Persalinan 
Pervaginam</t>
  </si>
  <si>
    <t xml:space="preserve">FEBRUARI </t>
  </si>
  <si>
    <t xml:space="preserve">JANUARI - JUNI </t>
  </si>
  <si>
    <t>Mayong II</t>
  </si>
  <si>
    <t>Lain2</t>
  </si>
  <si>
    <t>FEBRUARI</t>
  </si>
  <si>
    <t xml:space="preserve">KABUPATEN </t>
  </si>
  <si>
    <t xml:space="preserve">BULAN          </t>
  </si>
  <si>
    <t>NOVEMBER</t>
  </si>
  <si>
    <t>Inpartu dengan 
plasenta previa</t>
  </si>
  <si>
    <t>Desa Yang Melaksanakan Kelas Bumil</t>
  </si>
  <si>
    <t>K 8</t>
  </si>
  <si>
    <t>ANC standar 12 T</t>
  </si>
  <si>
    <t xml:space="preserve">Jumlah ibu hamil mengikuti kelas ibu minimal 4
kali </t>
  </si>
  <si>
    <t>DATA SKRINING IBU HAMIL</t>
  </si>
  <si>
    <t xml:space="preserve">PUSKESMAS  </t>
  </si>
  <si>
    <t xml:space="preserve">Ibu hamil
yang di skrining Td </t>
  </si>
  <si>
    <t>Ibu hamil mendapatkan skrining
preeklampsia</t>
  </si>
  <si>
    <t xml:space="preserve"> Ibu hamil dengan
preeklampsia/eklamsia</t>
  </si>
  <si>
    <t xml:space="preserve"> Ibu Hamil dengan
Preeklampsia/eklamsia mendapatkan tata
laksana</t>
  </si>
  <si>
    <t xml:space="preserve"> Ibu hamil dengan HDK yang
mendapatkan tatalaksana</t>
  </si>
  <si>
    <t>Ibu Hamil Dengan Hipertensi Dalam
Kehamilan (HDK)</t>
  </si>
  <si>
    <t xml:space="preserve">Ibu bersalin mengalami
perdarahan pasca salin </t>
  </si>
  <si>
    <t xml:space="preserve"> Ibu bersalin dengan perdarahan
pasca salin yang mendapat tata laksana</t>
  </si>
  <si>
    <t>Kumulatif JANUARI-DESEMBER</t>
  </si>
  <si>
    <t>LAPORAN KASUS RUJUKAN MATERNAL tahun 2026</t>
  </si>
  <si>
    <t>DATA REKAP BY NAME BY ADDRESS TAHUN 2026 JEPARA</t>
  </si>
  <si>
    <t>JANUARI - DESEMBER 2026</t>
  </si>
  <si>
    <t>JANUARI - DESEMBER</t>
  </si>
  <si>
    <t xml:space="preserve"> Ibu Hamil mendapatkan Buku KIA pada
ANC kunjungan 1 </t>
  </si>
  <si>
    <t>Ibu hamil 
mendapat suplementasi gizi (MMS)</t>
  </si>
  <si>
    <t>Ibu hamil
yang di skrining Tekanan Darah</t>
  </si>
  <si>
    <t xml:space="preserve"> Ibu hamil dengan
preeklampsia/
eklamsia</t>
  </si>
  <si>
    <t xml:space="preserve">Ibu hamil mengonsumsi suplementasi gizi (MMS)
</t>
  </si>
  <si>
    <t>PECANGAAN</t>
  </si>
  <si>
    <t>Pecangaan Kulon</t>
  </si>
  <si>
    <t>Rengging</t>
  </si>
  <si>
    <t>Troso</t>
  </si>
  <si>
    <t>Ngeling</t>
  </si>
  <si>
    <t>Lebuawu</t>
  </si>
  <si>
    <t>Pulodarat</t>
  </si>
  <si>
    <t>Karangrandu</t>
  </si>
  <si>
    <t>Kaliombo</t>
  </si>
  <si>
    <t>Gemulung</t>
  </si>
  <si>
    <t>Pecangaan Wetan</t>
  </si>
  <si>
    <t>Krasak</t>
  </si>
  <si>
    <t>Gerdu</t>
  </si>
  <si>
    <t>Atikuswatun Khasanah, Amd.Keb</t>
  </si>
  <si>
    <t>Laily Jana Zamana</t>
  </si>
  <si>
    <t>Lazwarni Delfitasari</t>
  </si>
  <si>
    <t>Chusnul Khotimah, Amd.Keb</t>
  </si>
  <si>
    <t>Ari Susilowati, Amd.Keb</t>
  </si>
  <si>
    <t>Istikharoh, Amd.Keb</t>
  </si>
  <si>
    <t>Sri Astuti, Amd.Keb</t>
  </si>
  <si>
    <t>Rohanna Kudus, Amd.Keb</t>
  </si>
  <si>
    <t>Marlinda Silviani, Amd.Keb</t>
  </si>
  <si>
    <t>Nurul Laiyah, Amd.Keb</t>
  </si>
  <si>
    <t>Tri Romandhiyah, Amd.Keb</t>
  </si>
  <si>
    <t>Septiyani Solichah, Amd.Keb</t>
  </si>
  <si>
    <t>Januari</t>
  </si>
  <si>
    <t>Anis Lailatul F.</t>
  </si>
  <si>
    <t>Al Inayah</t>
  </si>
  <si>
    <t>Erya Tabita</t>
  </si>
  <si>
    <t>Sholikhatun</t>
  </si>
  <si>
    <t>Widhia Putri A.</t>
  </si>
  <si>
    <t>Aza Fauzun</t>
  </si>
  <si>
    <t>M. Sirojul</t>
  </si>
  <si>
    <t>Ardi Irawan</t>
  </si>
  <si>
    <t>Krismanu</t>
  </si>
  <si>
    <t>M. Khoirul Alfin</t>
  </si>
  <si>
    <t>Mastukin</t>
  </si>
  <si>
    <t>Ngeling 4/3</t>
  </si>
  <si>
    <t>Ngeling 2/4</t>
  </si>
  <si>
    <t>Ngeling 1/6</t>
  </si>
  <si>
    <t>Gerdu 5/1</t>
  </si>
  <si>
    <t>A. Zakariya</t>
  </si>
  <si>
    <t>Gemulung 1/3</t>
  </si>
  <si>
    <t>Karangrandu 6/1</t>
  </si>
  <si>
    <t>Partus Tak Maju</t>
  </si>
  <si>
    <t>Hipertensi</t>
  </si>
  <si>
    <t>RSU RA Kartini Jepara</t>
  </si>
  <si>
    <t>RS PKU Muhammadiyah Mayong</t>
  </si>
  <si>
    <t>RSI Jepara</t>
  </si>
  <si>
    <t>RSI Kudus</t>
  </si>
  <si>
    <t>Elya Septia</t>
  </si>
  <si>
    <t>Layli Salamah</t>
  </si>
  <si>
    <t>Umi Maghfiroh</t>
  </si>
  <si>
    <t>Sintha Widya</t>
  </si>
  <si>
    <t>Rio Hermawan</t>
  </si>
  <si>
    <t>Deni Miftakhudin</t>
  </si>
  <si>
    <t>Ahmad. Muhlis</t>
  </si>
  <si>
    <t>Muhammad</t>
  </si>
  <si>
    <t>Krasak 3/2</t>
  </si>
  <si>
    <t>Krasak 4/4</t>
  </si>
  <si>
    <t>Krasak 3/4</t>
  </si>
  <si>
    <t>Pulodarat 10/2</t>
  </si>
  <si>
    <t>R. SC, Obesitas</t>
  </si>
  <si>
    <t>PEB</t>
  </si>
  <si>
    <t>PKU Aisiyah Jepara</t>
  </si>
  <si>
    <t>Sri Martanti</t>
  </si>
  <si>
    <t>Sutikno</t>
  </si>
  <si>
    <t>Pecangan Kulon 5/2</t>
  </si>
  <si>
    <t>Venty Zuli Astutik</t>
  </si>
  <si>
    <t>Khoirul Anam</t>
  </si>
  <si>
    <t>Edi Irawan</t>
  </si>
  <si>
    <t>Nur Jannah</t>
  </si>
  <si>
    <t>Ratna Tri Wibawanti</t>
  </si>
  <si>
    <t>Gilang Dwiantoro</t>
  </si>
  <si>
    <t>Troso 9/3</t>
  </si>
  <si>
    <t>Troso 6/6</t>
  </si>
  <si>
    <t>Troso 2/4</t>
  </si>
  <si>
    <t>PE + KPD</t>
  </si>
  <si>
    <t>Sungsang</t>
  </si>
  <si>
    <t>Irma Meliana</t>
  </si>
  <si>
    <t>Roisul Falah</t>
  </si>
  <si>
    <t>Rengging 5/1</t>
  </si>
  <si>
    <t>Riska Ngatmi Rahayu</t>
  </si>
  <si>
    <t>M. Sidiq Umam</t>
  </si>
  <si>
    <t>Rengging 14/2</t>
  </si>
  <si>
    <t>Partus Prematur</t>
  </si>
  <si>
    <t>BBLR SMK</t>
  </si>
  <si>
    <t>GB POST SC</t>
  </si>
  <si>
    <t>SUSP CPD</t>
  </si>
  <si>
    <t>Halimatus S.</t>
  </si>
  <si>
    <t>Rohana F.</t>
  </si>
  <si>
    <t>Vina Wiliyana</t>
  </si>
  <si>
    <t>M. Johan</t>
  </si>
  <si>
    <t>M. Mustaqim</t>
  </si>
  <si>
    <t>Eko Prasetyo</t>
  </si>
  <si>
    <t>Ngeling 5/4</t>
  </si>
  <si>
    <t>Ngeling 4/2</t>
  </si>
  <si>
    <t>HT</t>
  </si>
  <si>
    <t>RS Kumala Siwi Kudus</t>
  </si>
  <si>
    <t>Nurul Miskiyah</t>
  </si>
  <si>
    <t>Ratna Ningtiyas</t>
  </si>
  <si>
    <t>Fitri Nur</t>
  </si>
  <si>
    <t>Laila Fitrotun</t>
  </si>
  <si>
    <t>Lisa Amalia Jayanti</t>
  </si>
  <si>
    <t>Falakhudin</t>
  </si>
  <si>
    <t>Diero Rizki</t>
  </si>
  <si>
    <t>A. Miftakhul</t>
  </si>
  <si>
    <t>A. Fatkhul A.</t>
  </si>
  <si>
    <t>Deka Nawa</t>
  </si>
  <si>
    <t>Pecangaan Kulon 4/7</t>
  </si>
  <si>
    <t>Pecangaan Kulon 1/3</t>
  </si>
  <si>
    <t>Pecangaan Kulon 1/7</t>
  </si>
  <si>
    <t>Pecangaan Kulon 4/3</t>
  </si>
  <si>
    <t>Troso 2/10</t>
  </si>
  <si>
    <t>PEB, Obes</t>
  </si>
  <si>
    <t>Ernita Rufaida</t>
  </si>
  <si>
    <t>Zanis Yahya</t>
  </si>
  <si>
    <t>Troso 8/3</t>
  </si>
  <si>
    <t>Minhatus Solikhah</t>
  </si>
  <si>
    <t>Khikmatul Ulfiyah</t>
  </si>
  <si>
    <t>Ainil Ianah</t>
  </si>
  <si>
    <t>Diyan Indah S.</t>
  </si>
  <si>
    <t>Siti Rohmatun</t>
  </si>
  <si>
    <t>Siti Zumaroh</t>
  </si>
  <si>
    <t>Nur Khamidah</t>
  </si>
  <si>
    <t>Sudibyo</t>
  </si>
  <si>
    <t>M. Taufiqur</t>
  </si>
  <si>
    <t>M. Muhlis</t>
  </si>
  <si>
    <t>Ahmad Edi</t>
  </si>
  <si>
    <t>A. Abdullah</t>
  </si>
  <si>
    <t>Dholi Santoso</t>
  </si>
  <si>
    <t>Pulodarat 13/2</t>
  </si>
  <si>
    <t>Pulodarat 1/1</t>
  </si>
  <si>
    <t>Karangrandu 1/4</t>
  </si>
  <si>
    <t>Karangrandu 7/5</t>
  </si>
  <si>
    <t>Kaliombo 2/2</t>
  </si>
  <si>
    <t>Kaliombo 5/1</t>
  </si>
  <si>
    <t>Kaliombo 5/2</t>
  </si>
  <si>
    <t>RSIA Harapan Bunda Kudus</t>
  </si>
  <si>
    <t>Anifatun Nikmah</t>
  </si>
  <si>
    <t>Farid Ikhwan Almuttaqin</t>
  </si>
  <si>
    <t>Della Fina</t>
  </si>
  <si>
    <t>Angga Dwi S.</t>
  </si>
  <si>
    <t>Rohmah Safitri</t>
  </si>
  <si>
    <t>Robichan</t>
  </si>
  <si>
    <t>Gemulung 3/5</t>
  </si>
  <si>
    <t>Gemulung 2/4</t>
  </si>
  <si>
    <t>Krasak 2/1</t>
  </si>
  <si>
    <t xml:space="preserve">Psoriosis anasarka </t>
  </si>
  <si>
    <t>Bumil HT</t>
  </si>
  <si>
    <t>PPI</t>
  </si>
  <si>
    <t>Susp Autoimun</t>
  </si>
  <si>
    <t>Ainur Sulistiana</t>
  </si>
  <si>
    <t>Sabrina Maulida</t>
  </si>
  <si>
    <t>Mia Amalia</t>
  </si>
  <si>
    <t>Shofiatun</t>
  </si>
  <si>
    <t>Adelia Fay</t>
  </si>
  <si>
    <t>Dewi Novita Sari</t>
  </si>
  <si>
    <t>Nailis Saadah</t>
  </si>
  <si>
    <t>Farida Dwi A.</t>
  </si>
  <si>
    <t>Dewi Umrotus Solikhah</t>
  </si>
  <si>
    <t>Sri Rahmawati</t>
  </si>
  <si>
    <t>Nur Hasanah</t>
  </si>
  <si>
    <t>Aris Sunandar</t>
  </si>
  <si>
    <t>A. Ainur Rofik</t>
  </si>
  <si>
    <t>Fatkhur Munir</t>
  </si>
  <si>
    <t>Edi Wibowo</t>
  </si>
  <si>
    <t>Eko Budianto</t>
  </si>
  <si>
    <t>M. Agung Rizki Hidayat</t>
  </si>
  <si>
    <t>Ulil Absor</t>
  </si>
  <si>
    <t>Alfan Senibal</t>
  </si>
  <si>
    <t>Abdullah Khanafi</t>
  </si>
  <si>
    <t>Alimin</t>
  </si>
  <si>
    <t>Pecangaan Kuon 4/3</t>
  </si>
  <si>
    <t>Troso 9/7</t>
  </si>
  <si>
    <t>Troso5/7</t>
  </si>
  <si>
    <t>Gemulung 1/2</t>
  </si>
  <si>
    <t>Gemulung 3/2</t>
  </si>
  <si>
    <t>Rengging 20/3</t>
  </si>
  <si>
    <t>Pulodarat 7/1</t>
  </si>
  <si>
    <t>Karangrandu 4/3</t>
  </si>
  <si>
    <t>Partus Premature</t>
  </si>
  <si>
    <t>R.SC 2x</t>
  </si>
  <si>
    <t>RS Graha Husada</t>
  </si>
  <si>
    <t>Susp Pneumonia</t>
  </si>
  <si>
    <t>BBLR KMK</t>
  </si>
  <si>
    <t>Putri Indah</t>
  </si>
  <si>
    <t>Jahal</t>
  </si>
  <si>
    <t>Ngeling 1/3</t>
  </si>
  <si>
    <t>Siti Khoiriyah</t>
  </si>
  <si>
    <t>M. chomfi</t>
  </si>
  <si>
    <t>Ngeling 6/2</t>
  </si>
  <si>
    <t>Nur Malikah</t>
  </si>
  <si>
    <t>Nur Sholih</t>
  </si>
  <si>
    <t>Ngeling 1/2</t>
  </si>
  <si>
    <t>Subhaweni</t>
  </si>
  <si>
    <t>Edi P.</t>
  </si>
  <si>
    <t>Prematur</t>
  </si>
  <si>
    <t>Graha</t>
  </si>
  <si>
    <t>Eka Dwi A.</t>
  </si>
  <si>
    <t>A. Shofiyulah</t>
  </si>
  <si>
    <t>Kaliombo 3/3</t>
  </si>
  <si>
    <t xml:space="preserve">RSI </t>
  </si>
  <si>
    <t>Diyah Putrei S.</t>
  </si>
  <si>
    <t>Alfin Anam Ma'ruf</t>
  </si>
  <si>
    <t>Troso 6/10</t>
  </si>
  <si>
    <t>Noor Fadhilah</t>
  </si>
  <si>
    <t>Nor Soib</t>
  </si>
  <si>
    <t>Troso 2/1</t>
  </si>
  <si>
    <t>Plasenta Previa</t>
  </si>
  <si>
    <t>Indira Aprilia W.</t>
  </si>
  <si>
    <t>Ilham Maulana</t>
  </si>
  <si>
    <t>Troso 3/7</t>
  </si>
  <si>
    <t>Sulistyowati</t>
  </si>
  <si>
    <t>Setyo Yosep</t>
  </si>
  <si>
    <t>Troso 9/6</t>
  </si>
  <si>
    <t>Abortus Iminens</t>
  </si>
  <si>
    <t>Arum Laras R.</t>
  </si>
  <si>
    <t>Ferdian</t>
  </si>
  <si>
    <t>Pecangaan Kulon 3/1</t>
  </si>
  <si>
    <t>Klinik Kumalasiwi Kudus</t>
  </si>
  <si>
    <t>Surini</t>
  </si>
  <si>
    <t>Subagio</t>
  </si>
  <si>
    <t>Pecangaan Kulon 3/5</t>
  </si>
  <si>
    <t>Riwayat SC + PE</t>
  </si>
  <si>
    <t>Leni Sintia</t>
  </si>
  <si>
    <t>Suraji</t>
  </si>
  <si>
    <t>RSI Sunan Kudus</t>
  </si>
  <si>
    <t>Kustriana</t>
  </si>
  <si>
    <t>A. Aslon</t>
  </si>
  <si>
    <t>Pecangaan Kulon 2/7</t>
  </si>
  <si>
    <t>Mia Romadani</t>
  </si>
  <si>
    <t>M. Syahril</t>
  </si>
  <si>
    <t>Lebuawu 7/4</t>
  </si>
  <si>
    <t>PEB + Obesitas</t>
  </si>
  <si>
    <t>Hani</t>
  </si>
  <si>
    <t>Listiyono</t>
  </si>
  <si>
    <t>PE</t>
  </si>
  <si>
    <t>Windy Yuwana Prastika</t>
  </si>
  <si>
    <t>Didik Sulistiyo</t>
  </si>
  <si>
    <t>Faizul Muna</t>
  </si>
  <si>
    <t>Karangrandu 7/1</t>
  </si>
  <si>
    <t>Nanang</t>
  </si>
  <si>
    <t>Nita Khoirunnisa</t>
  </si>
  <si>
    <t>Ali Fajar</t>
  </si>
  <si>
    <t>Krasak 2/3</t>
  </si>
  <si>
    <t>Afik Retno</t>
  </si>
  <si>
    <t>Subakir</t>
  </si>
  <si>
    <t>Krasak 4/3</t>
  </si>
  <si>
    <t>Uswatun Khasanah</t>
  </si>
  <si>
    <t>Sholi</t>
  </si>
  <si>
    <t>Gerdu 3/1</t>
  </si>
  <si>
    <t>Harapan Bunda</t>
  </si>
  <si>
    <t>Eva Amilia</t>
  </si>
  <si>
    <t>St Nurhayati</t>
  </si>
  <si>
    <t>Ahmad Nadhor</t>
  </si>
  <si>
    <t>Pulodarat 18/2</t>
  </si>
  <si>
    <t>Pandu Dwi Jayanto</t>
  </si>
  <si>
    <t>Rengging 3/1</t>
  </si>
  <si>
    <t xml:space="preserve">                                                  </t>
  </si>
  <si>
    <t xml:space="preserve">      </t>
  </si>
  <si>
    <t>Sri Aminah</t>
  </si>
  <si>
    <t>Pasri</t>
  </si>
  <si>
    <t>Troso 08/10</t>
  </si>
  <si>
    <t>Abonrtus inkomplet</t>
  </si>
  <si>
    <t>RSB Resttu Ibu</t>
  </si>
  <si>
    <t>Suspec CPD</t>
  </si>
  <si>
    <t>IUGR + Anemia</t>
  </si>
  <si>
    <t>Gemulung 2/3</t>
  </si>
  <si>
    <t xml:space="preserve">Gemulung 3/5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</si>
</sst>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&quot;$&quot;#,##0.00_);[Red]\(&quot;$&quot;#,##0.00\)"/>
    <numFmt numFmtId="166" formatCode="_(* #,##0_);_(* \(#,##0\);_(* &quot;-&quot;_);_(@_)"/>
    <numFmt numFmtId="167" formatCode="0.0;[Red]0.0"/>
    <numFmt numFmtId="168" formatCode="#,##0.0;[Red]#,##0.0"/>
    <numFmt numFmtId="169" formatCode="0;[Red]0"/>
    <numFmt numFmtId="170" formatCode="_(* #.##0_);_(* \(#.##0\);_(* &quot;-&quot;_);_(@_)"/>
    <numFmt numFmtId="171" formatCode="#,##0.00\ ;&quot; (&quot;#,##0.00\);&quot; -&quot;#\ ;@\ "/>
    <numFmt numFmtId="172" formatCode="#\ ###\ ##0.00"/>
    <numFmt numFmtId="173" formatCode="[$-F800]dddd\,\ mmmm\ dd\,\ yyyy"/>
    <numFmt numFmtId="174" formatCode="0.00;[Red]0.00"/>
  </numFmts>
  <fonts count="26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u/>
      <sz val="8"/>
      <name val="Arial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9"/>
      <color theme="1"/>
      <name val="Tahoma"/>
      <family val="2"/>
    </font>
    <font>
      <sz val="10"/>
      <color theme="1"/>
      <name val="Calibri"/>
      <family val="2"/>
      <charset val="1"/>
      <scheme val="minor"/>
    </font>
    <font>
      <b/>
      <sz val="10"/>
      <color theme="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8"/>
      <color indexed="56"/>
      <name val="Cambria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8"/>
      <color indexed="56"/>
      <name val="Cambria"/>
      <family val="1"/>
    </font>
    <font>
      <b/>
      <sz val="11"/>
      <color indexed="56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62"/>
      <name val="Calibri"/>
      <family val="2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9"/>
      <color theme="1"/>
      <name val="Tahoma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charset val="1"/>
      <scheme val="minor"/>
    </font>
    <font>
      <b/>
      <sz val="11"/>
      <color indexed="8"/>
      <name val="Arial"/>
      <family val="2"/>
    </font>
    <font>
      <sz val="12"/>
      <color indexed="59"/>
      <name val="Arial"/>
      <family val="2"/>
    </font>
    <font>
      <b/>
      <sz val="12"/>
      <color indexed="59"/>
      <name val="Arial"/>
      <family val="2"/>
    </font>
    <font>
      <u/>
      <sz val="12"/>
      <name val="Arial"/>
      <family val="2"/>
    </font>
    <font>
      <sz val="8"/>
      <color theme="1"/>
      <name val="Arial"/>
      <family val="2"/>
    </font>
    <font>
      <b/>
      <u/>
      <sz val="11"/>
      <color indexed="8"/>
      <name val="Arial"/>
      <family val="2"/>
    </font>
    <font>
      <sz val="14"/>
      <color theme="1"/>
      <name val="Tahoma"/>
      <family val="2"/>
    </font>
    <font>
      <sz val="12"/>
      <color theme="1"/>
      <name val="Tahoma"/>
      <family val="2"/>
    </font>
    <font>
      <b/>
      <sz val="8"/>
      <name val="Arial"/>
      <family val="2"/>
    </font>
    <font>
      <i/>
      <sz val="8"/>
      <name val="Arial"/>
      <family val="2"/>
    </font>
    <font>
      <u/>
      <sz val="11"/>
      <color theme="10"/>
      <name val="Calibri"/>
      <family val="2"/>
      <charset val="1"/>
      <scheme val="minor"/>
    </font>
    <font>
      <sz val="11"/>
      <name val="Calibri"/>
      <family val="2"/>
    </font>
    <font>
      <sz val="8"/>
      <color rgb="FFFF0000"/>
      <name val="Arial"/>
      <family val="2"/>
    </font>
    <font>
      <sz val="8"/>
      <color rgb="FF000000"/>
      <name val="Arial"/>
      <family val="2"/>
    </font>
    <font>
      <u/>
      <sz val="8"/>
      <color theme="10"/>
      <name val="Arial"/>
      <family val="2"/>
    </font>
    <font>
      <b/>
      <i/>
      <u/>
      <sz val="12"/>
      <color indexed="8"/>
      <name val="Arial"/>
      <family val="2"/>
    </font>
    <font>
      <i/>
      <sz val="12"/>
      <color indexed="8"/>
      <name val="Arial"/>
      <family val="2"/>
    </font>
    <font>
      <i/>
      <sz val="11"/>
      <color theme="1"/>
      <name val="Arial"/>
      <family val="2"/>
    </font>
    <font>
      <i/>
      <sz val="12"/>
      <color rgb="FFFF0000"/>
      <name val="Arial"/>
      <family val="2"/>
    </font>
    <font>
      <i/>
      <sz val="10"/>
      <color rgb="FFFF0000"/>
      <name val="Arial"/>
      <family val="2"/>
    </font>
    <font>
      <sz val="12"/>
      <color rgb="FF333333"/>
      <name val="Arial"/>
      <family val="2"/>
    </font>
    <font>
      <vertAlign val="subscript"/>
      <sz val="12"/>
      <name val="Arial"/>
      <family val="2"/>
    </font>
    <font>
      <sz val="13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2"/>
      <color indexed="8"/>
      <name val="Arial"/>
      <family val="2"/>
    </font>
    <font>
      <sz val="12"/>
      <color rgb="FF000000"/>
      <name val="Arial"/>
      <family val="2"/>
    </font>
    <font>
      <b/>
      <u/>
      <sz val="12"/>
      <color indexed="8"/>
      <name val="Arial"/>
      <family val="2"/>
    </font>
    <font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charset val="204"/>
    </font>
    <font>
      <sz val="10"/>
      <color rgb="FF000000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7"/>
      <color theme="1"/>
      <name val="Calibri"/>
      <family val="2"/>
      <charset val="1"/>
    </font>
    <font>
      <sz val="7"/>
      <color theme="1"/>
      <name val="Calibri"/>
      <family val="2"/>
    </font>
    <font>
      <b/>
      <sz val="8"/>
      <color theme="1"/>
      <name val="Calibri"/>
      <family val="2"/>
      <charset val="1"/>
    </font>
    <font>
      <b/>
      <sz val="8"/>
      <color theme="1"/>
      <name val="Calibri"/>
      <family val="2"/>
    </font>
    <font>
      <b/>
      <sz val="9"/>
      <color theme="1"/>
      <name val="Calibri"/>
      <family val="2"/>
      <charset val="1"/>
    </font>
    <font>
      <b/>
      <sz val="9"/>
      <color theme="1"/>
      <name val="Calibri"/>
      <family val="2"/>
    </font>
    <font>
      <sz val="10"/>
      <name val="MS Sans Serif"/>
      <family val="2"/>
    </font>
    <font>
      <sz val="8"/>
      <color theme="1"/>
      <name val="Calibri"/>
      <family val="2"/>
      <charset val="1"/>
    </font>
    <font>
      <sz val="8"/>
      <color theme="1"/>
      <name val="Calibri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sz val="6"/>
      <color theme="1"/>
      <name val="Calibri"/>
      <family val="2"/>
      <charset val="1"/>
    </font>
    <font>
      <sz val="6"/>
      <color theme="1"/>
      <name val="Calibri"/>
      <family val="2"/>
    </font>
    <font>
      <sz val="18"/>
      <color theme="3"/>
      <name val="Cambria"/>
      <family val="1"/>
      <scheme val="major"/>
    </font>
    <font>
      <sz val="10"/>
      <color rgb="FF000000"/>
      <name val="Times New Roman"/>
      <family val="1"/>
    </font>
    <font>
      <b/>
      <sz val="12"/>
      <color theme="1"/>
      <name val="Tahoma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9"/>
      <color theme="1"/>
      <name val="Calibri"/>
      <family val="2"/>
    </font>
    <font>
      <sz val="9"/>
      <color theme="1"/>
      <name val="Times New Roman"/>
      <family val="1"/>
    </font>
    <font>
      <sz val="8"/>
      <name val="Arial"/>
      <family val="2"/>
    </font>
    <font>
      <sz val="8"/>
      <name val="Arial"/>
      <family val="2"/>
    </font>
    <font>
      <b/>
      <sz val="11"/>
      <color rgb="FF000000"/>
      <name val="Calibri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sz val="8"/>
      <name val="Arial"/>
      <family val="2"/>
    </font>
    <font>
      <sz val="8"/>
      <name val="Arial"/>
      <family val="2"/>
    </font>
    <font>
      <sz val="8"/>
      <name val="Calibri"/>
      <family val="2"/>
      <charset val="1"/>
      <scheme val="minor"/>
    </font>
  </fonts>
  <fills count="11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E6B8B7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0000"/>
      </patternFill>
    </fill>
  </fills>
  <borders count="1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double">
        <color theme="1"/>
      </top>
      <bottom style="thin">
        <color theme="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575">
    <xf numFmtId="0" fontId="0" fillId="0" borderId="0"/>
    <xf numFmtId="0" fontId="21" fillId="2" borderId="0" applyNumberFormat="0" applyBorder="0" applyAlignment="0" applyProtection="0"/>
    <xf numFmtId="0" fontId="21" fillId="3" borderId="0" applyNumberFormat="0" applyBorder="0" applyAlignment="0" applyProtection="0"/>
    <xf numFmtId="0" fontId="21" fillId="4" borderId="0" applyNumberFormat="0" applyBorder="0" applyAlignment="0" applyProtection="0"/>
    <xf numFmtId="0" fontId="21" fillId="5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5" borderId="0" applyNumberFormat="0" applyBorder="0" applyAlignment="0" applyProtection="0"/>
    <xf numFmtId="0" fontId="21" fillId="8" borderId="0" applyNumberFormat="0" applyBorder="0" applyAlignment="0" applyProtection="0"/>
    <xf numFmtId="0" fontId="21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3" fillId="3" borderId="0" applyNumberFormat="0" applyBorder="0" applyAlignment="0" applyProtection="0"/>
    <xf numFmtId="0" fontId="24" fillId="20" borderId="1" applyNumberFormat="0" applyAlignment="0" applyProtection="0"/>
    <xf numFmtId="0" fontId="25" fillId="21" borderId="2" applyNumberFormat="0" applyAlignment="0" applyProtection="0"/>
    <xf numFmtId="166" fontId="46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0" fontId="28" fillId="0" borderId="3" applyNumberFormat="0" applyFill="0" applyAlignment="0" applyProtection="0"/>
    <xf numFmtId="0" fontId="29" fillId="0" borderId="4" applyNumberFormat="0" applyFill="0" applyAlignment="0" applyProtection="0"/>
    <xf numFmtId="0" fontId="30" fillId="0" borderId="5" applyNumberFormat="0" applyFill="0" applyAlignment="0" applyProtection="0"/>
    <xf numFmtId="0" fontId="30" fillId="0" borderId="0" applyNumberFormat="0" applyFill="0" applyBorder="0" applyAlignment="0" applyProtection="0"/>
    <xf numFmtId="0" fontId="31" fillId="7" borderId="1" applyNumberFormat="0" applyAlignment="0" applyProtection="0"/>
    <xf numFmtId="0" fontId="32" fillId="0" borderId="6" applyNumberFormat="0" applyFill="0" applyAlignment="0" applyProtection="0"/>
    <xf numFmtId="0" fontId="33" fillId="22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50" fillId="0" borderId="0"/>
    <xf numFmtId="0" fontId="34" fillId="0" borderId="0"/>
    <xf numFmtId="0" fontId="50" fillId="0" borderId="0"/>
    <xf numFmtId="0" fontId="51" fillId="0" borderId="0"/>
    <xf numFmtId="0" fontId="45" fillId="0" borderId="0"/>
    <xf numFmtId="0" fontId="49" fillId="0" borderId="0"/>
    <xf numFmtId="0" fontId="34" fillId="0" borderId="0"/>
    <xf numFmtId="0" fontId="34" fillId="23" borderId="7" applyNumberFormat="0" applyFont="0" applyAlignment="0" applyProtection="0"/>
    <xf numFmtId="0" fontId="35" fillId="20" borderId="8" applyNumberFormat="0" applyAlignment="0" applyProtection="0"/>
    <xf numFmtId="0" fontId="36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38" fillId="0" borderId="0" applyNumberFormat="0" applyFill="0" applyBorder="0" applyAlignment="0" applyProtection="0"/>
    <xf numFmtId="0" fontId="21" fillId="0" borderId="0"/>
    <xf numFmtId="0" fontId="46" fillId="0" borderId="0"/>
    <xf numFmtId="0" fontId="46" fillId="0" borderId="0"/>
    <xf numFmtId="0" fontId="20" fillId="0" borderId="0"/>
    <xf numFmtId="0" fontId="34" fillId="0" borderId="0"/>
    <xf numFmtId="0" fontId="34" fillId="0" borderId="0"/>
    <xf numFmtId="0" fontId="19" fillId="0" borderId="0"/>
    <xf numFmtId="0" fontId="18" fillId="0" borderId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32" borderId="0" applyNumberFormat="0" applyBorder="0" applyAlignment="0" applyProtection="0"/>
    <xf numFmtId="0" fontId="21" fillId="35" borderId="0" applyNumberFormat="0" applyBorder="0" applyAlignment="0" applyProtection="0"/>
    <xf numFmtId="0" fontId="22" fillId="36" borderId="0" applyNumberFormat="0" applyBorder="0" applyAlignment="0" applyProtection="0"/>
    <xf numFmtId="0" fontId="22" fillId="33" borderId="0" applyNumberFormat="0" applyBorder="0" applyAlignment="0" applyProtection="0"/>
    <xf numFmtId="0" fontId="22" fillId="34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39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2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43" borderId="0" applyNumberFormat="0" applyBorder="0" applyAlignment="0" applyProtection="0"/>
    <xf numFmtId="0" fontId="23" fillId="27" borderId="0" applyNumberFormat="0" applyBorder="0" applyAlignment="0" applyProtection="0"/>
    <xf numFmtId="0" fontId="24" fillId="44" borderId="1" applyNumberFormat="0" applyAlignment="0" applyProtection="0"/>
    <xf numFmtId="0" fontId="25" fillId="45" borderId="2" applyNumberFormat="0" applyAlignment="0" applyProtection="0"/>
    <xf numFmtId="166" fontId="21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28" borderId="0" applyNumberFormat="0" applyBorder="0" applyAlignment="0" applyProtection="0"/>
    <xf numFmtId="0" fontId="28" fillId="0" borderId="3" applyNumberFormat="0" applyFill="0" applyAlignment="0" applyProtection="0"/>
    <xf numFmtId="0" fontId="29" fillId="0" borderId="4" applyNumberFormat="0" applyFill="0" applyAlignment="0" applyProtection="0"/>
    <xf numFmtId="0" fontId="30" fillId="0" borderId="5" applyNumberFormat="0" applyFill="0" applyAlignment="0" applyProtection="0"/>
    <xf numFmtId="0" fontId="30" fillId="0" borderId="0" applyNumberFormat="0" applyFill="0" applyBorder="0" applyAlignment="0" applyProtection="0"/>
    <xf numFmtId="0" fontId="31" fillId="31" borderId="1" applyNumberFormat="0" applyAlignment="0" applyProtection="0"/>
    <xf numFmtId="0" fontId="32" fillId="0" borderId="6" applyNumberFormat="0" applyFill="0" applyAlignment="0" applyProtection="0"/>
    <xf numFmtId="0" fontId="33" fillId="46" borderId="0" applyNumberFormat="0" applyBorder="0" applyAlignment="0" applyProtection="0"/>
    <xf numFmtId="0" fontId="34" fillId="0" borderId="0">
      <protection locked="0"/>
    </xf>
    <xf numFmtId="0" fontId="34" fillId="0" borderId="0"/>
    <xf numFmtId="0" fontId="34" fillId="0" borderId="0"/>
    <xf numFmtId="0" fontId="21" fillId="0" borderId="0">
      <protection locked="0"/>
    </xf>
    <xf numFmtId="0" fontId="21" fillId="0" borderId="0"/>
    <xf numFmtId="0" fontId="58" fillId="0" borderId="0">
      <protection locked="0"/>
    </xf>
    <xf numFmtId="0" fontId="17" fillId="0" borderId="0"/>
    <xf numFmtId="0" fontId="34" fillId="0" borderId="0">
      <protection locked="0"/>
    </xf>
    <xf numFmtId="0" fontId="34" fillId="0" borderId="0"/>
    <xf numFmtId="0" fontId="21" fillId="0" borderId="0">
      <protection locked="0"/>
    </xf>
    <xf numFmtId="0" fontId="21" fillId="0" borderId="0"/>
    <xf numFmtId="0" fontId="58" fillId="0" borderId="0">
      <protection locked="0"/>
    </xf>
    <xf numFmtId="0" fontId="17" fillId="0" borderId="0"/>
    <xf numFmtId="0" fontId="34" fillId="0" borderId="0"/>
    <xf numFmtId="0" fontId="21" fillId="0" borderId="0">
      <protection locked="0"/>
    </xf>
    <xf numFmtId="0" fontId="21" fillId="0" borderId="0"/>
    <xf numFmtId="0" fontId="17" fillId="0" borderId="0"/>
    <xf numFmtId="0" fontId="17" fillId="0" borderId="0"/>
    <xf numFmtId="0" fontId="17" fillId="0" borderId="0"/>
    <xf numFmtId="0" fontId="34" fillId="0" borderId="0"/>
    <xf numFmtId="0" fontId="59" fillId="0" borderId="0">
      <alignment vertical="center"/>
    </xf>
    <xf numFmtId="0" fontId="17" fillId="0" borderId="0"/>
    <xf numFmtId="0" fontId="34" fillId="47" borderId="7" applyNumberFormat="0" applyFont="0" applyAlignment="0" applyProtection="0"/>
    <xf numFmtId="0" fontId="35" fillId="44" borderId="8" applyNumberFormat="0" applyAlignment="0" applyProtection="0"/>
    <xf numFmtId="0" fontId="60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38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61" fillId="0" borderId="0"/>
    <xf numFmtId="0" fontId="63" fillId="0" borderId="0"/>
    <xf numFmtId="0" fontId="68" fillId="28" borderId="0" applyNumberFormat="0" applyBorder="0" applyAlignment="0" applyProtection="0"/>
    <xf numFmtId="0" fontId="67" fillId="34" borderId="0" applyNumberFormat="0" applyBorder="0" applyAlignment="0" applyProtection="0"/>
    <xf numFmtId="0" fontId="68" fillId="33" borderId="0" applyNumberFormat="0" applyBorder="0" applyAlignment="0" applyProtection="0"/>
    <xf numFmtId="0" fontId="71" fillId="0" borderId="0" applyNumberFormat="0" applyFill="0" applyBorder="0" applyAlignment="0" applyProtection="0"/>
    <xf numFmtId="0" fontId="68" fillId="29" borderId="0" applyNumberFormat="0" applyBorder="0" applyAlignment="0" applyProtection="0"/>
    <xf numFmtId="0" fontId="67" fillId="37" borderId="0" applyNumberFormat="0" applyBorder="0" applyAlignment="0" applyProtection="0"/>
    <xf numFmtId="0" fontId="66" fillId="45" borderId="2" applyNumberFormat="0" applyAlignment="0" applyProtection="0"/>
    <xf numFmtId="0" fontId="72" fillId="0" borderId="0" applyNumberFormat="0" applyFill="0" applyBorder="0" applyAlignment="0" applyProtection="0"/>
    <xf numFmtId="0" fontId="68" fillId="32" borderId="0" applyNumberFormat="0" applyBorder="0" applyAlignment="0" applyProtection="0"/>
    <xf numFmtId="0" fontId="68" fillId="31" borderId="0" applyNumberFormat="0" applyBorder="0" applyAlignment="0" applyProtection="0"/>
    <xf numFmtId="0" fontId="67" fillId="33" borderId="0" applyNumberFormat="0" applyBorder="0" applyAlignment="0" applyProtection="0"/>
    <xf numFmtId="0" fontId="68" fillId="34" borderId="0" applyNumberFormat="0" applyBorder="0" applyAlignment="0" applyProtection="0"/>
    <xf numFmtId="0" fontId="64" fillId="0" borderId="0"/>
    <xf numFmtId="0" fontId="68" fillId="26" borderId="0" applyNumberFormat="0" applyBorder="0" applyAlignment="0" applyProtection="0"/>
    <xf numFmtId="0" fontId="68" fillId="27" borderId="0" applyNumberFormat="0" applyBorder="0" applyAlignment="0" applyProtection="0"/>
    <xf numFmtId="0" fontId="68" fillId="30" borderId="0" applyNumberFormat="0" applyBorder="0" applyAlignment="0" applyProtection="0"/>
    <xf numFmtId="0" fontId="67" fillId="36" borderId="0" applyNumberFormat="0" applyBorder="0" applyAlignment="0" applyProtection="0"/>
    <xf numFmtId="0" fontId="68" fillId="32" borderId="0" applyNumberFormat="0" applyBorder="0" applyAlignment="0" applyProtection="0"/>
    <xf numFmtId="0" fontId="68" fillId="29" borderId="0" applyNumberFormat="0" applyBorder="0" applyAlignment="0" applyProtection="0"/>
    <xf numFmtId="0" fontId="68" fillId="35" borderId="0" applyNumberFormat="0" applyBorder="0" applyAlignment="0" applyProtection="0"/>
    <xf numFmtId="0" fontId="67" fillId="37" borderId="0" applyNumberFormat="0" applyBorder="0" applyAlignment="0" applyProtection="0"/>
    <xf numFmtId="0" fontId="67" fillId="38" borderId="0" applyNumberFormat="0" applyBorder="0" applyAlignment="0" applyProtection="0"/>
    <xf numFmtId="0" fontId="67" fillId="39" borderId="0" applyNumberFormat="0" applyBorder="0" applyAlignment="0" applyProtection="0"/>
    <xf numFmtId="0" fontId="67" fillId="40" borderId="0" applyNumberFormat="0" applyBorder="0" applyAlignment="0" applyProtection="0"/>
    <xf numFmtId="0" fontId="67" fillId="41" borderId="0" applyNumberFormat="0" applyBorder="0" applyAlignment="0" applyProtection="0"/>
    <xf numFmtId="0" fontId="67" fillId="42" borderId="0" applyNumberFormat="0" applyBorder="0" applyAlignment="0" applyProtection="0"/>
    <xf numFmtId="0" fontId="67" fillId="38" borderId="0" applyNumberFormat="0" applyBorder="0" applyAlignment="0" applyProtection="0"/>
    <xf numFmtId="0" fontId="67" fillId="43" borderId="0" applyNumberFormat="0" applyBorder="0" applyAlignment="0" applyProtection="0"/>
    <xf numFmtId="0" fontId="73" fillId="27" borderId="0" applyNumberFormat="0" applyBorder="0" applyAlignment="0" applyProtection="0"/>
    <xf numFmtId="0" fontId="74" fillId="44" borderId="1" applyNumberFormat="0" applyAlignment="0" applyProtection="0"/>
    <xf numFmtId="166" fontId="64" fillId="0" borderId="0" applyFont="0" applyFill="0" applyBorder="0" applyAlignment="0" applyProtection="0"/>
    <xf numFmtId="0" fontId="75" fillId="0" borderId="0" applyNumberFormat="0" applyFill="0" applyBorder="0" applyAlignment="0" applyProtection="0"/>
    <xf numFmtId="0" fontId="70" fillId="28" borderId="0" applyNumberFormat="0" applyBorder="0" applyAlignment="0" applyProtection="0"/>
    <xf numFmtId="0" fontId="76" fillId="0" borderId="3" applyNumberFormat="0" applyFill="0" applyAlignment="0" applyProtection="0"/>
    <xf numFmtId="0" fontId="77" fillId="0" borderId="4" applyNumberFormat="0" applyFill="0" applyAlignment="0" applyProtection="0"/>
    <xf numFmtId="0" fontId="72" fillId="0" borderId="5" applyNumberFormat="0" applyFill="0" applyAlignment="0" applyProtection="0"/>
    <xf numFmtId="0" fontId="78" fillId="31" borderId="1" applyNumberFormat="0" applyAlignment="0" applyProtection="0"/>
    <xf numFmtId="0" fontId="79" fillId="0" borderId="6" applyNumberFormat="0" applyFill="0" applyAlignment="0" applyProtection="0"/>
    <xf numFmtId="0" fontId="69" fillId="46" borderId="0" applyNumberFormat="0" applyBorder="0" applyAlignment="0" applyProtection="0"/>
    <xf numFmtId="0" fontId="62" fillId="0" borderId="0"/>
    <xf numFmtId="0" fontId="62" fillId="0" borderId="0"/>
    <xf numFmtId="0" fontId="62" fillId="0" borderId="0"/>
    <xf numFmtId="0" fontId="63" fillId="0" borderId="0"/>
    <xf numFmtId="0" fontId="64" fillId="0" borderId="0"/>
    <xf numFmtId="0" fontId="62" fillId="0" borderId="0"/>
    <xf numFmtId="0" fontId="63" fillId="0" borderId="0"/>
    <xf numFmtId="0" fontId="62" fillId="0" borderId="0"/>
    <xf numFmtId="0" fontId="65" fillId="0" borderId="0"/>
    <xf numFmtId="0" fontId="68" fillId="0" borderId="0"/>
    <xf numFmtId="0" fontId="62" fillId="0" borderId="0"/>
    <xf numFmtId="0" fontId="62" fillId="47" borderId="7" applyNumberFormat="0" applyFont="0" applyAlignment="0" applyProtection="0"/>
    <xf numFmtId="0" fontId="80" fillId="44" borderId="8" applyNumberFormat="0" applyAlignment="0" applyProtection="0"/>
    <xf numFmtId="0" fontId="81" fillId="0" borderId="9" applyNumberFormat="0" applyFill="0" applyAlignment="0" applyProtection="0"/>
    <xf numFmtId="0" fontId="82" fillId="0" borderId="0" applyNumberFormat="0" applyFill="0" applyBorder="0" applyAlignment="0" applyProtection="0"/>
    <xf numFmtId="0" fontId="31" fillId="31" borderId="31" applyNumberFormat="0" applyAlignment="0" applyProtection="0"/>
    <xf numFmtId="0" fontId="37" fillId="0" borderId="34" applyNumberFormat="0" applyFill="0" applyAlignment="0" applyProtection="0"/>
    <xf numFmtId="0" fontId="15" fillId="0" borderId="0"/>
    <xf numFmtId="0" fontId="74" fillId="44" borderId="31" applyNumberFormat="0" applyAlignment="0" applyProtection="0"/>
    <xf numFmtId="0" fontId="78" fillId="31" borderId="31" applyNumberFormat="0" applyAlignment="0" applyProtection="0"/>
    <xf numFmtId="0" fontId="24" fillId="20" borderId="31" applyNumberFormat="0" applyAlignment="0" applyProtection="0"/>
    <xf numFmtId="0" fontId="24" fillId="44" borderId="31" applyNumberFormat="0" applyAlignment="0" applyProtection="0"/>
    <xf numFmtId="0" fontId="31" fillId="7" borderId="31" applyNumberFormat="0" applyAlignment="0" applyProtection="0"/>
    <xf numFmtId="0" fontId="35" fillId="20" borderId="33" applyNumberFormat="0" applyAlignment="0" applyProtection="0"/>
    <xf numFmtId="0" fontId="15" fillId="0" borderId="0"/>
    <xf numFmtId="0" fontId="15" fillId="0" borderId="0"/>
    <xf numFmtId="0" fontId="34" fillId="23" borderId="32" applyNumberFormat="0" applyFont="0" applyAlignment="0" applyProtection="0"/>
    <xf numFmtId="0" fontId="34" fillId="47" borderId="32" applyNumberFormat="0" applyFont="0" applyAlignment="0" applyProtection="0"/>
    <xf numFmtId="0" fontId="35" fillId="44" borderId="33" applyNumberFormat="0" applyAlignment="0" applyProtection="0"/>
    <xf numFmtId="0" fontId="62" fillId="47" borderId="32" applyNumberFormat="0" applyFont="0" applyAlignment="0" applyProtection="0"/>
    <xf numFmtId="0" fontId="80" fillId="44" borderId="33" applyNumberFormat="0" applyAlignment="0" applyProtection="0"/>
    <xf numFmtId="0" fontId="81" fillId="0" borderId="34" applyNumberFormat="0" applyFill="0" applyAlignment="0" applyProtection="0"/>
    <xf numFmtId="41" fontId="46" fillId="0" borderId="0" applyFont="0" applyFill="0" applyBorder="0" applyAlignment="0" applyProtection="0"/>
    <xf numFmtId="0" fontId="14" fillId="0" borderId="0"/>
    <xf numFmtId="0" fontId="13" fillId="0" borderId="0"/>
    <xf numFmtId="0" fontId="13" fillId="0" borderId="0"/>
    <xf numFmtId="0" fontId="13" fillId="0" borderId="0"/>
    <xf numFmtId="0" fontId="91" fillId="40" borderId="0" applyNumberFormat="0" applyBorder="0" applyAlignment="0" applyProtection="0"/>
    <xf numFmtId="0" fontId="84" fillId="0" borderId="0"/>
    <xf numFmtId="0" fontId="87" fillId="45" borderId="2" applyNumberFormat="0" applyAlignment="0" applyProtection="0"/>
    <xf numFmtId="0" fontId="88" fillId="0" borderId="0" applyNumberFormat="0" applyFill="0" applyBorder="0" applyAlignment="0" applyProtection="0"/>
    <xf numFmtId="0" fontId="90" fillId="29" borderId="0" applyNumberFormat="0" applyBorder="0" applyAlignment="0" applyProtection="0"/>
    <xf numFmtId="0" fontId="90" fillId="32" borderId="0" applyNumberFormat="0" applyBorder="0" applyAlignment="0" applyProtection="0"/>
    <xf numFmtId="0" fontId="90" fillId="31" borderId="0" applyNumberFormat="0" applyBorder="0" applyAlignment="0" applyProtection="0"/>
    <xf numFmtId="0" fontId="91" fillId="33" borderId="0" applyNumberFormat="0" applyBorder="0" applyAlignment="0" applyProtection="0"/>
    <xf numFmtId="0" fontId="90" fillId="34" borderId="0" applyNumberFormat="0" applyBorder="0" applyAlignment="0" applyProtection="0"/>
    <xf numFmtId="0" fontId="85" fillId="0" borderId="0"/>
    <xf numFmtId="0" fontId="90" fillId="26" borderId="0" applyNumberFormat="0" applyBorder="0" applyAlignment="0" applyProtection="0"/>
    <xf numFmtId="0" fontId="90" fillId="33" borderId="0" applyNumberFormat="0" applyBorder="0" applyAlignment="0" applyProtection="0"/>
    <xf numFmtId="0" fontId="90" fillId="27" borderId="0" applyNumberFormat="0" applyBorder="0" applyAlignment="0" applyProtection="0"/>
    <xf numFmtId="0" fontId="24" fillId="20" borderId="37" applyNumberFormat="0" applyAlignment="0" applyProtection="0"/>
    <xf numFmtId="0" fontId="90" fillId="28" borderId="0" applyNumberFormat="0" applyBorder="0" applyAlignment="0" applyProtection="0"/>
    <xf numFmtId="0" fontId="90" fillId="30" borderId="0" applyNumberFormat="0" applyBorder="0" applyAlignment="0" applyProtection="0"/>
    <xf numFmtId="0" fontId="91" fillId="36" borderId="0" applyNumberFormat="0" applyBorder="0" applyAlignment="0" applyProtection="0"/>
    <xf numFmtId="0" fontId="90" fillId="32" borderId="0" applyNumberFormat="0" applyBorder="0" applyAlignment="0" applyProtection="0"/>
    <xf numFmtId="0" fontId="90" fillId="29" borderId="0" applyNumberFormat="0" applyBorder="0" applyAlignment="0" applyProtection="0"/>
    <xf numFmtId="0" fontId="90" fillId="35" borderId="0" applyNumberFormat="0" applyBorder="0" applyAlignment="0" applyProtection="0"/>
    <xf numFmtId="0" fontId="91" fillId="34" borderId="0" applyNumberFormat="0" applyBorder="0" applyAlignment="0" applyProtection="0"/>
    <xf numFmtId="0" fontId="91" fillId="37" borderId="0" applyNumberFormat="0" applyBorder="0" applyAlignment="0" applyProtection="0"/>
    <xf numFmtId="0" fontId="31" fillId="7" borderId="37" applyNumberFormat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91" fillId="41" borderId="0" applyNumberFormat="0" applyBorder="0" applyAlignment="0" applyProtection="0"/>
    <xf numFmtId="0" fontId="91" fillId="42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2" fillId="27" borderId="0" applyNumberFormat="0" applyBorder="0" applyAlignment="0" applyProtection="0"/>
    <xf numFmtId="0" fontId="94" fillId="44" borderId="37" applyNumberFormat="0" applyAlignment="0" applyProtection="0"/>
    <xf numFmtId="0" fontId="12" fillId="0" borderId="0"/>
    <xf numFmtId="0" fontId="96" fillId="28" borderId="0" applyNumberFormat="0" applyBorder="0" applyAlignment="0" applyProtection="0"/>
    <xf numFmtId="0" fontId="97" fillId="0" borderId="3" applyNumberFormat="0" applyFill="0" applyAlignment="0" applyProtection="0"/>
    <xf numFmtId="0" fontId="34" fillId="23" borderId="38" applyNumberFormat="0" applyFont="0" applyAlignment="0" applyProtection="0"/>
    <xf numFmtId="0" fontId="35" fillId="20" borderId="39" applyNumberFormat="0" applyAlignment="0" applyProtection="0"/>
    <xf numFmtId="0" fontId="98" fillId="0" borderId="4" applyNumberFormat="0" applyFill="0" applyAlignment="0" applyProtection="0"/>
    <xf numFmtId="0" fontId="37" fillId="0" borderId="40" applyNumberFormat="0" applyFill="0" applyAlignment="0" applyProtection="0"/>
    <xf numFmtId="0" fontId="95" fillId="0" borderId="0" applyNumberFormat="0" applyFill="0" applyBorder="0" applyAlignment="0" applyProtection="0"/>
    <xf numFmtId="0" fontId="91" fillId="43" borderId="0" applyNumberFormat="0" applyBorder="0" applyAlignment="0" applyProtection="0"/>
    <xf numFmtId="41" fontId="85" fillId="0" borderId="0" applyFont="0" applyFill="0" applyBorder="0" applyAlignment="0" applyProtection="0"/>
    <xf numFmtId="0" fontId="88" fillId="0" borderId="5" applyNumberFormat="0" applyFill="0" applyAlignment="0" applyProtection="0"/>
    <xf numFmtId="0" fontId="93" fillId="31" borderId="37" applyNumberFormat="0" applyAlignment="0" applyProtection="0"/>
    <xf numFmtId="0" fontId="99" fillId="0" borderId="6" applyNumberFormat="0" applyFill="0" applyAlignment="0" applyProtection="0"/>
    <xf numFmtId="0" fontId="100" fillId="46" borderId="0" applyNumberFormat="0" applyBorder="0" applyAlignment="0" applyProtection="0"/>
    <xf numFmtId="0" fontId="83" fillId="0" borderId="0"/>
    <xf numFmtId="0" fontId="83" fillId="0" borderId="0"/>
    <xf numFmtId="0" fontId="83" fillId="0" borderId="0"/>
    <xf numFmtId="0" fontId="84" fillId="0" borderId="0"/>
    <xf numFmtId="0" fontId="85" fillId="0" borderId="0"/>
    <xf numFmtId="0" fontId="83" fillId="0" borderId="0"/>
    <xf numFmtId="0" fontId="84" fillId="0" borderId="0"/>
    <xf numFmtId="0" fontId="86" fillId="0" borderId="0"/>
    <xf numFmtId="0" fontId="90" fillId="0" borderId="0"/>
    <xf numFmtId="0" fontId="83" fillId="0" borderId="0"/>
    <xf numFmtId="0" fontId="83" fillId="47" borderId="38" applyNumberFormat="0" applyFont="0" applyAlignment="0" applyProtection="0"/>
    <xf numFmtId="0" fontId="101" fillId="44" borderId="39" applyNumberFormat="0" applyAlignment="0" applyProtection="0"/>
    <xf numFmtId="0" fontId="89" fillId="0" borderId="0" applyNumberFormat="0" applyFill="0" applyBorder="0" applyAlignment="0" applyProtection="0"/>
    <xf numFmtId="0" fontId="102" fillId="0" borderId="40" applyNumberFormat="0" applyFill="0" applyAlignment="0" applyProtection="0"/>
    <xf numFmtId="0" fontId="103" fillId="0" borderId="0" applyNumberForma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0" fontId="11" fillId="0" borderId="0"/>
    <xf numFmtId="0" fontId="10" fillId="0" borderId="0"/>
    <xf numFmtId="0" fontId="12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44" borderId="37" applyNumberFormat="0" applyAlignment="0" applyProtection="0"/>
    <xf numFmtId="0" fontId="31" fillId="31" borderId="37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4" fillId="47" borderId="38" applyNumberFormat="0" applyFont="0" applyAlignment="0" applyProtection="0"/>
    <xf numFmtId="0" fontId="35" fillId="44" borderId="39" applyNumberFormat="0" applyAlignment="0" applyProtection="0"/>
    <xf numFmtId="0" fontId="37" fillId="0" borderId="4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1" fillId="28" borderId="0" applyNumberFormat="0" applyBorder="0" applyAlignment="0" applyProtection="0"/>
    <xf numFmtId="0" fontId="22" fillId="34" borderId="0" applyNumberFormat="0" applyBorder="0" applyAlignment="0" applyProtection="0"/>
    <xf numFmtId="0" fontId="21" fillId="33" borderId="0" applyNumberFormat="0" applyBorder="0" applyAlignment="0" applyProtection="0"/>
    <xf numFmtId="0" fontId="60" fillId="0" borderId="0" applyNumberFormat="0" applyFill="0" applyBorder="0" applyAlignment="0" applyProtection="0"/>
    <xf numFmtId="0" fontId="21" fillId="29" borderId="0" applyNumberFormat="0" applyBorder="0" applyAlignment="0" applyProtection="0"/>
    <xf numFmtId="0" fontId="22" fillId="37" borderId="0" applyNumberFormat="0" applyBorder="0" applyAlignment="0" applyProtection="0"/>
    <xf numFmtId="0" fontId="25" fillId="45" borderId="2" applyNumberFormat="0" applyAlignment="0" applyProtection="0"/>
    <xf numFmtId="0" fontId="30" fillId="0" borderId="0" applyNumberFormat="0" applyFill="0" applyBorder="0" applyAlignment="0" applyProtection="0"/>
    <xf numFmtId="0" fontId="21" fillId="32" borderId="0" applyNumberFormat="0" applyBorder="0" applyAlignment="0" applyProtection="0"/>
    <xf numFmtId="0" fontId="21" fillId="31" borderId="0" applyNumberFormat="0" applyBorder="0" applyAlignment="0" applyProtection="0"/>
    <xf numFmtId="0" fontId="22" fillId="33" borderId="0" applyNumberFormat="0" applyBorder="0" applyAlignment="0" applyProtection="0"/>
    <xf numFmtId="0" fontId="21" fillId="34" borderId="0" applyNumberFormat="0" applyBorder="0" applyAlignment="0" applyProtection="0"/>
    <xf numFmtId="0" fontId="21" fillId="0" borderId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2" fillId="36" borderId="0" applyNumberFormat="0" applyBorder="0" applyAlignment="0" applyProtection="0"/>
    <xf numFmtId="0" fontId="21" fillId="32" borderId="0" applyNumberFormat="0" applyBorder="0" applyAlignment="0" applyProtection="0"/>
    <xf numFmtId="0" fontId="21" fillId="29" borderId="0" applyNumberFormat="0" applyBorder="0" applyAlignment="0" applyProtection="0"/>
    <xf numFmtId="0" fontId="21" fillId="35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39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2" borderId="0" applyNumberFormat="0" applyBorder="0" applyAlignment="0" applyProtection="0"/>
    <xf numFmtId="0" fontId="22" fillId="38" borderId="0" applyNumberFormat="0" applyBorder="0" applyAlignment="0" applyProtection="0"/>
    <xf numFmtId="0" fontId="22" fillId="43" borderId="0" applyNumberFormat="0" applyBorder="0" applyAlignment="0" applyProtection="0"/>
    <xf numFmtId="0" fontId="23" fillId="27" borderId="0" applyNumberFormat="0" applyBorder="0" applyAlignment="0" applyProtection="0"/>
    <xf numFmtId="0" fontId="24" fillId="44" borderId="37" applyNumberFormat="0" applyAlignment="0" applyProtection="0"/>
    <xf numFmtId="166" fontId="21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28" borderId="0" applyNumberFormat="0" applyBorder="0" applyAlignment="0" applyProtection="0"/>
    <xf numFmtId="0" fontId="28" fillId="0" borderId="3" applyNumberFormat="0" applyFill="0" applyAlignment="0" applyProtection="0"/>
    <xf numFmtId="0" fontId="29" fillId="0" borderId="4" applyNumberFormat="0" applyFill="0" applyAlignment="0" applyProtection="0"/>
    <xf numFmtId="0" fontId="30" fillId="0" borderId="5" applyNumberFormat="0" applyFill="0" applyAlignment="0" applyProtection="0"/>
    <xf numFmtId="0" fontId="31" fillId="31" borderId="37" applyNumberFormat="0" applyAlignment="0" applyProtection="0"/>
    <xf numFmtId="0" fontId="32" fillId="0" borderId="6" applyNumberFormat="0" applyFill="0" applyAlignment="0" applyProtection="0"/>
    <xf numFmtId="0" fontId="33" fillId="4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9" fillId="0" borderId="0"/>
    <xf numFmtId="0" fontId="21" fillId="0" borderId="0"/>
    <xf numFmtId="0" fontId="34" fillId="0" borderId="0"/>
    <xf numFmtId="0" fontId="9" fillId="0" borderId="0"/>
    <xf numFmtId="0" fontId="34" fillId="0" borderId="0"/>
    <xf numFmtId="0" fontId="9" fillId="0" borderId="0"/>
    <xf numFmtId="0" fontId="21" fillId="0" borderId="0"/>
    <xf numFmtId="0" fontId="34" fillId="0" borderId="0"/>
    <xf numFmtId="0" fontId="34" fillId="47" borderId="38" applyNumberFormat="0" applyFont="0" applyAlignment="0" applyProtection="0"/>
    <xf numFmtId="0" fontId="35" fillId="44" borderId="39" applyNumberFormat="0" applyAlignment="0" applyProtection="0"/>
    <xf numFmtId="0" fontId="37" fillId="0" borderId="40" applyNumberFormat="0" applyFill="0" applyAlignment="0" applyProtection="0"/>
    <xf numFmtId="0" fontId="38" fillId="0" borderId="0" applyNumberFormat="0" applyFill="0" applyBorder="0" applyAlignment="0" applyProtection="0"/>
    <xf numFmtId="0" fontId="31" fillId="31" borderId="37" applyNumberFormat="0" applyAlignment="0" applyProtection="0"/>
    <xf numFmtId="0" fontId="37" fillId="0" borderId="40" applyNumberFormat="0" applyFill="0" applyAlignment="0" applyProtection="0"/>
    <xf numFmtId="0" fontId="9" fillId="0" borderId="0"/>
    <xf numFmtId="0" fontId="24" fillId="44" borderId="37" applyNumberFormat="0" applyAlignment="0" applyProtection="0"/>
    <xf numFmtId="0" fontId="31" fillId="31" borderId="37" applyNumberFormat="0" applyAlignment="0" applyProtection="0"/>
    <xf numFmtId="0" fontId="24" fillId="20" borderId="37" applyNumberFormat="0" applyAlignment="0" applyProtection="0"/>
    <xf numFmtId="0" fontId="24" fillId="44" borderId="37" applyNumberFormat="0" applyAlignment="0" applyProtection="0"/>
    <xf numFmtId="0" fontId="31" fillId="7" borderId="37" applyNumberFormat="0" applyAlignment="0" applyProtection="0"/>
    <xf numFmtId="0" fontId="35" fillId="20" borderId="39" applyNumberFormat="0" applyAlignment="0" applyProtection="0"/>
    <xf numFmtId="0" fontId="9" fillId="0" borderId="0"/>
    <xf numFmtId="0" fontId="9" fillId="0" borderId="0"/>
    <xf numFmtId="0" fontId="34" fillId="23" borderId="38" applyNumberFormat="0" applyFont="0" applyAlignment="0" applyProtection="0"/>
    <xf numFmtId="0" fontId="34" fillId="47" borderId="38" applyNumberFormat="0" applyFont="0" applyAlignment="0" applyProtection="0"/>
    <xf numFmtId="0" fontId="35" fillId="44" borderId="39" applyNumberFormat="0" applyAlignment="0" applyProtection="0"/>
    <xf numFmtId="0" fontId="34" fillId="47" borderId="38" applyNumberFormat="0" applyFont="0" applyAlignment="0" applyProtection="0"/>
    <xf numFmtId="0" fontId="35" fillId="44" borderId="39" applyNumberFormat="0" applyAlignment="0" applyProtection="0"/>
    <xf numFmtId="0" fontId="37" fillId="0" borderId="4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" fillId="40" borderId="0" applyNumberFormat="0" applyBorder="0" applyAlignment="0" applyProtection="0"/>
    <xf numFmtId="0" fontId="9" fillId="0" borderId="0"/>
    <xf numFmtId="0" fontId="25" fillId="45" borderId="2" applyNumberFormat="0" applyAlignment="0" applyProtection="0"/>
    <xf numFmtId="0" fontId="30" fillId="0" borderId="0" applyNumberFormat="0" applyFill="0" applyBorder="0" applyAlignment="0" applyProtection="0"/>
    <xf numFmtId="0" fontId="21" fillId="29" borderId="0" applyNumberFormat="0" applyBorder="0" applyAlignment="0" applyProtection="0"/>
    <xf numFmtId="0" fontId="21" fillId="32" borderId="0" applyNumberFormat="0" applyBorder="0" applyAlignment="0" applyProtection="0"/>
    <xf numFmtId="0" fontId="21" fillId="31" borderId="0" applyNumberFormat="0" applyBorder="0" applyAlignment="0" applyProtection="0"/>
    <xf numFmtId="0" fontId="22" fillId="33" borderId="0" applyNumberFormat="0" applyBorder="0" applyAlignment="0" applyProtection="0"/>
    <xf numFmtId="0" fontId="21" fillId="34" borderId="0" applyNumberFormat="0" applyBorder="0" applyAlignment="0" applyProtection="0"/>
    <xf numFmtId="0" fontId="21" fillId="0" borderId="0"/>
    <xf numFmtId="0" fontId="21" fillId="26" borderId="0" applyNumberFormat="0" applyBorder="0" applyAlignment="0" applyProtection="0"/>
    <xf numFmtId="0" fontId="21" fillId="33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30" borderId="0" applyNumberFormat="0" applyBorder="0" applyAlignment="0" applyProtection="0"/>
    <xf numFmtId="0" fontId="22" fillId="36" borderId="0" applyNumberFormat="0" applyBorder="0" applyAlignment="0" applyProtection="0"/>
    <xf numFmtId="0" fontId="21" fillId="32" borderId="0" applyNumberFormat="0" applyBorder="0" applyAlignment="0" applyProtection="0"/>
    <xf numFmtId="0" fontId="21" fillId="29" borderId="0" applyNumberFormat="0" applyBorder="0" applyAlignment="0" applyProtection="0"/>
    <xf numFmtId="0" fontId="21" fillId="35" borderId="0" applyNumberFormat="0" applyBorder="0" applyAlignment="0" applyProtection="0"/>
    <xf numFmtId="0" fontId="22" fillId="34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39" borderId="0" applyNumberFormat="0" applyBorder="0" applyAlignment="0" applyProtection="0"/>
    <xf numFmtId="0" fontId="22" fillId="41" borderId="0" applyNumberFormat="0" applyBorder="0" applyAlignment="0" applyProtection="0"/>
    <xf numFmtId="0" fontId="22" fillId="42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3" fillId="27" borderId="0" applyNumberFormat="0" applyBorder="0" applyAlignment="0" applyProtection="0"/>
    <xf numFmtId="0" fontId="24" fillId="44" borderId="37" applyNumberFormat="0" applyAlignment="0" applyProtection="0"/>
    <xf numFmtId="0" fontId="9" fillId="0" borderId="0"/>
    <xf numFmtId="0" fontId="27" fillId="28" borderId="0" applyNumberFormat="0" applyBorder="0" applyAlignment="0" applyProtection="0"/>
    <xf numFmtId="0" fontId="28" fillId="0" borderId="3" applyNumberFormat="0" applyFill="0" applyAlignment="0" applyProtection="0"/>
    <xf numFmtId="0" fontId="29" fillId="0" borderId="4" applyNumberFormat="0" applyFill="0" applyAlignment="0" applyProtection="0"/>
    <xf numFmtId="0" fontId="26" fillId="0" borderId="0" applyNumberFormat="0" applyFill="0" applyBorder="0" applyAlignment="0" applyProtection="0"/>
    <xf numFmtId="0" fontId="22" fillId="43" borderId="0" applyNumberFormat="0" applyBorder="0" applyAlignment="0" applyProtection="0"/>
    <xf numFmtId="41" fontId="21" fillId="0" borderId="0" applyFont="0" applyFill="0" applyBorder="0" applyAlignment="0" applyProtection="0"/>
    <xf numFmtId="0" fontId="30" fillId="0" borderId="5" applyNumberFormat="0" applyFill="0" applyAlignment="0" applyProtection="0"/>
    <xf numFmtId="0" fontId="31" fillId="31" borderId="37" applyNumberFormat="0" applyAlignment="0" applyProtection="0"/>
    <xf numFmtId="0" fontId="32" fillId="0" borderId="6" applyNumberFormat="0" applyFill="0" applyAlignment="0" applyProtection="0"/>
    <xf numFmtId="0" fontId="33" fillId="4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9" fillId="0" borderId="0"/>
    <xf numFmtId="0" fontId="21" fillId="0" borderId="0"/>
    <xf numFmtId="0" fontId="34" fillId="0" borderId="0"/>
    <xf numFmtId="0" fontId="9" fillId="0" borderId="0"/>
    <xf numFmtId="0" fontId="9" fillId="0" borderId="0"/>
    <xf numFmtId="0" fontId="21" fillId="0" borderId="0"/>
    <xf numFmtId="0" fontId="34" fillId="0" borderId="0"/>
    <xf numFmtId="0" fontId="34" fillId="47" borderId="38" applyNumberFormat="0" applyFont="0" applyAlignment="0" applyProtection="0"/>
    <xf numFmtId="0" fontId="35" fillId="44" borderId="39" applyNumberFormat="0" applyAlignment="0" applyProtection="0"/>
    <xf numFmtId="0" fontId="60" fillId="0" borderId="0" applyNumberFormat="0" applyFill="0" applyBorder="0" applyAlignment="0" applyProtection="0"/>
    <xf numFmtId="0" fontId="37" fillId="0" borderId="40" applyNumberFormat="0" applyFill="0" applyAlignment="0" applyProtection="0"/>
    <xf numFmtId="0" fontId="38" fillId="0" borderId="0" applyNumberFormat="0" applyFill="0" applyBorder="0" applyAlignment="0" applyProtection="0"/>
    <xf numFmtId="0" fontId="128" fillId="0" borderId="0">
      <alignment vertical="center"/>
    </xf>
    <xf numFmtId="0" fontId="8" fillId="0" borderId="0"/>
    <xf numFmtId="0" fontId="140" fillId="0" borderId="0" applyNumberFormat="0" applyFill="0" applyBorder="0" applyAlignment="0" applyProtection="0"/>
    <xf numFmtId="0" fontId="24" fillId="44" borderId="1" applyNumberFormat="0" applyAlignment="0" applyProtection="0"/>
    <xf numFmtId="0" fontId="24" fillId="44" borderId="1" applyNumberFormat="0" applyAlignment="0" applyProtection="0"/>
    <xf numFmtId="0" fontId="24" fillId="44" borderId="1" applyNumberFormat="0" applyAlignment="0" applyProtection="0"/>
    <xf numFmtId="0" fontId="24" fillId="44" borderId="1" applyNumberFormat="0" applyAlignment="0" applyProtection="0"/>
    <xf numFmtId="0" fontId="24" fillId="44" borderId="1" applyNumberFormat="0" applyAlignment="0" applyProtection="0"/>
    <xf numFmtId="0" fontId="24" fillId="44" borderId="1" applyNumberFormat="0" applyAlignment="0" applyProtection="0"/>
    <xf numFmtId="0" fontId="24" fillId="44" borderId="1" applyNumberFormat="0" applyAlignment="0" applyProtection="0"/>
    <xf numFmtId="0" fontId="24" fillId="44" borderId="1" applyNumberFormat="0" applyAlignment="0" applyProtection="0"/>
    <xf numFmtId="0" fontId="24" fillId="44" borderId="1" applyNumberFormat="0" applyAlignment="0" applyProtection="0"/>
    <xf numFmtId="0" fontId="24" fillId="44" borderId="1" applyNumberFormat="0" applyAlignment="0" applyProtection="0"/>
    <xf numFmtId="0" fontId="24" fillId="44" borderId="1" applyNumberFormat="0" applyAlignment="0" applyProtection="0"/>
    <xf numFmtId="0" fontId="24" fillId="44" borderId="1" applyNumberFormat="0" applyAlignment="0" applyProtection="0"/>
    <xf numFmtId="41" fontId="21" fillId="0" borderId="0" applyFont="0" applyFill="0" applyBorder="0" applyAlignment="0" applyProtection="0"/>
    <xf numFmtId="0" fontId="31" fillId="31" borderId="1" applyNumberFormat="0" applyAlignment="0" applyProtection="0"/>
    <xf numFmtId="0" fontId="31" fillId="31" borderId="1" applyNumberFormat="0" applyAlignment="0" applyProtection="0"/>
    <xf numFmtId="0" fontId="31" fillId="31" borderId="1" applyNumberFormat="0" applyAlignment="0" applyProtection="0"/>
    <xf numFmtId="0" fontId="31" fillId="31" borderId="1" applyNumberFormat="0" applyAlignment="0" applyProtection="0"/>
    <xf numFmtId="0" fontId="31" fillId="31" borderId="1" applyNumberFormat="0" applyAlignment="0" applyProtection="0"/>
    <xf numFmtId="0" fontId="31" fillId="31" borderId="1" applyNumberFormat="0" applyAlignment="0" applyProtection="0"/>
    <xf numFmtId="0" fontId="31" fillId="31" borderId="1" applyNumberFormat="0" applyAlignment="0" applyProtection="0"/>
    <xf numFmtId="0" fontId="31" fillId="31" borderId="1" applyNumberFormat="0" applyAlignment="0" applyProtection="0"/>
    <xf numFmtId="0" fontId="31" fillId="31" borderId="1" applyNumberFormat="0" applyAlignment="0" applyProtection="0"/>
    <xf numFmtId="0" fontId="31" fillId="31" borderId="1" applyNumberFormat="0" applyAlignment="0" applyProtection="0"/>
    <xf numFmtId="0" fontId="31" fillId="31" borderId="1" applyNumberFormat="0" applyAlignment="0" applyProtection="0"/>
    <xf numFmtId="0" fontId="31" fillId="31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4" fillId="47" borderId="7" applyNumberFormat="0" applyFont="0" applyAlignment="0" applyProtection="0"/>
    <xf numFmtId="0" fontId="34" fillId="47" borderId="7" applyNumberFormat="0" applyFont="0" applyAlignment="0" applyProtection="0"/>
    <xf numFmtId="0" fontId="34" fillId="47" borderId="7" applyNumberFormat="0" applyFont="0" applyAlignment="0" applyProtection="0"/>
    <xf numFmtId="0" fontId="34" fillId="47" borderId="7" applyNumberFormat="0" applyFont="0" applyAlignment="0" applyProtection="0"/>
    <xf numFmtId="0" fontId="34" fillId="47" borderId="7" applyNumberFormat="0" applyFont="0" applyAlignment="0" applyProtection="0"/>
    <xf numFmtId="0" fontId="34" fillId="47" borderId="7" applyNumberFormat="0" applyFont="0" applyAlignment="0" applyProtection="0"/>
    <xf numFmtId="0" fontId="34" fillId="47" borderId="7" applyNumberFormat="0" applyFont="0" applyAlignment="0" applyProtection="0"/>
    <xf numFmtId="0" fontId="34" fillId="47" borderId="7" applyNumberFormat="0" applyFont="0" applyAlignment="0" applyProtection="0"/>
    <xf numFmtId="0" fontId="34" fillId="47" borderId="7" applyNumberFormat="0" applyFont="0" applyAlignment="0" applyProtection="0"/>
    <xf numFmtId="0" fontId="34" fillId="47" borderId="7" applyNumberFormat="0" applyFont="0" applyAlignment="0" applyProtection="0"/>
    <xf numFmtId="0" fontId="34" fillId="47" borderId="7" applyNumberFormat="0" applyFont="0" applyAlignment="0" applyProtection="0"/>
    <xf numFmtId="0" fontId="34" fillId="47" borderId="7" applyNumberFormat="0" applyFont="0" applyAlignment="0" applyProtection="0"/>
    <xf numFmtId="0" fontId="35" fillId="44" borderId="8" applyNumberFormat="0" applyAlignment="0" applyProtection="0"/>
    <xf numFmtId="0" fontId="35" fillId="44" borderId="8" applyNumberFormat="0" applyAlignment="0" applyProtection="0"/>
    <xf numFmtId="0" fontId="35" fillId="44" borderId="8" applyNumberFormat="0" applyAlignment="0" applyProtection="0"/>
    <xf numFmtId="0" fontId="35" fillId="44" borderId="8" applyNumberFormat="0" applyAlignment="0" applyProtection="0"/>
    <xf numFmtId="0" fontId="35" fillId="44" borderId="8" applyNumberFormat="0" applyAlignment="0" applyProtection="0"/>
    <xf numFmtId="0" fontId="35" fillId="44" borderId="8" applyNumberFormat="0" applyAlignment="0" applyProtection="0"/>
    <xf numFmtId="0" fontId="35" fillId="44" borderId="8" applyNumberFormat="0" applyAlignment="0" applyProtection="0"/>
    <xf numFmtId="0" fontId="35" fillId="44" borderId="8" applyNumberFormat="0" applyAlignment="0" applyProtection="0"/>
    <xf numFmtId="0" fontId="35" fillId="44" borderId="8" applyNumberFormat="0" applyAlignment="0" applyProtection="0"/>
    <xf numFmtId="0" fontId="35" fillId="44" borderId="8" applyNumberFormat="0" applyAlignment="0" applyProtection="0"/>
    <xf numFmtId="0" fontId="35" fillId="44" borderId="8" applyNumberFormat="0" applyAlignment="0" applyProtection="0"/>
    <xf numFmtId="0" fontId="35" fillId="44" borderId="8" applyNumberFormat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46" fillId="0" borderId="0"/>
    <xf numFmtId="0" fontId="34" fillId="0" borderId="0"/>
    <xf numFmtId="41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50" fillId="66" borderId="0" applyNumberFormat="0" applyBorder="0" applyAlignment="0" applyProtection="0"/>
    <xf numFmtId="0" fontId="6" fillId="52" borderId="0" applyNumberFormat="0" applyBorder="0" applyAlignment="0" applyProtection="0"/>
    <xf numFmtId="0" fontId="50" fillId="70" borderId="0" applyNumberFormat="0" applyBorder="0" applyAlignment="0" applyProtection="0"/>
    <xf numFmtId="0" fontId="6" fillId="87" borderId="0" applyNumberFormat="0" applyBorder="0" applyAlignment="0" applyProtection="0"/>
    <xf numFmtId="0" fontId="50" fillId="74" borderId="0" applyNumberFormat="0" applyBorder="0" applyAlignment="0" applyProtection="0"/>
    <xf numFmtId="0" fontId="6" fillId="88" borderId="0" applyNumberFormat="0" applyBorder="0" applyAlignment="0" applyProtection="0"/>
    <xf numFmtId="0" fontId="50" fillId="77" borderId="0" applyNumberFormat="0" applyBorder="0" applyAlignment="0" applyProtection="0"/>
    <xf numFmtId="0" fontId="6" fillId="89" borderId="0" applyNumberFormat="0" applyBorder="0" applyAlignment="0" applyProtection="0"/>
    <xf numFmtId="0" fontId="50" fillId="81" borderId="0" applyNumberFormat="0" applyBorder="0" applyAlignment="0" applyProtection="0"/>
    <xf numFmtId="0" fontId="6" fillId="51" borderId="0" applyNumberFormat="0" applyBorder="0" applyAlignment="0" applyProtection="0"/>
    <xf numFmtId="0" fontId="50" fillId="85" borderId="0" applyNumberFormat="0" applyBorder="0" applyAlignment="0" applyProtection="0"/>
    <xf numFmtId="0" fontId="6" fillId="90" borderId="0" applyNumberFormat="0" applyBorder="0" applyAlignment="0" applyProtection="0"/>
    <xf numFmtId="0" fontId="50" fillId="67" borderId="0" applyNumberFormat="0" applyBorder="0" applyAlignment="0" applyProtection="0"/>
    <xf numFmtId="0" fontId="6" fillId="91" borderId="0" applyNumberFormat="0" applyBorder="0" applyAlignment="0" applyProtection="0"/>
    <xf numFmtId="0" fontId="50" fillId="71" borderId="0" applyNumberFormat="0" applyBorder="0" applyAlignment="0" applyProtection="0"/>
    <xf numFmtId="0" fontId="6" fillId="92" borderId="0" applyNumberFormat="0" applyBorder="0" applyAlignment="0" applyProtection="0"/>
    <xf numFmtId="0" fontId="6" fillId="10" borderId="0" applyNumberFormat="0" applyBorder="0" applyAlignment="0" applyProtection="0"/>
    <xf numFmtId="0" fontId="6" fillId="49" borderId="0" applyNumberFormat="0" applyBorder="0" applyAlignment="0" applyProtection="0"/>
    <xf numFmtId="0" fontId="50" fillId="78" borderId="0" applyNumberFormat="0" applyBorder="0" applyAlignment="0" applyProtection="0"/>
    <xf numFmtId="0" fontId="6" fillId="93" borderId="0" applyNumberFormat="0" applyBorder="0" applyAlignment="0" applyProtection="0"/>
    <xf numFmtId="0" fontId="50" fillId="82" borderId="0" applyNumberFormat="0" applyBorder="0" applyAlignment="0" applyProtection="0"/>
    <xf numFmtId="0" fontId="6" fillId="94" borderId="0" applyNumberFormat="0" applyBorder="0" applyAlignment="0" applyProtection="0"/>
    <xf numFmtId="0" fontId="6" fillId="11" borderId="0" applyNumberFormat="0" applyBorder="0" applyAlignment="0" applyProtection="0"/>
    <xf numFmtId="0" fontId="6" fillId="48" borderId="0" applyNumberFormat="0" applyBorder="0" applyAlignment="0" applyProtection="0"/>
    <xf numFmtId="0" fontId="50" fillId="68" borderId="0" applyNumberFormat="0" applyBorder="0" applyAlignment="0" applyProtection="0"/>
    <xf numFmtId="0" fontId="6" fillId="55" borderId="0" applyNumberFormat="0" applyBorder="0" applyAlignment="0" applyProtection="0"/>
    <xf numFmtId="0" fontId="50" fillId="72" borderId="0" applyNumberFormat="0" applyBorder="0" applyAlignment="0" applyProtection="0"/>
    <xf numFmtId="0" fontId="6" fillId="95" borderId="0" applyNumberFormat="0" applyBorder="0" applyAlignment="0" applyProtection="0"/>
    <xf numFmtId="0" fontId="50" fillId="75" borderId="0" applyNumberFormat="0" applyBorder="0" applyAlignment="0" applyProtection="0"/>
    <xf numFmtId="0" fontId="6" fillId="96" borderId="0" applyNumberFormat="0" applyBorder="0" applyAlignment="0" applyProtection="0"/>
    <xf numFmtId="0" fontId="50" fillId="79" borderId="0" applyNumberFormat="0" applyBorder="0" applyAlignment="0" applyProtection="0"/>
    <xf numFmtId="0" fontId="6" fillId="97" borderId="0" applyNumberFormat="0" applyBorder="0" applyAlignment="0" applyProtection="0"/>
    <xf numFmtId="0" fontId="50" fillId="83" borderId="0" applyNumberFormat="0" applyBorder="0" applyAlignment="0" applyProtection="0"/>
    <xf numFmtId="0" fontId="6" fillId="98" borderId="0" applyNumberFormat="0" applyBorder="0" applyAlignment="0" applyProtection="0"/>
    <xf numFmtId="0" fontId="50" fillId="86" borderId="0" applyNumberFormat="0" applyBorder="0" applyAlignment="0" applyProtection="0"/>
    <xf numFmtId="0" fontId="6" fillId="99" borderId="0" applyNumberFormat="0" applyBorder="0" applyAlignment="0" applyProtection="0"/>
    <xf numFmtId="0" fontId="173" fillId="65" borderId="0" applyNumberFormat="0" applyBorder="0" applyAlignment="0" applyProtection="0"/>
    <xf numFmtId="0" fontId="155" fillId="100" borderId="0" applyNumberFormat="0" applyBorder="0" applyAlignment="0" applyProtection="0"/>
    <xf numFmtId="0" fontId="173" fillId="69" borderId="0" applyNumberFormat="0" applyBorder="0" applyAlignment="0" applyProtection="0"/>
    <xf numFmtId="0" fontId="155" fillId="101" borderId="0" applyNumberFormat="0" applyBorder="0" applyAlignment="0" applyProtection="0"/>
    <xf numFmtId="0" fontId="173" fillId="73" borderId="0" applyNumberFormat="0" applyBorder="0" applyAlignment="0" applyProtection="0"/>
    <xf numFmtId="0" fontId="155" fillId="102" borderId="0" applyNumberFormat="0" applyBorder="0" applyAlignment="0" applyProtection="0"/>
    <xf numFmtId="0" fontId="173" fillId="76" borderId="0" applyNumberFormat="0" applyBorder="0" applyAlignment="0" applyProtection="0"/>
    <xf numFmtId="0" fontId="155" fillId="103" borderId="0" applyNumberFormat="0" applyBorder="0" applyAlignment="0" applyProtection="0"/>
    <xf numFmtId="0" fontId="173" fillId="80" borderId="0" applyNumberFormat="0" applyBorder="0" applyAlignment="0" applyProtection="0"/>
    <xf numFmtId="0" fontId="155" fillId="104" borderId="0" applyNumberFormat="0" applyBorder="0" applyAlignment="0" applyProtection="0"/>
    <xf numFmtId="0" fontId="173" fillId="84" borderId="0" applyNumberFormat="0" applyBorder="0" applyAlignment="0" applyProtection="0"/>
    <xf numFmtId="0" fontId="155" fillId="105" borderId="0" applyNumberFormat="0" applyBorder="0" applyAlignment="0" applyProtection="0"/>
    <xf numFmtId="0" fontId="164" fillId="59" borderId="0" applyNumberFormat="0" applyBorder="0" applyAlignment="0" applyProtection="0"/>
    <xf numFmtId="0" fontId="145" fillId="106" borderId="0" applyNumberFormat="0" applyBorder="0" applyAlignment="0" applyProtection="0"/>
    <xf numFmtId="0" fontId="168" fillId="62" borderId="109" applyNumberFormat="0" applyAlignment="0" applyProtection="0"/>
    <xf numFmtId="0" fontId="149" fillId="107" borderId="109" applyNumberFormat="0" applyAlignment="0" applyProtection="0"/>
    <xf numFmtId="0" fontId="170" fillId="63" borderId="112" applyNumberFormat="0" applyAlignment="0" applyProtection="0"/>
    <xf numFmtId="0" fontId="151" fillId="108" borderId="112" applyNumberFormat="0" applyAlignment="0" applyProtection="0"/>
    <xf numFmtId="41" fontId="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34" fillId="0" borderId="0" applyFont="0" applyFill="0" applyBorder="0" applyAlignment="0" applyProtection="0"/>
    <xf numFmtId="170" fontId="6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175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76" fillId="0" borderId="0" applyFont="0" applyFill="0" applyBorder="0" applyAlignment="0" applyProtection="0"/>
    <xf numFmtId="41" fontId="177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6" fillId="0" borderId="0" applyFont="0" applyFill="0" applyBorder="0" applyAlignment="0" applyProtection="0"/>
    <xf numFmtId="43" fontId="17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43" fontId="34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4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171" fontId="21" fillId="0" borderId="0"/>
    <xf numFmtId="171" fontId="21" fillId="0" borderId="0"/>
    <xf numFmtId="0" fontId="21" fillId="0" borderId="0"/>
    <xf numFmtId="0" fontId="21" fillId="0" borderId="0"/>
    <xf numFmtId="0" fontId="172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63" fillId="58" borderId="0" applyNumberFormat="0" applyBorder="0" applyAlignment="0" applyProtection="0"/>
    <xf numFmtId="0" fontId="144" fillId="109" borderId="0" applyNumberFormat="0" applyBorder="0" applyAlignment="0" applyProtection="0"/>
    <xf numFmtId="0" fontId="160" fillId="0" borderId="106" applyNumberFormat="0" applyFill="0" applyAlignment="0" applyProtection="0"/>
    <xf numFmtId="0" fontId="141" fillId="0" borderId="106" applyNumberFormat="0" applyFill="0" applyAlignment="0" applyProtection="0"/>
    <xf numFmtId="0" fontId="161" fillId="0" borderId="107" applyNumberFormat="0" applyFill="0" applyAlignment="0" applyProtection="0"/>
    <xf numFmtId="0" fontId="142" fillId="0" borderId="107" applyNumberFormat="0" applyFill="0" applyAlignment="0" applyProtection="0"/>
    <xf numFmtId="0" fontId="162" fillId="0" borderId="108" applyNumberFormat="0" applyFill="0" applyAlignment="0" applyProtection="0"/>
    <xf numFmtId="0" fontId="143" fillId="0" borderId="108" applyNumberFormat="0" applyFill="0" applyAlignment="0" applyProtection="0"/>
    <xf numFmtId="0" fontId="162" fillId="0" borderId="0" applyNumberFormat="0" applyFill="0" applyBorder="0" applyAlignment="0" applyProtection="0"/>
    <xf numFmtId="0" fontId="143" fillId="0" borderId="0" applyNumberFormat="0" applyFill="0" applyBorder="0" applyAlignment="0" applyProtection="0"/>
    <xf numFmtId="0" fontId="178" fillId="0" borderId="0" applyNumberFormat="0" applyFill="0" applyBorder="0" applyAlignment="0" applyProtection="0">
      <alignment vertical="top"/>
      <protection locked="0"/>
    </xf>
    <xf numFmtId="0" fontId="140" fillId="0" borderId="0" applyNumberFormat="0" applyFill="0" applyBorder="0" applyAlignment="0" applyProtection="0"/>
    <xf numFmtId="0" fontId="166" fillId="61" borderId="109" applyNumberFormat="0" applyAlignment="0" applyProtection="0"/>
    <xf numFmtId="0" fontId="147" fillId="110" borderId="109" applyNumberFormat="0" applyAlignment="0" applyProtection="0"/>
    <xf numFmtId="172" fontId="179" fillId="0" borderId="0" applyProtection="0">
      <alignment horizontal="right" vertical="top" indent="5"/>
    </xf>
    <xf numFmtId="172" fontId="180" fillId="0" borderId="0" applyProtection="0">
      <alignment horizontal="right" vertical="top" indent="5"/>
    </xf>
    <xf numFmtId="0" fontId="181" fillId="0" borderId="119">
      <alignment horizontal="center" vertical="center" wrapText="1"/>
      <protection locked="0"/>
    </xf>
    <xf numFmtId="0" fontId="181" fillId="0" borderId="119">
      <alignment horizontal="center" vertical="center" wrapText="1"/>
    </xf>
    <xf numFmtId="0" fontId="182" fillId="0" borderId="119">
      <alignment horizontal="center" vertical="center" wrapText="1"/>
    </xf>
    <xf numFmtId="0" fontId="182" fillId="0" borderId="119">
      <alignment horizontal="center" vertical="center" wrapText="1"/>
      <protection locked="0"/>
    </xf>
    <xf numFmtId="49" fontId="183" fillId="0" borderId="0" applyProtection="0">
      <alignment horizontal="left" vertical="center" wrapText="1"/>
    </xf>
    <xf numFmtId="49" fontId="183" fillId="0" borderId="0">
      <alignment horizontal="left" vertical="center" wrapText="1"/>
    </xf>
    <xf numFmtId="49" fontId="184" fillId="0" borderId="0">
      <alignment horizontal="left" vertical="center" wrapText="1"/>
    </xf>
    <xf numFmtId="49" fontId="184" fillId="0" borderId="0" applyProtection="0">
      <alignment horizontal="left" vertical="center" wrapText="1"/>
    </xf>
    <xf numFmtId="172" fontId="182" fillId="0" borderId="120" applyProtection="0">
      <alignment horizontal="center" vertical="center" wrapText="1"/>
    </xf>
    <xf numFmtId="0" fontId="169" fillId="0" borderId="111" applyNumberFormat="0" applyFill="0" applyAlignment="0" applyProtection="0"/>
    <xf numFmtId="0" fontId="150" fillId="0" borderId="111" applyNumberFormat="0" applyFill="0" applyAlignment="0" applyProtection="0"/>
    <xf numFmtId="38" fontId="185" fillId="0" borderId="0" applyFont="0" applyFill="0" applyBorder="0" applyAlignment="0" applyProtection="0"/>
    <xf numFmtId="40" fontId="185" fillId="0" borderId="0" applyFont="0" applyFill="0" applyBorder="0" applyAlignment="0" applyProtection="0"/>
    <xf numFmtId="164" fontId="185" fillId="0" borderId="0" applyFont="0" applyFill="0" applyBorder="0" applyAlignment="0" applyProtection="0"/>
    <xf numFmtId="165" fontId="185" fillId="0" borderId="0" applyFont="0" applyFill="0" applyBorder="0" applyAlignment="0" applyProtection="0"/>
    <xf numFmtId="0" fontId="165" fillId="60" borderId="0" applyNumberFormat="0" applyBorder="0" applyAlignment="0" applyProtection="0"/>
    <xf numFmtId="0" fontId="146" fillId="111" borderId="0" applyNumberFormat="0" applyBorder="0" applyAlignment="0" applyProtection="0"/>
    <xf numFmtId="49" fontId="186" fillId="0" borderId="118" applyProtection="0">
      <alignment horizontal="center" vertical="center" wrapText="1"/>
    </xf>
    <xf numFmtId="49" fontId="187" fillId="0" borderId="118" applyProtection="0">
      <alignment horizontal="center" vertical="center" wrapText="1"/>
    </xf>
    <xf numFmtId="0" fontId="50" fillId="0" borderId="0"/>
    <xf numFmtId="0" fontId="6" fillId="0" borderId="0"/>
    <xf numFmtId="0" fontId="50" fillId="0" borderId="0"/>
    <xf numFmtId="0" fontId="34" fillId="0" borderId="0"/>
    <xf numFmtId="0" fontId="6" fillId="0" borderId="0"/>
    <xf numFmtId="0" fontId="6" fillId="0" borderId="0"/>
    <xf numFmtId="0" fontId="34" fillId="0" borderId="0"/>
    <xf numFmtId="0" fontId="3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6" fillId="0" borderId="0"/>
    <xf numFmtId="0" fontId="6" fillId="0" borderId="0"/>
    <xf numFmtId="0" fontId="6" fillId="0" borderId="0"/>
    <xf numFmtId="0" fontId="50" fillId="0" borderId="0"/>
    <xf numFmtId="0" fontId="6" fillId="0" borderId="0"/>
    <xf numFmtId="0" fontId="50" fillId="0" borderId="0"/>
    <xf numFmtId="0" fontId="6" fillId="0" borderId="0"/>
    <xf numFmtId="0" fontId="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8" fillId="0" borderId="0">
      <protection locked="0"/>
    </xf>
    <xf numFmtId="0" fontId="50" fillId="0" borderId="0"/>
    <xf numFmtId="0" fontId="6" fillId="0" borderId="0"/>
    <xf numFmtId="0" fontId="50" fillId="0" borderId="0"/>
    <xf numFmtId="0" fontId="6" fillId="0" borderId="0"/>
    <xf numFmtId="0" fontId="6" fillId="0" borderId="0"/>
    <xf numFmtId="0" fontId="50" fillId="0" borderId="0"/>
    <xf numFmtId="0" fontId="6" fillId="0" borderId="0"/>
    <xf numFmtId="0" fontId="50" fillId="0" borderId="0"/>
    <xf numFmtId="0" fontId="6" fillId="0" borderId="0"/>
    <xf numFmtId="0" fontId="50" fillId="0" borderId="0"/>
    <xf numFmtId="0" fontId="50" fillId="0" borderId="0"/>
    <xf numFmtId="0" fontId="6" fillId="0" borderId="0"/>
    <xf numFmtId="0" fontId="6" fillId="0" borderId="0"/>
    <xf numFmtId="0" fontId="50" fillId="0" borderId="0"/>
    <xf numFmtId="0" fontId="50" fillId="0" borderId="0"/>
    <xf numFmtId="0" fontId="6" fillId="0" borderId="0"/>
    <xf numFmtId="0" fontId="6" fillId="0" borderId="0"/>
    <xf numFmtId="0" fontId="50" fillId="0" borderId="0"/>
    <xf numFmtId="0" fontId="6" fillId="0" borderId="0"/>
    <xf numFmtId="0" fontId="34" fillId="0" borderId="0"/>
    <xf numFmtId="0" fontId="189" fillId="0" borderId="0"/>
    <xf numFmtId="0" fontId="6" fillId="0" borderId="0"/>
    <xf numFmtId="0" fontId="50" fillId="0" borderId="0"/>
    <xf numFmtId="0" fontId="6" fillId="0" borderId="0"/>
    <xf numFmtId="0" fontId="50" fillId="0" borderId="0"/>
    <xf numFmtId="0" fontId="6" fillId="0" borderId="0"/>
    <xf numFmtId="0" fontId="6" fillId="0" borderId="0"/>
    <xf numFmtId="0" fontId="174" fillId="0" borderId="0"/>
    <xf numFmtId="0" fontId="190" fillId="0" borderId="0"/>
    <xf numFmtId="0" fontId="189" fillId="0" borderId="0"/>
    <xf numFmtId="0" fontId="6" fillId="0" borderId="0"/>
    <xf numFmtId="0" fontId="6" fillId="0" borderId="0"/>
    <xf numFmtId="0" fontId="34" fillId="0" borderId="0"/>
    <xf numFmtId="0" fontId="6" fillId="0" borderId="0"/>
    <xf numFmtId="0" fontId="50" fillId="0" borderId="0"/>
    <xf numFmtId="0" fontId="34" fillId="0" borderId="0"/>
    <xf numFmtId="0" fontId="176" fillId="0" borderId="0"/>
    <xf numFmtId="0" fontId="50" fillId="64" borderId="113" applyNumberFormat="0" applyFont="0" applyAlignment="0" applyProtection="0"/>
    <xf numFmtId="0" fontId="6" fillId="112" borderId="113" applyNumberFormat="0" applyFont="0" applyAlignment="0" applyProtection="0"/>
    <xf numFmtId="0" fontId="167" fillId="62" borderId="110" applyNumberFormat="0" applyAlignment="0" applyProtection="0"/>
    <xf numFmtId="0" fontId="148" fillId="107" borderId="110" applyNumberFormat="0" applyAlignment="0" applyProtection="0"/>
    <xf numFmtId="9" fontId="3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177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179" fillId="0" borderId="0" applyProtection="0">
      <alignment horizontal="left" vertical="top" wrapText="1"/>
    </xf>
    <xf numFmtId="49" fontId="179" fillId="0" borderId="0" applyProtection="0">
      <alignment horizontal="left" vertical="top" wrapText="1"/>
    </xf>
    <xf numFmtId="49" fontId="180" fillId="0" borderId="0" applyProtection="0">
      <alignment horizontal="left" vertical="top" wrapText="1"/>
    </xf>
    <xf numFmtId="49" fontId="179" fillId="0" borderId="0" applyProtection="0">
      <alignment horizontal="left" vertical="center" wrapText="1"/>
    </xf>
    <xf numFmtId="49" fontId="180" fillId="0" borderId="0" applyProtection="0">
      <alignment horizontal="left" vertical="center" wrapText="1"/>
    </xf>
    <xf numFmtId="49" fontId="180" fillId="0" borderId="0" applyProtection="0">
      <alignment horizontal="left" vertical="top" wrapText="1"/>
    </xf>
    <xf numFmtId="49" fontId="191" fillId="0" borderId="0" applyProtection="0">
      <alignment horizontal="left" vertical="center" wrapText="1"/>
    </xf>
    <xf numFmtId="49" fontId="191" fillId="0" borderId="0">
      <alignment horizontal="left" vertical="center" wrapText="1"/>
    </xf>
    <xf numFmtId="49" fontId="192" fillId="0" borderId="0">
      <alignment horizontal="left" vertical="center" wrapText="1"/>
    </xf>
    <xf numFmtId="49" fontId="192" fillId="0" borderId="0" applyProtection="0">
      <alignment horizontal="left" vertical="center" wrapText="1"/>
    </xf>
    <xf numFmtId="0" fontId="159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16" fillId="0" borderId="114" applyNumberFormat="0" applyFill="0" applyAlignment="0" applyProtection="0"/>
    <xf numFmtId="0" fontId="154" fillId="0" borderId="114" applyNumberFormat="0" applyFill="0" applyAlignment="0" applyProtection="0"/>
    <xf numFmtId="0" fontId="171" fillId="0" borderId="0" applyNumberFormat="0" applyFill="0" applyBorder="0" applyAlignment="0" applyProtection="0"/>
    <xf numFmtId="0" fontId="152" fillId="0" borderId="0" applyNumberFormat="0" applyFill="0" applyBorder="0" applyAlignment="0" applyProtection="0"/>
    <xf numFmtId="0" fontId="194" fillId="0" borderId="0"/>
    <xf numFmtId="41" fontId="194" fillId="0" borderId="0" applyFont="0" applyFill="0" applyBorder="0" applyAlignment="0" applyProtection="0"/>
    <xf numFmtId="41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9" fontId="34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1" fillId="35" borderId="0" applyNumberFormat="0" applyBorder="0" applyAlignment="0" applyProtection="0"/>
    <xf numFmtId="0" fontId="211" fillId="30" borderId="0" applyNumberFormat="0" applyBorder="0" applyAlignment="0" applyProtection="0"/>
    <xf numFmtId="0" fontId="219" fillId="0" borderId="3" applyNumberFormat="0" applyFill="0" applyAlignment="0" applyProtection="0"/>
    <xf numFmtId="0" fontId="211" fillId="27" borderId="0" applyNumberFormat="0" applyBorder="0" applyAlignment="0" applyProtection="0"/>
    <xf numFmtId="0" fontId="211" fillId="32" borderId="0" applyNumberFormat="0" applyBorder="0" applyAlignment="0" applyProtection="0"/>
    <xf numFmtId="0" fontId="214" fillId="44" borderId="37" applyNumberFormat="0" applyAlignment="0" applyProtection="0"/>
    <xf numFmtId="0" fontId="218" fillId="28" borderId="0" applyNumberFormat="0" applyBorder="0" applyAlignment="0" applyProtection="0"/>
    <xf numFmtId="0" fontId="224" fillId="46" borderId="0" applyNumberFormat="0" applyBorder="0" applyAlignment="0" applyProtection="0"/>
    <xf numFmtId="0" fontId="226" fillId="0" borderId="0">
      <protection locked="0"/>
    </xf>
    <xf numFmtId="0" fontId="209" fillId="0" borderId="0"/>
    <xf numFmtId="0" fontId="230" fillId="0" borderId="0" applyNumberFormat="0" applyFill="0" applyBorder="0" applyAlignment="0" applyProtection="0"/>
    <xf numFmtId="0" fontId="221" fillId="0" borderId="5" applyNumberFormat="0" applyFill="0" applyAlignment="0" applyProtection="0"/>
    <xf numFmtId="0" fontId="211" fillId="0" borderId="0">
      <protection locked="0"/>
    </xf>
    <xf numFmtId="0" fontId="212" fillId="41" borderId="0" applyNumberFormat="0" applyBorder="0" applyAlignment="0" applyProtection="0"/>
    <xf numFmtId="0" fontId="211" fillId="35" borderId="0" applyNumberFormat="0" applyBorder="0" applyAlignment="0" applyProtection="0"/>
    <xf numFmtId="0" fontId="212" fillId="36" borderId="0" applyNumberFormat="0" applyBorder="0" applyAlignment="0" applyProtection="0"/>
    <xf numFmtId="166" fontId="211" fillId="0" borderId="0" applyFont="0" applyFill="0" applyBorder="0" applyAlignment="0" applyProtection="0"/>
    <xf numFmtId="0" fontId="211" fillId="28" borderId="0" applyNumberFormat="0" applyBorder="0" applyAlignment="0" applyProtection="0"/>
    <xf numFmtId="0" fontId="212" fillId="40" borderId="0" applyNumberFormat="0" applyBorder="0" applyAlignment="0" applyProtection="0"/>
    <xf numFmtId="0" fontId="212" fillId="38" borderId="0" applyNumberFormat="0" applyBorder="0" applyAlignment="0" applyProtection="0"/>
    <xf numFmtId="0" fontId="209" fillId="0" borderId="0"/>
    <xf numFmtId="0" fontId="222" fillId="31" borderId="37" applyNumberFormat="0" applyAlignment="0" applyProtection="0"/>
    <xf numFmtId="0" fontId="216" fillId="0" borderId="0"/>
    <xf numFmtId="0" fontId="209" fillId="0" borderId="0"/>
    <xf numFmtId="0" fontId="227" fillId="44" borderId="39" applyNumberFormat="0" applyAlignment="0" applyProtection="0"/>
    <xf numFmtId="0" fontId="212" fillId="42" borderId="0" applyNumberFormat="0" applyBorder="0" applyAlignment="0" applyProtection="0"/>
    <xf numFmtId="0" fontId="221" fillId="0" borderId="5" applyNumberFormat="0" applyFill="0" applyAlignment="0" applyProtection="0"/>
    <xf numFmtId="0" fontId="211" fillId="33" borderId="0" applyNumberFormat="0" applyBorder="0" applyAlignment="0" applyProtection="0"/>
    <xf numFmtId="0" fontId="211" fillId="0" borderId="0"/>
    <xf numFmtId="0" fontId="211" fillId="32" borderId="0" applyNumberFormat="0" applyBorder="0" applyAlignment="0" applyProtection="0"/>
    <xf numFmtId="0" fontId="214" fillId="44" borderId="37" applyNumberFormat="0" applyAlignment="0" applyProtection="0"/>
    <xf numFmtId="0" fontId="218" fillId="28" borderId="0" applyNumberFormat="0" applyBorder="0" applyAlignment="0" applyProtection="0"/>
    <xf numFmtId="0" fontId="224" fillId="46" borderId="0" applyNumberFormat="0" applyBorder="0" applyAlignment="0" applyProtection="0"/>
    <xf numFmtId="0" fontId="209" fillId="0" borderId="0"/>
    <xf numFmtId="0" fontId="209" fillId="0" borderId="0"/>
    <xf numFmtId="0" fontId="212" fillId="42" borderId="0" applyNumberFormat="0" applyBorder="0" applyAlignment="0" applyProtection="0"/>
    <xf numFmtId="0" fontId="211" fillId="29" borderId="0" applyNumberFormat="0" applyBorder="0" applyAlignment="0" applyProtection="0"/>
    <xf numFmtId="0" fontId="211" fillId="29" borderId="0" applyNumberFormat="0" applyBorder="0" applyAlignment="0" applyProtection="0"/>
    <xf numFmtId="0" fontId="212" fillId="36" borderId="0" applyNumberFormat="0" applyBorder="0" applyAlignment="0" applyProtection="0"/>
    <xf numFmtId="0" fontId="212" fillId="34" borderId="0" applyNumberFormat="0" applyBorder="0" applyAlignment="0" applyProtection="0"/>
    <xf numFmtId="0" fontId="212" fillId="38" borderId="0" applyNumberFormat="0" applyBorder="0" applyAlignment="0" applyProtection="0"/>
    <xf numFmtId="0" fontId="214" fillId="44" borderId="37" applyNumberFormat="0" applyAlignment="0" applyProtection="0"/>
    <xf numFmtId="0" fontId="209" fillId="0" borderId="0"/>
    <xf numFmtId="0" fontId="209" fillId="0" borderId="0"/>
    <xf numFmtId="0" fontId="2" fillId="0" borderId="0"/>
    <xf numFmtId="0" fontId="212" fillId="36" borderId="0" applyNumberFormat="0" applyBorder="0" applyAlignment="0" applyProtection="0"/>
    <xf numFmtId="0" fontId="211" fillId="26" borderId="0" applyNumberFormat="0" applyBorder="0" applyAlignment="0" applyProtection="0"/>
    <xf numFmtId="0" fontId="211" fillId="28" borderId="0" applyNumberFormat="0" applyBorder="0" applyAlignment="0" applyProtection="0"/>
    <xf numFmtId="0" fontId="217" fillId="0" borderId="0" applyNumberFormat="0" applyFill="0" applyBorder="0" applyAlignment="0" applyProtection="0"/>
    <xf numFmtId="0" fontId="208" fillId="0" borderId="0"/>
    <xf numFmtId="0" fontId="209" fillId="0" borderId="0"/>
    <xf numFmtId="0" fontId="227" fillId="44" borderId="39" applyNumberFormat="0" applyAlignment="0" applyProtection="0"/>
    <xf numFmtId="0" fontId="227" fillId="44" borderId="39" applyNumberFormat="0" applyAlignment="0" applyProtection="0"/>
    <xf numFmtId="0" fontId="215" fillId="45" borderId="2" applyNumberFormat="0" applyAlignment="0" applyProtection="0"/>
    <xf numFmtId="0" fontId="208" fillId="0" borderId="0"/>
    <xf numFmtId="0" fontId="2" fillId="0" borderId="0"/>
    <xf numFmtId="0" fontId="212" fillId="36" borderId="0" applyNumberFormat="0" applyBorder="0" applyAlignment="0" applyProtection="0"/>
    <xf numFmtId="0" fontId="211" fillId="0" borderId="0"/>
    <xf numFmtId="0" fontId="2" fillId="0" borderId="0"/>
    <xf numFmtId="0" fontId="2" fillId="0" borderId="0"/>
    <xf numFmtId="0" fontId="211" fillId="32" borderId="0" applyNumberFormat="0" applyBorder="0" applyAlignment="0" applyProtection="0"/>
    <xf numFmtId="0" fontId="208" fillId="0" borderId="0"/>
    <xf numFmtId="0" fontId="219" fillId="0" borderId="3" applyNumberFormat="0" applyFill="0" applyAlignment="0" applyProtection="0"/>
    <xf numFmtId="0" fontId="212" fillId="33" borderId="0" applyNumberFormat="0" applyBorder="0" applyAlignment="0" applyProtection="0"/>
    <xf numFmtId="0" fontId="212" fillId="43" borderId="0" applyNumberFormat="0" applyBorder="0" applyAlignment="0" applyProtection="0"/>
    <xf numFmtId="0" fontId="220" fillId="0" borderId="4" applyNumberFormat="0" applyFill="0" applyAlignment="0" applyProtection="0"/>
    <xf numFmtId="0" fontId="225" fillId="0" borderId="0">
      <alignment vertical="center"/>
    </xf>
    <xf numFmtId="0" fontId="209" fillId="0" borderId="0"/>
    <xf numFmtId="0" fontId="209" fillId="0" borderId="0"/>
    <xf numFmtId="0" fontId="212" fillId="42" borderId="0" applyNumberFormat="0" applyBorder="0" applyAlignment="0" applyProtection="0"/>
    <xf numFmtId="0" fontId="208" fillId="0" borderId="0"/>
    <xf numFmtId="0" fontId="229" fillId="0" borderId="40" applyNumberFormat="0" applyFill="0" applyAlignment="0" applyProtection="0"/>
    <xf numFmtId="0" fontId="211" fillId="28" borderId="0" applyNumberFormat="0" applyBorder="0" applyAlignment="0" applyProtection="0"/>
    <xf numFmtId="0" fontId="212" fillId="36" borderId="0" applyNumberFormat="0" applyBorder="0" applyAlignment="0" applyProtection="0"/>
    <xf numFmtId="0" fontId="212" fillId="36" borderId="0" applyNumberFormat="0" applyBorder="0" applyAlignment="0" applyProtection="0"/>
    <xf numFmtId="0" fontId="208" fillId="0" borderId="0"/>
    <xf numFmtId="0" fontId="211" fillId="29" borderId="0" applyNumberFormat="0" applyBorder="0" applyAlignment="0" applyProtection="0"/>
    <xf numFmtId="0" fontId="212" fillId="39" borderId="0" applyNumberFormat="0" applyBorder="0" applyAlignment="0" applyProtection="0"/>
    <xf numFmtId="43" fontId="208" fillId="0" borderId="0" applyFont="0" applyFill="0" applyBorder="0" applyAlignment="0" applyProtection="0"/>
    <xf numFmtId="0" fontId="224" fillId="46" borderId="0" applyNumberFormat="0" applyBorder="0" applyAlignment="0" applyProtection="0"/>
    <xf numFmtId="0" fontId="223" fillId="0" borderId="6" applyNumberFormat="0" applyFill="0" applyAlignment="0" applyProtection="0"/>
    <xf numFmtId="0" fontId="211" fillId="0" borderId="0"/>
    <xf numFmtId="0" fontId="211" fillId="0" borderId="0"/>
    <xf numFmtId="0" fontId="229" fillId="0" borderId="40" applyNumberFormat="0" applyFill="0" applyAlignment="0" applyProtection="0"/>
    <xf numFmtId="0" fontId="208" fillId="0" borderId="0"/>
    <xf numFmtId="0" fontId="212" fillId="41" borderId="0" applyNumberFormat="0" applyBorder="0" applyAlignment="0" applyProtection="0"/>
    <xf numFmtId="0" fontId="219" fillId="0" borderId="3" applyNumberFormat="0" applyFill="0" applyAlignment="0" applyProtection="0"/>
    <xf numFmtId="0" fontId="212" fillId="33" borderId="0" applyNumberFormat="0" applyBorder="0" applyAlignment="0" applyProtection="0"/>
    <xf numFmtId="0" fontId="213" fillId="27" borderId="0" applyNumberFormat="0" applyBorder="0" applyAlignment="0" applyProtection="0"/>
    <xf numFmtId="0" fontId="220" fillId="0" borderId="4" applyNumberFormat="0" applyFill="0" applyAlignment="0" applyProtection="0"/>
    <xf numFmtId="0" fontId="208" fillId="0" borderId="0"/>
    <xf numFmtId="0" fontId="209" fillId="0" borderId="0"/>
    <xf numFmtId="0" fontId="209" fillId="0" borderId="0"/>
    <xf numFmtId="0" fontId="208" fillId="47" borderId="7" applyNumberFormat="0" applyFont="0" applyAlignment="0" applyProtection="0"/>
    <xf numFmtId="0" fontId="211" fillId="35" borderId="0" applyNumberFormat="0" applyBorder="0" applyAlignment="0" applyProtection="0"/>
    <xf numFmtId="0" fontId="211" fillId="31" borderId="0" applyNumberFormat="0" applyBorder="0" applyAlignment="0" applyProtection="0"/>
    <xf numFmtId="0" fontId="212" fillId="34" borderId="0" applyNumberFormat="0" applyBorder="0" applyAlignment="0" applyProtection="0"/>
    <xf numFmtId="0" fontId="212" fillId="39" borderId="0" applyNumberFormat="0" applyBorder="0" applyAlignment="0" applyProtection="0"/>
    <xf numFmtId="0" fontId="212" fillId="38" borderId="0" applyNumberFormat="0" applyBorder="0" applyAlignment="0" applyProtection="0"/>
    <xf numFmtId="0" fontId="215" fillId="45" borderId="2" applyNumberFormat="0" applyAlignment="0" applyProtection="0"/>
    <xf numFmtId="0" fontId="217" fillId="0" borderId="0" applyNumberFormat="0" applyFill="0" applyBorder="0" applyAlignment="0" applyProtection="0"/>
    <xf numFmtId="0" fontId="222" fillId="31" borderId="37" applyNumberFormat="0" applyAlignment="0" applyProtection="0"/>
    <xf numFmtId="0" fontId="2" fillId="0" borderId="0"/>
    <xf numFmtId="0" fontId="222" fillId="31" borderId="37" applyNumberFormat="0" applyAlignment="0" applyProtection="0"/>
    <xf numFmtId="0" fontId="223" fillId="0" borderId="6" applyNumberFormat="0" applyFill="0" applyAlignment="0" applyProtection="0"/>
    <xf numFmtId="0" fontId="211" fillId="0" borderId="0"/>
    <xf numFmtId="0" fontId="209" fillId="0" borderId="0"/>
    <xf numFmtId="0" fontId="209" fillId="0" borderId="0"/>
    <xf numFmtId="0" fontId="2" fillId="0" borderId="0"/>
    <xf numFmtId="0" fontId="208" fillId="0" borderId="0"/>
    <xf numFmtId="0" fontId="227" fillId="44" borderId="39" applyNumberFormat="0" applyAlignment="0" applyProtection="0"/>
    <xf numFmtId="0" fontId="227" fillId="44" borderId="39" applyNumberFormat="0" applyAlignment="0" applyProtection="0"/>
    <xf numFmtId="0" fontId="2" fillId="0" borderId="0"/>
    <xf numFmtId="0" fontId="2" fillId="0" borderId="0"/>
    <xf numFmtId="0" fontId="2" fillId="0" borderId="0"/>
    <xf numFmtId="0" fontId="212" fillId="40" borderId="0" applyNumberFormat="0" applyBorder="0" applyAlignment="0" applyProtection="0"/>
    <xf numFmtId="0" fontId="212" fillId="34" borderId="0" applyNumberFormat="0" applyBorder="0" applyAlignment="0" applyProtection="0"/>
    <xf numFmtId="0" fontId="2" fillId="0" borderId="0"/>
    <xf numFmtId="0" fontId="211" fillId="29" borderId="0" applyNumberFormat="0" applyBorder="0" applyAlignment="0" applyProtection="0"/>
    <xf numFmtId="0" fontId="218" fillId="28" borderId="0" applyNumberFormat="0" applyBorder="0" applyAlignment="0" applyProtection="0"/>
    <xf numFmtId="0" fontId="211" fillId="0" borderId="0"/>
    <xf numFmtId="0" fontId="209" fillId="0" borderId="0"/>
    <xf numFmtId="0" fontId="228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1" fillId="26" borderId="0" applyNumberFormat="0" applyBorder="0" applyAlignment="0" applyProtection="0"/>
    <xf numFmtId="0" fontId="212" fillId="33" borderId="0" applyNumberFormat="0" applyBorder="0" applyAlignment="0" applyProtection="0"/>
    <xf numFmtId="0" fontId="209" fillId="0" borderId="0"/>
    <xf numFmtId="0" fontId="209" fillId="0" borderId="0"/>
    <xf numFmtId="0" fontId="212" fillId="38" borderId="0" applyNumberFormat="0" applyBorder="0" applyAlignment="0" applyProtection="0"/>
    <xf numFmtId="0" fontId="209" fillId="0" borderId="0"/>
    <xf numFmtId="0" fontId="212" fillId="38" borderId="0" applyNumberFormat="0" applyBorder="0" applyAlignment="0" applyProtection="0"/>
    <xf numFmtId="0" fontId="208" fillId="47" borderId="7" applyNumberFormat="0" applyFont="0" applyAlignment="0" applyProtection="0"/>
    <xf numFmtId="0" fontId="211" fillId="0" borderId="0">
      <protection locked="0"/>
    </xf>
    <xf numFmtId="0" fontId="221" fillId="0" borderId="0" applyNumberFormat="0" applyFill="0" applyBorder="0" applyAlignment="0" applyProtection="0"/>
    <xf numFmtId="0" fontId="212" fillId="41" borderId="0" applyNumberFormat="0" applyBorder="0" applyAlignment="0" applyProtection="0"/>
    <xf numFmtId="0" fontId="208" fillId="47" borderId="7" applyNumberFormat="0" applyFont="0" applyAlignment="0" applyProtection="0"/>
    <xf numFmtId="0" fontId="209" fillId="0" borderId="0"/>
    <xf numFmtId="0" fontId="211" fillId="33" borderId="0" applyNumberFormat="0" applyBorder="0" applyAlignment="0" applyProtection="0"/>
    <xf numFmtId="0" fontId="211" fillId="0" borderId="0"/>
    <xf numFmtId="0" fontId="214" fillId="44" borderId="37" applyNumberFormat="0" applyAlignment="0" applyProtection="0"/>
    <xf numFmtId="0" fontId="211" fillId="31" borderId="0" applyNumberFormat="0" applyBorder="0" applyAlignment="0" applyProtection="0"/>
    <xf numFmtId="0" fontId="211" fillId="0" borderId="0"/>
    <xf numFmtId="0" fontId="208" fillId="47" borderId="7" applyNumberFormat="0" applyFont="0" applyAlignment="0" applyProtection="0"/>
    <xf numFmtId="0" fontId="211" fillId="34" borderId="0" applyNumberFormat="0" applyBorder="0" applyAlignment="0" applyProtection="0"/>
    <xf numFmtId="0" fontId="224" fillId="46" borderId="0" applyNumberFormat="0" applyBorder="0" applyAlignment="0" applyProtection="0"/>
    <xf numFmtId="0" fontId="211" fillId="32" borderId="0" applyNumberFormat="0" applyBorder="0" applyAlignment="0" applyProtection="0"/>
    <xf numFmtId="0" fontId="214" fillId="44" borderId="37" applyNumberFormat="0" applyAlignment="0" applyProtection="0"/>
    <xf numFmtId="0" fontId="217" fillId="0" borderId="0" applyNumberFormat="0" applyFill="0" applyBorder="0" applyAlignment="0" applyProtection="0"/>
    <xf numFmtId="0" fontId="211" fillId="27" borderId="0" applyNumberFormat="0" applyBorder="0" applyAlignment="0" applyProtection="0"/>
    <xf numFmtId="0" fontId="212" fillId="37" borderId="0" applyNumberFormat="0" applyBorder="0" applyAlignment="0" applyProtection="0"/>
    <xf numFmtId="0" fontId="209" fillId="0" borderId="0"/>
    <xf numFmtId="0" fontId="208" fillId="0" borderId="0"/>
    <xf numFmtId="0" fontId="211" fillId="0" borderId="0"/>
    <xf numFmtId="0" fontId="209" fillId="0" borderId="0"/>
    <xf numFmtId="0" fontId="212" fillId="43" borderId="0" applyNumberFormat="0" applyBorder="0" applyAlignment="0" applyProtection="0"/>
    <xf numFmtId="0" fontId="212" fillId="38" borderId="0" applyNumberFormat="0" applyBorder="0" applyAlignment="0" applyProtection="0"/>
    <xf numFmtId="0" fontId="214" fillId="44" borderId="37" applyNumberFormat="0" applyAlignment="0" applyProtection="0"/>
    <xf numFmtId="0" fontId="221" fillId="0" borderId="0" applyNumberFormat="0" applyFill="0" applyBorder="0" applyAlignment="0" applyProtection="0"/>
    <xf numFmtId="0" fontId="211" fillId="0" borderId="0"/>
    <xf numFmtId="0" fontId="208" fillId="0" borderId="0"/>
    <xf numFmtId="0" fontId="227" fillId="44" borderId="39" applyNumberFormat="0" applyAlignment="0" applyProtection="0"/>
    <xf numFmtId="0" fontId="213" fillId="27" borderId="0" applyNumberFormat="0" applyBorder="0" applyAlignment="0" applyProtection="0"/>
    <xf numFmtId="0" fontId="211" fillId="34" borderId="0" applyNumberFormat="0" applyBorder="0" applyAlignment="0" applyProtection="0"/>
    <xf numFmtId="0" fontId="224" fillId="46" borderId="0" applyNumberFormat="0" applyBorder="0" applyAlignment="0" applyProtection="0"/>
    <xf numFmtId="0" fontId="212" fillId="42" borderId="0" applyNumberFormat="0" applyBorder="0" applyAlignment="0" applyProtection="0"/>
    <xf numFmtId="0" fontId="213" fillId="27" borderId="0" applyNumberFormat="0" applyBorder="0" applyAlignment="0" applyProtection="0"/>
    <xf numFmtId="0" fontId="2" fillId="0" borderId="0"/>
    <xf numFmtId="0" fontId="218" fillId="28" borderId="0" applyNumberFormat="0" applyBorder="0" applyAlignment="0" applyProtection="0"/>
    <xf numFmtId="0" fontId="208" fillId="0" borderId="0"/>
    <xf numFmtId="0" fontId="2" fillId="0" borderId="0"/>
    <xf numFmtId="0" fontId="209" fillId="0" borderId="0"/>
    <xf numFmtId="0" fontId="2" fillId="0" borderId="0"/>
    <xf numFmtId="0" fontId="228" fillId="0" borderId="0" applyNumberFormat="0" applyFill="0" applyBorder="0" applyAlignment="0" applyProtection="0"/>
    <xf numFmtId="0" fontId="211" fillId="32" borderId="0" applyNumberFormat="0" applyBorder="0" applyAlignment="0" applyProtection="0"/>
    <xf numFmtId="0" fontId="211" fillId="34" borderId="0" applyNumberFormat="0" applyBorder="0" applyAlignment="0" applyProtection="0"/>
    <xf numFmtId="0" fontId="221" fillId="0" borderId="0" applyNumberFormat="0" applyFill="0" applyBorder="0" applyAlignment="0" applyProtection="0"/>
    <xf numFmtId="0" fontId="209" fillId="0" borderId="0"/>
    <xf numFmtId="0" fontId="229" fillId="0" borderId="40" applyNumberFormat="0" applyFill="0" applyAlignment="0" applyProtection="0"/>
    <xf numFmtId="0" fontId="211" fillId="29" borderId="0" applyNumberFormat="0" applyBorder="0" applyAlignment="0" applyProtection="0"/>
    <xf numFmtId="0" fontId="208" fillId="0" borderId="0"/>
    <xf numFmtId="0" fontId="2" fillId="0" borderId="0"/>
    <xf numFmtId="0" fontId="212" fillId="37" borderId="0" applyNumberFormat="0" applyBorder="0" applyAlignment="0" applyProtection="0"/>
    <xf numFmtId="0" fontId="211" fillId="0" borderId="0"/>
    <xf numFmtId="0" fontId="212" fillId="43" borderId="0" applyNumberFormat="0" applyBorder="0" applyAlignment="0" applyProtection="0"/>
    <xf numFmtId="0" fontId="211" fillId="27" borderId="0" applyNumberFormat="0" applyBorder="0" applyAlignment="0" applyProtection="0"/>
    <xf numFmtId="0" fontId="221" fillId="0" borderId="5" applyNumberFormat="0" applyFill="0" applyAlignment="0" applyProtection="0"/>
    <xf numFmtId="0" fontId="222" fillId="31" borderId="37" applyNumberFormat="0" applyAlignment="0" applyProtection="0"/>
    <xf numFmtId="0" fontId="2" fillId="0" borderId="0"/>
    <xf numFmtId="0" fontId="2" fillId="0" borderId="0"/>
    <xf numFmtId="0" fontId="211" fillId="34" borderId="0" applyNumberFormat="0" applyBorder="0" applyAlignment="0" applyProtection="0"/>
    <xf numFmtId="0" fontId="212" fillId="37" borderId="0" applyNumberFormat="0" applyBorder="0" applyAlignment="0" applyProtection="0"/>
    <xf numFmtId="0" fontId="208" fillId="0" borderId="0"/>
    <xf numFmtId="0" fontId="212" fillId="38" borderId="0" applyNumberFormat="0" applyBorder="0" applyAlignment="0" applyProtection="0"/>
    <xf numFmtId="0" fontId="223" fillId="0" borderId="6" applyNumberFormat="0" applyFill="0" applyAlignment="0" applyProtection="0"/>
    <xf numFmtId="0" fontId="209" fillId="0" borderId="0"/>
    <xf numFmtId="0" fontId="219" fillId="0" borderId="3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21" fillId="0" borderId="0" applyNumberFormat="0" applyFill="0" applyBorder="0" applyAlignment="0" applyProtection="0"/>
    <xf numFmtId="0" fontId="2" fillId="0" borderId="0"/>
    <xf numFmtId="0" fontId="220" fillId="0" borderId="4" applyNumberFormat="0" applyFill="0" applyAlignment="0" applyProtection="0"/>
    <xf numFmtId="0" fontId="227" fillId="44" borderId="39" applyNumberFormat="0" applyAlignment="0" applyProtection="0"/>
    <xf numFmtId="0" fontId="212" fillId="41" borderId="0" applyNumberFormat="0" applyBorder="0" applyAlignment="0" applyProtection="0"/>
    <xf numFmtId="0" fontId="211" fillId="29" borderId="0" applyNumberFormat="0" applyBorder="0" applyAlignment="0" applyProtection="0"/>
    <xf numFmtId="0" fontId="222" fillId="31" borderId="37" applyNumberFormat="0" applyAlignment="0" applyProtection="0"/>
    <xf numFmtId="0" fontId="220" fillId="0" borderId="4" applyNumberFormat="0" applyFill="0" applyAlignment="0" applyProtection="0"/>
    <xf numFmtId="0" fontId="227" fillId="44" borderId="39" applyNumberFormat="0" applyAlignment="0" applyProtection="0"/>
    <xf numFmtId="0" fontId="208" fillId="0" borderId="0"/>
    <xf numFmtId="0" fontId="212" fillId="38" borderId="0" applyNumberFormat="0" applyBorder="0" applyAlignment="0" applyProtection="0"/>
    <xf numFmtId="0" fontId="209" fillId="0" borderId="0"/>
    <xf numFmtId="0" fontId="216" fillId="0" borderId="0"/>
    <xf numFmtId="0" fontId="211" fillId="33" borderId="0" applyNumberFormat="0" applyBorder="0" applyAlignment="0" applyProtection="0"/>
    <xf numFmtId="0" fontId="211" fillId="31" borderId="0" applyNumberFormat="0" applyBorder="0" applyAlignment="0" applyProtection="0"/>
    <xf numFmtId="0" fontId="212" fillId="38" borderId="0" applyNumberFormat="0" applyBorder="0" applyAlignment="0" applyProtection="0"/>
    <xf numFmtId="0" fontId="211" fillId="29" borderId="0" applyNumberFormat="0" applyBorder="0" applyAlignment="0" applyProtection="0"/>
    <xf numFmtId="0" fontId="209" fillId="0" borderId="0"/>
    <xf numFmtId="0" fontId="227" fillId="44" borderId="39" applyNumberFormat="0" applyAlignment="0" applyProtection="0"/>
    <xf numFmtId="0" fontId="211" fillId="35" borderId="0" applyNumberFormat="0" applyBorder="0" applyAlignment="0" applyProtection="0"/>
    <xf numFmtId="0" fontId="221" fillId="0" borderId="5" applyNumberFormat="0" applyFill="0" applyAlignment="0" applyProtection="0"/>
    <xf numFmtId="0" fontId="210" fillId="0" borderId="0" applyNumberFormat="0" applyFill="0" applyBorder="0" applyAlignment="0" applyProtection="0"/>
    <xf numFmtId="0" fontId="211" fillId="0" borderId="0"/>
    <xf numFmtId="0" fontId="212" fillId="33" borderId="0" applyNumberFormat="0" applyBorder="0" applyAlignment="0" applyProtection="0"/>
    <xf numFmtId="0" fontId="214" fillId="44" borderId="37" applyNumberFormat="0" applyAlignment="0" applyProtection="0"/>
    <xf numFmtId="0" fontId="211" fillId="30" borderId="0" applyNumberFormat="0" applyBorder="0" applyAlignment="0" applyProtection="0"/>
    <xf numFmtId="0" fontId="209" fillId="0" borderId="0"/>
    <xf numFmtId="0" fontId="209" fillId="0" borderId="0"/>
    <xf numFmtId="0" fontId="208" fillId="47" borderId="7" applyNumberFormat="0" applyFont="0" applyAlignment="0" applyProtection="0"/>
    <xf numFmtId="0" fontId="208" fillId="0" borderId="0"/>
    <xf numFmtId="0" fontId="211" fillId="30" borderId="0" applyNumberFormat="0" applyBorder="0" applyAlignment="0" applyProtection="0"/>
    <xf numFmtId="0" fontId="2" fillId="0" borderId="0"/>
    <xf numFmtId="0" fontId="212" fillId="38" borderId="0" applyNumberFormat="0" applyBorder="0" applyAlignment="0" applyProtection="0"/>
    <xf numFmtId="0" fontId="222" fillId="31" borderId="37" applyNumberFormat="0" applyAlignment="0" applyProtection="0"/>
    <xf numFmtId="0" fontId="214" fillId="44" borderId="37" applyNumberFormat="0" applyAlignment="0" applyProtection="0"/>
    <xf numFmtId="0" fontId="209" fillId="0" borderId="0"/>
    <xf numFmtId="0" fontId="209" fillId="0" borderId="0"/>
    <xf numFmtId="0" fontId="208" fillId="47" borderId="7" applyNumberFormat="0" applyFont="0" applyAlignment="0" applyProtection="0"/>
    <xf numFmtId="0" fontId="212" fillId="41" borderId="0" applyNumberFormat="0" applyBorder="0" applyAlignment="0" applyProtection="0"/>
    <xf numFmtId="0" fontId="208" fillId="47" borderId="7" applyNumberFormat="0" applyFont="0" applyAlignment="0" applyProtection="0"/>
    <xf numFmtId="0" fontId="211" fillId="26" borderId="0" applyNumberFormat="0" applyBorder="0" applyAlignment="0" applyProtection="0"/>
    <xf numFmtId="0" fontId="209" fillId="0" borderId="0"/>
    <xf numFmtId="0" fontId="229" fillId="0" borderId="40" applyNumberFormat="0" applyFill="0" applyAlignment="0" applyProtection="0"/>
    <xf numFmtId="0" fontId="211" fillId="26" borderId="0" applyNumberFormat="0" applyBorder="0" applyAlignment="0" applyProtection="0"/>
    <xf numFmtId="0" fontId="211" fillId="29" borderId="0" applyNumberFormat="0" applyBorder="0" applyAlignment="0" applyProtection="0"/>
    <xf numFmtId="0" fontId="208" fillId="0" borderId="0"/>
    <xf numFmtId="0" fontId="212" fillId="37" borderId="0" applyNumberFormat="0" applyBorder="0" applyAlignment="0" applyProtection="0"/>
    <xf numFmtId="0" fontId="214" fillId="44" borderId="37" applyNumberFormat="0" applyAlignment="0" applyProtection="0"/>
    <xf numFmtId="0" fontId="2" fillId="0" borderId="0"/>
    <xf numFmtId="0" fontId="221" fillId="0" borderId="5" applyNumberFormat="0" applyFill="0" applyAlignment="0" applyProtection="0"/>
    <xf numFmtId="0" fontId="208" fillId="47" borderId="7" applyNumberFormat="0" applyFont="0" applyAlignment="0" applyProtection="0"/>
    <xf numFmtId="0" fontId="2" fillId="0" borderId="0"/>
    <xf numFmtId="0" fontId="2" fillId="0" borderId="0"/>
    <xf numFmtId="0" fontId="229" fillId="0" borderId="40" applyNumberFormat="0" applyFill="0" applyAlignment="0" applyProtection="0"/>
    <xf numFmtId="0" fontId="212" fillId="37" borderId="0" applyNumberFormat="0" applyBorder="0" applyAlignment="0" applyProtection="0"/>
    <xf numFmtId="166" fontId="216" fillId="0" borderId="0" applyFont="0" applyFill="0" applyBorder="0" applyAlignment="0" applyProtection="0"/>
    <xf numFmtId="0" fontId="209" fillId="0" borderId="0"/>
    <xf numFmtId="0" fontId="208" fillId="0" borderId="0"/>
    <xf numFmtId="0" fontId="227" fillId="44" borderId="39" applyNumberFormat="0" applyAlignment="0" applyProtection="0"/>
    <xf numFmtId="0" fontId="230" fillId="0" borderId="0" applyNumberFormat="0" applyFill="0" applyBorder="0" applyAlignment="0" applyProtection="0"/>
    <xf numFmtId="0" fontId="211" fillId="31" borderId="0" applyNumberFormat="0" applyBorder="0" applyAlignment="0" applyProtection="0"/>
    <xf numFmtId="0" fontId="211" fillId="33" borderId="0" applyNumberFormat="0" applyBorder="0" applyAlignment="0" applyProtection="0"/>
    <xf numFmtId="0" fontId="211" fillId="0" borderId="0">
      <protection locked="0"/>
    </xf>
    <xf numFmtId="0" fontId="2" fillId="0" borderId="0"/>
    <xf numFmtId="0" fontId="2" fillId="0" borderId="0"/>
    <xf numFmtId="0" fontId="23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1" fontId="211" fillId="0" borderId="0" applyFont="0" applyFill="0" applyBorder="0" applyAlignment="0" applyProtection="0"/>
    <xf numFmtId="0" fontId="2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1" fillId="31" borderId="0" applyNumberFormat="0" applyBorder="0" applyAlignment="0" applyProtection="0"/>
    <xf numFmtId="0" fontId="220" fillId="0" borderId="4" applyNumberFormat="0" applyFill="0" applyAlignment="0" applyProtection="0"/>
    <xf numFmtId="0" fontId="2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1" fillId="27" borderId="0" applyNumberFormat="0" applyBorder="0" applyAlignment="0" applyProtection="0"/>
    <xf numFmtId="0" fontId="212" fillId="34" borderId="0" applyNumberFormat="0" applyBorder="0" applyAlignment="0" applyProtection="0"/>
    <xf numFmtId="0" fontId="208" fillId="0" borderId="0"/>
    <xf numFmtId="0" fontId="209" fillId="0" borderId="0"/>
    <xf numFmtId="0" fontId="212" fillId="39" borderId="0" applyNumberFormat="0" applyBorder="0" applyAlignment="0" applyProtection="0"/>
    <xf numFmtId="0" fontId="208" fillId="0" borderId="0"/>
    <xf numFmtId="0" fontId="211" fillId="31" borderId="0" applyNumberFormat="0" applyBorder="0" applyAlignment="0" applyProtection="0"/>
    <xf numFmtId="0" fontId="209" fillId="0" borderId="0"/>
    <xf numFmtId="0" fontId="228" fillId="0" borderId="0" applyNumberFormat="0" applyFill="0" applyBorder="0" applyAlignment="0" applyProtection="0"/>
    <xf numFmtId="0" fontId="222" fillId="31" borderId="37" applyNumberFormat="0" applyAlignment="0" applyProtection="0"/>
    <xf numFmtId="0" fontId="213" fillId="27" borderId="0" applyNumberFormat="0" applyBorder="0" applyAlignment="0" applyProtection="0"/>
    <xf numFmtId="0" fontId="209" fillId="0" borderId="0"/>
    <xf numFmtId="0" fontId="208" fillId="0" borderId="0"/>
    <xf numFmtId="0" fontId="212" fillId="40" borderId="0" applyNumberFormat="0" applyBorder="0" applyAlignment="0" applyProtection="0"/>
    <xf numFmtId="0" fontId="219" fillId="0" borderId="3" applyNumberFormat="0" applyFill="0" applyAlignment="0" applyProtection="0"/>
    <xf numFmtId="0" fontId="215" fillId="45" borderId="2" applyNumberFormat="0" applyAlignment="0" applyProtection="0"/>
    <xf numFmtId="0" fontId="211" fillId="33" borderId="0" applyNumberFormat="0" applyBorder="0" applyAlignment="0" applyProtection="0"/>
    <xf numFmtId="0" fontId="209" fillId="0" borderId="0"/>
    <xf numFmtId="0" fontId="209" fillId="0" borderId="0"/>
    <xf numFmtId="0" fontId="211" fillId="29" borderId="0" applyNumberFormat="0" applyBorder="0" applyAlignment="0" applyProtection="0"/>
    <xf numFmtId="0" fontId="209" fillId="0" borderId="0"/>
    <xf numFmtId="0" fontId="211" fillId="32" borderId="0" applyNumberFormat="0" applyBorder="0" applyAlignment="0" applyProtection="0"/>
    <xf numFmtId="0" fontId="212" fillId="43" borderId="0" applyNumberFormat="0" applyBorder="0" applyAlignment="0" applyProtection="0"/>
    <xf numFmtId="0" fontId="218" fillId="28" borderId="0" applyNumberFormat="0" applyBorder="0" applyAlignment="0" applyProtection="0"/>
    <xf numFmtId="0" fontId="222" fillId="31" borderId="37" applyNumberFormat="0" applyAlignment="0" applyProtection="0"/>
    <xf numFmtId="0" fontId="208" fillId="0" borderId="0"/>
    <xf numFmtId="0" fontId="209" fillId="0" borderId="0"/>
    <xf numFmtId="0" fontId="229" fillId="0" borderId="40" applyNumberFormat="0" applyFill="0" applyAlignment="0" applyProtection="0"/>
    <xf numFmtId="0" fontId="227" fillId="44" borderId="39" applyNumberFormat="0" applyAlignment="0" applyProtection="0"/>
    <xf numFmtId="0" fontId="212" fillId="40" borderId="0" applyNumberFormat="0" applyBorder="0" applyAlignment="0" applyProtection="0"/>
    <xf numFmtId="0" fontId="211" fillId="27" borderId="0" applyNumberFormat="0" applyBorder="0" applyAlignment="0" applyProtection="0"/>
    <xf numFmtId="0" fontId="212" fillId="39" borderId="0" applyNumberFormat="0" applyBorder="0" applyAlignment="0" applyProtection="0"/>
    <xf numFmtId="0" fontId="215" fillId="45" borderId="2" applyNumberFormat="0" applyAlignment="0" applyProtection="0"/>
    <xf numFmtId="0" fontId="222" fillId="31" borderId="37" applyNumberFormat="0" applyAlignment="0" applyProtection="0"/>
    <xf numFmtId="0" fontId="209" fillId="0" borderId="0"/>
    <xf numFmtId="0" fontId="208" fillId="0" borderId="0"/>
    <xf numFmtId="0" fontId="208" fillId="0" borderId="0"/>
    <xf numFmtId="0" fontId="212" fillId="41" borderId="0" applyNumberFormat="0" applyBorder="0" applyAlignment="0" applyProtection="0"/>
    <xf numFmtId="0" fontId="211" fillId="29" borderId="0" applyNumberFormat="0" applyBorder="0" applyAlignment="0" applyProtection="0"/>
    <xf numFmtId="0" fontId="208" fillId="0" borderId="0">
      <protection locked="0"/>
    </xf>
    <xf numFmtId="0" fontId="212" fillId="42" borderId="0" applyNumberFormat="0" applyBorder="0" applyAlignment="0" applyProtection="0"/>
    <xf numFmtId="0" fontId="213" fillId="27" borderId="0" applyNumberFormat="0" applyBorder="0" applyAlignment="0" applyProtection="0"/>
    <xf numFmtId="0" fontId="2" fillId="0" borderId="0"/>
    <xf numFmtId="0" fontId="220" fillId="0" borderId="4" applyNumberFormat="0" applyFill="0" applyAlignment="0" applyProtection="0"/>
    <xf numFmtId="0" fontId="209" fillId="0" borderId="0"/>
    <xf numFmtId="0" fontId="2" fillId="0" borderId="0"/>
    <xf numFmtId="0" fontId="209" fillId="0" borderId="0"/>
    <xf numFmtId="0" fontId="2" fillId="0" borderId="0"/>
    <xf numFmtId="0" fontId="229" fillId="0" borderId="40" applyNumberFormat="0" applyFill="0" applyAlignment="0" applyProtection="0"/>
    <xf numFmtId="0" fontId="212" fillId="33" borderId="0" applyNumberFormat="0" applyBorder="0" applyAlignment="0" applyProtection="0"/>
    <xf numFmtId="0" fontId="211" fillId="34" borderId="0" applyNumberFormat="0" applyBorder="0" applyAlignment="0" applyProtection="0"/>
    <xf numFmtId="0" fontId="222" fillId="31" borderId="37" applyNumberFormat="0" applyAlignment="0" applyProtection="0"/>
    <xf numFmtId="0" fontId="209" fillId="0" borderId="0"/>
    <xf numFmtId="0" fontId="229" fillId="0" borderId="40" applyNumberFormat="0" applyFill="0" applyAlignment="0" applyProtection="0"/>
    <xf numFmtId="0" fontId="208" fillId="47" borderId="7" applyNumberFormat="0" applyFont="0" applyAlignment="0" applyProtection="0"/>
    <xf numFmtId="0" fontId="225" fillId="0" borderId="0">
      <alignment vertical="center"/>
    </xf>
    <xf numFmtId="0" fontId="2" fillId="0" borderId="0"/>
    <xf numFmtId="0" fontId="209" fillId="0" borderId="0"/>
    <xf numFmtId="0" fontId="228" fillId="0" borderId="0" applyNumberFormat="0" applyFill="0" applyBorder="0" applyAlignment="0" applyProtection="0"/>
    <xf numFmtId="0" fontId="212" fillId="37" borderId="0" applyNumberFormat="0" applyBorder="0" applyAlignment="0" applyProtection="0"/>
    <xf numFmtId="0" fontId="211" fillId="30" borderId="0" applyNumberFormat="0" applyBorder="0" applyAlignment="0" applyProtection="0"/>
    <xf numFmtId="0" fontId="208" fillId="0" borderId="0"/>
    <xf numFmtId="0" fontId="222" fillId="31" borderId="37" applyNumberFormat="0" applyAlignment="0" applyProtection="0"/>
    <xf numFmtId="0" fontId="2" fillId="0" borderId="0"/>
    <xf numFmtId="0" fontId="2" fillId="0" borderId="0"/>
    <xf numFmtId="0" fontId="211" fillId="32" borderId="0" applyNumberFormat="0" applyBorder="0" applyAlignment="0" applyProtection="0"/>
    <xf numFmtId="0" fontId="214" fillId="44" borderId="37" applyNumberFormat="0" applyAlignment="0" applyProtection="0"/>
    <xf numFmtId="0" fontId="208" fillId="0" borderId="0"/>
    <xf numFmtId="0" fontId="212" fillId="37" borderId="0" applyNumberFormat="0" applyBorder="0" applyAlignment="0" applyProtection="0"/>
    <xf numFmtId="0" fontId="224" fillId="46" borderId="0" applyNumberFormat="0" applyBorder="0" applyAlignment="0" applyProtection="0"/>
    <xf numFmtId="0" fontId="208" fillId="47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09" fillId="0" borderId="0"/>
    <xf numFmtId="0" fontId="2" fillId="0" borderId="0"/>
    <xf numFmtId="0" fontId="207" fillId="0" borderId="0"/>
    <xf numFmtId="0" fontId="229" fillId="0" borderId="40" applyNumberFormat="0" applyFill="0" applyAlignment="0" applyProtection="0"/>
    <xf numFmtId="0" fontId="212" fillId="39" borderId="0" applyNumberFormat="0" applyBorder="0" applyAlignment="0" applyProtection="0"/>
    <xf numFmtId="0" fontId="208" fillId="47" borderId="7" applyNumberFormat="0" applyFont="0" applyAlignment="0" applyProtection="0"/>
    <xf numFmtId="0" fontId="223" fillId="0" borderId="6" applyNumberFormat="0" applyFill="0" applyAlignment="0" applyProtection="0"/>
    <xf numFmtId="0" fontId="211" fillId="0" borderId="0"/>
    <xf numFmtId="0" fontId="229" fillId="0" borderId="40" applyNumberFormat="0" applyFill="0" applyAlignment="0" applyProtection="0"/>
    <xf numFmtId="0" fontId="209" fillId="0" borderId="0"/>
    <xf numFmtId="0" fontId="211" fillId="30" borderId="0" applyNumberFormat="0" applyBorder="0" applyAlignment="0" applyProtection="0"/>
    <xf numFmtId="0" fontId="209" fillId="0" borderId="0"/>
    <xf numFmtId="0" fontId="212" fillId="43" borderId="0" applyNumberFormat="0" applyBorder="0" applyAlignment="0" applyProtection="0"/>
    <xf numFmtId="0" fontId="211" fillId="33" borderId="0" applyNumberFormat="0" applyBorder="0" applyAlignment="0" applyProtection="0"/>
    <xf numFmtId="0" fontId="217" fillId="0" borderId="0" applyNumberFormat="0" applyFill="0" applyBorder="0" applyAlignment="0" applyProtection="0"/>
    <xf numFmtId="0" fontId="211" fillId="35" borderId="0" applyNumberFormat="0" applyBorder="0" applyAlignment="0" applyProtection="0"/>
    <xf numFmtId="0" fontId="208" fillId="0" borderId="0"/>
    <xf numFmtId="0" fontId="208" fillId="0" borderId="0"/>
    <xf numFmtId="0" fontId="213" fillId="27" borderId="0" applyNumberFormat="0" applyBorder="0" applyAlignment="0" applyProtection="0"/>
    <xf numFmtId="166" fontId="211" fillId="0" borderId="0" applyFont="0" applyFill="0" applyBorder="0" applyAlignment="0" applyProtection="0"/>
    <xf numFmtId="0" fontId="211" fillId="26" borderId="0" applyNumberFormat="0" applyBorder="0" applyAlignment="0" applyProtection="0"/>
    <xf numFmtId="0" fontId="212" fillId="34" borderId="0" applyNumberFormat="0" applyBorder="0" applyAlignment="0" applyProtection="0"/>
    <xf numFmtId="0" fontId="215" fillId="45" borderId="2" applyNumberFormat="0" applyAlignment="0" applyProtection="0"/>
    <xf numFmtId="0" fontId="211" fillId="32" borderId="0" applyNumberFormat="0" applyBorder="0" applyAlignment="0" applyProtection="0"/>
    <xf numFmtId="0" fontId="208" fillId="0" borderId="0"/>
    <xf numFmtId="0" fontId="219" fillId="0" borderId="3" applyNumberFormat="0" applyFill="0" applyAlignment="0" applyProtection="0"/>
    <xf numFmtId="0" fontId="209" fillId="0" borderId="0"/>
    <xf numFmtId="0" fontId="228" fillId="0" borderId="0" applyNumberFormat="0" applyFill="0" applyBorder="0" applyAlignment="0" applyProtection="0"/>
    <xf numFmtId="0" fontId="211" fillId="32" borderId="0" applyNumberFormat="0" applyBorder="0" applyAlignment="0" applyProtection="0"/>
    <xf numFmtId="0" fontId="2" fillId="0" borderId="0"/>
    <xf numFmtId="0" fontId="217" fillId="0" borderId="0" applyNumberFormat="0" applyFill="0" applyBorder="0" applyAlignment="0" applyProtection="0"/>
    <xf numFmtId="0" fontId="223" fillId="0" borderId="6" applyNumberFormat="0" applyFill="0" applyAlignment="0" applyProtection="0"/>
    <xf numFmtId="0" fontId="208" fillId="0" borderId="0"/>
    <xf numFmtId="0" fontId="212" fillId="39" borderId="0" applyNumberFormat="0" applyBorder="0" applyAlignment="0" applyProtection="0"/>
    <xf numFmtId="0" fontId="230" fillId="0" borderId="0" applyNumberFormat="0" applyFill="0" applyBorder="0" applyAlignment="0" applyProtection="0"/>
    <xf numFmtId="0" fontId="211" fillId="28" borderId="0" applyNumberFormat="0" applyBorder="0" applyAlignment="0" applyProtection="0"/>
    <xf numFmtId="0" fontId="209" fillId="0" borderId="0"/>
    <xf numFmtId="0" fontId="211" fillId="34" borderId="0" applyNumberFormat="0" applyBorder="0" applyAlignment="0" applyProtection="0"/>
    <xf numFmtId="0" fontId="211" fillId="28" borderId="0" applyNumberFormat="0" applyBorder="0" applyAlignment="0" applyProtection="0"/>
    <xf numFmtId="0" fontId="211" fillId="32" borderId="0" applyNumberFormat="0" applyBorder="0" applyAlignment="0" applyProtection="0"/>
    <xf numFmtId="0" fontId="226" fillId="0" borderId="0">
      <protection locked="0"/>
    </xf>
    <xf numFmtId="0" fontId="212" fillId="37" borderId="0" applyNumberFormat="0" applyBorder="0" applyAlignment="0" applyProtection="0"/>
    <xf numFmtId="0" fontId="214" fillId="44" borderId="37" applyNumberFormat="0" applyAlignment="0" applyProtection="0"/>
    <xf numFmtId="0" fontId="2" fillId="0" borderId="0"/>
    <xf numFmtId="0" fontId="221" fillId="0" borderId="0" applyNumberFormat="0" applyFill="0" applyBorder="0" applyAlignment="0" applyProtection="0"/>
    <xf numFmtId="0" fontId="208" fillId="47" borderId="7" applyNumberFormat="0" applyFont="0" applyAlignment="0" applyProtection="0"/>
    <xf numFmtId="0" fontId="2" fillId="0" borderId="0"/>
    <xf numFmtId="0" fontId="2" fillId="0" borderId="0"/>
    <xf numFmtId="0" fontId="230" fillId="0" borderId="0" applyNumberFormat="0" applyFill="0" applyBorder="0" applyAlignment="0" applyProtection="0"/>
    <xf numFmtId="0" fontId="214" fillId="44" borderId="37" applyNumberFormat="0" applyAlignment="0" applyProtection="0"/>
    <xf numFmtId="166" fontId="211" fillId="0" borderId="0" applyFont="0" applyFill="0" applyBorder="0" applyAlignment="0" applyProtection="0"/>
    <xf numFmtId="0" fontId="208" fillId="0" borderId="0">
      <protection locked="0"/>
    </xf>
    <xf numFmtId="0" fontId="209" fillId="0" borderId="0"/>
    <xf numFmtId="0" fontId="227" fillId="44" borderId="39" applyNumberFormat="0" applyAlignment="0" applyProtection="0"/>
    <xf numFmtId="41" fontId="211" fillId="0" borderId="0" applyFont="0" applyFill="0" applyBorder="0" applyAlignment="0" applyProtection="0"/>
    <xf numFmtId="0" fontId="211" fillId="35" borderId="0" applyNumberFormat="0" applyBorder="0" applyAlignment="0" applyProtection="0"/>
    <xf numFmtId="0" fontId="211" fillId="32" borderId="0" applyNumberFormat="0" applyBorder="0" applyAlignment="0" applyProtection="0"/>
    <xf numFmtId="0" fontId="211" fillId="30" borderId="0" applyNumberFormat="0" applyBorder="0" applyAlignment="0" applyProtection="0"/>
    <xf numFmtId="0" fontId="211" fillId="27" borderId="0" applyNumberFormat="0" applyBorder="0" applyAlignment="0" applyProtection="0"/>
    <xf numFmtId="0" fontId="212" fillId="37" borderId="0" applyNumberFormat="0" applyBorder="0" applyAlignment="0" applyProtection="0"/>
    <xf numFmtId="0" fontId="212" fillId="37" borderId="0" applyNumberFormat="0" applyBorder="0" applyAlignment="0" applyProtection="0"/>
    <xf numFmtId="0" fontId="212" fillId="43" borderId="0" applyNumberFormat="0" applyBorder="0" applyAlignment="0" applyProtection="0"/>
    <xf numFmtId="0" fontId="212" fillId="40" borderId="0" applyNumberFormat="0" applyBorder="0" applyAlignment="0" applyProtection="0"/>
    <xf numFmtId="0" fontId="209" fillId="0" borderId="0"/>
    <xf numFmtId="41" fontId="216" fillId="0" borderId="0" applyFont="0" applyFill="0" applyBorder="0" applyAlignment="0" applyProtection="0"/>
    <xf numFmtId="0" fontId="208" fillId="0" borderId="0"/>
    <xf numFmtId="0" fontId="221" fillId="0" borderId="5" applyNumberFormat="0" applyFill="0" applyAlignment="0" applyProtection="0"/>
    <xf numFmtId="0" fontId="228" fillId="0" borderId="0" applyNumberFormat="0" applyFill="0" applyBorder="0" applyAlignment="0" applyProtection="0"/>
    <xf numFmtId="0" fontId="208" fillId="0" borderId="0"/>
    <xf numFmtId="0" fontId="227" fillId="44" borderId="39" applyNumberFormat="0" applyAlignment="0" applyProtection="0"/>
    <xf numFmtId="0" fontId="211" fillId="0" borderId="0"/>
    <xf numFmtId="0" fontId="212" fillId="42" borderId="0" applyNumberFormat="0" applyBorder="0" applyAlignment="0" applyProtection="0"/>
    <xf numFmtId="0" fontId="230" fillId="0" borderId="0" applyNumberFormat="0" applyFill="0" applyBorder="0" applyAlignment="0" applyProtection="0"/>
    <xf numFmtId="0" fontId="208" fillId="47" borderId="7" applyNumberFormat="0" applyFont="0" applyAlignment="0" applyProtection="0"/>
    <xf numFmtId="0" fontId="229" fillId="0" borderId="40" applyNumberFormat="0" applyFill="0" applyAlignment="0" applyProtection="0"/>
    <xf numFmtId="0" fontId="229" fillId="0" borderId="40" applyNumberFormat="0" applyFill="0" applyAlignment="0" applyProtection="0"/>
    <xf numFmtId="0" fontId="227" fillId="44" borderId="39" applyNumberFormat="0" applyAlignment="0" applyProtection="0"/>
    <xf numFmtId="0" fontId="209" fillId="0" borderId="0"/>
    <xf numFmtId="0" fontId="208" fillId="47" borderId="7" applyNumberFormat="0" applyFont="0" applyAlignment="0" applyProtection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8" fillId="0" borderId="0"/>
    <xf numFmtId="0" fontId="209" fillId="0" borderId="0"/>
    <xf numFmtId="0" fontId="211" fillId="0" borderId="0"/>
    <xf numFmtId="0" fontId="207" fillId="0" borderId="0"/>
    <xf numFmtId="0" fontId="208" fillId="0" borderId="0"/>
    <xf numFmtId="0" fontId="209" fillId="0" borderId="0"/>
    <xf numFmtId="0" fontId="208" fillId="0" borderId="0"/>
    <xf numFmtId="0" fontId="212" fillId="37" borderId="0" applyNumberFormat="0" applyBorder="0" applyAlignment="0" applyProtection="0"/>
    <xf numFmtId="0" fontId="222" fillId="31" borderId="37" applyNumberFormat="0" applyAlignment="0" applyProtection="0"/>
    <xf numFmtId="0" fontId="222" fillId="31" borderId="37" applyNumberFormat="0" applyAlignment="0" applyProtection="0"/>
    <xf numFmtId="0" fontId="222" fillId="31" borderId="37" applyNumberFormat="0" applyAlignment="0" applyProtection="0"/>
    <xf numFmtId="0" fontId="223" fillId="0" borderId="6" applyNumberFormat="0" applyFill="0" applyAlignment="0" applyProtection="0"/>
    <xf numFmtId="0" fontId="209" fillId="0" borderId="0"/>
    <xf numFmtId="0" fontId="209" fillId="0" borderId="0"/>
    <xf numFmtId="0" fontId="221" fillId="0" borderId="0" applyNumberFormat="0" applyFill="0" applyBorder="0" applyAlignment="0" applyProtection="0"/>
    <xf numFmtId="0" fontId="218" fillId="28" borderId="0" applyNumberFormat="0" applyBorder="0" applyAlignment="0" applyProtection="0"/>
    <xf numFmtId="0" fontId="217" fillId="0" borderId="0" applyNumberFormat="0" applyFill="0" applyBorder="0" applyAlignment="0" applyProtection="0"/>
    <xf numFmtId="43" fontId="208" fillId="0" borderId="0" applyFont="0" applyFill="0" applyBorder="0" applyAlignment="0" applyProtection="0"/>
    <xf numFmtId="0" fontId="212" fillId="37" borderId="0" applyNumberFormat="0" applyBorder="0" applyAlignment="0" applyProtection="0"/>
    <xf numFmtId="0" fontId="215" fillId="45" borderId="2" applyNumberFormat="0" applyAlignment="0" applyProtection="0"/>
    <xf numFmtId="0" fontId="214" fillId="44" borderId="37" applyNumberFormat="0" applyAlignment="0" applyProtection="0"/>
    <xf numFmtId="0" fontId="212" fillId="38" borderId="0" applyNumberFormat="0" applyBorder="0" applyAlignment="0" applyProtection="0"/>
    <xf numFmtId="0" fontId="214" fillId="44" borderId="37" applyNumberFormat="0" applyAlignment="0" applyProtection="0"/>
    <xf numFmtId="0" fontId="212" fillId="38" borderId="0" applyNumberFormat="0" applyBorder="0" applyAlignment="0" applyProtection="0"/>
    <xf numFmtId="0" fontId="212" fillId="40" borderId="0" applyNumberFormat="0" applyBorder="0" applyAlignment="0" applyProtection="0"/>
    <xf numFmtId="0" fontId="212" fillId="34" borderId="0" applyNumberFormat="0" applyBorder="0" applyAlignment="0" applyProtection="0"/>
    <xf numFmtId="0" fontId="212" fillId="33" borderId="0" applyNumberFormat="0" applyBorder="0" applyAlignment="0" applyProtection="0"/>
    <xf numFmtId="0" fontId="211" fillId="29" borderId="0" applyNumberFormat="0" applyBorder="0" applyAlignment="0" applyProtection="0"/>
    <xf numFmtId="0" fontId="211" fillId="32" borderId="0" applyNumberFormat="0" applyBorder="0" applyAlignment="0" applyProtection="0"/>
    <xf numFmtId="0" fontId="211" fillId="29" borderId="0" applyNumberFormat="0" applyBorder="0" applyAlignment="0" applyProtection="0"/>
    <xf numFmtId="0" fontId="211" fillId="28" borderId="0" applyNumberFormat="0" applyBorder="0" applyAlignment="0" applyProtection="0"/>
    <xf numFmtId="0" fontId="211" fillId="26" borderId="0" applyNumberFormat="0" applyBorder="0" applyAlignment="0" applyProtection="0"/>
    <xf numFmtId="0" fontId="207" fillId="0" borderId="0"/>
    <xf numFmtId="41" fontId="208" fillId="0" borderId="0" applyFont="0" applyFill="0" applyBorder="0" applyAlignment="0" applyProtection="0"/>
    <xf numFmtId="0" fontId="234" fillId="0" borderId="0"/>
    <xf numFmtId="0" fontId="238" fillId="0" borderId="0" applyNumberFormat="0" applyFill="0" applyBorder="0" applyAlignment="0" applyProtection="0"/>
    <xf numFmtId="0" fontId="239" fillId="26" borderId="0" applyNumberFormat="0" applyBorder="0" applyAlignment="0" applyProtection="0"/>
    <xf numFmtId="0" fontId="239" fillId="26" borderId="0" applyNumberFormat="0" applyBorder="0" applyAlignment="0" applyProtection="0"/>
    <xf numFmtId="0" fontId="239" fillId="26" borderId="0" applyNumberFormat="0" applyBorder="0" applyAlignment="0" applyProtection="0"/>
    <xf numFmtId="0" fontId="239" fillId="26" borderId="0" applyNumberFormat="0" applyBorder="0" applyAlignment="0" applyProtection="0"/>
    <xf numFmtId="0" fontId="239" fillId="26" borderId="0" applyNumberFormat="0" applyBorder="0" applyAlignment="0" applyProtection="0"/>
    <xf numFmtId="0" fontId="239" fillId="26" borderId="0" applyNumberFormat="0" applyBorder="0" applyAlignment="0" applyProtection="0"/>
    <xf numFmtId="0" fontId="239" fillId="27" borderId="0" applyNumberFormat="0" applyBorder="0" applyAlignment="0" applyProtection="0"/>
    <xf numFmtId="0" fontId="239" fillId="27" borderId="0" applyNumberFormat="0" applyBorder="0" applyAlignment="0" applyProtection="0"/>
    <xf numFmtId="0" fontId="239" fillId="27" borderId="0" applyNumberFormat="0" applyBorder="0" applyAlignment="0" applyProtection="0"/>
    <xf numFmtId="0" fontId="239" fillId="27" borderId="0" applyNumberFormat="0" applyBorder="0" applyAlignment="0" applyProtection="0"/>
    <xf numFmtId="0" fontId="239" fillId="27" borderId="0" applyNumberFormat="0" applyBorder="0" applyAlignment="0" applyProtection="0"/>
    <xf numFmtId="0" fontId="239" fillId="27" borderId="0" applyNumberFormat="0" applyBorder="0" applyAlignment="0" applyProtection="0"/>
    <xf numFmtId="0" fontId="239" fillId="28" borderId="0" applyNumberFormat="0" applyBorder="0" applyAlignment="0" applyProtection="0"/>
    <xf numFmtId="0" fontId="239" fillId="28" borderId="0" applyNumberFormat="0" applyBorder="0" applyAlignment="0" applyProtection="0"/>
    <xf numFmtId="0" fontId="239" fillId="28" borderId="0" applyNumberFormat="0" applyBorder="0" applyAlignment="0" applyProtection="0"/>
    <xf numFmtId="0" fontId="239" fillId="28" borderId="0" applyNumberFormat="0" applyBorder="0" applyAlignment="0" applyProtection="0"/>
    <xf numFmtId="0" fontId="239" fillId="28" borderId="0" applyNumberFormat="0" applyBorder="0" applyAlignment="0" applyProtection="0"/>
    <xf numFmtId="0" fontId="239" fillId="28" borderId="0" applyNumberFormat="0" applyBorder="0" applyAlignment="0" applyProtection="0"/>
    <xf numFmtId="0" fontId="239" fillId="29" borderId="0" applyNumberFormat="0" applyBorder="0" applyAlignment="0" applyProtection="0"/>
    <xf numFmtId="0" fontId="239" fillId="29" borderId="0" applyNumberFormat="0" applyBorder="0" applyAlignment="0" applyProtection="0"/>
    <xf numFmtId="0" fontId="239" fillId="29" borderId="0" applyNumberFormat="0" applyBorder="0" applyAlignment="0" applyProtection="0"/>
    <xf numFmtId="0" fontId="239" fillId="29" borderId="0" applyNumberFormat="0" applyBorder="0" applyAlignment="0" applyProtection="0"/>
    <xf numFmtId="0" fontId="239" fillId="29" borderId="0" applyNumberFormat="0" applyBorder="0" applyAlignment="0" applyProtection="0"/>
    <xf numFmtId="0" fontId="239" fillId="29" borderId="0" applyNumberFormat="0" applyBorder="0" applyAlignment="0" applyProtection="0"/>
    <xf numFmtId="0" fontId="239" fillId="30" borderId="0" applyNumberFormat="0" applyBorder="0" applyAlignment="0" applyProtection="0"/>
    <xf numFmtId="0" fontId="239" fillId="30" borderId="0" applyNumberFormat="0" applyBorder="0" applyAlignment="0" applyProtection="0"/>
    <xf numFmtId="0" fontId="239" fillId="30" borderId="0" applyNumberFormat="0" applyBorder="0" applyAlignment="0" applyProtection="0"/>
    <xf numFmtId="0" fontId="239" fillId="30" borderId="0" applyNumberFormat="0" applyBorder="0" applyAlignment="0" applyProtection="0"/>
    <xf numFmtId="0" fontId="239" fillId="30" borderId="0" applyNumberFormat="0" applyBorder="0" applyAlignment="0" applyProtection="0"/>
    <xf numFmtId="0" fontId="239" fillId="30" borderId="0" applyNumberFormat="0" applyBorder="0" applyAlignment="0" applyProtection="0"/>
    <xf numFmtId="0" fontId="239" fillId="31" borderId="0" applyNumberFormat="0" applyBorder="0" applyAlignment="0" applyProtection="0"/>
    <xf numFmtId="0" fontId="239" fillId="31" borderId="0" applyNumberFormat="0" applyBorder="0" applyAlignment="0" applyProtection="0"/>
    <xf numFmtId="0" fontId="239" fillId="31" borderId="0" applyNumberFormat="0" applyBorder="0" applyAlignment="0" applyProtection="0"/>
    <xf numFmtId="0" fontId="239" fillId="31" borderId="0" applyNumberFormat="0" applyBorder="0" applyAlignment="0" applyProtection="0"/>
    <xf numFmtId="0" fontId="239" fillId="31" borderId="0" applyNumberFormat="0" applyBorder="0" applyAlignment="0" applyProtection="0"/>
    <xf numFmtId="0" fontId="239" fillId="31" borderId="0" applyNumberFormat="0" applyBorder="0" applyAlignment="0" applyProtection="0"/>
    <xf numFmtId="0" fontId="239" fillId="32" borderId="0" applyNumberFormat="0" applyBorder="0" applyAlignment="0" applyProtection="0"/>
    <xf numFmtId="0" fontId="239" fillId="32" borderId="0" applyNumberFormat="0" applyBorder="0" applyAlignment="0" applyProtection="0"/>
    <xf numFmtId="0" fontId="239" fillId="32" borderId="0" applyNumberFormat="0" applyBorder="0" applyAlignment="0" applyProtection="0"/>
    <xf numFmtId="0" fontId="239" fillId="32" borderId="0" applyNumberFormat="0" applyBorder="0" applyAlignment="0" applyProtection="0"/>
    <xf numFmtId="0" fontId="239" fillId="32" borderId="0" applyNumberFormat="0" applyBorder="0" applyAlignment="0" applyProtection="0"/>
    <xf numFmtId="0" fontId="239" fillId="32" borderId="0" applyNumberFormat="0" applyBorder="0" applyAlignment="0" applyProtection="0"/>
    <xf numFmtId="0" fontId="239" fillId="33" borderId="0" applyNumberFormat="0" applyBorder="0" applyAlignment="0" applyProtection="0"/>
    <xf numFmtId="0" fontId="239" fillId="33" borderId="0" applyNumberFormat="0" applyBorder="0" applyAlignment="0" applyProtection="0"/>
    <xf numFmtId="0" fontId="239" fillId="33" borderId="0" applyNumberFormat="0" applyBorder="0" applyAlignment="0" applyProtection="0"/>
    <xf numFmtId="0" fontId="239" fillId="33" borderId="0" applyNumberFormat="0" applyBorder="0" applyAlignment="0" applyProtection="0"/>
    <xf numFmtId="0" fontId="239" fillId="33" borderId="0" applyNumberFormat="0" applyBorder="0" applyAlignment="0" applyProtection="0"/>
    <xf numFmtId="0" fontId="239" fillId="33" borderId="0" applyNumberFormat="0" applyBorder="0" applyAlignment="0" applyProtection="0"/>
    <xf numFmtId="0" fontId="239" fillId="34" borderId="0" applyNumberFormat="0" applyBorder="0" applyAlignment="0" applyProtection="0"/>
    <xf numFmtId="0" fontId="239" fillId="34" borderId="0" applyNumberFormat="0" applyBorder="0" applyAlignment="0" applyProtection="0"/>
    <xf numFmtId="0" fontId="239" fillId="34" borderId="0" applyNumberFormat="0" applyBorder="0" applyAlignment="0" applyProtection="0"/>
    <xf numFmtId="0" fontId="239" fillId="34" borderId="0" applyNumberFormat="0" applyBorder="0" applyAlignment="0" applyProtection="0"/>
    <xf numFmtId="0" fontId="239" fillId="34" borderId="0" applyNumberFormat="0" applyBorder="0" applyAlignment="0" applyProtection="0"/>
    <xf numFmtId="0" fontId="239" fillId="34" borderId="0" applyNumberFormat="0" applyBorder="0" applyAlignment="0" applyProtection="0"/>
    <xf numFmtId="0" fontId="239" fillId="29" borderId="0" applyNumberFormat="0" applyBorder="0" applyAlignment="0" applyProtection="0"/>
    <xf numFmtId="0" fontId="239" fillId="29" borderId="0" applyNumberFormat="0" applyBorder="0" applyAlignment="0" applyProtection="0"/>
    <xf numFmtId="0" fontId="239" fillId="29" borderId="0" applyNumberFormat="0" applyBorder="0" applyAlignment="0" applyProtection="0"/>
    <xf numFmtId="0" fontId="239" fillId="29" borderId="0" applyNumberFormat="0" applyBorder="0" applyAlignment="0" applyProtection="0"/>
    <xf numFmtId="0" fontId="239" fillId="29" borderId="0" applyNumberFormat="0" applyBorder="0" applyAlignment="0" applyProtection="0"/>
    <xf numFmtId="0" fontId="239" fillId="29" borderId="0" applyNumberFormat="0" applyBorder="0" applyAlignment="0" applyProtection="0"/>
    <xf numFmtId="0" fontId="239" fillId="32" borderId="0" applyNumberFormat="0" applyBorder="0" applyAlignment="0" applyProtection="0"/>
    <xf numFmtId="0" fontId="239" fillId="32" borderId="0" applyNumberFormat="0" applyBorder="0" applyAlignment="0" applyProtection="0"/>
    <xf numFmtId="0" fontId="239" fillId="32" borderId="0" applyNumberFormat="0" applyBorder="0" applyAlignment="0" applyProtection="0"/>
    <xf numFmtId="0" fontId="239" fillId="32" borderId="0" applyNumberFormat="0" applyBorder="0" applyAlignment="0" applyProtection="0"/>
    <xf numFmtId="0" fontId="239" fillId="32" borderId="0" applyNumberFormat="0" applyBorder="0" applyAlignment="0" applyProtection="0"/>
    <xf numFmtId="0" fontId="239" fillId="32" borderId="0" applyNumberFormat="0" applyBorder="0" applyAlignment="0" applyProtection="0"/>
    <xf numFmtId="0" fontId="239" fillId="35" borderId="0" applyNumberFormat="0" applyBorder="0" applyAlignment="0" applyProtection="0"/>
    <xf numFmtId="0" fontId="239" fillId="35" borderId="0" applyNumberFormat="0" applyBorder="0" applyAlignment="0" applyProtection="0"/>
    <xf numFmtId="0" fontId="239" fillId="35" borderId="0" applyNumberFormat="0" applyBorder="0" applyAlignment="0" applyProtection="0"/>
    <xf numFmtId="0" fontId="239" fillId="35" borderId="0" applyNumberFormat="0" applyBorder="0" applyAlignment="0" applyProtection="0"/>
    <xf numFmtId="0" fontId="239" fillId="35" borderId="0" applyNumberFormat="0" applyBorder="0" applyAlignment="0" applyProtection="0"/>
    <xf numFmtId="0" fontId="239" fillId="35" borderId="0" applyNumberFormat="0" applyBorder="0" applyAlignment="0" applyProtection="0"/>
    <xf numFmtId="0" fontId="240" fillId="36" borderId="0" applyNumberFormat="0" applyBorder="0" applyAlignment="0" applyProtection="0"/>
    <xf numFmtId="0" fontId="240" fillId="36" borderId="0" applyNumberFormat="0" applyBorder="0" applyAlignment="0" applyProtection="0"/>
    <xf numFmtId="0" fontId="240" fillId="36" borderId="0" applyNumberFormat="0" applyBorder="0" applyAlignment="0" applyProtection="0"/>
    <xf numFmtId="0" fontId="240" fillId="36" borderId="0" applyNumberFormat="0" applyBorder="0" applyAlignment="0" applyProtection="0"/>
    <xf numFmtId="0" fontId="240" fillId="36" borderId="0" applyNumberFormat="0" applyBorder="0" applyAlignment="0" applyProtection="0"/>
    <xf numFmtId="0" fontId="240" fillId="36" borderId="0" applyNumberFormat="0" applyBorder="0" applyAlignment="0" applyProtection="0"/>
    <xf numFmtId="0" fontId="240" fillId="33" borderId="0" applyNumberFormat="0" applyBorder="0" applyAlignment="0" applyProtection="0"/>
    <xf numFmtId="0" fontId="240" fillId="33" borderId="0" applyNumberFormat="0" applyBorder="0" applyAlignment="0" applyProtection="0"/>
    <xf numFmtId="0" fontId="240" fillId="33" borderId="0" applyNumberFormat="0" applyBorder="0" applyAlignment="0" applyProtection="0"/>
    <xf numFmtId="0" fontId="240" fillId="33" borderId="0" applyNumberFormat="0" applyBorder="0" applyAlignment="0" applyProtection="0"/>
    <xf numFmtId="0" fontId="240" fillId="33" borderId="0" applyNumberFormat="0" applyBorder="0" applyAlignment="0" applyProtection="0"/>
    <xf numFmtId="0" fontId="240" fillId="33" borderId="0" applyNumberFormat="0" applyBorder="0" applyAlignment="0" applyProtection="0"/>
    <xf numFmtId="0" fontId="240" fillId="34" borderId="0" applyNumberFormat="0" applyBorder="0" applyAlignment="0" applyProtection="0"/>
    <xf numFmtId="0" fontId="240" fillId="34" borderId="0" applyNumberFormat="0" applyBorder="0" applyAlignment="0" applyProtection="0"/>
    <xf numFmtId="0" fontId="240" fillId="34" borderId="0" applyNumberFormat="0" applyBorder="0" applyAlignment="0" applyProtection="0"/>
    <xf numFmtId="0" fontId="240" fillId="34" borderId="0" applyNumberFormat="0" applyBorder="0" applyAlignment="0" applyProtection="0"/>
    <xf numFmtId="0" fontId="240" fillId="34" borderId="0" applyNumberFormat="0" applyBorder="0" applyAlignment="0" applyProtection="0"/>
    <xf numFmtId="0" fontId="240" fillId="34" borderId="0" applyNumberFormat="0" applyBorder="0" applyAlignment="0" applyProtection="0"/>
    <xf numFmtId="0" fontId="240" fillId="37" borderId="0" applyNumberFormat="0" applyBorder="0" applyAlignment="0" applyProtection="0"/>
    <xf numFmtId="0" fontId="240" fillId="37" borderId="0" applyNumberFormat="0" applyBorder="0" applyAlignment="0" applyProtection="0"/>
    <xf numFmtId="0" fontId="240" fillId="37" borderId="0" applyNumberFormat="0" applyBorder="0" applyAlignment="0" applyProtection="0"/>
    <xf numFmtId="0" fontId="240" fillId="37" borderId="0" applyNumberFormat="0" applyBorder="0" applyAlignment="0" applyProtection="0"/>
    <xf numFmtId="0" fontId="240" fillId="37" borderId="0" applyNumberFormat="0" applyBorder="0" applyAlignment="0" applyProtection="0"/>
    <xf numFmtId="0" fontId="240" fillId="37" borderId="0" applyNumberFormat="0" applyBorder="0" applyAlignment="0" applyProtection="0"/>
    <xf numFmtId="0" fontId="240" fillId="38" borderId="0" applyNumberFormat="0" applyBorder="0" applyAlignment="0" applyProtection="0"/>
    <xf numFmtId="0" fontId="240" fillId="38" borderId="0" applyNumberFormat="0" applyBorder="0" applyAlignment="0" applyProtection="0"/>
    <xf numFmtId="0" fontId="240" fillId="38" borderId="0" applyNumberFormat="0" applyBorder="0" applyAlignment="0" applyProtection="0"/>
    <xf numFmtId="0" fontId="240" fillId="38" borderId="0" applyNumberFormat="0" applyBorder="0" applyAlignment="0" applyProtection="0"/>
    <xf numFmtId="0" fontId="240" fillId="38" borderId="0" applyNumberFormat="0" applyBorder="0" applyAlignment="0" applyProtection="0"/>
    <xf numFmtId="0" fontId="240" fillId="38" borderId="0" applyNumberFormat="0" applyBorder="0" applyAlignment="0" applyProtection="0"/>
    <xf numFmtId="0" fontId="240" fillId="39" borderId="0" applyNumberFormat="0" applyBorder="0" applyAlignment="0" applyProtection="0"/>
    <xf numFmtId="0" fontId="240" fillId="39" borderId="0" applyNumberFormat="0" applyBorder="0" applyAlignment="0" applyProtection="0"/>
    <xf numFmtId="0" fontId="240" fillId="39" borderId="0" applyNumberFormat="0" applyBorder="0" applyAlignment="0" applyProtection="0"/>
    <xf numFmtId="0" fontId="240" fillId="39" borderId="0" applyNumberFormat="0" applyBorder="0" applyAlignment="0" applyProtection="0"/>
    <xf numFmtId="0" fontId="240" fillId="39" borderId="0" applyNumberFormat="0" applyBorder="0" applyAlignment="0" applyProtection="0"/>
    <xf numFmtId="0" fontId="240" fillId="39" borderId="0" applyNumberFormat="0" applyBorder="0" applyAlignment="0" applyProtection="0"/>
    <xf numFmtId="0" fontId="240" fillId="40" borderId="0" applyNumberFormat="0" applyBorder="0" applyAlignment="0" applyProtection="0"/>
    <xf numFmtId="0" fontId="240" fillId="40" borderId="0" applyNumberFormat="0" applyBorder="0" applyAlignment="0" applyProtection="0"/>
    <xf numFmtId="0" fontId="240" fillId="40" borderId="0" applyNumberFormat="0" applyBorder="0" applyAlignment="0" applyProtection="0"/>
    <xf numFmtId="0" fontId="240" fillId="40" borderId="0" applyNumberFormat="0" applyBorder="0" applyAlignment="0" applyProtection="0"/>
    <xf numFmtId="0" fontId="240" fillId="40" borderId="0" applyNumberFormat="0" applyBorder="0" applyAlignment="0" applyProtection="0"/>
    <xf numFmtId="0" fontId="240" fillId="40" borderId="0" applyNumberFormat="0" applyBorder="0" applyAlignment="0" applyProtection="0"/>
    <xf numFmtId="0" fontId="240" fillId="41" borderId="0" applyNumberFormat="0" applyBorder="0" applyAlignment="0" applyProtection="0"/>
    <xf numFmtId="0" fontId="240" fillId="41" borderId="0" applyNumberFormat="0" applyBorder="0" applyAlignment="0" applyProtection="0"/>
    <xf numFmtId="0" fontId="240" fillId="41" borderId="0" applyNumberFormat="0" applyBorder="0" applyAlignment="0" applyProtection="0"/>
    <xf numFmtId="0" fontId="240" fillId="41" borderId="0" applyNumberFormat="0" applyBorder="0" applyAlignment="0" applyProtection="0"/>
    <xf numFmtId="0" fontId="240" fillId="41" borderId="0" applyNumberFormat="0" applyBorder="0" applyAlignment="0" applyProtection="0"/>
    <xf numFmtId="0" fontId="240" fillId="41" borderId="0" applyNumberFormat="0" applyBorder="0" applyAlignment="0" applyProtection="0"/>
    <xf numFmtId="0" fontId="240" fillId="42" borderId="0" applyNumberFormat="0" applyBorder="0" applyAlignment="0" applyProtection="0"/>
    <xf numFmtId="0" fontId="240" fillId="42" borderId="0" applyNumberFormat="0" applyBorder="0" applyAlignment="0" applyProtection="0"/>
    <xf numFmtId="0" fontId="240" fillId="42" borderId="0" applyNumberFormat="0" applyBorder="0" applyAlignment="0" applyProtection="0"/>
    <xf numFmtId="0" fontId="240" fillId="42" borderId="0" applyNumberFormat="0" applyBorder="0" applyAlignment="0" applyProtection="0"/>
    <xf numFmtId="0" fontId="240" fillId="42" borderId="0" applyNumberFormat="0" applyBorder="0" applyAlignment="0" applyProtection="0"/>
    <xf numFmtId="0" fontId="240" fillId="42" borderId="0" applyNumberFormat="0" applyBorder="0" applyAlignment="0" applyProtection="0"/>
    <xf numFmtId="0" fontId="240" fillId="37" borderId="0" applyNumberFormat="0" applyBorder="0" applyAlignment="0" applyProtection="0"/>
    <xf numFmtId="0" fontId="240" fillId="37" borderId="0" applyNumberFormat="0" applyBorder="0" applyAlignment="0" applyProtection="0"/>
    <xf numFmtId="0" fontId="240" fillId="37" borderId="0" applyNumberFormat="0" applyBorder="0" applyAlignment="0" applyProtection="0"/>
    <xf numFmtId="0" fontId="240" fillId="37" borderId="0" applyNumberFormat="0" applyBorder="0" applyAlignment="0" applyProtection="0"/>
    <xf numFmtId="0" fontId="240" fillId="37" borderId="0" applyNumberFormat="0" applyBorder="0" applyAlignment="0" applyProtection="0"/>
    <xf numFmtId="0" fontId="240" fillId="37" borderId="0" applyNumberFormat="0" applyBorder="0" applyAlignment="0" applyProtection="0"/>
    <xf numFmtId="0" fontId="240" fillId="38" borderId="0" applyNumberFormat="0" applyBorder="0" applyAlignment="0" applyProtection="0"/>
    <xf numFmtId="0" fontId="240" fillId="38" borderId="0" applyNumberFormat="0" applyBorder="0" applyAlignment="0" applyProtection="0"/>
    <xf numFmtId="0" fontId="240" fillId="38" borderId="0" applyNumberFormat="0" applyBorder="0" applyAlignment="0" applyProtection="0"/>
    <xf numFmtId="0" fontId="240" fillId="38" borderId="0" applyNumberFormat="0" applyBorder="0" applyAlignment="0" applyProtection="0"/>
    <xf numFmtId="0" fontId="240" fillId="38" borderId="0" applyNumberFormat="0" applyBorder="0" applyAlignment="0" applyProtection="0"/>
    <xf numFmtId="0" fontId="240" fillId="38" borderId="0" applyNumberFormat="0" applyBorder="0" applyAlignment="0" applyProtection="0"/>
    <xf numFmtId="0" fontId="240" fillId="43" borderId="0" applyNumberFormat="0" applyBorder="0" applyAlignment="0" applyProtection="0"/>
    <xf numFmtId="0" fontId="240" fillId="43" borderId="0" applyNumberFormat="0" applyBorder="0" applyAlignment="0" applyProtection="0"/>
    <xf numFmtId="0" fontId="240" fillId="43" borderId="0" applyNumberFormat="0" applyBorder="0" applyAlignment="0" applyProtection="0"/>
    <xf numFmtId="0" fontId="240" fillId="43" borderId="0" applyNumberFormat="0" applyBorder="0" applyAlignment="0" applyProtection="0"/>
    <xf numFmtId="0" fontId="240" fillId="43" borderId="0" applyNumberFormat="0" applyBorder="0" applyAlignment="0" applyProtection="0"/>
    <xf numFmtId="0" fontId="240" fillId="43" borderId="0" applyNumberFormat="0" applyBorder="0" applyAlignment="0" applyProtection="0"/>
    <xf numFmtId="0" fontId="241" fillId="27" borderId="0" applyNumberFormat="0" applyBorder="0" applyAlignment="0" applyProtection="0"/>
    <xf numFmtId="0" fontId="241" fillId="27" borderId="0" applyNumberFormat="0" applyBorder="0" applyAlignment="0" applyProtection="0"/>
    <xf numFmtId="0" fontId="241" fillId="27" borderId="0" applyNumberFormat="0" applyBorder="0" applyAlignment="0" applyProtection="0"/>
    <xf numFmtId="0" fontId="241" fillId="27" borderId="0" applyNumberFormat="0" applyBorder="0" applyAlignment="0" applyProtection="0"/>
    <xf numFmtId="0" fontId="241" fillId="27" borderId="0" applyNumberFormat="0" applyBorder="0" applyAlignment="0" applyProtection="0"/>
    <xf numFmtId="0" fontId="241" fillId="27" borderId="0" applyNumberFormat="0" applyBorder="0" applyAlignment="0" applyProtection="0"/>
    <xf numFmtId="0" fontId="242" fillId="44" borderId="1" applyNumberFormat="0" applyAlignment="0" applyProtection="0"/>
    <xf numFmtId="0" fontId="242" fillId="44" borderId="1" applyNumberFormat="0" applyAlignment="0" applyProtection="0"/>
    <xf numFmtId="0" fontId="242" fillId="44" borderId="1" applyNumberFormat="0" applyAlignment="0" applyProtection="0"/>
    <xf numFmtId="0" fontId="242" fillId="44" borderId="1" applyNumberFormat="0" applyAlignment="0" applyProtection="0"/>
    <xf numFmtId="0" fontId="242" fillId="44" borderId="1" applyNumberFormat="0" applyAlignment="0" applyProtection="0"/>
    <xf numFmtId="0" fontId="242" fillId="44" borderId="1" applyNumberFormat="0" applyAlignment="0" applyProtection="0"/>
    <xf numFmtId="0" fontId="242" fillId="44" borderId="1" applyNumberFormat="0" applyAlignment="0" applyProtection="0"/>
    <xf numFmtId="0" fontId="242" fillId="44" borderId="1" applyNumberFormat="0" applyAlignment="0" applyProtection="0"/>
    <xf numFmtId="0" fontId="242" fillId="44" borderId="1" applyNumberFormat="0" applyAlignment="0" applyProtection="0"/>
    <xf numFmtId="0" fontId="242" fillId="44" borderId="1" applyNumberFormat="0" applyAlignment="0" applyProtection="0"/>
    <xf numFmtId="0" fontId="242" fillId="44" borderId="1" applyNumberFormat="0" applyAlignment="0" applyProtection="0"/>
    <xf numFmtId="0" fontId="242" fillId="44" borderId="1" applyNumberFormat="0" applyAlignment="0" applyProtection="0"/>
    <xf numFmtId="0" fontId="242" fillId="44" borderId="1" applyNumberFormat="0" applyAlignment="0" applyProtection="0"/>
    <xf numFmtId="0" fontId="242" fillId="44" borderId="1" applyNumberFormat="0" applyAlignment="0" applyProtection="0"/>
    <xf numFmtId="0" fontId="243" fillId="45" borderId="2" applyNumberFormat="0" applyAlignment="0" applyProtection="0"/>
    <xf numFmtId="0" fontId="243" fillId="45" borderId="2" applyNumberFormat="0" applyAlignment="0" applyProtection="0"/>
    <xf numFmtId="0" fontId="243" fillId="45" borderId="2" applyNumberFormat="0" applyAlignment="0" applyProtection="0"/>
    <xf numFmtId="0" fontId="243" fillId="45" borderId="2" applyNumberFormat="0" applyAlignment="0" applyProtection="0"/>
    <xf numFmtId="0" fontId="243" fillId="45" borderId="2" applyNumberFormat="0" applyAlignment="0" applyProtection="0"/>
    <xf numFmtId="0" fontId="243" fillId="45" borderId="2" applyNumberFormat="0" applyAlignment="0" applyProtection="0"/>
    <xf numFmtId="166" fontId="244" fillId="0" borderId="0" applyFont="0" applyFill="0" applyBorder="0" applyAlignment="0" applyProtection="0"/>
    <xf numFmtId="166" fontId="239" fillId="0" borderId="0" applyFont="0" applyFill="0" applyBorder="0" applyAlignment="0" applyProtection="0"/>
    <xf numFmtId="41" fontId="235" fillId="0" borderId="0" applyFont="0" applyFill="0" applyBorder="0" applyAlignment="0" applyProtection="0"/>
    <xf numFmtId="166" fontId="239" fillId="0" borderId="0" applyFont="0" applyFill="0" applyBorder="0" applyAlignment="0" applyProtection="0"/>
    <xf numFmtId="166" fontId="239" fillId="0" borderId="0" applyFont="0" applyFill="0" applyBorder="0" applyAlignment="0" applyProtection="0"/>
    <xf numFmtId="41" fontId="244" fillId="0" borderId="0" applyFont="0" applyFill="0" applyBorder="0" applyAlignment="0" applyProtection="0"/>
    <xf numFmtId="41" fontId="239" fillId="0" borderId="0" applyFont="0" applyFill="0" applyBorder="0" applyAlignment="0" applyProtection="0"/>
    <xf numFmtId="41" fontId="239" fillId="0" borderId="0" applyFont="0" applyFill="0" applyBorder="0" applyAlignment="0" applyProtection="0"/>
    <xf numFmtId="43" fontId="235" fillId="0" borderId="0" applyFont="0" applyFill="0" applyBorder="0" applyAlignment="0" applyProtection="0"/>
    <xf numFmtId="43" fontId="235" fillId="0" borderId="0" applyFont="0" applyFill="0" applyBorder="0" applyAlignment="0" applyProtection="0"/>
    <xf numFmtId="0" fontId="245" fillId="0" borderId="0" applyNumberFormat="0" applyFill="0" applyBorder="0" applyAlignment="0" applyProtection="0"/>
    <xf numFmtId="0" fontId="245" fillId="0" borderId="0" applyNumberFormat="0" applyFill="0" applyBorder="0" applyAlignment="0" applyProtection="0"/>
    <xf numFmtId="0" fontId="245" fillId="0" borderId="0" applyNumberFormat="0" applyFill="0" applyBorder="0" applyAlignment="0" applyProtection="0"/>
    <xf numFmtId="0" fontId="245" fillId="0" borderId="0" applyNumberFormat="0" applyFill="0" applyBorder="0" applyAlignment="0" applyProtection="0"/>
    <xf numFmtId="0" fontId="245" fillId="0" borderId="0" applyNumberFormat="0" applyFill="0" applyBorder="0" applyAlignment="0" applyProtection="0"/>
    <xf numFmtId="0" fontId="245" fillId="0" borderId="0" applyNumberFormat="0" applyFill="0" applyBorder="0" applyAlignment="0" applyProtection="0"/>
    <xf numFmtId="0" fontId="246" fillId="28" borderId="0" applyNumberFormat="0" applyBorder="0" applyAlignment="0" applyProtection="0"/>
    <xf numFmtId="0" fontId="246" fillId="28" borderId="0" applyNumberFormat="0" applyBorder="0" applyAlignment="0" applyProtection="0"/>
    <xf numFmtId="0" fontId="246" fillId="28" borderId="0" applyNumberFormat="0" applyBorder="0" applyAlignment="0" applyProtection="0"/>
    <xf numFmtId="0" fontId="246" fillId="28" borderId="0" applyNumberFormat="0" applyBorder="0" applyAlignment="0" applyProtection="0"/>
    <xf numFmtId="0" fontId="246" fillId="28" borderId="0" applyNumberFormat="0" applyBorder="0" applyAlignment="0" applyProtection="0"/>
    <xf numFmtId="0" fontId="246" fillId="28" borderId="0" applyNumberFormat="0" applyBorder="0" applyAlignment="0" applyProtection="0"/>
    <xf numFmtId="0" fontId="247" fillId="0" borderId="3" applyNumberFormat="0" applyFill="0" applyAlignment="0" applyProtection="0"/>
    <xf numFmtId="0" fontId="247" fillId="0" borderId="3" applyNumberFormat="0" applyFill="0" applyAlignment="0" applyProtection="0"/>
    <xf numFmtId="0" fontId="247" fillId="0" borderId="3" applyNumberFormat="0" applyFill="0" applyAlignment="0" applyProtection="0"/>
    <xf numFmtId="0" fontId="247" fillId="0" borderId="3" applyNumberFormat="0" applyFill="0" applyAlignment="0" applyProtection="0"/>
    <xf numFmtId="0" fontId="247" fillId="0" borderId="3" applyNumberFormat="0" applyFill="0" applyAlignment="0" applyProtection="0"/>
    <xf numFmtId="0" fontId="247" fillId="0" borderId="3" applyNumberFormat="0" applyFill="0" applyAlignment="0" applyProtection="0"/>
    <xf numFmtId="0" fontId="248" fillId="0" borderId="4" applyNumberFormat="0" applyFill="0" applyAlignment="0" applyProtection="0"/>
    <xf numFmtId="0" fontId="248" fillId="0" borderId="4" applyNumberFormat="0" applyFill="0" applyAlignment="0" applyProtection="0"/>
    <xf numFmtId="0" fontId="248" fillId="0" borderId="4" applyNumberFormat="0" applyFill="0" applyAlignment="0" applyProtection="0"/>
    <xf numFmtId="0" fontId="248" fillId="0" borderId="4" applyNumberFormat="0" applyFill="0" applyAlignment="0" applyProtection="0"/>
    <xf numFmtId="0" fontId="248" fillId="0" borderId="4" applyNumberFormat="0" applyFill="0" applyAlignment="0" applyProtection="0"/>
    <xf numFmtId="0" fontId="248" fillId="0" borderId="4" applyNumberFormat="0" applyFill="0" applyAlignment="0" applyProtection="0"/>
    <xf numFmtId="0" fontId="249" fillId="0" borderId="5" applyNumberFormat="0" applyFill="0" applyAlignment="0" applyProtection="0"/>
    <xf numFmtId="0" fontId="249" fillId="0" borderId="5" applyNumberFormat="0" applyFill="0" applyAlignment="0" applyProtection="0"/>
    <xf numFmtId="0" fontId="249" fillId="0" borderId="5" applyNumberFormat="0" applyFill="0" applyAlignment="0" applyProtection="0"/>
    <xf numFmtId="0" fontId="249" fillId="0" borderId="5" applyNumberFormat="0" applyFill="0" applyAlignment="0" applyProtection="0"/>
    <xf numFmtId="0" fontId="249" fillId="0" borderId="5" applyNumberFormat="0" applyFill="0" applyAlignment="0" applyProtection="0"/>
    <xf numFmtId="0" fontId="249" fillId="0" borderId="5" applyNumberFormat="0" applyFill="0" applyAlignment="0" applyProtection="0"/>
    <xf numFmtId="0" fontId="249" fillId="0" borderId="0" applyNumberFormat="0" applyFill="0" applyBorder="0" applyAlignment="0" applyProtection="0"/>
    <xf numFmtId="0" fontId="249" fillId="0" borderId="0" applyNumberFormat="0" applyFill="0" applyBorder="0" applyAlignment="0" applyProtection="0"/>
    <xf numFmtId="0" fontId="249" fillId="0" borderId="0" applyNumberFormat="0" applyFill="0" applyBorder="0" applyAlignment="0" applyProtection="0"/>
    <xf numFmtId="0" fontId="249" fillId="0" borderId="0" applyNumberFormat="0" applyFill="0" applyBorder="0" applyAlignment="0" applyProtection="0"/>
    <xf numFmtId="0" fontId="249" fillId="0" borderId="0" applyNumberFormat="0" applyFill="0" applyBorder="0" applyAlignment="0" applyProtection="0"/>
    <xf numFmtId="0" fontId="249" fillId="0" borderId="0" applyNumberFormat="0" applyFill="0" applyBorder="0" applyAlignment="0" applyProtection="0"/>
    <xf numFmtId="0" fontId="250" fillId="31" borderId="1" applyNumberFormat="0" applyAlignment="0" applyProtection="0"/>
    <xf numFmtId="0" fontId="250" fillId="31" borderId="1" applyNumberFormat="0" applyAlignment="0" applyProtection="0"/>
    <xf numFmtId="0" fontId="250" fillId="31" borderId="1" applyNumberFormat="0" applyAlignment="0" applyProtection="0"/>
    <xf numFmtId="0" fontId="250" fillId="31" borderId="1" applyNumberFormat="0" applyAlignment="0" applyProtection="0"/>
    <xf numFmtId="0" fontId="250" fillId="31" borderId="1" applyNumberFormat="0" applyAlignment="0" applyProtection="0"/>
    <xf numFmtId="0" fontId="250" fillId="31" borderId="1" applyNumberFormat="0" applyAlignment="0" applyProtection="0"/>
    <xf numFmtId="0" fontId="250" fillId="31" borderId="1" applyNumberFormat="0" applyAlignment="0" applyProtection="0"/>
    <xf numFmtId="0" fontId="250" fillId="31" borderId="1" applyNumberFormat="0" applyAlignment="0" applyProtection="0"/>
    <xf numFmtId="0" fontId="250" fillId="31" borderId="1" applyNumberFormat="0" applyAlignment="0" applyProtection="0"/>
    <xf numFmtId="0" fontId="250" fillId="31" borderId="1" applyNumberFormat="0" applyAlignment="0" applyProtection="0"/>
    <xf numFmtId="0" fontId="250" fillId="31" borderId="1" applyNumberFormat="0" applyAlignment="0" applyProtection="0"/>
    <xf numFmtId="0" fontId="250" fillId="31" borderId="1" applyNumberFormat="0" applyAlignment="0" applyProtection="0"/>
    <xf numFmtId="0" fontId="250" fillId="31" borderId="1" applyNumberFormat="0" applyAlignment="0" applyProtection="0"/>
    <xf numFmtId="0" fontId="250" fillId="31" borderId="1" applyNumberFormat="0" applyAlignment="0" applyProtection="0"/>
    <xf numFmtId="0" fontId="251" fillId="0" borderId="6" applyNumberFormat="0" applyFill="0" applyAlignment="0" applyProtection="0"/>
    <xf numFmtId="0" fontId="251" fillId="0" borderId="6" applyNumberFormat="0" applyFill="0" applyAlignment="0" applyProtection="0"/>
    <xf numFmtId="0" fontId="251" fillId="0" borderId="6" applyNumberFormat="0" applyFill="0" applyAlignment="0" applyProtection="0"/>
    <xf numFmtId="0" fontId="251" fillId="0" borderId="6" applyNumberFormat="0" applyFill="0" applyAlignment="0" applyProtection="0"/>
    <xf numFmtId="0" fontId="251" fillId="0" borderId="6" applyNumberFormat="0" applyFill="0" applyAlignment="0" applyProtection="0"/>
    <xf numFmtId="0" fontId="251" fillId="0" borderId="6" applyNumberFormat="0" applyFill="0" applyAlignment="0" applyProtection="0"/>
    <xf numFmtId="0" fontId="252" fillId="46" borderId="0" applyNumberFormat="0" applyBorder="0" applyAlignment="0" applyProtection="0"/>
    <xf numFmtId="0" fontId="252" fillId="46" borderId="0" applyNumberFormat="0" applyBorder="0" applyAlignment="0" applyProtection="0"/>
    <xf numFmtId="0" fontId="252" fillId="46" borderId="0" applyNumberFormat="0" applyBorder="0" applyAlignment="0" applyProtection="0"/>
    <xf numFmtId="0" fontId="252" fillId="46" borderId="0" applyNumberFormat="0" applyBorder="0" applyAlignment="0" applyProtection="0"/>
    <xf numFmtId="0" fontId="252" fillId="46" borderId="0" applyNumberFormat="0" applyBorder="0" applyAlignment="0" applyProtection="0"/>
    <xf numFmtId="0" fontId="252" fillId="46" borderId="0" applyNumberFormat="0" applyBorder="0" applyAlignment="0" applyProtection="0"/>
    <xf numFmtId="0" fontId="236" fillId="0" borderId="0"/>
    <xf numFmtId="0" fontId="236" fillId="0" borderId="0"/>
    <xf numFmtId="0" fontId="236" fillId="0" borderId="0"/>
    <xf numFmtId="0" fontId="236" fillId="0" borderId="0"/>
    <xf numFmtId="0" fontId="253" fillId="0" borderId="0">
      <alignment vertical="center"/>
    </xf>
    <xf numFmtId="0" fontId="235" fillId="0" borderId="0"/>
    <xf numFmtId="0" fontId="235" fillId="0" borderId="0"/>
    <xf numFmtId="0" fontId="235" fillId="0" borderId="0">
      <protection locked="0"/>
    </xf>
    <xf numFmtId="0" fontId="235" fillId="0" borderId="0"/>
    <xf numFmtId="0" fontId="235" fillId="0" borderId="0"/>
    <xf numFmtId="0" fontId="235" fillId="0" borderId="0"/>
    <xf numFmtId="0" fontId="235" fillId="0" borderId="0"/>
    <xf numFmtId="0" fontId="235" fillId="0" borderId="0"/>
    <xf numFmtId="0" fontId="235" fillId="0" borderId="0"/>
    <xf numFmtId="0" fontId="235" fillId="0" borderId="0"/>
    <xf numFmtId="0" fontId="235" fillId="0" borderId="0"/>
    <xf numFmtId="0" fontId="235" fillId="0" borderId="0"/>
    <xf numFmtId="0" fontId="235" fillId="0" borderId="0"/>
    <xf numFmtId="0" fontId="235" fillId="0" borderId="0"/>
    <xf numFmtId="0" fontId="234" fillId="0" borderId="0"/>
    <xf numFmtId="0" fontId="244" fillId="0" borderId="0"/>
    <xf numFmtId="0" fontId="239" fillId="0" borderId="0">
      <protection locked="0"/>
    </xf>
    <xf numFmtId="0" fontId="239" fillId="0" borderId="0"/>
    <xf numFmtId="0" fontId="239" fillId="0" borderId="0"/>
    <xf numFmtId="0" fontId="239" fillId="0" borderId="0"/>
    <xf numFmtId="0" fontId="239" fillId="0" borderId="0"/>
    <xf numFmtId="0" fontId="239" fillId="0" borderId="0"/>
    <xf numFmtId="0" fontId="254" fillId="0" borderId="0">
      <protection locked="0"/>
    </xf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5" fillId="0" borderId="0">
      <protection locked="0"/>
    </xf>
    <xf numFmtId="0" fontId="235" fillId="0" borderId="0"/>
    <xf numFmtId="0" fontId="235" fillId="0" borderId="0"/>
    <xf numFmtId="0" fontId="235" fillId="0" borderId="0"/>
    <xf numFmtId="0" fontId="235" fillId="0" borderId="0"/>
    <xf numFmtId="0" fontId="235" fillId="0" borderId="0"/>
    <xf numFmtId="0" fontId="235" fillId="0" borderId="0"/>
    <xf numFmtId="0" fontId="234" fillId="0" borderId="0"/>
    <xf numFmtId="0" fontId="244" fillId="0" borderId="0"/>
    <xf numFmtId="0" fontId="239" fillId="0" borderId="0">
      <protection locked="0"/>
    </xf>
    <xf numFmtId="0" fontId="239" fillId="0" borderId="0"/>
    <xf numFmtId="0" fontId="239" fillId="0" borderId="0"/>
    <xf numFmtId="0" fontId="239" fillId="0" borderId="0"/>
    <xf numFmtId="0" fontId="239" fillId="0" borderId="0"/>
    <xf numFmtId="0" fontId="239" fillId="0" borderId="0"/>
    <xf numFmtId="0" fontId="254" fillId="0" borderId="0">
      <protection locked="0"/>
    </xf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5" fillId="0" borderId="0"/>
    <xf numFmtId="0" fontId="235" fillId="0" borderId="0"/>
    <xf numFmtId="0" fontId="235" fillId="0" borderId="0"/>
    <xf numFmtId="0" fontId="235" fillId="0" borderId="0"/>
    <xf numFmtId="0" fontId="235" fillId="0" borderId="0"/>
    <xf numFmtId="0" fontId="235" fillId="0" borderId="0"/>
    <xf numFmtId="0" fontId="235" fillId="0" borderId="0"/>
    <xf numFmtId="0" fontId="235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9" fillId="0" borderId="0"/>
    <xf numFmtId="0" fontId="239" fillId="0" borderId="0">
      <protection locked="0"/>
    </xf>
    <xf numFmtId="0" fontId="239" fillId="0" borderId="0"/>
    <xf numFmtId="0" fontId="239" fillId="0" borderId="0"/>
    <xf numFmtId="0" fontId="239" fillId="0" borderId="0"/>
    <xf numFmtId="0" fontId="239" fillId="0" borderId="0"/>
    <xf numFmtId="0" fontId="239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5" fillId="0" borderId="0"/>
    <xf numFmtId="0" fontId="235" fillId="0" borderId="0"/>
    <xf numFmtId="0" fontId="235" fillId="0" borderId="0"/>
    <xf numFmtId="0" fontId="235" fillId="0" borderId="0"/>
    <xf numFmtId="0" fontId="235" fillId="0" borderId="0"/>
    <xf numFmtId="0" fontId="235" fillId="0" borderId="0"/>
    <xf numFmtId="0" fontId="235" fillId="0" borderId="0"/>
    <xf numFmtId="0" fontId="253" fillId="0" borderId="0">
      <alignment vertical="center"/>
    </xf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6" fillId="0" borderId="0"/>
    <xf numFmtId="0" fontId="235" fillId="47" borderId="7" applyNumberFormat="0" applyFont="0" applyAlignment="0" applyProtection="0"/>
    <xf numFmtId="0" fontId="235" fillId="47" borderId="7" applyNumberFormat="0" applyFont="0" applyAlignment="0" applyProtection="0"/>
    <xf numFmtId="0" fontId="235" fillId="47" borderId="7" applyNumberFormat="0" applyFont="0" applyAlignment="0" applyProtection="0"/>
    <xf numFmtId="0" fontId="235" fillId="47" borderId="7" applyNumberFormat="0" applyFont="0" applyAlignment="0" applyProtection="0"/>
    <xf numFmtId="0" fontId="235" fillId="47" borderId="7" applyNumberFormat="0" applyFont="0" applyAlignment="0" applyProtection="0"/>
    <xf numFmtId="0" fontId="235" fillId="47" borderId="7" applyNumberFormat="0" applyFont="0" applyAlignment="0" applyProtection="0"/>
    <xf numFmtId="0" fontId="235" fillId="47" borderId="7" applyNumberFormat="0" applyFont="0" applyAlignment="0" applyProtection="0"/>
    <xf numFmtId="0" fontId="235" fillId="47" borderId="7" applyNumberFormat="0" applyFont="0" applyAlignment="0" applyProtection="0"/>
    <xf numFmtId="0" fontId="235" fillId="47" borderId="7" applyNumberFormat="0" applyFont="0" applyAlignment="0" applyProtection="0"/>
    <xf numFmtId="0" fontId="235" fillId="47" borderId="7" applyNumberFormat="0" applyFont="0" applyAlignment="0" applyProtection="0"/>
    <xf numFmtId="0" fontId="235" fillId="47" borderId="7" applyNumberFormat="0" applyFont="0" applyAlignment="0" applyProtection="0"/>
    <xf numFmtId="0" fontId="235" fillId="47" borderId="7" applyNumberFormat="0" applyFont="0" applyAlignment="0" applyProtection="0"/>
    <xf numFmtId="0" fontId="235" fillId="47" borderId="7" applyNumberFormat="0" applyFont="0" applyAlignment="0" applyProtection="0"/>
    <xf numFmtId="0" fontId="235" fillId="47" borderId="7" applyNumberFormat="0" applyFont="0" applyAlignment="0" applyProtection="0"/>
    <xf numFmtId="0" fontId="255" fillId="44" borderId="8" applyNumberFormat="0" applyAlignment="0" applyProtection="0"/>
    <xf numFmtId="0" fontId="255" fillId="44" borderId="8" applyNumberFormat="0" applyAlignment="0" applyProtection="0"/>
    <xf numFmtId="0" fontId="255" fillId="44" borderId="8" applyNumberFormat="0" applyAlignment="0" applyProtection="0"/>
    <xf numFmtId="0" fontId="255" fillId="44" borderId="8" applyNumberFormat="0" applyAlignment="0" applyProtection="0"/>
    <xf numFmtId="0" fontId="255" fillId="44" borderId="8" applyNumberFormat="0" applyAlignment="0" applyProtection="0"/>
    <xf numFmtId="0" fontId="255" fillId="44" borderId="8" applyNumberFormat="0" applyAlignment="0" applyProtection="0"/>
    <xf numFmtId="0" fontId="255" fillId="44" borderId="8" applyNumberFormat="0" applyAlignment="0" applyProtection="0"/>
    <xf numFmtId="0" fontId="255" fillId="44" borderId="8" applyNumberFormat="0" applyAlignment="0" applyProtection="0"/>
    <xf numFmtId="0" fontId="255" fillId="44" borderId="8" applyNumberFormat="0" applyAlignment="0" applyProtection="0"/>
    <xf numFmtId="0" fontId="255" fillId="44" borderId="8" applyNumberFormat="0" applyAlignment="0" applyProtection="0"/>
    <xf numFmtId="0" fontId="255" fillId="44" borderId="8" applyNumberFormat="0" applyAlignment="0" applyProtection="0"/>
    <xf numFmtId="0" fontId="255" fillId="44" borderId="8" applyNumberFormat="0" applyAlignment="0" applyProtection="0"/>
    <xf numFmtId="0" fontId="255" fillId="44" borderId="8" applyNumberFormat="0" applyAlignment="0" applyProtection="0"/>
    <xf numFmtId="0" fontId="255" fillId="44" borderId="8" applyNumberFormat="0" applyAlignment="0" applyProtection="0"/>
    <xf numFmtId="0" fontId="256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57" fillId="0" borderId="9" applyNumberFormat="0" applyFill="0" applyAlignment="0" applyProtection="0"/>
    <xf numFmtId="0" fontId="257" fillId="0" borderId="9" applyNumberFormat="0" applyFill="0" applyAlignment="0" applyProtection="0"/>
    <xf numFmtId="0" fontId="257" fillId="0" borderId="9" applyNumberFormat="0" applyFill="0" applyAlignment="0" applyProtection="0"/>
    <xf numFmtId="0" fontId="257" fillId="0" borderId="9" applyNumberFormat="0" applyFill="0" applyAlignment="0" applyProtection="0"/>
    <xf numFmtId="0" fontId="257" fillId="0" borderId="9" applyNumberFormat="0" applyFill="0" applyAlignment="0" applyProtection="0"/>
    <xf numFmtId="0" fontId="257" fillId="0" borderId="9" applyNumberFormat="0" applyFill="0" applyAlignment="0" applyProtection="0"/>
    <xf numFmtId="0" fontId="257" fillId="0" borderId="9" applyNumberFormat="0" applyFill="0" applyAlignment="0" applyProtection="0"/>
    <xf numFmtId="0" fontId="257" fillId="0" borderId="9" applyNumberFormat="0" applyFill="0" applyAlignment="0" applyProtection="0"/>
    <xf numFmtId="0" fontId="257" fillId="0" borderId="9" applyNumberFormat="0" applyFill="0" applyAlignment="0" applyProtection="0"/>
    <xf numFmtId="0" fontId="257" fillId="0" borderId="9" applyNumberFormat="0" applyFill="0" applyAlignment="0" applyProtection="0"/>
    <xf numFmtId="0" fontId="257" fillId="0" borderId="9" applyNumberFormat="0" applyFill="0" applyAlignment="0" applyProtection="0"/>
    <xf numFmtId="0" fontId="257" fillId="0" borderId="9" applyNumberFormat="0" applyFill="0" applyAlignment="0" applyProtection="0"/>
    <xf numFmtId="0" fontId="258" fillId="0" borderId="0" applyNumberFormat="0" applyFill="0" applyBorder="0" applyAlignment="0" applyProtection="0"/>
    <xf numFmtId="0" fontId="258" fillId="0" borderId="0" applyNumberFormat="0" applyFill="0" applyBorder="0" applyAlignment="0" applyProtection="0"/>
    <xf numFmtId="0" fontId="258" fillId="0" borderId="0" applyNumberFormat="0" applyFill="0" applyBorder="0" applyAlignment="0" applyProtection="0"/>
    <xf numFmtId="0" fontId="258" fillId="0" borderId="0" applyNumberFormat="0" applyFill="0" applyBorder="0" applyAlignment="0" applyProtection="0"/>
    <xf numFmtId="0" fontId="258" fillId="0" borderId="0" applyNumberFormat="0" applyFill="0" applyBorder="0" applyAlignment="0" applyProtection="0"/>
    <xf numFmtId="0" fontId="258" fillId="0" borderId="0" applyNumberFormat="0" applyFill="0" applyBorder="0" applyAlignment="0" applyProtection="0"/>
    <xf numFmtId="0" fontId="260" fillId="0" borderId="0">
      <alignment vertical="center"/>
    </xf>
    <xf numFmtId="0" fontId="262" fillId="0" borderId="0">
      <protection locked="0"/>
    </xf>
    <xf numFmtId="0" fontId="261" fillId="0" borderId="0">
      <protection locked="0"/>
    </xf>
    <xf numFmtId="0" fontId="261" fillId="0" borderId="0">
      <protection locked="0"/>
    </xf>
    <xf numFmtId="0" fontId="259" fillId="0" borderId="0">
      <protection locked="0"/>
    </xf>
    <xf numFmtId="0" fontId="262" fillId="0" borderId="0">
      <protection locked="0"/>
    </xf>
    <xf numFmtId="0" fontId="262" fillId="0" borderId="0">
      <protection locked="0"/>
    </xf>
    <xf numFmtId="0" fontId="263" fillId="0" borderId="0">
      <protection locked="0"/>
    </xf>
    <xf numFmtId="0" fontId="260" fillId="0" borderId="0">
      <protection locked="0"/>
    </xf>
    <xf numFmtId="0" fontId="264" fillId="0" borderId="0">
      <protection locked="0"/>
    </xf>
    <xf numFmtId="0" fontId="244" fillId="0" borderId="0">
      <protection locked="0"/>
    </xf>
    <xf numFmtId="0" fontId="244" fillId="0" borderId="0">
      <protection locked="0"/>
    </xf>
    <xf numFmtId="0" fontId="261" fillId="0" borderId="0">
      <protection locked="0"/>
    </xf>
    <xf numFmtId="0" fontId="259" fillId="0" borderId="0">
      <protection locked="0"/>
    </xf>
    <xf numFmtId="0" fontId="22" fillId="12" borderId="0" applyNumberFormat="0" applyBorder="0" applyAlignment="0" applyProtection="0"/>
    <xf numFmtId="0" fontId="21" fillId="3" borderId="0" applyNumberFormat="0" applyBorder="0" applyAlignment="0" applyProtection="0"/>
    <xf numFmtId="0" fontId="50" fillId="0" borderId="0"/>
    <xf numFmtId="0" fontId="21" fillId="6" borderId="0" applyNumberFormat="0" applyBorder="0" applyAlignment="0" applyProtection="0"/>
    <xf numFmtId="0" fontId="21" fillId="9" borderId="0" applyNumberFormat="0" applyBorder="0" applyAlignment="0" applyProtection="0"/>
    <xf numFmtId="0" fontId="21" fillId="8" borderId="0" applyNumberFormat="0" applyBorder="0" applyAlignment="0" applyProtection="0"/>
    <xf numFmtId="0" fontId="21" fillId="11" borderId="0" applyNumberFormat="0" applyBorder="0" applyAlignment="0" applyProtection="0"/>
    <xf numFmtId="0" fontId="21" fillId="8" borderId="0" applyNumberFormat="0" applyBorder="0" applyAlignment="0" applyProtection="0"/>
    <xf numFmtId="0" fontId="22" fillId="9" borderId="0" applyNumberFormat="0" applyBorder="0" applyAlignment="0" applyProtection="0"/>
    <xf numFmtId="0" fontId="21" fillId="5" borderId="0" applyNumberFormat="0" applyBorder="0" applyAlignment="0" applyProtection="0"/>
    <xf numFmtId="0" fontId="21" fillId="2" borderId="0" applyNumberFormat="0" applyBorder="0" applyAlignment="0" applyProtection="0"/>
    <xf numFmtId="0" fontId="21" fillId="7" borderId="0" applyNumberFormat="0" applyBorder="0" applyAlignment="0" applyProtection="0"/>
    <xf numFmtId="0" fontId="21" fillId="4" borderId="0" applyNumberFormat="0" applyBorder="0" applyAlignment="0" applyProtection="0"/>
    <xf numFmtId="0" fontId="21" fillId="10" borderId="0" applyNumberFormat="0" applyBorder="0" applyAlignment="0" applyProtection="0"/>
    <xf numFmtId="0" fontId="21" fillId="5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3" fillId="3" borderId="0" applyNumberFormat="0" applyBorder="0" applyAlignment="0" applyProtection="0"/>
    <xf numFmtId="0" fontId="24" fillId="20" borderId="1" applyNumberFormat="0" applyAlignment="0" applyProtection="0"/>
    <xf numFmtId="0" fontId="25" fillId="21" borderId="2" applyNumberFormat="0" applyAlignment="0" applyProtection="0"/>
    <xf numFmtId="41" fontId="46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0" fontId="28" fillId="0" borderId="3" applyNumberFormat="0" applyFill="0" applyAlignment="0" applyProtection="0"/>
    <xf numFmtId="0" fontId="29" fillId="0" borderId="4" applyNumberFormat="0" applyFill="0" applyAlignment="0" applyProtection="0"/>
    <xf numFmtId="0" fontId="30" fillId="0" borderId="5" applyNumberFormat="0" applyFill="0" applyAlignment="0" applyProtection="0"/>
    <xf numFmtId="0" fontId="30" fillId="0" borderId="0" applyNumberFormat="0" applyFill="0" applyBorder="0" applyAlignment="0" applyProtection="0"/>
    <xf numFmtId="0" fontId="31" fillId="7" borderId="1" applyNumberFormat="0" applyAlignment="0" applyProtection="0"/>
    <xf numFmtId="0" fontId="32" fillId="0" borderId="6" applyNumberFormat="0" applyFill="0" applyAlignment="0" applyProtection="0"/>
    <xf numFmtId="0" fontId="33" fillId="22" borderId="0" applyNumberFormat="0" applyBorder="0" applyAlignment="0" applyProtection="0"/>
    <xf numFmtId="0" fontId="34" fillId="0" borderId="0"/>
    <xf numFmtId="0" fontId="50" fillId="0" borderId="0"/>
    <xf numFmtId="0" fontId="34" fillId="0" borderId="0"/>
    <xf numFmtId="0" fontId="50" fillId="0" borderId="0"/>
    <xf numFmtId="0" fontId="1" fillId="0" borderId="0"/>
    <xf numFmtId="0" fontId="34" fillId="0" borderId="0"/>
    <xf numFmtId="0" fontId="34" fillId="23" borderId="7" applyNumberFormat="0" applyFont="0" applyAlignment="0" applyProtection="0"/>
    <xf numFmtId="0" fontId="35" fillId="20" borderId="8" applyNumberFormat="0" applyAlignment="0" applyProtection="0"/>
    <xf numFmtId="0" fontId="36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38" fillId="0" borderId="0" applyNumberFormat="0" applyFill="0" applyBorder="0" applyAlignment="0" applyProtection="0"/>
    <xf numFmtId="0" fontId="21" fillId="0" borderId="0"/>
    <xf numFmtId="0" fontId="46" fillId="0" borderId="0"/>
    <xf numFmtId="0" fontId="46" fillId="0" borderId="0"/>
    <xf numFmtId="0" fontId="1" fillId="0" borderId="0"/>
    <xf numFmtId="0" fontId="34" fillId="0" borderId="0"/>
    <xf numFmtId="0" fontId="34" fillId="0" borderId="0"/>
    <xf numFmtId="0" fontId="1" fillId="0" borderId="0"/>
    <xf numFmtId="0" fontId="1" fillId="0" borderId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32" borderId="0" applyNumberFormat="0" applyBorder="0" applyAlignment="0" applyProtection="0"/>
    <xf numFmtId="0" fontId="21" fillId="35" borderId="0" applyNumberFormat="0" applyBorder="0" applyAlignment="0" applyProtection="0"/>
    <xf numFmtId="0" fontId="22" fillId="36" borderId="0" applyNumberFormat="0" applyBorder="0" applyAlignment="0" applyProtection="0"/>
    <xf numFmtId="0" fontId="22" fillId="33" borderId="0" applyNumberFormat="0" applyBorder="0" applyAlignment="0" applyProtection="0"/>
    <xf numFmtId="0" fontId="22" fillId="34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39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2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43" borderId="0" applyNumberFormat="0" applyBorder="0" applyAlignment="0" applyProtection="0"/>
    <xf numFmtId="0" fontId="23" fillId="27" borderId="0" applyNumberFormat="0" applyBorder="0" applyAlignment="0" applyProtection="0"/>
    <xf numFmtId="0" fontId="24" fillId="44" borderId="1" applyNumberFormat="0" applyAlignment="0" applyProtection="0"/>
    <xf numFmtId="0" fontId="25" fillId="45" borderId="2" applyNumberFormat="0" applyAlignment="0" applyProtection="0"/>
    <xf numFmtId="41" fontId="21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28" borderId="0" applyNumberFormat="0" applyBorder="0" applyAlignment="0" applyProtection="0"/>
    <xf numFmtId="0" fontId="28" fillId="0" borderId="3" applyNumberFormat="0" applyFill="0" applyAlignment="0" applyProtection="0"/>
    <xf numFmtId="0" fontId="29" fillId="0" borderId="4" applyNumberFormat="0" applyFill="0" applyAlignment="0" applyProtection="0"/>
    <xf numFmtId="0" fontId="30" fillId="0" borderId="5" applyNumberFormat="0" applyFill="0" applyAlignment="0" applyProtection="0"/>
    <xf numFmtId="0" fontId="30" fillId="0" borderId="0" applyNumberFormat="0" applyFill="0" applyBorder="0" applyAlignment="0" applyProtection="0"/>
    <xf numFmtId="0" fontId="31" fillId="31" borderId="1" applyNumberFormat="0" applyAlignment="0" applyProtection="0"/>
    <xf numFmtId="0" fontId="32" fillId="0" borderId="6" applyNumberFormat="0" applyFill="0" applyAlignment="0" applyProtection="0"/>
    <xf numFmtId="0" fontId="33" fillId="46" borderId="0" applyNumberFormat="0" applyBorder="0" applyAlignment="0" applyProtection="0"/>
    <xf numFmtId="0" fontId="34" fillId="0" borderId="0">
      <protection locked="0"/>
    </xf>
    <xf numFmtId="0" fontId="34" fillId="0" borderId="0"/>
    <xf numFmtId="0" fontId="34" fillId="0" borderId="0"/>
    <xf numFmtId="0" fontId="21" fillId="0" borderId="0">
      <protection locked="0"/>
    </xf>
    <xf numFmtId="0" fontId="21" fillId="0" borderId="0"/>
    <xf numFmtId="0" fontId="58" fillId="0" borderId="0">
      <protection locked="0"/>
    </xf>
    <xf numFmtId="0" fontId="1" fillId="0" borderId="0"/>
    <xf numFmtId="0" fontId="34" fillId="0" borderId="0">
      <protection locked="0"/>
    </xf>
    <xf numFmtId="0" fontId="34" fillId="0" borderId="0"/>
    <xf numFmtId="0" fontId="21" fillId="0" borderId="0">
      <protection locked="0"/>
    </xf>
    <xf numFmtId="0" fontId="21" fillId="0" borderId="0"/>
    <xf numFmtId="0" fontId="58" fillId="0" borderId="0">
      <protection locked="0"/>
    </xf>
    <xf numFmtId="0" fontId="1" fillId="0" borderId="0"/>
    <xf numFmtId="0" fontId="34" fillId="0" borderId="0"/>
    <xf numFmtId="0" fontId="21" fillId="0" borderId="0">
      <protection locked="0"/>
    </xf>
    <xf numFmtId="0" fontId="2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59" fillId="0" borderId="0">
      <alignment vertical="center"/>
    </xf>
    <xf numFmtId="0" fontId="1" fillId="0" borderId="0"/>
    <xf numFmtId="0" fontId="34" fillId="47" borderId="7" applyNumberFormat="0" applyFont="0" applyAlignment="0" applyProtection="0"/>
    <xf numFmtId="0" fontId="35" fillId="44" borderId="8" applyNumberFormat="0" applyAlignment="0" applyProtection="0"/>
    <xf numFmtId="0" fontId="60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3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28" borderId="0" applyNumberFormat="0" applyBorder="0" applyAlignment="0" applyProtection="0"/>
    <xf numFmtId="0" fontId="22" fillId="34" borderId="0" applyNumberFormat="0" applyBorder="0" applyAlignment="0" applyProtection="0"/>
    <xf numFmtId="0" fontId="21" fillId="33" borderId="0" applyNumberFormat="0" applyBorder="0" applyAlignment="0" applyProtection="0"/>
    <xf numFmtId="0" fontId="60" fillId="0" borderId="0" applyNumberFormat="0" applyFill="0" applyBorder="0" applyAlignment="0" applyProtection="0"/>
    <xf numFmtId="0" fontId="21" fillId="29" borderId="0" applyNumberFormat="0" applyBorder="0" applyAlignment="0" applyProtection="0"/>
    <xf numFmtId="0" fontId="22" fillId="37" borderId="0" applyNumberFormat="0" applyBorder="0" applyAlignment="0" applyProtection="0"/>
    <xf numFmtId="0" fontId="25" fillId="45" borderId="2" applyNumberFormat="0" applyAlignment="0" applyProtection="0"/>
    <xf numFmtId="0" fontId="30" fillId="0" borderId="0" applyNumberFormat="0" applyFill="0" applyBorder="0" applyAlignment="0" applyProtection="0"/>
    <xf numFmtId="0" fontId="21" fillId="32" borderId="0" applyNumberFormat="0" applyBorder="0" applyAlignment="0" applyProtection="0"/>
    <xf numFmtId="0" fontId="21" fillId="31" borderId="0" applyNumberFormat="0" applyBorder="0" applyAlignment="0" applyProtection="0"/>
    <xf numFmtId="0" fontId="22" fillId="33" borderId="0" applyNumberFormat="0" applyBorder="0" applyAlignment="0" applyProtection="0"/>
    <xf numFmtId="0" fontId="21" fillId="34" borderId="0" applyNumberFormat="0" applyBorder="0" applyAlignment="0" applyProtection="0"/>
    <xf numFmtId="0" fontId="21" fillId="0" borderId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2" fillId="36" borderId="0" applyNumberFormat="0" applyBorder="0" applyAlignment="0" applyProtection="0"/>
    <xf numFmtId="0" fontId="21" fillId="32" borderId="0" applyNumberFormat="0" applyBorder="0" applyAlignment="0" applyProtection="0"/>
    <xf numFmtId="0" fontId="21" fillId="29" borderId="0" applyNumberFormat="0" applyBorder="0" applyAlignment="0" applyProtection="0"/>
    <xf numFmtId="0" fontId="21" fillId="35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39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2" borderId="0" applyNumberFormat="0" applyBorder="0" applyAlignment="0" applyProtection="0"/>
    <xf numFmtId="0" fontId="22" fillId="38" borderId="0" applyNumberFormat="0" applyBorder="0" applyAlignment="0" applyProtection="0"/>
    <xf numFmtId="0" fontId="22" fillId="43" borderId="0" applyNumberFormat="0" applyBorder="0" applyAlignment="0" applyProtection="0"/>
    <xf numFmtId="0" fontId="23" fillId="27" borderId="0" applyNumberFormat="0" applyBorder="0" applyAlignment="0" applyProtection="0"/>
    <xf numFmtId="41" fontId="21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28" borderId="0" applyNumberFormat="0" applyBorder="0" applyAlignment="0" applyProtection="0"/>
    <xf numFmtId="0" fontId="28" fillId="0" borderId="3" applyNumberFormat="0" applyFill="0" applyAlignment="0" applyProtection="0"/>
    <xf numFmtId="0" fontId="29" fillId="0" borderId="4" applyNumberFormat="0" applyFill="0" applyAlignment="0" applyProtection="0"/>
    <xf numFmtId="0" fontId="30" fillId="0" borderId="5" applyNumberFormat="0" applyFill="0" applyAlignment="0" applyProtection="0"/>
    <xf numFmtId="0" fontId="32" fillId="0" borderId="6" applyNumberFormat="0" applyFill="0" applyAlignment="0" applyProtection="0"/>
    <xf numFmtId="0" fontId="33" fillId="4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1" fillId="0" borderId="0"/>
    <xf numFmtId="0" fontId="21" fillId="0" borderId="0"/>
    <xf numFmtId="0" fontId="34" fillId="0" borderId="0"/>
    <xf numFmtId="0" fontId="1" fillId="0" borderId="0"/>
    <xf numFmtId="0" fontId="34" fillId="0" borderId="0"/>
    <xf numFmtId="0" fontId="1" fillId="0" borderId="0"/>
    <xf numFmtId="0" fontId="21" fillId="0" borderId="0"/>
    <xf numFmtId="0" fontId="34" fillId="0" borderId="0"/>
    <xf numFmtId="0" fontId="38" fillId="0" borderId="0" applyNumberFormat="0" applyFill="0" applyBorder="0" applyAlignment="0" applyProtection="0"/>
    <xf numFmtId="0" fontId="1" fillId="0" borderId="0"/>
    <xf numFmtId="0" fontId="24" fillId="20" borderId="1" applyNumberFormat="0" applyAlignment="0" applyProtection="0"/>
    <xf numFmtId="0" fontId="31" fillId="7" borderId="1" applyNumberFormat="0" applyAlignment="0" applyProtection="0"/>
    <xf numFmtId="0" fontId="35" fillId="20" borderId="8" applyNumberFormat="0" applyAlignment="0" applyProtection="0"/>
    <xf numFmtId="0" fontId="1" fillId="0" borderId="0"/>
    <xf numFmtId="0" fontId="1" fillId="0" borderId="0"/>
    <xf numFmtId="0" fontId="34" fillId="23" borderId="7" applyNumberFormat="0" applyFont="0" applyAlignment="0" applyProtection="0"/>
    <xf numFmtId="41" fontId="4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40" borderId="0" applyNumberFormat="0" applyBorder="0" applyAlignment="0" applyProtection="0"/>
    <xf numFmtId="0" fontId="1" fillId="0" borderId="0"/>
    <xf numFmtId="0" fontId="25" fillId="45" borderId="2" applyNumberFormat="0" applyAlignment="0" applyProtection="0"/>
    <xf numFmtId="0" fontId="30" fillId="0" borderId="0" applyNumberFormat="0" applyFill="0" applyBorder="0" applyAlignment="0" applyProtection="0"/>
    <xf numFmtId="0" fontId="21" fillId="29" borderId="0" applyNumberFormat="0" applyBorder="0" applyAlignment="0" applyProtection="0"/>
    <xf numFmtId="0" fontId="21" fillId="32" borderId="0" applyNumberFormat="0" applyBorder="0" applyAlignment="0" applyProtection="0"/>
    <xf numFmtId="0" fontId="21" fillId="31" borderId="0" applyNumberFormat="0" applyBorder="0" applyAlignment="0" applyProtection="0"/>
    <xf numFmtId="0" fontId="22" fillId="33" borderId="0" applyNumberFormat="0" applyBorder="0" applyAlignment="0" applyProtection="0"/>
    <xf numFmtId="0" fontId="21" fillId="34" borderId="0" applyNumberFormat="0" applyBorder="0" applyAlignment="0" applyProtection="0"/>
    <xf numFmtId="0" fontId="21" fillId="0" borderId="0"/>
    <xf numFmtId="0" fontId="21" fillId="26" borderId="0" applyNumberFormat="0" applyBorder="0" applyAlignment="0" applyProtection="0"/>
    <xf numFmtId="0" fontId="21" fillId="33" borderId="0" applyNumberFormat="0" applyBorder="0" applyAlignment="0" applyProtection="0"/>
    <xf numFmtId="0" fontId="21" fillId="27" borderId="0" applyNumberFormat="0" applyBorder="0" applyAlignment="0" applyProtection="0"/>
    <xf numFmtId="0" fontId="24" fillId="20" borderId="1" applyNumberFormat="0" applyAlignment="0" applyProtection="0"/>
    <xf numFmtId="0" fontId="21" fillId="28" borderId="0" applyNumberFormat="0" applyBorder="0" applyAlignment="0" applyProtection="0"/>
    <xf numFmtId="0" fontId="21" fillId="30" borderId="0" applyNumberFormat="0" applyBorder="0" applyAlignment="0" applyProtection="0"/>
    <xf numFmtId="0" fontId="22" fillId="36" borderId="0" applyNumberFormat="0" applyBorder="0" applyAlignment="0" applyProtection="0"/>
    <xf numFmtId="0" fontId="21" fillId="32" borderId="0" applyNumberFormat="0" applyBorder="0" applyAlignment="0" applyProtection="0"/>
    <xf numFmtId="0" fontId="21" fillId="29" borderId="0" applyNumberFormat="0" applyBorder="0" applyAlignment="0" applyProtection="0"/>
    <xf numFmtId="0" fontId="21" fillId="35" borderId="0" applyNumberFormat="0" applyBorder="0" applyAlignment="0" applyProtection="0"/>
    <xf numFmtId="0" fontId="22" fillId="34" borderId="0" applyNumberFormat="0" applyBorder="0" applyAlignment="0" applyProtection="0"/>
    <xf numFmtId="0" fontId="22" fillId="37" borderId="0" applyNumberFormat="0" applyBorder="0" applyAlignment="0" applyProtection="0"/>
    <xf numFmtId="0" fontId="31" fillId="7" borderId="1" applyNumberFormat="0" applyAlignment="0" applyProtection="0"/>
    <xf numFmtId="0" fontId="22" fillId="38" borderId="0" applyNumberFormat="0" applyBorder="0" applyAlignment="0" applyProtection="0"/>
    <xf numFmtId="0" fontId="22" fillId="39" borderId="0" applyNumberFormat="0" applyBorder="0" applyAlignment="0" applyProtection="0"/>
    <xf numFmtId="0" fontId="22" fillId="41" borderId="0" applyNumberFormat="0" applyBorder="0" applyAlignment="0" applyProtection="0"/>
    <xf numFmtId="0" fontId="22" fillId="42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3" fillId="27" borderId="0" applyNumberFormat="0" applyBorder="0" applyAlignment="0" applyProtection="0"/>
    <xf numFmtId="0" fontId="1" fillId="0" borderId="0"/>
    <xf numFmtId="0" fontId="27" fillId="28" borderId="0" applyNumberFormat="0" applyBorder="0" applyAlignment="0" applyProtection="0"/>
    <xf numFmtId="0" fontId="28" fillId="0" borderId="3" applyNumberFormat="0" applyFill="0" applyAlignment="0" applyProtection="0"/>
    <xf numFmtId="0" fontId="34" fillId="23" borderId="7" applyNumberFormat="0" applyFont="0" applyAlignment="0" applyProtection="0"/>
    <xf numFmtId="0" fontId="35" fillId="20" borderId="8" applyNumberFormat="0" applyAlignment="0" applyProtection="0"/>
    <xf numFmtId="0" fontId="29" fillId="0" borderId="4" applyNumberFormat="0" applyFill="0" applyAlignment="0" applyProtection="0"/>
    <xf numFmtId="0" fontId="26" fillId="0" borderId="0" applyNumberFormat="0" applyFill="0" applyBorder="0" applyAlignment="0" applyProtection="0"/>
    <xf numFmtId="0" fontId="22" fillId="43" borderId="0" applyNumberFormat="0" applyBorder="0" applyAlignment="0" applyProtection="0"/>
    <xf numFmtId="41" fontId="21" fillId="0" borderId="0" applyFont="0" applyFill="0" applyBorder="0" applyAlignment="0" applyProtection="0"/>
    <xf numFmtId="0" fontId="30" fillId="0" borderId="5" applyNumberFormat="0" applyFill="0" applyAlignment="0" applyProtection="0"/>
    <xf numFmtId="0" fontId="32" fillId="0" borderId="6" applyNumberFormat="0" applyFill="0" applyAlignment="0" applyProtection="0"/>
    <xf numFmtId="0" fontId="33" fillId="4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1" fillId="0" borderId="0"/>
    <xf numFmtId="0" fontId="21" fillId="0" borderId="0"/>
    <xf numFmtId="0" fontId="34" fillId="0" borderId="0"/>
    <xf numFmtId="0" fontId="1" fillId="0" borderId="0"/>
    <xf numFmtId="0" fontId="1" fillId="0" borderId="0"/>
    <xf numFmtId="0" fontId="21" fillId="0" borderId="0"/>
    <xf numFmtId="0" fontId="34" fillId="0" borderId="0"/>
    <xf numFmtId="0" fontId="60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1" fillId="0" borderId="0"/>
    <xf numFmtId="0" fontId="1" fillId="0" borderId="0"/>
    <xf numFmtId="0" fontId="12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28" borderId="0" applyNumberFormat="0" applyBorder="0" applyAlignment="0" applyProtection="0"/>
    <xf numFmtId="0" fontId="22" fillId="34" borderId="0" applyNumberFormat="0" applyBorder="0" applyAlignment="0" applyProtection="0"/>
    <xf numFmtId="0" fontId="21" fillId="33" borderId="0" applyNumberFormat="0" applyBorder="0" applyAlignment="0" applyProtection="0"/>
    <xf numFmtId="0" fontId="60" fillId="0" borderId="0" applyNumberFormat="0" applyFill="0" applyBorder="0" applyAlignment="0" applyProtection="0"/>
    <xf numFmtId="0" fontId="21" fillId="29" borderId="0" applyNumberFormat="0" applyBorder="0" applyAlignment="0" applyProtection="0"/>
    <xf numFmtId="0" fontId="22" fillId="37" borderId="0" applyNumberFormat="0" applyBorder="0" applyAlignment="0" applyProtection="0"/>
    <xf numFmtId="0" fontId="25" fillId="45" borderId="2" applyNumberFormat="0" applyAlignment="0" applyProtection="0"/>
    <xf numFmtId="0" fontId="30" fillId="0" borderId="0" applyNumberFormat="0" applyFill="0" applyBorder="0" applyAlignment="0" applyProtection="0"/>
    <xf numFmtId="0" fontId="21" fillId="32" borderId="0" applyNumberFormat="0" applyBorder="0" applyAlignment="0" applyProtection="0"/>
    <xf numFmtId="0" fontId="21" fillId="31" borderId="0" applyNumberFormat="0" applyBorder="0" applyAlignment="0" applyProtection="0"/>
    <xf numFmtId="0" fontId="22" fillId="33" borderId="0" applyNumberFormat="0" applyBorder="0" applyAlignment="0" applyProtection="0"/>
    <xf numFmtId="0" fontId="21" fillId="34" borderId="0" applyNumberFormat="0" applyBorder="0" applyAlignment="0" applyProtection="0"/>
    <xf numFmtId="0" fontId="21" fillId="0" borderId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2" fillId="36" borderId="0" applyNumberFormat="0" applyBorder="0" applyAlignment="0" applyProtection="0"/>
    <xf numFmtId="0" fontId="21" fillId="32" borderId="0" applyNumberFormat="0" applyBorder="0" applyAlignment="0" applyProtection="0"/>
    <xf numFmtId="0" fontId="21" fillId="29" borderId="0" applyNumberFormat="0" applyBorder="0" applyAlignment="0" applyProtection="0"/>
    <xf numFmtId="0" fontId="21" fillId="35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39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2" borderId="0" applyNumberFormat="0" applyBorder="0" applyAlignment="0" applyProtection="0"/>
    <xf numFmtId="0" fontId="22" fillId="38" borderId="0" applyNumberFormat="0" applyBorder="0" applyAlignment="0" applyProtection="0"/>
    <xf numFmtId="0" fontId="22" fillId="43" borderId="0" applyNumberFormat="0" applyBorder="0" applyAlignment="0" applyProtection="0"/>
    <xf numFmtId="0" fontId="23" fillId="27" borderId="0" applyNumberFormat="0" applyBorder="0" applyAlignment="0" applyProtection="0"/>
    <xf numFmtId="41" fontId="21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28" borderId="0" applyNumberFormat="0" applyBorder="0" applyAlignment="0" applyProtection="0"/>
    <xf numFmtId="0" fontId="28" fillId="0" borderId="3" applyNumberFormat="0" applyFill="0" applyAlignment="0" applyProtection="0"/>
    <xf numFmtId="0" fontId="29" fillId="0" borderId="4" applyNumberFormat="0" applyFill="0" applyAlignment="0" applyProtection="0"/>
    <xf numFmtId="0" fontId="30" fillId="0" borderId="5" applyNumberFormat="0" applyFill="0" applyAlignment="0" applyProtection="0"/>
    <xf numFmtId="0" fontId="32" fillId="0" borderId="6" applyNumberFormat="0" applyFill="0" applyAlignment="0" applyProtection="0"/>
    <xf numFmtId="0" fontId="33" fillId="4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1" fillId="0" borderId="0"/>
    <xf numFmtId="0" fontId="21" fillId="0" borderId="0"/>
    <xf numFmtId="0" fontId="34" fillId="0" borderId="0"/>
    <xf numFmtId="0" fontId="1" fillId="0" borderId="0"/>
    <xf numFmtId="0" fontId="34" fillId="0" borderId="0"/>
    <xf numFmtId="0" fontId="1" fillId="0" borderId="0"/>
    <xf numFmtId="0" fontId="21" fillId="0" borderId="0"/>
    <xf numFmtId="0" fontId="34" fillId="0" borderId="0"/>
    <xf numFmtId="0" fontId="38" fillId="0" borderId="0" applyNumberFormat="0" applyFill="0" applyBorder="0" applyAlignment="0" applyProtection="0"/>
    <xf numFmtId="0" fontId="1" fillId="0" borderId="0"/>
    <xf numFmtId="0" fontId="24" fillId="20" borderId="1" applyNumberFormat="0" applyAlignment="0" applyProtection="0"/>
    <xf numFmtId="0" fontId="31" fillId="7" borderId="1" applyNumberFormat="0" applyAlignment="0" applyProtection="0"/>
    <xf numFmtId="0" fontId="35" fillId="20" borderId="8" applyNumberFormat="0" applyAlignment="0" applyProtection="0"/>
    <xf numFmtId="0" fontId="1" fillId="0" borderId="0"/>
    <xf numFmtId="0" fontId="1" fillId="0" borderId="0"/>
    <xf numFmtId="0" fontId="34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40" borderId="0" applyNumberFormat="0" applyBorder="0" applyAlignment="0" applyProtection="0"/>
    <xf numFmtId="0" fontId="1" fillId="0" borderId="0"/>
    <xf numFmtId="0" fontId="25" fillId="45" borderId="2" applyNumberFormat="0" applyAlignment="0" applyProtection="0"/>
    <xf numFmtId="0" fontId="30" fillId="0" borderId="0" applyNumberFormat="0" applyFill="0" applyBorder="0" applyAlignment="0" applyProtection="0"/>
    <xf numFmtId="0" fontId="21" fillId="29" borderId="0" applyNumberFormat="0" applyBorder="0" applyAlignment="0" applyProtection="0"/>
    <xf numFmtId="0" fontId="21" fillId="32" borderId="0" applyNumberFormat="0" applyBorder="0" applyAlignment="0" applyProtection="0"/>
    <xf numFmtId="0" fontId="21" fillId="31" borderId="0" applyNumberFormat="0" applyBorder="0" applyAlignment="0" applyProtection="0"/>
    <xf numFmtId="0" fontId="22" fillId="33" borderId="0" applyNumberFormat="0" applyBorder="0" applyAlignment="0" applyProtection="0"/>
    <xf numFmtId="0" fontId="21" fillId="34" borderId="0" applyNumberFormat="0" applyBorder="0" applyAlignment="0" applyProtection="0"/>
    <xf numFmtId="0" fontId="21" fillId="0" borderId="0"/>
    <xf numFmtId="0" fontId="21" fillId="26" borderId="0" applyNumberFormat="0" applyBorder="0" applyAlignment="0" applyProtection="0"/>
    <xf numFmtId="0" fontId="21" fillId="33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30" borderId="0" applyNumberFormat="0" applyBorder="0" applyAlignment="0" applyProtection="0"/>
    <xf numFmtId="0" fontId="22" fillId="36" borderId="0" applyNumberFormat="0" applyBorder="0" applyAlignment="0" applyProtection="0"/>
    <xf numFmtId="0" fontId="21" fillId="32" borderId="0" applyNumberFormat="0" applyBorder="0" applyAlignment="0" applyProtection="0"/>
    <xf numFmtId="0" fontId="21" fillId="29" borderId="0" applyNumberFormat="0" applyBorder="0" applyAlignment="0" applyProtection="0"/>
    <xf numFmtId="0" fontId="21" fillId="35" borderId="0" applyNumberFormat="0" applyBorder="0" applyAlignment="0" applyProtection="0"/>
    <xf numFmtId="0" fontId="22" fillId="34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39" borderId="0" applyNumberFormat="0" applyBorder="0" applyAlignment="0" applyProtection="0"/>
    <xf numFmtId="0" fontId="22" fillId="41" borderId="0" applyNumberFormat="0" applyBorder="0" applyAlignment="0" applyProtection="0"/>
    <xf numFmtId="0" fontId="22" fillId="42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3" fillId="27" borderId="0" applyNumberFormat="0" applyBorder="0" applyAlignment="0" applyProtection="0"/>
    <xf numFmtId="0" fontId="1" fillId="0" borderId="0"/>
    <xf numFmtId="0" fontId="27" fillId="28" borderId="0" applyNumberFormat="0" applyBorder="0" applyAlignment="0" applyProtection="0"/>
    <xf numFmtId="0" fontId="28" fillId="0" borderId="3" applyNumberFormat="0" applyFill="0" applyAlignment="0" applyProtection="0"/>
    <xf numFmtId="0" fontId="29" fillId="0" borderId="4" applyNumberFormat="0" applyFill="0" applyAlignment="0" applyProtection="0"/>
    <xf numFmtId="0" fontId="26" fillId="0" borderId="0" applyNumberFormat="0" applyFill="0" applyBorder="0" applyAlignment="0" applyProtection="0"/>
    <xf numFmtId="0" fontId="22" fillId="43" borderId="0" applyNumberFormat="0" applyBorder="0" applyAlignment="0" applyProtection="0"/>
    <xf numFmtId="41" fontId="21" fillId="0" borderId="0" applyFont="0" applyFill="0" applyBorder="0" applyAlignment="0" applyProtection="0"/>
    <xf numFmtId="0" fontId="30" fillId="0" borderId="5" applyNumberFormat="0" applyFill="0" applyAlignment="0" applyProtection="0"/>
    <xf numFmtId="0" fontId="32" fillId="0" borderId="6" applyNumberFormat="0" applyFill="0" applyAlignment="0" applyProtection="0"/>
    <xf numFmtId="0" fontId="33" fillId="4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1" fillId="0" borderId="0"/>
    <xf numFmtId="0" fontId="21" fillId="0" borderId="0"/>
    <xf numFmtId="0" fontId="34" fillId="0" borderId="0"/>
    <xf numFmtId="0" fontId="1" fillId="0" borderId="0"/>
    <xf numFmtId="0" fontId="1" fillId="0" borderId="0"/>
    <xf numFmtId="0" fontId="21" fillId="0" borderId="0"/>
    <xf numFmtId="0" fontId="34" fillId="0" borderId="0"/>
    <xf numFmtId="0" fontId="60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59" fillId="0" borderId="0">
      <alignment vertical="center"/>
    </xf>
    <xf numFmtId="0" fontId="26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4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2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2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4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2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2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1036">
    <xf numFmtId="0" fontId="0" fillId="0" borderId="0" xfId="0"/>
    <xf numFmtId="0" fontId="53" fillId="0" borderId="0" xfId="0" applyFont="1" applyAlignment="1" applyProtection="1">
      <alignment horizontal="center" vertical="center"/>
      <protection locked="0"/>
    </xf>
    <xf numFmtId="0" fontId="54" fillId="0" borderId="0" xfId="0" applyFont="1" applyProtection="1">
      <protection locked="0"/>
    </xf>
    <xf numFmtId="0" fontId="52" fillId="0" borderId="0" xfId="0" applyFont="1" applyProtection="1">
      <protection locked="0"/>
    </xf>
    <xf numFmtId="0" fontId="0" fillId="0" borderId="0" xfId="0" applyProtection="1">
      <protection locked="0"/>
    </xf>
    <xf numFmtId="0" fontId="50" fillId="0" borderId="0" xfId="41" applyProtection="1">
      <protection locked="0"/>
    </xf>
    <xf numFmtId="0" fontId="34" fillId="0" borderId="0" xfId="42" applyProtection="1">
      <protection locked="0"/>
    </xf>
    <xf numFmtId="0" fontId="34" fillId="0" borderId="0" xfId="38" applyProtection="1">
      <protection locked="0"/>
    </xf>
    <xf numFmtId="0" fontId="51" fillId="0" borderId="0" xfId="44" applyProtection="1">
      <protection locked="0"/>
    </xf>
    <xf numFmtId="0" fontId="50" fillId="0" borderId="0" xfId="43" applyProtection="1">
      <protection locked="0"/>
    </xf>
    <xf numFmtId="0" fontId="39" fillId="0" borderId="0" xfId="38" applyFont="1" applyProtection="1">
      <protection locked="0"/>
    </xf>
    <xf numFmtId="0" fontId="34" fillId="0" borderId="0" xfId="38" applyAlignment="1" applyProtection="1">
      <alignment horizontal="center"/>
      <protection locked="0"/>
    </xf>
    <xf numFmtId="0" fontId="41" fillId="0" borderId="0" xfId="38" applyFont="1" applyAlignment="1">
      <alignment horizontal="center"/>
    </xf>
    <xf numFmtId="0" fontId="52" fillId="25" borderId="0" xfId="44" applyFont="1" applyFill="1" applyAlignment="1" applyProtection="1">
      <alignment vertical="center"/>
      <protection locked="0"/>
    </xf>
    <xf numFmtId="0" fontId="104" fillId="48" borderId="0" xfId="0" applyFont="1" applyFill="1" applyAlignment="1" applyProtection="1">
      <alignment horizontal="center" vertical="center"/>
      <protection locked="0"/>
    </xf>
    <xf numFmtId="0" fontId="55" fillId="25" borderId="0" xfId="44" applyFont="1" applyFill="1" applyAlignment="1" applyProtection="1">
      <alignment vertical="center"/>
      <protection locked="0"/>
    </xf>
    <xf numFmtId="0" fontId="52" fillId="25" borderId="0" xfId="44" applyFont="1" applyFill="1" applyAlignment="1">
      <alignment vertical="center"/>
    </xf>
    <xf numFmtId="0" fontId="55" fillId="25" borderId="0" xfId="44" applyFont="1" applyFill="1" applyAlignment="1">
      <alignment vertical="center"/>
    </xf>
    <xf numFmtId="0" fontId="105" fillId="0" borderId="0" xfId="0" applyFont="1"/>
    <xf numFmtId="0" fontId="106" fillId="0" borderId="0" xfId="0" applyFont="1"/>
    <xf numFmtId="0" fontId="107" fillId="0" borderId="0" xfId="44" applyFont="1" applyAlignment="1">
      <alignment vertical="center"/>
    </xf>
    <xf numFmtId="0" fontId="108" fillId="0" borderId="0" xfId="44" applyFont="1" applyAlignment="1">
      <alignment vertical="center"/>
    </xf>
    <xf numFmtId="0" fontId="108" fillId="0" borderId="0" xfId="44" applyFont="1" applyAlignment="1" applyProtection="1">
      <alignment vertical="center"/>
      <protection locked="0"/>
    </xf>
    <xf numFmtId="0" fontId="109" fillId="0" borderId="0" xfId="44" applyFont="1" applyAlignment="1" applyProtection="1">
      <alignment vertical="center"/>
      <protection locked="0"/>
    </xf>
    <xf numFmtId="0" fontId="41" fillId="0" borderId="0" xfId="46" applyFont="1" applyAlignment="1">
      <alignment vertical="center"/>
    </xf>
    <xf numFmtId="0" fontId="108" fillId="0" borderId="10" xfId="44" applyFont="1" applyBorder="1" applyAlignment="1">
      <alignment vertical="center"/>
    </xf>
    <xf numFmtId="0" fontId="108" fillId="0" borderId="10" xfId="44" applyFont="1" applyBorder="1" applyAlignment="1">
      <alignment horizontal="center" vertical="center"/>
    </xf>
    <xf numFmtId="0" fontId="112" fillId="0" borderId="0" xfId="0" applyFont="1"/>
    <xf numFmtId="0" fontId="107" fillId="0" borderId="0" xfId="44" applyFont="1" applyAlignment="1">
      <alignment horizontal="left" vertical="center"/>
    </xf>
    <xf numFmtId="0" fontId="110" fillId="0" borderId="0" xfId="0" applyFont="1" applyAlignment="1" applyProtection="1">
      <alignment horizontal="center" vertical="center"/>
      <protection locked="0"/>
    </xf>
    <xf numFmtId="0" fontId="110" fillId="0" borderId="0" xfId="0" applyFont="1" applyAlignment="1">
      <alignment horizontal="center" vertical="center"/>
    </xf>
    <xf numFmtId="0" fontId="111" fillId="0" borderId="0" xfId="0" applyFont="1" applyAlignment="1">
      <alignment horizontal="center" vertical="center"/>
    </xf>
    <xf numFmtId="17" fontId="111" fillId="0" borderId="0" xfId="0" applyNumberFormat="1" applyFont="1" applyAlignment="1">
      <alignment horizontal="left" vertical="center"/>
    </xf>
    <xf numFmtId="0" fontId="111" fillId="0" borderId="10" xfId="0" applyFont="1" applyBorder="1" applyAlignment="1">
      <alignment horizontal="center" vertical="center"/>
    </xf>
    <xf numFmtId="166" fontId="111" fillId="0" borderId="10" xfId="42" applyNumberFormat="1" applyFont="1" applyBorder="1" applyAlignment="1">
      <alignment horizontal="left" vertical="center"/>
    </xf>
    <xf numFmtId="3" fontId="111" fillId="0" borderId="10" xfId="42" applyNumberFormat="1" applyFont="1" applyBorder="1" applyAlignment="1">
      <alignment horizontal="center" vertical="center"/>
    </xf>
    <xf numFmtId="3" fontId="111" fillId="0" borderId="10" xfId="0" applyNumberFormat="1" applyFont="1" applyBorder="1" applyAlignment="1">
      <alignment horizontal="center" vertical="center"/>
    </xf>
    <xf numFmtId="4" fontId="111" fillId="0" borderId="10" xfId="0" applyNumberFormat="1" applyFont="1" applyBorder="1" applyAlignment="1">
      <alignment horizontal="center" vertical="center"/>
    </xf>
    <xf numFmtId="0" fontId="111" fillId="0" borderId="10" xfId="0" applyFont="1" applyBorder="1" applyAlignment="1" applyProtection="1">
      <alignment horizontal="center" vertical="center"/>
      <protection locked="0"/>
    </xf>
    <xf numFmtId="49" fontId="111" fillId="0" borderId="0" xfId="0" quotePrefix="1" applyNumberFormat="1" applyFont="1" applyAlignment="1">
      <alignment horizontal="left" vertical="center"/>
    </xf>
    <xf numFmtId="0" fontId="111" fillId="0" borderId="10" xfId="38" applyFont="1" applyBorder="1" applyAlignment="1" applyProtection="1">
      <alignment horizontal="center" vertical="center"/>
      <protection locked="0"/>
    </xf>
    <xf numFmtId="0" fontId="111" fillId="0" borderId="10" xfId="38" applyFont="1" applyBorder="1" applyAlignment="1">
      <alignment horizontal="center" vertical="center"/>
    </xf>
    <xf numFmtId="3" fontId="111" fillId="0" borderId="10" xfId="38" applyNumberFormat="1" applyFont="1" applyBorder="1" applyAlignment="1">
      <alignment horizontal="center" vertical="center"/>
    </xf>
    <xf numFmtId="0" fontId="110" fillId="0" borderId="0" xfId="44" applyFont="1" applyAlignment="1" applyProtection="1">
      <alignment horizontal="center" vertical="center"/>
      <protection locked="0"/>
    </xf>
    <xf numFmtId="17" fontId="111" fillId="0" borderId="0" xfId="0" quotePrefix="1" applyNumberFormat="1" applyFont="1" applyAlignment="1">
      <alignment horizontal="left" vertical="center"/>
    </xf>
    <xf numFmtId="0" fontId="104" fillId="49" borderId="0" xfId="0" applyFont="1" applyFill="1" applyAlignment="1" applyProtection="1">
      <alignment horizontal="center" vertical="center"/>
      <protection locked="0"/>
    </xf>
    <xf numFmtId="0" fontId="111" fillId="0" borderId="42" xfId="0" applyFont="1" applyBorder="1" applyAlignment="1">
      <alignment horizontal="center" vertical="center"/>
    </xf>
    <xf numFmtId="166" fontId="111" fillId="0" borderId="42" xfId="42" applyNumberFormat="1" applyFont="1" applyBorder="1" applyAlignment="1">
      <alignment horizontal="left" vertical="center"/>
    </xf>
    <xf numFmtId="3" fontId="111" fillId="0" borderId="42" xfId="42" applyNumberFormat="1" applyFont="1" applyBorder="1" applyAlignment="1">
      <alignment horizontal="center" vertical="center"/>
    </xf>
    <xf numFmtId="3" fontId="111" fillId="0" borderId="42" xfId="0" applyNumberFormat="1" applyFont="1" applyBorder="1" applyAlignment="1">
      <alignment horizontal="center" vertical="center"/>
    </xf>
    <xf numFmtId="4" fontId="111" fillId="0" borderId="42" xfId="0" applyNumberFormat="1" applyFont="1" applyBorder="1" applyAlignment="1">
      <alignment horizontal="center" vertical="center"/>
    </xf>
    <xf numFmtId="0" fontId="111" fillId="0" borderId="42" xfId="0" applyFont="1" applyBorder="1" applyAlignment="1" applyProtection="1">
      <alignment horizontal="center" vertical="center"/>
      <protection locked="0"/>
    </xf>
    <xf numFmtId="0" fontId="53" fillId="49" borderId="0" xfId="0" applyFont="1" applyFill="1" applyAlignment="1" applyProtection="1">
      <alignment horizontal="center" vertical="center"/>
      <protection locked="0"/>
    </xf>
    <xf numFmtId="0" fontId="111" fillId="0" borderId="42" xfId="38" applyFont="1" applyBorder="1" applyAlignment="1" applyProtection="1">
      <alignment horizontal="center" vertical="center"/>
      <protection locked="0"/>
    </xf>
    <xf numFmtId="0" fontId="111" fillId="0" borderId="42" xfId="38" applyFont="1" applyBorder="1" applyAlignment="1">
      <alignment horizontal="center" vertical="center"/>
    </xf>
    <xf numFmtId="3" fontId="111" fillId="0" borderId="42" xfId="38" applyNumberFormat="1" applyFont="1" applyBorder="1" applyAlignment="1">
      <alignment horizontal="center" vertical="center"/>
    </xf>
    <xf numFmtId="0" fontId="111" fillId="0" borderId="13" xfId="0" applyFont="1" applyBorder="1" applyAlignment="1">
      <alignment horizontal="center" vertical="center"/>
    </xf>
    <xf numFmtId="166" fontId="111" fillId="0" borderId="13" xfId="42" applyNumberFormat="1" applyFont="1" applyBorder="1" applyAlignment="1">
      <alignment horizontal="left" vertical="center"/>
    </xf>
    <xf numFmtId="3" fontId="111" fillId="0" borderId="13" xfId="42" applyNumberFormat="1" applyFont="1" applyBorder="1" applyAlignment="1">
      <alignment horizontal="center" vertical="center"/>
    </xf>
    <xf numFmtId="3" fontId="111" fillId="0" borderId="13" xfId="0" applyNumberFormat="1" applyFont="1" applyBorder="1" applyAlignment="1">
      <alignment horizontal="center" vertical="center"/>
    </xf>
    <xf numFmtId="4" fontId="111" fillId="0" borderId="13" xfId="0" applyNumberFormat="1" applyFont="1" applyBorder="1" applyAlignment="1">
      <alignment horizontal="center" vertical="center"/>
    </xf>
    <xf numFmtId="0" fontId="111" fillId="0" borderId="13" xfId="38" applyFont="1" applyBorder="1" applyAlignment="1" applyProtection="1">
      <alignment horizontal="center" vertical="center"/>
      <protection locked="0"/>
    </xf>
    <xf numFmtId="0" fontId="111" fillId="0" borderId="13" xfId="38" applyFont="1" applyBorder="1" applyAlignment="1">
      <alignment horizontal="center" vertical="center"/>
    </xf>
    <xf numFmtId="3" fontId="111" fillId="0" borderId="13" xfId="38" applyNumberFormat="1" applyFont="1" applyBorder="1" applyAlignment="1">
      <alignment horizontal="center" vertical="center"/>
    </xf>
    <xf numFmtId="0" fontId="111" fillId="0" borderId="13" xfId="0" applyFont="1" applyBorder="1" applyAlignment="1" applyProtection="1">
      <alignment horizontal="center" vertical="center"/>
      <protection locked="0"/>
    </xf>
    <xf numFmtId="0" fontId="104" fillId="49" borderId="57" xfId="0" applyFont="1" applyFill="1" applyBorder="1" applyAlignment="1" applyProtection="1">
      <alignment horizontal="center" vertical="center"/>
      <protection locked="0"/>
    </xf>
    <xf numFmtId="0" fontId="104" fillId="49" borderId="62" xfId="0" applyFont="1" applyFill="1" applyBorder="1" applyAlignment="1" applyProtection="1">
      <alignment horizontal="center" vertical="center"/>
      <protection locked="0"/>
    </xf>
    <xf numFmtId="0" fontId="114" fillId="0" borderId="0" xfId="0" applyFont="1" applyProtection="1">
      <protection locked="0"/>
    </xf>
    <xf numFmtId="0" fontId="114" fillId="50" borderId="0" xfId="0" applyFont="1" applyFill="1" applyProtection="1">
      <protection locked="0"/>
    </xf>
    <xf numFmtId="0" fontId="39" fillId="0" borderId="0" xfId="42" applyFont="1" applyAlignment="1" applyProtection="1">
      <alignment horizontal="center"/>
      <protection locked="0"/>
    </xf>
    <xf numFmtId="0" fontId="51" fillId="0" borderId="0" xfId="44" applyAlignment="1" applyProtection="1">
      <alignment horizontal="center"/>
      <protection locked="0"/>
    </xf>
    <xf numFmtId="0" fontId="34" fillId="0" borderId="0" xfId="42" applyAlignment="1" applyProtection="1">
      <alignment horizontal="center"/>
      <protection locked="0"/>
    </xf>
    <xf numFmtId="0" fontId="54" fillId="50" borderId="0" xfId="0" applyFont="1" applyFill="1" applyProtection="1">
      <protection locked="0"/>
    </xf>
    <xf numFmtId="0" fontId="106" fillId="0" borderId="0" xfId="0" applyFont="1" applyAlignment="1">
      <alignment vertical="center"/>
    </xf>
    <xf numFmtId="0" fontId="116" fillId="0" borderId="0" xfId="0" applyFont="1" applyProtection="1">
      <protection locked="0"/>
    </xf>
    <xf numFmtId="0" fontId="106" fillId="0" borderId="0" xfId="0" applyFont="1" applyProtection="1">
      <protection locked="0"/>
    </xf>
    <xf numFmtId="0" fontId="107" fillId="0" borderId="0" xfId="54" applyFont="1" applyAlignment="1">
      <alignment vertical="center"/>
    </xf>
    <xf numFmtId="0" fontId="110" fillId="0" borderId="0" xfId="0" applyFont="1" applyProtection="1">
      <protection locked="0"/>
    </xf>
    <xf numFmtId="0" fontId="108" fillId="0" borderId="0" xfId="54" applyFont="1" applyAlignment="1">
      <alignment horizontal="center" vertical="center"/>
    </xf>
    <xf numFmtId="0" fontId="108" fillId="0" borderId="0" xfId="54" applyFont="1" applyAlignment="1">
      <alignment horizontal="left" vertical="center"/>
    </xf>
    <xf numFmtId="3" fontId="111" fillId="0" borderId="25" xfId="0" applyNumberFormat="1" applyFont="1" applyBorder="1" applyAlignment="1">
      <alignment horizontal="center" vertical="center"/>
    </xf>
    <xf numFmtId="0" fontId="111" fillId="0" borderId="12" xfId="54" applyFont="1" applyBorder="1" applyAlignment="1">
      <alignment horizontal="center" vertical="center"/>
    </xf>
    <xf numFmtId="2" fontId="118" fillId="0" borderId="12" xfId="54" applyNumberFormat="1" applyFont="1" applyBorder="1" applyAlignment="1">
      <alignment horizontal="center" vertical="center"/>
    </xf>
    <xf numFmtId="3" fontId="111" fillId="0" borderId="26" xfId="0" applyNumberFormat="1" applyFont="1" applyBorder="1" applyAlignment="1">
      <alignment horizontal="center" vertical="center"/>
    </xf>
    <xf numFmtId="0" fontId="111" fillId="0" borderId="26" xfId="54" applyFont="1" applyBorder="1" applyAlignment="1">
      <alignment horizontal="center" vertical="center"/>
    </xf>
    <xf numFmtId="3" fontId="111" fillId="0" borderId="26" xfId="54" applyNumberFormat="1" applyFont="1" applyBorder="1" applyAlignment="1">
      <alignment horizontal="center" vertical="center"/>
    </xf>
    <xf numFmtId="2" fontId="118" fillId="0" borderId="26" xfId="54" applyNumberFormat="1" applyFont="1" applyBorder="1" applyAlignment="1">
      <alignment horizontal="center" vertical="center"/>
    </xf>
    <xf numFmtId="0" fontId="111" fillId="0" borderId="14" xfId="54" applyFont="1" applyBorder="1" applyAlignment="1">
      <alignment horizontal="center" vertical="center"/>
    </xf>
    <xf numFmtId="2" fontId="118" fillId="0" borderId="14" xfId="54" applyNumberFormat="1" applyFont="1" applyBorder="1" applyAlignment="1">
      <alignment horizontal="center" vertical="center"/>
    </xf>
    <xf numFmtId="3" fontId="111" fillId="0" borderId="27" xfId="0" applyNumberFormat="1" applyFont="1" applyBorder="1" applyAlignment="1">
      <alignment horizontal="center" vertical="center"/>
    </xf>
    <xf numFmtId="3" fontId="111" fillId="0" borderId="14" xfId="54" applyNumberFormat="1" applyFont="1" applyBorder="1" applyAlignment="1">
      <alignment horizontal="center" vertical="center"/>
    </xf>
    <xf numFmtId="0" fontId="111" fillId="0" borderId="25" xfId="54" applyFont="1" applyBorder="1" applyAlignment="1">
      <alignment horizontal="center" vertical="center"/>
    </xf>
    <xf numFmtId="0" fontId="111" fillId="0" borderId="27" xfId="54" applyFont="1" applyBorder="1" applyAlignment="1">
      <alignment horizontal="center" vertical="center"/>
    </xf>
    <xf numFmtId="3" fontId="111" fillId="0" borderId="28" xfId="0" applyNumberFormat="1" applyFont="1" applyBorder="1" applyAlignment="1">
      <alignment horizontal="center" vertical="center"/>
    </xf>
    <xf numFmtId="2" fontId="118" fillId="0" borderId="35" xfId="54" applyNumberFormat="1" applyFont="1" applyBorder="1" applyAlignment="1">
      <alignment horizontal="center" vertical="center"/>
    </xf>
    <xf numFmtId="0" fontId="111" fillId="0" borderId="35" xfId="54" applyFont="1" applyBorder="1" applyAlignment="1">
      <alignment horizontal="center" vertical="center"/>
    </xf>
    <xf numFmtId="1" fontId="111" fillId="0" borderId="14" xfId="54" applyNumberFormat="1" applyFont="1" applyBorder="1" applyAlignment="1">
      <alignment horizontal="center" vertical="center"/>
    </xf>
    <xf numFmtId="1" fontId="111" fillId="0" borderId="26" xfId="54" applyNumberFormat="1" applyFont="1" applyBorder="1" applyAlignment="1">
      <alignment horizontal="center" vertical="center"/>
    </xf>
    <xf numFmtId="0" fontId="109" fillId="0" borderId="0" xfId="54" applyFont="1" applyAlignment="1">
      <alignment horizontal="center" vertical="center"/>
    </xf>
    <xf numFmtId="0" fontId="40" fillId="0" borderId="25" xfId="0" applyFont="1" applyBorder="1" applyAlignment="1">
      <alignment horizontal="center" vertical="center"/>
    </xf>
    <xf numFmtId="0" fontId="40" fillId="0" borderId="26" xfId="0" applyFont="1" applyBorder="1" applyAlignment="1">
      <alignment horizontal="center" vertical="center"/>
    </xf>
    <xf numFmtId="0" fontId="108" fillId="0" borderId="0" xfId="53" applyFont="1" applyAlignment="1">
      <alignment vertical="center"/>
    </xf>
    <xf numFmtId="0" fontId="110" fillId="0" borderId="0" xfId="0" applyFont="1" applyAlignment="1" applyProtection="1">
      <alignment vertical="center"/>
      <protection locked="0"/>
    </xf>
    <xf numFmtId="0" fontId="41" fillId="0" borderId="0" xfId="42" applyFont="1" applyAlignment="1">
      <alignment vertical="center"/>
    </xf>
    <xf numFmtId="0" fontId="107" fillId="0" borderId="0" xfId="53" applyFont="1" applyAlignment="1">
      <alignment vertical="center"/>
    </xf>
    <xf numFmtId="0" fontId="111" fillId="0" borderId="0" xfId="42" applyFont="1" applyAlignment="1">
      <alignment vertical="center"/>
    </xf>
    <xf numFmtId="17" fontId="111" fillId="0" borderId="0" xfId="42" quotePrefix="1" applyNumberFormat="1" applyFont="1" applyAlignment="1">
      <alignment vertical="center"/>
    </xf>
    <xf numFmtId="0" fontId="108" fillId="0" borderId="0" xfId="54" applyFont="1" applyAlignment="1">
      <alignment vertical="center"/>
    </xf>
    <xf numFmtId="0" fontId="108" fillId="0" borderId="11" xfId="54" applyFont="1" applyBorder="1" applyAlignment="1">
      <alignment vertical="center"/>
    </xf>
    <xf numFmtId="49" fontId="111" fillId="0" borderId="0" xfId="42" quotePrefix="1" applyNumberFormat="1" applyFont="1" applyAlignment="1">
      <alignment vertical="center"/>
    </xf>
    <xf numFmtId="0" fontId="111" fillId="0" borderId="0" xfId="42" quotePrefix="1" applyFont="1" applyAlignment="1">
      <alignment vertical="center"/>
    </xf>
    <xf numFmtId="0" fontId="116" fillId="51" borderId="0" xfId="0" applyFont="1" applyFill="1" applyProtection="1">
      <protection locked="0"/>
    </xf>
    <xf numFmtId="0" fontId="107" fillId="51" borderId="10" xfId="55" applyFont="1" applyFill="1" applyBorder="1" applyAlignment="1">
      <alignment horizontal="center" vertical="center"/>
    </xf>
    <xf numFmtId="0" fontId="111" fillId="0" borderId="41" xfId="54" applyFont="1" applyBorder="1" applyAlignment="1" applyProtection="1">
      <alignment horizontal="center" vertical="center"/>
      <protection locked="0"/>
    </xf>
    <xf numFmtId="0" fontId="40" fillId="0" borderId="35" xfId="0" applyFont="1" applyBorder="1" applyAlignment="1">
      <alignment horizontal="center" vertical="center"/>
    </xf>
    <xf numFmtId="3" fontId="111" fillId="0" borderId="35" xfId="0" applyNumberFormat="1" applyFont="1" applyBorder="1" applyAlignment="1">
      <alignment horizontal="center" vertical="center"/>
    </xf>
    <xf numFmtId="3" fontId="41" fillId="51" borderId="50" xfId="54" applyNumberFormat="1" applyFont="1" applyFill="1" applyBorder="1" applyAlignment="1">
      <alignment horizontal="center" vertical="center"/>
    </xf>
    <xf numFmtId="2" fontId="119" fillId="51" borderId="50" xfId="54" applyNumberFormat="1" applyFont="1" applyFill="1" applyBorder="1" applyAlignment="1">
      <alignment horizontal="center" vertical="center"/>
    </xf>
    <xf numFmtId="0" fontId="107" fillId="51" borderId="50" xfId="54" applyFont="1" applyFill="1" applyBorder="1" applyAlignment="1">
      <alignment horizontal="center" vertical="center"/>
    </xf>
    <xf numFmtId="0" fontId="41" fillId="51" borderId="50" xfId="54" applyFont="1" applyFill="1" applyBorder="1" applyAlignment="1" applyProtection="1">
      <alignment horizontal="center" vertical="center"/>
      <protection locked="0"/>
    </xf>
    <xf numFmtId="0" fontId="41" fillId="51" borderId="51" xfId="54" applyFont="1" applyFill="1" applyBorder="1" applyAlignment="1" applyProtection="1">
      <alignment horizontal="center" vertical="center"/>
      <protection locked="0"/>
    </xf>
    <xf numFmtId="1" fontId="41" fillId="51" borderId="50" xfId="54" applyNumberFormat="1" applyFont="1" applyFill="1" applyBorder="1" applyAlignment="1">
      <alignment horizontal="center" vertical="center"/>
    </xf>
    <xf numFmtId="1" fontId="41" fillId="51" borderId="51" xfId="54" applyNumberFormat="1" applyFont="1" applyFill="1" applyBorder="1" applyAlignment="1">
      <alignment horizontal="center" vertical="center"/>
    </xf>
    <xf numFmtId="0" fontId="40" fillId="0" borderId="28" xfId="0" applyFont="1" applyBorder="1" applyAlignment="1">
      <alignment horizontal="center" vertical="center"/>
    </xf>
    <xf numFmtId="3" fontId="111" fillId="0" borderId="14" xfId="0" applyNumberFormat="1" applyFont="1" applyBorder="1" applyAlignment="1">
      <alignment horizontal="center" vertical="center"/>
    </xf>
    <xf numFmtId="0" fontId="111" fillId="0" borderId="28" xfId="54" applyFont="1" applyBorder="1" applyAlignment="1">
      <alignment horizontal="center" vertical="center"/>
    </xf>
    <xf numFmtId="0" fontId="116" fillId="51" borderId="57" xfId="0" applyFont="1" applyFill="1" applyBorder="1" applyProtection="1">
      <protection locked="0"/>
    </xf>
    <xf numFmtId="0" fontId="107" fillId="51" borderId="43" xfId="55" applyFont="1" applyFill="1" applyBorder="1" applyAlignment="1">
      <alignment horizontal="center" vertical="center"/>
    </xf>
    <xf numFmtId="0" fontId="107" fillId="51" borderId="42" xfId="55" applyFont="1" applyFill="1" applyBorder="1" applyAlignment="1">
      <alignment horizontal="center" vertical="center"/>
    </xf>
    <xf numFmtId="0" fontId="107" fillId="51" borderId="61" xfId="55" applyFont="1" applyFill="1" applyBorder="1" applyAlignment="1">
      <alignment horizontal="center" vertical="center"/>
    </xf>
    <xf numFmtId="0" fontId="116" fillId="51" borderId="62" xfId="0" applyFont="1" applyFill="1" applyBorder="1" applyProtection="1">
      <protection locked="0"/>
    </xf>
    <xf numFmtId="1" fontId="41" fillId="51" borderId="60" xfId="54" applyNumberFormat="1" applyFont="1" applyFill="1" applyBorder="1" applyAlignment="1">
      <alignment horizontal="center" vertical="center"/>
    </xf>
    <xf numFmtId="0" fontId="111" fillId="0" borderId="42" xfId="54" applyFont="1" applyBorder="1" applyAlignment="1">
      <alignment horizontal="center" vertical="center"/>
    </xf>
    <xf numFmtId="2" fontId="118" fillId="0" borderId="42" xfId="54" applyNumberFormat="1" applyFont="1" applyBorder="1" applyAlignment="1">
      <alignment horizontal="center" vertical="center"/>
    </xf>
    <xf numFmtId="0" fontId="111" fillId="0" borderId="42" xfId="54" applyFont="1" applyBorder="1" applyAlignment="1" applyProtection="1">
      <alignment horizontal="center" vertical="center"/>
      <protection locked="0"/>
    </xf>
    <xf numFmtId="3" fontId="41" fillId="51" borderId="51" xfId="54" applyNumberFormat="1" applyFont="1" applyFill="1" applyBorder="1" applyAlignment="1">
      <alignment horizontal="center" vertical="center"/>
    </xf>
    <xf numFmtId="0" fontId="41" fillId="51" borderId="50" xfId="54" applyFont="1" applyFill="1" applyBorder="1" applyAlignment="1">
      <alignment horizontal="center" vertical="center"/>
    </xf>
    <xf numFmtId="0" fontId="109" fillId="0" borderId="0" xfId="53" applyFont="1" applyAlignment="1">
      <alignment horizontal="center" vertical="center"/>
    </xf>
    <xf numFmtId="0" fontId="117" fillId="0" borderId="0" xfId="54" applyFont="1" applyAlignment="1">
      <alignment horizontal="center" vertical="center"/>
    </xf>
    <xf numFmtId="0" fontId="40" fillId="0" borderId="0" xfId="42" applyFont="1" applyAlignment="1">
      <alignment horizontal="center" vertical="center"/>
    </xf>
    <xf numFmtId="0" fontId="106" fillId="0" borderId="0" xfId="0" applyFont="1" applyAlignment="1" applyProtection="1">
      <alignment horizontal="center" vertical="center"/>
      <protection locked="0"/>
    </xf>
    <xf numFmtId="0" fontId="40" fillId="25" borderId="26" xfId="0" applyFont="1" applyFill="1" applyBorder="1" applyAlignment="1">
      <alignment horizontal="center" vertical="center"/>
    </xf>
    <xf numFmtId="0" fontId="40" fillId="0" borderId="26" xfId="38" applyFont="1" applyBorder="1" applyAlignment="1">
      <alignment horizontal="center" vertical="center"/>
    </xf>
    <xf numFmtId="0" fontId="106" fillId="0" borderId="0" xfId="0" applyFont="1" applyAlignment="1" applyProtection="1">
      <alignment horizontal="center"/>
      <protection locked="0"/>
    </xf>
    <xf numFmtId="0" fontId="107" fillId="51" borderId="51" xfId="54" applyFont="1" applyFill="1" applyBorder="1" applyAlignment="1">
      <alignment horizontal="center" vertical="center"/>
    </xf>
    <xf numFmtId="0" fontId="107" fillId="51" borderId="84" xfId="55" applyFont="1" applyFill="1" applyBorder="1" applyAlignment="1">
      <alignment horizontal="center" vertical="center"/>
    </xf>
    <xf numFmtId="0" fontId="40" fillId="24" borderId="14" xfId="38" applyFont="1" applyFill="1" applyBorder="1" applyAlignment="1">
      <alignment horizontal="center" vertical="center"/>
    </xf>
    <xf numFmtId="2" fontId="118" fillId="0" borderId="28" xfId="54" applyNumberFormat="1" applyFont="1" applyBorder="1" applyAlignment="1">
      <alignment horizontal="center" vertical="center"/>
    </xf>
    <xf numFmtId="0" fontId="40" fillId="0" borderId="14" xfId="38" applyFont="1" applyBorder="1" applyAlignment="1">
      <alignment horizontal="center" vertical="center"/>
    </xf>
    <xf numFmtId="1" fontId="111" fillId="0" borderId="35" xfId="54" applyNumberFormat="1" applyFont="1" applyBorder="1" applyAlignment="1">
      <alignment horizontal="center" vertical="center"/>
    </xf>
    <xf numFmtId="0" fontId="107" fillId="51" borderId="81" xfId="54" applyFont="1" applyFill="1" applyBorder="1" applyAlignment="1">
      <alignment horizontal="center" vertical="center"/>
    </xf>
    <xf numFmtId="0" fontId="108" fillId="25" borderId="0" xfId="53" applyFont="1" applyFill="1" applyAlignment="1">
      <alignment vertical="center"/>
    </xf>
    <xf numFmtId="0" fontId="107" fillId="25" borderId="0" xfId="54" applyFont="1" applyFill="1" applyAlignment="1">
      <alignment horizontal="center" vertical="center"/>
    </xf>
    <xf numFmtId="0" fontId="107" fillId="25" borderId="0" xfId="55" applyFont="1" applyFill="1" applyAlignment="1">
      <alignment horizontal="center" vertical="center"/>
    </xf>
    <xf numFmtId="0" fontId="111" fillId="25" borderId="0" xfId="54" applyFont="1" applyFill="1" applyAlignment="1" applyProtection="1">
      <alignment horizontal="center" vertical="center"/>
      <protection locked="0"/>
    </xf>
    <xf numFmtId="0" fontId="41" fillId="25" borderId="0" xfId="54" applyFont="1" applyFill="1" applyAlignment="1" applyProtection="1">
      <alignment horizontal="center" vertical="center"/>
      <protection locked="0"/>
    </xf>
    <xf numFmtId="0" fontId="110" fillId="25" borderId="0" xfId="0" applyFont="1" applyFill="1" applyAlignment="1" applyProtection="1">
      <alignment vertical="center"/>
      <protection locked="0"/>
    </xf>
    <xf numFmtId="3" fontId="41" fillId="25" borderId="0" xfId="54" applyNumberFormat="1" applyFont="1" applyFill="1" applyAlignment="1">
      <alignment horizontal="center" vertical="center"/>
    </xf>
    <xf numFmtId="1" fontId="111" fillId="25" borderId="0" xfId="54" applyNumberFormat="1" applyFont="1" applyFill="1" applyAlignment="1">
      <alignment horizontal="center" vertical="center"/>
    </xf>
    <xf numFmtId="1" fontId="41" fillId="25" borderId="0" xfId="54" applyNumberFormat="1" applyFont="1" applyFill="1" applyAlignment="1">
      <alignment horizontal="center" vertical="center"/>
    </xf>
    <xf numFmtId="0" fontId="110" fillId="25" borderId="0" xfId="0" applyFont="1" applyFill="1" applyProtection="1">
      <protection locked="0"/>
    </xf>
    <xf numFmtId="0" fontId="0" fillId="25" borderId="0" xfId="0" applyFill="1" applyProtection="1">
      <protection locked="0"/>
    </xf>
    <xf numFmtId="0" fontId="107" fillId="51" borderId="41" xfId="55" applyFont="1" applyFill="1" applyBorder="1" applyAlignment="1">
      <alignment horizontal="center" vertical="center"/>
    </xf>
    <xf numFmtId="0" fontId="107" fillId="51" borderId="86" xfId="55" applyFont="1" applyFill="1" applyBorder="1" applyAlignment="1">
      <alignment horizontal="center" vertical="center"/>
    </xf>
    <xf numFmtId="0" fontId="40" fillId="0" borderId="87" xfId="0" applyFont="1" applyBorder="1" applyAlignment="1">
      <alignment horizontal="center" vertical="center"/>
    </xf>
    <xf numFmtId="0" fontId="111" fillId="0" borderId="88" xfId="54" applyFont="1" applyBorder="1" applyAlignment="1" applyProtection="1">
      <alignment horizontal="center" vertical="center"/>
      <protection locked="0"/>
    </xf>
    <xf numFmtId="0" fontId="40" fillId="0" borderId="89" xfId="0" applyFont="1" applyBorder="1" applyAlignment="1">
      <alignment horizontal="center" vertical="center"/>
    </xf>
    <xf numFmtId="0" fontId="40" fillId="0" borderId="90" xfId="0" applyFont="1" applyBorder="1" applyAlignment="1">
      <alignment horizontal="center" vertical="center"/>
    </xf>
    <xf numFmtId="0" fontId="111" fillId="0" borderId="93" xfId="54" applyFont="1" applyBorder="1" applyAlignment="1" applyProtection="1">
      <alignment horizontal="center" vertical="center"/>
      <protection locked="0"/>
    </xf>
    <xf numFmtId="0" fontId="41" fillId="51" borderId="52" xfId="54" applyFont="1" applyFill="1" applyBorder="1" applyAlignment="1" applyProtection="1">
      <alignment horizontal="center" vertical="center"/>
      <protection locked="0"/>
    </xf>
    <xf numFmtId="3" fontId="41" fillId="51" borderId="52" xfId="54" applyNumberFormat="1" applyFont="1" applyFill="1" applyBorder="1" applyAlignment="1">
      <alignment horizontal="center" vertical="center"/>
    </xf>
    <xf numFmtId="3" fontId="41" fillId="52" borderId="50" xfId="54" applyNumberFormat="1" applyFont="1" applyFill="1" applyBorder="1" applyAlignment="1">
      <alignment horizontal="center" vertical="center"/>
    </xf>
    <xf numFmtId="2" fontId="119" fillId="52" borderId="50" xfId="54" applyNumberFormat="1" applyFont="1" applyFill="1" applyBorder="1" applyAlignment="1">
      <alignment horizontal="center" vertical="center"/>
    </xf>
    <xf numFmtId="0" fontId="107" fillId="52" borderId="50" xfId="54" applyFont="1" applyFill="1" applyBorder="1" applyAlignment="1">
      <alignment horizontal="center" vertical="center"/>
    </xf>
    <xf numFmtId="1" fontId="41" fillId="52" borderId="50" xfId="54" applyNumberFormat="1" applyFont="1" applyFill="1" applyBorder="1" applyAlignment="1">
      <alignment horizontal="center" vertical="center"/>
    </xf>
    <xf numFmtId="1" fontId="41" fillId="52" borderId="51" xfId="54" applyNumberFormat="1" applyFont="1" applyFill="1" applyBorder="1" applyAlignment="1">
      <alignment horizontal="center" vertical="center"/>
    </xf>
    <xf numFmtId="1" fontId="41" fillId="52" borderId="49" xfId="54" applyNumberFormat="1" applyFont="1" applyFill="1" applyBorder="1" applyAlignment="1">
      <alignment horizontal="center" vertical="center"/>
    </xf>
    <xf numFmtId="1" fontId="41" fillId="52" borderId="79" xfId="54" applyNumberFormat="1" applyFont="1" applyFill="1" applyBorder="1" applyAlignment="1">
      <alignment horizontal="center" vertical="center"/>
    </xf>
    <xf numFmtId="0" fontId="107" fillId="51" borderId="88" xfId="55" applyFont="1" applyFill="1" applyBorder="1" applyAlignment="1">
      <alignment horizontal="center" vertical="center"/>
    </xf>
    <xf numFmtId="0" fontId="40" fillId="0" borderId="95" xfId="0" applyFont="1" applyBorder="1" applyAlignment="1">
      <alignment horizontal="center" vertical="center"/>
    </xf>
    <xf numFmtId="1" fontId="41" fillId="51" borderId="96" xfId="54" applyNumberFormat="1" applyFont="1" applyFill="1" applyBorder="1" applyAlignment="1">
      <alignment horizontal="center" vertical="center"/>
    </xf>
    <xf numFmtId="3" fontId="41" fillId="51" borderId="61" xfId="54" applyNumberFormat="1" applyFont="1" applyFill="1" applyBorder="1" applyAlignment="1">
      <alignment horizontal="center" vertical="center"/>
    </xf>
    <xf numFmtId="2" fontId="119" fillId="51" borderId="61" xfId="54" applyNumberFormat="1" applyFont="1" applyFill="1" applyBorder="1" applyAlignment="1">
      <alignment horizontal="center" vertical="center"/>
    </xf>
    <xf numFmtId="0" fontId="107" fillId="51" borderId="61" xfId="54" applyFont="1" applyFill="1" applyBorder="1" applyAlignment="1">
      <alignment horizontal="center" vertical="center"/>
    </xf>
    <xf numFmtId="1" fontId="41" fillId="51" borderId="61" xfId="54" applyNumberFormat="1" applyFont="1" applyFill="1" applyBorder="1" applyAlignment="1">
      <alignment horizontal="center" vertical="center"/>
    </xf>
    <xf numFmtId="1" fontId="41" fillId="51" borderId="84" xfId="54" applyNumberFormat="1" applyFont="1" applyFill="1" applyBorder="1" applyAlignment="1">
      <alignment horizontal="center" vertical="center"/>
    </xf>
    <xf numFmtId="1" fontId="111" fillId="0" borderId="99" xfId="54" applyNumberFormat="1" applyFont="1" applyBorder="1" applyAlignment="1">
      <alignment horizontal="center" vertical="center"/>
    </xf>
    <xf numFmtId="1" fontId="111" fillId="0" borderId="100" xfId="54" applyNumberFormat="1" applyFont="1" applyBorder="1" applyAlignment="1">
      <alignment horizontal="center" vertical="center"/>
    </xf>
    <xf numFmtId="1" fontId="111" fillId="0" borderId="101" xfId="54" applyNumberFormat="1" applyFont="1" applyBorder="1" applyAlignment="1">
      <alignment horizontal="center" vertical="center"/>
    </xf>
    <xf numFmtId="1" fontId="41" fillId="51" borderId="52" xfId="54" applyNumberFormat="1" applyFont="1" applyFill="1" applyBorder="1" applyAlignment="1">
      <alignment horizontal="center" vertical="center"/>
    </xf>
    <xf numFmtId="1" fontId="111" fillId="0" borderId="58" xfId="54" applyNumberFormat="1" applyFont="1" applyBorder="1" applyAlignment="1">
      <alignment horizontal="center" vertical="center"/>
    </xf>
    <xf numFmtId="1" fontId="111" fillId="0" borderId="89" xfId="54" applyNumberFormat="1" applyFont="1" applyBorder="1" applyAlignment="1">
      <alignment horizontal="center" vertical="center"/>
    </xf>
    <xf numFmtId="1" fontId="111" fillId="0" borderId="90" xfId="54" applyNumberFormat="1" applyFont="1" applyBorder="1" applyAlignment="1">
      <alignment horizontal="center" vertical="center"/>
    </xf>
    <xf numFmtId="0" fontId="107" fillId="51" borderId="52" xfId="54" applyFont="1" applyFill="1" applyBorder="1" applyAlignment="1">
      <alignment horizontal="center" vertical="center"/>
    </xf>
    <xf numFmtId="1" fontId="41" fillId="51" borderId="94" xfId="54" applyNumberFormat="1" applyFont="1" applyFill="1" applyBorder="1" applyAlignment="1">
      <alignment horizontal="center" vertical="center"/>
    </xf>
    <xf numFmtId="1" fontId="41" fillId="51" borderId="59" xfId="54" applyNumberFormat="1" applyFont="1" applyFill="1" applyBorder="1" applyAlignment="1">
      <alignment horizontal="center" vertical="center"/>
    </xf>
    <xf numFmtId="3" fontId="111" fillId="0" borderId="42" xfId="54" applyNumberFormat="1" applyFont="1" applyBorder="1" applyAlignment="1">
      <alignment horizontal="center" vertical="center"/>
    </xf>
    <xf numFmtId="0" fontId="108" fillId="0" borderId="0" xfId="42" applyFont="1" applyAlignment="1">
      <alignment horizontal="left"/>
    </xf>
    <xf numFmtId="0" fontId="111" fillId="0" borderId="0" xfId="38" applyFont="1" applyAlignment="1">
      <alignment horizontal="left"/>
    </xf>
    <xf numFmtId="0" fontId="41" fillId="0" borderId="0" xfId="38" applyFont="1" applyAlignment="1">
      <alignment horizontal="left"/>
    </xf>
    <xf numFmtId="0" fontId="111" fillId="0" borderId="11" xfId="38" applyFont="1" applyBorder="1" applyAlignment="1">
      <alignment horizontal="left"/>
    </xf>
    <xf numFmtId="0" fontId="110" fillId="0" borderId="10" xfId="41" applyFont="1" applyBorder="1" applyAlignment="1" applyProtection="1">
      <alignment horizontal="center" vertical="center"/>
      <protection locked="0"/>
    </xf>
    <xf numFmtId="0" fontId="120" fillId="0" borderId="0" xfId="42" applyFont="1" applyAlignment="1" applyProtection="1">
      <alignment horizontal="center"/>
      <protection locked="0"/>
    </xf>
    <xf numFmtId="0" fontId="110" fillId="0" borderId="0" xfId="44" applyFont="1" applyAlignment="1" applyProtection="1">
      <alignment horizontal="center"/>
      <protection locked="0"/>
    </xf>
    <xf numFmtId="0" fontId="111" fillId="0" borderId="0" xfId="38" applyFont="1" applyAlignment="1" applyProtection="1">
      <alignment horizontal="center"/>
      <protection locked="0"/>
    </xf>
    <xf numFmtId="0" fontId="111" fillId="0" borderId="12" xfId="38" applyFont="1" applyBorder="1" applyAlignment="1">
      <alignment horizontal="center" vertical="center"/>
    </xf>
    <xf numFmtId="0" fontId="111" fillId="24" borderId="12" xfId="38" applyFont="1" applyFill="1" applyBorder="1" applyAlignment="1">
      <alignment vertical="center"/>
    </xf>
    <xf numFmtId="0" fontId="110" fillId="0" borderId="12" xfId="41" applyFont="1" applyBorder="1" applyAlignment="1" applyProtection="1">
      <alignment horizontal="center" vertical="center"/>
      <protection locked="0"/>
    </xf>
    <xf numFmtId="0" fontId="111" fillId="0" borderId="26" xfId="38" applyFont="1" applyBorder="1" applyAlignment="1">
      <alignment horizontal="center" vertical="center"/>
    </xf>
    <xf numFmtId="0" fontId="111" fillId="0" borderId="26" xfId="38" applyFont="1" applyBorder="1" applyAlignment="1">
      <alignment vertical="center"/>
    </xf>
    <xf numFmtId="0" fontId="110" fillId="0" borderId="26" xfId="41" applyFont="1" applyBorder="1" applyAlignment="1" applyProtection="1">
      <alignment horizontal="center" vertical="center"/>
      <protection locked="0"/>
    </xf>
    <xf numFmtId="0" fontId="111" fillId="0" borderId="13" xfId="38" applyFont="1" applyBorder="1" applyAlignment="1">
      <alignment vertical="center"/>
    </xf>
    <xf numFmtId="0" fontId="110" fillId="0" borderId="13" xfId="41" applyFont="1" applyBorder="1" applyAlignment="1" applyProtection="1">
      <alignment horizontal="center" vertical="center"/>
      <protection locked="0"/>
    </xf>
    <xf numFmtId="0" fontId="41" fillId="0" borderId="0" xfId="38" applyFont="1"/>
    <xf numFmtId="0" fontId="111" fillId="0" borderId="0" xfId="42" applyFont="1"/>
    <xf numFmtId="0" fontId="108" fillId="0" borderId="0" xfId="42" applyFont="1"/>
    <xf numFmtId="0" fontId="111" fillId="0" borderId="0" xfId="38" applyFont="1"/>
    <xf numFmtId="0" fontId="111" fillId="0" borderId="11" xfId="38" applyFont="1" applyBorder="1"/>
    <xf numFmtId="0" fontId="111" fillId="0" borderId="10" xfId="38" applyFont="1" applyBorder="1" applyAlignment="1">
      <alignment vertical="center"/>
    </xf>
    <xf numFmtId="166" fontId="111" fillId="0" borderId="10" xfId="42" applyNumberFormat="1" applyFont="1" applyBorder="1" applyAlignment="1">
      <alignment vertical="center"/>
    </xf>
    <xf numFmtId="0" fontId="110" fillId="0" borderId="0" xfId="41" applyFont="1" applyProtection="1">
      <protection locked="0"/>
    </xf>
    <xf numFmtId="0" fontId="110" fillId="0" borderId="0" xfId="44" applyFont="1" applyProtection="1">
      <protection locked="0"/>
    </xf>
    <xf numFmtId="0" fontId="111" fillId="0" borderId="0" xfId="38" applyFont="1" applyProtection="1">
      <protection locked="0"/>
    </xf>
    <xf numFmtId="0" fontId="120" fillId="0" borderId="0" xfId="38" applyFont="1" applyProtection="1">
      <protection locked="0"/>
    </xf>
    <xf numFmtId="0" fontId="111" fillId="0" borderId="0" xfId="42" applyFont="1" applyProtection="1">
      <protection locked="0"/>
    </xf>
    <xf numFmtId="0" fontId="111" fillId="0" borderId="12" xfId="38" applyFont="1" applyBorder="1" applyAlignment="1">
      <alignment vertical="center"/>
    </xf>
    <xf numFmtId="0" fontId="110" fillId="0" borderId="0" xfId="41" applyFont="1" applyAlignment="1">
      <alignment horizontal="center"/>
    </xf>
    <xf numFmtId="0" fontId="111" fillId="0" borderId="0" xfId="42" applyFont="1" applyAlignment="1">
      <alignment horizontal="center"/>
    </xf>
    <xf numFmtId="0" fontId="108" fillId="0" borderId="0" xfId="42" applyFont="1" applyAlignment="1">
      <alignment horizontal="center"/>
    </xf>
    <xf numFmtId="0" fontId="111" fillId="0" borderId="0" xfId="38" applyFont="1" applyAlignment="1">
      <alignment horizontal="center"/>
    </xf>
    <xf numFmtId="49" fontId="111" fillId="0" borderId="0" xfId="42" quotePrefix="1" applyNumberFormat="1" applyFont="1" applyAlignment="1">
      <alignment horizontal="center"/>
    </xf>
    <xf numFmtId="0" fontId="111" fillId="0" borderId="11" xfId="38" applyFont="1" applyBorder="1" applyAlignment="1">
      <alignment horizontal="center"/>
    </xf>
    <xf numFmtId="0" fontId="110" fillId="0" borderId="0" xfId="41" applyFont="1" applyAlignment="1" applyProtection="1">
      <alignment horizontal="center"/>
      <protection locked="0"/>
    </xf>
    <xf numFmtId="0" fontId="110" fillId="0" borderId="0" xfId="43" applyFont="1" applyAlignment="1" applyProtection="1">
      <alignment horizontal="center"/>
      <protection locked="0"/>
    </xf>
    <xf numFmtId="0" fontId="120" fillId="0" borderId="0" xfId="38" applyFont="1" applyAlignment="1" applyProtection="1">
      <alignment horizontal="center"/>
      <protection locked="0"/>
    </xf>
    <xf numFmtId="0" fontId="111" fillId="0" borderId="0" xfId="47" applyFont="1" applyAlignment="1" applyProtection="1">
      <alignment horizontal="center"/>
      <protection locked="0"/>
    </xf>
    <xf numFmtId="0" fontId="111" fillId="0" borderId="0" xfId="42" applyFont="1" applyAlignment="1" applyProtection="1">
      <alignment horizontal="center"/>
      <protection locked="0"/>
    </xf>
    <xf numFmtId="0" fontId="111" fillId="0" borderId="0" xfId="47" applyFont="1" applyAlignment="1">
      <alignment horizontal="center"/>
    </xf>
    <xf numFmtId="0" fontId="42" fillId="0" borderId="0" xfId="47" applyFont="1" applyAlignment="1" applyProtection="1">
      <alignment horizontal="center"/>
      <protection locked="0"/>
    </xf>
    <xf numFmtId="0" fontId="34" fillId="0" borderId="0" xfId="47" applyAlignment="1" applyProtection="1">
      <alignment horizontal="center"/>
      <protection locked="0"/>
    </xf>
    <xf numFmtId="0" fontId="50" fillId="0" borderId="0" xfId="41" applyAlignment="1" applyProtection="1">
      <alignment horizontal="center"/>
      <protection locked="0"/>
    </xf>
    <xf numFmtId="0" fontId="44" fillId="0" borderId="0" xfId="38" applyFont="1" applyAlignment="1" applyProtection="1">
      <alignment horizontal="center"/>
      <protection locked="0"/>
    </xf>
    <xf numFmtId="0" fontId="39" fillId="0" borderId="0" xfId="38" applyFont="1" applyAlignment="1" applyProtection="1">
      <alignment horizontal="center"/>
      <protection locked="0"/>
    </xf>
    <xf numFmtId="0" fontId="50" fillId="0" borderId="0" xfId="43" applyAlignment="1" applyProtection="1">
      <alignment horizontal="center"/>
      <protection locked="0"/>
    </xf>
    <xf numFmtId="0" fontId="111" fillId="0" borderId="0" xfId="42" applyFont="1" applyAlignment="1">
      <alignment horizontal="left"/>
    </xf>
    <xf numFmtId="49" fontId="111" fillId="0" borderId="0" xfId="42" quotePrefix="1" applyNumberFormat="1" applyFont="1" applyAlignment="1">
      <alignment horizontal="left"/>
    </xf>
    <xf numFmtId="0" fontId="43" fillId="52" borderId="10" xfId="38" applyFont="1" applyFill="1" applyBorder="1" applyAlignment="1">
      <alignment horizontal="center" vertical="center"/>
    </xf>
    <xf numFmtId="0" fontId="111" fillId="0" borderId="42" xfId="38" applyFont="1" applyBorder="1" applyAlignment="1">
      <alignment vertical="center"/>
    </xf>
    <xf numFmtId="166" fontId="111" fillId="0" borderId="42" xfId="42" applyNumberFormat="1" applyFont="1" applyBorder="1" applyAlignment="1">
      <alignment vertical="center"/>
    </xf>
    <xf numFmtId="0" fontId="110" fillId="0" borderId="42" xfId="41" applyFont="1" applyBorder="1" applyAlignment="1" applyProtection="1">
      <alignment horizontal="center" vertical="center"/>
      <protection locked="0"/>
    </xf>
    <xf numFmtId="0" fontId="105" fillId="52" borderId="50" xfId="41" applyFont="1" applyFill="1" applyBorder="1" applyAlignment="1" applyProtection="1">
      <alignment horizontal="center" vertical="center"/>
      <protection locked="0"/>
    </xf>
    <xf numFmtId="0" fontId="105" fillId="52" borderId="51" xfId="41" applyFont="1" applyFill="1" applyBorder="1" applyAlignment="1" applyProtection="1">
      <alignment horizontal="center" vertical="center"/>
      <protection locked="0"/>
    </xf>
    <xf numFmtId="0" fontId="41" fillId="52" borderId="50" xfId="38" applyFont="1" applyFill="1" applyBorder="1" applyAlignment="1">
      <alignment horizontal="center" vertical="center"/>
    </xf>
    <xf numFmtId="166" fontId="111" fillId="0" borderId="13" xfId="42" applyNumberFormat="1" applyFont="1" applyBorder="1" applyAlignment="1">
      <alignment vertical="center"/>
    </xf>
    <xf numFmtId="0" fontId="43" fillId="52" borderId="61" xfId="38" applyFont="1" applyFill="1" applyBorder="1" applyAlignment="1">
      <alignment horizontal="center" vertical="center"/>
    </xf>
    <xf numFmtId="0" fontId="43" fillId="52" borderId="41" xfId="38" applyFont="1" applyFill="1" applyBorder="1" applyAlignment="1">
      <alignment horizontal="center" vertical="center"/>
    </xf>
    <xf numFmtId="49" fontId="111" fillId="0" borderId="0" xfId="42" applyNumberFormat="1" applyFont="1" applyAlignment="1">
      <alignment horizontal="left"/>
    </xf>
    <xf numFmtId="0" fontId="111" fillId="0" borderId="14" xfId="38" applyFont="1" applyBorder="1" applyAlignment="1">
      <alignment vertical="center"/>
    </xf>
    <xf numFmtId="0" fontId="111" fillId="0" borderId="14" xfId="38" applyFont="1" applyBorder="1" applyAlignment="1">
      <alignment horizontal="center" vertical="center"/>
    </xf>
    <xf numFmtId="0" fontId="110" fillId="0" borderId="14" xfId="41" applyFont="1" applyBorder="1" applyAlignment="1" applyProtection="1">
      <alignment horizontal="center" vertical="center"/>
      <protection locked="0"/>
    </xf>
    <xf numFmtId="0" fontId="106" fillId="0" borderId="0" xfId="0" applyFont="1" applyAlignment="1">
      <alignment horizontal="left"/>
    </xf>
    <xf numFmtId="0" fontId="106" fillId="0" borderId="0" xfId="0" quotePrefix="1" applyFont="1"/>
    <xf numFmtId="0" fontId="106" fillId="52" borderId="10" xfId="0" applyFont="1" applyFill="1" applyBorder="1" applyAlignment="1">
      <alignment horizontal="center" vertical="center"/>
    </xf>
    <xf numFmtId="0" fontId="106" fillId="52" borderId="12" xfId="0" applyFont="1" applyFill="1" applyBorder="1" applyAlignment="1">
      <alignment horizontal="center" vertical="center"/>
    </xf>
    <xf numFmtId="0" fontId="106" fillId="52" borderId="13" xfId="0" applyFont="1" applyFill="1" applyBorder="1" applyAlignment="1">
      <alignment horizontal="center" vertical="center"/>
    </xf>
    <xf numFmtId="0" fontId="106" fillId="0" borderId="10" xfId="0" applyFont="1" applyBorder="1" applyAlignment="1">
      <alignment horizontal="center" vertical="center"/>
    </xf>
    <xf numFmtId="166" fontId="106" fillId="0" borderId="10" xfId="0" applyNumberFormat="1" applyFont="1" applyBorder="1" applyAlignment="1">
      <alignment vertical="center"/>
    </xf>
    <xf numFmtId="0" fontId="106" fillId="0" borderId="10" xfId="0" applyFont="1" applyBorder="1" applyAlignment="1" applyProtection="1">
      <alignment horizontal="center" vertical="center"/>
      <protection locked="0"/>
    </xf>
    <xf numFmtId="0" fontId="106" fillId="0" borderId="10" xfId="0" applyFont="1" applyBorder="1" applyProtection="1">
      <protection locked="0"/>
    </xf>
    <xf numFmtId="0" fontId="106" fillId="0" borderId="10" xfId="0" applyFont="1" applyBorder="1" applyAlignment="1">
      <alignment vertical="center"/>
    </xf>
    <xf numFmtId="166" fontId="106" fillId="0" borderId="10" xfId="0" applyNumberFormat="1" applyFont="1" applyBorder="1" applyAlignment="1" applyProtection="1">
      <alignment vertical="center"/>
      <protection locked="0"/>
    </xf>
    <xf numFmtId="0" fontId="106" fillId="0" borderId="10" xfId="0" applyFont="1" applyBorder="1" applyAlignment="1">
      <alignment horizontal="center"/>
    </xf>
    <xf numFmtId="0" fontId="117" fillId="0" borderId="10" xfId="0" applyFont="1" applyBorder="1" applyAlignment="1">
      <alignment horizontal="center" vertical="center"/>
    </xf>
    <xf numFmtId="0" fontId="106" fillId="0" borderId="10" xfId="0" applyFont="1" applyBorder="1" applyAlignment="1" applyProtection="1">
      <alignment vertical="center"/>
      <protection locked="0"/>
    </xf>
    <xf numFmtId="0" fontId="106" fillId="0" borderId="10" xfId="0" applyFont="1" applyBorder="1" applyAlignment="1" applyProtection="1">
      <alignment horizontal="center"/>
      <protection locked="0"/>
    </xf>
    <xf numFmtId="0" fontId="106" fillId="0" borderId="12" xfId="0" applyFont="1" applyBorder="1" applyAlignment="1">
      <alignment horizontal="center" vertical="center"/>
    </xf>
    <xf numFmtId="0" fontId="106" fillId="0" borderId="13" xfId="0" applyFont="1" applyBorder="1" applyAlignment="1">
      <alignment horizontal="center" vertical="center"/>
    </xf>
    <xf numFmtId="0" fontId="117" fillId="0" borderId="10" xfId="0" applyFont="1" applyBorder="1" applyAlignment="1" applyProtection="1">
      <alignment horizontal="center" vertical="center"/>
      <protection locked="0"/>
    </xf>
    <xf numFmtId="0" fontId="106" fillId="0" borderId="10" xfId="0" applyFont="1" applyBorder="1"/>
    <xf numFmtId="0" fontId="123" fillId="0" borderId="0" xfId="0" applyFont="1" applyAlignment="1" applyProtection="1">
      <alignment horizontal="center" vertical="center"/>
      <protection locked="0"/>
    </xf>
    <xf numFmtId="0" fontId="116" fillId="25" borderId="0" xfId="0" applyFont="1" applyFill="1" applyProtection="1">
      <protection locked="0"/>
    </xf>
    <xf numFmtId="0" fontId="116" fillId="25" borderId="57" xfId="0" applyFont="1" applyFill="1" applyBorder="1" applyProtection="1">
      <protection locked="0"/>
    </xf>
    <xf numFmtId="0" fontId="116" fillId="25" borderId="62" xfId="0" applyFont="1" applyFill="1" applyBorder="1" applyProtection="1">
      <protection locked="0"/>
    </xf>
    <xf numFmtId="0" fontId="106" fillId="0" borderId="41" xfId="0" applyFont="1" applyBorder="1" applyAlignment="1" applyProtection="1">
      <alignment horizontal="center" vertical="center"/>
      <protection locked="0"/>
    </xf>
    <xf numFmtId="0" fontId="106" fillId="0" borderId="41" xfId="0" applyFont="1" applyBorder="1" applyAlignment="1" applyProtection="1">
      <alignment horizontal="center"/>
      <protection locked="0"/>
    </xf>
    <xf numFmtId="0" fontId="42" fillId="25" borderId="41" xfId="0" applyFont="1" applyFill="1" applyBorder="1" applyAlignment="1" applyProtection="1">
      <alignment horizontal="left" vertical="center"/>
      <protection locked="0"/>
    </xf>
    <xf numFmtId="14" fontId="42" fillId="25" borderId="41" xfId="0" applyNumberFormat="1" applyFont="1" applyFill="1" applyBorder="1" applyAlignment="1" applyProtection="1">
      <alignment horizontal="left" vertical="center"/>
      <protection locked="0"/>
    </xf>
    <xf numFmtId="14" fontId="42" fillId="25" borderId="41" xfId="0" quotePrefix="1" applyNumberFormat="1" applyFont="1" applyFill="1" applyBorder="1" applyAlignment="1" applyProtection="1">
      <alignment horizontal="left" vertical="center"/>
      <protection locked="0"/>
    </xf>
    <xf numFmtId="14" fontId="42" fillId="25" borderId="41" xfId="269" applyNumberFormat="1" applyFont="1" applyFill="1" applyBorder="1" applyAlignment="1" applyProtection="1">
      <alignment horizontal="left" vertical="center"/>
      <protection locked="0"/>
    </xf>
    <xf numFmtId="14" fontId="42" fillId="25" borderId="41" xfId="269" quotePrefix="1" applyNumberFormat="1" applyFont="1" applyFill="1" applyBorder="1" applyAlignment="1" applyProtection="1">
      <alignment horizontal="left" vertical="center"/>
      <protection locked="0"/>
    </xf>
    <xf numFmtId="0" fontId="42" fillId="25" borderId="41" xfId="269" applyFont="1" applyFill="1" applyBorder="1" applyAlignment="1" applyProtection="1">
      <alignment horizontal="left" vertical="center"/>
      <protection locked="0"/>
    </xf>
    <xf numFmtId="0" fontId="121" fillId="25" borderId="41" xfId="269" applyFont="1" applyFill="1" applyBorder="1" applyAlignment="1">
      <alignment horizontal="left" vertical="center"/>
    </xf>
    <xf numFmtId="1" fontId="42" fillId="25" borderId="41" xfId="0" applyNumberFormat="1" applyFont="1" applyFill="1" applyBorder="1" applyAlignment="1" applyProtection="1">
      <alignment horizontal="left" vertical="center"/>
      <protection locked="0"/>
    </xf>
    <xf numFmtId="0" fontId="121" fillId="25" borderId="41" xfId="0" applyFont="1" applyFill="1" applyBorder="1" applyAlignment="1" applyProtection="1">
      <alignment horizontal="left" vertical="center"/>
      <protection locked="0"/>
    </xf>
    <xf numFmtId="0" fontId="121" fillId="25" borderId="41" xfId="0" quotePrefix="1" applyFont="1" applyFill="1" applyBorder="1" applyAlignment="1" applyProtection="1">
      <alignment horizontal="left" vertical="center"/>
      <protection locked="0"/>
    </xf>
    <xf numFmtId="49" fontId="42" fillId="25" borderId="41" xfId="0" applyNumberFormat="1" applyFont="1" applyFill="1" applyBorder="1" applyAlignment="1" applyProtection="1">
      <alignment horizontal="left" vertical="center"/>
      <protection locked="0"/>
    </xf>
    <xf numFmtId="14" fontId="126" fillId="25" borderId="41" xfId="0" applyNumberFormat="1" applyFont="1" applyFill="1" applyBorder="1" applyAlignment="1" applyProtection="1">
      <alignment horizontal="left" vertical="center"/>
      <protection locked="0"/>
    </xf>
    <xf numFmtId="14" fontId="121" fillId="25" borderId="41" xfId="0" quotePrefix="1" applyNumberFormat="1" applyFont="1" applyFill="1" applyBorder="1" applyAlignment="1" applyProtection="1">
      <alignment horizontal="left" vertical="center"/>
      <protection locked="0"/>
    </xf>
    <xf numFmtId="169" fontId="111" fillId="0" borderId="14" xfId="54" applyNumberFormat="1" applyFont="1" applyBorder="1" applyAlignment="1">
      <alignment horizontal="center" vertical="center"/>
    </xf>
    <xf numFmtId="169" fontId="111" fillId="0" borderId="42" xfId="54" applyNumberFormat="1" applyFont="1" applyBorder="1" applyAlignment="1">
      <alignment horizontal="center" vertical="center"/>
    </xf>
    <xf numFmtId="169" fontId="111" fillId="0" borderId="25" xfId="54" applyNumberFormat="1" applyFont="1" applyBorder="1" applyAlignment="1">
      <alignment horizontal="center" vertical="center"/>
    </xf>
    <xf numFmtId="169" fontId="111" fillId="0" borderId="26" xfId="54" applyNumberFormat="1" applyFont="1" applyBorder="1" applyAlignment="1">
      <alignment horizontal="center" vertical="center"/>
    </xf>
    <xf numFmtId="169" fontId="111" fillId="0" borderId="35" xfId="54" applyNumberFormat="1" applyFont="1" applyBorder="1" applyAlignment="1">
      <alignment horizontal="center" vertical="center"/>
    </xf>
    <xf numFmtId="169" fontId="111" fillId="0" borderId="102" xfId="54" applyNumberFormat="1" applyFont="1" applyBorder="1" applyAlignment="1">
      <alignment horizontal="center" vertical="center"/>
    </xf>
    <xf numFmtId="169" fontId="111" fillId="25" borderId="0" xfId="54" applyNumberFormat="1" applyFont="1" applyFill="1" applyAlignment="1">
      <alignment horizontal="center" vertical="center"/>
    </xf>
    <xf numFmtId="169" fontId="111" fillId="0" borderId="87" xfId="54" applyNumberFormat="1" applyFont="1" applyBorder="1" applyAlignment="1">
      <alignment horizontal="center" vertical="center"/>
    </xf>
    <xf numFmtId="169" fontId="111" fillId="0" borderId="100" xfId="54" applyNumberFormat="1" applyFont="1" applyBorder="1" applyAlignment="1">
      <alignment horizontal="center" vertical="center"/>
    </xf>
    <xf numFmtId="169" fontId="111" fillId="0" borderId="89" xfId="54" applyNumberFormat="1" applyFont="1" applyBorder="1" applyAlignment="1">
      <alignment horizontal="center" vertical="center"/>
    </xf>
    <xf numFmtId="169" fontId="111" fillId="0" borderId="101" xfId="54" applyNumberFormat="1" applyFont="1" applyBorder="1" applyAlignment="1">
      <alignment horizontal="center" vertical="center"/>
    </xf>
    <xf numFmtId="169" fontId="111" fillId="0" borderId="90" xfId="54" applyNumberFormat="1" applyFont="1" applyBorder="1" applyAlignment="1">
      <alignment horizontal="center" vertical="center"/>
    </xf>
    <xf numFmtId="169" fontId="41" fillId="51" borderId="50" xfId="54" applyNumberFormat="1" applyFont="1" applyFill="1" applyBorder="1" applyAlignment="1">
      <alignment horizontal="center" vertical="center"/>
    </xf>
    <xf numFmtId="169" fontId="107" fillId="51" borderId="50" xfId="54" applyNumberFormat="1" applyFont="1" applyFill="1" applyBorder="1" applyAlignment="1">
      <alignment horizontal="center" vertical="center"/>
    </xf>
    <xf numFmtId="169" fontId="41" fillId="51" borderId="51" xfId="54" applyNumberFormat="1" applyFont="1" applyFill="1" applyBorder="1" applyAlignment="1">
      <alignment horizontal="center" vertical="center"/>
    </xf>
    <xf numFmtId="169" fontId="41" fillId="25" borderId="0" xfId="54" applyNumberFormat="1" applyFont="1" applyFill="1" applyAlignment="1">
      <alignment horizontal="center" vertical="center"/>
    </xf>
    <xf numFmtId="169" fontId="41" fillId="51" borderId="52" xfId="54" applyNumberFormat="1" applyFont="1" applyFill="1" applyBorder="1" applyAlignment="1">
      <alignment horizontal="center" vertical="center"/>
    </xf>
    <xf numFmtId="14" fontId="121" fillId="25" borderId="41" xfId="269" applyNumberFormat="1" applyFont="1" applyFill="1" applyBorder="1" applyAlignment="1" applyProtection="1">
      <alignment horizontal="left" vertical="center"/>
      <protection locked="0"/>
    </xf>
    <xf numFmtId="0" fontId="121" fillId="25" borderId="41" xfId="269" applyFont="1" applyFill="1" applyBorder="1" applyAlignment="1" applyProtection="1">
      <alignment horizontal="left" vertical="center"/>
      <protection locked="0"/>
    </xf>
    <xf numFmtId="0" fontId="121" fillId="25" borderId="41" xfId="269" quotePrefix="1" applyFont="1" applyFill="1" applyBorder="1" applyAlignment="1" applyProtection="1">
      <alignment horizontal="left" vertical="center"/>
      <protection locked="0"/>
    </xf>
    <xf numFmtId="14" fontId="121" fillId="25" borderId="41" xfId="0" applyNumberFormat="1" applyFont="1" applyFill="1" applyBorder="1" applyAlignment="1" applyProtection="1">
      <alignment horizontal="left" vertical="center"/>
      <protection locked="0"/>
    </xf>
    <xf numFmtId="0" fontId="121" fillId="25" borderId="41" xfId="0" applyFont="1" applyFill="1" applyBorder="1" applyAlignment="1">
      <alignment horizontal="left" vertical="center"/>
    </xf>
    <xf numFmtId="0" fontId="125" fillId="25" borderId="41" xfId="0" applyFont="1" applyFill="1" applyBorder="1" applyAlignment="1" applyProtection="1">
      <alignment horizontal="left" vertical="center"/>
      <protection locked="0"/>
    </xf>
    <xf numFmtId="14" fontId="129" fillId="25" borderId="41" xfId="0" quotePrefix="1" applyNumberFormat="1" applyFont="1" applyFill="1" applyBorder="1" applyAlignment="1" applyProtection="1">
      <alignment horizontal="left" vertical="center"/>
      <protection locked="0"/>
    </xf>
    <xf numFmtId="14" fontId="130" fillId="25" borderId="41" xfId="0" applyNumberFormat="1" applyFont="1" applyFill="1" applyBorder="1" applyAlignment="1" applyProtection="1">
      <alignment horizontal="left" vertical="center"/>
      <protection locked="0"/>
    </xf>
    <xf numFmtId="0" fontId="130" fillId="25" borderId="41" xfId="0" applyFont="1" applyFill="1" applyBorder="1" applyAlignment="1" applyProtection="1">
      <alignment horizontal="left" vertical="center"/>
      <protection locked="0"/>
    </xf>
    <xf numFmtId="0" fontId="130" fillId="25" borderId="41" xfId="0" quotePrefix="1" applyFont="1" applyFill="1" applyBorder="1" applyAlignment="1" applyProtection="1">
      <alignment horizontal="left" vertical="center"/>
      <protection locked="0"/>
    </xf>
    <xf numFmtId="2" fontId="42" fillId="25" borderId="41" xfId="0" applyNumberFormat="1" applyFont="1" applyFill="1" applyBorder="1" applyAlignment="1" applyProtection="1">
      <alignment horizontal="left" vertical="center"/>
      <protection locked="0"/>
    </xf>
    <xf numFmtId="0" fontId="42" fillId="25" borderId="41" xfId="0" applyFont="1" applyFill="1" applyBorder="1" applyAlignment="1">
      <alignment horizontal="left" vertical="center"/>
    </xf>
    <xf numFmtId="14" fontId="42" fillId="25" borderId="41" xfId="270" applyNumberFormat="1" applyFont="1" applyFill="1" applyBorder="1" applyAlignment="1" applyProtection="1">
      <alignment horizontal="left" vertical="center"/>
      <protection locked="0"/>
    </xf>
    <xf numFmtId="1" fontId="131" fillId="25" borderId="41" xfId="271" applyNumberFormat="1" applyFont="1" applyFill="1" applyBorder="1" applyAlignment="1" applyProtection="1">
      <alignment horizontal="left" vertical="center"/>
      <protection locked="0"/>
    </xf>
    <xf numFmtId="14" fontId="129" fillId="25" borderId="41" xfId="0" applyNumberFormat="1" applyFont="1" applyFill="1" applyBorder="1" applyAlignment="1" applyProtection="1">
      <alignment horizontal="left" vertical="center"/>
      <protection locked="0"/>
    </xf>
    <xf numFmtId="14" fontId="42" fillId="25" borderId="41" xfId="270" quotePrefix="1" applyNumberFormat="1" applyFont="1" applyFill="1" applyBorder="1" applyAlignment="1" applyProtection="1">
      <alignment horizontal="left" vertical="center"/>
      <protection locked="0"/>
    </xf>
    <xf numFmtId="0" fontId="42" fillId="25" borderId="41" xfId="270" applyFont="1" applyFill="1" applyBorder="1" applyAlignment="1" applyProtection="1">
      <alignment horizontal="left" vertical="center"/>
      <protection locked="0"/>
    </xf>
    <xf numFmtId="14" fontId="42" fillId="25" borderId="41" xfId="422" applyNumberFormat="1" applyFont="1" applyFill="1" applyBorder="1" applyAlignment="1">
      <alignment horizontal="left" vertical="center"/>
    </xf>
    <xf numFmtId="0" fontId="121" fillId="25" borderId="0" xfId="0" applyFont="1" applyFill="1" applyProtection="1">
      <protection locked="0"/>
    </xf>
    <xf numFmtId="0" fontId="121" fillId="25" borderId="0" xfId="0" applyFont="1" applyFill="1" applyAlignment="1" applyProtection="1">
      <alignment horizontal="left"/>
      <protection locked="0"/>
    </xf>
    <xf numFmtId="0" fontId="121" fillId="25" borderId="0" xfId="0" applyFont="1" applyFill="1" applyAlignment="1" applyProtection="1">
      <alignment horizontal="left" vertical="center"/>
      <protection locked="0"/>
    </xf>
    <xf numFmtId="0" fontId="121" fillId="25" borderId="0" xfId="0" applyFont="1" applyFill="1" applyAlignment="1">
      <alignment vertical="center"/>
    </xf>
    <xf numFmtId="0" fontId="121" fillId="25" borderId="0" xfId="0" applyFont="1" applyFill="1" applyAlignment="1" applyProtection="1">
      <alignment horizontal="center"/>
      <protection locked="0"/>
    </xf>
    <xf numFmtId="0" fontId="121" fillId="25" borderId="0" xfId="0" applyFont="1" applyFill="1"/>
    <xf numFmtId="0" fontId="105" fillId="0" borderId="0" xfId="0" applyFont="1" applyAlignment="1">
      <alignment horizontal="left"/>
    </xf>
    <xf numFmtId="0" fontId="132" fillId="25" borderId="0" xfId="44" applyFont="1" applyFill="1" applyAlignment="1">
      <alignment vertical="center"/>
    </xf>
    <xf numFmtId="0" fontId="133" fillId="25" borderId="0" xfId="44" applyFont="1" applyFill="1" applyAlignment="1">
      <alignment vertical="center"/>
    </xf>
    <xf numFmtId="0" fontId="134" fillId="25" borderId="0" xfId="0" applyFont="1" applyFill="1"/>
    <xf numFmtId="0" fontId="107" fillId="53" borderId="0" xfId="44" applyFont="1" applyFill="1" applyAlignment="1" applyProtection="1">
      <alignment horizontal="left" vertical="center"/>
      <protection locked="0"/>
    </xf>
    <xf numFmtId="0" fontId="136" fillId="0" borderId="0" xfId="44" applyFont="1" applyAlignment="1" applyProtection="1">
      <alignment vertical="center"/>
      <protection locked="0"/>
    </xf>
    <xf numFmtId="0" fontId="111" fillId="0" borderId="0" xfId="0" applyFont="1" applyAlignment="1">
      <alignment horizontal="left" vertical="center"/>
    </xf>
    <xf numFmtId="169" fontId="111" fillId="25" borderId="10" xfId="42" applyNumberFormat="1" applyFont="1" applyFill="1" applyBorder="1" applyAlignment="1" applyProtection="1">
      <alignment horizontal="center" vertical="center"/>
      <protection locked="0"/>
    </xf>
    <xf numFmtId="3" fontId="111" fillId="52" borderId="50" xfId="42" applyNumberFormat="1" applyFont="1" applyFill="1" applyBorder="1" applyAlignment="1">
      <alignment horizontal="center" vertical="center"/>
    </xf>
    <xf numFmtId="0" fontId="110" fillId="25" borderId="0" xfId="0" applyFont="1" applyFill="1" applyAlignment="1" applyProtection="1">
      <alignment horizontal="center" vertical="center"/>
      <protection locked="0"/>
    </xf>
    <xf numFmtId="0" fontId="111" fillId="25" borderId="0" xfId="0" applyFont="1" applyFill="1" applyAlignment="1" applyProtection="1">
      <alignment horizontal="center" vertical="center"/>
      <protection locked="0"/>
    </xf>
    <xf numFmtId="0" fontId="110" fillId="25" borderId="57" xfId="0" applyFont="1" applyFill="1" applyBorder="1" applyAlignment="1" applyProtection="1">
      <alignment horizontal="center" vertical="center"/>
      <protection locked="0"/>
    </xf>
    <xf numFmtId="0" fontId="110" fillId="25" borderId="62" xfId="0" applyFont="1" applyFill="1" applyBorder="1" applyAlignment="1" applyProtection="1">
      <alignment horizontal="center" vertical="center"/>
      <protection locked="0"/>
    </xf>
    <xf numFmtId="0" fontId="111" fillId="54" borderId="10" xfId="0" applyFont="1" applyFill="1" applyBorder="1" applyAlignment="1">
      <alignment horizontal="center" vertical="center" textRotation="90"/>
    </xf>
    <xf numFmtId="0" fontId="111" fillId="54" borderId="10" xfId="0" applyFont="1" applyFill="1" applyBorder="1" applyAlignment="1">
      <alignment horizontal="center" vertical="center"/>
    </xf>
    <xf numFmtId="0" fontId="111" fillId="52" borderId="52" xfId="0" applyFont="1" applyFill="1" applyBorder="1" applyAlignment="1">
      <alignment horizontal="center" vertical="center"/>
    </xf>
    <xf numFmtId="0" fontId="111" fillId="52" borderId="50" xfId="0" applyFont="1" applyFill="1" applyBorder="1" applyAlignment="1">
      <alignment horizontal="center" vertical="center"/>
    </xf>
    <xf numFmtId="168" fontId="111" fillId="52" borderId="50" xfId="42" applyNumberFormat="1" applyFont="1" applyFill="1" applyBorder="1" applyAlignment="1">
      <alignment horizontal="center" vertical="center"/>
    </xf>
    <xf numFmtId="4" fontId="111" fillId="52" borderId="50" xfId="0" applyNumberFormat="1" applyFont="1" applyFill="1" applyBorder="1" applyAlignment="1">
      <alignment horizontal="center" vertical="center"/>
    </xf>
    <xf numFmtId="167" fontId="111" fillId="52" borderId="50" xfId="42" applyNumberFormat="1" applyFont="1" applyFill="1" applyBorder="1" applyAlignment="1">
      <alignment horizontal="center" vertical="center"/>
    </xf>
    <xf numFmtId="168" fontId="111" fillId="52" borderId="51" xfId="42" applyNumberFormat="1" applyFont="1" applyFill="1" applyBorder="1" applyAlignment="1">
      <alignment horizontal="center" vertical="center"/>
    </xf>
    <xf numFmtId="0" fontId="111" fillId="52" borderId="45" xfId="0" applyFont="1" applyFill="1" applyBorder="1" applyAlignment="1" applyProtection="1">
      <alignment horizontal="center" vertical="center"/>
      <protection locked="0"/>
    </xf>
    <xf numFmtId="0" fontId="111" fillId="52" borderId="51" xfId="0" applyFont="1" applyFill="1" applyBorder="1" applyAlignment="1" applyProtection="1">
      <alignment horizontal="center" vertical="center"/>
      <protection locked="0"/>
    </xf>
    <xf numFmtId="3" fontId="111" fillId="52" borderId="50" xfId="42" applyNumberFormat="1" applyFont="1" applyFill="1" applyBorder="1" applyAlignment="1" applyProtection="1">
      <alignment horizontal="center" vertical="center"/>
      <protection locked="0"/>
    </xf>
    <xf numFmtId="0" fontId="111" fillId="0" borderId="0" xfId="39" applyFont="1" applyAlignment="1">
      <alignment horizontal="center"/>
    </xf>
    <xf numFmtId="0" fontId="110" fillId="0" borderId="0" xfId="44" applyFont="1"/>
    <xf numFmtId="0" fontId="110" fillId="0" borderId="0" xfId="44" applyFont="1" applyAlignment="1">
      <alignment horizontal="center"/>
    </xf>
    <xf numFmtId="0" fontId="111" fillId="0" borderId="0" xfId="47" applyFont="1"/>
    <xf numFmtId="17" fontId="111" fillId="0" borderId="0" xfId="47" applyNumberFormat="1" applyFont="1" applyAlignment="1">
      <alignment horizontal="center" vertical="top"/>
    </xf>
    <xf numFmtId="0" fontId="111" fillId="50" borderId="44" xfId="47" applyFont="1" applyFill="1" applyBorder="1" applyAlignment="1">
      <alignment horizontal="center" vertical="center" textRotation="90"/>
    </xf>
    <xf numFmtId="0" fontId="111" fillId="50" borderId="42" xfId="47" applyFont="1" applyFill="1" applyBorder="1" applyAlignment="1">
      <alignment horizontal="center" vertical="center" textRotation="90"/>
    </xf>
    <xf numFmtId="0" fontId="111" fillId="50" borderId="42" xfId="47" applyFont="1" applyFill="1" applyBorder="1" applyAlignment="1">
      <alignment horizontal="center" vertical="center" textRotation="90" wrapText="1"/>
    </xf>
    <xf numFmtId="0" fontId="111" fillId="0" borderId="10" xfId="47" applyFont="1" applyBorder="1" applyAlignment="1">
      <alignment horizontal="center" vertical="center"/>
    </xf>
    <xf numFmtId="0" fontId="111" fillId="0" borderId="10" xfId="42" applyFont="1" applyBorder="1" applyAlignment="1">
      <alignment horizontal="center" vertical="center"/>
    </xf>
    <xf numFmtId="0" fontId="111" fillId="0" borderId="10" xfId="47" applyFont="1" applyBorder="1" applyAlignment="1" applyProtection="1">
      <alignment horizontal="center" vertical="center"/>
      <protection locked="0"/>
    </xf>
    <xf numFmtId="0" fontId="111" fillId="0" borderId="42" xfId="47" applyFont="1" applyBorder="1" applyAlignment="1">
      <alignment horizontal="center" vertical="center"/>
    </xf>
    <xf numFmtId="0" fontId="111" fillId="0" borderId="42" xfId="42" applyFont="1" applyBorder="1" applyAlignment="1">
      <alignment horizontal="center" vertical="center"/>
    </xf>
    <xf numFmtId="0" fontId="108" fillId="50" borderId="50" xfId="47" applyFont="1" applyFill="1" applyBorder="1" applyAlignment="1">
      <alignment horizontal="center" vertical="center"/>
    </xf>
    <xf numFmtId="0" fontId="108" fillId="50" borderId="51" xfId="47" applyFont="1" applyFill="1" applyBorder="1" applyAlignment="1">
      <alignment horizontal="center" vertical="center"/>
    </xf>
    <xf numFmtId="0" fontId="111" fillId="0" borderId="0" xfId="47" applyFont="1" applyAlignment="1" applyProtection="1">
      <alignment horizontal="center" vertical="center"/>
      <protection locked="0"/>
    </xf>
    <xf numFmtId="0" fontId="108" fillId="0" borderId="0" xfId="47" applyFont="1" applyAlignment="1" applyProtection="1">
      <alignment horizontal="center" vertical="center"/>
      <protection locked="0"/>
    </xf>
    <xf numFmtId="0" fontId="108" fillId="50" borderId="10" xfId="47" applyFont="1" applyFill="1" applyBorder="1" applyAlignment="1">
      <alignment horizontal="center" vertical="center"/>
    </xf>
    <xf numFmtId="0" fontId="111" fillId="0" borderId="12" xfId="47" applyFont="1" applyBorder="1" applyAlignment="1">
      <alignment horizontal="center" vertical="center"/>
    </xf>
    <xf numFmtId="0" fontId="111" fillId="0" borderId="12" xfId="47" applyFont="1" applyBorder="1" applyAlignment="1" applyProtection="1">
      <alignment horizontal="center" vertical="center"/>
      <protection locked="0"/>
    </xf>
    <xf numFmtId="0" fontId="111" fillId="50" borderId="43" xfId="47" applyFont="1" applyFill="1" applyBorder="1" applyAlignment="1">
      <alignment horizontal="center" vertical="center" textRotation="90"/>
    </xf>
    <xf numFmtId="0" fontId="108" fillId="0" borderId="23" xfId="47" applyFont="1" applyBorder="1" applyAlignment="1" applyProtection="1">
      <alignment horizontal="center" vertical="center"/>
      <protection locked="0"/>
    </xf>
    <xf numFmtId="0" fontId="108" fillId="0" borderId="47" xfId="47" applyFont="1" applyBorder="1" applyAlignment="1" applyProtection="1">
      <alignment horizontal="center" vertical="center"/>
      <protection locked="0"/>
    </xf>
    <xf numFmtId="0" fontId="108" fillId="0" borderId="10" xfId="47" applyFont="1" applyBorder="1" applyAlignment="1">
      <alignment horizontal="center" vertical="center"/>
    </xf>
    <xf numFmtId="0" fontId="111" fillId="24" borderId="12" xfId="38" applyFont="1" applyFill="1" applyBorder="1" applyAlignment="1">
      <alignment horizontal="center" vertical="center"/>
    </xf>
    <xf numFmtId="0" fontId="111" fillId="0" borderId="12" xfId="42" applyFont="1" applyBorder="1" applyAlignment="1">
      <alignment horizontal="center" vertical="center"/>
    </xf>
    <xf numFmtId="0" fontId="110" fillId="0" borderId="0" xfId="0" applyFont="1" applyAlignment="1" applyProtection="1">
      <alignment horizontal="center"/>
      <protection locked="0"/>
    </xf>
    <xf numFmtId="0" fontId="42" fillId="25" borderId="0" xfId="0" applyFont="1" applyFill="1" applyAlignment="1" applyProtection="1">
      <alignment horizontal="left" vertical="center"/>
      <protection locked="0"/>
    </xf>
    <xf numFmtId="0" fontId="42" fillId="25" borderId="0" xfId="0" applyFont="1" applyFill="1" applyAlignment="1" applyProtection="1">
      <alignment horizontal="center" vertical="center"/>
      <protection locked="0"/>
    </xf>
    <xf numFmtId="0" fontId="42" fillId="55" borderId="41" xfId="0" applyFont="1" applyFill="1" applyBorder="1" applyAlignment="1" applyProtection="1">
      <alignment horizontal="center" vertical="center"/>
      <protection locked="0"/>
    </xf>
    <xf numFmtId="0" fontId="115" fillId="56" borderId="76" xfId="0" applyFont="1" applyFill="1" applyBorder="1" applyAlignment="1">
      <alignment horizontal="center" vertical="center" wrapText="1"/>
    </xf>
    <xf numFmtId="0" fontId="115" fillId="56" borderId="77" xfId="0" applyFont="1" applyFill="1" applyBorder="1" applyAlignment="1">
      <alignment horizontal="center" vertical="center" wrapText="1"/>
    </xf>
    <xf numFmtId="0" fontId="115" fillId="25" borderId="65" xfId="0" applyFont="1" applyFill="1" applyBorder="1" applyAlignment="1">
      <alignment vertical="center"/>
    </xf>
    <xf numFmtId="15" fontId="115" fillId="25" borderId="65" xfId="0" applyNumberFormat="1" applyFont="1" applyFill="1" applyBorder="1" applyAlignment="1">
      <alignment vertical="center"/>
    </xf>
    <xf numFmtId="0" fontId="115" fillId="25" borderId="0" xfId="0" applyFont="1" applyFill="1" applyAlignment="1">
      <alignment vertical="center"/>
    </xf>
    <xf numFmtId="15" fontId="115" fillId="25" borderId="66" xfId="0" quotePrefix="1" applyNumberFormat="1" applyFont="1" applyFill="1" applyBorder="1" applyAlignment="1">
      <alignment vertical="center"/>
    </xf>
    <xf numFmtId="0" fontId="115" fillId="25" borderId="66" xfId="0" applyFont="1" applyFill="1" applyBorder="1" applyAlignment="1">
      <alignment vertical="center"/>
    </xf>
    <xf numFmtId="0" fontId="113" fillId="25" borderId="65" xfId="0" applyFont="1" applyFill="1" applyBorder="1" applyAlignment="1">
      <alignment vertical="center"/>
    </xf>
    <xf numFmtId="0" fontId="113" fillId="25" borderId="66" xfId="0" applyFont="1" applyFill="1" applyBorder="1" applyAlignment="1">
      <alignment vertical="center"/>
    </xf>
    <xf numFmtId="0" fontId="115" fillId="25" borderId="0" xfId="0" applyFont="1" applyFill="1"/>
    <xf numFmtId="14" fontId="115" fillId="25" borderId="66" xfId="0" applyNumberFormat="1" applyFont="1" applyFill="1" applyBorder="1" applyAlignment="1">
      <alignment vertical="center"/>
    </xf>
    <xf numFmtId="0" fontId="54" fillId="25" borderId="0" xfId="0" applyFont="1" applyFill="1"/>
    <xf numFmtId="0" fontId="110" fillId="25" borderId="66" xfId="0" applyFont="1" applyFill="1" applyBorder="1" applyAlignment="1">
      <alignment vertical="center"/>
    </xf>
    <xf numFmtId="0" fontId="106" fillId="25" borderId="66" xfId="0" applyFont="1" applyFill="1" applyBorder="1" applyAlignment="1">
      <alignment vertical="center"/>
    </xf>
    <xf numFmtId="0" fontId="106" fillId="25" borderId="66" xfId="0" quotePrefix="1" applyFont="1" applyFill="1" applyBorder="1" applyAlignment="1">
      <alignment vertical="center"/>
    </xf>
    <xf numFmtId="0" fontId="112" fillId="25" borderId="66" xfId="0" applyFont="1" applyFill="1" applyBorder="1" applyAlignment="1">
      <alignment vertical="center"/>
    </xf>
    <xf numFmtId="0" fontId="0" fillId="25" borderId="0" xfId="0" applyFill="1"/>
    <xf numFmtId="15" fontId="110" fillId="25" borderId="66" xfId="0" quotePrefix="1" applyNumberFormat="1" applyFont="1" applyFill="1" applyBorder="1" applyAlignment="1">
      <alignment vertical="center"/>
    </xf>
    <xf numFmtId="0" fontId="105" fillId="25" borderId="66" xfId="0" applyFont="1" applyFill="1" applyBorder="1" applyAlignment="1">
      <alignment vertical="center"/>
    </xf>
    <xf numFmtId="0" fontId="110" fillId="25" borderId="66" xfId="0" quotePrefix="1" applyFont="1" applyFill="1" applyBorder="1" applyAlignment="1">
      <alignment vertical="center"/>
    </xf>
    <xf numFmtId="0" fontId="110" fillId="25" borderId="66" xfId="0" applyFont="1" applyFill="1" applyBorder="1"/>
    <xf numFmtId="0" fontId="105" fillId="25" borderId="66" xfId="0" applyFont="1" applyFill="1" applyBorder="1"/>
    <xf numFmtId="0" fontId="110" fillId="0" borderId="41" xfId="0" applyFont="1" applyBorder="1"/>
    <xf numFmtId="0" fontId="110" fillId="25" borderId="0" xfId="0" applyFont="1" applyFill="1" applyAlignment="1">
      <alignment horizontal="center" vertical="center"/>
    </xf>
    <xf numFmtId="0" fontId="110" fillId="25" borderId="0" xfId="0" applyFont="1" applyFill="1" applyAlignment="1">
      <alignment horizontal="center" vertical="center" wrapText="1"/>
    </xf>
    <xf numFmtId="0" fontId="110" fillId="0" borderId="0" xfId="0" applyFont="1" applyAlignment="1" applyProtection="1">
      <alignment horizontal="left"/>
      <protection locked="0"/>
    </xf>
    <xf numFmtId="0" fontId="105" fillId="52" borderId="10" xfId="0" applyFont="1" applyFill="1" applyBorder="1" applyAlignment="1">
      <alignment horizontal="center" vertical="center"/>
    </xf>
    <xf numFmtId="0" fontId="105" fillId="52" borderId="10" xfId="0" applyFont="1" applyFill="1" applyBorder="1" applyAlignment="1">
      <alignment horizontal="center" vertical="center" wrapText="1"/>
    </xf>
    <xf numFmtId="0" fontId="110" fillId="52" borderId="0" xfId="0" applyFont="1" applyFill="1" applyProtection="1">
      <protection locked="0"/>
    </xf>
    <xf numFmtId="0" fontId="110" fillId="52" borderId="10" xfId="0" applyFont="1" applyFill="1" applyBorder="1" applyAlignment="1">
      <alignment horizontal="center" vertical="center" wrapText="1"/>
    </xf>
    <xf numFmtId="0" fontId="110" fillId="52" borderId="0" xfId="0" applyFont="1" applyFill="1" applyAlignment="1" applyProtection="1">
      <alignment wrapText="1"/>
      <protection locked="0"/>
    </xf>
    <xf numFmtId="0" fontId="105" fillId="52" borderId="29" xfId="0" applyFont="1" applyFill="1" applyBorder="1" applyAlignment="1">
      <alignment horizontal="center" vertical="center"/>
    </xf>
    <xf numFmtId="0" fontId="105" fillId="52" borderId="29" xfId="0" applyFont="1" applyFill="1" applyBorder="1" applyAlignment="1">
      <alignment horizontal="center" vertical="center" wrapText="1"/>
    </xf>
    <xf numFmtId="0" fontId="110" fillId="52" borderId="0" xfId="0" applyFont="1" applyFill="1" applyAlignment="1" applyProtection="1">
      <alignment horizontal="center"/>
      <protection locked="0"/>
    </xf>
    <xf numFmtId="0" fontId="110" fillId="25" borderId="13" xfId="0" applyFont="1" applyFill="1" applyBorder="1" applyAlignment="1">
      <alignment horizontal="center" vertical="center"/>
    </xf>
    <xf numFmtId="0" fontId="110" fillId="25" borderId="10" xfId="0" applyFont="1" applyFill="1" applyBorder="1" applyAlignment="1" applyProtection="1">
      <alignment horizontal="center" vertical="center" wrapText="1"/>
      <protection locked="0"/>
    </xf>
    <xf numFmtId="0" fontId="110" fillId="25" borderId="10" xfId="0" applyFont="1" applyFill="1" applyBorder="1" applyAlignment="1">
      <alignment horizontal="center" vertical="center"/>
    </xf>
    <xf numFmtId="0" fontId="105" fillId="52" borderId="0" xfId="0" applyFont="1" applyFill="1" applyAlignment="1" applyProtection="1">
      <alignment horizontal="center" vertical="center"/>
      <protection locked="0"/>
    </xf>
    <xf numFmtId="0" fontId="105" fillId="52" borderId="0" xfId="0" applyFont="1" applyFill="1" applyAlignment="1" applyProtection="1">
      <alignment horizontal="center"/>
      <protection locked="0"/>
    </xf>
    <xf numFmtId="169" fontId="105" fillId="52" borderId="0" xfId="0" applyNumberFormat="1" applyFont="1" applyFill="1" applyAlignment="1" applyProtection="1">
      <alignment horizontal="center"/>
      <protection locked="0"/>
    </xf>
    <xf numFmtId="0" fontId="105" fillId="52" borderId="0" xfId="0" applyFont="1" applyFill="1" applyProtection="1">
      <protection locked="0"/>
    </xf>
    <xf numFmtId="0" fontId="105" fillId="0" borderId="0" xfId="0" applyFont="1" applyAlignment="1" applyProtection="1">
      <alignment horizontal="left"/>
      <protection locked="0"/>
    </xf>
    <xf numFmtId="169" fontId="110" fillId="25" borderId="13" xfId="0" applyNumberFormat="1" applyFont="1" applyFill="1" applyBorder="1" applyAlignment="1">
      <alignment horizontal="center" vertical="center"/>
    </xf>
    <xf numFmtId="169" fontId="110" fillId="0" borderId="0" xfId="0" applyNumberFormat="1" applyFont="1" applyProtection="1">
      <protection locked="0"/>
    </xf>
    <xf numFmtId="169" fontId="110" fillId="25" borderId="10" xfId="0" applyNumberFormat="1" applyFont="1" applyFill="1" applyBorder="1" applyAlignment="1">
      <alignment horizontal="center" vertical="center"/>
    </xf>
    <xf numFmtId="169" fontId="105" fillId="52" borderId="0" xfId="0" applyNumberFormat="1" applyFont="1" applyFill="1" applyProtection="1">
      <protection locked="0"/>
    </xf>
    <xf numFmtId="169" fontId="110" fillId="25" borderId="13" xfId="0" applyNumberFormat="1" applyFont="1" applyFill="1" applyBorder="1" applyAlignment="1">
      <alignment horizontal="center" vertical="center" wrapText="1"/>
    </xf>
    <xf numFmtId="169" fontId="110" fillId="0" borderId="0" xfId="0" applyNumberFormat="1" applyFont="1" applyAlignment="1" applyProtection="1">
      <alignment horizontal="center" vertical="center"/>
      <protection locked="0"/>
    </xf>
    <xf numFmtId="0" fontId="52" fillId="0" borderId="0" xfId="0" applyFont="1" applyAlignment="1" applyProtection="1">
      <alignment horizontal="left"/>
      <protection locked="0"/>
    </xf>
    <xf numFmtId="0" fontId="108" fillId="0" borderId="43" xfId="44" applyFont="1" applyBorder="1" applyAlignment="1">
      <alignment horizontal="center" vertical="center"/>
    </xf>
    <xf numFmtId="0" fontId="108" fillId="0" borderId="43" xfId="44" applyFont="1" applyBorder="1" applyAlignment="1" applyProtection="1">
      <alignment horizontal="center" vertical="center"/>
      <protection locked="0"/>
    </xf>
    <xf numFmtId="0" fontId="108" fillId="0" borderId="45" xfId="44" applyFont="1" applyBorder="1" applyAlignment="1" applyProtection="1">
      <alignment vertical="center"/>
      <protection locked="0"/>
    </xf>
    <xf numFmtId="0" fontId="108" fillId="0" borderId="42" xfId="44" applyFont="1" applyBorder="1" applyAlignment="1">
      <alignment horizontal="center" vertical="center"/>
    </xf>
    <xf numFmtId="0" fontId="139" fillId="0" borderId="41" xfId="0" applyFont="1" applyBorder="1" applyAlignment="1">
      <alignment horizontal="center" vertical="center" wrapText="1"/>
    </xf>
    <xf numFmtId="0" fontId="107" fillId="51" borderId="41" xfId="54" applyFont="1" applyFill="1" applyBorder="1" applyAlignment="1">
      <alignment horizontal="center" vertical="center"/>
    </xf>
    <xf numFmtId="2" fontId="119" fillId="51" borderId="41" xfId="54" applyNumberFormat="1" applyFont="1" applyFill="1" applyBorder="1" applyAlignment="1">
      <alignment horizontal="center" vertical="center"/>
    </xf>
    <xf numFmtId="3" fontId="111" fillId="0" borderId="41" xfId="54" applyNumberFormat="1" applyFont="1" applyBorder="1" applyAlignment="1">
      <alignment horizontal="center" vertical="center"/>
    </xf>
    <xf numFmtId="0" fontId="40" fillId="0" borderId="41" xfId="0" applyFont="1" applyBorder="1" applyAlignment="1">
      <alignment horizontal="center" vertical="center"/>
    </xf>
    <xf numFmtId="0" fontId="111" fillId="50" borderId="47" xfId="47" applyFont="1" applyFill="1" applyBorder="1" applyAlignment="1">
      <alignment horizontal="center" vertical="center" textRotation="90"/>
    </xf>
    <xf numFmtId="3" fontId="41" fillId="51" borderId="41" xfId="54" applyNumberFormat="1" applyFont="1" applyFill="1" applyBorder="1" applyAlignment="1">
      <alignment horizontal="center" vertical="center"/>
    </xf>
    <xf numFmtId="2" fontId="118" fillId="0" borderId="41" xfId="54" applyNumberFormat="1" applyFont="1" applyBorder="1" applyAlignment="1">
      <alignment horizontal="center" vertical="center"/>
    </xf>
    <xf numFmtId="0" fontId="111" fillId="0" borderId="41" xfId="54" applyFont="1" applyBorder="1" applyAlignment="1">
      <alignment horizontal="center" vertical="center"/>
    </xf>
    <xf numFmtId="0" fontId="41" fillId="51" borderId="41" xfId="54" applyFont="1" applyFill="1" applyBorder="1" applyAlignment="1" applyProtection="1">
      <alignment horizontal="center" vertical="center"/>
      <protection locked="0"/>
    </xf>
    <xf numFmtId="3" fontId="111" fillId="0" borderId="41" xfId="0" applyNumberFormat="1" applyFont="1" applyBorder="1" applyAlignment="1">
      <alignment horizontal="center" vertical="center"/>
    </xf>
    <xf numFmtId="0" fontId="108" fillId="50" borderId="41" xfId="47" applyFont="1" applyFill="1" applyBorder="1" applyAlignment="1">
      <alignment horizontal="center" vertical="center"/>
    </xf>
    <xf numFmtId="14" fontId="42" fillId="25" borderId="41" xfId="0" applyNumberFormat="1" applyFont="1" applyFill="1" applyBorder="1" applyAlignment="1" applyProtection="1">
      <alignment horizontal="center" vertical="center"/>
      <protection locked="0"/>
    </xf>
    <xf numFmtId="14" fontId="121" fillId="25" borderId="41" xfId="269" quotePrefix="1" applyNumberFormat="1" applyFont="1" applyFill="1" applyBorder="1" applyAlignment="1" applyProtection="1">
      <alignment horizontal="left" vertical="center"/>
      <protection locked="0"/>
    </xf>
    <xf numFmtId="0" fontId="110" fillId="57" borderId="12" xfId="0" applyFont="1" applyFill="1" applyBorder="1" applyAlignment="1">
      <alignment horizontal="center" vertical="center"/>
    </xf>
    <xf numFmtId="0" fontId="110" fillId="57" borderId="13" xfId="0" applyFont="1" applyFill="1" applyBorder="1" applyAlignment="1">
      <alignment horizontal="center" vertical="center"/>
    </xf>
    <xf numFmtId="0" fontId="110" fillId="57" borderId="10" xfId="0" applyFont="1" applyFill="1" applyBorder="1" applyAlignment="1">
      <alignment horizontal="center" vertical="center"/>
    </xf>
    <xf numFmtId="0" fontId="110" fillId="0" borderId="10" xfId="0" applyFont="1" applyBorder="1" applyAlignment="1">
      <alignment horizontal="center" vertical="center"/>
    </xf>
    <xf numFmtId="166" fontId="110" fillId="0" borderId="10" xfId="0" applyNumberFormat="1" applyFont="1" applyBorder="1" applyAlignment="1">
      <alignment vertical="center"/>
    </xf>
    <xf numFmtId="0" fontId="110" fillId="52" borderId="10" xfId="0" applyFont="1" applyFill="1" applyBorder="1" applyAlignment="1" applyProtection="1">
      <alignment horizontal="center" vertical="center"/>
      <protection locked="0"/>
    </xf>
    <xf numFmtId="0" fontId="108" fillId="52" borderId="10" xfId="0" applyFont="1" applyFill="1" applyBorder="1" applyAlignment="1">
      <alignment horizontal="center" vertical="center"/>
    </xf>
    <xf numFmtId="166" fontId="110" fillId="0" borderId="10" xfId="0" applyNumberFormat="1" applyFont="1" applyBorder="1" applyAlignment="1" applyProtection="1">
      <alignment vertical="center"/>
      <protection locked="0"/>
    </xf>
    <xf numFmtId="0" fontId="110" fillId="52" borderId="10" xfId="0" applyFont="1" applyFill="1" applyBorder="1" applyAlignment="1">
      <alignment horizontal="center" vertical="center"/>
    </xf>
    <xf numFmtId="166" fontId="110" fillId="0" borderId="41" xfId="0" applyNumberFormat="1" applyFont="1" applyBorder="1" applyAlignment="1">
      <alignment vertical="center"/>
    </xf>
    <xf numFmtId="1" fontId="42" fillId="25" borderId="41" xfId="0" applyNumberFormat="1" applyFont="1" applyFill="1" applyBorder="1" applyAlignment="1" applyProtection="1">
      <alignment horizontal="center" vertical="center"/>
      <protection locked="0"/>
    </xf>
    <xf numFmtId="0" fontId="42" fillId="25" borderId="41" xfId="0" applyFont="1" applyFill="1" applyBorder="1" applyAlignment="1" applyProtection="1">
      <alignment horizontal="center" vertical="center"/>
      <protection locked="0"/>
    </xf>
    <xf numFmtId="166" fontId="110" fillId="0" borderId="10" xfId="0" applyNumberFormat="1" applyFont="1" applyBorder="1" applyAlignment="1">
      <alignment horizontal="center" vertical="center"/>
    </xf>
    <xf numFmtId="166" fontId="110" fillId="0" borderId="41" xfId="0" applyNumberFormat="1" applyFont="1" applyBorder="1" applyAlignment="1">
      <alignment horizontal="center" vertical="center"/>
    </xf>
    <xf numFmtId="0" fontId="110" fillId="52" borderId="41" xfId="0" applyFont="1" applyFill="1" applyBorder="1" applyAlignment="1" applyProtection="1">
      <alignment horizontal="center" vertical="center"/>
      <protection locked="0"/>
    </xf>
    <xf numFmtId="0" fontId="108" fillId="52" borderId="41" xfId="0" applyFont="1" applyFill="1" applyBorder="1" applyAlignment="1">
      <alignment horizontal="center" vertical="center"/>
    </xf>
    <xf numFmtId="169" fontId="110" fillId="0" borderId="41" xfId="0" applyNumberFormat="1" applyFont="1" applyBorder="1" applyAlignment="1" applyProtection="1">
      <alignment horizontal="center" vertical="center"/>
      <protection locked="0"/>
    </xf>
    <xf numFmtId="169" fontId="110" fillId="0" borderId="41" xfId="0" applyNumberFormat="1" applyFont="1" applyBorder="1" applyAlignment="1">
      <alignment horizontal="center" vertical="center"/>
    </xf>
    <xf numFmtId="0" fontId="195" fillId="0" borderId="0" xfId="0" applyFont="1" applyAlignment="1" applyProtection="1">
      <alignment horizontal="center"/>
      <protection locked="0"/>
    </xf>
    <xf numFmtId="0" fontId="124" fillId="0" borderId="0" xfId="0" applyFont="1" applyAlignment="1" applyProtection="1">
      <alignment horizontal="center"/>
      <protection locked="0"/>
    </xf>
    <xf numFmtId="0" fontId="115" fillId="25" borderId="65" xfId="0" applyFont="1" applyFill="1" applyBorder="1" applyAlignment="1">
      <alignment horizontal="left" vertical="center"/>
    </xf>
    <xf numFmtId="15" fontId="115" fillId="25" borderId="65" xfId="0" applyNumberFormat="1" applyFont="1" applyFill="1" applyBorder="1" applyAlignment="1">
      <alignment horizontal="left" vertical="center"/>
    </xf>
    <xf numFmtId="0" fontId="115" fillId="25" borderId="0" xfId="0" applyFont="1" applyFill="1" applyAlignment="1">
      <alignment horizontal="left" vertical="center"/>
    </xf>
    <xf numFmtId="15" fontId="115" fillId="25" borderId="66" xfId="0" quotePrefix="1" applyNumberFormat="1" applyFont="1" applyFill="1" applyBorder="1" applyAlignment="1">
      <alignment horizontal="left" vertical="center"/>
    </xf>
    <xf numFmtId="0" fontId="115" fillId="25" borderId="66" xfId="0" applyFont="1" applyFill="1" applyBorder="1" applyAlignment="1">
      <alignment horizontal="left" vertical="center"/>
    </xf>
    <xf numFmtId="0" fontId="115" fillId="25" borderId="117" xfId="0" applyFont="1" applyFill="1" applyBorder="1" applyAlignment="1">
      <alignment horizontal="left" vertical="center"/>
    </xf>
    <xf numFmtId="14" fontId="34" fillId="25" borderId="41" xfId="0" applyNumberFormat="1" applyFont="1" applyFill="1" applyBorder="1" applyAlignment="1" applyProtection="1">
      <alignment horizontal="left" vertical="center"/>
      <protection locked="0"/>
    </xf>
    <xf numFmtId="15" fontId="115" fillId="25" borderId="115" xfId="0" quotePrefix="1" applyNumberFormat="1" applyFont="1" applyFill="1" applyBorder="1" applyAlignment="1">
      <alignment horizontal="left" vertical="center"/>
    </xf>
    <xf numFmtId="0" fontId="115" fillId="25" borderId="41" xfId="0" applyFont="1" applyFill="1" applyBorder="1" applyAlignment="1">
      <alignment horizontal="left" vertical="center"/>
    </xf>
    <xf numFmtId="0" fontId="115" fillId="25" borderId="116" xfId="0" applyFont="1" applyFill="1" applyBorder="1" applyAlignment="1">
      <alignment horizontal="left" vertical="center"/>
    </xf>
    <xf numFmtId="0" fontId="115" fillId="25" borderId="65" xfId="0" applyFont="1" applyFill="1" applyBorder="1" applyAlignment="1">
      <alignment horizontal="left" vertical="center" wrapText="1"/>
    </xf>
    <xf numFmtId="14" fontId="115" fillId="25" borderId="65" xfId="0" applyNumberFormat="1" applyFont="1" applyFill="1" applyBorder="1" applyAlignment="1">
      <alignment horizontal="left" vertical="center"/>
    </xf>
    <xf numFmtId="0" fontId="113" fillId="25" borderId="65" xfId="0" applyFont="1" applyFill="1" applyBorder="1" applyAlignment="1">
      <alignment horizontal="left" vertical="center"/>
    </xf>
    <xf numFmtId="0" fontId="113" fillId="25" borderId="66" xfId="0" applyFont="1" applyFill="1" applyBorder="1" applyAlignment="1">
      <alignment horizontal="left" vertical="center"/>
    </xf>
    <xf numFmtId="14" fontId="42" fillId="25" borderId="41" xfId="641" applyNumberFormat="1" applyFont="1" applyFill="1" applyBorder="1" applyAlignment="1" applyProtection="1">
      <alignment horizontal="left" vertical="center"/>
      <protection locked="0"/>
    </xf>
    <xf numFmtId="0" fontId="121" fillId="25" borderId="41" xfId="641" applyFont="1" applyFill="1" applyBorder="1" applyAlignment="1">
      <alignment horizontal="left" vertical="center"/>
    </xf>
    <xf numFmtId="14" fontId="42" fillId="25" borderId="41" xfId="641" quotePrefix="1" applyNumberFormat="1" applyFont="1" applyFill="1" applyBorder="1" applyAlignment="1" applyProtection="1">
      <alignment horizontal="left" vertical="center"/>
      <protection locked="0"/>
    </xf>
    <xf numFmtId="0" fontId="42" fillId="25" borderId="41" xfId="641" applyFont="1" applyFill="1" applyBorder="1" applyAlignment="1" applyProtection="1">
      <alignment horizontal="left" vertical="center"/>
      <protection locked="0"/>
    </xf>
    <xf numFmtId="14" fontId="121" fillId="25" borderId="41" xfId="641" applyNumberFormat="1" applyFont="1" applyFill="1" applyBorder="1" applyAlignment="1" applyProtection="1">
      <alignment horizontal="left" vertical="center"/>
      <protection locked="0"/>
    </xf>
    <xf numFmtId="0" fontId="121" fillId="25" borderId="41" xfId="641" applyFont="1" applyFill="1" applyBorder="1" applyAlignment="1" applyProtection="1">
      <alignment horizontal="left" vertical="center"/>
      <protection locked="0"/>
    </xf>
    <xf numFmtId="0" fontId="121" fillId="25" borderId="41" xfId="641" quotePrefix="1" applyFont="1" applyFill="1" applyBorder="1" applyAlignment="1" applyProtection="1">
      <alignment horizontal="left" vertical="center"/>
      <protection locked="0"/>
    </xf>
    <xf numFmtId="169" fontId="108" fillId="52" borderId="41" xfId="0" applyNumberFormat="1" applyFont="1" applyFill="1" applyBorder="1" applyAlignment="1">
      <alignment horizontal="center" vertical="center"/>
    </xf>
    <xf numFmtId="169" fontId="110" fillId="52" borderId="10" xfId="0" applyNumberFormat="1" applyFont="1" applyFill="1" applyBorder="1" applyAlignment="1" applyProtection="1">
      <alignment horizontal="center" vertical="center"/>
      <protection locked="0"/>
    </xf>
    <xf numFmtId="0" fontId="124" fillId="0" borderId="0" xfId="0" applyFont="1" applyProtection="1">
      <protection locked="0"/>
    </xf>
    <xf numFmtId="169" fontId="111" fillId="25" borderId="0" xfId="42" applyNumberFormat="1" applyFont="1" applyFill="1" applyAlignment="1">
      <alignment horizontal="center" vertical="center"/>
    </xf>
    <xf numFmtId="169" fontId="110" fillId="25" borderId="0" xfId="44" applyNumberFormat="1" applyFont="1" applyFill="1" applyAlignment="1">
      <alignment horizontal="center" vertical="center"/>
    </xf>
    <xf numFmtId="169" fontId="138" fillId="52" borderId="10" xfId="42" applyNumberFormat="1" applyFont="1" applyFill="1" applyBorder="1" applyAlignment="1">
      <alignment horizontal="center" vertical="center" textRotation="90"/>
    </xf>
    <xf numFmtId="169" fontId="111" fillId="25" borderId="10" xfId="42" applyNumberFormat="1" applyFont="1" applyFill="1" applyBorder="1" applyAlignment="1">
      <alignment horizontal="center" vertical="center"/>
    </xf>
    <xf numFmtId="169" fontId="124" fillId="25" borderId="41" xfId="44" applyNumberFormat="1" applyFont="1" applyFill="1" applyBorder="1" applyAlignment="1" applyProtection="1">
      <alignment horizontal="center" vertical="center"/>
      <protection locked="0"/>
    </xf>
    <xf numFmtId="169" fontId="111" fillId="25" borderId="42" xfId="42" applyNumberFormat="1" applyFont="1" applyFill="1" applyBorder="1" applyAlignment="1" applyProtection="1">
      <alignment horizontal="center" vertical="center"/>
      <protection locked="0"/>
    </xf>
    <xf numFmtId="169" fontId="111" fillId="25" borderId="41" xfId="42" applyNumberFormat="1" applyFont="1" applyFill="1" applyBorder="1" applyAlignment="1">
      <alignment horizontal="center" vertical="center"/>
    </xf>
    <xf numFmtId="169" fontId="111" fillId="25" borderId="13" xfId="42" applyNumberFormat="1" applyFont="1" applyFill="1" applyBorder="1" applyAlignment="1" applyProtection="1">
      <alignment horizontal="center" vertical="center"/>
      <protection locked="0"/>
    </xf>
    <xf numFmtId="169" fontId="111" fillId="25" borderId="42" xfId="42" applyNumberFormat="1" applyFont="1" applyFill="1" applyBorder="1" applyAlignment="1">
      <alignment horizontal="center" vertical="center"/>
    </xf>
    <xf numFmtId="169" fontId="111" fillId="52" borderId="50" xfId="42" applyNumberFormat="1" applyFont="1" applyFill="1" applyBorder="1" applyAlignment="1">
      <alignment horizontal="center" vertical="center"/>
    </xf>
    <xf numFmtId="169" fontId="110" fillId="25" borderId="0" xfId="44" applyNumberFormat="1" applyFont="1" applyFill="1" applyAlignment="1" applyProtection="1">
      <alignment horizontal="center" vertical="center"/>
      <protection locked="0"/>
    </xf>
    <xf numFmtId="169" fontId="111" fillId="25" borderId="41" xfId="42" applyNumberFormat="1" applyFont="1" applyFill="1" applyBorder="1" applyAlignment="1" applyProtection="1">
      <alignment horizontal="center" vertical="center"/>
      <protection locked="0"/>
    </xf>
    <xf numFmtId="169" fontId="110" fillId="25" borderId="10" xfId="44" applyNumberFormat="1" applyFont="1" applyFill="1" applyBorder="1" applyAlignment="1" applyProtection="1">
      <alignment horizontal="center" vertical="center"/>
      <protection locked="0"/>
    </xf>
    <xf numFmtId="169" fontId="110" fillId="25" borderId="42" xfId="44" applyNumberFormat="1" applyFont="1" applyFill="1" applyBorder="1" applyAlignment="1" applyProtection="1">
      <alignment horizontal="center" vertical="center"/>
      <protection locked="0"/>
    </xf>
    <xf numFmtId="169" fontId="111" fillId="52" borderId="51" xfId="42" applyNumberFormat="1" applyFont="1" applyFill="1" applyBorder="1" applyAlignment="1">
      <alignment horizontal="center" vertical="center"/>
    </xf>
    <xf numFmtId="169" fontId="111" fillId="49" borderId="50" xfId="42" applyNumberFormat="1" applyFont="1" applyFill="1" applyBorder="1" applyAlignment="1">
      <alignment horizontal="center" vertical="center"/>
    </xf>
    <xf numFmtId="169" fontId="111" fillId="49" borderId="51" xfId="42" applyNumberFormat="1" applyFont="1" applyFill="1" applyBorder="1" applyAlignment="1">
      <alignment horizontal="center" vertical="center"/>
    </xf>
    <xf numFmtId="169" fontId="111" fillId="25" borderId="12" xfId="42" applyNumberFormat="1" applyFont="1" applyFill="1" applyBorder="1" applyAlignment="1">
      <alignment horizontal="center" vertical="center"/>
    </xf>
    <xf numFmtId="169" fontId="111" fillId="25" borderId="13" xfId="42" applyNumberFormat="1" applyFont="1" applyFill="1" applyBorder="1" applyAlignment="1">
      <alignment horizontal="center" vertical="center"/>
    </xf>
    <xf numFmtId="169" fontId="111" fillId="25" borderId="14" xfId="42" applyNumberFormat="1" applyFont="1" applyFill="1" applyBorder="1" applyAlignment="1">
      <alignment horizontal="center" vertical="center"/>
    </xf>
    <xf numFmtId="169" fontId="111" fillId="25" borderId="0" xfId="42" applyNumberFormat="1" applyFont="1" applyFill="1" applyAlignment="1" applyProtection="1">
      <alignment horizontal="center" vertical="center"/>
      <protection locked="0"/>
    </xf>
    <xf numFmtId="169" fontId="124" fillId="25" borderId="0" xfId="44" applyNumberFormat="1" applyFont="1" applyFill="1" applyAlignment="1" applyProtection="1">
      <alignment horizontal="center" vertical="center"/>
      <protection locked="0"/>
    </xf>
    <xf numFmtId="14" fontId="121" fillId="25" borderId="0" xfId="0" applyNumberFormat="1" applyFont="1" applyFill="1" applyAlignment="1" applyProtection="1">
      <alignment horizontal="left" vertical="center"/>
      <protection locked="0"/>
    </xf>
    <xf numFmtId="17" fontId="42" fillId="25" borderId="41" xfId="0" applyNumberFormat="1" applyFont="1" applyFill="1" applyBorder="1" applyAlignment="1" applyProtection="1">
      <alignment horizontal="left" vertical="center"/>
      <protection locked="0"/>
    </xf>
    <xf numFmtId="14" fontId="42" fillId="25" borderId="41" xfId="0" applyNumberFormat="1" applyFont="1" applyFill="1" applyBorder="1" applyAlignment="1" applyProtection="1">
      <alignment vertical="center"/>
      <protection locked="0"/>
    </xf>
    <xf numFmtId="0" fontId="42" fillId="25" borderId="41" xfId="0" applyFont="1" applyFill="1" applyBorder="1" applyAlignment="1" applyProtection="1">
      <alignment vertical="center"/>
      <protection locked="0"/>
    </xf>
    <xf numFmtId="14" fontId="196" fillId="25" borderId="41" xfId="0" applyNumberFormat="1" applyFont="1" applyFill="1" applyBorder="1" applyAlignment="1" applyProtection="1">
      <alignment horizontal="left" vertical="center"/>
      <protection locked="0"/>
    </xf>
    <xf numFmtId="0" fontId="196" fillId="25" borderId="41" xfId="0" applyFont="1" applyFill="1" applyBorder="1" applyAlignment="1" applyProtection="1">
      <alignment horizontal="left" vertical="center"/>
      <protection locked="0"/>
    </xf>
    <xf numFmtId="14" fontId="196" fillId="25" borderId="41" xfId="0" quotePrefix="1" applyNumberFormat="1" applyFont="1" applyFill="1" applyBorder="1" applyAlignment="1" applyProtection="1">
      <alignment horizontal="left" vertical="center"/>
      <protection locked="0"/>
    </xf>
    <xf numFmtId="1" fontId="196" fillId="25" borderId="41" xfId="0" applyNumberFormat="1" applyFont="1" applyFill="1" applyBorder="1" applyAlignment="1" applyProtection="1">
      <alignment horizontal="left" vertical="center"/>
      <protection locked="0"/>
    </xf>
    <xf numFmtId="0" fontId="199" fillId="25" borderId="41" xfId="0" applyFont="1" applyFill="1" applyBorder="1" applyAlignment="1" applyProtection="1">
      <alignment horizontal="left" vertical="center"/>
      <protection locked="0"/>
    </xf>
    <xf numFmtId="0" fontId="105" fillId="25" borderId="0" xfId="0" applyFont="1" applyFill="1" applyAlignment="1">
      <alignment horizontal="left" vertical="center"/>
    </xf>
    <xf numFmtId="0" fontId="105" fillId="25" borderId="0" xfId="0" applyFont="1" applyFill="1" applyAlignment="1">
      <alignment horizontal="left" vertical="center" wrapText="1"/>
    </xf>
    <xf numFmtId="0" fontId="110" fillId="25" borderId="0" xfId="0" applyFont="1" applyFill="1" applyAlignment="1">
      <alignment horizontal="left" vertical="center"/>
    </xf>
    <xf numFmtId="17" fontId="105" fillId="25" borderId="0" xfId="0" quotePrefix="1" applyNumberFormat="1" applyFont="1" applyFill="1" applyAlignment="1">
      <alignment horizontal="left" vertical="center"/>
    </xf>
    <xf numFmtId="0" fontId="105" fillId="25" borderId="0" xfId="0" applyFont="1" applyFill="1" applyAlignment="1">
      <alignment horizontal="center" vertical="center"/>
    </xf>
    <xf numFmtId="0" fontId="105" fillId="25" borderId="0" xfId="0" applyFont="1" applyFill="1" applyAlignment="1">
      <alignment horizontal="center" vertical="center" wrapText="1"/>
    </xf>
    <xf numFmtId="0" fontId="110" fillId="0" borderId="0" xfId="0" applyFont="1" applyAlignment="1">
      <alignment horizontal="center" vertical="center" wrapText="1"/>
    </xf>
    <xf numFmtId="17" fontId="105" fillId="25" borderId="0" xfId="0" applyNumberFormat="1" applyFont="1" applyFill="1" applyAlignment="1">
      <alignment horizontal="left" vertical="center"/>
    </xf>
    <xf numFmtId="169" fontId="105" fillId="52" borderId="10" xfId="0" applyNumberFormat="1" applyFont="1" applyFill="1" applyBorder="1" applyAlignment="1">
      <alignment horizontal="center" vertical="center"/>
    </xf>
    <xf numFmtId="169" fontId="105" fillId="52" borderId="10" xfId="0" applyNumberFormat="1" applyFont="1" applyFill="1" applyBorder="1" applyAlignment="1">
      <alignment horizontal="center" vertical="center" wrapText="1"/>
    </xf>
    <xf numFmtId="169" fontId="110" fillId="25" borderId="13" xfId="0" applyNumberFormat="1" applyFont="1" applyFill="1" applyBorder="1" applyAlignment="1" applyProtection="1">
      <alignment horizontal="center" vertical="center" wrapText="1"/>
      <protection locked="0"/>
    </xf>
    <xf numFmtId="0" fontId="110" fillId="0" borderId="0" xfId="0" applyFont="1" applyAlignment="1" applyProtection="1">
      <alignment horizontal="center" vertical="center" wrapText="1"/>
      <protection locked="0"/>
    </xf>
    <xf numFmtId="0" fontId="110" fillId="0" borderId="0" xfId="0" applyFont="1" applyAlignment="1" applyProtection="1">
      <alignment horizontal="left" vertical="center"/>
      <protection locked="0"/>
    </xf>
    <xf numFmtId="169" fontId="105" fillId="52" borderId="0" xfId="0" applyNumberFormat="1" applyFont="1" applyFill="1" applyAlignment="1">
      <alignment horizontal="center" vertical="center"/>
    </xf>
    <xf numFmtId="169" fontId="105" fillId="52" borderId="0" xfId="0" applyNumberFormat="1" applyFont="1" applyFill="1" applyAlignment="1">
      <alignment horizontal="center" vertical="center" wrapText="1"/>
    </xf>
    <xf numFmtId="0" fontId="110" fillId="0" borderId="0" xfId="0" applyFont="1" applyAlignment="1">
      <alignment vertical="center"/>
    </xf>
    <xf numFmtId="0" fontId="105" fillId="0" borderId="0" xfId="0" applyFont="1" applyAlignment="1">
      <alignment vertical="center"/>
    </xf>
    <xf numFmtId="0" fontId="105" fillId="0" borderId="0" xfId="0" quotePrefix="1" applyFont="1" applyAlignment="1">
      <alignment vertical="center"/>
    </xf>
    <xf numFmtId="0" fontId="110" fillId="0" borderId="0" xfId="0" applyFont="1" applyAlignment="1">
      <alignment horizontal="left" vertical="center"/>
    </xf>
    <xf numFmtId="0" fontId="124" fillId="0" borderId="0" xfId="0" applyFont="1" applyAlignment="1" applyProtection="1">
      <alignment horizontal="center" vertical="center"/>
      <protection locked="0"/>
    </xf>
    <xf numFmtId="0" fontId="110" fillId="0" borderId="0" xfId="0" quotePrefix="1" applyFont="1" applyAlignment="1">
      <alignment horizontal="center" vertical="center"/>
    </xf>
    <xf numFmtId="0" fontId="110" fillId="0" borderId="0" xfId="0" quotePrefix="1" applyFont="1" applyAlignment="1">
      <alignment vertical="center"/>
    </xf>
    <xf numFmtId="0" fontId="200" fillId="25" borderId="41" xfId="0" applyFont="1" applyFill="1" applyBorder="1" applyAlignment="1" applyProtection="1">
      <alignment horizontal="left" vertical="center"/>
      <protection locked="0"/>
    </xf>
    <xf numFmtId="14" fontId="42" fillId="25" borderId="41" xfId="0" quotePrefix="1" applyNumberFormat="1" applyFont="1" applyFill="1" applyBorder="1" applyAlignment="1" applyProtection="1">
      <alignment horizontal="center" vertical="center"/>
      <protection locked="0"/>
    </xf>
    <xf numFmtId="14" fontId="42" fillId="25" borderId="41" xfId="269" quotePrefix="1" applyNumberFormat="1" applyFont="1" applyFill="1" applyBorder="1" applyAlignment="1" applyProtection="1">
      <alignment horizontal="center" vertical="center"/>
      <protection locked="0"/>
    </xf>
    <xf numFmtId="1" fontId="42" fillId="25" borderId="41" xfId="0" quotePrefix="1" applyNumberFormat="1" applyFont="1" applyFill="1" applyBorder="1" applyAlignment="1" applyProtection="1">
      <alignment horizontal="center" vertical="center"/>
      <protection locked="0"/>
    </xf>
    <xf numFmtId="169" fontId="157" fillId="0" borderId="66" xfId="0" applyNumberFormat="1" applyFont="1" applyBorder="1" applyAlignment="1" applyProtection="1">
      <alignment horizontal="center" vertical="center"/>
      <protection locked="0"/>
    </xf>
    <xf numFmtId="169" fontId="110" fillId="52" borderId="41" xfId="0" applyNumberFormat="1" applyFont="1" applyFill="1" applyBorder="1" applyAlignment="1" applyProtection="1">
      <alignment horizontal="center" vertical="center"/>
      <protection locked="0"/>
    </xf>
    <xf numFmtId="173" fontId="42" fillId="25" borderId="41" xfId="0" applyNumberFormat="1" applyFont="1" applyFill="1" applyBorder="1" applyAlignment="1" applyProtection="1">
      <alignment horizontal="left" vertical="center"/>
      <protection locked="0"/>
    </xf>
    <xf numFmtId="14" fontId="200" fillId="25" borderId="41" xfId="0" applyNumberFormat="1" applyFont="1" applyFill="1" applyBorder="1" applyAlignment="1" applyProtection="1">
      <alignment horizontal="left" vertical="center"/>
      <protection locked="0"/>
    </xf>
    <xf numFmtId="1" fontId="200" fillId="25" borderId="41" xfId="0" applyNumberFormat="1" applyFont="1" applyFill="1" applyBorder="1" applyAlignment="1" applyProtection="1">
      <alignment horizontal="left" vertical="center"/>
      <protection locked="0"/>
    </xf>
    <xf numFmtId="14" fontId="121" fillId="25" borderId="0" xfId="0" applyNumberFormat="1" applyFont="1" applyFill="1" applyAlignment="1" applyProtection="1">
      <alignment horizontal="left"/>
      <protection locked="0"/>
    </xf>
    <xf numFmtId="14" fontId="203" fillId="25" borderId="41" xfId="0" applyNumberFormat="1" applyFont="1" applyFill="1" applyBorder="1" applyAlignment="1" applyProtection="1">
      <alignment horizontal="left" vertical="center"/>
      <protection locked="0"/>
    </xf>
    <xf numFmtId="0" fontId="203" fillId="25" borderId="41" xfId="0" applyFont="1" applyFill="1" applyBorder="1" applyAlignment="1" applyProtection="1">
      <alignment horizontal="left" vertical="center"/>
      <protection locked="0"/>
    </xf>
    <xf numFmtId="1" fontId="203" fillId="25" borderId="41" xfId="0" applyNumberFormat="1" applyFont="1" applyFill="1" applyBorder="1" applyAlignment="1" applyProtection="1">
      <alignment horizontal="left" vertical="center"/>
      <protection locked="0"/>
    </xf>
    <xf numFmtId="14" fontId="203" fillId="25" borderId="41" xfId="0" quotePrefix="1" applyNumberFormat="1" applyFont="1" applyFill="1" applyBorder="1" applyAlignment="1" applyProtection="1">
      <alignment horizontal="left" vertical="center"/>
      <protection locked="0"/>
    </xf>
    <xf numFmtId="14" fontId="204" fillId="25" borderId="41" xfId="0" applyNumberFormat="1" applyFont="1" applyFill="1" applyBorder="1" applyAlignment="1" applyProtection="1">
      <alignment horizontal="left" vertical="center"/>
      <protection locked="0"/>
    </xf>
    <xf numFmtId="1" fontId="204" fillId="25" borderId="41" xfId="0" applyNumberFormat="1" applyFont="1" applyFill="1" applyBorder="1" applyAlignment="1" applyProtection="1">
      <alignment horizontal="center" vertical="center"/>
      <protection locked="0"/>
    </xf>
    <xf numFmtId="14" fontId="204" fillId="25" borderId="41" xfId="0" quotePrefix="1" applyNumberFormat="1" applyFont="1" applyFill="1" applyBorder="1" applyAlignment="1" applyProtection="1">
      <alignment horizontal="center" vertical="center"/>
      <protection locked="0"/>
    </xf>
    <xf numFmtId="0" fontId="115" fillId="0" borderId="0" xfId="0" applyFont="1" applyAlignment="1" applyProtection="1">
      <alignment horizontal="center"/>
      <protection locked="0"/>
    </xf>
    <xf numFmtId="169" fontId="110" fillId="52" borderId="10" xfId="0" applyNumberFormat="1" applyFont="1" applyFill="1" applyBorder="1" applyAlignment="1">
      <alignment horizontal="center" vertical="center"/>
    </xf>
    <xf numFmtId="169" fontId="110" fillId="0" borderId="41" xfId="1021" applyNumberFormat="1" applyFont="1" applyBorder="1" applyAlignment="1">
      <alignment horizontal="center" vertical="center"/>
    </xf>
    <xf numFmtId="0" fontId="42" fillId="25" borderId="41" xfId="0" applyFont="1" applyFill="1" applyBorder="1" applyAlignment="1" applyProtection="1">
      <alignment vertical="center" wrapText="1"/>
      <protection locked="0"/>
    </xf>
    <xf numFmtId="14" fontId="125" fillId="25" borderId="41" xfId="0" applyNumberFormat="1" applyFont="1" applyFill="1" applyBorder="1" applyAlignment="1" applyProtection="1">
      <alignment horizontal="left" vertical="center"/>
      <protection locked="0"/>
    </xf>
    <xf numFmtId="15" fontId="42" fillId="25" borderId="41" xfId="0" applyNumberFormat="1" applyFont="1" applyFill="1" applyBorder="1" applyAlignment="1" applyProtection="1">
      <alignment horizontal="left" vertical="center"/>
      <protection locked="0"/>
    </xf>
    <xf numFmtId="173" fontId="42" fillId="25" borderId="41" xfId="0" quotePrefix="1" applyNumberFormat="1" applyFont="1" applyFill="1" applyBorder="1" applyAlignment="1" applyProtection="1">
      <alignment horizontal="left" vertical="center"/>
      <protection locked="0"/>
    </xf>
    <xf numFmtId="0" fontId="42" fillId="25" borderId="41" xfId="0" quotePrefix="1" applyFont="1" applyFill="1" applyBorder="1" applyAlignment="1" applyProtection="1">
      <alignment vertical="center"/>
      <protection locked="0"/>
    </xf>
    <xf numFmtId="1" fontId="206" fillId="25" borderId="41" xfId="0" applyNumberFormat="1" applyFont="1" applyFill="1" applyBorder="1" applyAlignment="1" applyProtection="1">
      <alignment horizontal="left" vertical="center"/>
      <protection locked="0"/>
    </xf>
    <xf numFmtId="0" fontId="206" fillId="25" borderId="41" xfId="0" applyFont="1" applyFill="1" applyBorder="1" applyAlignment="1" applyProtection="1">
      <alignment horizontal="left" vertical="center"/>
      <protection locked="0"/>
    </xf>
    <xf numFmtId="14" fontId="206" fillId="25" borderId="41" xfId="0" applyNumberFormat="1" applyFont="1" applyFill="1" applyBorder="1" applyAlignment="1" applyProtection="1">
      <alignment horizontal="left" vertical="center"/>
      <protection locked="0"/>
    </xf>
    <xf numFmtId="0" fontId="206" fillId="25" borderId="41" xfId="0" applyFont="1" applyFill="1" applyBorder="1" applyAlignment="1" applyProtection="1">
      <alignment horizontal="center" vertical="center"/>
      <protection locked="0"/>
    </xf>
    <xf numFmtId="14" fontId="206" fillId="25" borderId="41" xfId="0" applyNumberFormat="1" applyFont="1" applyFill="1" applyBorder="1" applyAlignment="1" applyProtection="1">
      <alignment vertical="center"/>
      <protection locked="0"/>
    </xf>
    <xf numFmtId="0" fontId="206" fillId="25" borderId="41" xfId="0" applyFont="1" applyFill="1" applyBorder="1" applyAlignment="1" applyProtection="1">
      <alignment vertical="center"/>
      <protection locked="0"/>
    </xf>
    <xf numFmtId="0" fontId="231" fillId="113" borderId="66" xfId="0" quotePrefix="1" applyFont="1" applyFill="1" applyBorder="1" applyAlignment="1">
      <alignment horizontal="left" vertical="center"/>
    </xf>
    <xf numFmtId="0" fontId="231" fillId="113" borderId="66" xfId="0" applyFont="1" applyFill="1" applyBorder="1" applyAlignment="1">
      <alignment horizontal="left" vertical="center"/>
    </xf>
    <xf numFmtId="169" fontId="110" fillId="0" borderId="0" xfId="0" applyNumberFormat="1" applyFont="1" applyAlignment="1">
      <alignment horizontal="left" vertical="center"/>
    </xf>
    <xf numFmtId="169" fontId="110" fillId="0" borderId="0" xfId="0" applyNumberFormat="1" applyFont="1" applyAlignment="1">
      <alignment horizontal="center" vertical="center"/>
    </xf>
    <xf numFmtId="169" fontId="110" fillId="57" borderId="12" xfId="0" applyNumberFormat="1" applyFont="1" applyFill="1" applyBorder="1" applyAlignment="1">
      <alignment horizontal="center" vertical="center"/>
    </xf>
    <xf numFmtId="169" fontId="110" fillId="57" borderId="10" xfId="0" applyNumberFormat="1" applyFont="1" applyFill="1" applyBorder="1" applyAlignment="1">
      <alignment horizontal="center" vertical="center"/>
    </xf>
    <xf numFmtId="169" fontId="110" fillId="57" borderId="13" xfId="0" applyNumberFormat="1" applyFont="1" applyFill="1" applyBorder="1" applyAlignment="1">
      <alignment horizontal="center" vertical="center"/>
    </xf>
    <xf numFmtId="169" fontId="110" fillId="0" borderId="10" xfId="0" applyNumberFormat="1" applyFont="1" applyBorder="1" applyAlignment="1">
      <alignment horizontal="center" vertical="center"/>
    </xf>
    <xf numFmtId="169" fontId="108" fillId="52" borderId="10" xfId="0" applyNumberFormat="1" applyFont="1" applyFill="1" applyBorder="1" applyAlignment="1">
      <alignment horizontal="center" vertical="center"/>
    </xf>
    <xf numFmtId="169" fontId="156" fillId="0" borderId="0" xfId="0" applyNumberFormat="1" applyFont="1" applyAlignment="1">
      <alignment horizontal="center" vertical="center"/>
    </xf>
    <xf numFmtId="169" fontId="108" fillId="52" borderId="10" xfId="0" applyNumberFormat="1" applyFont="1" applyFill="1" applyBorder="1" applyAlignment="1" applyProtection="1">
      <alignment horizontal="center" vertical="center"/>
      <protection locked="0"/>
    </xf>
    <xf numFmtId="169" fontId="124" fillId="0" borderId="0" xfId="0" applyNumberFormat="1" applyFont="1" applyAlignment="1" applyProtection="1">
      <alignment horizontal="center"/>
      <protection locked="0"/>
    </xf>
    <xf numFmtId="169" fontId="110" fillId="0" borderId="0" xfId="0" quotePrefix="1" applyNumberFormat="1" applyFont="1" applyAlignment="1">
      <alignment horizontal="center" vertical="center"/>
    </xf>
    <xf numFmtId="14" fontId="233" fillId="25" borderId="41" xfId="0" applyNumberFormat="1" applyFont="1" applyFill="1" applyBorder="1" applyAlignment="1" applyProtection="1">
      <alignment horizontal="center" vertical="center"/>
      <protection locked="0"/>
    </xf>
    <xf numFmtId="14" fontId="233" fillId="25" borderId="41" xfId="0" applyNumberFormat="1" applyFont="1" applyFill="1" applyBorder="1" applyAlignment="1" applyProtection="1">
      <alignment horizontal="left" vertical="center"/>
      <protection locked="0"/>
    </xf>
    <xf numFmtId="1" fontId="233" fillId="25" borderId="41" xfId="0" applyNumberFormat="1" applyFont="1" applyFill="1" applyBorder="1" applyAlignment="1" applyProtection="1">
      <alignment horizontal="center" vertical="center"/>
      <protection locked="0"/>
    </xf>
    <xf numFmtId="0" fontId="233" fillId="25" borderId="41" xfId="0" applyFont="1" applyFill="1" applyBorder="1" applyAlignment="1" applyProtection="1">
      <alignment horizontal="left" vertical="center"/>
      <protection locked="0"/>
    </xf>
    <xf numFmtId="14" fontId="42" fillId="25" borderId="41" xfId="855" applyNumberFormat="1" applyFont="1" applyFill="1" applyBorder="1" applyAlignment="1" applyProtection="1">
      <alignment horizontal="left" vertical="center"/>
      <protection locked="0"/>
    </xf>
    <xf numFmtId="14" fontId="42" fillId="25" borderId="41" xfId="855" quotePrefix="1" applyNumberFormat="1" applyFont="1" applyFill="1" applyBorder="1" applyAlignment="1" applyProtection="1">
      <alignment horizontal="center" vertical="center"/>
      <protection locked="0"/>
    </xf>
    <xf numFmtId="1" fontId="129" fillId="25" borderId="41" xfId="0" applyNumberFormat="1" applyFont="1" applyFill="1" applyBorder="1" applyAlignment="1" applyProtection="1">
      <alignment horizontal="center" vertical="center"/>
      <protection locked="0"/>
    </xf>
    <xf numFmtId="0" fontId="42" fillId="25" borderId="41" xfId="0" quotePrefix="1" applyFont="1" applyFill="1" applyBorder="1" applyAlignment="1" applyProtection="1">
      <alignment horizontal="left" vertical="center"/>
      <protection locked="0"/>
    </xf>
    <xf numFmtId="14" fontId="233" fillId="25" borderId="41" xfId="0" quotePrefix="1" applyNumberFormat="1" applyFont="1" applyFill="1" applyBorder="1" applyAlignment="1" applyProtection="1">
      <alignment horizontal="left" vertical="center"/>
      <protection locked="0"/>
    </xf>
    <xf numFmtId="0" fontId="237" fillId="113" borderId="66" xfId="0" applyFont="1" applyFill="1" applyBorder="1" applyAlignment="1">
      <alignment horizontal="left" vertical="center"/>
    </xf>
    <xf numFmtId="0" fontId="237" fillId="113" borderId="66" xfId="0" quotePrefix="1" applyFont="1" applyFill="1" applyBorder="1" applyAlignment="1">
      <alignment horizontal="left" vertical="center"/>
    </xf>
    <xf numFmtId="14" fontId="42" fillId="25" borderId="121" xfId="0" quotePrefix="1" applyNumberFormat="1" applyFont="1" applyFill="1" applyBorder="1" applyAlignment="1" applyProtection="1">
      <alignment horizontal="left" vertical="center"/>
      <protection locked="0"/>
    </xf>
    <xf numFmtId="14" fontId="42" fillId="25" borderId="121" xfId="0" applyNumberFormat="1" applyFont="1" applyFill="1" applyBorder="1" applyAlignment="1" applyProtection="1">
      <alignment horizontal="center" vertical="center"/>
      <protection locked="0"/>
    </xf>
    <xf numFmtId="14" fontId="42" fillId="25" borderId="121" xfId="0" applyNumberFormat="1" applyFont="1" applyFill="1" applyBorder="1" applyAlignment="1" applyProtection="1">
      <alignment vertical="center"/>
      <protection locked="0"/>
    </xf>
    <xf numFmtId="0" fontId="42" fillId="25" borderId="121" xfId="0" applyFont="1" applyFill="1" applyBorder="1" applyAlignment="1" applyProtection="1">
      <alignment horizontal="center" vertical="center"/>
      <protection locked="0"/>
    </xf>
    <xf numFmtId="0" fontId="42" fillId="25" borderId="121" xfId="0" applyFont="1" applyFill="1" applyBorder="1" applyAlignment="1" applyProtection="1">
      <alignment horizontal="left" vertical="center"/>
      <protection locked="0"/>
    </xf>
    <xf numFmtId="14" fontId="42" fillId="25" borderId="121" xfId="0" applyNumberFormat="1" applyFont="1" applyFill="1" applyBorder="1" applyAlignment="1" applyProtection="1">
      <alignment horizontal="left" vertical="center"/>
      <protection locked="0"/>
    </xf>
    <xf numFmtId="1" fontId="233" fillId="25" borderId="121" xfId="0" applyNumberFormat="1" applyFont="1" applyFill="1" applyBorder="1" applyAlignment="1" applyProtection="1">
      <alignment horizontal="left" vertical="center"/>
      <protection locked="0"/>
    </xf>
    <xf numFmtId="14" fontId="233" fillId="25" borderId="121" xfId="0" applyNumberFormat="1" applyFont="1" applyFill="1" applyBorder="1" applyAlignment="1" applyProtection="1">
      <alignment horizontal="left" vertical="center"/>
      <protection locked="0"/>
    </xf>
    <xf numFmtId="14" fontId="42" fillId="25" borderId="41" xfId="2309" applyNumberFormat="1" applyFont="1" applyFill="1" applyBorder="1" applyAlignment="1" applyProtection="1">
      <alignment horizontal="left" vertical="center"/>
      <protection locked="0"/>
    </xf>
    <xf numFmtId="0" fontId="105" fillId="52" borderId="12" xfId="0" applyFont="1" applyFill="1" applyBorder="1" applyAlignment="1">
      <alignment horizontal="center" vertical="center"/>
    </xf>
    <xf numFmtId="0" fontId="121" fillId="25" borderId="121" xfId="0" applyFont="1" applyFill="1" applyBorder="1" applyAlignment="1" applyProtection="1">
      <alignment horizontal="left" vertical="center"/>
      <protection locked="0"/>
    </xf>
    <xf numFmtId="14" fontId="42" fillId="25" borderId="121" xfId="269" applyNumberFormat="1" applyFont="1" applyFill="1" applyBorder="1" applyAlignment="1" applyProtection="1">
      <alignment horizontal="left" vertical="center"/>
      <protection locked="0"/>
    </xf>
    <xf numFmtId="0" fontId="121" fillId="25" borderId="121" xfId="269" applyFont="1" applyFill="1" applyBorder="1" applyAlignment="1">
      <alignment horizontal="left" vertical="center"/>
    </xf>
    <xf numFmtId="1" fontId="42" fillId="25" borderId="121" xfId="0" quotePrefix="1" applyNumberFormat="1" applyFont="1" applyFill="1" applyBorder="1" applyAlignment="1" applyProtection="1">
      <alignment horizontal="left" vertical="center"/>
      <protection locked="0"/>
    </xf>
    <xf numFmtId="1" fontId="129" fillId="25" borderId="121" xfId="0" quotePrefix="1" applyNumberFormat="1" applyFont="1" applyFill="1" applyBorder="1" applyAlignment="1" applyProtection="1">
      <alignment horizontal="left" vertical="center"/>
      <protection locked="0"/>
    </xf>
    <xf numFmtId="1" fontId="42" fillId="25" borderId="121" xfId="0" applyNumberFormat="1" applyFont="1" applyFill="1" applyBorder="1" applyAlignment="1" applyProtection="1">
      <alignment horizontal="left" vertical="center"/>
      <protection locked="0"/>
    </xf>
    <xf numFmtId="14" fontId="42" fillId="25" borderId="121" xfId="269" quotePrefix="1" applyNumberFormat="1" applyFont="1" applyFill="1" applyBorder="1" applyAlignment="1" applyProtection="1">
      <alignment horizontal="left" vertical="center"/>
      <protection locked="0"/>
    </xf>
    <xf numFmtId="0" fontId="42" fillId="25" borderId="121" xfId="0" quotePrefix="1" applyFont="1" applyFill="1" applyBorder="1" applyAlignment="1" applyProtection="1">
      <alignment horizontal="left" vertical="center"/>
      <protection locked="0"/>
    </xf>
    <xf numFmtId="14" fontId="129" fillId="25" borderId="121" xfId="0" quotePrefix="1" applyNumberFormat="1" applyFont="1" applyFill="1" applyBorder="1" applyAlignment="1" applyProtection="1">
      <alignment horizontal="left" vertical="center"/>
      <protection locked="0"/>
    </xf>
    <xf numFmtId="0" fontId="105" fillId="52" borderId="12" xfId="0" applyFont="1" applyFill="1" applyBorder="1" applyAlignment="1">
      <alignment horizontal="center" vertical="center" wrapText="1"/>
    </xf>
    <xf numFmtId="0" fontId="111" fillId="0" borderId="0" xfId="39" applyFont="1" applyAlignment="1">
      <alignment horizontal="center" vertical="center"/>
    </xf>
    <xf numFmtId="0" fontId="111" fillId="0" borderId="0" xfId="47" applyFont="1" applyAlignment="1">
      <alignment horizontal="center" vertical="center"/>
    </xf>
    <xf numFmtId="0" fontId="42" fillId="25" borderId="121" xfId="0" applyFont="1" applyFill="1" applyBorder="1" applyAlignment="1" applyProtection="1">
      <alignment vertical="center"/>
      <protection locked="0"/>
    </xf>
    <xf numFmtId="14" fontId="267" fillId="25" borderId="121" xfId="0" applyNumberFormat="1" applyFont="1" applyFill="1" applyBorder="1" applyAlignment="1" applyProtection="1">
      <alignment horizontal="left" vertical="center"/>
      <protection locked="0"/>
    </xf>
    <xf numFmtId="14" fontId="121" fillId="25" borderId="121" xfId="0" applyNumberFormat="1" applyFont="1" applyFill="1" applyBorder="1" applyAlignment="1" applyProtection="1">
      <alignment horizontal="left" vertical="center"/>
      <protection locked="0"/>
    </xf>
    <xf numFmtId="0" fontId="267" fillId="25" borderId="121" xfId="0" applyFont="1" applyFill="1" applyBorder="1" applyAlignment="1" applyProtection="1">
      <alignment horizontal="left" vertical="center"/>
      <protection locked="0"/>
    </xf>
    <xf numFmtId="0" fontId="110" fillId="0" borderId="0" xfId="44" applyFont="1" applyAlignment="1">
      <alignment horizontal="center" vertical="center"/>
    </xf>
    <xf numFmtId="49" fontId="111" fillId="0" borderId="0" xfId="0" applyNumberFormat="1" applyFont="1" applyAlignment="1">
      <alignment horizontal="center" vertical="center"/>
    </xf>
    <xf numFmtId="0" fontId="110" fillId="0" borderId="0" xfId="41" applyFont="1" applyAlignment="1">
      <alignment horizontal="center" vertical="center"/>
    </xf>
    <xf numFmtId="49" fontId="111" fillId="0" borderId="0" xfId="47" quotePrefix="1" applyNumberFormat="1" applyFont="1" applyAlignment="1">
      <alignment horizontal="center" vertical="center"/>
    </xf>
    <xf numFmtId="17" fontId="111" fillId="0" borderId="0" xfId="47" quotePrefix="1" applyNumberFormat="1" applyFont="1" applyAlignment="1">
      <alignment horizontal="center" vertical="center"/>
    </xf>
    <xf numFmtId="14" fontId="197" fillId="114" borderId="66" xfId="0" applyNumberFormat="1" applyFont="1" applyFill="1" applyBorder="1" applyAlignment="1">
      <alignment horizontal="left" vertical="center"/>
    </xf>
    <xf numFmtId="0" fontId="197" fillId="114" borderId="66" xfId="0" applyFont="1" applyFill="1" applyBorder="1" applyAlignment="1">
      <alignment horizontal="left" vertical="center"/>
    </xf>
    <xf numFmtId="14" fontId="198" fillId="115" borderId="41" xfId="452" applyNumberFormat="1" applyFont="1" applyFill="1" applyBorder="1" applyAlignment="1" applyProtection="1">
      <alignment horizontal="left" vertical="center"/>
      <protection locked="0"/>
    </xf>
    <xf numFmtId="14" fontId="198" fillId="115" borderId="41" xfId="452" quotePrefix="1" applyNumberFormat="1" applyFont="1" applyFill="1" applyBorder="1" applyAlignment="1" applyProtection="1">
      <alignment horizontal="left" vertical="center"/>
      <protection locked="0"/>
    </xf>
    <xf numFmtId="14" fontId="198" fillId="115" borderId="41" xfId="0" applyNumberFormat="1" applyFont="1" applyFill="1" applyBorder="1" applyAlignment="1" applyProtection="1">
      <alignment horizontal="left" vertical="center"/>
      <protection locked="0"/>
    </xf>
    <xf numFmtId="14" fontId="198" fillId="115" borderId="41" xfId="0" quotePrefix="1" applyNumberFormat="1" applyFont="1" applyFill="1" applyBorder="1" applyAlignment="1" applyProtection="1">
      <alignment horizontal="left" vertical="center"/>
      <protection locked="0"/>
    </xf>
    <xf numFmtId="0" fontId="201" fillId="25" borderId="41" xfId="0" applyFont="1" applyFill="1" applyBorder="1" applyAlignment="1">
      <alignment vertical="center"/>
    </xf>
    <xf numFmtId="0" fontId="202" fillId="25" borderId="0" xfId="0" applyFont="1" applyFill="1" applyAlignment="1">
      <alignment vertical="center"/>
    </xf>
    <xf numFmtId="0" fontId="201" fillId="25" borderId="0" xfId="0" applyFont="1" applyFill="1" applyAlignment="1">
      <alignment vertical="center"/>
    </xf>
    <xf numFmtId="14" fontId="42" fillId="115" borderId="41" xfId="0" applyNumberFormat="1" applyFont="1" applyFill="1" applyBorder="1" applyAlignment="1" applyProtection="1">
      <alignment horizontal="left" vertical="center"/>
      <protection locked="0"/>
    </xf>
    <xf numFmtId="14" fontId="42" fillId="115" borderId="41" xfId="0" quotePrefix="1" applyNumberFormat="1" applyFont="1" applyFill="1" applyBorder="1" applyAlignment="1" applyProtection="1">
      <alignment horizontal="left" vertical="center"/>
      <protection locked="0"/>
    </xf>
    <xf numFmtId="0" fontId="42" fillId="115" borderId="41" xfId="0" applyFont="1" applyFill="1" applyBorder="1" applyAlignment="1" applyProtection="1">
      <alignment horizontal="left" vertical="center"/>
      <protection locked="0"/>
    </xf>
    <xf numFmtId="14" fontId="200" fillId="115" borderId="41" xfId="0" applyNumberFormat="1" applyFont="1" applyFill="1" applyBorder="1" applyAlignment="1" applyProtection="1">
      <alignment horizontal="left" vertical="center"/>
      <protection locked="0"/>
    </xf>
    <xf numFmtId="14" fontId="200" fillId="115" borderId="36" xfId="0" applyNumberFormat="1" applyFont="1" applyFill="1" applyBorder="1" applyAlignment="1" applyProtection="1">
      <alignment horizontal="left" vertical="center"/>
      <protection locked="0"/>
    </xf>
    <xf numFmtId="1" fontId="200" fillId="115" borderId="36" xfId="0" applyNumberFormat="1" applyFont="1" applyFill="1" applyBorder="1" applyAlignment="1" applyProtection="1">
      <alignment horizontal="left" vertical="center"/>
      <protection locked="0"/>
    </xf>
    <xf numFmtId="14" fontId="130" fillId="25" borderId="41" xfId="0" applyNumberFormat="1" applyFont="1" applyFill="1" applyBorder="1" applyAlignment="1">
      <alignment horizontal="left"/>
    </xf>
    <xf numFmtId="0" fontId="130" fillId="25" borderId="41" xfId="0" applyFont="1" applyFill="1" applyBorder="1"/>
    <xf numFmtId="49" fontId="130" fillId="25" borderId="41" xfId="0" applyNumberFormat="1" applyFont="1" applyFill="1" applyBorder="1" applyAlignment="1">
      <alignment horizontal="left"/>
    </xf>
    <xf numFmtId="49" fontId="205" fillId="25" borderId="41" xfId="0" applyNumberFormat="1" applyFont="1" applyFill="1" applyBorder="1" applyAlignment="1">
      <alignment horizontal="center"/>
    </xf>
    <xf numFmtId="16" fontId="130" fillId="25" borderId="41" xfId="0" applyNumberFormat="1" applyFont="1" applyFill="1" applyBorder="1" applyAlignment="1">
      <alignment horizontal="left"/>
    </xf>
    <xf numFmtId="1" fontId="42" fillId="115" borderId="41" xfId="0" applyNumberFormat="1" applyFont="1" applyFill="1" applyBorder="1" applyAlignment="1" applyProtection="1">
      <alignment horizontal="left" vertical="center"/>
      <protection locked="0"/>
    </xf>
    <xf numFmtId="14" fontId="121" fillId="114" borderId="66" xfId="1021" applyNumberFormat="1" applyFont="1" applyFill="1" applyBorder="1" applyAlignment="1">
      <alignment horizontal="left" vertical="center"/>
    </xf>
    <xf numFmtId="14" fontId="42" fillId="25" borderId="0" xfId="0" applyNumberFormat="1" applyFont="1" applyFill="1" applyAlignment="1" applyProtection="1">
      <alignment horizontal="left" vertical="center"/>
      <protection locked="0"/>
    </xf>
    <xf numFmtId="0" fontId="42" fillId="25" borderId="0" xfId="0" applyFont="1" applyFill="1"/>
    <xf numFmtId="0" fontId="232" fillId="25" borderId="0" xfId="0" applyFont="1" applyFill="1"/>
    <xf numFmtId="0" fontId="266" fillId="25" borderId="66" xfId="0" applyFont="1" applyFill="1" applyBorder="1" applyAlignment="1">
      <alignment horizontal="left" vertical="center"/>
    </xf>
    <xf numFmtId="14" fontId="266" fillId="25" borderId="66" xfId="0" applyNumberFormat="1" applyFont="1" applyFill="1" applyBorder="1" applyAlignment="1">
      <alignment horizontal="left" vertical="center"/>
    </xf>
    <xf numFmtId="14" fontId="266" fillId="25" borderId="66" xfId="0" quotePrefix="1" applyNumberFormat="1" applyFont="1" applyFill="1" applyBorder="1" applyAlignment="1">
      <alignment horizontal="left" vertical="center"/>
    </xf>
    <xf numFmtId="14" fontId="42" fillId="115" borderId="121" xfId="0" applyNumberFormat="1" applyFont="1" applyFill="1" applyBorder="1" applyAlignment="1" applyProtection="1">
      <alignment horizontal="left" vertical="center"/>
      <protection locked="0"/>
    </xf>
    <xf numFmtId="1" fontId="42" fillId="115" borderId="121" xfId="0" applyNumberFormat="1" applyFont="1" applyFill="1" applyBorder="1" applyAlignment="1" applyProtection="1">
      <alignment horizontal="left" vertical="center"/>
      <protection locked="0"/>
    </xf>
    <xf numFmtId="169" fontId="111" fillId="25" borderId="121" xfId="42" applyNumberFormat="1" applyFont="1" applyFill="1" applyBorder="1" applyAlignment="1" applyProtection="1">
      <alignment horizontal="center" vertical="center"/>
      <protection locked="0"/>
    </xf>
    <xf numFmtId="169" fontId="124" fillId="25" borderId="121" xfId="44" applyNumberFormat="1" applyFont="1" applyFill="1" applyBorder="1" applyAlignment="1" applyProtection="1">
      <alignment horizontal="center" vertical="center"/>
      <protection locked="0"/>
    </xf>
    <xf numFmtId="169" fontId="111" fillId="25" borderId="12" xfId="42" applyNumberFormat="1" applyFont="1" applyFill="1" applyBorder="1" applyAlignment="1" applyProtection="1">
      <alignment horizontal="center" vertical="center"/>
      <protection locked="0"/>
    </xf>
    <xf numFmtId="169" fontId="111" fillId="25" borderId="121" xfId="42" applyNumberFormat="1" applyFont="1" applyFill="1" applyBorder="1" applyAlignment="1">
      <alignment horizontal="center" vertical="center"/>
    </xf>
    <xf numFmtId="0" fontId="105" fillId="52" borderId="121" xfId="0" applyFont="1" applyFill="1" applyBorder="1" applyAlignment="1">
      <alignment horizontal="center" vertical="center"/>
    </xf>
    <xf numFmtId="0" fontId="110" fillId="25" borderId="121" xfId="0" applyFont="1" applyFill="1" applyBorder="1" applyAlignment="1" applyProtection="1">
      <alignment horizontal="center" vertical="center"/>
      <protection locked="0"/>
    </xf>
    <xf numFmtId="169" fontId="108" fillId="25" borderId="0" xfId="42" applyNumberFormat="1" applyFont="1" applyFill="1" applyAlignment="1">
      <alignment horizontal="center" vertical="center"/>
    </xf>
    <xf numFmtId="169" fontId="111" fillId="25" borderId="0" xfId="42" quotePrefix="1" applyNumberFormat="1" applyFont="1" applyFill="1" applyAlignment="1">
      <alignment horizontal="center" vertical="center"/>
    </xf>
    <xf numFmtId="169" fontId="138" fillId="52" borderId="10" xfId="42" applyNumberFormat="1" applyFont="1" applyFill="1" applyBorder="1" applyAlignment="1">
      <alignment horizontal="center" vertical="center" textRotation="90" wrapText="1"/>
    </xf>
    <xf numFmtId="169" fontId="111" fillId="25" borderId="12" xfId="38" applyNumberFormat="1" applyFont="1" applyFill="1" applyBorder="1" applyAlignment="1">
      <alignment horizontal="center" vertical="center"/>
    </xf>
    <xf numFmtId="169" fontId="111" fillId="25" borderId="10" xfId="38" applyNumberFormat="1" applyFont="1" applyFill="1" applyBorder="1" applyAlignment="1">
      <alignment horizontal="center" vertical="center"/>
    </xf>
    <xf numFmtId="169" fontId="111" fillId="25" borderId="14" xfId="38" applyNumberFormat="1" applyFont="1" applyFill="1" applyBorder="1" applyAlignment="1">
      <alignment horizontal="center" vertical="center"/>
    </xf>
    <xf numFmtId="174" fontId="110" fillId="25" borderId="0" xfId="44" applyNumberFormat="1" applyFont="1" applyFill="1" applyAlignment="1" applyProtection="1">
      <alignment horizontal="center" vertical="center"/>
      <protection locked="0"/>
    </xf>
    <xf numFmtId="169" fontId="108" fillId="25" borderId="0" xfId="42" applyNumberFormat="1" applyFont="1" applyFill="1" applyAlignment="1" applyProtection="1">
      <alignment horizontal="center" vertical="center"/>
      <protection locked="0"/>
    </xf>
    <xf numFmtId="169" fontId="111" fillId="25" borderId="0" xfId="42" quotePrefix="1" applyNumberFormat="1" applyFont="1" applyFill="1" applyAlignment="1" applyProtection="1">
      <alignment horizontal="center" vertical="center"/>
      <protection locked="0"/>
    </xf>
    <xf numFmtId="169" fontId="111" fillId="52" borderId="121" xfId="42" applyNumberFormat="1" applyFont="1" applyFill="1" applyBorder="1" applyAlignment="1">
      <alignment horizontal="center" vertical="center"/>
    </xf>
    <xf numFmtId="169" fontId="41" fillId="25" borderId="0" xfId="42" applyNumberFormat="1" applyFont="1" applyFill="1" applyAlignment="1">
      <alignment horizontal="left" vertical="center"/>
    </xf>
    <xf numFmtId="169" fontId="41" fillId="25" borderId="0" xfId="42" applyNumberFormat="1" applyFont="1" applyFill="1" applyAlignment="1">
      <alignment horizontal="center" vertical="center"/>
    </xf>
    <xf numFmtId="169" fontId="107" fillId="25" borderId="0" xfId="42" applyNumberFormat="1" applyFont="1" applyFill="1" applyAlignment="1">
      <alignment horizontal="center" vertical="center"/>
    </xf>
    <xf numFmtId="169" fontId="105" fillId="25" borderId="0" xfId="44" applyNumberFormat="1" applyFont="1" applyFill="1" applyAlignment="1">
      <alignment horizontal="center" vertical="center"/>
    </xf>
    <xf numFmtId="0" fontId="116" fillId="0" borderId="0" xfId="0" applyFont="1"/>
    <xf numFmtId="0" fontId="110" fillId="52" borderId="121" xfId="0" applyFont="1" applyFill="1" applyBorder="1" applyAlignment="1">
      <alignment horizontal="center" vertical="center"/>
    </xf>
    <xf numFmtId="0" fontId="110" fillId="0" borderId="121" xfId="0" applyFont="1" applyBorder="1" applyAlignment="1">
      <alignment horizontal="center" vertical="center"/>
    </xf>
    <xf numFmtId="0" fontId="110" fillId="0" borderId="42" xfId="0" applyFont="1" applyBorder="1" applyAlignment="1">
      <alignment horizontal="center" vertical="center"/>
    </xf>
    <xf numFmtId="169" fontId="111" fillId="25" borderId="121" xfId="38" applyNumberFormat="1" applyFont="1" applyFill="1" applyBorder="1" applyAlignment="1">
      <alignment horizontal="center" vertical="center"/>
    </xf>
    <xf numFmtId="169" fontId="110" fillId="0" borderId="121" xfId="0" applyNumberFormat="1" applyFont="1" applyBorder="1" applyAlignment="1">
      <alignment horizontal="center" vertical="center"/>
    </xf>
    <xf numFmtId="169" fontId="110" fillId="52" borderId="121" xfId="0" applyNumberFormat="1" applyFont="1" applyFill="1" applyBorder="1" applyAlignment="1">
      <alignment horizontal="center" vertical="center"/>
    </xf>
    <xf numFmtId="0" fontId="139" fillId="25" borderId="41" xfId="0" applyFont="1" applyFill="1" applyBorder="1" applyAlignment="1">
      <alignment horizontal="left" vertical="center" wrapText="1"/>
    </xf>
    <xf numFmtId="0" fontId="139" fillId="0" borderId="41" xfId="0" applyFont="1" applyBorder="1" applyAlignment="1">
      <alignment horizontal="left" vertical="center" wrapText="1"/>
    </xf>
    <xf numFmtId="169" fontId="111" fillId="25" borderId="10" xfId="42" applyNumberFormat="1" applyFont="1" applyFill="1" applyBorder="1" applyAlignment="1">
      <alignment horizontal="left" vertical="center"/>
    </xf>
    <xf numFmtId="0" fontId="42" fillId="25" borderId="41" xfId="0" quotePrefix="1" applyFont="1" applyFill="1" applyBorder="1" applyAlignment="1" applyProtection="1">
      <alignment horizontal="center" vertical="center"/>
      <protection locked="0"/>
    </xf>
    <xf numFmtId="0" fontId="42" fillId="25" borderId="41" xfId="269" quotePrefix="1" applyFont="1" applyFill="1" applyBorder="1" applyAlignment="1" applyProtection="1">
      <alignment horizontal="center" vertical="center"/>
      <protection locked="0"/>
    </xf>
    <xf numFmtId="0" fontId="121" fillId="25" borderId="41" xfId="269" quotePrefix="1" applyFont="1" applyFill="1" applyBorder="1" applyAlignment="1" applyProtection="1">
      <alignment horizontal="center" vertical="center"/>
      <protection locked="0"/>
    </xf>
    <xf numFmtId="0" fontId="121" fillId="25" borderId="41" xfId="0" applyFont="1" applyFill="1" applyBorder="1" applyAlignment="1" applyProtection="1">
      <alignment horizontal="center" vertical="center"/>
      <protection locked="0"/>
    </xf>
    <xf numFmtId="0" fontId="42" fillId="25" borderId="41" xfId="269" applyFont="1" applyFill="1" applyBorder="1" applyAlignment="1" applyProtection="1">
      <alignment horizontal="center" vertical="center"/>
      <protection locked="0"/>
    </xf>
    <xf numFmtId="0" fontId="129" fillId="25" borderId="41" xfId="0" applyFont="1" applyFill="1" applyBorder="1" applyAlignment="1" applyProtection="1">
      <alignment horizontal="center" vertical="center"/>
      <protection locked="0"/>
    </xf>
    <xf numFmtId="0" fontId="129" fillId="25" borderId="41" xfId="269" quotePrefix="1" applyFont="1" applyFill="1" applyBorder="1" applyAlignment="1" applyProtection="1">
      <alignment horizontal="center" vertical="center"/>
      <protection locked="0"/>
    </xf>
    <xf numFmtId="0" fontId="121" fillId="25" borderId="41" xfId="0" quotePrefix="1" applyFont="1" applyFill="1" applyBorder="1" applyAlignment="1" applyProtection="1">
      <alignment horizontal="center" vertical="center"/>
      <protection locked="0"/>
    </xf>
    <xf numFmtId="3" fontId="111" fillId="0" borderId="41" xfId="54" applyNumberFormat="1" applyFont="1" applyBorder="1" applyAlignment="1" applyProtection="1">
      <alignment horizontal="center" vertical="center"/>
      <protection locked="0"/>
    </xf>
    <xf numFmtId="3" fontId="111" fillId="0" borderId="93" xfId="54" applyNumberFormat="1" applyFont="1" applyBorder="1" applyAlignment="1" applyProtection="1">
      <alignment horizontal="center" vertical="center"/>
      <protection locked="0"/>
    </xf>
    <xf numFmtId="3" fontId="111" fillId="0" borderId="42" xfId="54" applyNumberFormat="1" applyFont="1" applyBorder="1" applyAlignment="1" applyProtection="1">
      <alignment horizontal="center" vertical="center"/>
      <protection locked="0"/>
    </xf>
    <xf numFmtId="0" fontId="110" fillId="25" borderId="13" xfId="0" applyFont="1" applyFill="1" applyBorder="1" applyAlignment="1">
      <alignment horizontal="left" vertical="center"/>
    </xf>
    <xf numFmtId="0" fontId="40" fillId="0" borderId="41" xfId="0" applyFont="1" applyBorder="1" applyAlignment="1">
      <alignment horizontal="left" vertical="center"/>
    </xf>
    <xf numFmtId="0" fontId="111" fillId="0" borderId="10" xfId="42" applyFont="1" applyBorder="1" applyAlignment="1">
      <alignment horizontal="left" vertical="center"/>
    </xf>
    <xf numFmtId="0" fontId="111" fillId="0" borderId="121" xfId="47" applyFont="1" applyBorder="1" applyAlignment="1" applyProtection="1">
      <alignment horizontal="center" vertical="center"/>
      <protection locked="0"/>
    </xf>
    <xf numFmtId="0" fontId="106" fillId="0" borderId="10" xfId="0" applyFont="1" applyBorder="1" applyAlignment="1">
      <alignment horizontal="center" vertical="center"/>
    </xf>
    <xf numFmtId="0" fontId="42" fillId="91" borderId="41" xfId="0" applyFont="1" applyFill="1" applyBorder="1" applyAlignment="1" applyProtection="1">
      <alignment horizontal="center" vertical="center"/>
      <protection locked="0"/>
    </xf>
    <xf numFmtId="14" fontId="42" fillId="91" borderId="41" xfId="0" applyNumberFormat="1" applyFont="1" applyFill="1" applyBorder="1" applyAlignment="1" applyProtection="1">
      <alignment horizontal="left" vertical="center"/>
      <protection locked="0"/>
    </xf>
    <xf numFmtId="0" fontId="42" fillId="91" borderId="41" xfId="0" applyFont="1" applyFill="1" applyBorder="1" applyAlignment="1" applyProtection="1">
      <alignment horizontal="left" vertical="center"/>
      <protection locked="0"/>
    </xf>
    <xf numFmtId="0" fontId="121" fillId="91" borderId="0" xfId="0" applyFont="1" applyFill="1" applyAlignment="1" applyProtection="1">
      <alignment horizontal="center"/>
      <protection locked="0"/>
    </xf>
    <xf numFmtId="0" fontId="121" fillId="91" borderId="0" xfId="0" applyFont="1" applyFill="1" applyAlignment="1" applyProtection="1">
      <alignment horizontal="left"/>
      <protection locked="0"/>
    </xf>
    <xf numFmtId="0" fontId="121" fillId="91" borderId="41" xfId="0" applyFont="1" applyFill="1" applyBorder="1" applyAlignment="1" applyProtection="1">
      <alignment horizontal="left" vertical="center"/>
      <protection locked="0"/>
    </xf>
    <xf numFmtId="0" fontId="42" fillId="91" borderId="121" xfId="0" applyFont="1" applyFill="1" applyBorder="1" applyAlignment="1" applyProtection="1">
      <alignment horizontal="left" vertical="center"/>
      <protection locked="0"/>
    </xf>
    <xf numFmtId="14" fontId="42" fillId="91" borderId="121" xfId="0" applyNumberFormat="1" applyFont="1" applyFill="1" applyBorder="1" applyAlignment="1" applyProtection="1">
      <alignment horizontal="left" vertical="center"/>
      <protection locked="0"/>
    </xf>
    <xf numFmtId="0" fontId="42" fillId="91" borderId="121" xfId="0" applyFont="1" applyFill="1" applyBorder="1" applyAlignment="1" applyProtection="1">
      <alignment horizontal="center" vertical="center"/>
      <protection locked="0"/>
    </xf>
    <xf numFmtId="169" fontId="110" fillId="52" borderId="12" xfId="44" applyNumberFormat="1" applyFont="1" applyFill="1" applyBorder="1" applyAlignment="1">
      <alignment horizontal="center" vertical="center" textRotation="90" wrapText="1"/>
    </xf>
    <xf numFmtId="169" fontId="110" fillId="52" borderId="14" xfId="44" applyNumberFormat="1" applyFont="1" applyFill="1" applyBorder="1" applyAlignment="1">
      <alignment horizontal="center" vertical="center" textRotation="90" wrapText="1"/>
    </xf>
    <xf numFmtId="169" fontId="110" fillId="52" borderId="13" xfId="44" applyNumberFormat="1" applyFont="1" applyFill="1" applyBorder="1" applyAlignment="1">
      <alignment horizontal="center" vertical="center" textRotation="90" wrapText="1"/>
    </xf>
    <xf numFmtId="169" fontId="111" fillId="25" borderId="0" xfId="42" applyNumberFormat="1" applyFont="1" applyFill="1" applyAlignment="1">
      <alignment horizontal="center" vertical="center"/>
    </xf>
    <xf numFmtId="169" fontId="111" fillId="52" borderId="10" xfId="42" applyNumberFormat="1" applyFont="1" applyFill="1" applyBorder="1" applyAlignment="1">
      <alignment horizontal="center" vertical="center" textRotation="90"/>
    </xf>
    <xf numFmtId="169" fontId="138" fillId="52" borderId="12" xfId="42" applyNumberFormat="1" applyFont="1" applyFill="1" applyBorder="1" applyAlignment="1">
      <alignment horizontal="center" vertical="center" textRotation="90"/>
    </xf>
    <xf numFmtId="169" fontId="138" fillId="52" borderId="13" xfId="42" applyNumberFormat="1" applyFont="1" applyFill="1" applyBorder="1" applyAlignment="1">
      <alignment horizontal="center" vertical="center" textRotation="90"/>
    </xf>
    <xf numFmtId="169" fontId="111" fillId="52" borderId="10" xfId="42" applyNumberFormat="1" applyFont="1" applyFill="1" applyBorder="1" applyAlignment="1">
      <alignment horizontal="center" vertical="center" wrapText="1"/>
    </xf>
    <xf numFmtId="169" fontId="111" fillId="52" borderId="12" xfId="42" applyNumberFormat="1" applyFont="1" applyFill="1" applyBorder="1" applyAlignment="1">
      <alignment horizontal="center" vertical="center" textRotation="90" wrapText="1"/>
    </xf>
    <xf numFmtId="169" fontId="111" fillId="52" borderId="14" xfId="42" applyNumberFormat="1" applyFont="1" applyFill="1" applyBorder="1" applyAlignment="1">
      <alignment horizontal="center" vertical="center" textRotation="90" wrapText="1"/>
    </xf>
    <xf numFmtId="169" fontId="111" fillId="52" borderId="13" xfId="42" applyNumberFormat="1" applyFont="1" applyFill="1" applyBorder="1" applyAlignment="1">
      <alignment horizontal="center" vertical="center" textRotation="90" wrapText="1"/>
    </xf>
    <xf numFmtId="169" fontId="111" fillId="52" borderId="16" xfId="42" applyNumberFormat="1" applyFont="1" applyFill="1" applyBorder="1" applyAlignment="1">
      <alignment horizontal="center" vertical="center" textRotation="90"/>
    </xf>
    <xf numFmtId="169" fontId="111" fillId="52" borderId="15" xfId="42" applyNumberFormat="1" applyFont="1" applyFill="1" applyBorder="1" applyAlignment="1">
      <alignment horizontal="center" vertical="center" textRotation="90"/>
    </xf>
    <xf numFmtId="169" fontId="111" fillId="52" borderId="24" xfId="42" applyNumberFormat="1" applyFont="1" applyFill="1" applyBorder="1" applyAlignment="1">
      <alignment horizontal="center" vertical="center" textRotation="90"/>
    </xf>
    <xf numFmtId="169" fontId="110" fillId="52" borderId="12" xfId="44" applyNumberFormat="1" applyFont="1" applyFill="1" applyBorder="1" applyAlignment="1">
      <alignment horizontal="center" vertical="center" textRotation="90"/>
    </xf>
    <xf numFmtId="169" fontId="110" fillId="52" borderId="13" xfId="44" applyNumberFormat="1" applyFont="1" applyFill="1" applyBorder="1" applyAlignment="1">
      <alignment horizontal="center" vertical="center" textRotation="90"/>
    </xf>
    <xf numFmtId="169" fontId="111" fillId="52" borderId="48" xfId="42" applyNumberFormat="1" applyFont="1" applyFill="1" applyBorder="1" applyAlignment="1">
      <alignment horizontal="center" vertical="center"/>
    </xf>
    <xf numFmtId="169" fontId="111" fillId="52" borderId="49" xfId="42" applyNumberFormat="1" applyFont="1" applyFill="1" applyBorder="1" applyAlignment="1">
      <alignment horizontal="center" vertical="center"/>
    </xf>
    <xf numFmtId="169" fontId="111" fillId="52" borderId="20" xfId="42" applyNumberFormat="1" applyFont="1" applyFill="1" applyBorder="1" applyAlignment="1">
      <alignment horizontal="center" vertical="center" textRotation="90"/>
    </xf>
    <xf numFmtId="169" fontId="111" fillId="52" borderId="22" xfId="42" applyNumberFormat="1" applyFont="1" applyFill="1" applyBorder="1" applyAlignment="1">
      <alignment horizontal="center" vertical="center" textRotation="90"/>
    </xf>
    <xf numFmtId="169" fontId="138" fillId="52" borderId="10" xfId="42" applyNumberFormat="1" applyFont="1" applyFill="1" applyBorder="1" applyAlignment="1">
      <alignment horizontal="center" vertical="center" textRotation="90"/>
    </xf>
    <xf numFmtId="169" fontId="138" fillId="52" borderId="20" xfId="42" applyNumberFormat="1" applyFont="1" applyFill="1" applyBorder="1" applyAlignment="1">
      <alignment horizontal="center" vertical="center"/>
    </xf>
    <xf numFmtId="169" fontId="138" fillId="52" borderId="23" xfId="42" applyNumberFormat="1" applyFont="1" applyFill="1" applyBorder="1" applyAlignment="1">
      <alignment horizontal="center" vertical="center"/>
    </xf>
    <xf numFmtId="169" fontId="138" fillId="52" borderId="16" xfId="42" applyNumberFormat="1" applyFont="1" applyFill="1" applyBorder="1" applyAlignment="1">
      <alignment horizontal="center" vertical="center"/>
    </xf>
    <xf numFmtId="169" fontId="111" fillId="52" borderId="17" xfId="42" applyNumberFormat="1" applyFont="1" applyFill="1" applyBorder="1" applyAlignment="1">
      <alignment horizontal="center" vertical="center"/>
    </xf>
    <xf numFmtId="169" fontId="111" fillId="52" borderId="18" xfId="42" applyNumberFormat="1" applyFont="1" applyFill="1" applyBorder="1" applyAlignment="1">
      <alignment horizontal="center" vertical="center"/>
    </xf>
    <xf numFmtId="169" fontId="111" fillId="52" borderId="10" xfId="42" applyNumberFormat="1" applyFont="1" applyFill="1" applyBorder="1" applyAlignment="1">
      <alignment horizontal="center" vertical="center"/>
    </xf>
    <xf numFmtId="169" fontId="111" fillId="52" borderId="12" xfId="42" applyNumberFormat="1" applyFont="1" applyFill="1" applyBorder="1" applyAlignment="1">
      <alignment horizontal="center" vertical="center" textRotation="90"/>
    </xf>
    <xf numFmtId="169" fontId="111" fillId="52" borderId="14" xfId="42" applyNumberFormat="1" applyFont="1" applyFill="1" applyBorder="1" applyAlignment="1">
      <alignment horizontal="center" vertical="center" textRotation="90"/>
    </xf>
    <xf numFmtId="169" fontId="111" fillId="52" borderId="13" xfId="42" applyNumberFormat="1" applyFont="1" applyFill="1" applyBorder="1" applyAlignment="1">
      <alignment horizontal="center" vertical="center" textRotation="90"/>
    </xf>
    <xf numFmtId="169" fontId="111" fillId="52" borderId="41" xfId="42" applyNumberFormat="1" applyFont="1" applyFill="1" applyBorder="1" applyAlignment="1">
      <alignment horizontal="center" vertical="center" textRotation="90"/>
    </xf>
    <xf numFmtId="169" fontId="111" fillId="52" borderId="42" xfId="42" applyNumberFormat="1" applyFont="1" applyFill="1" applyBorder="1" applyAlignment="1">
      <alignment horizontal="center" vertical="center" textRotation="90"/>
    </xf>
    <xf numFmtId="169" fontId="137" fillId="52" borderId="46" xfId="0" applyNumberFormat="1" applyFont="1" applyFill="1" applyBorder="1" applyAlignment="1">
      <alignment horizontal="center" vertical="center" textRotation="90" wrapText="1"/>
    </xf>
    <xf numFmtId="169" fontId="137" fillId="52" borderId="21" xfId="0" applyNumberFormat="1" applyFont="1" applyFill="1" applyBorder="1" applyAlignment="1">
      <alignment horizontal="center" vertical="center" textRotation="90" wrapText="1"/>
    </xf>
    <xf numFmtId="169" fontId="137" fillId="52" borderId="22" xfId="0" applyNumberFormat="1" applyFont="1" applyFill="1" applyBorder="1" applyAlignment="1">
      <alignment horizontal="center" vertical="center" textRotation="90" wrapText="1"/>
    </xf>
    <xf numFmtId="169" fontId="110" fillId="52" borderId="17" xfId="44" applyNumberFormat="1" applyFont="1" applyFill="1" applyBorder="1" applyAlignment="1">
      <alignment horizontal="center" vertical="center"/>
    </xf>
    <xf numFmtId="169" fontId="110" fillId="52" borderId="18" xfId="44" applyNumberFormat="1" applyFont="1" applyFill="1" applyBorder="1" applyAlignment="1">
      <alignment horizontal="center" vertical="center"/>
    </xf>
    <xf numFmtId="169" fontId="110" fillId="52" borderId="19" xfId="44" applyNumberFormat="1" applyFont="1" applyFill="1" applyBorder="1" applyAlignment="1">
      <alignment horizontal="center" vertical="center"/>
    </xf>
    <xf numFmtId="169" fontId="111" fillId="25" borderId="0" xfId="42" applyNumberFormat="1" applyFont="1" applyFill="1" applyAlignment="1" applyProtection="1">
      <alignment horizontal="center" vertical="center"/>
      <protection locked="0"/>
    </xf>
    <xf numFmtId="0" fontId="111" fillId="54" borderId="12" xfId="0" applyFont="1" applyFill="1" applyBorder="1" applyAlignment="1">
      <alignment horizontal="center" vertical="center" textRotation="90" wrapText="1"/>
    </xf>
    <xf numFmtId="0" fontId="111" fillId="54" borderId="14" xfId="0" applyFont="1" applyFill="1" applyBorder="1" applyAlignment="1">
      <alignment horizontal="center" vertical="center" textRotation="90" wrapText="1"/>
    </xf>
    <xf numFmtId="0" fontId="111" fillId="54" borderId="13" xfId="0" applyFont="1" applyFill="1" applyBorder="1" applyAlignment="1">
      <alignment horizontal="center" vertical="center" textRotation="90" wrapText="1"/>
    </xf>
    <xf numFmtId="0" fontId="111" fillId="0" borderId="0" xfId="0" applyFont="1" applyAlignment="1">
      <alignment horizontal="center" vertical="center"/>
    </xf>
    <xf numFmtId="0" fontId="111" fillId="54" borderId="17" xfId="0" applyFont="1" applyFill="1" applyBorder="1" applyAlignment="1">
      <alignment horizontal="center" vertical="center"/>
    </xf>
    <xf numFmtId="0" fontId="111" fillId="54" borderId="18" xfId="0" applyFont="1" applyFill="1" applyBorder="1" applyAlignment="1">
      <alignment horizontal="center" vertical="center"/>
    </xf>
    <xf numFmtId="0" fontId="111" fillId="54" borderId="19" xfId="0" applyFont="1" applyFill="1" applyBorder="1" applyAlignment="1">
      <alignment horizontal="center" vertical="center"/>
    </xf>
    <xf numFmtId="0" fontId="110" fillId="54" borderId="12" xfId="0" applyFont="1" applyFill="1" applyBorder="1" applyAlignment="1">
      <alignment horizontal="center" vertical="center"/>
    </xf>
    <xf numFmtId="0" fontId="110" fillId="54" borderId="14" xfId="0" applyFont="1" applyFill="1" applyBorder="1" applyAlignment="1">
      <alignment horizontal="center" vertical="center"/>
    </xf>
    <xf numFmtId="0" fontId="110" fillId="54" borderId="13" xfId="0" applyFont="1" applyFill="1" applyBorder="1" applyAlignment="1">
      <alignment horizontal="center" vertical="center"/>
    </xf>
    <xf numFmtId="0" fontId="110" fillId="54" borderId="17" xfId="0" applyFont="1" applyFill="1" applyBorder="1" applyAlignment="1">
      <alignment horizontal="center" vertical="center"/>
    </xf>
    <xf numFmtId="0" fontId="110" fillId="54" borderId="18" xfId="0" applyFont="1" applyFill="1" applyBorder="1" applyAlignment="1">
      <alignment horizontal="center" vertical="center"/>
    </xf>
    <xf numFmtId="0" fontId="111" fillId="54" borderId="17" xfId="0" applyFont="1" applyFill="1" applyBorder="1" applyAlignment="1">
      <alignment horizontal="center" vertical="center" wrapText="1"/>
    </xf>
    <xf numFmtId="0" fontId="111" fillId="54" borderId="18" xfId="0" applyFont="1" applyFill="1" applyBorder="1" applyAlignment="1">
      <alignment horizontal="center" vertical="center" wrapText="1"/>
    </xf>
    <xf numFmtId="0" fontId="111" fillId="54" borderId="19" xfId="0" applyFont="1" applyFill="1" applyBorder="1" applyAlignment="1">
      <alignment horizontal="center" vertical="center" wrapText="1"/>
    </xf>
    <xf numFmtId="0" fontId="111" fillId="54" borderId="12" xfId="0" applyFont="1" applyFill="1" applyBorder="1" applyAlignment="1">
      <alignment horizontal="center" vertical="center"/>
    </xf>
    <xf numFmtId="0" fontId="111" fillId="54" borderId="14" xfId="0" applyFont="1" applyFill="1" applyBorder="1" applyAlignment="1">
      <alignment horizontal="center" vertical="center"/>
    </xf>
    <xf numFmtId="0" fontId="111" fillId="54" borderId="13" xfId="0" applyFont="1" applyFill="1" applyBorder="1" applyAlignment="1">
      <alignment horizontal="center" vertical="center"/>
    </xf>
    <xf numFmtId="0" fontId="111" fillId="54" borderId="12" xfId="0" applyFont="1" applyFill="1" applyBorder="1" applyAlignment="1">
      <alignment horizontal="center" vertical="center" textRotation="90"/>
    </xf>
    <xf numFmtId="0" fontId="111" fillId="54" borderId="14" xfId="0" applyFont="1" applyFill="1" applyBorder="1" applyAlignment="1">
      <alignment horizontal="center" vertical="center" textRotation="90"/>
    </xf>
    <xf numFmtId="0" fontId="111" fillId="54" borderId="13" xfId="0" applyFont="1" applyFill="1" applyBorder="1" applyAlignment="1">
      <alignment horizontal="center" vertical="center" textRotation="90"/>
    </xf>
    <xf numFmtId="0" fontId="111" fillId="54" borderId="20" xfId="0" applyFont="1" applyFill="1" applyBorder="1" applyAlignment="1">
      <alignment horizontal="center" vertical="center" textRotation="90"/>
    </xf>
    <xf numFmtId="0" fontId="111" fillId="54" borderId="21" xfId="0" applyFont="1" applyFill="1" applyBorder="1" applyAlignment="1">
      <alignment horizontal="center" vertical="center" textRotation="90"/>
    </xf>
    <xf numFmtId="0" fontId="111" fillId="54" borderId="22" xfId="0" applyFont="1" applyFill="1" applyBorder="1" applyAlignment="1">
      <alignment horizontal="center" vertical="center" textRotation="90"/>
    </xf>
    <xf numFmtId="0" fontId="110" fillId="54" borderId="19" xfId="0" applyFont="1" applyFill="1" applyBorder="1" applyAlignment="1">
      <alignment horizontal="center" vertical="center"/>
    </xf>
    <xf numFmtId="0" fontId="110" fillId="50" borderId="42" xfId="0" applyFont="1" applyFill="1" applyBorder="1" applyAlignment="1" applyProtection="1">
      <alignment horizontal="center" vertical="center" wrapText="1"/>
      <protection locked="0"/>
    </xf>
    <xf numFmtId="0" fontId="110" fillId="50" borderId="14" xfId="0" applyFont="1" applyFill="1" applyBorder="1" applyAlignment="1" applyProtection="1">
      <alignment horizontal="center" vertical="center" wrapText="1"/>
      <protection locked="0"/>
    </xf>
    <xf numFmtId="0" fontId="111" fillId="50" borderId="43" xfId="47" applyFont="1" applyFill="1" applyBorder="1" applyAlignment="1">
      <alignment horizontal="center" vertical="center"/>
    </xf>
    <xf numFmtId="0" fontId="111" fillId="50" borderId="44" xfId="47" applyFont="1" applyFill="1" applyBorder="1" applyAlignment="1">
      <alignment horizontal="center" vertical="center"/>
    </xf>
    <xf numFmtId="0" fontId="111" fillId="50" borderId="45" xfId="47" applyFont="1" applyFill="1" applyBorder="1" applyAlignment="1">
      <alignment horizontal="center" vertical="center"/>
    </xf>
    <xf numFmtId="0" fontId="111" fillId="0" borderId="17" xfId="47" applyFont="1" applyBorder="1" applyAlignment="1">
      <alignment horizontal="center" vertical="center"/>
    </xf>
    <xf numFmtId="0" fontId="111" fillId="0" borderId="18" xfId="47" applyFont="1" applyBorder="1" applyAlignment="1">
      <alignment horizontal="center" vertical="center"/>
    </xf>
    <xf numFmtId="0" fontId="111" fillId="50" borderId="42" xfId="47" applyFont="1" applyFill="1" applyBorder="1" applyAlignment="1">
      <alignment horizontal="center" vertical="center"/>
    </xf>
    <xf numFmtId="0" fontId="111" fillId="50" borderId="14" xfId="47" applyFont="1" applyFill="1" applyBorder="1" applyAlignment="1">
      <alignment horizontal="center" vertical="center"/>
    </xf>
    <xf numFmtId="0" fontId="108" fillId="0" borderId="0" xfId="47" applyFont="1" applyAlignment="1" applyProtection="1">
      <alignment horizontal="center" vertical="center"/>
      <protection locked="0"/>
    </xf>
    <xf numFmtId="0" fontId="111" fillId="0" borderId="0" xfId="39" applyFont="1" applyAlignment="1">
      <alignment horizontal="center"/>
    </xf>
    <xf numFmtId="0" fontId="111" fillId="50" borderId="48" xfId="47" applyFont="1" applyFill="1" applyBorder="1" applyAlignment="1">
      <alignment horizontal="center" vertical="center"/>
    </xf>
    <xf numFmtId="0" fontId="111" fillId="50" borderId="49" xfId="47" applyFont="1" applyFill="1" applyBorder="1" applyAlignment="1">
      <alignment horizontal="center" vertical="center"/>
    </xf>
    <xf numFmtId="0" fontId="111" fillId="50" borderId="63" xfId="47" applyFont="1" applyFill="1" applyBorder="1" applyAlignment="1">
      <alignment horizontal="center" vertical="center"/>
    </xf>
    <xf numFmtId="0" fontId="111" fillId="50" borderId="17" xfId="47" applyFont="1" applyFill="1" applyBorder="1" applyAlignment="1">
      <alignment horizontal="center" vertical="center"/>
    </xf>
    <xf numFmtId="0" fontId="111" fillId="50" borderId="18" xfId="47" applyFont="1" applyFill="1" applyBorder="1" applyAlignment="1">
      <alignment horizontal="center" vertical="center"/>
    </xf>
    <xf numFmtId="0" fontId="125" fillId="25" borderId="0" xfId="0" applyFont="1" applyFill="1" applyAlignment="1" applyProtection="1">
      <alignment horizontal="left" vertical="center"/>
      <protection locked="0"/>
    </xf>
    <xf numFmtId="0" fontId="42" fillId="55" borderId="41" xfId="0" applyFont="1" applyFill="1" applyBorder="1" applyAlignment="1" applyProtection="1">
      <alignment horizontal="center" vertical="center"/>
      <protection locked="0"/>
    </xf>
    <xf numFmtId="0" fontId="42" fillId="55" borderId="42" xfId="0" applyFont="1" applyFill="1" applyBorder="1" applyAlignment="1" applyProtection="1">
      <alignment horizontal="center" vertical="center"/>
      <protection locked="0"/>
    </xf>
    <xf numFmtId="0" fontId="42" fillId="55" borderId="13" xfId="0" applyFont="1" applyFill="1" applyBorder="1" applyAlignment="1" applyProtection="1">
      <alignment horizontal="center" vertical="center"/>
      <protection locked="0"/>
    </xf>
    <xf numFmtId="0" fontId="105" fillId="0" borderId="64" xfId="0" applyFont="1" applyBorder="1" applyAlignment="1">
      <alignment horizontal="left"/>
    </xf>
    <xf numFmtId="0" fontId="105" fillId="0" borderId="0" xfId="0" applyFont="1" applyAlignment="1">
      <alignment horizontal="left"/>
    </xf>
    <xf numFmtId="0" fontId="106" fillId="56" borderId="69" xfId="0" applyFont="1" applyFill="1" applyBorder="1" applyAlignment="1">
      <alignment horizontal="center" vertical="center" wrapText="1"/>
    </xf>
    <xf numFmtId="0" fontId="40" fillId="55" borderId="71" xfId="0" applyFont="1" applyFill="1" applyBorder="1" applyAlignment="1">
      <alignment horizontal="center" vertical="center"/>
    </xf>
    <xf numFmtId="0" fontId="106" fillId="56" borderId="67" xfId="0" applyFont="1" applyFill="1" applyBorder="1" applyAlignment="1">
      <alignment horizontal="center" vertical="center" wrapText="1"/>
    </xf>
    <xf numFmtId="0" fontId="40" fillId="55" borderId="75" xfId="0" applyFont="1" applyFill="1" applyBorder="1" applyAlignment="1">
      <alignment horizontal="center" vertical="center"/>
    </xf>
    <xf numFmtId="0" fontId="106" fillId="56" borderId="68" xfId="0" applyFont="1" applyFill="1" applyBorder="1" applyAlignment="1">
      <alignment horizontal="center" vertical="center" wrapText="1"/>
    </xf>
    <xf numFmtId="0" fontId="40" fillId="55" borderId="76" xfId="0" applyFont="1" applyFill="1" applyBorder="1" applyAlignment="1">
      <alignment horizontal="center" vertical="center"/>
    </xf>
    <xf numFmtId="0" fontId="106" fillId="56" borderId="76" xfId="0" applyFont="1" applyFill="1" applyBorder="1" applyAlignment="1">
      <alignment horizontal="center" vertical="center" wrapText="1"/>
    </xf>
    <xf numFmtId="0" fontId="40" fillId="55" borderId="70" xfId="0" applyFont="1" applyFill="1" applyBorder="1" applyAlignment="1">
      <alignment horizontal="center" vertical="center"/>
    </xf>
    <xf numFmtId="0" fontId="106" fillId="56" borderId="72" xfId="0" applyFont="1" applyFill="1" applyBorder="1" applyAlignment="1">
      <alignment horizontal="center" vertical="center" wrapText="1"/>
    </xf>
    <xf numFmtId="0" fontId="40" fillId="55" borderId="57" xfId="0" applyFont="1" applyFill="1" applyBorder="1" applyAlignment="1">
      <alignment horizontal="center" vertical="center"/>
    </xf>
    <xf numFmtId="0" fontId="40" fillId="55" borderId="73" xfId="0" applyFont="1" applyFill="1" applyBorder="1" applyAlignment="1">
      <alignment horizontal="center" vertical="center"/>
    </xf>
    <xf numFmtId="0" fontId="115" fillId="56" borderId="74" xfId="0" applyFont="1" applyFill="1" applyBorder="1" applyAlignment="1">
      <alignment horizontal="center" vertical="center" wrapText="1"/>
    </xf>
    <xf numFmtId="0" fontId="34" fillId="55" borderId="78" xfId="0" applyFont="1" applyFill="1" applyBorder="1" applyAlignment="1">
      <alignment horizontal="center" vertical="center"/>
    </xf>
    <xf numFmtId="0" fontId="115" fillId="56" borderId="69" xfId="0" applyFont="1" applyFill="1" applyBorder="1" applyAlignment="1">
      <alignment horizontal="center" vertical="center" wrapText="1"/>
    </xf>
    <xf numFmtId="0" fontId="34" fillId="55" borderId="71" xfId="0" applyFont="1" applyFill="1" applyBorder="1" applyAlignment="1">
      <alignment horizontal="center" vertical="center"/>
    </xf>
    <xf numFmtId="0" fontId="34" fillId="55" borderId="70" xfId="0" applyFont="1" applyFill="1" applyBorder="1" applyAlignment="1">
      <alignment horizontal="center" vertical="center"/>
    </xf>
    <xf numFmtId="0" fontId="40" fillId="55" borderId="68" xfId="0" applyFont="1" applyFill="1" applyBorder="1" applyAlignment="1">
      <alignment horizontal="center" vertical="center"/>
    </xf>
    <xf numFmtId="0" fontId="107" fillId="51" borderId="43" xfId="55" applyFont="1" applyFill="1" applyBorder="1" applyAlignment="1">
      <alignment horizontal="center" vertical="center"/>
    </xf>
    <xf numFmtId="0" fontId="107" fillId="51" borderId="83" xfId="55" applyFont="1" applyFill="1" applyBorder="1" applyAlignment="1">
      <alignment horizontal="center" vertical="center"/>
    </xf>
    <xf numFmtId="0" fontId="117" fillId="51" borderId="41" xfId="54" applyFont="1" applyFill="1" applyBorder="1" applyAlignment="1">
      <alignment horizontal="center" vertical="center"/>
    </xf>
    <xf numFmtId="0" fontId="107" fillId="51" borderId="42" xfId="55" applyFont="1" applyFill="1" applyBorder="1" applyAlignment="1">
      <alignment horizontal="center" vertical="center"/>
    </xf>
    <xf numFmtId="0" fontId="107" fillId="51" borderId="13" xfId="55" applyFont="1" applyFill="1" applyBorder="1" applyAlignment="1">
      <alignment horizontal="center" vertical="center"/>
    </xf>
    <xf numFmtId="0" fontId="107" fillId="51" borderId="16" xfId="55" applyFont="1" applyFill="1" applyBorder="1" applyAlignment="1">
      <alignment horizontal="center" vertical="center" textRotation="90"/>
    </xf>
    <xf numFmtId="0" fontId="107" fillId="51" borderId="24" xfId="55" applyFont="1" applyFill="1" applyBorder="1" applyAlignment="1">
      <alignment horizontal="center" vertical="center" textRotation="90"/>
    </xf>
    <xf numFmtId="0" fontId="107" fillId="51" borderId="44" xfId="55" applyFont="1" applyFill="1" applyBorder="1" applyAlignment="1">
      <alignment horizontal="center" vertical="center"/>
    </xf>
    <xf numFmtId="0" fontId="107" fillId="51" borderId="92" xfId="55" applyFont="1" applyFill="1" applyBorder="1" applyAlignment="1">
      <alignment horizontal="center" vertical="center"/>
    </xf>
    <xf numFmtId="0" fontId="107" fillId="51" borderId="20" xfId="55" applyFont="1" applyFill="1" applyBorder="1" applyAlignment="1">
      <alignment horizontal="center" vertical="center" wrapText="1"/>
    </xf>
    <xf numFmtId="0" fontId="107" fillId="51" borderId="16" xfId="55" applyFont="1" applyFill="1" applyBorder="1" applyAlignment="1">
      <alignment horizontal="center" vertical="center" wrapText="1"/>
    </xf>
    <xf numFmtId="0" fontId="107" fillId="51" borderId="42" xfId="55" applyFont="1" applyFill="1" applyBorder="1" applyAlignment="1">
      <alignment horizontal="center" vertical="center" textRotation="90"/>
    </xf>
    <xf numFmtId="0" fontId="107" fillId="51" borderId="13" xfId="55" applyFont="1" applyFill="1" applyBorder="1" applyAlignment="1">
      <alignment horizontal="center" vertical="center" textRotation="90"/>
    </xf>
    <xf numFmtId="0" fontId="107" fillId="51" borderId="93" xfId="55" applyFont="1" applyFill="1" applyBorder="1" applyAlignment="1">
      <alignment horizontal="center" vertical="center"/>
    </xf>
    <xf numFmtId="0" fontId="107" fillId="51" borderId="85" xfId="55" applyFont="1" applyFill="1" applyBorder="1" applyAlignment="1">
      <alignment horizontal="center" vertical="center"/>
    </xf>
    <xf numFmtId="0" fontId="107" fillId="51" borderId="45" xfId="55" applyFont="1" applyFill="1" applyBorder="1" applyAlignment="1">
      <alignment horizontal="center" vertical="center"/>
    </xf>
    <xf numFmtId="0" fontId="107" fillId="51" borderId="55" xfId="54" applyFont="1" applyFill="1" applyBorder="1" applyAlignment="1">
      <alignment horizontal="center" vertical="center"/>
    </xf>
    <xf numFmtId="0" fontId="107" fillId="51" borderId="56" xfId="54" applyFont="1" applyFill="1" applyBorder="1" applyAlignment="1">
      <alignment horizontal="center" vertical="center"/>
    </xf>
    <xf numFmtId="0" fontId="107" fillId="51" borderId="82" xfId="54" applyFont="1" applyFill="1" applyBorder="1" applyAlignment="1">
      <alignment horizontal="center" vertical="center"/>
    </xf>
    <xf numFmtId="0" fontId="107" fillId="51" borderId="91" xfId="55" applyFont="1" applyFill="1" applyBorder="1" applyAlignment="1">
      <alignment horizontal="center" vertical="center"/>
    </xf>
    <xf numFmtId="0" fontId="107" fillId="51" borderId="56" xfId="55" applyFont="1" applyFill="1" applyBorder="1" applyAlignment="1">
      <alignment horizontal="center" vertical="center"/>
    </xf>
    <xf numFmtId="0" fontId="107" fillId="51" borderId="82" xfId="55" applyFont="1" applyFill="1" applyBorder="1" applyAlignment="1">
      <alignment horizontal="center" vertical="center"/>
    </xf>
    <xf numFmtId="0" fontId="107" fillId="51" borderId="42" xfId="54" applyFont="1" applyFill="1" applyBorder="1" applyAlignment="1">
      <alignment horizontal="center" vertical="center" textRotation="90" wrapText="1"/>
    </xf>
    <xf numFmtId="0" fontId="107" fillId="51" borderId="14" xfId="54" applyFont="1" applyFill="1" applyBorder="1" applyAlignment="1">
      <alignment horizontal="center" vertical="center" textRotation="90" wrapText="1"/>
    </xf>
    <xf numFmtId="0" fontId="107" fillId="51" borderId="13" xfId="54" applyFont="1" applyFill="1" applyBorder="1" applyAlignment="1">
      <alignment horizontal="center" vertical="center" textRotation="90" wrapText="1"/>
    </xf>
    <xf numFmtId="0" fontId="107" fillId="51" borderId="42" xfId="54" applyFont="1" applyFill="1" applyBorder="1" applyAlignment="1">
      <alignment horizontal="center" vertical="center" textRotation="90"/>
    </xf>
    <xf numFmtId="0" fontId="107" fillId="51" borderId="14" xfId="54" applyFont="1" applyFill="1" applyBorder="1" applyAlignment="1">
      <alignment horizontal="center" vertical="center" textRotation="90"/>
    </xf>
    <xf numFmtId="0" fontId="107" fillId="51" borderId="13" xfId="54" applyFont="1" applyFill="1" applyBorder="1" applyAlignment="1">
      <alignment horizontal="center" vertical="center" textRotation="90"/>
    </xf>
    <xf numFmtId="0" fontId="107" fillId="51" borderId="55" xfId="54" applyFont="1" applyFill="1" applyBorder="1" applyAlignment="1">
      <alignment horizontal="center" vertical="center" wrapText="1"/>
    </xf>
    <xf numFmtId="0" fontId="107" fillId="51" borderId="56" xfId="54" applyFont="1" applyFill="1" applyBorder="1" applyAlignment="1">
      <alignment horizontal="center" vertical="center" wrapText="1"/>
    </xf>
    <xf numFmtId="0" fontId="107" fillId="51" borderId="30" xfId="54" applyFont="1" applyFill="1" applyBorder="1" applyAlignment="1">
      <alignment horizontal="center" vertical="center" wrapText="1"/>
    </xf>
    <xf numFmtId="0" fontId="107" fillId="51" borderId="20" xfId="55" applyFont="1" applyFill="1" applyBorder="1" applyAlignment="1">
      <alignment horizontal="center" vertical="center"/>
    </xf>
    <xf numFmtId="0" fontId="107" fillId="51" borderId="16" xfId="55" applyFont="1" applyFill="1" applyBorder="1" applyAlignment="1">
      <alignment horizontal="center" vertical="center"/>
    </xf>
    <xf numFmtId="0" fontId="107" fillId="51" borderId="23" xfId="55" applyFont="1" applyFill="1" applyBorder="1" applyAlignment="1">
      <alignment horizontal="center" vertical="center"/>
    </xf>
    <xf numFmtId="0" fontId="107" fillId="51" borderId="43" xfId="54" applyFont="1" applyFill="1" applyBorder="1" applyAlignment="1">
      <alignment horizontal="center" vertical="center"/>
    </xf>
    <xf numFmtId="0" fontId="107" fillId="51" borderId="45" xfId="54" applyFont="1" applyFill="1" applyBorder="1" applyAlignment="1">
      <alignment horizontal="center" vertical="center"/>
    </xf>
    <xf numFmtId="0" fontId="107" fillId="51" borderId="43" xfId="54" applyFont="1" applyFill="1" applyBorder="1" applyAlignment="1">
      <alignment horizontal="center" vertical="center" wrapText="1"/>
    </xf>
    <xf numFmtId="0" fontId="107" fillId="51" borderId="45" xfId="54" applyFont="1" applyFill="1" applyBorder="1" applyAlignment="1">
      <alignment horizontal="center" vertical="center" wrapText="1"/>
    </xf>
    <xf numFmtId="0" fontId="107" fillId="51" borderId="44" xfId="54" applyFont="1" applyFill="1" applyBorder="1" applyAlignment="1">
      <alignment horizontal="center" vertical="center"/>
    </xf>
    <xf numFmtId="0" fontId="109" fillId="0" borderId="0" xfId="54" applyFont="1" applyAlignment="1">
      <alignment horizontal="center" vertical="center"/>
    </xf>
    <xf numFmtId="0" fontId="117" fillId="51" borderId="53" xfId="54" applyFont="1" applyFill="1" applyBorder="1" applyAlignment="1">
      <alignment horizontal="center" vertical="center"/>
    </xf>
    <xf numFmtId="0" fontId="117" fillId="51" borderId="58" xfId="54" applyFont="1" applyFill="1" applyBorder="1" applyAlignment="1">
      <alignment horizontal="center" vertical="center"/>
    </xf>
    <xf numFmtId="0" fontId="117" fillId="51" borderId="85" xfId="54" applyFont="1" applyFill="1" applyBorder="1" applyAlignment="1">
      <alignment horizontal="center" vertical="center"/>
    </xf>
    <xf numFmtId="0" fontId="117" fillId="51" borderId="54" xfId="54" applyFont="1" applyFill="1" applyBorder="1" applyAlignment="1">
      <alignment horizontal="center" vertical="center"/>
    </xf>
    <xf numFmtId="0" fontId="117" fillId="51" borderId="14" xfId="54" applyFont="1" applyFill="1" applyBorder="1" applyAlignment="1">
      <alignment horizontal="center" vertical="center"/>
    </xf>
    <xf numFmtId="0" fontId="117" fillId="51" borderId="13" xfId="54" applyFont="1" applyFill="1" applyBorder="1" applyAlignment="1">
      <alignment horizontal="center" vertical="center"/>
    </xf>
    <xf numFmtId="0" fontId="107" fillId="51" borderId="54" xfId="54" applyFont="1" applyFill="1" applyBorder="1" applyAlignment="1">
      <alignment horizontal="center" vertical="center" wrapText="1"/>
    </xf>
    <xf numFmtId="0" fontId="107" fillId="51" borderId="14" xfId="54" applyFont="1" applyFill="1" applyBorder="1" applyAlignment="1">
      <alignment horizontal="center" vertical="center" wrapText="1"/>
    </xf>
    <xf numFmtId="0" fontId="107" fillId="51" borderId="13" xfId="54" applyFont="1" applyFill="1" applyBorder="1" applyAlignment="1">
      <alignment horizontal="center" vertical="center" wrapText="1"/>
    </xf>
    <xf numFmtId="0" fontId="107" fillId="51" borderId="30" xfId="54" applyFont="1" applyFill="1" applyBorder="1" applyAlignment="1">
      <alignment horizontal="center" vertical="center"/>
    </xf>
    <xf numFmtId="0" fontId="117" fillId="51" borderId="48" xfId="54" applyFont="1" applyFill="1" applyBorder="1" applyAlignment="1">
      <alignment horizontal="center" vertical="center"/>
    </xf>
    <xf numFmtId="0" fontId="117" fillId="51" borderId="49" xfId="54" applyFont="1" applyFill="1" applyBorder="1" applyAlignment="1">
      <alignment horizontal="center" vertical="center"/>
    </xf>
    <xf numFmtId="0" fontId="117" fillId="52" borderId="48" xfId="54" applyFont="1" applyFill="1" applyBorder="1" applyAlignment="1">
      <alignment horizontal="center" vertical="center"/>
    </xf>
    <xf numFmtId="0" fontId="117" fillId="52" borderId="49" xfId="54" applyFont="1" applyFill="1" applyBorder="1" applyAlignment="1">
      <alignment horizontal="center" vertical="center"/>
    </xf>
    <xf numFmtId="0" fontId="107" fillId="51" borderId="55" xfId="55" applyFont="1" applyFill="1" applyBorder="1" applyAlignment="1">
      <alignment horizontal="center" vertical="center"/>
    </xf>
    <xf numFmtId="0" fontId="107" fillId="51" borderId="30" xfId="55" applyFont="1" applyFill="1" applyBorder="1" applyAlignment="1">
      <alignment horizontal="center" vertical="center"/>
    </xf>
    <xf numFmtId="0" fontId="107" fillId="51" borderId="60" xfId="54" applyFont="1" applyFill="1" applyBorder="1" applyAlignment="1">
      <alignment horizontal="center" vertical="center" textRotation="90" wrapText="1"/>
    </xf>
    <xf numFmtId="0" fontId="107" fillId="51" borderId="60" xfId="54" applyFont="1" applyFill="1" applyBorder="1" applyAlignment="1">
      <alignment horizontal="center" vertical="center" textRotation="90"/>
    </xf>
    <xf numFmtId="0" fontId="107" fillId="51" borderId="54" xfId="55" applyFont="1" applyFill="1" applyBorder="1" applyAlignment="1">
      <alignment horizontal="center" vertical="center"/>
    </xf>
    <xf numFmtId="0" fontId="107" fillId="51" borderId="14" xfId="55" applyFont="1" applyFill="1" applyBorder="1" applyAlignment="1">
      <alignment horizontal="center" vertical="center"/>
    </xf>
    <xf numFmtId="0" fontId="117" fillId="51" borderId="59" xfId="54" applyFont="1" applyFill="1" applyBorder="1" applyAlignment="1">
      <alignment horizontal="center" vertical="center"/>
    </xf>
    <xf numFmtId="0" fontId="117" fillId="51" borderId="60" xfId="54" applyFont="1" applyFill="1" applyBorder="1" applyAlignment="1">
      <alignment horizontal="center" vertical="center"/>
    </xf>
    <xf numFmtId="0" fontId="107" fillId="51" borderId="60" xfId="54" applyFont="1" applyFill="1" applyBorder="1" applyAlignment="1">
      <alignment horizontal="center" vertical="center" wrapText="1"/>
    </xf>
    <xf numFmtId="0" fontId="107" fillId="51" borderId="53" xfId="55" applyFont="1" applyFill="1" applyBorder="1" applyAlignment="1">
      <alignment horizontal="center" vertical="center"/>
    </xf>
    <xf numFmtId="0" fontId="107" fillId="51" borderId="58" xfId="55" applyFont="1" applyFill="1" applyBorder="1" applyAlignment="1">
      <alignment horizontal="center" vertical="center"/>
    </xf>
    <xf numFmtId="0" fontId="107" fillId="51" borderId="15" xfId="55" applyFont="1" applyFill="1" applyBorder="1" applyAlignment="1">
      <alignment horizontal="center" vertical="center" textRotation="90"/>
    </xf>
    <xf numFmtId="0" fontId="107" fillId="51" borderId="14" xfId="55" applyFont="1" applyFill="1" applyBorder="1" applyAlignment="1">
      <alignment horizontal="center" vertical="center" textRotation="90"/>
    </xf>
    <xf numFmtId="0" fontId="117" fillId="51" borderId="97" xfId="54" applyFont="1" applyFill="1" applyBorder="1" applyAlignment="1">
      <alignment horizontal="center" vertical="center"/>
    </xf>
    <xf numFmtId="0" fontId="117" fillId="51" borderId="98" xfId="54" applyFont="1" applyFill="1" applyBorder="1" applyAlignment="1">
      <alignment horizontal="center" vertical="center"/>
    </xf>
    <xf numFmtId="0" fontId="109" fillId="0" borderId="11" xfId="54" applyFont="1" applyBorder="1" applyAlignment="1">
      <alignment horizontal="center" vertical="center"/>
    </xf>
    <xf numFmtId="0" fontId="117" fillId="51" borderId="12" xfId="54" applyFont="1" applyFill="1" applyBorder="1" applyAlignment="1">
      <alignment horizontal="center" vertical="center"/>
    </xf>
    <xf numFmtId="0" fontId="107" fillId="51" borderId="12" xfId="54" applyFont="1" applyFill="1" applyBorder="1" applyAlignment="1">
      <alignment horizontal="center" vertical="center" wrapText="1"/>
    </xf>
    <xf numFmtId="0" fontId="107" fillId="51" borderId="17" xfId="54" applyFont="1" applyFill="1" applyBorder="1" applyAlignment="1">
      <alignment horizontal="center" vertical="center"/>
    </xf>
    <xf numFmtId="0" fontId="107" fillId="51" borderId="18" xfId="54" applyFont="1" applyFill="1" applyBorder="1" applyAlignment="1">
      <alignment horizontal="center" vertical="center"/>
    </xf>
    <xf numFmtId="0" fontId="107" fillId="51" borderId="19" xfId="54" applyFont="1" applyFill="1" applyBorder="1" applyAlignment="1">
      <alignment horizontal="center" vertical="center"/>
    </xf>
    <xf numFmtId="0" fontId="107" fillId="51" borderId="17" xfId="54" applyFont="1" applyFill="1" applyBorder="1" applyAlignment="1">
      <alignment horizontal="center" vertical="center" wrapText="1"/>
    </xf>
    <xf numFmtId="0" fontId="107" fillId="51" borderId="18" xfId="54" applyFont="1" applyFill="1" applyBorder="1" applyAlignment="1">
      <alignment horizontal="center" vertical="center" wrapText="1"/>
    </xf>
    <xf numFmtId="0" fontId="107" fillId="51" borderId="19" xfId="54" applyFont="1" applyFill="1" applyBorder="1" applyAlignment="1">
      <alignment horizontal="center" vertical="center" wrapText="1"/>
    </xf>
    <xf numFmtId="0" fontId="107" fillId="51" borderId="12" xfId="54" applyFont="1" applyFill="1" applyBorder="1" applyAlignment="1">
      <alignment horizontal="center" vertical="center" textRotation="90" wrapText="1"/>
    </xf>
    <xf numFmtId="0" fontId="107" fillId="51" borderId="12" xfId="54" applyFont="1" applyFill="1" applyBorder="1" applyAlignment="1">
      <alignment horizontal="center" vertical="center" textRotation="90"/>
    </xf>
    <xf numFmtId="0" fontId="107" fillId="51" borderId="18" xfId="55" applyFont="1" applyFill="1" applyBorder="1" applyAlignment="1">
      <alignment horizontal="center" vertical="center"/>
    </xf>
    <xf numFmtId="0" fontId="107" fillId="51" borderId="19" xfId="55" applyFont="1" applyFill="1" applyBorder="1" applyAlignment="1">
      <alignment horizontal="center" vertical="center"/>
    </xf>
    <xf numFmtId="0" fontId="107" fillId="51" borderId="103" xfId="55" applyFont="1" applyFill="1" applyBorder="1" applyAlignment="1">
      <alignment horizontal="center" vertical="center" wrapText="1"/>
    </xf>
    <xf numFmtId="0" fontId="107" fillId="51" borderId="104" xfId="55" applyFont="1" applyFill="1" applyBorder="1" applyAlignment="1">
      <alignment horizontal="center" vertical="center" wrapText="1"/>
    </xf>
    <xf numFmtId="0" fontId="107" fillId="51" borderId="103" xfId="55" applyFont="1" applyFill="1" applyBorder="1" applyAlignment="1">
      <alignment horizontal="center" vertical="center"/>
    </xf>
    <xf numFmtId="0" fontId="107" fillId="51" borderId="104" xfId="55" applyFont="1" applyFill="1" applyBorder="1" applyAlignment="1">
      <alignment horizontal="center" vertical="center"/>
    </xf>
    <xf numFmtId="0" fontId="107" fillId="51" borderId="57" xfId="55" applyFont="1" applyFill="1" applyBorder="1" applyAlignment="1">
      <alignment horizontal="center" vertical="center"/>
    </xf>
    <xf numFmtId="0" fontId="107" fillId="51" borderId="12" xfId="55" applyFont="1" applyFill="1" applyBorder="1" applyAlignment="1">
      <alignment horizontal="center" vertical="center" textRotation="90"/>
    </xf>
    <xf numFmtId="0" fontId="107" fillId="51" borderId="17" xfId="55" applyFont="1" applyFill="1" applyBorder="1" applyAlignment="1">
      <alignment horizontal="center" vertical="center"/>
    </xf>
    <xf numFmtId="0" fontId="107" fillId="51" borderId="60" xfId="55" applyFont="1" applyFill="1" applyBorder="1" applyAlignment="1">
      <alignment horizontal="center" vertical="center"/>
    </xf>
    <xf numFmtId="0" fontId="107" fillId="51" borderId="80" xfId="55" applyFont="1" applyFill="1" applyBorder="1" applyAlignment="1">
      <alignment horizontal="center" vertical="center" textRotation="90"/>
    </xf>
    <xf numFmtId="0" fontId="107" fillId="51" borderId="60" xfId="55" applyFont="1" applyFill="1" applyBorder="1" applyAlignment="1">
      <alignment horizontal="center" vertical="center" textRotation="90"/>
    </xf>
    <xf numFmtId="0" fontId="107" fillId="51" borderId="59" xfId="55" applyFont="1" applyFill="1" applyBorder="1" applyAlignment="1">
      <alignment horizontal="center" vertical="center"/>
    </xf>
    <xf numFmtId="0" fontId="120" fillId="0" borderId="0" xfId="42" applyFont="1" applyProtection="1">
      <protection locked="0"/>
    </xf>
    <xf numFmtId="0" fontId="120" fillId="0" borderId="0" xfId="42" applyFont="1" applyAlignment="1" applyProtection="1">
      <alignment horizontal="center"/>
      <protection locked="0"/>
    </xf>
    <xf numFmtId="0" fontId="110" fillId="0" borderId="0" xfId="44" applyFont="1" applyProtection="1">
      <protection locked="0"/>
    </xf>
    <xf numFmtId="0" fontId="110" fillId="0" borderId="0" xfId="44" applyFont="1" applyAlignment="1" applyProtection="1">
      <alignment horizontal="center"/>
      <protection locked="0"/>
    </xf>
    <xf numFmtId="0" fontId="41" fillId="52" borderId="48" xfId="38" applyFont="1" applyFill="1" applyBorder="1" applyAlignment="1">
      <alignment vertical="center"/>
    </xf>
    <xf numFmtId="0" fontId="41" fillId="52" borderId="49" xfId="38" applyFont="1" applyFill="1" applyBorder="1" applyAlignment="1">
      <alignment vertical="center"/>
    </xf>
    <xf numFmtId="0" fontId="41" fillId="0" borderId="0" xfId="38" applyFont="1"/>
    <xf numFmtId="0" fontId="43" fillId="52" borderId="12" xfId="38" applyFont="1" applyFill="1" applyBorder="1" applyAlignment="1">
      <alignment vertical="center"/>
    </xf>
    <xf numFmtId="0" fontId="43" fillId="52" borderId="13" xfId="38" applyFont="1" applyFill="1" applyBorder="1" applyAlignment="1">
      <alignment vertical="center"/>
    </xf>
    <xf numFmtId="0" fontId="43" fillId="52" borderId="17" xfId="38" applyFont="1" applyFill="1" applyBorder="1" applyAlignment="1">
      <alignment horizontal="center" vertical="center"/>
    </xf>
    <xf numFmtId="0" fontId="43" fillId="52" borderId="19" xfId="38" applyFont="1" applyFill="1" applyBorder="1" applyAlignment="1">
      <alignment horizontal="center" vertical="center"/>
    </xf>
    <xf numFmtId="0" fontId="112" fillId="52" borderId="12" xfId="41" applyFont="1" applyFill="1" applyBorder="1" applyAlignment="1">
      <alignment horizontal="center" vertical="center"/>
    </xf>
    <xf numFmtId="0" fontId="112" fillId="52" borderId="13" xfId="41" applyFont="1" applyFill="1" applyBorder="1" applyAlignment="1">
      <alignment horizontal="center" vertical="center"/>
    </xf>
    <xf numFmtId="0" fontId="41" fillId="0" borderId="0" xfId="38" applyFont="1" applyAlignment="1">
      <alignment horizontal="center"/>
    </xf>
    <xf numFmtId="0" fontId="111" fillId="0" borderId="0" xfId="39" applyFont="1" applyAlignment="1" applyProtection="1">
      <alignment horizontal="center"/>
      <protection locked="0"/>
    </xf>
    <xf numFmtId="0" fontId="43" fillId="52" borderId="53" xfId="38" applyFont="1" applyFill="1" applyBorder="1" applyAlignment="1">
      <alignment vertical="center"/>
    </xf>
    <xf numFmtId="0" fontId="43" fillId="52" borderId="59" xfId="38" applyFont="1" applyFill="1" applyBorder="1" applyAlignment="1">
      <alignment vertical="center"/>
    </xf>
    <xf numFmtId="0" fontId="43" fillId="52" borderId="54" xfId="38" applyFont="1" applyFill="1" applyBorder="1" applyAlignment="1">
      <alignment vertical="center"/>
    </xf>
    <xf numFmtId="0" fontId="43" fillId="52" borderId="60" xfId="38" applyFont="1" applyFill="1" applyBorder="1" applyAlignment="1">
      <alignment vertical="center"/>
    </xf>
    <xf numFmtId="0" fontId="43" fillId="52" borderId="55" xfId="38" applyFont="1" applyFill="1" applyBorder="1" applyAlignment="1">
      <alignment horizontal="center" vertical="center"/>
    </xf>
    <xf numFmtId="0" fontId="43" fillId="52" borderId="30" xfId="38" applyFont="1" applyFill="1" applyBorder="1" applyAlignment="1">
      <alignment horizontal="center" vertical="center"/>
    </xf>
    <xf numFmtId="0" fontId="111" fillId="0" borderId="0" xfId="42" applyFont="1" applyProtection="1">
      <protection locked="0"/>
    </xf>
    <xf numFmtId="0" fontId="43" fillId="52" borderId="43" xfId="38" applyFont="1" applyFill="1" applyBorder="1" applyAlignment="1">
      <alignment horizontal="center" vertical="center"/>
    </xf>
    <xf numFmtId="0" fontId="43" fillId="52" borderId="45" xfId="38" applyFont="1" applyFill="1" applyBorder="1" applyAlignment="1">
      <alignment horizontal="center" vertical="center"/>
    </xf>
    <xf numFmtId="0" fontId="43" fillId="52" borderId="42" xfId="38" applyFont="1" applyFill="1" applyBorder="1" applyAlignment="1">
      <alignment vertical="center"/>
    </xf>
    <xf numFmtId="0" fontId="111" fillId="0" borderId="0" xfId="42" applyFont="1"/>
    <xf numFmtId="0" fontId="112" fillId="52" borderId="105" xfId="41" applyFont="1" applyFill="1" applyBorder="1" applyAlignment="1">
      <alignment horizontal="center" vertical="center"/>
    </xf>
    <xf numFmtId="0" fontId="112" fillId="52" borderId="96" xfId="41" applyFont="1" applyFill="1" applyBorder="1" applyAlignment="1">
      <alignment horizontal="center" vertical="center"/>
    </xf>
    <xf numFmtId="0" fontId="39" fillId="0" borderId="0" xfId="42" applyFont="1" applyAlignment="1" applyProtection="1">
      <alignment horizontal="center"/>
      <protection locked="0"/>
    </xf>
    <xf numFmtId="0" fontId="51" fillId="0" borderId="0" xfId="44" applyAlignment="1" applyProtection="1">
      <alignment horizontal="center"/>
      <protection locked="0"/>
    </xf>
    <xf numFmtId="0" fontId="41" fillId="52" borderId="48" xfId="38" applyFont="1" applyFill="1" applyBorder="1" applyAlignment="1">
      <alignment horizontal="left" vertical="center"/>
    </xf>
    <xf numFmtId="0" fontId="41" fillId="52" borderId="49" xfId="38" applyFont="1" applyFill="1" applyBorder="1" applyAlignment="1">
      <alignment horizontal="left" vertical="center"/>
    </xf>
    <xf numFmtId="0" fontId="43" fillId="52" borderId="12" xfId="38" applyFont="1" applyFill="1" applyBorder="1" applyAlignment="1">
      <alignment horizontal="center" vertical="center"/>
    </xf>
    <xf numFmtId="0" fontId="43" fillId="52" borderId="13" xfId="38" applyFont="1" applyFill="1" applyBorder="1" applyAlignment="1">
      <alignment horizontal="center" vertical="center"/>
    </xf>
    <xf numFmtId="0" fontId="112" fillId="52" borderId="42" xfId="41" applyFont="1" applyFill="1" applyBorder="1" applyAlignment="1">
      <alignment horizontal="center" vertical="center"/>
    </xf>
    <xf numFmtId="0" fontId="111" fillId="0" borderId="0" xfId="38" quotePrefix="1" applyFont="1" applyAlignment="1">
      <alignment horizontal="left"/>
    </xf>
    <xf numFmtId="0" fontId="105" fillId="52" borderId="10" xfId="0" applyFont="1" applyFill="1" applyBorder="1" applyAlignment="1">
      <alignment horizontal="center" vertical="center"/>
    </xf>
    <xf numFmtId="0" fontId="110" fillId="52" borderId="12" xfId="0" applyFont="1" applyFill="1" applyBorder="1" applyAlignment="1">
      <alignment horizontal="center" vertical="center" wrapText="1"/>
    </xf>
    <xf numFmtId="0" fontId="110" fillId="52" borderId="14" xfId="0" applyFont="1" applyFill="1" applyBorder="1" applyAlignment="1">
      <alignment horizontal="center" vertical="center" wrapText="1"/>
    </xf>
    <xf numFmtId="0" fontId="110" fillId="52" borderId="13" xfId="0" applyFont="1" applyFill="1" applyBorder="1" applyAlignment="1">
      <alignment horizontal="center" vertical="center" wrapText="1"/>
    </xf>
    <xf numFmtId="0" fontId="110" fillId="52" borderId="121" xfId="0" applyFont="1" applyFill="1" applyBorder="1" applyAlignment="1">
      <alignment horizontal="center" vertical="center" wrapText="1"/>
    </xf>
    <xf numFmtId="0" fontId="110" fillId="52" borderId="10" xfId="0" applyFont="1" applyFill="1" applyBorder="1" applyAlignment="1">
      <alignment horizontal="center" vertical="center" wrapText="1"/>
    </xf>
    <xf numFmtId="0" fontId="110" fillId="52" borderId="19" xfId="0" applyFont="1" applyFill="1" applyBorder="1" applyAlignment="1">
      <alignment horizontal="center" vertical="center" wrapText="1"/>
    </xf>
    <xf numFmtId="0" fontId="105" fillId="52" borderId="12" xfId="0" applyFont="1" applyFill="1" applyBorder="1" applyAlignment="1">
      <alignment horizontal="center" vertical="center"/>
    </xf>
    <xf numFmtId="0" fontId="105" fillId="52" borderId="14" xfId="0" applyFont="1" applyFill="1" applyBorder="1" applyAlignment="1">
      <alignment horizontal="center" vertical="center"/>
    </xf>
    <xf numFmtId="0" fontId="105" fillId="52" borderId="13" xfId="0" applyFont="1" applyFill="1" applyBorder="1" applyAlignment="1">
      <alignment horizontal="center" vertical="center"/>
    </xf>
    <xf numFmtId="0" fontId="105" fillId="52" borderId="10" xfId="0" applyFont="1" applyFill="1" applyBorder="1" applyAlignment="1">
      <alignment horizontal="center" vertical="center" wrapText="1"/>
    </xf>
    <xf numFmtId="0" fontId="105" fillId="52" borderId="19" xfId="0" applyFont="1" applyFill="1" applyBorder="1" applyAlignment="1">
      <alignment horizontal="center" vertical="center"/>
    </xf>
    <xf numFmtId="0" fontId="110" fillId="52" borderId="12" xfId="0" applyFont="1" applyFill="1" applyBorder="1" applyAlignment="1">
      <alignment horizontal="center" vertical="center"/>
    </xf>
    <xf numFmtId="0" fontId="110" fillId="52" borderId="14" xfId="0" applyFont="1" applyFill="1" applyBorder="1" applyAlignment="1">
      <alignment horizontal="center" vertical="center"/>
    </xf>
    <xf numFmtId="0" fontId="110" fillId="52" borderId="13" xfId="0" applyFont="1" applyFill="1" applyBorder="1" applyAlignment="1">
      <alignment horizontal="center" vertical="center"/>
    </xf>
    <xf numFmtId="0" fontId="105" fillId="52" borderId="121" xfId="0" applyFont="1" applyFill="1" applyBorder="1" applyAlignment="1">
      <alignment horizontal="center" vertical="center"/>
    </xf>
    <xf numFmtId="0" fontId="105" fillId="52" borderId="22" xfId="0" applyFont="1" applyFill="1" applyBorder="1" applyAlignment="1">
      <alignment horizontal="center" vertical="center"/>
    </xf>
    <xf numFmtId="0" fontId="105" fillId="52" borderId="11" xfId="0" applyFont="1" applyFill="1" applyBorder="1" applyAlignment="1">
      <alignment horizontal="center" vertical="center"/>
    </xf>
    <xf numFmtId="169" fontId="110" fillId="57" borderId="42" xfId="0" applyNumberFormat="1" applyFont="1" applyFill="1" applyBorder="1" applyAlignment="1">
      <alignment horizontal="center" vertical="center"/>
    </xf>
    <xf numFmtId="169" fontId="110" fillId="57" borderId="13" xfId="0" applyNumberFormat="1" applyFont="1" applyFill="1" applyBorder="1" applyAlignment="1">
      <alignment horizontal="center" vertical="center"/>
    </xf>
    <xf numFmtId="169" fontId="108" fillId="57" borderId="10" xfId="0" applyNumberFormat="1" applyFont="1" applyFill="1" applyBorder="1" applyAlignment="1">
      <alignment horizontal="center" vertical="center" wrapText="1"/>
    </xf>
    <xf numFmtId="169" fontId="108" fillId="57" borderId="10" xfId="0" applyNumberFormat="1" applyFont="1" applyFill="1" applyBorder="1" applyAlignment="1">
      <alignment horizontal="center" vertical="center" wrapText="1" shrinkToFit="1"/>
    </xf>
    <xf numFmtId="169" fontId="110" fillId="57" borderId="10" xfId="0" applyNumberFormat="1" applyFont="1" applyFill="1" applyBorder="1" applyAlignment="1">
      <alignment horizontal="center" vertical="center"/>
    </xf>
    <xf numFmtId="169" fontId="110" fillId="57" borderId="20" xfId="0" applyNumberFormat="1" applyFont="1" applyFill="1" applyBorder="1" applyAlignment="1">
      <alignment horizontal="center" vertical="center"/>
    </xf>
    <xf numFmtId="169" fontId="110" fillId="57" borderId="23" xfId="0" applyNumberFormat="1" applyFont="1" applyFill="1" applyBorder="1" applyAlignment="1">
      <alignment horizontal="center" vertical="center"/>
    </xf>
    <xf numFmtId="169" fontId="110" fillId="57" borderId="16" xfId="0" applyNumberFormat="1" applyFont="1" applyFill="1" applyBorder="1" applyAlignment="1">
      <alignment horizontal="center" vertical="center"/>
    </xf>
    <xf numFmtId="169" fontId="156" fillId="0" borderId="0" xfId="0" applyNumberFormat="1" applyFont="1" applyAlignment="1">
      <alignment horizontal="center" vertical="center"/>
    </xf>
    <xf numFmtId="169" fontId="108" fillId="57" borderId="42" xfId="0" applyNumberFormat="1" applyFont="1" applyFill="1" applyBorder="1" applyAlignment="1">
      <alignment horizontal="center" vertical="center" wrapText="1"/>
    </xf>
    <xf numFmtId="169" fontId="108" fillId="57" borderId="13" xfId="0" applyNumberFormat="1" applyFont="1" applyFill="1" applyBorder="1" applyAlignment="1">
      <alignment horizontal="center" vertical="center" wrapText="1"/>
    </xf>
    <xf numFmtId="169" fontId="110" fillId="57" borderId="12" xfId="0" applyNumberFormat="1" applyFont="1" applyFill="1" applyBorder="1" applyAlignment="1">
      <alignment horizontal="center" vertical="center"/>
    </xf>
    <xf numFmtId="166" fontId="110" fillId="57" borderId="12" xfId="0" applyNumberFormat="1" applyFont="1" applyFill="1" applyBorder="1" applyAlignment="1">
      <alignment horizontal="center" vertical="center"/>
    </xf>
    <xf numFmtId="166" fontId="110" fillId="57" borderId="13" xfId="0" applyNumberFormat="1" applyFont="1" applyFill="1" applyBorder="1" applyAlignment="1">
      <alignment horizontal="center" vertical="center"/>
    </xf>
    <xf numFmtId="166" fontId="110" fillId="57" borderId="42" xfId="0" applyNumberFormat="1" applyFont="1" applyFill="1" applyBorder="1" applyAlignment="1">
      <alignment horizontal="center" vertical="center"/>
    </xf>
    <xf numFmtId="0" fontId="156" fillId="0" borderId="0" xfId="0" applyFont="1" applyAlignment="1">
      <alignment horizontal="center" vertical="center"/>
    </xf>
    <xf numFmtId="0" fontId="110" fillId="57" borderId="42" xfId="0" applyFont="1" applyFill="1" applyBorder="1" applyAlignment="1">
      <alignment horizontal="center" vertical="center"/>
    </xf>
    <xf numFmtId="0" fontId="110" fillId="57" borderId="13" xfId="0" applyFont="1" applyFill="1" applyBorder="1" applyAlignment="1">
      <alignment horizontal="center" vertical="center"/>
    </xf>
    <xf numFmtId="0" fontId="108" fillId="57" borderId="42" xfId="0" applyFont="1" applyFill="1" applyBorder="1" applyAlignment="1">
      <alignment horizontal="center" vertical="center" wrapText="1"/>
    </xf>
    <xf numFmtId="0" fontId="108" fillId="57" borderId="13" xfId="0" applyFont="1" applyFill="1" applyBorder="1" applyAlignment="1">
      <alignment horizontal="center" vertical="center" wrapText="1"/>
    </xf>
    <xf numFmtId="0" fontId="108" fillId="57" borderId="10" xfId="0" applyFont="1" applyFill="1" applyBorder="1" applyAlignment="1">
      <alignment horizontal="center" vertical="center" wrapText="1"/>
    </xf>
    <xf numFmtId="0" fontId="108" fillId="57" borderId="10" xfId="0" applyFont="1" applyFill="1" applyBorder="1" applyAlignment="1">
      <alignment horizontal="center" vertical="center" wrapText="1" shrinkToFit="1"/>
    </xf>
    <xf numFmtId="0" fontId="110" fillId="57" borderId="10" xfId="0" applyFont="1" applyFill="1" applyBorder="1" applyAlignment="1">
      <alignment horizontal="center" vertical="center"/>
    </xf>
    <xf numFmtId="0" fontId="110" fillId="57" borderId="20" xfId="0" applyFont="1" applyFill="1" applyBorder="1" applyAlignment="1">
      <alignment horizontal="center" vertical="center"/>
    </xf>
    <xf numFmtId="0" fontId="110" fillId="57" borderId="23" xfId="0" applyFont="1" applyFill="1" applyBorder="1" applyAlignment="1">
      <alignment horizontal="center" vertical="center"/>
    </xf>
    <xf numFmtId="0" fontId="110" fillId="57" borderId="16" xfId="0" applyFont="1" applyFill="1" applyBorder="1" applyAlignment="1">
      <alignment horizontal="center" vertical="center"/>
    </xf>
    <xf numFmtId="0" fontId="108" fillId="57" borderId="42" xfId="0" applyFont="1" applyFill="1" applyBorder="1" applyAlignment="1">
      <alignment horizontal="center" vertical="center" wrapText="1" shrinkToFit="1"/>
    </xf>
    <xf numFmtId="0" fontId="108" fillId="57" borderId="13" xfId="0" applyFont="1" applyFill="1" applyBorder="1" applyAlignment="1">
      <alignment horizontal="center" vertical="center" wrapText="1" shrinkToFit="1"/>
    </xf>
    <xf numFmtId="0" fontId="110" fillId="57" borderId="43" xfId="0" applyFont="1" applyFill="1" applyBorder="1" applyAlignment="1">
      <alignment horizontal="center" vertical="center"/>
    </xf>
    <xf numFmtId="0" fontId="110" fillId="57" borderId="44" xfId="0" applyFont="1" applyFill="1" applyBorder="1" applyAlignment="1">
      <alignment horizontal="center" vertical="center"/>
    </xf>
    <xf numFmtId="0" fontId="110" fillId="57" borderId="45" xfId="0" applyFont="1" applyFill="1" applyBorder="1" applyAlignment="1">
      <alignment horizontal="center" vertical="center"/>
    </xf>
    <xf numFmtId="0" fontId="158" fillId="0" borderId="0" xfId="0" applyFont="1" applyAlignment="1">
      <alignment vertical="center"/>
    </xf>
    <xf numFmtId="169" fontId="110" fillId="57" borderId="42" xfId="0" applyNumberFormat="1" applyFont="1" applyFill="1" applyBorder="1" applyAlignment="1">
      <alignment horizontal="center" vertical="center" wrapText="1"/>
    </xf>
    <xf numFmtId="0" fontId="106" fillId="0" borderId="10" xfId="0" applyFont="1" applyBorder="1" applyAlignment="1">
      <alignment horizontal="center" vertical="center"/>
    </xf>
    <xf numFmtId="0" fontId="106" fillId="0" borderId="20" xfId="0" applyFont="1" applyBorder="1" applyAlignment="1">
      <alignment horizontal="center" vertical="center"/>
    </xf>
    <xf numFmtId="0" fontId="106" fillId="0" borderId="23" xfId="0" applyFont="1" applyBorder="1" applyAlignment="1">
      <alignment horizontal="center" vertical="center"/>
    </xf>
    <xf numFmtId="0" fontId="106" fillId="0" borderId="16" xfId="0" applyFont="1" applyBorder="1" applyAlignment="1">
      <alignment horizontal="center" vertical="center"/>
    </xf>
    <xf numFmtId="0" fontId="122" fillId="0" borderId="0" xfId="0" applyFont="1" applyAlignment="1">
      <alignment horizontal="center" vertical="center"/>
    </xf>
    <xf numFmtId="0" fontId="109" fillId="0" borderId="10" xfId="0" applyFont="1" applyBorder="1" applyAlignment="1">
      <alignment horizontal="center" vertical="center" wrapText="1"/>
    </xf>
    <xf numFmtId="0" fontId="109" fillId="0" borderId="10" xfId="0" applyFont="1" applyBorder="1" applyAlignment="1">
      <alignment horizontal="center" vertical="center" wrapText="1" shrinkToFit="1"/>
    </xf>
    <xf numFmtId="0" fontId="109" fillId="52" borderId="10" xfId="0" applyFont="1" applyFill="1" applyBorder="1" applyAlignment="1">
      <alignment horizontal="center" vertical="center" wrapText="1"/>
    </xf>
    <xf numFmtId="0" fontId="109" fillId="52" borderId="10" xfId="0" applyFont="1" applyFill="1" applyBorder="1" applyAlignment="1">
      <alignment horizontal="center" vertical="center" wrapText="1" shrinkToFit="1"/>
    </xf>
    <xf numFmtId="0" fontId="106" fillId="52" borderId="10" xfId="0" applyFont="1" applyFill="1" applyBorder="1" applyAlignment="1">
      <alignment horizontal="center" vertical="center"/>
    </xf>
    <xf numFmtId="0" fontId="106" fillId="52" borderId="20" xfId="0" applyFont="1" applyFill="1" applyBorder="1" applyAlignment="1">
      <alignment horizontal="center" vertical="center"/>
    </xf>
    <xf numFmtId="0" fontId="106" fillId="52" borderId="23" xfId="0" applyFont="1" applyFill="1" applyBorder="1" applyAlignment="1">
      <alignment horizontal="center" vertical="center"/>
    </xf>
    <xf numFmtId="0" fontId="106" fillId="52" borderId="16" xfId="0" applyFont="1" applyFill="1" applyBorder="1" applyAlignment="1">
      <alignment horizontal="center" vertical="center"/>
    </xf>
    <xf numFmtId="169" fontId="111" fillId="52" borderId="42" xfId="42" applyNumberFormat="1" applyFont="1" applyFill="1" applyBorder="1" applyAlignment="1">
      <alignment horizontal="center" vertical="center" wrapText="1"/>
    </xf>
    <xf numFmtId="169" fontId="111" fillId="52" borderId="14" xfId="42" applyNumberFormat="1" applyFont="1" applyFill="1" applyBorder="1" applyAlignment="1">
      <alignment horizontal="center" vertical="center"/>
    </xf>
    <xf numFmtId="169" fontId="111" fillId="52" borderId="13" xfId="42" applyNumberFormat="1" applyFont="1" applyFill="1" applyBorder="1" applyAlignment="1">
      <alignment horizontal="center" vertical="center"/>
    </xf>
    <xf numFmtId="169" fontId="111" fillId="52" borderId="14" xfId="42" applyNumberFormat="1" applyFont="1" applyFill="1" applyBorder="1" applyAlignment="1">
      <alignment horizontal="center" vertical="center" wrapText="1"/>
    </xf>
    <xf numFmtId="169" fontId="111" fillId="52" borderId="13" xfId="42" applyNumberFormat="1" applyFont="1" applyFill="1" applyBorder="1" applyAlignment="1">
      <alignment horizontal="center" vertical="center" wrapText="1"/>
    </xf>
    <xf numFmtId="169" fontId="41" fillId="25" borderId="0" xfId="42" applyNumberFormat="1" applyFont="1" applyFill="1" applyAlignment="1">
      <alignment horizontal="center" vertical="center"/>
    </xf>
    <xf numFmtId="169" fontId="111" fillId="52" borderId="121" xfId="42" applyNumberFormat="1" applyFont="1" applyFill="1" applyBorder="1" applyAlignment="1">
      <alignment horizontal="center" vertical="center"/>
    </xf>
    <xf numFmtId="169" fontId="41" fillId="25" borderId="0" xfId="42" quotePrefix="1" applyNumberFormat="1" applyFont="1" applyFill="1" applyAlignment="1">
      <alignment horizontal="center" vertical="center"/>
    </xf>
    <xf numFmtId="0" fontId="110" fillId="52" borderId="42" xfId="0" applyFont="1" applyFill="1" applyBorder="1" applyAlignment="1">
      <alignment horizontal="center" vertical="center" wrapText="1"/>
    </xf>
    <xf numFmtId="0" fontId="110" fillId="52" borderId="121" xfId="0" applyFont="1" applyFill="1" applyBorder="1" applyAlignment="1">
      <alignment horizontal="center" vertical="center"/>
    </xf>
    <xf numFmtId="169" fontId="111" fillId="25" borderId="0" xfId="42" quotePrefix="1" applyNumberFormat="1" applyFont="1" applyFill="1" applyAlignment="1">
      <alignment horizontal="center" vertical="center"/>
    </xf>
    <xf numFmtId="169" fontId="41" fillId="25" borderId="0" xfId="42" quotePrefix="1" applyNumberFormat="1" applyFont="1" applyFill="1" applyAlignment="1">
      <alignment horizontal="left" vertical="center"/>
    </xf>
  </cellXfs>
  <cellStyles count="2575">
    <cellStyle name="20% - Accent1 2" xfId="1" xr:uid="{00000000-0005-0000-0000-000000000000}"/>
    <cellStyle name="20% - Accent1 2 2" xfId="61" xr:uid="{00000000-0005-0000-0000-000001000000}"/>
    <cellStyle name="20% - Accent1 2 2 2" xfId="679" xr:uid="{00000000-0005-0000-0000-000002000000}"/>
    <cellStyle name="20% - Accent1 2 2 2 2" xfId="2123" xr:uid="{00000000-0005-0000-0000-000003000000}"/>
    <cellStyle name="20% - Accent1 2 2 3" xfId="1392" xr:uid="{00000000-0005-0000-0000-000004000000}"/>
    <cellStyle name="20% - Accent1 2 2 4" xfId="1634" xr:uid="{00000000-0005-0000-0000-000005000000}"/>
    <cellStyle name="20% - Accent1 2 3" xfId="143" xr:uid="{00000000-0005-0000-0000-000006000000}"/>
    <cellStyle name="20% - Accent1 2 3 2" xfId="305" xr:uid="{00000000-0005-0000-0000-000007000000}"/>
    <cellStyle name="20% - Accent1 2 3 2 2" xfId="1194" xr:uid="{00000000-0005-0000-0000-000008000000}"/>
    <cellStyle name="20% - Accent1 2 3 2 2 2" xfId="2340" xr:uid="{00000000-0005-0000-0000-000009000000}"/>
    <cellStyle name="20% - Accent1 2 3 2 3" xfId="1636" xr:uid="{00000000-0005-0000-0000-00000A000000}"/>
    <cellStyle name="20% - Accent1 2 3 3" xfId="1395" xr:uid="{00000000-0005-0000-0000-00000B000000}"/>
    <cellStyle name="20% - Accent1 2 3 3 2" xfId="2205" xr:uid="{00000000-0005-0000-0000-00000C000000}"/>
    <cellStyle name="20% - Accent1 2 3 4" xfId="1635" xr:uid="{00000000-0005-0000-0000-00000D000000}"/>
    <cellStyle name="20% - Accent1 2 4" xfId="216" xr:uid="{00000000-0005-0000-0000-00000E000000}"/>
    <cellStyle name="20% - Accent1 2 4 2" xfId="377" xr:uid="{00000000-0005-0000-0000-00000F000000}"/>
    <cellStyle name="20% - Accent1 2 4 2 2" xfId="1533" xr:uid="{00000000-0005-0000-0000-000010000000}"/>
    <cellStyle name="20% - Accent1 2 4 2 2 2" xfId="2397" xr:uid="{00000000-0005-0000-0000-000011000000}"/>
    <cellStyle name="20% - Accent1 2 4 2 3" xfId="1638" xr:uid="{00000000-0005-0000-0000-000012000000}"/>
    <cellStyle name="20% - Accent1 2 4 3" xfId="1628" xr:uid="{00000000-0005-0000-0000-000013000000}"/>
    <cellStyle name="20% - Accent1 2 4 3 2" xfId="2263" xr:uid="{00000000-0005-0000-0000-000014000000}"/>
    <cellStyle name="20% - Accent1 2 4 4" xfId="1637" xr:uid="{00000000-0005-0000-0000-000015000000}"/>
    <cellStyle name="20% - Accent1 2 5" xfId="678" xr:uid="{00000000-0005-0000-0000-000016000000}"/>
    <cellStyle name="20% - Accent1 2 5 2" xfId="2076" xr:uid="{00000000-0005-0000-0000-000017000000}"/>
    <cellStyle name="20% - Accent1 2 6" xfId="1276" xr:uid="{00000000-0005-0000-0000-000018000000}"/>
    <cellStyle name="20% - Accent1 2 7" xfId="1633" xr:uid="{00000000-0005-0000-0000-000019000000}"/>
    <cellStyle name="20% - Accent2 2" xfId="2" xr:uid="{00000000-0005-0000-0000-00001A000000}"/>
    <cellStyle name="20% - Accent2 2 2" xfId="62" xr:uid="{00000000-0005-0000-0000-00001B000000}"/>
    <cellStyle name="20% - Accent2 2 2 2" xfId="681" xr:uid="{00000000-0005-0000-0000-00001C000000}"/>
    <cellStyle name="20% - Accent2 2 2 2 2" xfId="2124" xr:uid="{00000000-0005-0000-0000-00001D000000}"/>
    <cellStyle name="20% - Accent2 2 2 3" xfId="1571" xr:uid="{00000000-0005-0000-0000-00001E000000}"/>
    <cellStyle name="20% - Accent2 2 2 4" xfId="1640" xr:uid="{00000000-0005-0000-0000-00001F000000}"/>
    <cellStyle name="20% - Accent2 2 3" xfId="144" xr:uid="{00000000-0005-0000-0000-000020000000}"/>
    <cellStyle name="20% - Accent2 2 3 2" xfId="306" xr:uid="{00000000-0005-0000-0000-000021000000}"/>
    <cellStyle name="20% - Accent2 2 3 2 2" xfId="1151" xr:uid="{00000000-0005-0000-0000-000022000000}"/>
    <cellStyle name="20% - Accent2 2 3 2 2 2" xfId="2341" xr:uid="{00000000-0005-0000-0000-000023000000}"/>
    <cellStyle name="20% - Accent2 2 3 2 3" xfId="1642" xr:uid="{00000000-0005-0000-0000-000024000000}"/>
    <cellStyle name="20% - Accent2 2 3 3" xfId="1336" xr:uid="{00000000-0005-0000-0000-000025000000}"/>
    <cellStyle name="20% - Accent2 2 3 3 2" xfId="2206" xr:uid="{00000000-0005-0000-0000-000026000000}"/>
    <cellStyle name="20% - Accent2 2 3 4" xfId="1641" xr:uid="{00000000-0005-0000-0000-000027000000}"/>
    <cellStyle name="20% - Accent2 2 4" xfId="218" xr:uid="{00000000-0005-0000-0000-000028000000}"/>
    <cellStyle name="20% - Accent2 2 4 2" xfId="379" xr:uid="{00000000-0005-0000-0000-000029000000}"/>
    <cellStyle name="20% - Accent2 2 4 2 2" xfId="1438" xr:uid="{00000000-0005-0000-0000-00002A000000}"/>
    <cellStyle name="20% - Accent2 2 4 2 2 2" xfId="2399" xr:uid="{00000000-0005-0000-0000-00002B000000}"/>
    <cellStyle name="20% - Accent2 2 4 2 3" xfId="1644" xr:uid="{00000000-0005-0000-0000-00002C000000}"/>
    <cellStyle name="20% - Accent2 2 4 3" xfId="1468" xr:uid="{00000000-0005-0000-0000-00002D000000}"/>
    <cellStyle name="20% - Accent2 2 4 3 2" xfId="2265" xr:uid="{00000000-0005-0000-0000-00002E000000}"/>
    <cellStyle name="20% - Accent2 2 4 4" xfId="1643" xr:uid="{00000000-0005-0000-0000-00002F000000}"/>
    <cellStyle name="20% - Accent2 2 5" xfId="680" xr:uid="{00000000-0005-0000-0000-000030000000}"/>
    <cellStyle name="20% - Accent2 2 5 2" xfId="2067" xr:uid="{00000000-0005-0000-0000-000031000000}"/>
    <cellStyle name="20% - Accent2 2 6" xfId="1300" xr:uid="{00000000-0005-0000-0000-000032000000}"/>
    <cellStyle name="20% - Accent2 2 7" xfId="1639" xr:uid="{00000000-0005-0000-0000-000033000000}"/>
    <cellStyle name="20% - Accent3 2" xfId="3" xr:uid="{00000000-0005-0000-0000-000034000000}"/>
    <cellStyle name="20% - Accent3 2 2" xfId="63" xr:uid="{00000000-0005-0000-0000-000035000000}"/>
    <cellStyle name="20% - Accent3 2 2 2" xfId="683" xr:uid="{00000000-0005-0000-0000-000036000000}"/>
    <cellStyle name="20% - Accent3 2 2 2 2" xfId="2125" xr:uid="{00000000-0005-0000-0000-000037000000}"/>
    <cellStyle name="20% - Accent3 2 2 3" xfId="1220" xr:uid="{00000000-0005-0000-0000-000038000000}"/>
    <cellStyle name="20% - Accent3 2 2 4" xfId="1646" xr:uid="{00000000-0005-0000-0000-000039000000}"/>
    <cellStyle name="20% - Accent3 2 3" xfId="130" xr:uid="{00000000-0005-0000-0000-00003A000000}"/>
    <cellStyle name="20% - Accent3 2 3 2" xfId="292" xr:uid="{00000000-0005-0000-0000-00003B000000}"/>
    <cellStyle name="20% - Accent3 2 3 2 2" xfId="1195" xr:uid="{00000000-0005-0000-0000-00003C000000}"/>
    <cellStyle name="20% - Accent3 2 3 2 2 2" xfId="2327" xr:uid="{00000000-0005-0000-0000-00003D000000}"/>
    <cellStyle name="20% - Accent3 2 3 2 3" xfId="1648" xr:uid="{00000000-0005-0000-0000-00003E000000}"/>
    <cellStyle name="20% - Accent3 2 3 3" xfId="1551" xr:uid="{00000000-0005-0000-0000-00003F000000}"/>
    <cellStyle name="20% - Accent3 2 3 3 2" xfId="2192" xr:uid="{00000000-0005-0000-0000-000040000000}"/>
    <cellStyle name="20% - Accent3 2 3 4" xfId="1647" xr:uid="{00000000-0005-0000-0000-000041000000}"/>
    <cellStyle name="20% - Accent3 2 4" xfId="220" xr:uid="{00000000-0005-0000-0000-000042000000}"/>
    <cellStyle name="20% - Accent3 2 4 2" xfId="380" xr:uid="{00000000-0005-0000-0000-000043000000}"/>
    <cellStyle name="20% - Accent3 2 4 2 2" xfId="1165" xr:uid="{00000000-0005-0000-0000-000044000000}"/>
    <cellStyle name="20% - Accent3 2 4 2 2 2" xfId="2400" xr:uid="{00000000-0005-0000-0000-000045000000}"/>
    <cellStyle name="20% - Accent3 2 4 2 3" xfId="1650" xr:uid="{00000000-0005-0000-0000-000046000000}"/>
    <cellStyle name="20% - Accent3 2 4 3" xfId="1627" xr:uid="{00000000-0005-0000-0000-000047000000}"/>
    <cellStyle name="20% - Accent3 2 4 3 2" xfId="2267" xr:uid="{00000000-0005-0000-0000-000048000000}"/>
    <cellStyle name="20% - Accent3 2 4 4" xfId="1649" xr:uid="{00000000-0005-0000-0000-000049000000}"/>
    <cellStyle name="20% - Accent3 2 5" xfId="682" xr:uid="{00000000-0005-0000-0000-00004A000000}"/>
    <cellStyle name="20% - Accent3 2 5 2" xfId="2078" xr:uid="{00000000-0005-0000-0000-00004B000000}"/>
    <cellStyle name="20% - Accent3 2 6" xfId="1548" xr:uid="{00000000-0005-0000-0000-00004C000000}"/>
    <cellStyle name="20% - Accent3 2 7" xfId="1645" xr:uid="{00000000-0005-0000-0000-00004D000000}"/>
    <cellStyle name="20% - Accent4 2" xfId="4" xr:uid="{00000000-0005-0000-0000-00004E000000}"/>
    <cellStyle name="20% - Accent4 2 2" xfId="64" xr:uid="{00000000-0005-0000-0000-00004F000000}"/>
    <cellStyle name="20% - Accent4 2 2 2" xfId="685" xr:uid="{00000000-0005-0000-0000-000050000000}"/>
    <cellStyle name="20% - Accent4 2 2 2 2" xfId="2126" xr:uid="{00000000-0005-0000-0000-000051000000}"/>
    <cellStyle name="20% - Accent4 2 2 3" xfId="1330" xr:uid="{00000000-0005-0000-0000-000052000000}"/>
    <cellStyle name="20% - Accent4 2 2 4" xfId="1652" xr:uid="{00000000-0005-0000-0000-000053000000}"/>
    <cellStyle name="20% - Accent4 2 3" xfId="134" xr:uid="{00000000-0005-0000-0000-000054000000}"/>
    <cellStyle name="20% - Accent4 2 3 2" xfId="296" xr:uid="{00000000-0005-0000-0000-000055000000}"/>
    <cellStyle name="20% - Accent4 2 3 2 2" xfId="1266" xr:uid="{00000000-0005-0000-0000-000056000000}"/>
    <cellStyle name="20% - Accent4 2 3 2 2 2" xfId="2331" xr:uid="{00000000-0005-0000-0000-000057000000}"/>
    <cellStyle name="20% - Accent4 2 3 2 3" xfId="1654" xr:uid="{00000000-0005-0000-0000-000058000000}"/>
    <cellStyle name="20% - Accent4 2 3 3" xfId="1185" xr:uid="{00000000-0005-0000-0000-000059000000}"/>
    <cellStyle name="20% - Accent4 2 3 3 2" xfId="2196" xr:uid="{00000000-0005-0000-0000-00005A000000}"/>
    <cellStyle name="20% - Accent4 2 3 4" xfId="1653" xr:uid="{00000000-0005-0000-0000-00005B000000}"/>
    <cellStyle name="20% - Accent4 2 4" xfId="210" xr:uid="{00000000-0005-0000-0000-00005C000000}"/>
    <cellStyle name="20% - Accent4 2 4 2" xfId="371" xr:uid="{00000000-0005-0000-0000-00005D000000}"/>
    <cellStyle name="20% - Accent4 2 4 2 2" xfId="1224" xr:uid="{00000000-0005-0000-0000-00005E000000}"/>
    <cellStyle name="20% - Accent4 2 4 2 2 2" xfId="2391" xr:uid="{00000000-0005-0000-0000-00005F000000}"/>
    <cellStyle name="20% - Accent4 2 4 2 3" xfId="1656" xr:uid="{00000000-0005-0000-0000-000060000000}"/>
    <cellStyle name="20% - Accent4 2 4 3" xfId="1626" xr:uid="{00000000-0005-0000-0000-000061000000}"/>
    <cellStyle name="20% - Accent4 2 4 3 2" xfId="2257" xr:uid="{00000000-0005-0000-0000-000062000000}"/>
    <cellStyle name="20% - Accent4 2 4 4" xfId="1655" xr:uid="{00000000-0005-0000-0000-000063000000}"/>
    <cellStyle name="20% - Accent4 2 5" xfId="684" xr:uid="{00000000-0005-0000-0000-000064000000}"/>
    <cellStyle name="20% - Accent4 2 5 2" xfId="2080" xr:uid="{00000000-0005-0000-0000-000065000000}"/>
    <cellStyle name="20% - Accent4 2 6" xfId="1357" xr:uid="{00000000-0005-0000-0000-000066000000}"/>
    <cellStyle name="20% - Accent4 2 7" xfId="1651" xr:uid="{00000000-0005-0000-0000-000067000000}"/>
    <cellStyle name="20% - Accent5 2" xfId="5" xr:uid="{00000000-0005-0000-0000-000068000000}"/>
    <cellStyle name="20% - Accent5 2 2" xfId="65" xr:uid="{00000000-0005-0000-0000-000069000000}"/>
    <cellStyle name="20% - Accent5 2 2 2" xfId="687" xr:uid="{00000000-0005-0000-0000-00006A000000}"/>
    <cellStyle name="20% - Accent5 2 2 2 2" xfId="2127" xr:uid="{00000000-0005-0000-0000-00006B000000}"/>
    <cellStyle name="20% - Accent5 2 2 3" xfId="1149" xr:uid="{00000000-0005-0000-0000-00006C000000}"/>
    <cellStyle name="20% - Accent5 2 2 4" xfId="1658" xr:uid="{00000000-0005-0000-0000-00006D000000}"/>
    <cellStyle name="20% - Accent5 2 3" xfId="145" xr:uid="{00000000-0005-0000-0000-00006E000000}"/>
    <cellStyle name="20% - Accent5 2 3 2" xfId="307" xr:uid="{00000000-0005-0000-0000-00006F000000}"/>
    <cellStyle name="20% - Accent5 2 3 2 2" xfId="1570" xr:uid="{00000000-0005-0000-0000-000070000000}"/>
    <cellStyle name="20% - Accent5 2 3 2 2 2" xfId="2342" xr:uid="{00000000-0005-0000-0000-000071000000}"/>
    <cellStyle name="20% - Accent5 2 3 2 3" xfId="1660" xr:uid="{00000000-0005-0000-0000-000072000000}"/>
    <cellStyle name="20% - Accent5 2 3 3" xfId="1382" xr:uid="{00000000-0005-0000-0000-000073000000}"/>
    <cellStyle name="20% - Accent5 2 3 3 2" xfId="2207" xr:uid="{00000000-0005-0000-0000-000074000000}"/>
    <cellStyle name="20% - Accent5 2 3 4" xfId="1659" xr:uid="{00000000-0005-0000-0000-000075000000}"/>
    <cellStyle name="20% - Accent5 2 4" xfId="221" xr:uid="{00000000-0005-0000-0000-000076000000}"/>
    <cellStyle name="20% - Accent5 2 4 2" xfId="381" xr:uid="{00000000-0005-0000-0000-000077000000}"/>
    <cellStyle name="20% - Accent5 2 4 2 2" xfId="1523" xr:uid="{00000000-0005-0000-0000-000078000000}"/>
    <cellStyle name="20% - Accent5 2 4 2 2 2" xfId="2401" xr:uid="{00000000-0005-0000-0000-000079000000}"/>
    <cellStyle name="20% - Accent5 2 4 2 3" xfId="1662" xr:uid="{00000000-0005-0000-0000-00007A000000}"/>
    <cellStyle name="20% - Accent5 2 4 3" xfId="1498" xr:uid="{00000000-0005-0000-0000-00007B000000}"/>
    <cellStyle name="20% - Accent5 2 4 3 2" xfId="2268" xr:uid="{00000000-0005-0000-0000-00007C000000}"/>
    <cellStyle name="20% - Accent5 2 4 4" xfId="1661" xr:uid="{00000000-0005-0000-0000-00007D000000}"/>
    <cellStyle name="20% - Accent5 2 5" xfId="686" xr:uid="{00000000-0005-0000-0000-00007E000000}"/>
    <cellStyle name="20% - Accent5 2 5 2" xfId="2069" xr:uid="{00000000-0005-0000-0000-00007F000000}"/>
    <cellStyle name="20% - Accent5 2 6" xfId="1377" xr:uid="{00000000-0005-0000-0000-000080000000}"/>
    <cellStyle name="20% - Accent5 2 7" xfId="1657" xr:uid="{00000000-0005-0000-0000-000081000000}"/>
    <cellStyle name="20% - Accent6 2" xfId="6" xr:uid="{00000000-0005-0000-0000-000082000000}"/>
    <cellStyle name="20% - Accent6 2 2" xfId="66" xr:uid="{00000000-0005-0000-0000-000083000000}"/>
    <cellStyle name="20% - Accent6 2 2 2" xfId="689" xr:uid="{00000000-0005-0000-0000-000084000000}"/>
    <cellStyle name="20% - Accent6 2 2 2 2" xfId="2128" xr:uid="{00000000-0005-0000-0000-000085000000}"/>
    <cellStyle name="20% - Accent6 2 2 3" xfId="1366" xr:uid="{00000000-0005-0000-0000-000086000000}"/>
    <cellStyle name="20% - Accent6 2 2 4" xfId="1664" xr:uid="{00000000-0005-0000-0000-000087000000}"/>
    <cellStyle name="20% - Accent6 2 3" xfId="139" xr:uid="{00000000-0005-0000-0000-000088000000}"/>
    <cellStyle name="20% - Accent6 2 3 2" xfId="301" xr:uid="{00000000-0005-0000-0000-000089000000}"/>
    <cellStyle name="20% - Accent6 2 3 2 2" xfId="1292" xr:uid="{00000000-0005-0000-0000-00008A000000}"/>
    <cellStyle name="20% - Accent6 2 3 2 2 2" xfId="2336" xr:uid="{00000000-0005-0000-0000-00008B000000}"/>
    <cellStyle name="20% - Accent6 2 3 2 3" xfId="1666" xr:uid="{00000000-0005-0000-0000-00008C000000}"/>
    <cellStyle name="20% - Accent6 2 3 3" xfId="1412" xr:uid="{00000000-0005-0000-0000-00008D000000}"/>
    <cellStyle name="20% - Accent6 2 3 3 2" xfId="2201" xr:uid="{00000000-0005-0000-0000-00008E000000}"/>
    <cellStyle name="20% - Accent6 2 3 4" xfId="1665" xr:uid="{00000000-0005-0000-0000-00008F000000}"/>
    <cellStyle name="20% - Accent6 2 4" xfId="212" xr:uid="{00000000-0005-0000-0000-000090000000}"/>
    <cellStyle name="20% - Accent6 2 4 2" xfId="373" xr:uid="{00000000-0005-0000-0000-000091000000}"/>
    <cellStyle name="20% - Accent6 2 4 2 2" xfId="1430" xr:uid="{00000000-0005-0000-0000-000092000000}"/>
    <cellStyle name="20% - Accent6 2 4 2 2 2" xfId="2393" xr:uid="{00000000-0005-0000-0000-000093000000}"/>
    <cellStyle name="20% - Accent6 2 4 2 3" xfId="1668" xr:uid="{00000000-0005-0000-0000-000094000000}"/>
    <cellStyle name="20% - Accent6 2 4 3" xfId="1243" xr:uid="{00000000-0005-0000-0000-000095000000}"/>
    <cellStyle name="20% - Accent6 2 4 3 2" xfId="2259" xr:uid="{00000000-0005-0000-0000-000096000000}"/>
    <cellStyle name="20% - Accent6 2 4 4" xfId="1667" xr:uid="{00000000-0005-0000-0000-000097000000}"/>
    <cellStyle name="20% - Accent6 2 5" xfId="688" xr:uid="{00000000-0005-0000-0000-000098000000}"/>
    <cellStyle name="20% - Accent6 2 5 2" xfId="2077" xr:uid="{00000000-0005-0000-0000-000099000000}"/>
    <cellStyle name="20% - Accent6 2 6" xfId="1444" xr:uid="{00000000-0005-0000-0000-00009A000000}"/>
    <cellStyle name="20% - Accent6 2 7" xfId="1663" xr:uid="{00000000-0005-0000-0000-00009B000000}"/>
    <cellStyle name="40% - Accent1 2" xfId="7" xr:uid="{00000000-0005-0000-0000-00009C000000}"/>
    <cellStyle name="40% - Accent1 2 2" xfId="67" xr:uid="{00000000-0005-0000-0000-00009D000000}"/>
    <cellStyle name="40% - Accent1 2 2 2" xfId="691" xr:uid="{00000000-0005-0000-0000-00009E000000}"/>
    <cellStyle name="40% - Accent1 2 2 2 2" xfId="2129" xr:uid="{00000000-0005-0000-0000-00009F000000}"/>
    <cellStyle name="40% - Accent1 2 2 3" xfId="1297" xr:uid="{00000000-0005-0000-0000-0000A0000000}"/>
    <cellStyle name="40% - Accent1 2 2 4" xfId="1670" xr:uid="{00000000-0005-0000-0000-0000A1000000}"/>
    <cellStyle name="40% - Accent1 2 3" xfId="147" xr:uid="{00000000-0005-0000-0000-0000A2000000}"/>
    <cellStyle name="40% - Accent1 2 3 2" xfId="309" xr:uid="{00000000-0005-0000-0000-0000A3000000}"/>
    <cellStyle name="40% - Accent1 2 3 2 2" xfId="1208" xr:uid="{00000000-0005-0000-0000-0000A4000000}"/>
    <cellStyle name="40% - Accent1 2 3 2 2 2" xfId="2344" xr:uid="{00000000-0005-0000-0000-0000A5000000}"/>
    <cellStyle name="40% - Accent1 2 3 2 3" xfId="1672" xr:uid="{00000000-0005-0000-0000-0000A6000000}"/>
    <cellStyle name="40% - Accent1 2 3 3" xfId="1536" xr:uid="{00000000-0005-0000-0000-0000A7000000}"/>
    <cellStyle name="40% - Accent1 2 3 3 2" xfId="2209" xr:uid="{00000000-0005-0000-0000-0000A8000000}"/>
    <cellStyle name="40% - Accent1 2 3 4" xfId="1671" xr:uid="{00000000-0005-0000-0000-0000A9000000}"/>
    <cellStyle name="40% - Accent1 2 4" xfId="223" xr:uid="{00000000-0005-0000-0000-0000AA000000}"/>
    <cellStyle name="40% - Accent1 2 4 2" xfId="383" xr:uid="{00000000-0005-0000-0000-0000AB000000}"/>
    <cellStyle name="40% - Accent1 2 4 2 2" xfId="1569" xr:uid="{00000000-0005-0000-0000-0000AC000000}"/>
    <cellStyle name="40% - Accent1 2 4 2 2 2" xfId="2403" xr:uid="{00000000-0005-0000-0000-0000AD000000}"/>
    <cellStyle name="40% - Accent1 2 4 2 3" xfId="1674" xr:uid="{00000000-0005-0000-0000-0000AE000000}"/>
    <cellStyle name="40% - Accent1 2 4 3" xfId="1541" xr:uid="{00000000-0005-0000-0000-0000AF000000}"/>
    <cellStyle name="40% - Accent1 2 4 3 2" xfId="2270" xr:uid="{00000000-0005-0000-0000-0000B0000000}"/>
    <cellStyle name="40% - Accent1 2 4 4" xfId="1673" xr:uid="{00000000-0005-0000-0000-0000B1000000}"/>
    <cellStyle name="40% - Accent1 2 5" xfId="690" xr:uid="{00000000-0005-0000-0000-0000B2000000}"/>
    <cellStyle name="40% - Accent1 2 5 2" xfId="2071" xr:uid="{00000000-0005-0000-0000-0000B3000000}"/>
    <cellStyle name="40% - Accent1 2 6" xfId="1625" xr:uid="{00000000-0005-0000-0000-0000B4000000}"/>
    <cellStyle name="40% - Accent1 2 7" xfId="1669" xr:uid="{00000000-0005-0000-0000-0000B5000000}"/>
    <cellStyle name="40% - Accent2 2" xfId="8" xr:uid="{00000000-0005-0000-0000-0000B6000000}"/>
    <cellStyle name="40% - Accent2 2 2" xfId="68" xr:uid="{00000000-0005-0000-0000-0000B7000000}"/>
    <cellStyle name="40% - Accent2 2 2 2" xfId="693" xr:uid="{00000000-0005-0000-0000-0000B8000000}"/>
    <cellStyle name="40% - Accent2 2 2 2 2" xfId="2130" xr:uid="{00000000-0005-0000-0000-0000B9000000}"/>
    <cellStyle name="40% - Accent2 2 2 3" xfId="1289" xr:uid="{00000000-0005-0000-0000-0000BA000000}"/>
    <cellStyle name="40% - Accent2 2 2 4" xfId="1676" xr:uid="{00000000-0005-0000-0000-0000BB000000}"/>
    <cellStyle name="40% - Accent2 2 3" xfId="132" xr:uid="{00000000-0005-0000-0000-0000BC000000}"/>
    <cellStyle name="40% - Accent2 2 3 2" xfId="294" xr:uid="{00000000-0005-0000-0000-0000BD000000}"/>
    <cellStyle name="40% - Accent2 2 3 2 2" xfId="1526" xr:uid="{00000000-0005-0000-0000-0000BE000000}"/>
    <cellStyle name="40% - Accent2 2 3 2 2 2" xfId="2329" xr:uid="{00000000-0005-0000-0000-0000BF000000}"/>
    <cellStyle name="40% - Accent2 2 3 2 3" xfId="1678" xr:uid="{00000000-0005-0000-0000-0000C0000000}"/>
    <cellStyle name="40% - Accent2 2 3 3" xfId="1175" xr:uid="{00000000-0005-0000-0000-0000C1000000}"/>
    <cellStyle name="40% - Accent2 2 3 3 2" xfId="2194" xr:uid="{00000000-0005-0000-0000-0000C2000000}"/>
    <cellStyle name="40% - Accent2 2 3 4" xfId="1677" xr:uid="{00000000-0005-0000-0000-0000C3000000}"/>
    <cellStyle name="40% - Accent2 2 4" xfId="217" xr:uid="{00000000-0005-0000-0000-0000C4000000}"/>
    <cellStyle name="40% - Accent2 2 4 2" xfId="378" xr:uid="{00000000-0005-0000-0000-0000C5000000}"/>
    <cellStyle name="40% - Accent2 2 4 2 2" xfId="1454" xr:uid="{00000000-0005-0000-0000-0000C6000000}"/>
    <cellStyle name="40% - Accent2 2 4 2 2 2" xfId="2398" xr:uid="{00000000-0005-0000-0000-0000C7000000}"/>
    <cellStyle name="40% - Accent2 2 4 2 3" xfId="1680" xr:uid="{00000000-0005-0000-0000-0000C8000000}"/>
    <cellStyle name="40% - Accent2 2 4 3" xfId="1413" xr:uid="{00000000-0005-0000-0000-0000C9000000}"/>
    <cellStyle name="40% - Accent2 2 4 3 2" xfId="2264" xr:uid="{00000000-0005-0000-0000-0000CA000000}"/>
    <cellStyle name="40% - Accent2 2 4 4" xfId="1679" xr:uid="{00000000-0005-0000-0000-0000CB000000}"/>
    <cellStyle name="40% - Accent2 2 5" xfId="692" xr:uid="{00000000-0005-0000-0000-0000CC000000}"/>
    <cellStyle name="40% - Accent2 2 5 2" xfId="2070" xr:uid="{00000000-0005-0000-0000-0000CD000000}"/>
    <cellStyle name="40% - Accent2 2 6" xfId="1365" xr:uid="{00000000-0005-0000-0000-0000CE000000}"/>
    <cellStyle name="40% - Accent2 2 7" xfId="1675" xr:uid="{00000000-0005-0000-0000-0000CF000000}"/>
    <cellStyle name="40% - Accent3 2" xfId="9" xr:uid="{00000000-0005-0000-0000-0000D0000000}"/>
    <cellStyle name="40% - Accent3 2 2" xfId="69" xr:uid="{00000000-0005-0000-0000-0000D1000000}"/>
    <cellStyle name="40% - Accent3 2 2 2" xfId="695" xr:uid="{00000000-0005-0000-0000-0000D2000000}"/>
    <cellStyle name="40% - Accent3 2 2 2 2" xfId="2131" xr:uid="{00000000-0005-0000-0000-0000D3000000}"/>
    <cellStyle name="40% - Accent3 2 2 3" xfId="1326" xr:uid="{00000000-0005-0000-0000-0000D4000000}"/>
    <cellStyle name="40% - Accent3 2 2 4" xfId="1682" xr:uid="{00000000-0005-0000-0000-0000D5000000}"/>
    <cellStyle name="40% - Accent3 2 3" xfId="141" xr:uid="{00000000-0005-0000-0000-0000D6000000}"/>
    <cellStyle name="40% - Accent3 2 3 2" xfId="303" xr:uid="{00000000-0005-0000-0000-0000D7000000}"/>
    <cellStyle name="40% - Accent3 2 3 2 2" xfId="1341" xr:uid="{00000000-0005-0000-0000-0000D8000000}"/>
    <cellStyle name="40% - Accent3 2 3 2 2 2" xfId="2338" xr:uid="{00000000-0005-0000-0000-0000D9000000}"/>
    <cellStyle name="40% - Accent3 2 3 2 3" xfId="1684" xr:uid="{00000000-0005-0000-0000-0000DA000000}"/>
    <cellStyle name="40% - Accent3 2 3 3" xfId="1488" xr:uid="{00000000-0005-0000-0000-0000DB000000}"/>
    <cellStyle name="40% - Accent3 2 3 3 2" xfId="2203" xr:uid="{00000000-0005-0000-0000-0000DC000000}"/>
    <cellStyle name="40% - Accent3 2 3 4" xfId="1683" xr:uid="{00000000-0005-0000-0000-0000DD000000}"/>
    <cellStyle name="40% - Accent3 2 4" xfId="214" xr:uid="{00000000-0005-0000-0000-0000DE000000}"/>
    <cellStyle name="40% - Accent3 2 4 2" xfId="375" xr:uid="{00000000-0005-0000-0000-0000DF000000}"/>
    <cellStyle name="40% - Accent3 2 4 2 2" xfId="1550" xr:uid="{00000000-0005-0000-0000-0000E0000000}"/>
    <cellStyle name="40% - Accent3 2 4 2 2 2" xfId="2395" xr:uid="{00000000-0005-0000-0000-0000E1000000}"/>
    <cellStyle name="40% - Accent3 2 4 2 3" xfId="1686" xr:uid="{00000000-0005-0000-0000-0000E2000000}"/>
    <cellStyle name="40% - Accent3 2 4 3" xfId="1295" xr:uid="{00000000-0005-0000-0000-0000E3000000}"/>
    <cellStyle name="40% - Accent3 2 4 3 2" xfId="2261" xr:uid="{00000000-0005-0000-0000-0000E4000000}"/>
    <cellStyle name="40% - Accent3 2 4 4" xfId="1685" xr:uid="{00000000-0005-0000-0000-0000E5000000}"/>
    <cellStyle name="40% - Accent3 2 5" xfId="694" xr:uid="{00000000-0005-0000-0000-0000E6000000}"/>
    <cellStyle name="40% - Accent3 2 5 2" xfId="2079" xr:uid="{00000000-0005-0000-0000-0000E7000000}"/>
    <cellStyle name="40% - Accent3 2 6" xfId="1314" xr:uid="{00000000-0005-0000-0000-0000E8000000}"/>
    <cellStyle name="40% - Accent3 2 7" xfId="1681" xr:uid="{00000000-0005-0000-0000-0000E9000000}"/>
    <cellStyle name="40% - Accent4 2" xfId="10" xr:uid="{00000000-0005-0000-0000-0000EA000000}"/>
    <cellStyle name="40% - Accent4 2 2" xfId="70" xr:uid="{00000000-0005-0000-0000-0000EB000000}"/>
    <cellStyle name="40% - Accent4 2 2 2" xfId="697" xr:uid="{00000000-0005-0000-0000-0000EC000000}"/>
    <cellStyle name="40% - Accent4 2 2 2 2" xfId="2132" xr:uid="{00000000-0005-0000-0000-0000ED000000}"/>
    <cellStyle name="40% - Accent4 2 2 3" xfId="1184" xr:uid="{00000000-0005-0000-0000-0000EE000000}"/>
    <cellStyle name="40% - Accent4 2 2 4" xfId="1688" xr:uid="{00000000-0005-0000-0000-0000EF000000}"/>
    <cellStyle name="40% - Accent4 2 3" xfId="148" xr:uid="{00000000-0005-0000-0000-0000F0000000}"/>
    <cellStyle name="40% - Accent4 2 3 2" xfId="310" xr:uid="{00000000-0005-0000-0000-0000F1000000}"/>
    <cellStyle name="40% - Accent4 2 3 2 2" xfId="1476" xr:uid="{00000000-0005-0000-0000-0000F2000000}"/>
    <cellStyle name="40% - Accent4 2 3 2 2 2" xfId="2345" xr:uid="{00000000-0005-0000-0000-0000F3000000}"/>
    <cellStyle name="40% - Accent4 2 3 2 3" xfId="1690" xr:uid="{00000000-0005-0000-0000-0000F4000000}"/>
    <cellStyle name="40% - Accent4 2 3 3" xfId="1368" xr:uid="{00000000-0005-0000-0000-0000F5000000}"/>
    <cellStyle name="40% - Accent4 2 3 3 2" xfId="2210" xr:uid="{00000000-0005-0000-0000-0000F6000000}"/>
    <cellStyle name="40% - Accent4 2 3 4" xfId="1689" xr:uid="{00000000-0005-0000-0000-0000F7000000}"/>
    <cellStyle name="40% - Accent4 2 4" xfId="224" xr:uid="{00000000-0005-0000-0000-0000F8000000}"/>
    <cellStyle name="40% - Accent4 2 4 2" xfId="384" xr:uid="{00000000-0005-0000-0000-0000F9000000}"/>
    <cellStyle name="40% - Accent4 2 4 2 2" xfId="1624" xr:uid="{00000000-0005-0000-0000-0000FA000000}"/>
    <cellStyle name="40% - Accent4 2 4 2 2 2" xfId="2404" xr:uid="{00000000-0005-0000-0000-0000FB000000}"/>
    <cellStyle name="40% - Accent4 2 4 2 3" xfId="1692" xr:uid="{00000000-0005-0000-0000-0000FC000000}"/>
    <cellStyle name="40% - Accent4 2 4 3" xfId="1396" xr:uid="{00000000-0005-0000-0000-0000FD000000}"/>
    <cellStyle name="40% - Accent4 2 4 3 2" xfId="2271" xr:uid="{00000000-0005-0000-0000-0000FE000000}"/>
    <cellStyle name="40% - Accent4 2 4 4" xfId="1691" xr:uid="{00000000-0005-0000-0000-0000FF000000}"/>
    <cellStyle name="40% - Accent4 2 5" xfId="696" xr:uid="{00000000-0005-0000-0000-000000010000}"/>
    <cellStyle name="40% - Accent4 2 5 2" xfId="2075" xr:uid="{00000000-0005-0000-0000-000001010000}"/>
    <cellStyle name="40% - Accent4 2 6" xfId="1457" xr:uid="{00000000-0005-0000-0000-000002010000}"/>
    <cellStyle name="40% - Accent4 2 7" xfId="1687" xr:uid="{00000000-0005-0000-0000-000003010000}"/>
    <cellStyle name="40% - Accent5 2" xfId="11" xr:uid="{00000000-0005-0000-0000-000004010000}"/>
    <cellStyle name="40% - Accent5 2 2" xfId="71" xr:uid="{00000000-0005-0000-0000-000005010000}"/>
    <cellStyle name="40% - Accent5 2 2 2" xfId="699" xr:uid="{00000000-0005-0000-0000-000006010000}"/>
    <cellStyle name="40% - Accent5 2 2 2 2" xfId="2133" xr:uid="{00000000-0005-0000-0000-000007010000}"/>
    <cellStyle name="40% - Accent5 2 2 3" xfId="1152" xr:uid="{00000000-0005-0000-0000-000008010000}"/>
    <cellStyle name="40% - Accent5 2 2 4" xfId="1694" xr:uid="{00000000-0005-0000-0000-000009010000}"/>
    <cellStyle name="40% - Accent5 2 3" xfId="138" xr:uid="{00000000-0005-0000-0000-00000A010000}"/>
    <cellStyle name="40% - Accent5 2 3 2" xfId="300" xr:uid="{00000000-0005-0000-0000-00000B010000}"/>
    <cellStyle name="40% - Accent5 2 3 2 2" xfId="1552" xr:uid="{00000000-0005-0000-0000-00000C010000}"/>
    <cellStyle name="40% - Accent5 2 3 2 2 2" xfId="2335" xr:uid="{00000000-0005-0000-0000-00000D010000}"/>
    <cellStyle name="40% - Accent5 2 3 2 3" xfId="1696" xr:uid="{00000000-0005-0000-0000-00000E010000}"/>
    <cellStyle name="40% - Accent5 2 3 3" xfId="1177" xr:uid="{00000000-0005-0000-0000-00000F010000}"/>
    <cellStyle name="40% - Accent5 2 3 3 2" xfId="2200" xr:uid="{00000000-0005-0000-0000-000010010000}"/>
    <cellStyle name="40% - Accent5 2 3 4" xfId="1695" xr:uid="{00000000-0005-0000-0000-000011010000}"/>
    <cellStyle name="40% - Accent5 2 4" xfId="211" xr:uid="{00000000-0005-0000-0000-000012010000}"/>
    <cellStyle name="40% - Accent5 2 4 2" xfId="372" xr:uid="{00000000-0005-0000-0000-000013010000}"/>
    <cellStyle name="40% - Accent5 2 4 2 2" xfId="1503" xr:uid="{00000000-0005-0000-0000-000014010000}"/>
    <cellStyle name="40% - Accent5 2 4 2 2 2" xfId="2392" xr:uid="{00000000-0005-0000-0000-000015010000}"/>
    <cellStyle name="40% - Accent5 2 4 2 3" xfId="1698" xr:uid="{00000000-0005-0000-0000-000016010000}"/>
    <cellStyle name="40% - Accent5 2 4 3" xfId="1325" xr:uid="{00000000-0005-0000-0000-000017010000}"/>
    <cellStyle name="40% - Accent5 2 4 3 2" xfId="2258" xr:uid="{00000000-0005-0000-0000-000018010000}"/>
    <cellStyle name="40% - Accent5 2 4 4" xfId="1697" xr:uid="{00000000-0005-0000-0000-000019010000}"/>
    <cellStyle name="40% - Accent5 2 5" xfId="698" xr:uid="{00000000-0005-0000-0000-00001A010000}"/>
    <cellStyle name="40% - Accent5 2 5 2" xfId="2073" xr:uid="{00000000-0005-0000-0000-00001B010000}"/>
    <cellStyle name="40% - Accent5 2 6" xfId="1459" xr:uid="{00000000-0005-0000-0000-00001C010000}"/>
    <cellStyle name="40% - Accent5 2 7" xfId="1693" xr:uid="{00000000-0005-0000-0000-00001D010000}"/>
    <cellStyle name="40% - Accent6 2" xfId="12" xr:uid="{00000000-0005-0000-0000-00001E010000}"/>
    <cellStyle name="40% - Accent6 2 2" xfId="72" xr:uid="{00000000-0005-0000-0000-00001F010000}"/>
    <cellStyle name="40% - Accent6 2 2 2" xfId="701" xr:uid="{00000000-0005-0000-0000-000020010000}"/>
    <cellStyle name="40% - Accent6 2 2 2 2" xfId="2134" xr:uid="{00000000-0005-0000-0000-000021010000}"/>
    <cellStyle name="40% - Accent6 2 2 3" xfId="1242" xr:uid="{00000000-0005-0000-0000-000022010000}"/>
    <cellStyle name="40% - Accent6 2 2 4" xfId="1700" xr:uid="{00000000-0005-0000-0000-000023010000}"/>
    <cellStyle name="40% - Accent6 2 3" xfId="149" xr:uid="{00000000-0005-0000-0000-000024010000}"/>
    <cellStyle name="40% - Accent6 2 3 2" xfId="311" xr:uid="{00000000-0005-0000-0000-000025010000}"/>
    <cellStyle name="40% - Accent6 2 3 2 2" xfId="1148" xr:uid="{00000000-0005-0000-0000-000026010000}"/>
    <cellStyle name="40% - Accent6 2 3 2 2 2" xfId="2346" xr:uid="{00000000-0005-0000-0000-000027010000}"/>
    <cellStyle name="40% - Accent6 2 3 2 3" xfId="1702" xr:uid="{00000000-0005-0000-0000-000028010000}"/>
    <cellStyle name="40% - Accent6 2 3 3" xfId="1528" xr:uid="{00000000-0005-0000-0000-000029010000}"/>
    <cellStyle name="40% - Accent6 2 3 3 2" xfId="2211" xr:uid="{00000000-0005-0000-0000-00002A010000}"/>
    <cellStyle name="40% - Accent6 2 3 4" xfId="1701" xr:uid="{00000000-0005-0000-0000-00002B010000}"/>
    <cellStyle name="40% - Accent6 2 4" xfId="225" xr:uid="{00000000-0005-0000-0000-00002C010000}"/>
    <cellStyle name="40% - Accent6 2 4 2" xfId="385" xr:uid="{00000000-0005-0000-0000-00002D010000}"/>
    <cellStyle name="40% - Accent6 2 4 2 2" xfId="1568" xr:uid="{00000000-0005-0000-0000-00002E010000}"/>
    <cellStyle name="40% - Accent6 2 4 2 2 2" xfId="2405" xr:uid="{00000000-0005-0000-0000-00002F010000}"/>
    <cellStyle name="40% - Accent6 2 4 2 3" xfId="1704" xr:uid="{00000000-0005-0000-0000-000030010000}"/>
    <cellStyle name="40% - Accent6 2 4 3" xfId="1162" xr:uid="{00000000-0005-0000-0000-000031010000}"/>
    <cellStyle name="40% - Accent6 2 4 3 2" xfId="2272" xr:uid="{00000000-0005-0000-0000-000032010000}"/>
    <cellStyle name="40% - Accent6 2 4 4" xfId="1703" xr:uid="{00000000-0005-0000-0000-000033010000}"/>
    <cellStyle name="40% - Accent6 2 5" xfId="700" xr:uid="{00000000-0005-0000-0000-000034010000}"/>
    <cellStyle name="40% - Accent6 2 5 2" xfId="2072" xr:uid="{00000000-0005-0000-0000-000035010000}"/>
    <cellStyle name="40% - Accent6 2 6" xfId="1371" xr:uid="{00000000-0005-0000-0000-000036010000}"/>
    <cellStyle name="40% - Accent6 2 7" xfId="1699" xr:uid="{00000000-0005-0000-0000-000037010000}"/>
    <cellStyle name="60% - Accent1 2" xfId="13" xr:uid="{00000000-0005-0000-0000-000038010000}"/>
    <cellStyle name="60% - Accent1 2 2" xfId="73" xr:uid="{00000000-0005-0000-0000-000039010000}"/>
    <cellStyle name="60% - Accent1 2 2 2" xfId="703" xr:uid="{00000000-0005-0000-0000-00003A010000}"/>
    <cellStyle name="60% - Accent1 2 2 2 2" xfId="2135" xr:uid="{00000000-0005-0000-0000-00003B010000}"/>
    <cellStyle name="60% - Accent1 2 2 3" xfId="1186" xr:uid="{00000000-0005-0000-0000-00003C010000}"/>
    <cellStyle name="60% - Accent1 2 2 4" xfId="1706" xr:uid="{00000000-0005-0000-0000-00003D010000}"/>
    <cellStyle name="60% - Accent1 2 3" xfId="146" xr:uid="{00000000-0005-0000-0000-00003E010000}"/>
    <cellStyle name="60% - Accent1 2 3 2" xfId="308" xr:uid="{00000000-0005-0000-0000-00003F010000}"/>
    <cellStyle name="60% - Accent1 2 3 2 2" xfId="1193" xr:uid="{00000000-0005-0000-0000-000040010000}"/>
    <cellStyle name="60% - Accent1 2 3 2 2 2" xfId="2343" xr:uid="{00000000-0005-0000-0000-000041010000}"/>
    <cellStyle name="60% - Accent1 2 3 2 3" xfId="1708" xr:uid="{00000000-0005-0000-0000-000042010000}"/>
    <cellStyle name="60% - Accent1 2 3 3" xfId="1163" xr:uid="{00000000-0005-0000-0000-000043010000}"/>
    <cellStyle name="60% - Accent1 2 3 3 2" xfId="2208" xr:uid="{00000000-0005-0000-0000-000044010000}"/>
    <cellStyle name="60% - Accent1 2 3 4" xfId="1707" xr:uid="{00000000-0005-0000-0000-000045010000}"/>
    <cellStyle name="60% - Accent1 2 4" xfId="222" xr:uid="{00000000-0005-0000-0000-000046010000}"/>
    <cellStyle name="60% - Accent1 2 4 2" xfId="382" xr:uid="{00000000-0005-0000-0000-000047010000}"/>
    <cellStyle name="60% - Accent1 2 4 2 2" xfId="1204" xr:uid="{00000000-0005-0000-0000-000048010000}"/>
    <cellStyle name="60% - Accent1 2 4 2 2 2" xfId="2402" xr:uid="{00000000-0005-0000-0000-000049010000}"/>
    <cellStyle name="60% - Accent1 2 4 2 3" xfId="1710" xr:uid="{00000000-0005-0000-0000-00004A010000}"/>
    <cellStyle name="60% - Accent1 2 4 3" xfId="1222" xr:uid="{00000000-0005-0000-0000-00004B010000}"/>
    <cellStyle name="60% - Accent1 2 4 3 2" xfId="2269" xr:uid="{00000000-0005-0000-0000-00004C010000}"/>
    <cellStyle name="60% - Accent1 2 4 4" xfId="1709" xr:uid="{00000000-0005-0000-0000-00004D010000}"/>
    <cellStyle name="60% - Accent1 2 5" xfId="702" xr:uid="{00000000-0005-0000-0000-00004E010000}"/>
    <cellStyle name="60% - Accent1 2 5 2" xfId="2066" xr:uid="{00000000-0005-0000-0000-00004F010000}"/>
    <cellStyle name="60% - Accent1 2 6" xfId="1221" xr:uid="{00000000-0005-0000-0000-000050010000}"/>
    <cellStyle name="60% - Accent1 2 7" xfId="1705" xr:uid="{00000000-0005-0000-0000-000051010000}"/>
    <cellStyle name="60% - Accent2 2" xfId="14" xr:uid="{00000000-0005-0000-0000-000052010000}"/>
    <cellStyle name="60% - Accent2 2 2" xfId="74" xr:uid="{00000000-0005-0000-0000-000053010000}"/>
    <cellStyle name="60% - Accent2 2 2 2" xfId="705" xr:uid="{00000000-0005-0000-0000-000054010000}"/>
    <cellStyle name="60% - Accent2 2 2 2 2" xfId="2136" xr:uid="{00000000-0005-0000-0000-000055010000}"/>
    <cellStyle name="60% - Accent2 2 2 3" xfId="1487" xr:uid="{00000000-0005-0000-0000-000056010000}"/>
    <cellStyle name="60% - Accent2 2 2 4" xfId="1712" xr:uid="{00000000-0005-0000-0000-000057010000}"/>
    <cellStyle name="60% - Accent2 2 3" xfId="140" xr:uid="{00000000-0005-0000-0000-000058010000}"/>
    <cellStyle name="60% - Accent2 2 3 2" xfId="302" xr:uid="{00000000-0005-0000-0000-000059010000}"/>
    <cellStyle name="60% - Accent2 2 3 2 2" xfId="1375" xr:uid="{00000000-0005-0000-0000-00005A010000}"/>
    <cellStyle name="60% - Accent2 2 3 2 2 2" xfId="2337" xr:uid="{00000000-0005-0000-0000-00005B010000}"/>
    <cellStyle name="60% - Accent2 2 3 2 3" xfId="1714" xr:uid="{00000000-0005-0000-0000-00005C010000}"/>
    <cellStyle name="60% - Accent2 2 3 3" xfId="1623" xr:uid="{00000000-0005-0000-0000-00005D010000}"/>
    <cellStyle name="60% - Accent2 2 3 3 2" xfId="2202" xr:uid="{00000000-0005-0000-0000-00005E010000}"/>
    <cellStyle name="60% - Accent2 2 3 4" xfId="1713" xr:uid="{00000000-0005-0000-0000-00005F010000}"/>
    <cellStyle name="60% - Accent2 2 4" xfId="213" xr:uid="{00000000-0005-0000-0000-000060010000}"/>
    <cellStyle name="60% - Accent2 2 4 2" xfId="374" xr:uid="{00000000-0005-0000-0000-000061010000}"/>
    <cellStyle name="60% - Accent2 2 4 2 2" xfId="1235" xr:uid="{00000000-0005-0000-0000-000062010000}"/>
    <cellStyle name="60% - Accent2 2 4 2 2 2" xfId="2394" xr:uid="{00000000-0005-0000-0000-000063010000}"/>
    <cellStyle name="60% - Accent2 2 4 2 3" xfId="1716" xr:uid="{00000000-0005-0000-0000-000064010000}"/>
    <cellStyle name="60% - Accent2 2 4 3" xfId="1211" xr:uid="{00000000-0005-0000-0000-000065010000}"/>
    <cellStyle name="60% - Accent2 2 4 3 2" xfId="2260" xr:uid="{00000000-0005-0000-0000-000066010000}"/>
    <cellStyle name="60% - Accent2 2 4 4" xfId="1715" xr:uid="{00000000-0005-0000-0000-000067010000}"/>
    <cellStyle name="60% - Accent2 2 5" xfId="704" xr:uid="{00000000-0005-0000-0000-000068010000}"/>
    <cellStyle name="60% - Accent2 2 5 2" xfId="2074" xr:uid="{00000000-0005-0000-0000-000069010000}"/>
    <cellStyle name="60% - Accent2 2 6" xfId="1277" xr:uid="{00000000-0005-0000-0000-00006A010000}"/>
    <cellStyle name="60% - Accent2 2 7" xfId="1711" xr:uid="{00000000-0005-0000-0000-00006B010000}"/>
    <cellStyle name="60% - Accent3 2" xfId="15" xr:uid="{00000000-0005-0000-0000-00006C010000}"/>
    <cellStyle name="60% - Accent3 2 2" xfId="75" xr:uid="{00000000-0005-0000-0000-00006D010000}"/>
    <cellStyle name="60% - Accent3 2 2 2" xfId="707" xr:uid="{00000000-0005-0000-0000-00006E010000}"/>
    <cellStyle name="60% - Accent3 2 2 2 2" xfId="2137" xr:uid="{00000000-0005-0000-0000-00006F010000}"/>
    <cellStyle name="60% - Accent3 2 2 3" xfId="1244" xr:uid="{00000000-0005-0000-0000-000070010000}"/>
    <cellStyle name="60% - Accent3 2 2 4" xfId="1718" xr:uid="{00000000-0005-0000-0000-000071010000}"/>
    <cellStyle name="60% - Accent3 2 3" xfId="131" xr:uid="{00000000-0005-0000-0000-000072010000}"/>
    <cellStyle name="60% - Accent3 2 3 2" xfId="293" xr:uid="{00000000-0005-0000-0000-000073010000}"/>
    <cellStyle name="60% - Accent3 2 3 2 2" xfId="1439" xr:uid="{00000000-0005-0000-0000-000074010000}"/>
    <cellStyle name="60% - Accent3 2 3 2 2 2" xfId="2328" xr:uid="{00000000-0005-0000-0000-000075010000}"/>
    <cellStyle name="60% - Accent3 2 3 2 3" xfId="1720" xr:uid="{00000000-0005-0000-0000-000076010000}"/>
    <cellStyle name="60% - Accent3 2 3 3" xfId="1264" xr:uid="{00000000-0005-0000-0000-000077010000}"/>
    <cellStyle name="60% - Accent3 2 3 3 2" xfId="2193" xr:uid="{00000000-0005-0000-0000-000078010000}"/>
    <cellStyle name="60% - Accent3 2 3 4" xfId="1719" xr:uid="{00000000-0005-0000-0000-000079010000}"/>
    <cellStyle name="60% - Accent3 2 4" xfId="226" xr:uid="{00000000-0005-0000-0000-00007A010000}"/>
    <cellStyle name="60% - Accent3 2 4 2" xfId="386" xr:uid="{00000000-0005-0000-0000-00007B010000}"/>
    <cellStyle name="60% - Accent3 2 4 2 2" xfId="1534" xr:uid="{00000000-0005-0000-0000-00007C010000}"/>
    <cellStyle name="60% - Accent3 2 4 2 2 2" xfId="2406" xr:uid="{00000000-0005-0000-0000-00007D010000}"/>
    <cellStyle name="60% - Accent3 2 4 2 3" xfId="1722" xr:uid="{00000000-0005-0000-0000-00007E010000}"/>
    <cellStyle name="60% - Accent3 2 4 3" xfId="1622" xr:uid="{00000000-0005-0000-0000-00007F010000}"/>
    <cellStyle name="60% - Accent3 2 4 3 2" xfId="2273" xr:uid="{00000000-0005-0000-0000-000080010000}"/>
    <cellStyle name="60% - Accent3 2 4 4" xfId="1721" xr:uid="{00000000-0005-0000-0000-000081010000}"/>
    <cellStyle name="60% - Accent3 2 5" xfId="706" xr:uid="{00000000-0005-0000-0000-000082010000}"/>
    <cellStyle name="60% - Accent3 2 5 2" xfId="2081" xr:uid="{00000000-0005-0000-0000-000083010000}"/>
    <cellStyle name="60% - Accent3 2 6" xfId="1187" xr:uid="{00000000-0005-0000-0000-000084010000}"/>
    <cellStyle name="60% - Accent3 2 7" xfId="1717" xr:uid="{00000000-0005-0000-0000-000085010000}"/>
    <cellStyle name="60% - Accent4 2" xfId="16" xr:uid="{00000000-0005-0000-0000-000086010000}"/>
    <cellStyle name="60% - Accent4 2 2" xfId="76" xr:uid="{00000000-0005-0000-0000-000087010000}"/>
    <cellStyle name="60% - Accent4 2 2 2" xfId="709" xr:uid="{00000000-0005-0000-0000-000088010000}"/>
    <cellStyle name="60% - Accent4 2 2 2 2" xfId="2138" xr:uid="{00000000-0005-0000-0000-000089010000}"/>
    <cellStyle name="60% - Accent4 2 2 3" xfId="1301" xr:uid="{00000000-0005-0000-0000-00008A010000}"/>
    <cellStyle name="60% - Accent4 2 2 4" xfId="1724" xr:uid="{00000000-0005-0000-0000-00008B010000}"/>
    <cellStyle name="60% - Accent4 2 3" xfId="150" xr:uid="{00000000-0005-0000-0000-00008C010000}"/>
    <cellStyle name="60% - Accent4 2 3 2" xfId="312" xr:uid="{00000000-0005-0000-0000-00008D010000}"/>
    <cellStyle name="60% - Accent4 2 3 2 2" xfId="1497" xr:uid="{00000000-0005-0000-0000-00008E010000}"/>
    <cellStyle name="60% - Accent4 2 3 2 2 2" xfId="2347" xr:uid="{00000000-0005-0000-0000-00008F010000}"/>
    <cellStyle name="60% - Accent4 2 3 2 3" xfId="1726" xr:uid="{00000000-0005-0000-0000-000090010000}"/>
    <cellStyle name="60% - Accent4 2 3 3" xfId="1573" xr:uid="{00000000-0005-0000-0000-000091010000}"/>
    <cellStyle name="60% - Accent4 2 3 3 2" xfId="2212" xr:uid="{00000000-0005-0000-0000-000092010000}"/>
    <cellStyle name="60% - Accent4 2 3 4" xfId="1725" xr:uid="{00000000-0005-0000-0000-000093010000}"/>
    <cellStyle name="60% - Accent4 2 4" xfId="227" xr:uid="{00000000-0005-0000-0000-000094010000}"/>
    <cellStyle name="60% - Accent4 2 4 2" xfId="387" xr:uid="{00000000-0005-0000-0000-000095010000}"/>
    <cellStyle name="60% - Accent4 2 4 2 2" xfId="1333" xr:uid="{00000000-0005-0000-0000-000096010000}"/>
    <cellStyle name="60% - Accent4 2 4 2 2 2" xfId="2407" xr:uid="{00000000-0005-0000-0000-000097010000}"/>
    <cellStyle name="60% - Accent4 2 4 2 3" xfId="1728" xr:uid="{00000000-0005-0000-0000-000098010000}"/>
    <cellStyle name="60% - Accent4 2 4 3" xfId="1572" xr:uid="{00000000-0005-0000-0000-000099010000}"/>
    <cellStyle name="60% - Accent4 2 4 3 2" xfId="2274" xr:uid="{00000000-0005-0000-0000-00009A010000}"/>
    <cellStyle name="60% - Accent4 2 4 4" xfId="1727" xr:uid="{00000000-0005-0000-0000-00009B010000}"/>
    <cellStyle name="60% - Accent4 2 5" xfId="708" xr:uid="{00000000-0005-0000-0000-00009C010000}"/>
    <cellStyle name="60% - Accent4 2 5 2" xfId="2082" xr:uid="{00000000-0005-0000-0000-00009D010000}"/>
    <cellStyle name="60% - Accent4 2 6" xfId="1604" xr:uid="{00000000-0005-0000-0000-00009E010000}"/>
    <cellStyle name="60% - Accent4 2 7" xfId="1723" xr:uid="{00000000-0005-0000-0000-00009F010000}"/>
    <cellStyle name="60% - Accent5 2" xfId="17" xr:uid="{00000000-0005-0000-0000-0000A0010000}"/>
    <cellStyle name="60% - Accent5 2 2" xfId="77" xr:uid="{00000000-0005-0000-0000-0000A1010000}"/>
    <cellStyle name="60% - Accent5 2 2 2" xfId="711" xr:uid="{00000000-0005-0000-0000-0000A2010000}"/>
    <cellStyle name="60% - Accent5 2 2 2 2" xfId="2139" xr:uid="{00000000-0005-0000-0000-0000A3010000}"/>
    <cellStyle name="60% - Accent5 2 2 3" xfId="1282" xr:uid="{00000000-0005-0000-0000-0000A4010000}"/>
    <cellStyle name="60% - Accent5 2 2 4" xfId="1730" xr:uid="{00000000-0005-0000-0000-0000A5010000}"/>
    <cellStyle name="60% - Accent5 2 3" xfId="151" xr:uid="{00000000-0005-0000-0000-0000A6010000}"/>
    <cellStyle name="60% - Accent5 2 3 2" xfId="313" xr:uid="{00000000-0005-0000-0000-0000A7010000}"/>
    <cellStyle name="60% - Accent5 2 3 2 2" xfId="1307" xr:uid="{00000000-0005-0000-0000-0000A8010000}"/>
    <cellStyle name="60% - Accent5 2 3 2 2 2" xfId="2348" xr:uid="{00000000-0005-0000-0000-0000A9010000}"/>
    <cellStyle name="60% - Accent5 2 3 2 3" xfId="1732" xr:uid="{00000000-0005-0000-0000-0000AA010000}"/>
    <cellStyle name="60% - Accent5 2 3 3" xfId="1280" xr:uid="{00000000-0005-0000-0000-0000AB010000}"/>
    <cellStyle name="60% - Accent5 2 3 3 2" xfId="2213" xr:uid="{00000000-0005-0000-0000-0000AC010000}"/>
    <cellStyle name="60% - Accent5 2 3 4" xfId="1731" xr:uid="{00000000-0005-0000-0000-0000AD010000}"/>
    <cellStyle name="60% - Accent5 2 4" xfId="229" xr:uid="{00000000-0005-0000-0000-0000AE010000}"/>
    <cellStyle name="60% - Accent5 2 4 2" xfId="388" xr:uid="{00000000-0005-0000-0000-0000AF010000}"/>
    <cellStyle name="60% - Accent5 2 4 2 2" xfId="1620" xr:uid="{00000000-0005-0000-0000-0000B0010000}"/>
    <cellStyle name="60% - Accent5 2 4 2 2 2" xfId="2408" xr:uid="{00000000-0005-0000-0000-0000B1010000}"/>
    <cellStyle name="60% - Accent5 2 4 2 3" xfId="1734" xr:uid="{00000000-0005-0000-0000-0000B2010000}"/>
    <cellStyle name="60% - Accent5 2 4 3" xfId="1344" xr:uid="{00000000-0005-0000-0000-0000B3010000}"/>
    <cellStyle name="60% - Accent5 2 4 3 2" xfId="2276" xr:uid="{00000000-0005-0000-0000-0000B4010000}"/>
    <cellStyle name="60% - Accent5 2 4 4" xfId="1733" xr:uid="{00000000-0005-0000-0000-0000B5010000}"/>
    <cellStyle name="60% - Accent5 2 5" xfId="710" xr:uid="{00000000-0005-0000-0000-0000B6010000}"/>
    <cellStyle name="60% - Accent5 2 5 2" xfId="2083" xr:uid="{00000000-0005-0000-0000-0000B7010000}"/>
    <cellStyle name="60% - Accent5 2 6" xfId="1362" xr:uid="{00000000-0005-0000-0000-0000B8010000}"/>
    <cellStyle name="60% - Accent5 2 7" xfId="1729" xr:uid="{00000000-0005-0000-0000-0000B9010000}"/>
    <cellStyle name="60% - Accent6 2" xfId="18" xr:uid="{00000000-0005-0000-0000-0000BA010000}"/>
    <cellStyle name="60% - Accent6 2 2" xfId="78" xr:uid="{00000000-0005-0000-0000-0000BB010000}"/>
    <cellStyle name="60% - Accent6 2 2 2" xfId="713" xr:uid="{00000000-0005-0000-0000-0000BC010000}"/>
    <cellStyle name="60% - Accent6 2 2 2 2" xfId="2140" xr:uid="{00000000-0005-0000-0000-0000BD010000}"/>
    <cellStyle name="60% - Accent6 2 2 3" xfId="1517" xr:uid="{00000000-0005-0000-0000-0000BE010000}"/>
    <cellStyle name="60% - Accent6 2 2 4" xfId="1736" xr:uid="{00000000-0005-0000-0000-0000BF010000}"/>
    <cellStyle name="60% - Accent6 2 3" xfId="152" xr:uid="{00000000-0005-0000-0000-0000C0010000}"/>
    <cellStyle name="60% - Accent6 2 3 2" xfId="314" xr:uid="{00000000-0005-0000-0000-0000C1010000}"/>
    <cellStyle name="60% - Accent6 2 3 2 2" xfId="1245" xr:uid="{00000000-0005-0000-0000-0000C2010000}"/>
    <cellStyle name="60% - Accent6 2 3 2 2 2" xfId="2349" xr:uid="{00000000-0005-0000-0000-0000C3010000}"/>
    <cellStyle name="60% - Accent6 2 3 2 3" xfId="1738" xr:uid="{00000000-0005-0000-0000-0000C4010000}"/>
    <cellStyle name="60% - Accent6 2 3 3" xfId="1546" xr:uid="{00000000-0005-0000-0000-0000C5010000}"/>
    <cellStyle name="60% - Accent6 2 3 3 2" xfId="2214" xr:uid="{00000000-0005-0000-0000-0000C6010000}"/>
    <cellStyle name="60% - Accent6 2 3 4" xfId="1737" xr:uid="{00000000-0005-0000-0000-0000C7010000}"/>
    <cellStyle name="60% - Accent6 2 4" xfId="230" xr:uid="{00000000-0005-0000-0000-0000C8010000}"/>
    <cellStyle name="60% - Accent6 2 4 2" xfId="389" xr:uid="{00000000-0005-0000-0000-0000C9010000}"/>
    <cellStyle name="60% - Accent6 2 4 2 2" xfId="1469" xr:uid="{00000000-0005-0000-0000-0000CA010000}"/>
    <cellStyle name="60% - Accent6 2 4 2 2 2" xfId="2409" xr:uid="{00000000-0005-0000-0000-0000CB010000}"/>
    <cellStyle name="60% - Accent6 2 4 2 3" xfId="1740" xr:uid="{00000000-0005-0000-0000-0000CC010000}"/>
    <cellStyle name="60% - Accent6 2 4 3" xfId="1442" xr:uid="{00000000-0005-0000-0000-0000CD010000}"/>
    <cellStyle name="60% - Accent6 2 4 3 2" xfId="2277" xr:uid="{00000000-0005-0000-0000-0000CE010000}"/>
    <cellStyle name="60% - Accent6 2 4 4" xfId="1739" xr:uid="{00000000-0005-0000-0000-0000CF010000}"/>
    <cellStyle name="60% - Accent6 2 5" xfId="712" xr:uid="{00000000-0005-0000-0000-0000D0010000}"/>
    <cellStyle name="60% - Accent6 2 5 2" xfId="2084" xr:uid="{00000000-0005-0000-0000-0000D1010000}"/>
    <cellStyle name="60% - Accent6 2 6" xfId="1225" xr:uid="{00000000-0005-0000-0000-0000D2010000}"/>
    <cellStyle name="60% - Accent6 2 7" xfId="1735" xr:uid="{00000000-0005-0000-0000-0000D3010000}"/>
    <cellStyle name="Accent1 2" xfId="19" xr:uid="{00000000-0005-0000-0000-0000D4010000}"/>
    <cellStyle name="Accent1 2 2" xfId="79" xr:uid="{00000000-0005-0000-0000-0000D5010000}"/>
    <cellStyle name="Accent1 2 2 2" xfId="715" xr:uid="{00000000-0005-0000-0000-0000D6010000}"/>
    <cellStyle name="Accent1 2 2 2 2" xfId="2141" xr:uid="{00000000-0005-0000-0000-0000D7010000}"/>
    <cellStyle name="Accent1 2 2 3" xfId="1621" xr:uid="{00000000-0005-0000-0000-0000D8010000}"/>
    <cellStyle name="Accent1 2 2 4" xfId="1742" xr:uid="{00000000-0005-0000-0000-0000D9010000}"/>
    <cellStyle name="Accent1 2 3" xfId="153" xr:uid="{00000000-0005-0000-0000-0000DA010000}"/>
    <cellStyle name="Accent1 2 3 2" xfId="315" xr:uid="{00000000-0005-0000-0000-0000DB010000}"/>
    <cellStyle name="Accent1 2 3 2 2" xfId="1575" xr:uid="{00000000-0005-0000-0000-0000DC010000}"/>
    <cellStyle name="Accent1 2 3 2 2 2" xfId="2350" xr:uid="{00000000-0005-0000-0000-0000DD010000}"/>
    <cellStyle name="Accent1 2 3 2 3" xfId="1744" xr:uid="{00000000-0005-0000-0000-0000DE010000}"/>
    <cellStyle name="Accent1 2 3 3" xfId="1166" xr:uid="{00000000-0005-0000-0000-0000DF010000}"/>
    <cellStyle name="Accent1 2 3 3 2" xfId="2215" xr:uid="{00000000-0005-0000-0000-0000E0010000}"/>
    <cellStyle name="Accent1 2 3 4" xfId="1743" xr:uid="{00000000-0005-0000-0000-0000E1010000}"/>
    <cellStyle name="Accent1 2 4" xfId="206" xr:uid="{00000000-0005-0000-0000-0000E2010000}"/>
    <cellStyle name="Accent1 2 4 2" xfId="367" xr:uid="{00000000-0005-0000-0000-0000E3010000}"/>
    <cellStyle name="Accent1 2 4 2 2" xfId="1451" xr:uid="{00000000-0005-0000-0000-0000E4010000}"/>
    <cellStyle name="Accent1 2 4 2 2 2" xfId="2387" xr:uid="{00000000-0005-0000-0000-0000E5010000}"/>
    <cellStyle name="Accent1 2 4 2 3" xfId="1746" xr:uid="{00000000-0005-0000-0000-0000E6010000}"/>
    <cellStyle name="Accent1 2 4 3" xfId="1467" xr:uid="{00000000-0005-0000-0000-0000E7010000}"/>
    <cellStyle name="Accent1 2 4 3 2" xfId="2253" xr:uid="{00000000-0005-0000-0000-0000E8010000}"/>
    <cellStyle name="Accent1 2 4 4" xfId="1745" xr:uid="{00000000-0005-0000-0000-0000E9010000}"/>
    <cellStyle name="Accent1 2 5" xfId="714" xr:uid="{00000000-0005-0000-0000-0000EA010000}"/>
    <cellStyle name="Accent1 2 5 2" xfId="2085" xr:uid="{00000000-0005-0000-0000-0000EB010000}"/>
    <cellStyle name="Accent1 2 6" xfId="1263" xr:uid="{00000000-0005-0000-0000-0000EC010000}"/>
    <cellStyle name="Accent1 2 7" xfId="1741" xr:uid="{00000000-0005-0000-0000-0000ED010000}"/>
    <cellStyle name="Accent2 2" xfId="20" xr:uid="{00000000-0005-0000-0000-0000EE010000}"/>
    <cellStyle name="Accent2 2 2" xfId="80" xr:uid="{00000000-0005-0000-0000-0000EF010000}"/>
    <cellStyle name="Accent2 2 2 2" xfId="717" xr:uid="{00000000-0005-0000-0000-0000F0010000}"/>
    <cellStyle name="Accent2 2 2 2 2" xfId="2142" xr:uid="{00000000-0005-0000-0000-0000F1010000}"/>
    <cellStyle name="Accent2 2 2 3" xfId="1356" xr:uid="{00000000-0005-0000-0000-0000F2010000}"/>
    <cellStyle name="Accent2 2 2 4" xfId="1748" xr:uid="{00000000-0005-0000-0000-0000F3010000}"/>
    <cellStyle name="Accent2 2 3" xfId="154" xr:uid="{00000000-0005-0000-0000-0000F4010000}"/>
    <cellStyle name="Accent2 2 3 2" xfId="316" xr:uid="{00000000-0005-0000-0000-0000F5010000}"/>
    <cellStyle name="Accent2 2 3 2 2" xfId="1161" xr:uid="{00000000-0005-0000-0000-0000F6010000}"/>
    <cellStyle name="Accent2 2 3 2 2 2" xfId="2351" xr:uid="{00000000-0005-0000-0000-0000F7010000}"/>
    <cellStyle name="Accent2 2 3 2 3" xfId="1750" xr:uid="{00000000-0005-0000-0000-0000F8010000}"/>
    <cellStyle name="Accent2 2 3 3" xfId="1390" xr:uid="{00000000-0005-0000-0000-0000F9010000}"/>
    <cellStyle name="Accent2 2 3 3 2" xfId="2216" xr:uid="{00000000-0005-0000-0000-0000FA010000}"/>
    <cellStyle name="Accent2 2 3 4" xfId="1749" xr:uid="{00000000-0005-0000-0000-0000FB010000}"/>
    <cellStyle name="Accent2 2 4" xfId="231" xr:uid="{00000000-0005-0000-0000-0000FC010000}"/>
    <cellStyle name="Accent2 2 4 2" xfId="390" xr:uid="{00000000-0005-0000-0000-0000FD010000}"/>
    <cellStyle name="Accent2 2 4 2 2" xfId="1286" xr:uid="{00000000-0005-0000-0000-0000FE010000}"/>
    <cellStyle name="Accent2 2 4 2 2 2" xfId="2410" xr:uid="{00000000-0005-0000-0000-0000FF010000}"/>
    <cellStyle name="Accent2 2 4 2 3" xfId="1752" xr:uid="{00000000-0005-0000-0000-000000020000}"/>
    <cellStyle name="Accent2 2 4 3" xfId="1475" xr:uid="{00000000-0005-0000-0000-000001020000}"/>
    <cellStyle name="Accent2 2 4 3 2" xfId="2278" xr:uid="{00000000-0005-0000-0000-000002020000}"/>
    <cellStyle name="Accent2 2 4 4" xfId="1751" xr:uid="{00000000-0005-0000-0000-000003020000}"/>
    <cellStyle name="Accent2 2 5" xfId="716" xr:uid="{00000000-0005-0000-0000-000004020000}"/>
    <cellStyle name="Accent2 2 5 2" xfId="2086" xr:uid="{00000000-0005-0000-0000-000005020000}"/>
    <cellStyle name="Accent2 2 6" xfId="1233" xr:uid="{00000000-0005-0000-0000-000006020000}"/>
    <cellStyle name="Accent2 2 7" xfId="1747" xr:uid="{00000000-0005-0000-0000-000007020000}"/>
    <cellStyle name="Accent3 2" xfId="21" xr:uid="{00000000-0005-0000-0000-000008020000}"/>
    <cellStyle name="Accent3 2 2" xfId="81" xr:uid="{00000000-0005-0000-0000-000009020000}"/>
    <cellStyle name="Accent3 2 2 2" xfId="719" xr:uid="{00000000-0005-0000-0000-00000A020000}"/>
    <cellStyle name="Accent3 2 2 2 2" xfId="2143" xr:uid="{00000000-0005-0000-0000-00000B020000}"/>
    <cellStyle name="Accent3 2 2 3" xfId="1478" xr:uid="{00000000-0005-0000-0000-00000C020000}"/>
    <cellStyle name="Accent3 2 2 4" xfId="1754" xr:uid="{00000000-0005-0000-0000-00000D020000}"/>
    <cellStyle name="Accent3 2 3" xfId="155" xr:uid="{00000000-0005-0000-0000-00000E020000}"/>
    <cellStyle name="Accent3 2 3 2" xfId="317" xr:uid="{00000000-0005-0000-0000-00000F020000}"/>
    <cellStyle name="Accent3 2 3 2 2" xfId="1173" xr:uid="{00000000-0005-0000-0000-000010020000}"/>
    <cellStyle name="Accent3 2 3 2 2 2" xfId="2352" xr:uid="{00000000-0005-0000-0000-000011020000}"/>
    <cellStyle name="Accent3 2 3 2 3" xfId="1756" xr:uid="{00000000-0005-0000-0000-000012020000}"/>
    <cellStyle name="Accent3 2 3 3" xfId="1584" xr:uid="{00000000-0005-0000-0000-000013020000}"/>
    <cellStyle name="Accent3 2 3 3 2" xfId="2217" xr:uid="{00000000-0005-0000-0000-000014020000}"/>
    <cellStyle name="Accent3 2 3 4" xfId="1755" xr:uid="{00000000-0005-0000-0000-000015020000}"/>
    <cellStyle name="Accent3 2 4" xfId="232" xr:uid="{00000000-0005-0000-0000-000016020000}"/>
    <cellStyle name="Accent3 2 4 2" xfId="391" xr:uid="{00000000-0005-0000-0000-000017020000}"/>
    <cellStyle name="Accent3 2 4 2 2" xfId="1183" xr:uid="{00000000-0005-0000-0000-000018020000}"/>
    <cellStyle name="Accent3 2 4 2 2 2" xfId="2411" xr:uid="{00000000-0005-0000-0000-000019020000}"/>
    <cellStyle name="Accent3 2 4 2 3" xfId="1758" xr:uid="{00000000-0005-0000-0000-00001A020000}"/>
    <cellStyle name="Accent3 2 4 3" xfId="1217" xr:uid="{00000000-0005-0000-0000-00001B020000}"/>
    <cellStyle name="Accent3 2 4 3 2" xfId="2279" xr:uid="{00000000-0005-0000-0000-00001C020000}"/>
    <cellStyle name="Accent3 2 4 4" xfId="1757" xr:uid="{00000000-0005-0000-0000-00001D020000}"/>
    <cellStyle name="Accent3 2 5" xfId="718" xr:uid="{00000000-0005-0000-0000-00001E020000}"/>
    <cellStyle name="Accent3 2 5 2" xfId="2087" xr:uid="{00000000-0005-0000-0000-00001F020000}"/>
    <cellStyle name="Accent3 2 6" xfId="1316" xr:uid="{00000000-0005-0000-0000-000020020000}"/>
    <cellStyle name="Accent3 2 7" xfId="1753" xr:uid="{00000000-0005-0000-0000-000021020000}"/>
    <cellStyle name="Accent4 2" xfId="22" xr:uid="{00000000-0005-0000-0000-000022020000}"/>
    <cellStyle name="Accent4 2 2" xfId="82" xr:uid="{00000000-0005-0000-0000-000023020000}"/>
    <cellStyle name="Accent4 2 2 2" xfId="721" xr:uid="{00000000-0005-0000-0000-000024020000}"/>
    <cellStyle name="Accent4 2 2 2 2" xfId="2144" xr:uid="{00000000-0005-0000-0000-000025020000}"/>
    <cellStyle name="Accent4 2 2 3" xfId="1554" xr:uid="{00000000-0005-0000-0000-000026020000}"/>
    <cellStyle name="Accent4 2 2 4" xfId="1760" xr:uid="{00000000-0005-0000-0000-000027020000}"/>
    <cellStyle name="Accent4 2 3" xfId="135" xr:uid="{00000000-0005-0000-0000-000028020000}"/>
    <cellStyle name="Accent4 2 3 2" xfId="297" xr:uid="{00000000-0005-0000-0000-000029020000}"/>
    <cellStyle name="Accent4 2 3 2 2" xfId="1506" xr:uid="{00000000-0005-0000-0000-00002A020000}"/>
    <cellStyle name="Accent4 2 3 2 2 2" xfId="2332" xr:uid="{00000000-0005-0000-0000-00002B020000}"/>
    <cellStyle name="Accent4 2 3 2 3" xfId="1762" xr:uid="{00000000-0005-0000-0000-00002C020000}"/>
    <cellStyle name="Accent4 2 3 3" xfId="1406" xr:uid="{00000000-0005-0000-0000-00002D020000}"/>
    <cellStyle name="Accent4 2 3 3 2" xfId="2197" xr:uid="{00000000-0005-0000-0000-00002E020000}"/>
    <cellStyle name="Accent4 2 3 4" xfId="1761" xr:uid="{00000000-0005-0000-0000-00002F020000}"/>
    <cellStyle name="Accent4 2 4" xfId="233" xr:uid="{00000000-0005-0000-0000-000030020000}"/>
    <cellStyle name="Accent4 2 4 2" xfId="392" xr:uid="{00000000-0005-0000-0000-000031020000}"/>
    <cellStyle name="Accent4 2 4 2 2" xfId="1615" xr:uid="{00000000-0005-0000-0000-000032020000}"/>
    <cellStyle name="Accent4 2 4 2 2 2" xfId="2412" xr:uid="{00000000-0005-0000-0000-000033020000}"/>
    <cellStyle name="Accent4 2 4 2 3" xfId="1764" xr:uid="{00000000-0005-0000-0000-000034020000}"/>
    <cellStyle name="Accent4 2 4 3" xfId="1342" xr:uid="{00000000-0005-0000-0000-000035020000}"/>
    <cellStyle name="Accent4 2 4 3 2" xfId="2280" xr:uid="{00000000-0005-0000-0000-000036020000}"/>
    <cellStyle name="Accent4 2 4 4" xfId="1763" xr:uid="{00000000-0005-0000-0000-000037020000}"/>
    <cellStyle name="Accent4 2 5" xfId="720" xr:uid="{00000000-0005-0000-0000-000038020000}"/>
    <cellStyle name="Accent4 2 5 2" xfId="2088" xr:uid="{00000000-0005-0000-0000-000039020000}"/>
    <cellStyle name="Accent4 2 6" xfId="1398" xr:uid="{00000000-0005-0000-0000-00003A020000}"/>
    <cellStyle name="Accent4 2 7" xfId="1759" xr:uid="{00000000-0005-0000-0000-00003B020000}"/>
    <cellStyle name="Accent5 2" xfId="23" xr:uid="{00000000-0005-0000-0000-00003C020000}"/>
    <cellStyle name="Accent5 2 2" xfId="83" xr:uid="{00000000-0005-0000-0000-00003D020000}"/>
    <cellStyle name="Accent5 2 2 2" xfId="723" xr:uid="{00000000-0005-0000-0000-00003E020000}"/>
    <cellStyle name="Accent5 2 2 2 2" xfId="2145" xr:uid="{00000000-0005-0000-0000-00003F020000}"/>
    <cellStyle name="Accent5 2 2 3" xfId="1367" xr:uid="{00000000-0005-0000-0000-000040020000}"/>
    <cellStyle name="Accent5 2 2 4" xfId="1766" xr:uid="{00000000-0005-0000-0000-000041020000}"/>
    <cellStyle name="Accent5 2 3" xfId="156" xr:uid="{00000000-0005-0000-0000-000042020000}"/>
    <cellStyle name="Accent5 2 3 2" xfId="318" xr:uid="{00000000-0005-0000-0000-000043020000}"/>
    <cellStyle name="Accent5 2 3 2 2" xfId="1188" xr:uid="{00000000-0005-0000-0000-000044020000}"/>
    <cellStyle name="Accent5 2 3 2 2 2" xfId="2353" xr:uid="{00000000-0005-0000-0000-000045020000}"/>
    <cellStyle name="Accent5 2 3 2 3" xfId="1768" xr:uid="{00000000-0005-0000-0000-000046020000}"/>
    <cellStyle name="Accent5 2 3 3" xfId="1384" xr:uid="{00000000-0005-0000-0000-000047020000}"/>
    <cellStyle name="Accent5 2 3 3 2" xfId="2218" xr:uid="{00000000-0005-0000-0000-000048020000}"/>
    <cellStyle name="Accent5 2 3 4" xfId="1767" xr:uid="{00000000-0005-0000-0000-000049020000}"/>
    <cellStyle name="Accent5 2 4" xfId="234" xr:uid="{00000000-0005-0000-0000-00004A020000}"/>
    <cellStyle name="Accent5 2 4 2" xfId="393" xr:uid="{00000000-0005-0000-0000-00004B020000}"/>
    <cellStyle name="Accent5 2 4 2 2" xfId="1618" xr:uid="{00000000-0005-0000-0000-00004C020000}"/>
    <cellStyle name="Accent5 2 4 2 2 2" xfId="2413" xr:uid="{00000000-0005-0000-0000-00004D020000}"/>
    <cellStyle name="Accent5 2 4 2 3" xfId="1770" xr:uid="{00000000-0005-0000-0000-00004E020000}"/>
    <cellStyle name="Accent5 2 4 3" xfId="1246" xr:uid="{00000000-0005-0000-0000-00004F020000}"/>
    <cellStyle name="Accent5 2 4 3 2" xfId="2281" xr:uid="{00000000-0005-0000-0000-000050020000}"/>
    <cellStyle name="Accent5 2 4 4" xfId="1769" xr:uid="{00000000-0005-0000-0000-000051020000}"/>
    <cellStyle name="Accent5 2 5" xfId="722" xr:uid="{00000000-0005-0000-0000-000052020000}"/>
    <cellStyle name="Accent5 2 5 2" xfId="2089" xr:uid="{00000000-0005-0000-0000-000053020000}"/>
    <cellStyle name="Accent5 2 6" xfId="1167" xr:uid="{00000000-0005-0000-0000-000054020000}"/>
    <cellStyle name="Accent5 2 7" xfId="1765" xr:uid="{00000000-0005-0000-0000-000055020000}"/>
    <cellStyle name="Accent6 2" xfId="24" xr:uid="{00000000-0005-0000-0000-000056020000}"/>
    <cellStyle name="Accent6 2 2" xfId="84" xr:uid="{00000000-0005-0000-0000-000057020000}"/>
    <cellStyle name="Accent6 2 2 2" xfId="725" xr:uid="{00000000-0005-0000-0000-000058020000}"/>
    <cellStyle name="Accent6 2 2 2 2" xfId="2146" xr:uid="{00000000-0005-0000-0000-000059020000}"/>
    <cellStyle name="Accent6 2 2 3" xfId="1574" xr:uid="{00000000-0005-0000-0000-00005A020000}"/>
    <cellStyle name="Accent6 2 2 4" xfId="1772" xr:uid="{00000000-0005-0000-0000-00005B020000}"/>
    <cellStyle name="Accent6 2 3" xfId="157" xr:uid="{00000000-0005-0000-0000-00005C020000}"/>
    <cellStyle name="Accent6 2 3 2" xfId="319" xr:uid="{00000000-0005-0000-0000-00005D020000}"/>
    <cellStyle name="Accent6 2 3 2 2" xfId="1525" xr:uid="{00000000-0005-0000-0000-00005E020000}"/>
    <cellStyle name="Accent6 2 3 2 2 2" xfId="2354" xr:uid="{00000000-0005-0000-0000-00005F020000}"/>
    <cellStyle name="Accent6 2 3 2 3" xfId="1774" xr:uid="{00000000-0005-0000-0000-000060020000}"/>
    <cellStyle name="Accent6 2 3 3" xfId="1335" xr:uid="{00000000-0005-0000-0000-000061020000}"/>
    <cellStyle name="Accent6 2 3 3 2" xfId="2219" xr:uid="{00000000-0005-0000-0000-000062020000}"/>
    <cellStyle name="Accent6 2 3 4" xfId="1773" xr:uid="{00000000-0005-0000-0000-000063020000}"/>
    <cellStyle name="Accent6 2 4" xfId="245" xr:uid="{00000000-0005-0000-0000-000064020000}"/>
    <cellStyle name="Accent6 2 4 2" xfId="401" xr:uid="{00000000-0005-0000-0000-000065020000}"/>
    <cellStyle name="Accent6 2 4 2 2" xfId="1212" xr:uid="{00000000-0005-0000-0000-000066020000}"/>
    <cellStyle name="Accent6 2 4 2 2 2" xfId="2420" xr:uid="{00000000-0005-0000-0000-000067020000}"/>
    <cellStyle name="Accent6 2 4 2 3" xfId="1776" xr:uid="{00000000-0005-0000-0000-000068020000}"/>
    <cellStyle name="Accent6 2 4 3" xfId="1306" xr:uid="{00000000-0005-0000-0000-000069020000}"/>
    <cellStyle name="Accent6 2 4 3 2" xfId="2290" xr:uid="{00000000-0005-0000-0000-00006A020000}"/>
    <cellStyle name="Accent6 2 4 4" xfId="1775" xr:uid="{00000000-0005-0000-0000-00006B020000}"/>
    <cellStyle name="Accent6 2 5" xfId="724" xr:uid="{00000000-0005-0000-0000-00006C020000}"/>
    <cellStyle name="Accent6 2 5 2" xfId="2090" xr:uid="{00000000-0005-0000-0000-00006D020000}"/>
    <cellStyle name="Accent6 2 6" xfId="1460" xr:uid="{00000000-0005-0000-0000-00006E020000}"/>
    <cellStyle name="Accent6 2 7" xfId="1771" xr:uid="{00000000-0005-0000-0000-00006F020000}"/>
    <cellStyle name="Bad 2" xfId="25" xr:uid="{00000000-0005-0000-0000-000070020000}"/>
    <cellStyle name="Bad 2 2" xfId="85" xr:uid="{00000000-0005-0000-0000-000071020000}"/>
    <cellStyle name="Bad 2 2 2" xfId="727" xr:uid="{00000000-0005-0000-0000-000072020000}"/>
    <cellStyle name="Bad 2 2 2 2" xfId="2147" xr:uid="{00000000-0005-0000-0000-000073020000}"/>
    <cellStyle name="Bad 2 2 3" xfId="1531" xr:uid="{00000000-0005-0000-0000-000074020000}"/>
    <cellStyle name="Bad 2 2 4" xfId="1778" xr:uid="{00000000-0005-0000-0000-000075020000}"/>
    <cellStyle name="Bad 2 3" xfId="158" xr:uid="{00000000-0005-0000-0000-000076020000}"/>
    <cellStyle name="Bad 2 3 2" xfId="320" xr:uid="{00000000-0005-0000-0000-000077020000}"/>
    <cellStyle name="Bad 2 3 2 2" xfId="1448" xr:uid="{00000000-0005-0000-0000-000078020000}"/>
    <cellStyle name="Bad 2 3 2 2 2" xfId="2355" xr:uid="{00000000-0005-0000-0000-000079020000}"/>
    <cellStyle name="Bad 2 3 2 3" xfId="1780" xr:uid="{00000000-0005-0000-0000-00007A020000}"/>
    <cellStyle name="Bad 2 3 3" xfId="1313" xr:uid="{00000000-0005-0000-0000-00007B020000}"/>
    <cellStyle name="Bad 2 3 3 2" xfId="2220" xr:uid="{00000000-0005-0000-0000-00007C020000}"/>
    <cellStyle name="Bad 2 3 4" xfId="1779" xr:uid="{00000000-0005-0000-0000-00007D020000}"/>
    <cellStyle name="Bad 2 4" xfId="235" xr:uid="{00000000-0005-0000-0000-00007E020000}"/>
    <cellStyle name="Bad 2 4 2" xfId="394" xr:uid="{00000000-0005-0000-0000-00007F020000}"/>
    <cellStyle name="Bad 2 4 2 2" xfId="1479" xr:uid="{00000000-0005-0000-0000-000080020000}"/>
    <cellStyle name="Bad 2 4 2 2 2" xfId="2414" xr:uid="{00000000-0005-0000-0000-000081020000}"/>
    <cellStyle name="Bad 2 4 2 3" xfId="1782" xr:uid="{00000000-0005-0000-0000-000082020000}"/>
    <cellStyle name="Bad 2 4 3" xfId="1317" xr:uid="{00000000-0005-0000-0000-000083020000}"/>
    <cellStyle name="Bad 2 4 3 2" xfId="2282" xr:uid="{00000000-0005-0000-0000-000084020000}"/>
    <cellStyle name="Bad 2 4 4" xfId="1781" xr:uid="{00000000-0005-0000-0000-000085020000}"/>
    <cellStyle name="Bad 2 5" xfId="726" xr:uid="{00000000-0005-0000-0000-000086020000}"/>
    <cellStyle name="Bad 2 5 2" xfId="2091" xr:uid="{00000000-0005-0000-0000-000087020000}"/>
    <cellStyle name="Bad 2 6" xfId="1236" xr:uid="{00000000-0005-0000-0000-000088020000}"/>
    <cellStyle name="Bad 2 7" xfId="1777" xr:uid="{00000000-0005-0000-0000-000089020000}"/>
    <cellStyle name="Calculation 2" xfId="26" xr:uid="{00000000-0005-0000-0000-00008A020000}"/>
    <cellStyle name="Calculation 2 10" xfId="1619" xr:uid="{00000000-0005-0000-0000-00008B020000}"/>
    <cellStyle name="Calculation 2 11" xfId="1783" xr:uid="{00000000-0005-0000-0000-00008C020000}"/>
    <cellStyle name="Calculation 2 2" xfId="86" xr:uid="{00000000-0005-0000-0000-00008D020000}"/>
    <cellStyle name="Calculation 2 2 2" xfId="276" xr:uid="{00000000-0005-0000-0000-00008E020000}"/>
    <cellStyle name="Calculation 2 2 2 2" xfId="425" xr:uid="{00000000-0005-0000-0000-00008F020000}"/>
    <cellStyle name="Calculation 2 2 2 3" xfId="1153" xr:uid="{00000000-0005-0000-0000-000090020000}"/>
    <cellStyle name="Calculation 2 2 2 4" xfId="1785" xr:uid="{00000000-0005-0000-0000-000091020000}"/>
    <cellStyle name="Calculation 2 2 3" xfId="729" xr:uid="{00000000-0005-0000-0000-000092020000}"/>
    <cellStyle name="Calculation 2 2 3 2" xfId="2148" xr:uid="{00000000-0005-0000-0000-000093020000}"/>
    <cellStyle name="Calculation 2 2 4" xfId="1298" xr:uid="{00000000-0005-0000-0000-000094020000}"/>
    <cellStyle name="Calculation 2 2 5" xfId="1784" xr:uid="{00000000-0005-0000-0000-000095020000}"/>
    <cellStyle name="Calculation 2 3" xfId="159" xr:uid="{00000000-0005-0000-0000-000096020000}"/>
    <cellStyle name="Calculation 2 3 2" xfId="321" xr:uid="{00000000-0005-0000-0000-000097020000}"/>
    <cellStyle name="Calculation 2 3 2 2" xfId="427" xr:uid="{00000000-0005-0000-0000-000098020000}"/>
    <cellStyle name="Calculation 2 3 2 3" xfId="1399" xr:uid="{00000000-0005-0000-0000-000099020000}"/>
    <cellStyle name="Calculation 2 3 2 4" xfId="1787" xr:uid="{00000000-0005-0000-0000-00009A020000}"/>
    <cellStyle name="Calculation 2 3 3" xfId="426" xr:uid="{00000000-0005-0000-0000-00009B020000}"/>
    <cellStyle name="Calculation 2 3 4" xfId="1178" xr:uid="{00000000-0005-0000-0000-00009C020000}"/>
    <cellStyle name="Calculation 2 3 5" xfId="1786" xr:uid="{00000000-0005-0000-0000-00009D020000}"/>
    <cellStyle name="Calculation 2 4" xfId="189" xr:uid="{00000000-0005-0000-0000-00009E020000}"/>
    <cellStyle name="Calculation 2 4 2" xfId="351" xr:uid="{00000000-0005-0000-0000-00009F020000}"/>
    <cellStyle name="Calculation 2 4 2 2" xfId="429" xr:uid="{00000000-0005-0000-0000-0000A0020000}"/>
    <cellStyle name="Calculation 2 4 2 2 2" xfId="2377" xr:uid="{00000000-0005-0000-0000-0000A1020000}"/>
    <cellStyle name="Calculation 2 4 2 3" xfId="1562" xr:uid="{00000000-0005-0000-0000-0000A2020000}"/>
    <cellStyle name="Calculation 2 4 2 4" xfId="1789" xr:uid="{00000000-0005-0000-0000-0000A3020000}"/>
    <cellStyle name="Calculation 2 4 3" xfId="428" xr:uid="{00000000-0005-0000-0000-0000A4020000}"/>
    <cellStyle name="Calculation 2 4 3 2" xfId="2242" xr:uid="{00000000-0005-0000-0000-0000A5020000}"/>
    <cellStyle name="Calculation 2 4 4" xfId="1555" xr:uid="{00000000-0005-0000-0000-0000A6020000}"/>
    <cellStyle name="Calculation 2 4 5" xfId="1788" xr:uid="{00000000-0005-0000-0000-0000A7020000}"/>
    <cellStyle name="Calculation 2 5" xfId="187" xr:uid="{00000000-0005-0000-0000-0000A8020000}"/>
    <cellStyle name="Calculation 2 5 2" xfId="349" xr:uid="{00000000-0005-0000-0000-0000A9020000}"/>
    <cellStyle name="Calculation 2 5 2 2" xfId="431" xr:uid="{00000000-0005-0000-0000-0000AA020000}"/>
    <cellStyle name="Calculation 2 5 2 3" xfId="1617" xr:uid="{00000000-0005-0000-0000-0000AB020000}"/>
    <cellStyle name="Calculation 2 5 2 4" xfId="1791" xr:uid="{00000000-0005-0000-0000-0000AC020000}"/>
    <cellStyle name="Calculation 2 5 3" xfId="430" xr:uid="{00000000-0005-0000-0000-0000AD020000}"/>
    <cellStyle name="Calculation 2 5 4" xfId="1504" xr:uid="{00000000-0005-0000-0000-0000AE020000}"/>
    <cellStyle name="Calculation 2 5 5" xfId="1790" xr:uid="{00000000-0005-0000-0000-0000AF020000}"/>
    <cellStyle name="Calculation 2 6" xfId="190" xr:uid="{00000000-0005-0000-0000-0000B0020000}"/>
    <cellStyle name="Calculation 2 6 2" xfId="352" xr:uid="{00000000-0005-0000-0000-0000B1020000}"/>
    <cellStyle name="Calculation 2 6 2 2" xfId="433" xr:uid="{00000000-0005-0000-0000-0000B2020000}"/>
    <cellStyle name="Calculation 2 6 2 3" xfId="1291" xr:uid="{00000000-0005-0000-0000-0000B3020000}"/>
    <cellStyle name="Calculation 2 6 2 4" xfId="1793" xr:uid="{00000000-0005-0000-0000-0000B4020000}"/>
    <cellStyle name="Calculation 2 6 3" xfId="432" xr:uid="{00000000-0005-0000-0000-0000B5020000}"/>
    <cellStyle name="Calculation 2 6 4" xfId="1376" xr:uid="{00000000-0005-0000-0000-0000B6020000}"/>
    <cellStyle name="Calculation 2 6 5" xfId="1792" xr:uid="{00000000-0005-0000-0000-0000B7020000}"/>
    <cellStyle name="Calculation 2 7" xfId="219" xr:uid="{00000000-0005-0000-0000-0000B8020000}"/>
    <cellStyle name="Calculation 2 7 2" xfId="434" xr:uid="{00000000-0005-0000-0000-0000B9020000}"/>
    <cellStyle name="Calculation 2 7 2 2" xfId="2266" xr:uid="{00000000-0005-0000-0000-0000BA020000}"/>
    <cellStyle name="Calculation 2 7 3" xfId="1308" xr:uid="{00000000-0005-0000-0000-0000BB020000}"/>
    <cellStyle name="Calculation 2 7 4" xfId="1794" xr:uid="{00000000-0005-0000-0000-0000BC020000}"/>
    <cellStyle name="Calculation 2 8" xfId="236" xr:uid="{00000000-0005-0000-0000-0000BD020000}"/>
    <cellStyle name="Calculation 2 8 2" xfId="395" xr:uid="{00000000-0005-0000-0000-0000BE020000}"/>
    <cellStyle name="Calculation 2 8 2 2" xfId="436" xr:uid="{00000000-0005-0000-0000-0000BF020000}"/>
    <cellStyle name="Calculation 2 8 2 3" xfId="1386" xr:uid="{00000000-0005-0000-0000-0000C0020000}"/>
    <cellStyle name="Calculation 2 8 2 4" xfId="1796" xr:uid="{00000000-0005-0000-0000-0000C1020000}"/>
    <cellStyle name="Calculation 2 8 3" xfId="435" xr:uid="{00000000-0005-0000-0000-0000C2020000}"/>
    <cellStyle name="Calculation 2 8 4" xfId="1189" xr:uid="{00000000-0005-0000-0000-0000C3020000}"/>
    <cellStyle name="Calculation 2 8 5" xfId="1795" xr:uid="{00000000-0005-0000-0000-0000C4020000}"/>
    <cellStyle name="Calculation 2 9" xfId="728" xr:uid="{00000000-0005-0000-0000-0000C5020000}"/>
    <cellStyle name="Calculation 2 9 2" xfId="2092" xr:uid="{00000000-0005-0000-0000-0000C6020000}"/>
    <cellStyle name="Check Cell 2" xfId="27" xr:uid="{00000000-0005-0000-0000-0000C7020000}"/>
    <cellStyle name="Check Cell 2 2" xfId="87" xr:uid="{00000000-0005-0000-0000-0000C8020000}"/>
    <cellStyle name="Check Cell 2 2 2" xfId="731" xr:uid="{00000000-0005-0000-0000-0000C9020000}"/>
    <cellStyle name="Check Cell 2 2 2 2" xfId="2149" xr:uid="{00000000-0005-0000-0000-0000CA020000}"/>
    <cellStyle name="Check Cell 2 2 3" xfId="1535" xr:uid="{00000000-0005-0000-0000-0000CB020000}"/>
    <cellStyle name="Check Cell 2 2 4" xfId="1798" xr:uid="{00000000-0005-0000-0000-0000CC020000}"/>
    <cellStyle name="Check Cell 2 3" xfId="136" xr:uid="{00000000-0005-0000-0000-0000CD020000}"/>
    <cellStyle name="Check Cell 2 3 2" xfId="298" xr:uid="{00000000-0005-0000-0000-0000CE020000}"/>
    <cellStyle name="Check Cell 2 3 2 2" xfId="1470" xr:uid="{00000000-0005-0000-0000-0000CF020000}"/>
    <cellStyle name="Check Cell 2 3 2 2 2" xfId="2333" xr:uid="{00000000-0005-0000-0000-0000D0020000}"/>
    <cellStyle name="Check Cell 2 3 2 3" xfId="1800" xr:uid="{00000000-0005-0000-0000-0000D1020000}"/>
    <cellStyle name="Check Cell 2 3 3" xfId="1453" xr:uid="{00000000-0005-0000-0000-0000D2020000}"/>
    <cellStyle name="Check Cell 2 3 3 2" xfId="2198" xr:uid="{00000000-0005-0000-0000-0000D3020000}"/>
    <cellStyle name="Check Cell 2 3 4" xfId="1799" xr:uid="{00000000-0005-0000-0000-0000D4020000}"/>
    <cellStyle name="Check Cell 2 4" xfId="208" xr:uid="{00000000-0005-0000-0000-0000D5020000}"/>
    <cellStyle name="Check Cell 2 4 2" xfId="369" xr:uid="{00000000-0005-0000-0000-0000D6020000}"/>
    <cellStyle name="Check Cell 2 4 2 2" xfId="1247" xr:uid="{00000000-0005-0000-0000-0000D7020000}"/>
    <cellStyle name="Check Cell 2 4 2 2 2" xfId="2389" xr:uid="{00000000-0005-0000-0000-0000D8020000}"/>
    <cellStyle name="Check Cell 2 4 2 3" xfId="1802" xr:uid="{00000000-0005-0000-0000-0000D9020000}"/>
    <cellStyle name="Check Cell 2 4 3" xfId="1201" xr:uid="{00000000-0005-0000-0000-0000DA020000}"/>
    <cellStyle name="Check Cell 2 4 3 2" xfId="2255" xr:uid="{00000000-0005-0000-0000-0000DB020000}"/>
    <cellStyle name="Check Cell 2 4 4" xfId="1801" xr:uid="{00000000-0005-0000-0000-0000DC020000}"/>
    <cellStyle name="Check Cell 2 5" xfId="730" xr:uid="{00000000-0005-0000-0000-0000DD020000}"/>
    <cellStyle name="Check Cell 2 5 2" xfId="2093" xr:uid="{00000000-0005-0000-0000-0000DE020000}"/>
    <cellStyle name="Check Cell 2 6" xfId="1616" xr:uid="{00000000-0005-0000-0000-0000DF020000}"/>
    <cellStyle name="Check Cell 2 7" xfId="1797" xr:uid="{00000000-0005-0000-0000-0000E0020000}"/>
    <cellStyle name="Comma [0] 10" xfId="732" xr:uid="{00000000-0005-0000-0000-0000E1020000}"/>
    <cellStyle name="Comma [0] 11" xfId="958" xr:uid="{00000000-0005-0000-0000-0000E2020000}"/>
    <cellStyle name="Comma [0] 2" xfId="28" xr:uid="{00000000-0005-0000-0000-0000E3020000}"/>
    <cellStyle name="Comma [0] 2 10" xfId="1407" xr:uid="{00000000-0005-0000-0000-0000E4020000}"/>
    <cellStyle name="Comma [0] 2 11" xfId="1803" xr:uid="{00000000-0005-0000-0000-0000E5020000}"/>
    <cellStyle name="Comma [0] 2 2" xfId="88" xr:uid="{00000000-0005-0000-0000-0000E6020000}"/>
    <cellStyle name="Comma [0] 2 2 2" xfId="268" xr:uid="{00000000-0005-0000-0000-0000E7020000}"/>
    <cellStyle name="Comma [0] 2 2 2 2" xfId="954" xr:uid="{00000000-0005-0000-0000-0000E8020000}"/>
    <cellStyle name="Comma [0] 2 2 2 3" xfId="1630" xr:uid="{00000000-0005-0000-0000-0000E9020000}"/>
    <cellStyle name="Comma [0] 2 2 2 3 2" xfId="2473" xr:uid="{00000000-0005-0000-0000-0000EA020000}"/>
    <cellStyle name="Comma [0] 2 2 2 4" xfId="1805" xr:uid="{00000000-0005-0000-0000-0000EB020000}"/>
    <cellStyle name="Comma [0] 2 2 2 4 2" xfId="2541" xr:uid="{00000000-0005-0000-0000-0000EC020000}"/>
    <cellStyle name="Comma [0] 2 2 3" xfId="1563" xr:uid="{00000000-0005-0000-0000-0000ED020000}"/>
    <cellStyle name="Comma [0] 2 2 3 2" xfId="2150" xr:uid="{00000000-0005-0000-0000-0000EE020000}"/>
    <cellStyle name="Comma [0] 2 2 4" xfId="1804" xr:uid="{00000000-0005-0000-0000-0000EF020000}"/>
    <cellStyle name="Comma [0] 2 3" xfId="160" xr:uid="{00000000-0005-0000-0000-0000F0020000}"/>
    <cellStyle name="Comma [0] 2 3 2" xfId="322" xr:uid="{00000000-0005-0000-0000-0000F1020000}"/>
    <cellStyle name="Comma [0] 2 3 2 2" xfId="733" xr:uid="{00000000-0005-0000-0000-0000F2020000}"/>
    <cellStyle name="Comma [0] 2 3 2 2 2" xfId="2356" xr:uid="{00000000-0005-0000-0000-0000F3020000}"/>
    <cellStyle name="Comma [0] 2 3 2 3" xfId="1164" xr:uid="{00000000-0005-0000-0000-0000F4020000}"/>
    <cellStyle name="Comma [0] 2 3 2 4" xfId="1807" xr:uid="{00000000-0005-0000-0000-0000F5020000}"/>
    <cellStyle name="Comma [0] 2 3 3" xfId="676" xr:uid="{00000000-0005-0000-0000-0000F6020000}"/>
    <cellStyle name="Comma [0] 2 3 3 2" xfId="2221" xr:uid="{00000000-0005-0000-0000-0000F7020000}"/>
    <cellStyle name="Comma [0] 2 3 4" xfId="1532" xr:uid="{00000000-0005-0000-0000-0000F8020000}"/>
    <cellStyle name="Comma [0] 2 3 5" xfId="1806" xr:uid="{00000000-0005-0000-0000-0000F9020000}"/>
    <cellStyle name="Comma [0] 2 4" xfId="201" xr:uid="{00000000-0005-0000-0000-0000FA020000}"/>
    <cellStyle name="Comma [0] 2 4 2" xfId="437" xr:uid="{00000000-0005-0000-0000-0000FB020000}"/>
    <cellStyle name="Comma [0] 2 4 2 2" xfId="735" xr:uid="{00000000-0005-0000-0000-0000FC020000}"/>
    <cellStyle name="Comma [0] 2 4 2 3" xfId="2248" xr:uid="{00000000-0005-0000-0000-0000FD020000}"/>
    <cellStyle name="Comma [0] 2 4 3" xfId="734" xr:uid="{00000000-0005-0000-0000-0000FE020000}"/>
    <cellStyle name="Comma [0] 2 4 3 2" xfId="2460" xr:uid="{00000000-0005-0000-0000-0000FF020000}"/>
    <cellStyle name="Comma [0] 2 4 4" xfId="1577" xr:uid="{00000000-0005-0000-0000-000000030000}"/>
    <cellStyle name="Comma [0] 2 4 4 2" xfId="2528" xr:uid="{00000000-0005-0000-0000-000001030000}"/>
    <cellStyle name="Comma [0] 2 4 5" xfId="1808" xr:uid="{00000000-0005-0000-0000-000002030000}"/>
    <cellStyle name="Comma [0] 2 5" xfId="246" xr:uid="{00000000-0005-0000-0000-000003030000}"/>
    <cellStyle name="Comma [0] 2 5 2" xfId="402" xr:uid="{00000000-0005-0000-0000-000004030000}"/>
    <cellStyle name="Comma [0] 2 5 2 2" xfId="1567" xr:uid="{00000000-0005-0000-0000-000005030000}"/>
    <cellStyle name="Comma [0] 2 5 2 2 2" xfId="2421" xr:uid="{00000000-0005-0000-0000-000006030000}"/>
    <cellStyle name="Comma [0] 2 5 2 3" xfId="1810" xr:uid="{00000000-0005-0000-0000-000007030000}"/>
    <cellStyle name="Comma [0] 2 5 2 3 2" xfId="2503" xr:uid="{00000000-0005-0000-0000-000008030000}"/>
    <cellStyle name="Comma [0] 2 5 2 4" xfId="2571" xr:uid="{00000000-0005-0000-0000-000009030000}"/>
    <cellStyle name="Comma [0] 2 5 3" xfId="736" xr:uid="{00000000-0005-0000-0000-00000A030000}"/>
    <cellStyle name="Comma [0] 2 5 3 2" xfId="2291" xr:uid="{00000000-0005-0000-0000-00000B030000}"/>
    <cellStyle name="Comma [0] 2 5 4" xfId="1422" xr:uid="{00000000-0005-0000-0000-00000C030000}"/>
    <cellStyle name="Comma [0] 2 5 4 2" xfId="2467" xr:uid="{00000000-0005-0000-0000-00000D030000}"/>
    <cellStyle name="Comma [0] 2 5 5" xfId="1809" xr:uid="{00000000-0005-0000-0000-00000E030000}"/>
    <cellStyle name="Comma [0] 2 5 5 2" xfId="2535" xr:uid="{00000000-0005-0000-0000-00000F030000}"/>
    <cellStyle name="Comma [0] 2 6" xfId="737" xr:uid="{00000000-0005-0000-0000-000010030000}"/>
    <cellStyle name="Comma [0] 2 6 2" xfId="738" xr:uid="{00000000-0005-0000-0000-000011030000}"/>
    <cellStyle name="Comma [0] 2 6 3" xfId="2094" xr:uid="{00000000-0005-0000-0000-000012030000}"/>
    <cellStyle name="Comma [0] 2 7" xfId="739" xr:uid="{00000000-0005-0000-0000-000013030000}"/>
    <cellStyle name="Comma [0] 2 7 2" xfId="740" xr:uid="{00000000-0005-0000-0000-000014030000}"/>
    <cellStyle name="Comma [0] 2 8" xfId="741" xr:uid="{00000000-0005-0000-0000-000015030000}"/>
    <cellStyle name="Comma [0] 2 9" xfId="742" xr:uid="{00000000-0005-0000-0000-000016030000}"/>
    <cellStyle name="Comma [0] 2 9 2" xfId="743" xr:uid="{00000000-0005-0000-0000-000017030000}"/>
    <cellStyle name="Comma [0] 3" xfId="744" xr:uid="{00000000-0005-0000-0000-000018030000}"/>
    <cellStyle name="Comma [0] 3 2" xfId="745" xr:uid="{00000000-0005-0000-0000-000019030000}"/>
    <cellStyle name="Comma [0] 3 2 2" xfId="746" xr:uid="{00000000-0005-0000-0000-00001A030000}"/>
    <cellStyle name="Comma [0] 3 3" xfId="747" xr:uid="{00000000-0005-0000-0000-00001B030000}"/>
    <cellStyle name="Comma [0] 3 3 2" xfId="748" xr:uid="{00000000-0005-0000-0000-00001C030000}"/>
    <cellStyle name="Comma [0] 3 4" xfId="749" xr:uid="{00000000-0005-0000-0000-00001D030000}"/>
    <cellStyle name="Comma [0] 3 4 2" xfId="750" xr:uid="{00000000-0005-0000-0000-00001E030000}"/>
    <cellStyle name="Comma [0] 3 5" xfId="751" xr:uid="{00000000-0005-0000-0000-00001F030000}"/>
    <cellStyle name="Comma [0] 4" xfId="752" xr:uid="{00000000-0005-0000-0000-000020030000}"/>
    <cellStyle name="Comma [0] 4 2" xfId="753" xr:uid="{00000000-0005-0000-0000-000021030000}"/>
    <cellStyle name="Comma [0] 5" xfId="754" xr:uid="{00000000-0005-0000-0000-000022030000}"/>
    <cellStyle name="Comma [0] 5 2" xfId="755" xr:uid="{00000000-0005-0000-0000-000023030000}"/>
    <cellStyle name="Comma [0] 5 3" xfId="953" xr:uid="{00000000-0005-0000-0000-000024030000}"/>
    <cellStyle name="Comma [0] 6" xfId="756" xr:uid="{00000000-0005-0000-0000-000025030000}"/>
    <cellStyle name="Comma [0] 6 2" xfId="757" xr:uid="{00000000-0005-0000-0000-000026030000}"/>
    <cellStyle name="Comma [0] 7" xfId="758" xr:uid="{00000000-0005-0000-0000-000027030000}"/>
    <cellStyle name="Comma [0] 7 2" xfId="759" xr:uid="{00000000-0005-0000-0000-000028030000}"/>
    <cellStyle name="Comma [0] 8" xfId="760" xr:uid="{00000000-0005-0000-0000-000029030000}"/>
    <cellStyle name="Comma [0] 8 2" xfId="761" xr:uid="{00000000-0005-0000-0000-00002A030000}"/>
    <cellStyle name="Comma [0] 9" xfId="762" xr:uid="{00000000-0005-0000-0000-00002B030000}"/>
    <cellStyle name="Comma 10" xfId="763" xr:uid="{00000000-0005-0000-0000-00002C030000}"/>
    <cellStyle name="Comma 11" xfId="764" xr:uid="{00000000-0005-0000-0000-00002D030000}"/>
    <cellStyle name="Comma 11 2" xfId="765" xr:uid="{00000000-0005-0000-0000-00002E030000}"/>
    <cellStyle name="Comma 12" xfId="766" xr:uid="{00000000-0005-0000-0000-00002F030000}"/>
    <cellStyle name="Comma 13" xfId="767" xr:uid="{00000000-0005-0000-0000-000030030000}"/>
    <cellStyle name="Comma 14" xfId="768" xr:uid="{00000000-0005-0000-0000-000031030000}"/>
    <cellStyle name="Comma 15" xfId="769" xr:uid="{00000000-0005-0000-0000-000032030000}"/>
    <cellStyle name="Comma 16" xfId="770" xr:uid="{00000000-0005-0000-0000-000033030000}"/>
    <cellStyle name="Comma 17" xfId="771" xr:uid="{00000000-0005-0000-0000-000034030000}"/>
    <cellStyle name="Comma 18" xfId="772" xr:uid="{00000000-0005-0000-0000-000035030000}"/>
    <cellStyle name="Comma 19" xfId="773" xr:uid="{00000000-0005-0000-0000-000036030000}"/>
    <cellStyle name="Comma 2" xfId="774" xr:uid="{00000000-0005-0000-0000-000037030000}"/>
    <cellStyle name="Comma 2 2" xfId="266" xr:uid="{00000000-0005-0000-0000-000038030000}"/>
    <cellStyle name="Comma 2 2 2" xfId="267" xr:uid="{00000000-0005-0000-0000-000039030000}"/>
    <cellStyle name="Comma 2 2 2 2" xfId="1226" xr:uid="{00000000-0005-0000-0000-00003A030000}"/>
    <cellStyle name="Comma 2 2 2 2 2" xfId="2308" xr:uid="{00000000-0005-0000-0000-00003B030000}"/>
    <cellStyle name="Comma 2 2 2 3" xfId="1812" xr:uid="{00000000-0005-0000-0000-00003C030000}"/>
    <cellStyle name="Comma 2 2 2 3 2" xfId="2472" xr:uid="{00000000-0005-0000-0000-00003D030000}"/>
    <cellStyle name="Comma 2 2 2 4" xfId="2540" xr:uid="{00000000-0005-0000-0000-00003E030000}"/>
    <cellStyle name="Comma 2 2 3" xfId="1614" xr:uid="{00000000-0005-0000-0000-00003F030000}"/>
    <cellStyle name="Comma 2 2 3 2" xfId="2307" xr:uid="{00000000-0005-0000-0000-000040030000}"/>
    <cellStyle name="Comma 2 2 4" xfId="1811" xr:uid="{00000000-0005-0000-0000-000041030000}"/>
    <cellStyle name="Comma 2 2 4 2" xfId="2471" xr:uid="{00000000-0005-0000-0000-000042030000}"/>
    <cellStyle name="Comma 2 2 5" xfId="2539" xr:uid="{00000000-0005-0000-0000-000043030000}"/>
    <cellStyle name="Comma 2 3" xfId="677" xr:uid="{00000000-0005-0000-0000-000044030000}"/>
    <cellStyle name="Comma 2 3 2" xfId="955" xr:uid="{00000000-0005-0000-0000-000045030000}"/>
    <cellStyle name="Comma 2 4" xfId="775" xr:uid="{00000000-0005-0000-0000-000046030000}"/>
    <cellStyle name="Comma 2 4 2" xfId="776" xr:uid="{00000000-0005-0000-0000-000047030000}"/>
    <cellStyle name="Comma 2 5" xfId="777" xr:uid="{00000000-0005-0000-0000-000048030000}"/>
    <cellStyle name="Comma 2 5 2" xfId="778" xr:uid="{00000000-0005-0000-0000-000049030000}"/>
    <cellStyle name="Comma 2 6" xfId="779" xr:uid="{00000000-0005-0000-0000-00004A030000}"/>
    <cellStyle name="Comma 20" xfId="780" xr:uid="{00000000-0005-0000-0000-00004B030000}"/>
    <cellStyle name="Comma 20 2" xfId="781" xr:uid="{00000000-0005-0000-0000-00004C030000}"/>
    <cellStyle name="Comma 21" xfId="782" xr:uid="{00000000-0005-0000-0000-00004D030000}"/>
    <cellStyle name="Comma 21 2" xfId="783" xr:uid="{00000000-0005-0000-0000-00004E030000}"/>
    <cellStyle name="Comma 22" xfId="784" xr:uid="{00000000-0005-0000-0000-00004F030000}"/>
    <cellStyle name="Comma 22 2" xfId="785" xr:uid="{00000000-0005-0000-0000-000050030000}"/>
    <cellStyle name="Comma 23" xfId="786" xr:uid="{00000000-0005-0000-0000-000051030000}"/>
    <cellStyle name="Comma 24" xfId="787" xr:uid="{00000000-0005-0000-0000-000052030000}"/>
    <cellStyle name="Comma 25" xfId="673" xr:uid="{00000000-0005-0000-0000-000053030000}"/>
    <cellStyle name="Comma 3" xfId="788" xr:uid="{00000000-0005-0000-0000-000054030000}"/>
    <cellStyle name="Comma 3 2" xfId="789" xr:uid="{00000000-0005-0000-0000-000055030000}"/>
    <cellStyle name="Comma 3 2 2" xfId="790" xr:uid="{00000000-0005-0000-0000-000056030000}"/>
    <cellStyle name="Comma 3 3" xfId="791" xr:uid="{00000000-0005-0000-0000-000057030000}"/>
    <cellStyle name="Comma 4" xfId="792" xr:uid="{00000000-0005-0000-0000-000058030000}"/>
    <cellStyle name="Comma 4 2" xfId="793" xr:uid="{00000000-0005-0000-0000-000059030000}"/>
    <cellStyle name="Comma 5" xfId="794" xr:uid="{00000000-0005-0000-0000-00005A030000}"/>
    <cellStyle name="Comma 5 2" xfId="795" xr:uid="{00000000-0005-0000-0000-00005B030000}"/>
    <cellStyle name="Comma 5 2 2" xfId="796" xr:uid="{00000000-0005-0000-0000-00005C030000}"/>
    <cellStyle name="Comma 6" xfId="797" xr:uid="{00000000-0005-0000-0000-00005D030000}"/>
    <cellStyle name="Comma 6 2" xfId="798" xr:uid="{00000000-0005-0000-0000-00005E030000}"/>
    <cellStyle name="Comma 6 2 2" xfId="799" xr:uid="{00000000-0005-0000-0000-00005F030000}"/>
    <cellStyle name="Comma 7" xfId="800" xr:uid="{00000000-0005-0000-0000-000060030000}"/>
    <cellStyle name="Comma 7 2" xfId="801" xr:uid="{00000000-0005-0000-0000-000061030000}"/>
    <cellStyle name="Comma 7 2 2" xfId="802" xr:uid="{00000000-0005-0000-0000-000062030000}"/>
    <cellStyle name="Comma 8" xfId="803" xr:uid="{00000000-0005-0000-0000-000063030000}"/>
    <cellStyle name="Comma 8 2" xfId="804" xr:uid="{00000000-0005-0000-0000-000064030000}"/>
    <cellStyle name="Comma 8 2 2" xfId="805" xr:uid="{00000000-0005-0000-0000-000065030000}"/>
    <cellStyle name="Comma 9" xfId="806" xr:uid="{00000000-0005-0000-0000-000066030000}"/>
    <cellStyle name="Currency [0] 2" xfId="807" xr:uid="{00000000-0005-0000-0000-000067030000}"/>
    <cellStyle name="Currency [0] 2 2" xfId="808" xr:uid="{00000000-0005-0000-0000-000068030000}"/>
    <cellStyle name="Excel Built-in Comma" xfId="809" xr:uid="{00000000-0005-0000-0000-000069030000}"/>
    <cellStyle name="Excel Built-in Comma 2" xfId="810" xr:uid="{00000000-0005-0000-0000-00006A030000}"/>
    <cellStyle name="Excel Built-in Normal" xfId="811" xr:uid="{00000000-0005-0000-0000-00006B030000}"/>
    <cellStyle name="Excel Built-in Normal 2" xfId="812" xr:uid="{00000000-0005-0000-0000-00006C030000}"/>
    <cellStyle name="Explanatory Text 2" xfId="29" xr:uid="{00000000-0005-0000-0000-00006D030000}"/>
    <cellStyle name="Explanatory Text 2 2" xfId="89" xr:uid="{00000000-0005-0000-0000-00006E030000}"/>
    <cellStyle name="Explanatory Text 2 2 2" xfId="814" xr:uid="{00000000-0005-0000-0000-00006F030000}"/>
    <cellStyle name="Explanatory Text 2 2 2 2" xfId="2151" xr:uid="{00000000-0005-0000-0000-000070030000}"/>
    <cellStyle name="Explanatory Text 2 2 3" xfId="1543" xr:uid="{00000000-0005-0000-0000-000071030000}"/>
    <cellStyle name="Explanatory Text 2 2 4" xfId="1814" xr:uid="{00000000-0005-0000-0000-000072030000}"/>
    <cellStyle name="Explanatory Text 2 3" xfId="161" xr:uid="{00000000-0005-0000-0000-000073030000}"/>
    <cellStyle name="Explanatory Text 2 3 2" xfId="323" xr:uid="{00000000-0005-0000-0000-000074030000}"/>
    <cellStyle name="Explanatory Text 2 3 2 2" xfId="1196" xr:uid="{00000000-0005-0000-0000-000075030000}"/>
    <cellStyle name="Explanatory Text 2 3 2 2 2" xfId="2357" xr:uid="{00000000-0005-0000-0000-000076030000}"/>
    <cellStyle name="Explanatory Text 2 3 2 3" xfId="1816" xr:uid="{00000000-0005-0000-0000-000077030000}"/>
    <cellStyle name="Explanatory Text 2 3 3" xfId="1248" xr:uid="{00000000-0005-0000-0000-000078030000}"/>
    <cellStyle name="Explanatory Text 2 3 3 2" xfId="2222" xr:uid="{00000000-0005-0000-0000-000079030000}"/>
    <cellStyle name="Explanatory Text 2 3 4" xfId="1815" xr:uid="{00000000-0005-0000-0000-00007A030000}"/>
    <cellStyle name="Explanatory Text 2 4" xfId="244" xr:uid="{00000000-0005-0000-0000-00007B030000}"/>
    <cellStyle name="Explanatory Text 2 4 2" xfId="400" xr:uid="{00000000-0005-0000-0000-00007C030000}"/>
    <cellStyle name="Explanatory Text 2 4 2 2" xfId="1299" xr:uid="{00000000-0005-0000-0000-00007D030000}"/>
    <cellStyle name="Explanatory Text 2 4 2 2 2" xfId="2419" xr:uid="{00000000-0005-0000-0000-00007E030000}"/>
    <cellStyle name="Explanatory Text 2 4 2 3" xfId="1818" xr:uid="{00000000-0005-0000-0000-00007F030000}"/>
    <cellStyle name="Explanatory Text 2 4 3" xfId="1613" xr:uid="{00000000-0005-0000-0000-000080030000}"/>
    <cellStyle name="Explanatory Text 2 4 3 2" xfId="2289" xr:uid="{00000000-0005-0000-0000-000081030000}"/>
    <cellStyle name="Explanatory Text 2 4 4" xfId="1817" xr:uid="{00000000-0005-0000-0000-000082030000}"/>
    <cellStyle name="Explanatory Text 2 5" xfId="813" xr:uid="{00000000-0005-0000-0000-000083030000}"/>
    <cellStyle name="Explanatory Text 2 5 2" xfId="2095" xr:uid="{00000000-0005-0000-0000-000084030000}"/>
    <cellStyle name="Explanatory Text 2 6" xfId="1527" xr:uid="{00000000-0005-0000-0000-000085030000}"/>
    <cellStyle name="Explanatory Text 2 7" xfId="1813" xr:uid="{00000000-0005-0000-0000-000086030000}"/>
    <cellStyle name="Good 2" xfId="30" xr:uid="{00000000-0005-0000-0000-000087030000}"/>
    <cellStyle name="Good 2 2" xfId="90" xr:uid="{00000000-0005-0000-0000-000088030000}"/>
    <cellStyle name="Good 2 2 2" xfId="816" xr:uid="{00000000-0005-0000-0000-000089030000}"/>
    <cellStyle name="Good 2 2 2 2" xfId="2152" xr:uid="{00000000-0005-0000-0000-00008A030000}"/>
    <cellStyle name="Good 2 2 3" xfId="1179" xr:uid="{00000000-0005-0000-0000-00008B030000}"/>
    <cellStyle name="Good 2 2 4" xfId="1820" xr:uid="{00000000-0005-0000-0000-00008C030000}"/>
    <cellStyle name="Good 2 3" xfId="162" xr:uid="{00000000-0005-0000-0000-00008D030000}"/>
    <cellStyle name="Good 2 3 2" xfId="324" xr:uid="{00000000-0005-0000-0000-00008E030000}"/>
    <cellStyle name="Good 2 3 2 2" xfId="1267" xr:uid="{00000000-0005-0000-0000-00008F030000}"/>
    <cellStyle name="Good 2 3 2 2 2" xfId="2358" xr:uid="{00000000-0005-0000-0000-000090030000}"/>
    <cellStyle name="Good 2 3 2 3" xfId="1822" xr:uid="{00000000-0005-0000-0000-000091030000}"/>
    <cellStyle name="Good 2 3 3" xfId="1319" xr:uid="{00000000-0005-0000-0000-000092030000}"/>
    <cellStyle name="Good 2 3 3 2" xfId="2223" xr:uid="{00000000-0005-0000-0000-000093030000}"/>
    <cellStyle name="Good 2 3 4" xfId="1821" xr:uid="{00000000-0005-0000-0000-000094030000}"/>
    <cellStyle name="Good 2 4" xfId="238" xr:uid="{00000000-0005-0000-0000-000095030000}"/>
    <cellStyle name="Good 2 4 2" xfId="397" xr:uid="{00000000-0005-0000-0000-000096030000}"/>
    <cellStyle name="Good 2 4 2 2" xfId="1461" xr:uid="{00000000-0005-0000-0000-000097030000}"/>
    <cellStyle name="Good 2 4 2 2 2" xfId="2416" xr:uid="{00000000-0005-0000-0000-000098030000}"/>
    <cellStyle name="Good 2 4 2 3" xfId="1824" xr:uid="{00000000-0005-0000-0000-000099030000}"/>
    <cellStyle name="Good 2 4 3" xfId="1612" xr:uid="{00000000-0005-0000-0000-00009A030000}"/>
    <cellStyle name="Good 2 4 3 2" xfId="2284" xr:uid="{00000000-0005-0000-0000-00009B030000}"/>
    <cellStyle name="Good 2 4 4" xfId="1823" xr:uid="{00000000-0005-0000-0000-00009C030000}"/>
    <cellStyle name="Good 2 5" xfId="815" xr:uid="{00000000-0005-0000-0000-00009D030000}"/>
    <cellStyle name="Good 2 5 2" xfId="2096" xr:uid="{00000000-0005-0000-0000-00009E030000}"/>
    <cellStyle name="Good 2 6" xfId="1154" xr:uid="{00000000-0005-0000-0000-00009F030000}"/>
    <cellStyle name="Good 2 7" xfId="1819" xr:uid="{00000000-0005-0000-0000-0000A0030000}"/>
    <cellStyle name="Heading 1 2" xfId="31" xr:uid="{00000000-0005-0000-0000-0000A1030000}"/>
    <cellStyle name="Heading 1 2 2" xfId="91" xr:uid="{00000000-0005-0000-0000-0000A2030000}"/>
    <cellStyle name="Heading 1 2 2 2" xfId="818" xr:uid="{00000000-0005-0000-0000-0000A3030000}"/>
    <cellStyle name="Heading 1 2 2 2 2" xfId="2153" xr:uid="{00000000-0005-0000-0000-0000A4030000}"/>
    <cellStyle name="Heading 1 2 2 3" xfId="1210" xr:uid="{00000000-0005-0000-0000-0000A5030000}"/>
    <cellStyle name="Heading 1 2 2 4" xfId="1826" xr:uid="{00000000-0005-0000-0000-0000A6030000}"/>
    <cellStyle name="Heading 1 2 3" xfId="163" xr:uid="{00000000-0005-0000-0000-0000A7030000}"/>
    <cellStyle name="Heading 1 2 3 2" xfId="325" xr:uid="{00000000-0005-0000-0000-0000A8030000}"/>
    <cellStyle name="Heading 1 2 3 2 2" xfId="1452" xr:uid="{00000000-0005-0000-0000-0000A9030000}"/>
    <cellStyle name="Heading 1 2 3 2 2 2" xfId="2359" xr:uid="{00000000-0005-0000-0000-0000AA030000}"/>
    <cellStyle name="Heading 1 2 3 2 3" xfId="1828" xr:uid="{00000000-0005-0000-0000-0000AB030000}"/>
    <cellStyle name="Heading 1 2 3 3" xfId="1347" xr:uid="{00000000-0005-0000-0000-0000AC030000}"/>
    <cellStyle name="Heading 1 2 3 3 2" xfId="2224" xr:uid="{00000000-0005-0000-0000-0000AD030000}"/>
    <cellStyle name="Heading 1 2 3 4" xfId="1827" xr:uid="{00000000-0005-0000-0000-0000AE030000}"/>
    <cellStyle name="Heading 1 2 4" xfId="239" xr:uid="{00000000-0005-0000-0000-0000AF030000}"/>
    <cellStyle name="Heading 1 2 4 2" xfId="398" xr:uid="{00000000-0005-0000-0000-0000B0030000}"/>
    <cellStyle name="Heading 1 2 4 2 2" xfId="1150" xr:uid="{00000000-0005-0000-0000-0000B1030000}"/>
    <cellStyle name="Heading 1 2 4 2 2 2" xfId="2417" xr:uid="{00000000-0005-0000-0000-0000B2030000}"/>
    <cellStyle name="Heading 1 2 4 2 3" xfId="1830" xr:uid="{00000000-0005-0000-0000-0000B3030000}"/>
    <cellStyle name="Heading 1 2 4 3" xfId="1234" xr:uid="{00000000-0005-0000-0000-0000B4030000}"/>
    <cellStyle name="Heading 1 2 4 3 2" xfId="2285" xr:uid="{00000000-0005-0000-0000-0000B5030000}"/>
    <cellStyle name="Heading 1 2 4 4" xfId="1829" xr:uid="{00000000-0005-0000-0000-0000B6030000}"/>
    <cellStyle name="Heading 1 2 5" xfId="817" xr:uid="{00000000-0005-0000-0000-0000B7030000}"/>
    <cellStyle name="Heading 1 2 5 2" xfId="2097" xr:uid="{00000000-0005-0000-0000-0000B8030000}"/>
    <cellStyle name="Heading 1 2 6" xfId="1538" xr:uid="{00000000-0005-0000-0000-0000B9030000}"/>
    <cellStyle name="Heading 1 2 7" xfId="1825" xr:uid="{00000000-0005-0000-0000-0000BA030000}"/>
    <cellStyle name="Heading 2 2" xfId="32" xr:uid="{00000000-0005-0000-0000-0000BB030000}"/>
    <cellStyle name="Heading 2 2 2" xfId="92" xr:uid="{00000000-0005-0000-0000-0000BC030000}"/>
    <cellStyle name="Heading 2 2 2 2" xfId="820" xr:uid="{00000000-0005-0000-0000-0000BD030000}"/>
    <cellStyle name="Heading 2 2 2 2 2" xfId="2154" xr:uid="{00000000-0005-0000-0000-0000BE030000}"/>
    <cellStyle name="Heading 2 2 2 3" xfId="1213" xr:uid="{00000000-0005-0000-0000-0000BF030000}"/>
    <cellStyle name="Heading 2 2 2 4" xfId="1832" xr:uid="{00000000-0005-0000-0000-0000C0030000}"/>
    <cellStyle name="Heading 2 2 3" xfId="164" xr:uid="{00000000-0005-0000-0000-0000C1030000}"/>
    <cellStyle name="Heading 2 2 3 2" xfId="326" xr:uid="{00000000-0005-0000-0000-0000C2030000}"/>
    <cellStyle name="Heading 2 2 3 2 2" xfId="1359" xr:uid="{00000000-0005-0000-0000-0000C3030000}"/>
    <cellStyle name="Heading 2 2 3 2 2 2" xfId="2360" xr:uid="{00000000-0005-0000-0000-0000C4030000}"/>
    <cellStyle name="Heading 2 2 3 2 3" xfId="1834" xr:uid="{00000000-0005-0000-0000-0000C5030000}"/>
    <cellStyle name="Heading 2 2 3 3" xfId="1237" xr:uid="{00000000-0005-0000-0000-0000C6030000}"/>
    <cellStyle name="Heading 2 2 3 3 2" xfId="2225" xr:uid="{00000000-0005-0000-0000-0000C7030000}"/>
    <cellStyle name="Heading 2 2 3 4" xfId="1833" xr:uid="{00000000-0005-0000-0000-0000C8030000}"/>
    <cellStyle name="Heading 2 2 4" xfId="242" xr:uid="{00000000-0005-0000-0000-0000C9030000}"/>
    <cellStyle name="Heading 2 2 4 2" xfId="399" xr:uid="{00000000-0005-0000-0000-0000CA030000}"/>
    <cellStyle name="Heading 2 2 4 2 2" xfId="1431" xr:uid="{00000000-0005-0000-0000-0000CB030000}"/>
    <cellStyle name="Heading 2 2 4 2 2 2" xfId="2418" xr:uid="{00000000-0005-0000-0000-0000CC030000}"/>
    <cellStyle name="Heading 2 2 4 2 3" xfId="1836" xr:uid="{00000000-0005-0000-0000-0000CD030000}"/>
    <cellStyle name="Heading 2 2 4 3" xfId="1481" xr:uid="{00000000-0005-0000-0000-0000CE030000}"/>
    <cellStyle name="Heading 2 2 4 3 2" xfId="2288" xr:uid="{00000000-0005-0000-0000-0000CF030000}"/>
    <cellStyle name="Heading 2 2 4 4" xfId="1835" xr:uid="{00000000-0005-0000-0000-0000D0030000}"/>
    <cellStyle name="Heading 2 2 5" xfId="819" xr:uid="{00000000-0005-0000-0000-0000D1030000}"/>
    <cellStyle name="Heading 2 2 5 2" xfId="2098" xr:uid="{00000000-0005-0000-0000-0000D2030000}"/>
    <cellStyle name="Heading 2 2 6" xfId="1354" xr:uid="{00000000-0005-0000-0000-0000D3030000}"/>
    <cellStyle name="Heading 2 2 7" xfId="1831" xr:uid="{00000000-0005-0000-0000-0000D4030000}"/>
    <cellStyle name="Heading 3 2" xfId="33" xr:uid="{00000000-0005-0000-0000-0000D5030000}"/>
    <cellStyle name="Heading 3 2 2" xfId="93" xr:uid="{00000000-0005-0000-0000-0000D6030000}"/>
    <cellStyle name="Heading 3 2 2 2" xfId="822" xr:uid="{00000000-0005-0000-0000-0000D7030000}"/>
    <cellStyle name="Heading 3 2 2 2 2" xfId="2155" xr:uid="{00000000-0005-0000-0000-0000D8030000}"/>
    <cellStyle name="Heading 3 2 2 3" xfId="1579" xr:uid="{00000000-0005-0000-0000-0000D9030000}"/>
    <cellStyle name="Heading 3 2 2 4" xfId="1838" xr:uid="{00000000-0005-0000-0000-0000DA030000}"/>
    <cellStyle name="Heading 3 2 3" xfId="165" xr:uid="{00000000-0005-0000-0000-0000DB030000}"/>
    <cellStyle name="Heading 3 2 3 2" xfId="327" xr:uid="{00000000-0005-0000-0000-0000DC030000}"/>
    <cellStyle name="Heading 3 2 3 2 2" xfId="1159" xr:uid="{00000000-0005-0000-0000-0000DD030000}"/>
    <cellStyle name="Heading 3 2 3 2 2 2" xfId="2361" xr:uid="{00000000-0005-0000-0000-0000DE030000}"/>
    <cellStyle name="Heading 3 2 3 2 3" xfId="1840" xr:uid="{00000000-0005-0000-0000-0000DF030000}"/>
    <cellStyle name="Heading 3 2 3 3" xfId="1174" xr:uid="{00000000-0005-0000-0000-0000E0030000}"/>
    <cellStyle name="Heading 3 2 3 3 2" xfId="2226" xr:uid="{00000000-0005-0000-0000-0000E1030000}"/>
    <cellStyle name="Heading 3 2 3 4" xfId="1839" xr:uid="{00000000-0005-0000-0000-0000E2030000}"/>
    <cellStyle name="Heading 3 2 4" xfId="247" xr:uid="{00000000-0005-0000-0000-0000E3030000}"/>
    <cellStyle name="Heading 3 2 4 2" xfId="403" xr:uid="{00000000-0005-0000-0000-0000E4030000}"/>
    <cellStyle name="Heading 3 2 4 2 2" xfId="1401" xr:uid="{00000000-0005-0000-0000-0000E5030000}"/>
    <cellStyle name="Heading 3 2 4 2 2 2" xfId="2422" xr:uid="{00000000-0005-0000-0000-0000E6030000}"/>
    <cellStyle name="Heading 3 2 4 2 3" xfId="1842" xr:uid="{00000000-0005-0000-0000-0000E7030000}"/>
    <cellStyle name="Heading 3 2 4 3" xfId="1337" xr:uid="{00000000-0005-0000-0000-0000E8030000}"/>
    <cellStyle name="Heading 3 2 4 3 2" xfId="2292" xr:uid="{00000000-0005-0000-0000-0000E9030000}"/>
    <cellStyle name="Heading 3 2 4 4" xfId="1841" xr:uid="{00000000-0005-0000-0000-0000EA030000}"/>
    <cellStyle name="Heading 3 2 5" xfId="821" xr:uid="{00000000-0005-0000-0000-0000EB030000}"/>
    <cellStyle name="Heading 3 2 5 2" xfId="2099" xr:uid="{00000000-0005-0000-0000-0000EC030000}"/>
    <cellStyle name="Heading 3 2 6" xfId="1372" xr:uid="{00000000-0005-0000-0000-0000ED030000}"/>
    <cellStyle name="Heading 3 2 7" xfId="1837" xr:uid="{00000000-0005-0000-0000-0000EE030000}"/>
    <cellStyle name="Heading 4 2" xfId="34" xr:uid="{00000000-0005-0000-0000-0000EF030000}"/>
    <cellStyle name="Heading 4 2 2" xfId="94" xr:uid="{00000000-0005-0000-0000-0000F0030000}"/>
    <cellStyle name="Heading 4 2 2 2" xfId="824" xr:uid="{00000000-0005-0000-0000-0000F1030000}"/>
    <cellStyle name="Heading 4 2 2 2 2" xfId="2156" xr:uid="{00000000-0005-0000-0000-0000F2030000}"/>
    <cellStyle name="Heading 4 2 2 3" xfId="1611" xr:uid="{00000000-0005-0000-0000-0000F3030000}"/>
    <cellStyle name="Heading 4 2 2 4" xfId="1844" xr:uid="{00000000-0005-0000-0000-0000F4030000}"/>
    <cellStyle name="Heading 4 2 3" xfId="137" xr:uid="{00000000-0005-0000-0000-0000F5030000}"/>
    <cellStyle name="Heading 4 2 3 2" xfId="299" xr:uid="{00000000-0005-0000-0000-0000F6030000}"/>
    <cellStyle name="Heading 4 2 3 2 2" xfId="1285" xr:uid="{00000000-0005-0000-0000-0000F7030000}"/>
    <cellStyle name="Heading 4 2 3 2 2 2" xfId="2334" xr:uid="{00000000-0005-0000-0000-0000F8030000}"/>
    <cellStyle name="Heading 4 2 3 2 3" xfId="1846" xr:uid="{00000000-0005-0000-0000-0000F9030000}"/>
    <cellStyle name="Heading 4 2 3 3" xfId="1352" xr:uid="{00000000-0005-0000-0000-0000FA030000}"/>
    <cellStyle name="Heading 4 2 3 3 2" xfId="2199" xr:uid="{00000000-0005-0000-0000-0000FB030000}"/>
    <cellStyle name="Heading 4 2 3 4" xfId="1845" xr:uid="{00000000-0005-0000-0000-0000FC030000}"/>
    <cellStyle name="Heading 4 2 4" xfId="209" xr:uid="{00000000-0005-0000-0000-0000FD030000}"/>
    <cellStyle name="Heading 4 2 4 2" xfId="370" xr:uid="{00000000-0005-0000-0000-0000FE030000}"/>
    <cellStyle name="Heading 4 2 4 2 2" xfId="1557" xr:uid="{00000000-0005-0000-0000-0000FF030000}"/>
    <cellStyle name="Heading 4 2 4 2 2 2" xfId="2390" xr:uid="{00000000-0005-0000-0000-000000040000}"/>
    <cellStyle name="Heading 4 2 4 2 3" xfId="1848" xr:uid="{00000000-0005-0000-0000-000001040000}"/>
    <cellStyle name="Heading 4 2 4 3" xfId="1309" xr:uid="{00000000-0005-0000-0000-000002040000}"/>
    <cellStyle name="Heading 4 2 4 3 2" xfId="2256" xr:uid="{00000000-0005-0000-0000-000003040000}"/>
    <cellStyle name="Heading 4 2 4 4" xfId="1847" xr:uid="{00000000-0005-0000-0000-000004040000}"/>
    <cellStyle name="Heading 4 2 5" xfId="823" xr:uid="{00000000-0005-0000-0000-000005040000}"/>
    <cellStyle name="Heading 4 2 5 2" xfId="2100" xr:uid="{00000000-0005-0000-0000-000006040000}"/>
    <cellStyle name="Heading 4 2 6" xfId="1327" xr:uid="{00000000-0005-0000-0000-000007040000}"/>
    <cellStyle name="Heading 4 2 7" xfId="1843" xr:uid="{00000000-0005-0000-0000-000008040000}"/>
    <cellStyle name="Hyperlink" xfId="271" builtinId="8"/>
    <cellStyle name="Hyperlink 2" xfId="424" xr:uid="{00000000-0005-0000-0000-00000A040000}"/>
    <cellStyle name="Hyperlink 2 2" xfId="826" xr:uid="{00000000-0005-0000-0000-00000B040000}"/>
    <cellStyle name="Hyperlink 2 3" xfId="825" xr:uid="{00000000-0005-0000-0000-00000C040000}"/>
    <cellStyle name="Hyperlink 2 4" xfId="2059" xr:uid="{00000000-0005-0000-0000-00000D040000}"/>
    <cellStyle name="Hyperlink 3" xfId="1373" xr:uid="{00000000-0005-0000-0000-00000E040000}"/>
    <cellStyle name="Hyperlink 3 2" xfId="2311" xr:uid="{00000000-0005-0000-0000-00000F040000}"/>
    <cellStyle name="Hyperlink 4" xfId="1632" xr:uid="{00000000-0005-0000-0000-000010040000}"/>
    <cellStyle name="Input 2" xfId="35" xr:uid="{00000000-0005-0000-0000-000011040000}"/>
    <cellStyle name="Input 2 10" xfId="1489" xr:uid="{00000000-0005-0000-0000-000012040000}"/>
    <cellStyle name="Input 2 11" xfId="1849" xr:uid="{00000000-0005-0000-0000-000013040000}"/>
    <cellStyle name="Input 2 2" xfId="95" xr:uid="{00000000-0005-0000-0000-000014040000}"/>
    <cellStyle name="Input 2 2 2" xfId="277" xr:uid="{00000000-0005-0000-0000-000015040000}"/>
    <cellStyle name="Input 2 2 2 2" xfId="438" xr:uid="{00000000-0005-0000-0000-000016040000}"/>
    <cellStyle name="Input 2 2 2 3" xfId="1462" xr:uid="{00000000-0005-0000-0000-000017040000}"/>
    <cellStyle name="Input 2 2 2 4" xfId="1851" xr:uid="{00000000-0005-0000-0000-000018040000}"/>
    <cellStyle name="Input 2 2 3" xfId="828" xr:uid="{00000000-0005-0000-0000-000019040000}"/>
    <cellStyle name="Input 2 2 3 2" xfId="2157" xr:uid="{00000000-0005-0000-0000-00001A040000}"/>
    <cellStyle name="Input 2 2 4" xfId="1607" xr:uid="{00000000-0005-0000-0000-00001B040000}"/>
    <cellStyle name="Input 2 2 5" xfId="1850" xr:uid="{00000000-0005-0000-0000-00001C040000}"/>
    <cellStyle name="Input 2 3" xfId="166" xr:uid="{00000000-0005-0000-0000-00001D040000}"/>
    <cellStyle name="Input 2 3 2" xfId="328" xr:uid="{00000000-0005-0000-0000-00001E040000}"/>
    <cellStyle name="Input 2 3 2 2" xfId="440" xr:uid="{00000000-0005-0000-0000-00001F040000}"/>
    <cellStyle name="Input 2 3 2 3" xfId="1471" xr:uid="{00000000-0005-0000-0000-000020040000}"/>
    <cellStyle name="Input 2 3 2 4" xfId="1853" xr:uid="{00000000-0005-0000-0000-000021040000}"/>
    <cellStyle name="Input 2 3 3" xfId="439" xr:uid="{00000000-0005-0000-0000-000022040000}"/>
    <cellStyle name="Input 2 3 4" xfId="1447" xr:uid="{00000000-0005-0000-0000-000023040000}"/>
    <cellStyle name="Input 2 3 5" xfId="1852" xr:uid="{00000000-0005-0000-0000-000024040000}"/>
    <cellStyle name="Input 2 4" xfId="191" xr:uid="{00000000-0005-0000-0000-000025040000}"/>
    <cellStyle name="Input 2 4 2" xfId="353" xr:uid="{00000000-0005-0000-0000-000026040000}"/>
    <cellStyle name="Input 2 4 2 2" xfId="442" xr:uid="{00000000-0005-0000-0000-000027040000}"/>
    <cellStyle name="Input 2 4 2 2 2" xfId="2378" xr:uid="{00000000-0005-0000-0000-000028040000}"/>
    <cellStyle name="Input 2 4 2 3" xfId="1338" xr:uid="{00000000-0005-0000-0000-000029040000}"/>
    <cellStyle name="Input 2 4 2 4" xfId="1855" xr:uid="{00000000-0005-0000-0000-00002A040000}"/>
    <cellStyle name="Input 2 4 3" xfId="441" xr:uid="{00000000-0005-0000-0000-00002B040000}"/>
    <cellStyle name="Input 2 4 3 2" xfId="2243" xr:uid="{00000000-0005-0000-0000-00002C040000}"/>
    <cellStyle name="Input 2 4 4" xfId="1249" xr:uid="{00000000-0005-0000-0000-00002D040000}"/>
    <cellStyle name="Input 2 4 5" xfId="1854" xr:uid="{00000000-0005-0000-0000-00002E040000}"/>
    <cellStyle name="Input 2 5" xfId="188" xr:uid="{00000000-0005-0000-0000-00002F040000}"/>
    <cellStyle name="Input 2 5 2" xfId="350" xr:uid="{00000000-0005-0000-0000-000030040000}"/>
    <cellStyle name="Input 2 5 2 2" xfId="444" xr:uid="{00000000-0005-0000-0000-000031040000}"/>
    <cellStyle name="Input 2 5 2 3" xfId="1169" xr:uid="{00000000-0005-0000-0000-000032040000}"/>
    <cellStyle name="Input 2 5 2 4" xfId="1857" xr:uid="{00000000-0005-0000-0000-000033040000}"/>
    <cellStyle name="Input 2 5 3" xfId="443" xr:uid="{00000000-0005-0000-0000-000034040000}"/>
    <cellStyle name="Input 2 5 4" xfId="1606" xr:uid="{00000000-0005-0000-0000-000035040000}"/>
    <cellStyle name="Input 2 5 5" xfId="1856" xr:uid="{00000000-0005-0000-0000-000036040000}"/>
    <cellStyle name="Input 2 6" xfId="184" xr:uid="{00000000-0005-0000-0000-000037040000}"/>
    <cellStyle name="Input 2 6 2" xfId="346" xr:uid="{00000000-0005-0000-0000-000038040000}"/>
    <cellStyle name="Input 2 6 2 2" xfId="446" xr:uid="{00000000-0005-0000-0000-000039040000}"/>
    <cellStyle name="Input 2 6 2 3" xfId="1385" xr:uid="{00000000-0005-0000-0000-00003A040000}"/>
    <cellStyle name="Input 2 6 2 4" xfId="1859" xr:uid="{00000000-0005-0000-0000-00003B040000}"/>
    <cellStyle name="Input 2 6 3" xfId="445" xr:uid="{00000000-0005-0000-0000-00003C040000}"/>
    <cellStyle name="Input 2 6 4" xfId="1358" xr:uid="{00000000-0005-0000-0000-00003D040000}"/>
    <cellStyle name="Input 2 6 5" xfId="1858" xr:uid="{00000000-0005-0000-0000-00003E040000}"/>
    <cellStyle name="Input 2 7" xfId="228" xr:uid="{00000000-0005-0000-0000-00003F040000}"/>
    <cellStyle name="Input 2 7 2" xfId="447" xr:uid="{00000000-0005-0000-0000-000040040000}"/>
    <cellStyle name="Input 2 7 2 2" xfId="2275" xr:uid="{00000000-0005-0000-0000-000041040000}"/>
    <cellStyle name="Input 2 7 3" xfId="1251" xr:uid="{00000000-0005-0000-0000-000042040000}"/>
    <cellStyle name="Input 2 7 4" xfId="1860" xr:uid="{00000000-0005-0000-0000-000043040000}"/>
    <cellStyle name="Input 2 8" xfId="248" xr:uid="{00000000-0005-0000-0000-000044040000}"/>
    <cellStyle name="Input 2 8 2" xfId="404" xr:uid="{00000000-0005-0000-0000-000045040000}"/>
    <cellStyle name="Input 2 8 2 2" xfId="449" xr:uid="{00000000-0005-0000-0000-000046040000}"/>
    <cellStyle name="Input 2 8 2 3" xfId="1605" xr:uid="{00000000-0005-0000-0000-000047040000}"/>
    <cellStyle name="Input 2 8 2 4" xfId="1862" xr:uid="{00000000-0005-0000-0000-000048040000}"/>
    <cellStyle name="Input 2 8 3" xfId="448" xr:uid="{00000000-0005-0000-0000-000049040000}"/>
    <cellStyle name="Input 2 8 4" xfId="1500" xr:uid="{00000000-0005-0000-0000-00004A040000}"/>
    <cellStyle name="Input 2 8 5" xfId="1861" xr:uid="{00000000-0005-0000-0000-00004B040000}"/>
    <cellStyle name="Input 2 9" xfId="827" xr:uid="{00000000-0005-0000-0000-00004C040000}"/>
    <cellStyle name="Input 2 9 2" xfId="2101" xr:uid="{00000000-0005-0000-0000-00004D040000}"/>
    <cellStyle name="isi tabel" xfId="829" xr:uid="{00000000-0005-0000-0000-00004E040000}"/>
    <cellStyle name="isi tabel 2" xfId="830" xr:uid="{00000000-0005-0000-0000-00004F040000}"/>
    <cellStyle name="Judul Kolom" xfId="831" xr:uid="{00000000-0005-0000-0000-000050040000}"/>
    <cellStyle name="Judul Kolom 2" xfId="832" xr:uid="{00000000-0005-0000-0000-000051040000}"/>
    <cellStyle name="Judul Kolom 2 2" xfId="833" xr:uid="{00000000-0005-0000-0000-000052040000}"/>
    <cellStyle name="Judul Kolom 3" xfId="834" xr:uid="{00000000-0005-0000-0000-000053040000}"/>
    <cellStyle name="Judul tabel" xfId="835" xr:uid="{00000000-0005-0000-0000-000054040000}"/>
    <cellStyle name="Judul tabel 2" xfId="836" xr:uid="{00000000-0005-0000-0000-000055040000}"/>
    <cellStyle name="Judul tabel 2 2" xfId="837" xr:uid="{00000000-0005-0000-0000-000056040000}"/>
    <cellStyle name="Judul tabel 3" xfId="838" xr:uid="{00000000-0005-0000-0000-000057040000}"/>
    <cellStyle name="Jumlah" xfId="839" xr:uid="{00000000-0005-0000-0000-000058040000}"/>
    <cellStyle name="Linked Cell 2" xfId="36" xr:uid="{00000000-0005-0000-0000-000059040000}"/>
    <cellStyle name="Linked Cell 2 2" xfId="96" xr:uid="{00000000-0005-0000-0000-00005A040000}"/>
    <cellStyle name="Linked Cell 2 2 2" xfId="841" xr:uid="{00000000-0005-0000-0000-00005B040000}"/>
    <cellStyle name="Linked Cell 2 2 2 2" xfId="2158" xr:uid="{00000000-0005-0000-0000-00005C040000}"/>
    <cellStyle name="Linked Cell 2 2 3" xfId="1519" xr:uid="{00000000-0005-0000-0000-00005D040000}"/>
    <cellStyle name="Linked Cell 2 2 4" xfId="1864" xr:uid="{00000000-0005-0000-0000-00005E040000}"/>
    <cellStyle name="Linked Cell 2 3" xfId="167" xr:uid="{00000000-0005-0000-0000-00005F040000}"/>
    <cellStyle name="Linked Cell 2 3 2" xfId="329" xr:uid="{00000000-0005-0000-0000-000060040000}"/>
    <cellStyle name="Linked Cell 2 3 2 2" xfId="1252" xr:uid="{00000000-0005-0000-0000-000061040000}"/>
    <cellStyle name="Linked Cell 2 3 2 2 2" xfId="2362" xr:uid="{00000000-0005-0000-0000-000062040000}"/>
    <cellStyle name="Linked Cell 2 3 2 3" xfId="1866" xr:uid="{00000000-0005-0000-0000-000063040000}"/>
    <cellStyle name="Linked Cell 2 3 3" xfId="1544" xr:uid="{00000000-0005-0000-0000-000064040000}"/>
    <cellStyle name="Linked Cell 2 3 3 2" xfId="2227" xr:uid="{00000000-0005-0000-0000-000065040000}"/>
    <cellStyle name="Linked Cell 2 3 4" xfId="1865" xr:uid="{00000000-0005-0000-0000-000066040000}"/>
    <cellStyle name="Linked Cell 2 4" xfId="249" xr:uid="{00000000-0005-0000-0000-000067040000}"/>
    <cellStyle name="Linked Cell 2 4 2" xfId="405" xr:uid="{00000000-0005-0000-0000-000068040000}"/>
    <cellStyle name="Linked Cell 2 4 2 2" xfId="1608" xr:uid="{00000000-0005-0000-0000-000069040000}"/>
    <cellStyle name="Linked Cell 2 4 2 2 2" xfId="2423" xr:uid="{00000000-0005-0000-0000-00006A040000}"/>
    <cellStyle name="Linked Cell 2 4 2 3" xfId="1868" xr:uid="{00000000-0005-0000-0000-00006B040000}"/>
    <cellStyle name="Linked Cell 2 4 3" xfId="1345" xr:uid="{00000000-0005-0000-0000-00006C040000}"/>
    <cellStyle name="Linked Cell 2 4 3 2" xfId="2293" xr:uid="{00000000-0005-0000-0000-00006D040000}"/>
    <cellStyle name="Linked Cell 2 4 4" xfId="1867" xr:uid="{00000000-0005-0000-0000-00006E040000}"/>
    <cellStyle name="Linked Cell 2 5" xfId="840" xr:uid="{00000000-0005-0000-0000-00006F040000}"/>
    <cellStyle name="Linked Cell 2 5 2" xfId="2102" xr:uid="{00000000-0005-0000-0000-000070040000}"/>
    <cellStyle name="Linked Cell 2 6" xfId="1228" xr:uid="{00000000-0005-0000-0000-000071040000}"/>
    <cellStyle name="Linked Cell 2 7" xfId="1863" xr:uid="{00000000-0005-0000-0000-000072040000}"/>
    <cellStyle name="Millares [0]_Well Timing" xfId="842" xr:uid="{00000000-0005-0000-0000-000073040000}"/>
    <cellStyle name="Millares_Well Timing" xfId="843" xr:uid="{00000000-0005-0000-0000-000074040000}"/>
    <cellStyle name="Moneda [0]_Well Timing" xfId="844" xr:uid="{00000000-0005-0000-0000-000075040000}"/>
    <cellStyle name="Moneda_Well Timing" xfId="845" xr:uid="{00000000-0005-0000-0000-000076040000}"/>
    <cellStyle name="Neutral 2" xfId="37" xr:uid="{00000000-0005-0000-0000-000077040000}"/>
    <cellStyle name="Neutral 2 2" xfId="97" xr:uid="{00000000-0005-0000-0000-000078040000}"/>
    <cellStyle name="Neutral 2 2 2" xfId="847" xr:uid="{00000000-0005-0000-0000-000079040000}"/>
    <cellStyle name="Neutral 2 2 2 2" xfId="2159" xr:uid="{00000000-0005-0000-0000-00007A040000}"/>
    <cellStyle name="Neutral 2 2 3" xfId="1155" xr:uid="{00000000-0005-0000-0000-00007B040000}"/>
    <cellStyle name="Neutral 2 2 4" xfId="1870" xr:uid="{00000000-0005-0000-0000-00007C040000}"/>
    <cellStyle name="Neutral 2 3" xfId="168" xr:uid="{00000000-0005-0000-0000-00007D040000}"/>
    <cellStyle name="Neutral 2 3 2" xfId="330" xr:uid="{00000000-0005-0000-0000-00007E040000}"/>
    <cellStyle name="Neutral 2 3 2 2" xfId="1315" xr:uid="{00000000-0005-0000-0000-00007F040000}"/>
    <cellStyle name="Neutral 2 3 2 2 2" xfId="2363" xr:uid="{00000000-0005-0000-0000-000080040000}"/>
    <cellStyle name="Neutral 2 3 2 3" xfId="1872" xr:uid="{00000000-0005-0000-0000-000081040000}"/>
    <cellStyle name="Neutral 2 3 3" xfId="1180" xr:uid="{00000000-0005-0000-0000-000082040000}"/>
    <cellStyle name="Neutral 2 3 3 2" xfId="2228" xr:uid="{00000000-0005-0000-0000-000083040000}"/>
    <cellStyle name="Neutral 2 3 4" xfId="1871" xr:uid="{00000000-0005-0000-0000-000084040000}"/>
    <cellStyle name="Neutral 2 4" xfId="250" xr:uid="{00000000-0005-0000-0000-000085040000}"/>
    <cellStyle name="Neutral 2 4 2" xfId="406" xr:uid="{00000000-0005-0000-0000-000086040000}"/>
    <cellStyle name="Neutral 2 4 2 2" xfId="1296" xr:uid="{00000000-0005-0000-0000-000087040000}"/>
    <cellStyle name="Neutral 2 4 2 2 2" xfId="2424" xr:uid="{00000000-0005-0000-0000-000088040000}"/>
    <cellStyle name="Neutral 2 4 2 3" xfId="1874" xr:uid="{00000000-0005-0000-0000-000089040000}"/>
    <cellStyle name="Neutral 2 4 3" xfId="1507" xr:uid="{00000000-0005-0000-0000-00008A040000}"/>
    <cellStyle name="Neutral 2 4 3 2" xfId="2294" xr:uid="{00000000-0005-0000-0000-00008B040000}"/>
    <cellStyle name="Neutral 2 4 4" xfId="1873" xr:uid="{00000000-0005-0000-0000-00008C040000}"/>
    <cellStyle name="Neutral 2 5" xfId="846" xr:uid="{00000000-0005-0000-0000-00008D040000}"/>
    <cellStyle name="Neutral 2 5 2" xfId="2103" xr:uid="{00000000-0005-0000-0000-00008E040000}"/>
    <cellStyle name="Neutral 2 6" xfId="1227" xr:uid="{00000000-0005-0000-0000-00008F040000}"/>
    <cellStyle name="Neutral 2 7" xfId="1869" xr:uid="{00000000-0005-0000-0000-000090040000}"/>
    <cellStyle name="no kolom" xfId="848" xr:uid="{00000000-0005-0000-0000-000091040000}"/>
    <cellStyle name="no kolom 2" xfId="849" xr:uid="{00000000-0005-0000-0000-000092040000}"/>
    <cellStyle name="Normal" xfId="0" builtinId="0"/>
    <cellStyle name="Normal 10" xfId="207" xr:uid="{00000000-0005-0000-0000-000094040000}"/>
    <cellStyle name="Normal 10 10" xfId="1458" xr:uid="{00000000-0005-0000-0000-000095040000}"/>
    <cellStyle name="Normal 10 11" xfId="1875" xr:uid="{00000000-0005-0000-0000-000096040000}"/>
    <cellStyle name="Normal 10 2" xfId="368" xr:uid="{00000000-0005-0000-0000-000097040000}"/>
    <cellStyle name="Normal 10 2 10" xfId="1876" xr:uid="{00000000-0005-0000-0000-000098040000}"/>
    <cellStyle name="Normal 10 2 2" xfId="451" xr:uid="{00000000-0005-0000-0000-000099040000}"/>
    <cellStyle name="Normal 10 2 2 2" xfId="2388" xr:uid="{00000000-0005-0000-0000-00009A040000}"/>
    <cellStyle name="Normal 10 2 3" xfId="606" xr:uid="{00000000-0005-0000-0000-00009B040000}"/>
    <cellStyle name="Normal 10 2 3 2" xfId="2501" xr:uid="{00000000-0005-0000-0000-00009C040000}"/>
    <cellStyle name="Normal 10 2 4" xfId="668" xr:uid="{00000000-0005-0000-0000-00009D040000}"/>
    <cellStyle name="Normal 10 2 4 2" xfId="2569" xr:uid="{00000000-0005-0000-0000-00009E040000}"/>
    <cellStyle name="Normal 10 2 5" xfId="1016" xr:uid="{00000000-0005-0000-0000-00009F040000}"/>
    <cellStyle name="Normal 10 2 6" xfId="1023" xr:uid="{00000000-0005-0000-0000-0000A0040000}"/>
    <cellStyle name="Normal 10 2 7" xfId="1143" xr:uid="{00000000-0005-0000-0000-0000A1040000}"/>
    <cellStyle name="Normal 10 2 8" xfId="1514" xr:uid="{00000000-0005-0000-0000-0000A2040000}"/>
    <cellStyle name="Normal 10 2 9" xfId="1610" xr:uid="{00000000-0005-0000-0000-0000A3040000}"/>
    <cellStyle name="Normal 10 3" xfId="450" xr:uid="{00000000-0005-0000-0000-0000A4040000}"/>
    <cellStyle name="Normal 10 3 2" xfId="850" xr:uid="{00000000-0005-0000-0000-0000A5040000}"/>
    <cellStyle name="Normal 10 3 3" xfId="2254" xr:uid="{00000000-0005-0000-0000-0000A6040000}"/>
    <cellStyle name="Normal 10 4" xfId="574" xr:uid="{00000000-0005-0000-0000-0000A7040000}"/>
    <cellStyle name="Normal 10 4 2" xfId="2465" xr:uid="{00000000-0005-0000-0000-0000A8040000}"/>
    <cellStyle name="Normal 10 5" xfId="636" xr:uid="{00000000-0005-0000-0000-0000A9040000}"/>
    <cellStyle name="Normal 10 5 2" xfId="2533" xr:uid="{00000000-0005-0000-0000-0000AA040000}"/>
    <cellStyle name="Normal 10 6" xfId="984" xr:uid="{00000000-0005-0000-0000-0000AB040000}"/>
    <cellStyle name="Normal 10 7" xfId="1022" xr:uid="{00000000-0005-0000-0000-0000AC040000}"/>
    <cellStyle name="Normal 10 8" xfId="1111" xr:uid="{00000000-0005-0000-0000-0000AD040000}"/>
    <cellStyle name="Normal 10 9" xfId="1353" xr:uid="{00000000-0005-0000-0000-0000AE040000}"/>
    <cellStyle name="Normal 11" xfId="269" xr:uid="{00000000-0005-0000-0000-0000AF040000}"/>
    <cellStyle name="Normal 11 10" xfId="1877" xr:uid="{00000000-0005-0000-0000-0000B0040000}"/>
    <cellStyle name="Normal 11 2" xfId="452" xr:uid="{00000000-0005-0000-0000-0000B1040000}"/>
    <cellStyle name="Normal 11 2 2" xfId="851" xr:uid="{00000000-0005-0000-0000-0000B2040000}"/>
    <cellStyle name="Normal 11 2 3" xfId="2057" xr:uid="{00000000-0005-0000-0000-0000B3040000}"/>
    <cellStyle name="Normal 11 3" xfId="579" xr:uid="{00000000-0005-0000-0000-0000B4040000}"/>
    <cellStyle name="Normal 11 3 2" xfId="2309" xr:uid="{00000000-0005-0000-0000-0000B5040000}"/>
    <cellStyle name="Normal 11 4" xfId="641" xr:uid="{00000000-0005-0000-0000-0000B6040000}"/>
    <cellStyle name="Normal 11 4 2" xfId="2474" xr:uid="{00000000-0005-0000-0000-0000B7040000}"/>
    <cellStyle name="Normal 11 5" xfId="989" xr:uid="{00000000-0005-0000-0000-0000B8040000}"/>
    <cellStyle name="Normal 11 5 2" xfId="2542" xr:uid="{00000000-0005-0000-0000-0000B9040000}"/>
    <cellStyle name="Normal 11 6" xfId="1024" xr:uid="{00000000-0005-0000-0000-0000BA040000}"/>
    <cellStyle name="Normal 11 7" xfId="1116" xr:uid="{00000000-0005-0000-0000-0000BB040000}"/>
    <cellStyle name="Normal 11 8" xfId="1415" xr:uid="{00000000-0005-0000-0000-0000BC040000}"/>
    <cellStyle name="Normal 11 9" xfId="1513" xr:uid="{00000000-0005-0000-0000-0000BD040000}"/>
    <cellStyle name="Normal 12" xfId="423" xr:uid="{00000000-0005-0000-0000-0000BE040000}"/>
    <cellStyle name="Normal 12 2" xfId="853" xr:uid="{00000000-0005-0000-0000-0000BF040000}"/>
    <cellStyle name="Normal 12 3" xfId="854" xr:uid="{00000000-0005-0000-0000-0000C0040000}"/>
    <cellStyle name="Normal 12 4" xfId="852" xr:uid="{00000000-0005-0000-0000-0000C1040000}"/>
    <cellStyle name="Normal 12 5" xfId="2052" xr:uid="{00000000-0005-0000-0000-0000C2040000}"/>
    <cellStyle name="Normal 13" xfId="855" xr:uid="{00000000-0005-0000-0000-0000C3040000}"/>
    <cellStyle name="Normal 13 2" xfId="2068" xr:uid="{00000000-0005-0000-0000-0000C4040000}"/>
    <cellStyle name="Normal 14" xfId="1021" xr:uid="{00000000-0005-0000-0000-0000C5040000}"/>
    <cellStyle name="Normal 14 2" xfId="2438" xr:uid="{00000000-0005-0000-0000-0000C6040000}"/>
    <cellStyle name="Normal 14 3" xfId="270" xr:uid="{00000000-0005-0000-0000-0000C7040000}"/>
    <cellStyle name="Normal 14 3 10" xfId="1878" xr:uid="{00000000-0005-0000-0000-0000C8040000}"/>
    <cellStyle name="Normal 14 3 2" xfId="453" xr:uid="{00000000-0005-0000-0000-0000C9040000}"/>
    <cellStyle name="Normal 14 3 2 2" xfId="2058" xr:uid="{00000000-0005-0000-0000-0000CA040000}"/>
    <cellStyle name="Normal 14 3 3" xfId="580" xr:uid="{00000000-0005-0000-0000-0000CB040000}"/>
    <cellStyle name="Normal 14 3 3 2" xfId="2310" xr:uid="{00000000-0005-0000-0000-0000CC040000}"/>
    <cellStyle name="Normal 14 3 4" xfId="642" xr:uid="{00000000-0005-0000-0000-0000CD040000}"/>
    <cellStyle name="Normal 14 3 4 2" xfId="2475" xr:uid="{00000000-0005-0000-0000-0000CE040000}"/>
    <cellStyle name="Normal 14 3 5" xfId="990" xr:uid="{00000000-0005-0000-0000-0000CF040000}"/>
    <cellStyle name="Normal 14 3 5 2" xfId="2543" xr:uid="{00000000-0005-0000-0000-0000D0040000}"/>
    <cellStyle name="Normal 14 3 6" xfId="1025" xr:uid="{00000000-0005-0000-0000-0000D1040000}"/>
    <cellStyle name="Normal 14 3 7" xfId="1117" xr:uid="{00000000-0005-0000-0000-0000D2040000}"/>
    <cellStyle name="Normal 14 3 8" xfId="1416" xr:uid="{00000000-0005-0000-0000-0000D3040000}"/>
    <cellStyle name="Normal 14 3 9" xfId="1495" xr:uid="{00000000-0005-0000-0000-0000D4040000}"/>
    <cellStyle name="Normal 15" xfId="1629" xr:uid="{00000000-0005-0000-0000-0000D5040000}"/>
    <cellStyle name="Normal 16" xfId="422" xr:uid="{00000000-0005-0000-0000-0000D6040000}"/>
    <cellStyle name="Normal 16 2" xfId="454" xr:uid="{00000000-0005-0000-0000-0000D7040000}"/>
    <cellStyle name="Normal 16 2 2" xfId="2060" xr:uid="{00000000-0005-0000-0000-0000D8040000}"/>
    <cellStyle name="Normal 16 3" xfId="1214" xr:uid="{00000000-0005-0000-0000-0000D9040000}"/>
    <cellStyle name="Normal 16 3 2" xfId="2437" xr:uid="{00000000-0005-0000-0000-0000DA040000}"/>
    <cellStyle name="Normal 16 4" xfId="1879" xr:uid="{00000000-0005-0000-0000-0000DB040000}"/>
    <cellStyle name="Normal 17" xfId="1631" xr:uid="{00000000-0005-0000-0000-0000DC040000}"/>
    <cellStyle name="Normal 2" xfId="38" xr:uid="{00000000-0005-0000-0000-0000DD040000}"/>
    <cellStyle name="Normal 2 10" xfId="856" xr:uid="{00000000-0005-0000-0000-0000DE040000}"/>
    <cellStyle name="Normal 2 11" xfId="857" xr:uid="{00000000-0005-0000-0000-0000DF040000}"/>
    <cellStyle name="Normal 2 12" xfId="858" xr:uid="{00000000-0005-0000-0000-0000E0040000}"/>
    <cellStyle name="Normal 2 12 2" xfId="859" xr:uid="{00000000-0005-0000-0000-0000E1040000}"/>
    <cellStyle name="Normal 2 12 2 2" xfId="860" xr:uid="{00000000-0005-0000-0000-0000E2040000}"/>
    <cellStyle name="Normal 2 12 3" xfId="861" xr:uid="{00000000-0005-0000-0000-0000E3040000}"/>
    <cellStyle name="Normal 2 13" xfId="862" xr:uid="{00000000-0005-0000-0000-0000E4040000}"/>
    <cellStyle name="Normal 2 14" xfId="1238" xr:uid="{00000000-0005-0000-0000-0000E5040000}"/>
    <cellStyle name="Normal 2 15" xfId="1880" xr:uid="{00000000-0005-0000-0000-0000E6040000}"/>
    <cellStyle name="Normal 2 2" xfId="39" xr:uid="{00000000-0005-0000-0000-0000E7040000}"/>
    <cellStyle name="Normal 2 2 10" xfId="864" xr:uid="{00000000-0005-0000-0000-0000E8040000}"/>
    <cellStyle name="Normal 2 2 10 2" xfId="865" xr:uid="{00000000-0005-0000-0000-0000E9040000}"/>
    <cellStyle name="Normal 2 2 10 2 2" xfId="866" xr:uid="{00000000-0005-0000-0000-0000EA040000}"/>
    <cellStyle name="Normal 2 2 10 2 2 2" xfId="867" xr:uid="{00000000-0005-0000-0000-0000EB040000}"/>
    <cellStyle name="Normal 2 2 10 2 3" xfId="868" xr:uid="{00000000-0005-0000-0000-0000EC040000}"/>
    <cellStyle name="Normal 2 2 10 3" xfId="869" xr:uid="{00000000-0005-0000-0000-0000ED040000}"/>
    <cellStyle name="Normal 2 2 11" xfId="870" xr:uid="{00000000-0005-0000-0000-0000EE040000}"/>
    <cellStyle name="Normal 2 2 11 2" xfId="871" xr:uid="{00000000-0005-0000-0000-0000EF040000}"/>
    <cellStyle name="Normal 2 2 12" xfId="872" xr:uid="{00000000-0005-0000-0000-0000F0040000}"/>
    <cellStyle name="Normal 2 2 12 2" xfId="873" xr:uid="{00000000-0005-0000-0000-0000F1040000}"/>
    <cellStyle name="Normal 2 2 13" xfId="863" xr:uid="{00000000-0005-0000-0000-0000F2040000}"/>
    <cellStyle name="Normal 2 2 14" xfId="1223" xr:uid="{00000000-0005-0000-0000-0000F3040000}"/>
    <cellStyle name="Normal 2 2 15" xfId="1881" xr:uid="{00000000-0005-0000-0000-0000F4040000}"/>
    <cellStyle name="Normal 2 2 2" xfId="98" xr:uid="{00000000-0005-0000-0000-0000F5040000}"/>
    <cellStyle name="Normal 2 2 2 2" xfId="875" xr:uid="{00000000-0005-0000-0000-0000F6040000}"/>
    <cellStyle name="Normal 2 2 2 2 2" xfId="2160" xr:uid="{00000000-0005-0000-0000-0000F7040000}"/>
    <cellStyle name="Normal 2 2 2 3" xfId="876" xr:uid="{00000000-0005-0000-0000-0000F8040000}"/>
    <cellStyle name="Normal 2 2 2 4" xfId="877" xr:uid="{00000000-0005-0000-0000-0000F9040000}"/>
    <cellStyle name="Normal 2 2 2 5" xfId="878" xr:uid="{00000000-0005-0000-0000-0000FA040000}"/>
    <cellStyle name="Normal 2 2 2 6" xfId="879" xr:uid="{00000000-0005-0000-0000-0000FB040000}"/>
    <cellStyle name="Normal 2 2 2 7" xfId="874" xr:uid="{00000000-0005-0000-0000-0000FC040000}"/>
    <cellStyle name="Normal 2 2 2 8" xfId="1477" xr:uid="{00000000-0005-0000-0000-0000FD040000}"/>
    <cellStyle name="Normal 2 2 2 9" xfId="1882" xr:uid="{00000000-0005-0000-0000-0000FE040000}"/>
    <cellStyle name="Normal 2 2 3" xfId="99" xr:uid="{00000000-0005-0000-0000-0000FF040000}"/>
    <cellStyle name="Normal 2 2 3 2" xfId="1343" xr:uid="{00000000-0005-0000-0000-000000050000}"/>
    <cellStyle name="Normal 2 2 3 2 2" xfId="2161" xr:uid="{00000000-0005-0000-0000-000001050000}"/>
    <cellStyle name="Normal 2 2 3 3" xfId="1883" xr:uid="{00000000-0005-0000-0000-000002050000}"/>
    <cellStyle name="Normal 2 2 4" xfId="170" xr:uid="{00000000-0005-0000-0000-000003050000}"/>
    <cellStyle name="Normal 2 2 4 2" xfId="332" xr:uid="{00000000-0005-0000-0000-000004050000}"/>
    <cellStyle name="Normal 2 2 4 2 2" xfId="1232" xr:uid="{00000000-0005-0000-0000-000005050000}"/>
    <cellStyle name="Normal 2 2 4 2 2 2" xfId="2365" xr:uid="{00000000-0005-0000-0000-000006050000}"/>
    <cellStyle name="Normal 2 2 4 2 3" xfId="1885" xr:uid="{00000000-0005-0000-0000-000007050000}"/>
    <cellStyle name="Normal 2 2 4 3" xfId="1578" xr:uid="{00000000-0005-0000-0000-000008050000}"/>
    <cellStyle name="Normal 2 2 4 3 2" xfId="2230" xr:uid="{00000000-0005-0000-0000-000009050000}"/>
    <cellStyle name="Normal 2 2 4 4" xfId="1884" xr:uid="{00000000-0005-0000-0000-00000A050000}"/>
    <cellStyle name="Normal 2 2 5" xfId="252" xr:uid="{00000000-0005-0000-0000-00000B050000}"/>
    <cellStyle name="Normal 2 2 5 2" xfId="408" xr:uid="{00000000-0005-0000-0000-00000C050000}"/>
    <cellStyle name="Normal 2 2 5 2 2" xfId="1499" xr:uid="{00000000-0005-0000-0000-00000D050000}"/>
    <cellStyle name="Normal 2 2 5 2 2 2" xfId="2426" xr:uid="{00000000-0005-0000-0000-00000E050000}"/>
    <cellStyle name="Normal 2 2 5 2 3" xfId="1887" xr:uid="{00000000-0005-0000-0000-00000F050000}"/>
    <cellStyle name="Normal 2 2 5 3" xfId="1218" xr:uid="{00000000-0005-0000-0000-000010050000}"/>
    <cellStyle name="Normal 2 2 5 3 2" xfId="2296" xr:uid="{00000000-0005-0000-0000-000011050000}"/>
    <cellStyle name="Normal 2 2 5 4" xfId="1886" xr:uid="{00000000-0005-0000-0000-000012050000}"/>
    <cellStyle name="Normal 2 2 6" xfId="880" xr:uid="{00000000-0005-0000-0000-000013050000}"/>
    <cellStyle name="Normal 2 2 6 2" xfId="2055" xr:uid="{00000000-0005-0000-0000-000014050000}"/>
    <cellStyle name="Normal 2 2 7" xfId="881" xr:uid="{00000000-0005-0000-0000-000015050000}"/>
    <cellStyle name="Normal 2 2 8" xfId="882" xr:uid="{00000000-0005-0000-0000-000016050000}"/>
    <cellStyle name="Normal 2 2 9" xfId="883" xr:uid="{00000000-0005-0000-0000-000017050000}"/>
    <cellStyle name="Normal 2 3" xfId="40" xr:uid="{00000000-0005-0000-0000-000018050000}"/>
    <cellStyle name="Normal 2 3 2" xfId="100" xr:uid="{00000000-0005-0000-0000-000019050000}"/>
    <cellStyle name="Normal 2 3 2 2" xfId="886" xr:uid="{00000000-0005-0000-0000-00001A050000}"/>
    <cellStyle name="Normal 2 3 2 2 2" xfId="2162" xr:uid="{00000000-0005-0000-0000-00001B050000}"/>
    <cellStyle name="Normal 2 3 2 3" xfId="885" xr:uid="{00000000-0005-0000-0000-00001C050000}"/>
    <cellStyle name="Normal 2 3 2 4" xfId="1505" xr:uid="{00000000-0005-0000-0000-00001D050000}"/>
    <cellStyle name="Normal 2 3 2 5" xfId="1889" xr:uid="{00000000-0005-0000-0000-00001E050000}"/>
    <cellStyle name="Normal 2 3 3" xfId="171" xr:uid="{00000000-0005-0000-0000-00001F050000}"/>
    <cellStyle name="Normal 2 3 3 2" xfId="333" xr:uid="{00000000-0005-0000-0000-000020050000}"/>
    <cellStyle name="Normal 2 3 3 2 2" xfId="888" xr:uid="{00000000-0005-0000-0000-000021050000}"/>
    <cellStyle name="Normal 2 3 3 2 2 2" xfId="2366" xr:uid="{00000000-0005-0000-0000-000022050000}"/>
    <cellStyle name="Normal 2 3 3 2 3" xfId="1463" xr:uid="{00000000-0005-0000-0000-000023050000}"/>
    <cellStyle name="Normal 2 3 3 2 4" xfId="1891" xr:uid="{00000000-0005-0000-0000-000024050000}"/>
    <cellStyle name="Normal 2 3 3 3" xfId="887" xr:uid="{00000000-0005-0000-0000-000025050000}"/>
    <cellStyle name="Normal 2 3 3 3 2" xfId="2231" xr:uid="{00000000-0005-0000-0000-000026050000}"/>
    <cellStyle name="Normal 2 3 3 4" xfId="1603" xr:uid="{00000000-0005-0000-0000-000027050000}"/>
    <cellStyle name="Normal 2 3 3 5" xfId="1890" xr:uid="{00000000-0005-0000-0000-000028050000}"/>
    <cellStyle name="Normal 2 3 4" xfId="253" xr:uid="{00000000-0005-0000-0000-000029050000}"/>
    <cellStyle name="Normal 2 3 4 2" xfId="409" xr:uid="{00000000-0005-0000-0000-00002A050000}"/>
    <cellStyle name="Normal 2 3 4 2 2" xfId="1209" xr:uid="{00000000-0005-0000-0000-00002B050000}"/>
    <cellStyle name="Normal 2 3 4 2 2 2" xfId="2427" xr:uid="{00000000-0005-0000-0000-00002C050000}"/>
    <cellStyle name="Normal 2 3 4 2 3" xfId="1893" xr:uid="{00000000-0005-0000-0000-00002D050000}"/>
    <cellStyle name="Normal 2 3 4 3" xfId="1303" xr:uid="{00000000-0005-0000-0000-00002E050000}"/>
    <cellStyle name="Normal 2 3 4 3 2" xfId="2297" xr:uid="{00000000-0005-0000-0000-00002F050000}"/>
    <cellStyle name="Normal 2 3 4 4" xfId="1892" xr:uid="{00000000-0005-0000-0000-000030050000}"/>
    <cellStyle name="Normal 2 3 5" xfId="884" xr:uid="{00000000-0005-0000-0000-000031050000}"/>
    <cellStyle name="Normal 2 3 5 2" xfId="2104" xr:uid="{00000000-0005-0000-0000-000032050000}"/>
    <cellStyle name="Normal 2 3 6" xfId="1397" xr:uid="{00000000-0005-0000-0000-000033050000}"/>
    <cellStyle name="Normal 2 3 7" xfId="1888" xr:uid="{00000000-0005-0000-0000-000034050000}"/>
    <cellStyle name="Normal 2 4" xfId="41" xr:uid="{00000000-0005-0000-0000-000035050000}"/>
    <cellStyle name="Normal 2 4 10" xfId="455" xr:uid="{00000000-0005-0000-0000-000036050000}"/>
    <cellStyle name="Normal 2 4 10 2" xfId="2056" xr:uid="{00000000-0005-0000-0000-000037050000}"/>
    <cellStyle name="Normal 2 4 11" xfId="1026" xr:uid="{00000000-0005-0000-0000-000038050000}"/>
    <cellStyle name="Normal 2 4 11 2" xfId="2105" xr:uid="{00000000-0005-0000-0000-000039050000}"/>
    <cellStyle name="Normal 2 4 12" xfId="1515" xr:uid="{00000000-0005-0000-0000-00003A050000}"/>
    <cellStyle name="Normal 2 4 13" xfId="1894" xr:uid="{00000000-0005-0000-0000-00003B050000}"/>
    <cellStyle name="Normal 2 4 2" xfId="54" xr:uid="{00000000-0005-0000-0000-00003C050000}"/>
    <cellStyle name="Normal 2 4 2 2" xfId="101" xr:uid="{00000000-0005-0000-0000-00003D050000}"/>
    <cellStyle name="Normal 2 4 2 2 2" xfId="1414" xr:uid="{00000000-0005-0000-0000-00003E050000}"/>
    <cellStyle name="Normal 2 4 2 2 2 2" xfId="2163" xr:uid="{00000000-0005-0000-0000-00003F050000}"/>
    <cellStyle name="Normal 2 4 2 2 3" xfId="1896" xr:uid="{00000000-0005-0000-0000-000040050000}"/>
    <cellStyle name="Normal 2 4 2 3" xfId="102" xr:uid="{00000000-0005-0000-0000-000041050000}"/>
    <cellStyle name="Normal 2 4 2 3 2" xfId="1290" xr:uid="{00000000-0005-0000-0000-000042050000}"/>
    <cellStyle name="Normal 2 4 2 3 2 2" xfId="2164" xr:uid="{00000000-0005-0000-0000-000043050000}"/>
    <cellStyle name="Normal 2 4 2 3 3" xfId="1897" xr:uid="{00000000-0005-0000-0000-000044050000}"/>
    <cellStyle name="Normal 2 4 2 4" xfId="173" xr:uid="{00000000-0005-0000-0000-000045050000}"/>
    <cellStyle name="Normal 2 4 2 4 2" xfId="335" xr:uid="{00000000-0005-0000-0000-000046050000}"/>
    <cellStyle name="Normal 2 4 2 4 2 2" xfId="1293" xr:uid="{00000000-0005-0000-0000-000047050000}"/>
    <cellStyle name="Normal 2 4 2 4 2 2 2" xfId="2368" xr:uid="{00000000-0005-0000-0000-000048050000}"/>
    <cellStyle name="Normal 2 4 2 4 2 3" xfId="1899" xr:uid="{00000000-0005-0000-0000-000049050000}"/>
    <cellStyle name="Normal 2 4 2 4 3" xfId="1176" xr:uid="{00000000-0005-0000-0000-00004A050000}"/>
    <cellStyle name="Normal 2 4 2 4 3 2" xfId="2233" xr:uid="{00000000-0005-0000-0000-00004B050000}"/>
    <cellStyle name="Normal 2 4 2 4 4" xfId="1898" xr:uid="{00000000-0005-0000-0000-00004C050000}"/>
    <cellStyle name="Normal 2 4 2 5" xfId="255" xr:uid="{00000000-0005-0000-0000-00004D050000}"/>
    <cellStyle name="Normal 2 4 2 5 2" xfId="411" xr:uid="{00000000-0005-0000-0000-00004E050000}"/>
    <cellStyle name="Normal 2 4 2 5 2 2" xfId="1520" xr:uid="{00000000-0005-0000-0000-00004F050000}"/>
    <cellStyle name="Normal 2 4 2 5 2 2 2" xfId="2429" xr:uid="{00000000-0005-0000-0000-000050050000}"/>
    <cellStyle name="Normal 2 4 2 5 2 3" xfId="1901" xr:uid="{00000000-0005-0000-0000-000051050000}"/>
    <cellStyle name="Normal 2 4 2 5 3" xfId="1310" xr:uid="{00000000-0005-0000-0000-000052050000}"/>
    <cellStyle name="Normal 2 4 2 5 3 2" xfId="2299" xr:uid="{00000000-0005-0000-0000-000053050000}"/>
    <cellStyle name="Normal 2 4 2 5 4" xfId="1900" xr:uid="{00000000-0005-0000-0000-000054050000}"/>
    <cellStyle name="Normal 2 4 2 6" xfId="889" xr:uid="{00000000-0005-0000-0000-000055050000}"/>
    <cellStyle name="Normal 2 4 2 6 2" xfId="2062" xr:uid="{00000000-0005-0000-0000-000056050000}"/>
    <cellStyle name="Normal 2 4 2 7" xfId="1364" xr:uid="{00000000-0005-0000-0000-000057050000}"/>
    <cellStyle name="Normal 2 4 2 7 2" xfId="2116" xr:uid="{00000000-0005-0000-0000-000058050000}"/>
    <cellStyle name="Normal 2 4 2 8" xfId="1895" xr:uid="{00000000-0005-0000-0000-000059050000}"/>
    <cellStyle name="Normal 2 4 3" xfId="103" xr:uid="{00000000-0005-0000-0000-00005A050000}"/>
    <cellStyle name="Normal 2 4 3 2" xfId="1553" xr:uid="{00000000-0005-0000-0000-00005B050000}"/>
    <cellStyle name="Normal 2 4 3 2 2" xfId="2165" xr:uid="{00000000-0005-0000-0000-00005C050000}"/>
    <cellStyle name="Normal 2 4 3 3" xfId="1902" xr:uid="{00000000-0005-0000-0000-00005D050000}"/>
    <cellStyle name="Normal 2 4 4" xfId="104" xr:uid="{00000000-0005-0000-0000-00005E050000}"/>
    <cellStyle name="Normal 2 4 4 10" xfId="1387" xr:uid="{00000000-0005-0000-0000-00005F050000}"/>
    <cellStyle name="Normal 2 4 4 11" xfId="1903" xr:uid="{00000000-0005-0000-0000-000060050000}"/>
    <cellStyle name="Normal 2 4 4 2" xfId="278" xr:uid="{00000000-0005-0000-0000-000061050000}"/>
    <cellStyle name="Normal 2 4 4 2 10" xfId="1904" xr:uid="{00000000-0005-0000-0000-000062050000}"/>
    <cellStyle name="Normal 2 4 4 2 2" xfId="457" xr:uid="{00000000-0005-0000-0000-000063050000}"/>
    <cellStyle name="Normal 2 4 4 2 2 2" xfId="2316" xr:uid="{00000000-0005-0000-0000-000064050000}"/>
    <cellStyle name="Normal 2 4 4 2 3" xfId="585" xr:uid="{00000000-0005-0000-0000-000065050000}"/>
    <cellStyle name="Normal 2 4 4 2 3 2" xfId="2480" xr:uid="{00000000-0005-0000-0000-000066050000}"/>
    <cellStyle name="Normal 2 4 4 2 4" xfId="647" xr:uid="{00000000-0005-0000-0000-000067050000}"/>
    <cellStyle name="Normal 2 4 4 2 4 2" xfId="2548" xr:uid="{00000000-0005-0000-0000-000068050000}"/>
    <cellStyle name="Normal 2 4 4 2 5" xfId="995" xr:uid="{00000000-0005-0000-0000-000069050000}"/>
    <cellStyle name="Normal 2 4 4 2 6" xfId="1028" xr:uid="{00000000-0005-0000-0000-00006A050000}"/>
    <cellStyle name="Normal 2 4 4 2 7" xfId="1122" xr:uid="{00000000-0005-0000-0000-00006B050000}"/>
    <cellStyle name="Normal 2 4 4 2 8" xfId="1424" xr:uid="{00000000-0005-0000-0000-00006C050000}"/>
    <cellStyle name="Normal 2 4 4 2 9" xfId="1602" xr:uid="{00000000-0005-0000-0000-00006D050000}"/>
    <cellStyle name="Normal 2 4 4 3" xfId="456" xr:uid="{00000000-0005-0000-0000-00006E050000}"/>
    <cellStyle name="Normal 2 4 4 3 2" xfId="2166" xr:uid="{00000000-0005-0000-0000-00006F050000}"/>
    <cellStyle name="Normal 2 4 4 4" xfId="553" xr:uid="{00000000-0005-0000-0000-000070050000}"/>
    <cellStyle name="Normal 2 4 4 4 2" xfId="2443" xr:uid="{00000000-0005-0000-0000-000071050000}"/>
    <cellStyle name="Normal 2 4 4 5" xfId="615" xr:uid="{00000000-0005-0000-0000-000072050000}"/>
    <cellStyle name="Normal 2 4 4 5 2" xfId="2511" xr:uid="{00000000-0005-0000-0000-000073050000}"/>
    <cellStyle name="Normal 2 4 4 6" xfId="963" xr:uid="{00000000-0005-0000-0000-000074050000}"/>
    <cellStyle name="Normal 2 4 4 7" xfId="1027" xr:uid="{00000000-0005-0000-0000-000075050000}"/>
    <cellStyle name="Normal 2 4 4 8" xfId="1090" xr:uid="{00000000-0005-0000-0000-000076050000}"/>
    <cellStyle name="Normal 2 4 4 9" xfId="1250" xr:uid="{00000000-0005-0000-0000-000077050000}"/>
    <cellStyle name="Normal 2 4 5" xfId="126" xr:uid="{00000000-0005-0000-0000-000078050000}"/>
    <cellStyle name="Normal 2 4 5 10" xfId="1378" xr:uid="{00000000-0005-0000-0000-000079050000}"/>
    <cellStyle name="Normal 2 4 5 11" xfId="1905" xr:uid="{00000000-0005-0000-0000-00007A050000}"/>
    <cellStyle name="Normal 2 4 5 2" xfId="288" xr:uid="{00000000-0005-0000-0000-00007B050000}"/>
    <cellStyle name="Normal 2 4 5 2 10" xfId="1906" xr:uid="{00000000-0005-0000-0000-00007C050000}"/>
    <cellStyle name="Normal 2 4 5 2 2" xfId="459" xr:uid="{00000000-0005-0000-0000-00007D050000}"/>
    <cellStyle name="Normal 2 4 5 2 2 2" xfId="2323" xr:uid="{00000000-0005-0000-0000-00007E050000}"/>
    <cellStyle name="Normal 2 4 5 2 3" xfId="592" xr:uid="{00000000-0005-0000-0000-00007F050000}"/>
    <cellStyle name="Normal 2 4 5 2 3 2" xfId="2487" xr:uid="{00000000-0005-0000-0000-000080050000}"/>
    <cellStyle name="Normal 2 4 5 2 4" xfId="654" xr:uid="{00000000-0005-0000-0000-000081050000}"/>
    <cellStyle name="Normal 2 4 5 2 4 2" xfId="2555" xr:uid="{00000000-0005-0000-0000-000082050000}"/>
    <cellStyle name="Normal 2 4 5 2 5" xfId="1002" xr:uid="{00000000-0005-0000-0000-000083050000}"/>
    <cellStyle name="Normal 2 4 5 2 6" xfId="1030" xr:uid="{00000000-0005-0000-0000-000084050000}"/>
    <cellStyle name="Normal 2 4 5 2 7" xfId="1129" xr:uid="{00000000-0005-0000-0000-000085050000}"/>
    <cellStyle name="Normal 2 4 5 2 8" xfId="1434" xr:uid="{00000000-0005-0000-0000-000086050000}"/>
    <cellStyle name="Normal 2 4 5 2 9" xfId="1455" xr:uid="{00000000-0005-0000-0000-000087050000}"/>
    <cellStyle name="Normal 2 4 5 3" xfId="458" xr:uid="{00000000-0005-0000-0000-000088050000}"/>
    <cellStyle name="Normal 2 4 5 3 2" xfId="2188" xr:uid="{00000000-0005-0000-0000-000089050000}"/>
    <cellStyle name="Normal 2 4 5 4" xfId="560" xr:uid="{00000000-0005-0000-0000-00008A050000}"/>
    <cellStyle name="Normal 2 4 5 4 2" xfId="2450" xr:uid="{00000000-0005-0000-0000-00008B050000}"/>
    <cellStyle name="Normal 2 4 5 5" xfId="622" xr:uid="{00000000-0005-0000-0000-00008C050000}"/>
    <cellStyle name="Normal 2 4 5 5 2" xfId="2518" xr:uid="{00000000-0005-0000-0000-00008D050000}"/>
    <cellStyle name="Normal 2 4 5 6" xfId="970" xr:uid="{00000000-0005-0000-0000-00008E050000}"/>
    <cellStyle name="Normal 2 4 5 7" xfId="1029" xr:uid="{00000000-0005-0000-0000-00008F050000}"/>
    <cellStyle name="Normal 2 4 5 8" xfId="1097" xr:uid="{00000000-0005-0000-0000-000090050000}"/>
    <cellStyle name="Normal 2 4 5 9" xfId="1272" xr:uid="{00000000-0005-0000-0000-000091050000}"/>
    <cellStyle name="Normal 2 4 6" xfId="172" xr:uid="{00000000-0005-0000-0000-000092050000}"/>
    <cellStyle name="Normal 2 4 6 10" xfId="1472" xr:uid="{00000000-0005-0000-0000-000093050000}"/>
    <cellStyle name="Normal 2 4 6 11" xfId="1907" xr:uid="{00000000-0005-0000-0000-000094050000}"/>
    <cellStyle name="Normal 2 4 6 2" xfId="334" xr:uid="{00000000-0005-0000-0000-000095050000}"/>
    <cellStyle name="Normal 2 4 6 2 10" xfId="1908" xr:uid="{00000000-0005-0000-0000-000096050000}"/>
    <cellStyle name="Normal 2 4 6 2 2" xfId="461" xr:uid="{00000000-0005-0000-0000-000097050000}"/>
    <cellStyle name="Normal 2 4 6 2 2 2" xfId="2367" xr:uid="{00000000-0005-0000-0000-000098050000}"/>
    <cellStyle name="Normal 2 4 6 2 3" xfId="596" xr:uid="{00000000-0005-0000-0000-000099050000}"/>
    <cellStyle name="Normal 2 4 6 2 3 2" xfId="2491" xr:uid="{00000000-0005-0000-0000-00009A050000}"/>
    <cellStyle name="Normal 2 4 6 2 4" xfId="658" xr:uid="{00000000-0005-0000-0000-00009B050000}"/>
    <cellStyle name="Normal 2 4 6 2 4 2" xfId="2559" xr:uid="{00000000-0005-0000-0000-00009C050000}"/>
    <cellStyle name="Normal 2 4 6 2 5" xfId="1006" xr:uid="{00000000-0005-0000-0000-00009D050000}"/>
    <cellStyle name="Normal 2 4 6 2 6" xfId="1032" xr:uid="{00000000-0005-0000-0000-00009E050000}"/>
    <cellStyle name="Normal 2 4 6 2 7" xfId="1133" xr:uid="{00000000-0005-0000-0000-00009F050000}"/>
    <cellStyle name="Normal 2 4 6 2 8" xfId="1480" xr:uid="{00000000-0005-0000-0000-0000A0050000}"/>
    <cellStyle name="Normal 2 4 6 2 9" xfId="1190" xr:uid="{00000000-0005-0000-0000-0000A1050000}"/>
    <cellStyle name="Normal 2 4 6 3" xfId="460" xr:uid="{00000000-0005-0000-0000-0000A2050000}"/>
    <cellStyle name="Normal 2 4 6 3 2" xfId="2232" xr:uid="{00000000-0005-0000-0000-0000A3050000}"/>
    <cellStyle name="Normal 2 4 6 4" xfId="564" xr:uid="{00000000-0005-0000-0000-0000A4050000}"/>
    <cellStyle name="Normal 2 4 6 4 2" xfId="2454" xr:uid="{00000000-0005-0000-0000-0000A5050000}"/>
    <cellStyle name="Normal 2 4 6 5" xfId="626" xr:uid="{00000000-0005-0000-0000-0000A6050000}"/>
    <cellStyle name="Normal 2 4 6 5 2" xfId="2522" xr:uid="{00000000-0005-0000-0000-0000A7050000}"/>
    <cellStyle name="Normal 2 4 6 6" xfId="974" xr:uid="{00000000-0005-0000-0000-0000A8050000}"/>
    <cellStyle name="Normal 2 4 6 7" xfId="1031" xr:uid="{00000000-0005-0000-0000-0000A9050000}"/>
    <cellStyle name="Normal 2 4 6 8" xfId="1101" xr:uid="{00000000-0005-0000-0000-0000AA050000}"/>
    <cellStyle name="Normal 2 4 6 9" xfId="1318" xr:uid="{00000000-0005-0000-0000-0000AB050000}"/>
    <cellStyle name="Normal 2 4 7" xfId="186" xr:uid="{00000000-0005-0000-0000-0000AC050000}"/>
    <cellStyle name="Normal 2 4 7 10" xfId="1408" xr:uid="{00000000-0005-0000-0000-0000AD050000}"/>
    <cellStyle name="Normal 2 4 7 11" xfId="1909" xr:uid="{00000000-0005-0000-0000-0000AE050000}"/>
    <cellStyle name="Normal 2 4 7 2" xfId="348" xr:uid="{00000000-0005-0000-0000-0000AF050000}"/>
    <cellStyle name="Normal 2 4 7 2 10" xfId="1910" xr:uid="{00000000-0005-0000-0000-0000B0050000}"/>
    <cellStyle name="Normal 2 4 7 2 2" xfId="463" xr:uid="{00000000-0005-0000-0000-0000B1050000}"/>
    <cellStyle name="Normal 2 4 7 2 2 2" xfId="2376" xr:uid="{00000000-0005-0000-0000-0000B2050000}"/>
    <cellStyle name="Normal 2 4 7 2 3" xfId="599" xr:uid="{00000000-0005-0000-0000-0000B3050000}"/>
    <cellStyle name="Normal 2 4 7 2 3 2" xfId="2494" xr:uid="{00000000-0005-0000-0000-0000B4050000}"/>
    <cellStyle name="Normal 2 4 7 2 4" xfId="661" xr:uid="{00000000-0005-0000-0000-0000B5050000}"/>
    <cellStyle name="Normal 2 4 7 2 4 2" xfId="2562" xr:uid="{00000000-0005-0000-0000-0000B6050000}"/>
    <cellStyle name="Normal 2 4 7 2 5" xfId="1009" xr:uid="{00000000-0005-0000-0000-0000B7050000}"/>
    <cellStyle name="Normal 2 4 7 2 6" xfId="1034" xr:uid="{00000000-0005-0000-0000-0000B8050000}"/>
    <cellStyle name="Normal 2 4 7 2 7" xfId="1136" xr:uid="{00000000-0005-0000-0000-0000B9050000}"/>
    <cellStyle name="Normal 2 4 7 2 8" xfId="1494" xr:uid="{00000000-0005-0000-0000-0000BA050000}"/>
    <cellStyle name="Normal 2 4 7 2 9" xfId="1609" xr:uid="{00000000-0005-0000-0000-0000BB050000}"/>
    <cellStyle name="Normal 2 4 7 3" xfId="462" xr:uid="{00000000-0005-0000-0000-0000BC050000}"/>
    <cellStyle name="Normal 2 4 7 3 2" xfId="2241" xr:uid="{00000000-0005-0000-0000-0000BD050000}"/>
    <cellStyle name="Normal 2 4 7 4" xfId="567" xr:uid="{00000000-0005-0000-0000-0000BE050000}"/>
    <cellStyle name="Normal 2 4 7 4 2" xfId="2457" xr:uid="{00000000-0005-0000-0000-0000BF050000}"/>
    <cellStyle name="Normal 2 4 7 5" xfId="629" xr:uid="{00000000-0005-0000-0000-0000C0050000}"/>
    <cellStyle name="Normal 2 4 7 5 2" xfId="2525" xr:uid="{00000000-0005-0000-0000-0000C1050000}"/>
    <cellStyle name="Normal 2 4 7 6" xfId="977" xr:uid="{00000000-0005-0000-0000-0000C2050000}"/>
    <cellStyle name="Normal 2 4 7 7" xfId="1033" xr:uid="{00000000-0005-0000-0000-0000C3050000}"/>
    <cellStyle name="Normal 2 4 7 8" xfId="1104" xr:uid="{00000000-0005-0000-0000-0000C4050000}"/>
    <cellStyle name="Normal 2 4 7 9" xfId="1332" xr:uid="{00000000-0005-0000-0000-0000C5050000}"/>
    <cellStyle name="Normal 2 4 8" xfId="204" xr:uid="{00000000-0005-0000-0000-0000C6050000}"/>
    <cellStyle name="Normal 2 4 8 10" xfId="1168" xr:uid="{00000000-0005-0000-0000-0000C7050000}"/>
    <cellStyle name="Normal 2 4 8 11" xfId="1911" xr:uid="{00000000-0005-0000-0000-0000C8050000}"/>
    <cellStyle name="Normal 2 4 8 2" xfId="365" xr:uid="{00000000-0005-0000-0000-0000C9050000}"/>
    <cellStyle name="Normal 2 4 8 2 10" xfId="1912" xr:uid="{00000000-0005-0000-0000-0000CA050000}"/>
    <cellStyle name="Normal 2 4 8 2 2" xfId="465" xr:uid="{00000000-0005-0000-0000-0000CB050000}"/>
    <cellStyle name="Normal 2 4 8 2 2 2" xfId="2385" xr:uid="{00000000-0005-0000-0000-0000CC050000}"/>
    <cellStyle name="Normal 2 4 8 2 3" xfId="604" xr:uid="{00000000-0005-0000-0000-0000CD050000}"/>
    <cellStyle name="Normal 2 4 8 2 3 2" xfId="2499" xr:uid="{00000000-0005-0000-0000-0000CE050000}"/>
    <cellStyle name="Normal 2 4 8 2 4" xfId="666" xr:uid="{00000000-0005-0000-0000-0000CF050000}"/>
    <cellStyle name="Normal 2 4 8 2 4 2" xfId="2567" xr:uid="{00000000-0005-0000-0000-0000D0050000}"/>
    <cellStyle name="Normal 2 4 8 2 5" xfId="1014" xr:uid="{00000000-0005-0000-0000-0000D1050000}"/>
    <cellStyle name="Normal 2 4 8 2 6" xfId="1036" xr:uid="{00000000-0005-0000-0000-0000D2050000}"/>
    <cellStyle name="Normal 2 4 8 2 7" xfId="1141" xr:uid="{00000000-0005-0000-0000-0000D3050000}"/>
    <cellStyle name="Normal 2 4 8 2 8" xfId="1511" xr:uid="{00000000-0005-0000-0000-0000D4050000}"/>
    <cellStyle name="Normal 2 4 8 2 9" xfId="1369" xr:uid="{00000000-0005-0000-0000-0000D5050000}"/>
    <cellStyle name="Normal 2 4 8 3" xfId="464" xr:uid="{00000000-0005-0000-0000-0000D6050000}"/>
    <cellStyle name="Normal 2 4 8 3 2" xfId="2251" xr:uid="{00000000-0005-0000-0000-0000D7050000}"/>
    <cellStyle name="Normal 2 4 8 4" xfId="572" xr:uid="{00000000-0005-0000-0000-0000D8050000}"/>
    <cellStyle name="Normal 2 4 8 4 2" xfId="2463" xr:uid="{00000000-0005-0000-0000-0000D9050000}"/>
    <cellStyle name="Normal 2 4 8 5" xfId="634" xr:uid="{00000000-0005-0000-0000-0000DA050000}"/>
    <cellStyle name="Normal 2 4 8 5 2" xfId="2531" xr:uid="{00000000-0005-0000-0000-0000DB050000}"/>
    <cellStyle name="Normal 2 4 8 6" xfId="982" xr:uid="{00000000-0005-0000-0000-0000DC050000}"/>
    <cellStyle name="Normal 2 4 8 7" xfId="1035" xr:uid="{00000000-0005-0000-0000-0000DD050000}"/>
    <cellStyle name="Normal 2 4 8 8" xfId="1109" xr:uid="{00000000-0005-0000-0000-0000DE050000}"/>
    <cellStyle name="Normal 2 4 8 9" xfId="1350" xr:uid="{00000000-0005-0000-0000-0000DF050000}"/>
    <cellStyle name="Normal 2 4 9" xfId="254" xr:uid="{00000000-0005-0000-0000-0000E0050000}"/>
    <cellStyle name="Normal 2 4 9 10" xfId="1388" xr:uid="{00000000-0005-0000-0000-0000E1050000}"/>
    <cellStyle name="Normal 2 4 9 11" xfId="1913" xr:uid="{00000000-0005-0000-0000-0000E2050000}"/>
    <cellStyle name="Normal 2 4 9 2" xfId="410" xr:uid="{00000000-0005-0000-0000-0000E3050000}"/>
    <cellStyle name="Normal 2 4 9 2 10" xfId="1914" xr:uid="{00000000-0005-0000-0000-0000E4050000}"/>
    <cellStyle name="Normal 2 4 9 2 2" xfId="467" xr:uid="{00000000-0005-0000-0000-0000E5050000}"/>
    <cellStyle name="Normal 2 4 9 2 2 2" xfId="2428" xr:uid="{00000000-0005-0000-0000-0000E6050000}"/>
    <cellStyle name="Normal 2 4 9 2 3" xfId="608" xr:uid="{00000000-0005-0000-0000-0000E7050000}"/>
    <cellStyle name="Normal 2 4 9 2 3 2" xfId="2504" xr:uid="{00000000-0005-0000-0000-0000E8050000}"/>
    <cellStyle name="Normal 2 4 9 2 4" xfId="670" xr:uid="{00000000-0005-0000-0000-0000E9050000}"/>
    <cellStyle name="Normal 2 4 9 2 4 2" xfId="2572" xr:uid="{00000000-0005-0000-0000-0000EA050000}"/>
    <cellStyle name="Normal 2 4 9 2 5" xfId="1018" xr:uid="{00000000-0005-0000-0000-0000EB050000}"/>
    <cellStyle name="Normal 2 4 9 2 6" xfId="1038" xr:uid="{00000000-0005-0000-0000-0000EC050000}"/>
    <cellStyle name="Normal 2 4 9 2 7" xfId="1145" xr:uid="{00000000-0005-0000-0000-0000ED050000}"/>
    <cellStyle name="Normal 2 4 9 2 8" xfId="1556" xr:uid="{00000000-0005-0000-0000-0000EE050000}"/>
    <cellStyle name="Normal 2 4 9 2 9" xfId="1191" xr:uid="{00000000-0005-0000-0000-0000EF050000}"/>
    <cellStyle name="Normal 2 4 9 3" xfId="466" xr:uid="{00000000-0005-0000-0000-0000F0050000}"/>
    <cellStyle name="Normal 2 4 9 3 2" xfId="2298" xr:uid="{00000000-0005-0000-0000-0000F1050000}"/>
    <cellStyle name="Normal 2 4 9 4" xfId="576" xr:uid="{00000000-0005-0000-0000-0000F2050000}"/>
    <cellStyle name="Normal 2 4 9 4 2" xfId="2468" xr:uid="{00000000-0005-0000-0000-0000F3050000}"/>
    <cellStyle name="Normal 2 4 9 5" xfId="638" xr:uid="{00000000-0005-0000-0000-0000F4050000}"/>
    <cellStyle name="Normal 2 4 9 5 2" xfId="2536" xr:uid="{00000000-0005-0000-0000-0000F5050000}"/>
    <cellStyle name="Normal 2 4 9 6" xfId="986" xr:uid="{00000000-0005-0000-0000-0000F6050000}"/>
    <cellStyle name="Normal 2 4 9 7" xfId="1037" xr:uid="{00000000-0005-0000-0000-0000F7050000}"/>
    <cellStyle name="Normal 2 4 9 8" xfId="1113" xr:uid="{00000000-0005-0000-0000-0000F8050000}"/>
    <cellStyle name="Normal 2 4 9 9" xfId="1400" xr:uid="{00000000-0005-0000-0000-0000F9050000}"/>
    <cellStyle name="Normal 2 5" xfId="105" xr:uid="{00000000-0005-0000-0000-0000FA050000}"/>
    <cellStyle name="Normal 2 5 2" xfId="891" xr:uid="{00000000-0005-0000-0000-0000FB050000}"/>
    <cellStyle name="Normal 2 5 2 2" xfId="2167" xr:uid="{00000000-0005-0000-0000-0000FC050000}"/>
    <cellStyle name="Normal 2 5 3" xfId="890" xr:uid="{00000000-0005-0000-0000-0000FD050000}"/>
    <cellStyle name="Normal 2 5 4" xfId="1564" xr:uid="{00000000-0005-0000-0000-0000FE050000}"/>
    <cellStyle name="Normal 2 5 5" xfId="1915" xr:uid="{00000000-0005-0000-0000-0000FF050000}"/>
    <cellStyle name="Normal 2 6" xfId="106" xr:uid="{00000000-0005-0000-0000-000000060000}"/>
    <cellStyle name="Normal 2 6 2" xfId="893" xr:uid="{00000000-0005-0000-0000-000001060000}"/>
    <cellStyle name="Normal 2 6 2 2" xfId="2168" xr:uid="{00000000-0005-0000-0000-000002060000}"/>
    <cellStyle name="Normal 2 6 3" xfId="892" xr:uid="{00000000-0005-0000-0000-000003060000}"/>
    <cellStyle name="Normal 2 6 4" xfId="1601" xr:uid="{00000000-0005-0000-0000-000004060000}"/>
    <cellStyle name="Normal 2 6 5" xfId="1916" xr:uid="{00000000-0005-0000-0000-000005060000}"/>
    <cellStyle name="Normal 2 7" xfId="169" xr:uid="{00000000-0005-0000-0000-000006060000}"/>
    <cellStyle name="Normal 2 7 2" xfId="331" xr:uid="{00000000-0005-0000-0000-000007060000}"/>
    <cellStyle name="Normal 2 7 2 2" xfId="896" xr:uid="{00000000-0005-0000-0000-000008060000}"/>
    <cellStyle name="Normal 2 7 2 2 2" xfId="2364" xr:uid="{00000000-0005-0000-0000-000009060000}"/>
    <cellStyle name="Normal 2 7 2 3" xfId="895" xr:uid="{00000000-0005-0000-0000-00000A060000}"/>
    <cellStyle name="Normal 2 7 2 4" xfId="1529" xr:uid="{00000000-0005-0000-0000-00000B060000}"/>
    <cellStyle name="Normal 2 7 2 5" xfId="1918" xr:uid="{00000000-0005-0000-0000-00000C060000}"/>
    <cellStyle name="Normal 2 7 3" xfId="897" xr:uid="{00000000-0005-0000-0000-00000D060000}"/>
    <cellStyle name="Normal 2 7 3 2" xfId="2229" xr:uid="{00000000-0005-0000-0000-00000E060000}"/>
    <cellStyle name="Normal 2 7 4" xfId="894" xr:uid="{00000000-0005-0000-0000-00000F060000}"/>
    <cellStyle name="Normal 2 7 5" xfId="1537" xr:uid="{00000000-0005-0000-0000-000010060000}"/>
    <cellStyle name="Normal 2 7 6" xfId="1917" xr:uid="{00000000-0005-0000-0000-000011060000}"/>
    <cellStyle name="Normal 2 8" xfId="251" xr:uid="{00000000-0005-0000-0000-000012060000}"/>
    <cellStyle name="Normal 2 8 2" xfId="407" xr:uid="{00000000-0005-0000-0000-000013060000}"/>
    <cellStyle name="Normal 2 8 2 2" xfId="900" xr:uid="{00000000-0005-0000-0000-000014060000}"/>
    <cellStyle name="Normal 2 8 2 2 2" xfId="2425" xr:uid="{00000000-0005-0000-0000-000015060000}"/>
    <cellStyle name="Normal 2 8 2 3" xfId="899" xr:uid="{00000000-0005-0000-0000-000016060000}"/>
    <cellStyle name="Normal 2 8 2 4" xfId="1202" xr:uid="{00000000-0005-0000-0000-000017060000}"/>
    <cellStyle name="Normal 2 8 2 5" xfId="1920" xr:uid="{00000000-0005-0000-0000-000018060000}"/>
    <cellStyle name="Normal 2 8 3" xfId="901" xr:uid="{00000000-0005-0000-0000-000019060000}"/>
    <cellStyle name="Normal 2 8 3 2" xfId="2295" xr:uid="{00000000-0005-0000-0000-00001A060000}"/>
    <cellStyle name="Normal 2 8 4" xfId="898" xr:uid="{00000000-0005-0000-0000-00001B060000}"/>
    <cellStyle name="Normal 2 8 5" xfId="1545" xr:uid="{00000000-0005-0000-0000-00001C060000}"/>
    <cellStyle name="Normal 2 8 6" xfId="1919" xr:uid="{00000000-0005-0000-0000-00001D060000}"/>
    <cellStyle name="Normal 2 9" xfId="902" xr:uid="{00000000-0005-0000-0000-00001E060000}"/>
    <cellStyle name="Normal 2 9 2" xfId="903" xr:uid="{00000000-0005-0000-0000-00001F060000}"/>
    <cellStyle name="Normal 2 9 3" xfId="2064" xr:uid="{00000000-0005-0000-0000-000020060000}"/>
    <cellStyle name="Normal 2_pddk" xfId="904" xr:uid="{00000000-0005-0000-0000-000021060000}"/>
    <cellStyle name="Normal 3" xfId="42" xr:uid="{00000000-0005-0000-0000-000022060000}"/>
    <cellStyle name="Normal 3 2" xfId="43" xr:uid="{00000000-0005-0000-0000-000023060000}"/>
    <cellStyle name="Normal 3 2 10" xfId="468" xr:uid="{00000000-0005-0000-0000-000024060000}"/>
    <cellStyle name="Normal 3 2 10 2" xfId="2065" xr:uid="{00000000-0005-0000-0000-000025060000}"/>
    <cellStyle name="Normal 3 2 11" xfId="1039" xr:uid="{00000000-0005-0000-0000-000026060000}"/>
    <cellStyle name="Normal 3 2 11 2" xfId="2107" xr:uid="{00000000-0005-0000-0000-000027060000}"/>
    <cellStyle name="Normal 3 2 12" xfId="1600" xr:uid="{00000000-0005-0000-0000-000028060000}"/>
    <cellStyle name="Normal 3 2 13" xfId="1922" xr:uid="{00000000-0005-0000-0000-000029060000}"/>
    <cellStyle name="Normal 3 2 2" xfId="55" xr:uid="{00000000-0005-0000-0000-00002A060000}"/>
    <cellStyle name="Normal 3 2 2 2" xfId="107" xr:uid="{00000000-0005-0000-0000-00002B060000}"/>
    <cellStyle name="Normal 3 2 2 2 2" xfId="1284" xr:uid="{00000000-0005-0000-0000-00002C060000}"/>
    <cellStyle name="Normal 3 2 2 2 2 2" xfId="2169" xr:uid="{00000000-0005-0000-0000-00002D060000}"/>
    <cellStyle name="Normal 3 2 2 2 3" xfId="1924" xr:uid="{00000000-0005-0000-0000-00002E060000}"/>
    <cellStyle name="Normal 3 2 2 3" xfId="108" xr:uid="{00000000-0005-0000-0000-00002F060000}"/>
    <cellStyle name="Normal 3 2 2 3 2" xfId="1334" xr:uid="{00000000-0005-0000-0000-000030060000}"/>
    <cellStyle name="Normal 3 2 2 3 2 2" xfId="2170" xr:uid="{00000000-0005-0000-0000-000031060000}"/>
    <cellStyle name="Normal 3 2 2 3 3" xfId="1925" xr:uid="{00000000-0005-0000-0000-000032060000}"/>
    <cellStyle name="Normal 3 2 2 4" xfId="142" xr:uid="{00000000-0005-0000-0000-000033060000}"/>
    <cellStyle name="Normal 3 2 2 4 2" xfId="304" xr:uid="{00000000-0005-0000-0000-000034060000}"/>
    <cellStyle name="Normal 3 2 2 4 2 2" xfId="1268" xr:uid="{00000000-0005-0000-0000-000035060000}"/>
    <cellStyle name="Normal 3 2 2 4 2 2 2" xfId="2339" xr:uid="{00000000-0005-0000-0000-000036060000}"/>
    <cellStyle name="Normal 3 2 2 4 2 3" xfId="1927" xr:uid="{00000000-0005-0000-0000-000037060000}"/>
    <cellStyle name="Normal 3 2 2 4 3" xfId="1253" xr:uid="{00000000-0005-0000-0000-000038060000}"/>
    <cellStyle name="Normal 3 2 2 4 3 2" xfId="2204" xr:uid="{00000000-0005-0000-0000-000039060000}"/>
    <cellStyle name="Normal 3 2 2 4 4" xfId="1926" xr:uid="{00000000-0005-0000-0000-00003A060000}"/>
    <cellStyle name="Normal 3 2 2 5" xfId="215" xr:uid="{00000000-0005-0000-0000-00003B060000}"/>
    <cellStyle name="Normal 3 2 2 5 2" xfId="376" xr:uid="{00000000-0005-0000-0000-00003C060000}"/>
    <cellStyle name="Normal 3 2 2 5 2 2" xfId="1229" xr:uid="{00000000-0005-0000-0000-00003D060000}"/>
    <cellStyle name="Normal 3 2 2 5 2 2 2" xfId="2396" xr:uid="{00000000-0005-0000-0000-00003E060000}"/>
    <cellStyle name="Normal 3 2 2 5 2 3" xfId="1929" xr:uid="{00000000-0005-0000-0000-00003F060000}"/>
    <cellStyle name="Normal 3 2 2 5 3" xfId="1599" xr:uid="{00000000-0005-0000-0000-000040060000}"/>
    <cellStyle name="Normal 3 2 2 5 3 2" xfId="2262" xr:uid="{00000000-0005-0000-0000-000041060000}"/>
    <cellStyle name="Normal 3 2 2 5 4" xfId="1928" xr:uid="{00000000-0005-0000-0000-000042060000}"/>
    <cellStyle name="Normal 3 2 2 6" xfId="905" xr:uid="{00000000-0005-0000-0000-000043060000}"/>
    <cellStyle name="Normal 3 2 2 6 2" xfId="2063" xr:uid="{00000000-0005-0000-0000-000044060000}"/>
    <cellStyle name="Normal 3 2 2 7" xfId="1170" xr:uid="{00000000-0005-0000-0000-000045060000}"/>
    <cellStyle name="Normal 3 2 2 7 2" xfId="2117" xr:uid="{00000000-0005-0000-0000-000046060000}"/>
    <cellStyle name="Normal 3 2 2 8" xfId="1923" xr:uid="{00000000-0005-0000-0000-000047060000}"/>
    <cellStyle name="Normal 3 2 3" xfId="109" xr:uid="{00000000-0005-0000-0000-000048060000}"/>
    <cellStyle name="Normal 3 2 3 2" xfId="906" xr:uid="{00000000-0005-0000-0000-000049060000}"/>
    <cellStyle name="Normal 3 2 3 2 2" xfId="2171" xr:uid="{00000000-0005-0000-0000-00004A060000}"/>
    <cellStyle name="Normal 3 2 3 3" xfId="1156" xr:uid="{00000000-0005-0000-0000-00004B060000}"/>
    <cellStyle name="Normal 3 2 3 4" xfId="1930" xr:uid="{00000000-0005-0000-0000-00004C060000}"/>
    <cellStyle name="Normal 3 2 4" xfId="110" xr:uid="{00000000-0005-0000-0000-00004D060000}"/>
    <cellStyle name="Normal 3 2 4 10" xfId="1181" xr:uid="{00000000-0005-0000-0000-00004E060000}"/>
    <cellStyle name="Normal 3 2 4 11" xfId="1931" xr:uid="{00000000-0005-0000-0000-00004F060000}"/>
    <cellStyle name="Normal 3 2 4 2" xfId="279" xr:uid="{00000000-0005-0000-0000-000050060000}"/>
    <cellStyle name="Normal 3 2 4 2 10" xfId="1932" xr:uid="{00000000-0005-0000-0000-000051060000}"/>
    <cellStyle name="Normal 3 2 4 2 2" xfId="470" xr:uid="{00000000-0005-0000-0000-000052060000}"/>
    <cellStyle name="Normal 3 2 4 2 2 2" xfId="2317" xr:uid="{00000000-0005-0000-0000-000053060000}"/>
    <cellStyle name="Normal 3 2 4 2 3" xfId="586" xr:uid="{00000000-0005-0000-0000-000054060000}"/>
    <cellStyle name="Normal 3 2 4 2 3 2" xfId="2481" xr:uid="{00000000-0005-0000-0000-000055060000}"/>
    <cellStyle name="Normal 3 2 4 2 4" xfId="648" xr:uid="{00000000-0005-0000-0000-000056060000}"/>
    <cellStyle name="Normal 3 2 4 2 4 2" xfId="2549" xr:uid="{00000000-0005-0000-0000-000057060000}"/>
    <cellStyle name="Normal 3 2 4 2 5" xfId="996" xr:uid="{00000000-0005-0000-0000-000058060000}"/>
    <cellStyle name="Normal 3 2 4 2 6" xfId="1041" xr:uid="{00000000-0005-0000-0000-000059060000}"/>
    <cellStyle name="Normal 3 2 4 2 7" xfId="1123" xr:uid="{00000000-0005-0000-0000-00005A060000}"/>
    <cellStyle name="Normal 3 2 4 2 8" xfId="1425" xr:uid="{00000000-0005-0000-0000-00005B060000}"/>
    <cellStyle name="Normal 3 2 4 2 9" xfId="1254" xr:uid="{00000000-0005-0000-0000-00005C060000}"/>
    <cellStyle name="Normal 3 2 4 3" xfId="469" xr:uid="{00000000-0005-0000-0000-00005D060000}"/>
    <cellStyle name="Normal 3 2 4 3 2" xfId="2172" xr:uid="{00000000-0005-0000-0000-00005E060000}"/>
    <cellStyle name="Normal 3 2 4 4" xfId="554" xr:uid="{00000000-0005-0000-0000-00005F060000}"/>
    <cellStyle name="Normal 3 2 4 4 2" xfId="2444" xr:uid="{00000000-0005-0000-0000-000060060000}"/>
    <cellStyle name="Normal 3 2 4 5" xfId="616" xr:uid="{00000000-0005-0000-0000-000061060000}"/>
    <cellStyle name="Normal 3 2 4 5 2" xfId="2512" xr:uid="{00000000-0005-0000-0000-000062060000}"/>
    <cellStyle name="Normal 3 2 4 6" xfId="964" xr:uid="{00000000-0005-0000-0000-000063060000}"/>
    <cellStyle name="Normal 3 2 4 7" xfId="1040" xr:uid="{00000000-0005-0000-0000-000064060000}"/>
    <cellStyle name="Normal 3 2 4 8" xfId="1091" xr:uid="{00000000-0005-0000-0000-000065060000}"/>
    <cellStyle name="Normal 3 2 4 9" xfId="1256" xr:uid="{00000000-0005-0000-0000-000066060000}"/>
    <cellStyle name="Normal 3 2 5" xfId="125" xr:uid="{00000000-0005-0000-0000-000067060000}"/>
    <cellStyle name="Normal 3 2 5 10" xfId="1279" xr:uid="{00000000-0005-0000-0000-000068060000}"/>
    <cellStyle name="Normal 3 2 5 11" xfId="1933" xr:uid="{00000000-0005-0000-0000-000069060000}"/>
    <cellStyle name="Normal 3 2 5 2" xfId="287" xr:uid="{00000000-0005-0000-0000-00006A060000}"/>
    <cellStyle name="Normal 3 2 5 2 10" xfId="1934" xr:uid="{00000000-0005-0000-0000-00006B060000}"/>
    <cellStyle name="Normal 3 2 5 2 2" xfId="472" xr:uid="{00000000-0005-0000-0000-00006C060000}"/>
    <cellStyle name="Normal 3 2 5 2 2 2" xfId="2322" xr:uid="{00000000-0005-0000-0000-00006D060000}"/>
    <cellStyle name="Normal 3 2 5 2 3" xfId="591" xr:uid="{00000000-0005-0000-0000-00006E060000}"/>
    <cellStyle name="Normal 3 2 5 2 3 2" xfId="2486" xr:uid="{00000000-0005-0000-0000-00006F060000}"/>
    <cellStyle name="Normal 3 2 5 2 4" xfId="653" xr:uid="{00000000-0005-0000-0000-000070060000}"/>
    <cellStyle name="Normal 3 2 5 2 4 2" xfId="2554" xr:uid="{00000000-0005-0000-0000-000071060000}"/>
    <cellStyle name="Normal 3 2 5 2 5" xfId="1001" xr:uid="{00000000-0005-0000-0000-000072060000}"/>
    <cellStyle name="Normal 3 2 5 2 6" xfId="1043" xr:uid="{00000000-0005-0000-0000-000073060000}"/>
    <cellStyle name="Normal 3 2 5 2 7" xfId="1128" xr:uid="{00000000-0005-0000-0000-000074060000}"/>
    <cellStyle name="Normal 3 2 5 2 8" xfId="1433" xr:uid="{00000000-0005-0000-0000-000075060000}"/>
    <cellStyle name="Normal 3 2 5 2 9" xfId="1598" xr:uid="{00000000-0005-0000-0000-000076060000}"/>
    <cellStyle name="Normal 3 2 5 3" xfId="471" xr:uid="{00000000-0005-0000-0000-000077060000}"/>
    <cellStyle name="Normal 3 2 5 3 2" xfId="2187" xr:uid="{00000000-0005-0000-0000-000078060000}"/>
    <cellStyle name="Normal 3 2 5 4" xfId="559" xr:uid="{00000000-0005-0000-0000-000079060000}"/>
    <cellStyle name="Normal 3 2 5 4 2" xfId="2449" xr:uid="{00000000-0005-0000-0000-00007A060000}"/>
    <cellStyle name="Normal 3 2 5 5" xfId="621" xr:uid="{00000000-0005-0000-0000-00007B060000}"/>
    <cellStyle name="Normal 3 2 5 5 2" xfId="2517" xr:uid="{00000000-0005-0000-0000-00007C060000}"/>
    <cellStyle name="Normal 3 2 5 6" xfId="969" xr:uid="{00000000-0005-0000-0000-00007D060000}"/>
    <cellStyle name="Normal 3 2 5 7" xfId="1042" xr:uid="{00000000-0005-0000-0000-00007E060000}"/>
    <cellStyle name="Normal 3 2 5 8" xfId="1096" xr:uid="{00000000-0005-0000-0000-00007F060000}"/>
    <cellStyle name="Normal 3 2 5 9" xfId="1271" xr:uid="{00000000-0005-0000-0000-000080060000}"/>
    <cellStyle name="Normal 3 2 6" xfId="175" xr:uid="{00000000-0005-0000-0000-000081060000}"/>
    <cellStyle name="Normal 3 2 6 10" xfId="1281" xr:uid="{00000000-0005-0000-0000-000082060000}"/>
    <cellStyle name="Normal 3 2 6 11" xfId="1935" xr:uid="{00000000-0005-0000-0000-000083060000}"/>
    <cellStyle name="Normal 3 2 6 2" xfId="337" xr:uid="{00000000-0005-0000-0000-000084060000}"/>
    <cellStyle name="Normal 3 2 6 2 10" xfId="1936" xr:uid="{00000000-0005-0000-0000-000085060000}"/>
    <cellStyle name="Normal 3 2 6 2 2" xfId="474" xr:uid="{00000000-0005-0000-0000-000086060000}"/>
    <cellStyle name="Normal 3 2 6 2 2 2" xfId="2370" xr:uid="{00000000-0005-0000-0000-000087060000}"/>
    <cellStyle name="Normal 3 2 6 2 3" xfId="597" xr:uid="{00000000-0005-0000-0000-000088060000}"/>
    <cellStyle name="Normal 3 2 6 2 3 2" xfId="2492" xr:uid="{00000000-0005-0000-0000-000089060000}"/>
    <cellStyle name="Normal 3 2 6 2 4" xfId="659" xr:uid="{00000000-0005-0000-0000-00008A060000}"/>
    <cellStyle name="Normal 3 2 6 2 4 2" xfId="2560" xr:uid="{00000000-0005-0000-0000-00008B060000}"/>
    <cellStyle name="Normal 3 2 6 2 5" xfId="1007" xr:uid="{00000000-0005-0000-0000-00008C060000}"/>
    <cellStyle name="Normal 3 2 6 2 6" xfId="1045" xr:uid="{00000000-0005-0000-0000-00008D060000}"/>
    <cellStyle name="Normal 3 2 6 2 7" xfId="1134" xr:uid="{00000000-0005-0000-0000-00008E060000}"/>
    <cellStyle name="Normal 3 2 6 2 8" xfId="1483" xr:uid="{00000000-0005-0000-0000-00008F060000}"/>
    <cellStyle name="Normal 3 2 6 2 9" xfId="1215" xr:uid="{00000000-0005-0000-0000-000090060000}"/>
    <cellStyle name="Normal 3 2 6 3" xfId="473" xr:uid="{00000000-0005-0000-0000-000091060000}"/>
    <cellStyle name="Normal 3 2 6 3 2" xfId="2235" xr:uid="{00000000-0005-0000-0000-000092060000}"/>
    <cellStyle name="Normal 3 2 6 4" xfId="565" xr:uid="{00000000-0005-0000-0000-000093060000}"/>
    <cellStyle name="Normal 3 2 6 4 2" xfId="2455" xr:uid="{00000000-0005-0000-0000-000094060000}"/>
    <cellStyle name="Normal 3 2 6 5" xfId="627" xr:uid="{00000000-0005-0000-0000-000095060000}"/>
    <cellStyle name="Normal 3 2 6 5 2" xfId="2523" xr:uid="{00000000-0005-0000-0000-000096060000}"/>
    <cellStyle name="Normal 3 2 6 6" xfId="975" xr:uid="{00000000-0005-0000-0000-000097060000}"/>
    <cellStyle name="Normal 3 2 6 7" xfId="1044" xr:uid="{00000000-0005-0000-0000-000098060000}"/>
    <cellStyle name="Normal 3 2 6 8" xfId="1102" xr:uid="{00000000-0005-0000-0000-000099060000}"/>
    <cellStyle name="Normal 3 2 6 9" xfId="1321" xr:uid="{00000000-0005-0000-0000-00009A060000}"/>
    <cellStyle name="Normal 3 2 7" xfId="194" xr:uid="{00000000-0005-0000-0000-00009B060000}"/>
    <cellStyle name="Normal 3 2 7 10" xfId="1239" xr:uid="{00000000-0005-0000-0000-00009C060000}"/>
    <cellStyle name="Normal 3 2 7 11" xfId="1937" xr:uid="{00000000-0005-0000-0000-00009D060000}"/>
    <cellStyle name="Normal 3 2 7 2" xfId="356" xr:uid="{00000000-0005-0000-0000-00009E060000}"/>
    <cellStyle name="Normal 3 2 7 2 10" xfId="1938" xr:uid="{00000000-0005-0000-0000-00009F060000}"/>
    <cellStyle name="Normal 3 2 7 2 2" xfId="476" xr:uid="{00000000-0005-0000-0000-0000A0060000}"/>
    <cellStyle name="Normal 3 2 7 2 2 2" xfId="2381" xr:uid="{00000000-0005-0000-0000-0000A1060000}"/>
    <cellStyle name="Normal 3 2 7 2 3" xfId="601" xr:uid="{00000000-0005-0000-0000-0000A2060000}"/>
    <cellStyle name="Normal 3 2 7 2 3 2" xfId="2496" xr:uid="{00000000-0005-0000-0000-0000A3060000}"/>
    <cellStyle name="Normal 3 2 7 2 4" xfId="663" xr:uid="{00000000-0005-0000-0000-0000A4060000}"/>
    <cellStyle name="Normal 3 2 7 2 4 2" xfId="2564" xr:uid="{00000000-0005-0000-0000-0000A5060000}"/>
    <cellStyle name="Normal 3 2 7 2 5" xfId="1011" xr:uid="{00000000-0005-0000-0000-0000A6060000}"/>
    <cellStyle name="Normal 3 2 7 2 6" xfId="1047" xr:uid="{00000000-0005-0000-0000-0000A7060000}"/>
    <cellStyle name="Normal 3 2 7 2 7" xfId="1138" xr:uid="{00000000-0005-0000-0000-0000A8060000}"/>
    <cellStyle name="Normal 3 2 7 2 8" xfId="1502" xr:uid="{00000000-0005-0000-0000-0000A9060000}"/>
    <cellStyle name="Normal 3 2 7 2 9" xfId="1288" xr:uid="{00000000-0005-0000-0000-0000AA060000}"/>
    <cellStyle name="Normal 3 2 7 3" xfId="475" xr:uid="{00000000-0005-0000-0000-0000AB060000}"/>
    <cellStyle name="Normal 3 2 7 3 2" xfId="2246" xr:uid="{00000000-0005-0000-0000-0000AC060000}"/>
    <cellStyle name="Normal 3 2 7 4" xfId="569" xr:uid="{00000000-0005-0000-0000-0000AD060000}"/>
    <cellStyle name="Normal 3 2 7 4 2" xfId="2459" xr:uid="{00000000-0005-0000-0000-0000AE060000}"/>
    <cellStyle name="Normal 3 2 7 5" xfId="631" xr:uid="{00000000-0005-0000-0000-0000AF060000}"/>
    <cellStyle name="Normal 3 2 7 5 2" xfId="2527" xr:uid="{00000000-0005-0000-0000-0000B0060000}"/>
    <cellStyle name="Normal 3 2 7 6" xfId="979" xr:uid="{00000000-0005-0000-0000-0000B1060000}"/>
    <cellStyle name="Normal 3 2 7 7" xfId="1046" xr:uid="{00000000-0005-0000-0000-0000B2060000}"/>
    <cellStyle name="Normal 3 2 7 8" xfId="1106" xr:uid="{00000000-0005-0000-0000-0000B3060000}"/>
    <cellStyle name="Normal 3 2 7 9" xfId="1340" xr:uid="{00000000-0005-0000-0000-0000B4060000}"/>
    <cellStyle name="Normal 3 2 8" xfId="205" xr:uid="{00000000-0005-0000-0000-0000B5060000}"/>
    <cellStyle name="Normal 3 2 8 10" xfId="1441" xr:uid="{00000000-0005-0000-0000-0000B6060000}"/>
    <cellStyle name="Normal 3 2 8 11" xfId="1939" xr:uid="{00000000-0005-0000-0000-0000B7060000}"/>
    <cellStyle name="Normal 3 2 8 2" xfId="366" xr:uid="{00000000-0005-0000-0000-0000B8060000}"/>
    <cellStyle name="Normal 3 2 8 2 10" xfId="1940" xr:uid="{00000000-0005-0000-0000-0000B9060000}"/>
    <cellStyle name="Normal 3 2 8 2 2" xfId="478" xr:uid="{00000000-0005-0000-0000-0000BA060000}"/>
    <cellStyle name="Normal 3 2 8 2 2 2" xfId="2386" xr:uid="{00000000-0005-0000-0000-0000BB060000}"/>
    <cellStyle name="Normal 3 2 8 2 3" xfId="605" xr:uid="{00000000-0005-0000-0000-0000BC060000}"/>
    <cellStyle name="Normal 3 2 8 2 3 2" xfId="2500" xr:uid="{00000000-0005-0000-0000-0000BD060000}"/>
    <cellStyle name="Normal 3 2 8 2 4" xfId="667" xr:uid="{00000000-0005-0000-0000-0000BE060000}"/>
    <cellStyle name="Normal 3 2 8 2 4 2" xfId="2568" xr:uid="{00000000-0005-0000-0000-0000BF060000}"/>
    <cellStyle name="Normal 3 2 8 2 5" xfId="1015" xr:uid="{00000000-0005-0000-0000-0000C0060000}"/>
    <cellStyle name="Normal 3 2 8 2 6" xfId="1049" xr:uid="{00000000-0005-0000-0000-0000C1060000}"/>
    <cellStyle name="Normal 3 2 8 2 7" xfId="1142" xr:uid="{00000000-0005-0000-0000-0000C2060000}"/>
    <cellStyle name="Normal 3 2 8 2 8" xfId="1512" xr:uid="{00000000-0005-0000-0000-0000C3060000}"/>
    <cellStyle name="Normal 3 2 8 2 9" xfId="1576" xr:uid="{00000000-0005-0000-0000-0000C4060000}"/>
    <cellStyle name="Normal 3 2 8 3" xfId="477" xr:uid="{00000000-0005-0000-0000-0000C5060000}"/>
    <cellStyle name="Normal 3 2 8 3 2" xfId="2252" xr:uid="{00000000-0005-0000-0000-0000C6060000}"/>
    <cellStyle name="Normal 3 2 8 4" xfId="573" xr:uid="{00000000-0005-0000-0000-0000C7060000}"/>
    <cellStyle name="Normal 3 2 8 4 2" xfId="2464" xr:uid="{00000000-0005-0000-0000-0000C8060000}"/>
    <cellStyle name="Normal 3 2 8 5" xfId="635" xr:uid="{00000000-0005-0000-0000-0000C9060000}"/>
    <cellStyle name="Normal 3 2 8 5 2" xfId="2532" xr:uid="{00000000-0005-0000-0000-0000CA060000}"/>
    <cellStyle name="Normal 3 2 8 6" xfId="983" xr:uid="{00000000-0005-0000-0000-0000CB060000}"/>
    <cellStyle name="Normal 3 2 8 7" xfId="1048" xr:uid="{00000000-0005-0000-0000-0000CC060000}"/>
    <cellStyle name="Normal 3 2 8 8" xfId="1110" xr:uid="{00000000-0005-0000-0000-0000CD060000}"/>
    <cellStyle name="Normal 3 2 8 9" xfId="1351" xr:uid="{00000000-0005-0000-0000-0000CE060000}"/>
    <cellStyle name="Normal 3 2 9" xfId="257" xr:uid="{00000000-0005-0000-0000-0000CF060000}"/>
    <cellStyle name="Normal 3 2 9 10" xfId="1305" xr:uid="{00000000-0005-0000-0000-0000D0060000}"/>
    <cellStyle name="Normal 3 2 9 11" xfId="1941" xr:uid="{00000000-0005-0000-0000-0000D1060000}"/>
    <cellStyle name="Normal 3 2 9 2" xfId="413" xr:uid="{00000000-0005-0000-0000-0000D2060000}"/>
    <cellStyle name="Normal 3 2 9 2 10" xfId="1942" xr:uid="{00000000-0005-0000-0000-0000D3060000}"/>
    <cellStyle name="Normal 3 2 9 2 2" xfId="480" xr:uid="{00000000-0005-0000-0000-0000D4060000}"/>
    <cellStyle name="Normal 3 2 9 2 2 2" xfId="2431" xr:uid="{00000000-0005-0000-0000-0000D5060000}"/>
    <cellStyle name="Normal 3 2 9 2 3" xfId="609" xr:uid="{00000000-0005-0000-0000-0000D6060000}"/>
    <cellStyle name="Normal 3 2 9 2 3 2" xfId="2505" xr:uid="{00000000-0005-0000-0000-0000D7060000}"/>
    <cellStyle name="Normal 3 2 9 2 4" xfId="671" xr:uid="{00000000-0005-0000-0000-0000D8060000}"/>
    <cellStyle name="Normal 3 2 9 2 4 2" xfId="2573" xr:uid="{00000000-0005-0000-0000-0000D9060000}"/>
    <cellStyle name="Normal 3 2 9 2 5" xfId="1019" xr:uid="{00000000-0005-0000-0000-0000DA060000}"/>
    <cellStyle name="Normal 3 2 9 2 6" xfId="1051" xr:uid="{00000000-0005-0000-0000-0000DB060000}"/>
    <cellStyle name="Normal 3 2 9 2 7" xfId="1146" xr:uid="{00000000-0005-0000-0000-0000DC060000}"/>
    <cellStyle name="Normal 3 2 9 2 8" xfId="1559" xr:uid="{00000000-0005-0000-0000-0000DD060000}"/>
    <cellStyle name="Normal 3 2 9 2 9" xfId="1278" xr:uid="{00000000-0005-0000-0000-0000DE060000}"/>
    <cellStyle name="Normal 3 2 9 3" xfId="479" xr:uid="{00000000-0005-0000-0000-0000DF060000}"/>
    <cellStyle name="Normal 3 2 9 3 2" xfId="2301" xr:uid="{00000000-0005-0000-0000-0000E0060000}"/>
    <cellStyle name="Normal 3 2 9 4" xfId="577" xr:uid="{00000000-0005-0000-0000-0000E1060000}"/>
    <cellStyle name="Normal 3 2 9 4 2" xfId="2469" xr:uid="{00000000-0005-0000-0000-0000E2060000}"/>
    <cellStyle name="Normal 3 2 9 5" xfId="639" xr:uid="{00000000-0005-0000-0000-0000E3060000}"/>
    <cellStyle name="Normal 3 2 9 5 2" xfId="2537" xr:uid="{00000000-0005-0000-0000-0000E4060000}"/>
    <cellStyle name="Normal 3 2 9 6" xfId="987" xr:uid="{00000000-0005-0000-0000-0000E5060000}"/>
    <cellStyle name="Normal 3 2 9 7" xfId="1050" xr:uid="{00000000-0005-0000-0000-0000E6060000}"/>
    <cellStyle name="Normal 3 2 9 8" xfId="1114" xr:uid="{00000000-0005-0000-0000-0000E7060000}"/>
    <cellStyle name="Normal 3 2 9 9" xfId="1403" xr:uid="{00000000-0005-0000-0000-0000E8060000}"/>
    <cellStyle name="Normal 3 3" xfId="58" xr:uid="{00000000-0005-0000-0000-0000E9060000}"/>
    <cellStyle name="Normal 3 3 2" xfId="176" xr:uid="{00000000-0005-0000-0000-0000EA060000}"/>
    <cellStyle name="Normal 3 3 2 2" xfId="338" xr:uid="{00000000-0005-0000-0000-0000EB060000}"/>
    <cellStyle name="Normal 3 3 2 2 2" xfId="1409" xr:uid="{00000000-0005-0000-0000-0000EC060000}"/>
    <cellStyle name="Normal 3 3 2 2 2 2" xfId="2371" xr:uid="{00000000-0005-0000-0000-0000ED060000}"/>
    <cellStyle name="Normal 3 3 2 2 3" xfId="1945" xr:uid="{00000000-0005-0000-0000-0000EE060000}"/>
    <cellStyle name="Normal 3 3 2 3" xfId="1450" xr:uid="{00000000-0005-0000-0000-0000EF060000}"/>
    <cellStyle name="Normal 3 3 2 3 2" xfId="2236" xr:uid="{00000000-0005-0000-0000-0000F0060000}"/>
    <cellStyle name="Normal 3 3 2 4" xfId="1944" xr:uid="{00000000-0005-0000-0000-0000F1060000}"/>
    <cellStyle name="Normal 3 3 3" xfId="908" xr:uid="{00000000-0005-0000-0000-0000F2060000}"/>
    <cellStyle name="Normal 3 3 3 2" xfId="2120" xr:uid="{00000000-0005-0000-0000-0000F3060000}"/>
    <cellStyle name="Normal 3 3 4" xfId="907" xr:uid="{00000000-0005-0000-0000-0000F4060000}"/>
    <cellStyle name="Normal 3 3 5" xfId="1311" xr:uid="{00000000-0005-0000-0000-0000F5060000}"/>
    <cellStyle name="Normal 3 3 6" xfId="1943" xr:uid="{00000000-0005-0000-0000-0000F6060000}"/>
    <cellStyle name="Normal 3 4" xfId="111" xr:uid="{00000000-0005-0000-0000-0000F7060000}"/>
    <cellStyle name="Normal 3 4 2" xfId="910" xr:uid="{00000000-0005-0000-0000-0000F8060000}"/>
    <cellStyle name="Normal 3 4 2 2" xfId="2173" xr:uid="{00000000-0005-0000-0000-0000F9060000}"/>
    <cellStyle name="Normal 3 4 3" xfId="909" xr:uid="{00000000-0005-0000-0000-0000FA060000}"/>
    <cellStyle name="Normal 3 4 4" xfId="1597" xr:uid="{00000000-0005-0000-0000-0000FB060000}"/>
    <cellStyle name="Normal 3 4 5" xfId="1946" xr:uid="{00000000-0005-0000-0000-0000FC060000}"/>
    <cellStyle name="Normal 3 5" xfId="174" xr:uid="{00000000-0005-0000-0000-0000FD060000}"/>
    <cellStyle name="Normal 3 5 2" xfId="336" xr:uid="{00000000-0005-0000-0000-0000FE060000}"/>
    <cellStyle name="Normal 3 5 2 2" xfId="1440" xr:uid="{00000000-0005-0000-0000-0000FF060000}"/>
    <cellStyle name="Normal 3 5 2 2 2" xfId="2369" xr:uid="{00000000-0005-0000-0000-000000070000}"/>
    <cellStyle name="Normal 3 5 2 3" xfId="1948" xr:uid="{00000000-0005-0000-0000-000001070000}"/>
    <cellStyle name="Normal 3 5 3" xfId="911" xr:uid="{00000000-0005-0000-0000-000002070000}"/>
    <cellStyle name="Normal 3 5 3 2" xfId="2234" xr:uid="{00000000-0005-0000-0000-000003070000}"/>
    <cellStyle name="Normal 3 5 4" xfId="1443" xr:uid="{00000000-0005-0000-0000-000004070000}"/>
    <cellStyle name="Normal 3 5 5" xfId="1947" xr:uid="{00000000-0005-0000-0000-000005070000}"/>
    <cellStyle name="Normal 3 6" xfId="256" xr:uid="{00000000-0005-0000-0000-000006070000}"/>
    <cellStyle name="Normal 3 6 2" xfId="412" xr:uid="{00000000-0005-0000-0000-000007070000}"/>
    <cellStyle name="Normal 3 6 2 2" xfId="1361" xr:uid="{00000000-0005-0000-0000-000008070000}"/>
    <cellStyle name="Normal 3 6 2 2 2" xfId="2430" xr:uid="{00000000-0005-0000-0000-000009070000}"/>
    <cellStyle name="Normal 3 6 2 3" xfId="1950" xr:uid="{00000000-0005-0000-0000-00000A070000}"/>
    <cellStyle name="Normal 3 6 3" xfId="1473" xr:uid="{00000000-0005-0000-0000-00000B070000}"/>
    <cellStyle name="Normal 3 6 3 2" xfId="2300" xr:uid="{00000000-0005-0000-0000-00000C070000}"/>
    <cellStyle name="Normal 3 6 4" xfId="1949" xr:uid="{00000000-0005-0000-0000-00000D070000}"/>
    <cellStyle name="Normal 3 7" xfId="1197" xr:uid="{00000000-0005-0000-0000-00000E070000}"/>
    <cellStyle name="Normal 3 7 2" xfId="2054" xr:uid="{00000000-0005-0000-0000-00000F070000}"/>
    <cellStyle name="Normal 3 8" xfId="1921" xr:uid="{00000000-0005-0000-0000-000010070000}"/>
    <cellStyle name="Normal 3 8 2" xfId="2106" xr:uid="{00000000-0005-0000-0000-000011070000}"/>
    <cellStyle name="Normal 4" xfId="44" xr:uid="{00000000-0005-0000-0000-000012070000}"/>
    <cellStyle name="Normal 4 10" xfId="177" xr:uid="{00000000-0005-0000-0000-000013070000}"/>
    <cellStyle name="Normal 4 10 10" xfId="1596" xr:uid="{00000000-0005-0000-0000-000014070000}"/>
    <cellStyle name="Normal 4 10 11" xfId="1952" xr:uid="{00000000-0005-0000-0000-000015070000}"/>
    <cellStyle name="Normal 4 10 2" xfId="339" xr:uid="{00000000-0005-0000-0000-000016070000}"/>
    <cellStyle name="Normal 4 10 2 10" xfId="1953" xr:uid="{00000000-0005-0000-0000-000017070000}"/>
    <cellStyle name="Normal 4 10 2 2" xfId="483" xr:uid="{00000000-0005-0000-0000-000018070000}"/>
    <cellStyle name="Normal 4 10 2 2 2" xfId="2372" xr:uid="{00000000-0005-0000-0000-000019070000}"/>
    <cellStyle name="Normal 4 10 2 3" xfId="598" xr:uid="{00000000-0005-0000-0000-00001A070000}"/>
    <cellStyle name="Normal 4 10 2 3 2" xfId="2493" xr:uid="{00000000-0005-0000-0000-00001B070000}"/>
    <cellStyle name="Normal 4 10 2 4" xfId="660" xr:uid="{00000000-0005-0000-0000-00001C070000}"/>
    <cellStyle name="Normal 4 10 2 4 2" xfId="2561" xr:uid="{00000000-0005-0000-0000-00001D070000}"/>
    <cellStyle name="Normal 4 10 2 5" xfId="1008" xr:uid="{00000000-0005-0000-0000-00001E070000}"/>
    <cellStyle name="Normal 4 10 2 6" xfId="1054" xr:uid="{00000000-0005-0000-0000-00001F070000}"/>
    <cellStyle name="Normal 4 10 2 7" xfId="1135" xr:uid="{00000000-0005-0000-0000-000020070000}"/>
    <cellStyle name="Normal 4 10 2 8" xfId="1485" xr:uid="{00000000-0005-0000-0000-000021070000}"/>
    <cellStyle name="Normal 4 10 2 9" xfId="1379" xr:uid="{00000000-0005-0000-0000-000022070000}"/>
    <cellStyle name="Normal 4 10 3" xfId="482" xr:uid="{00000000-0005-0000-0000-000023070000}"/>
    <cellStyle name="Normal 4 10 3 2" xfId="2237" xr:uid="{00000000-0005-0000-0000-000024070000}"/>
    <cellStyle name="Normal 4 10 4" xfId="566" xr:uid="{00000000-0005-0000-0000-000025070000}"/>
    <cellStyle name="Normal 4 10 4 2" xfId="2456" xr:uid="{00000000-0005-0000-0000-000026070000}"/>
    <cellStyle name="Normal 4 10 5" xfId="628" xr:uid="{00000000-0005-0000-0000-000027070000}"/>
    <cellStyle name="Normal 4 10 5 2" xfId="2524" xr:uid="{00000000-0005-0000-0000-000028070000}"/>
    <cellStyle name="Normal 4 10 6" xfId="976" xr:uid="{00000000-0005-0000-0000-000029070000}"/>
    <cellStyle name="Normal 4 10 7" xfId="1053" xr:uid="{00000000-0005-0000-0000-00002A070000}"/>
    <cellStyle name="Normal 4 10 8" xfId="1103" xr:uid="{00000000-0005-0000-0000-00002B070000}"/>
    <cellStyle name="Normal 4 10 9" xfId="1323" xr:uid="{00000000-0005-0000-0000-00002C070000}"/>
    <cellStyle name="Normal 4 11" xfId="193" xr:uid="{00000000-0005-0000-0000-00002D070000}"/>
    <cellStyle name="Normal 4 11 10" xfId="1363" xr:uid="{00000000-0005-0000-0000-00002E070000}"/>
    <cellStyle name="Normal 4 11 11" xfId="1954" xr:uid="{00000000-0005-0000-0000-00002F070000}"/>
    <cellStyle name="Normal 4 11 2" xfId="355" xr:uid="{00000000-0005-0000-0000-000030070000}"/>
    <cellStyle name="Normal 4 11 2 10" xfId="1955" xr:uid="{00000000-0005-0000-0000-000031070000}"/>
    <cellStyle name="Normal 4 11 2 2" xfId="485" xr:uid="{00000000-0005-0000-0000-000032070000}"/>
    <cellStyle name="Normal 4 11 2 2 2" xfId="2380" xr:uid="{00000000-0005-0000-0000-000033070000}"/>
    <cellStyle name="Normal 4 11 2 3" xfId="600" xr:uid="{00000000-0005-0000-0000-000034070000}"/>
    <cellStyle name="Normal 4 11 2 3 2" xfId="2495" xr:uid="{00000000-0005-0000-0000-000035070000}"/>
    <cellStyle name="Normal 4 11 2 4" xfId="662" xr:uid="{00000000-0005-0000-0000-000036070000}"/>
    <cellStyle name="Normal 4 11 2 4 2" xfId="2563" xr:uid="{00000000-0005-0000-0000-000037070000}"/>
    <cellStyle name="Normal 4 11 2 5" xfId="1010" xr:uid="{00000000-0005-0000-0000-000038070000}"/>
    <cellStyle name="Normal 4 11 2 6" xfId="1056" xr:uid="{00000000-0005-0000-0000-000039070000}"/>
    <cellStyle name="Normal 4 11 2 7" xfId="1137" xr:uid="{00000000-0005-0000-0000-00003A070000}"/>
    <cellStyle name="Normal 4 11 2 8" xfId="1501" xr:uid="{00000000-0005-0000-0000-00003B070000}"/>
    <cellStyle name="Normal 4 11 2 9" xfId="1393" xr:uid="{00000000-0005-0000-0000-00003C070000}"/>
    <cellStyle name="Normal 4 11 3" xfId="484" xr:uid="{00000000-0005-0000-0000-00003D070000}"/>
    <cellStyle name="Normal 4 11 3 2" xfId="2245" xr:uid="{00000000-0005-0000-0000-00003E070000}"/>
    <cellStyle name="Normal 4 11 4" xfId="568" xr:uid="{00000000-0005-0000-0000-00003F070000}"/>
    <cellStyle name="Normal 4 11 4 2" xfId="2458" xr:uid="{00000000-0005-0000-0000-000040070000}"/>
    <cellStyle name="Normal 4 11 5" xfId="630" xr:uid="{00000000-0005-0000-0000-000041070000}"/>
    <cellStyle name="Normal 4 11 5 2" xfId="2526" xr:uid="{00000000-0005-0000-0000-000042070000}"/>
    <cellStyle name="Normal 4 11 6" xfId="978" xr:uid="{00000000-0005-0000-0000-000043070000}"/>
    <cellStyle name="Normal 4 11 7" xfId="1055" xr:uid="{00000000-0005-0000-0000-000044070000}"/>
    <cellStyle name="Normal 4 11 8" xfId="1105" xr:uid="{00000000-0005-0000-0000-000045070000}"/>
    <cellStyle name="Normal 4 11 9" xfId="1339" xr:uid="{00000000-0005-0000-0000-000046070000}"/>
    <cellStyle name="Normal 4 12" xfId="202" xr:uid="{00000000-0005-0000-0000-000047070000}"/>
    <cellStyle name="Normal 4 12 10" xfId="1522" xr:uid="{00000000-0005-0000-0000-000048070000}"/>
    <cellStyle name="Normal 4 12 11" xfId="1956" xr:uid="{00000000-0005-0000-0000-000049070000}"/>
    <cellStyle name="Normal 4 12 2" xfId="363" xr:uid="{00000000-0005-0000-0000-00004A070000}"/>
    <cellStyle name="Normal 4 12 2 10" xfId="1957" xr:uid="{00000000-0005-0000-0000-00004B070000}"/>
    <cellStyle name="Normal 4 12 2 2" xfId="487" xr:uid="{00000000-0005-0000-0000-00004C070000}"/>
    <cellStyle name="Normal 4 12 2 2 2" xfId="2383" xr:uid="{00000000-0005-0000-0000-00004D070000}"/>
    <cellStyle name="Normal 4 12 2 3" xfId="602" xr:uid="{00000000-0005-0000-0000-00004E070000}"/>
    <cellStyle name="Normal 4 12 2 3 2" xfId="2497" xr:uid="{00000000-0005-0000-0000-00004F070000}"/>
    <cellStyle name="Normal 4 12 2 4" xfId="664" xr:uid="{00000000-0005-0000-0000-000050070000}"/>
    <cellStyle name="Normal 4 12 2 4 2" xfId="2565" xr:uid="{00000000-0005-0000-0000-000051070000}"/>
    <cellStyle name="Normal 4 12 2 5" xfId="1012" xr:uid="{00000000-0005-0000-0000-000052070000}"/>
    <cellStyle name="Normal 4 12 2 6" xfId="1058" xr:uid="{00000000-0005-0000-0000-000053070000}"/>
    <cellStyle name="Normal 4 12 2 7" xfId="1139" xr:uid="{00000000-0005-0000-0000-000054070000}"/>
    <cellStyle name="Normal 4 12 2 8" xfId="1509" xr:uid="{00000000-0005-0000-0000-000055070000}"/>
    <cellStyle name="Normal 4 12 2 9" xfId="1198" xr:uid="{00000000-0005-0000-0000-000056070000}"/>
    <cellStyle name="Normal 4 12 3" xfId="486" xr:uid="{00000000-0005-0000-0000-000057070000}"/>
    <cellStyle name="Normal 4 12 3 2" xfId="2249" xr:uid="{00000000-0005-0000-0000-000058070000}"/>
    <cellStyle name="Normal 4 12 4" xfId="570" xr:uid="{00000000-0005-0000-0000-000059070000}"/>
    <cellStyle name="Normal 4 12 4 2" xfId="2461" xr:uid="{00000000-0005-0000-0000-00005A070000}"/>
    <cellStyle name="Normal 4 12 5" xfId="632" xr:uid="{00000000-0005-0000-0000-00005B070000}"/>
    <cellStyle name="Normal 4 12 5 2" xfId="2529" xr:uid="{00000000-0005-0000-0000-00005C070000}"/>
    <cellStyle name="Normal 4 12 6" xfId="980" xr:uid="{00000000-0005-0000-0000-00005D070000}"/>
    <cellStyle name="Normal 4 12 7" xfId="1057" xr:uid="{00000000-0005-0000-0000-00005E070000}"/>
    <cellStyle name="Normal 4 12 8" xfId="1107" xr:uid="{00000000-0005-0000-0000-00005F070000}"/>
    <cellStyle name="Normal 4 12 9" xfId="1348" xr:uid="{00000000-0005-0000-0000-000060070000}"/>
    <cellStyle name="Normal 4 13" xfId="203" xr:uid="{00000000-0005-0000-0000-000061070000}"/>
    <cellStyle name="Normal 4 13 10" xfId="1595" xr:uid="{00000000-0005-0000-0000-000062070000}"/>
    <cellStyle name="Normal 4 13 11" xfId="1958" xr:uid="{00000000-0005-0000-0000-000063070000}"/>
    <cellStyle name="Normal 4 13 2" xfId="364" xr:uid="{00000000-0005-0000-0000-000064070000}"/>
    <cellStyle name="Normal 4 13 2 10" xfId="1959" xr:uid="{00000000-0005-0000-0000-000065070000}"/>
    <cellStyle name="Normal 4 13 2 2" xfId="489" xr:uid="{00000000-0005-0000-0000-000066070000}"/>
    <cellStyle name="Normal 4 13 2 2 2" xfId="2384" xr:uid="{00000000-0005-0000-0000-000067070000}"/>
    <cellStyle name="Normal 4 13 2 3" xfId="603" xr:uid="{00000000-0005-0000-0000-000068070000}"/>
    <cellStyle name="Normal 4 13 2 3 2" xfId="2498" xr:uid="{00000000-0005-0000-0000-000069070000}"/>
    <cellStyle name="Normal 4 13 2 4" xfId="665" xr:uid="{00000000-0005-0000-0000-00006A070000}"/>
    <cellStyle name="Normal 4 13 2 4 2" xfId="2566" xr:uid="{00000000-0005-0000-0000-00006B070000}"/>
    <cellStyle name="Normal 4 13 2 5" xfId="1013" xr:uid="{00000000-0005-0000-0000-00006C070000}"/>
    <cellStyle name="Normal 4 13 2 6" xfId="1060" xr:uid="{00000000-0005-0000-0000-00006D070000}"/>
    <cellStyle name="Normal 4 13 2 7" xfId="1140" xr:uid="{00000000-0005-0000-0000-00006E070000}"/>
    <cellStyle name="Normal 4 13 2 8" xfId="1510" xr:uid="{00000000-0005-0000-0000-00006F070000}"/>
    <cellStyle name="Normal 4 13 2 9" xfId="1171" xr:uid="{00000000-0005-0000-0000-000070070000}"/>
    <cellStyle name="Normal 4 13 3" xfId="488" xr:uid="{00000000-0005-0000-0000-000071070000}"/>
    <cellStyle name="Normal 4 13 3 2" xfId="2250" xr:uid="{00000000-0005-0000-0000-000072070000}"/>
    <cellStyle name="Normal 4 13 4" xfId="571" xr:uid="{00000000-0005-0000-0000-000073070000}"/>
    <cellStyle name="Normal 4 13 4 2" xfId="2462" xr:uid="{00000000-0005-0000-0000-000074070000}"/>
    <cellStyle name="Normal 4 13 5" xfId="633" xr:uid="{00000000-0005-0000-0000-000075070000}"/>
    <cellStyle name="Normal 4 13 5 2" xfId="2530" xr:uid="{00000000-0005-0000-0000-000076070000}"/>
    <cellStyle name="Normal 4 13 6" xfId="981" xr:uid="{00000000-0005-0000-0000-000077070000}"/>
    <cellStyle name="Normal 4 13 7" xfId="1059" xr:uid="{00000000-0005-0000-0000-000078070000}"/>
    <cellStyle name="Normal 4 13 8" xfId="1108" xr:uid="{00000000-0005-0000-0000-000079070000}"/>
    <cellStyle name="Normal 4 13 9" xfId="1349" xr:uid="{00000000-0005-0000-0000-00007A070000}"/>
    <cellStyle name="Normal 4 14" xfId="237" xr:uid="{00000000-0005-0000-0000-00007B070000}"/>
    <cellStyle name="Normal 4 14 10" xfId="1524" xr:uid="{00000000-0005-0000-0000-00007C070000}"/>
    <cellStyle name="Normal 4 14 11" xfId="1960" xr:uid="{00000000-0005-0000-0000-00007D070000}"/>
    <cellStyle name="Normal 4 14 2" xfId="396" xr:uid="{00000000-0005-0000-0000-00007E070000}"/>
    <cellStyle name="Normal 4 14 2 10" xfId="1961" xr:uid="{00000000-0005-0000-0000-00007F070000}"/>
    <cellStyle name="Normal 4 14 2 2" xfId="491" xr:uid="{00000000-0005-0000-0000-000080070000}"/>
    <cellStyle name="Normal 4 14 2 2 2" xfId="2415" xr:uid="{00000000-0005-0000-0000-000081070000}"/>
    <cellStyle name="Normal 4 14 2 3" xfId="607" xr:uid="{00000000-0005-0000-0000-000082070000}"/>
    <cellStyle name="Normal 4 14 2 3 2" xfId="2502" xr:uid="{00000000-0005-0000-0000-000083070000}"/>
    <cellStyle name="Normal 4 14 2 4" xfId="669" xr:uid="{00000000-0005-0000-0000-000084070000}"/>
    <cellStyle name="Normal 4 14 2 4 2" xfId="2570" xr:uid="{00000000-0005-0000-0000-000085070000}"/>
    <cellStyle name="Normal 4 14 2 5" xfId="1017" xr:uid="{00000000-0005-0000-0000-000086070000}"/>
    <cellStyle name="Normal 4 14 2 6" xfId="1062" xr:uid="{00000000-0005-0000-0000-000087070000}"/>
    <cellStyle name="Normal 4 14 2 7" xfId="1144" xr:uid="{00000000-0005-0000-0000-000088070000}"/>
    <cellStyle name="Normal 4 14 2 8" xfId="1542" xr:uid="{00000000-0005-0000-0000-000089070000}"/>
    <cellStyle name="Normal 4 14 2 9" xfId="1549" xr:uid="{00000000-0005-0000-0000-00008A070000}"/>
    <cellStyle name="Normal 4 14 3" xfId="490" xr:uid="{00000000-0005-0000-0000-00008B070000}"/>
    <cellStyle name="Normal 4 14 3 2" xfId="2283" xr:uid="{00000000-0005-0000-0000-00008C070000}"/>
    <cellStyle name="Normal 4 14 4" xfId="575" xr:uid="{00000000-0005-0000-0000-00008D070000}"/>
    <cellStyle name="Normal 4 14 4 2" xfId="2466" xr:uid="{00000000-0005-0000-0000-00008E070000}"/>
    <cellStyle name="Normal 4 14 5" xfId="637" xr:uid="{00000000-0005-0000-0000-00008F070000}"/>
    <cellStyle name="Normal 4 14 5 2" xfId="2534" xr:uid="{00000000-0005-0000-0000-000090070000}"/>
    <cellStyle name="Normal 4 14 6" xfId="985" xr:uid="{00000000-0005-0000-0000-000091070000}"/>
    <cellStyle name="Normal 4 14 7" xfId="1061" xr:uid="{00000000-0005-0000-0000-000092070000}"/>
    <cellStyle name="Normal 4 14 8" xfId="1112" xr:uid="{00000000-0005-0000-0000-000093070000}"/>
    <cellStyle name="Normal 4 14 9" xfId="1383" xr:uid="{00000000-0005-0000-0000-000094070000}"/>
    <cellStyle name="Normal 4 15" xfId="258" xr:uid="{00000000-0005-0000-0000-000095070000}"/>
    <cellStyle name="Normal 4 15 10" xfId="1255" xr:uid="{00000000-0005-0000-0000-000096070000}"/>
    <cellStyle name="Normal 4 15 11" xfId="1962" xr:uid="{00000000-0005-0000-0000-000097070000}"/>
    <cellStyle name="Normal 4 15 2" xfId="414" xr:uid="{00000000-0005-0000-0000-000098070000}"/>
    <cellStyle name="Normal 4 15 2 10" xfId="1963" xr:uid="{00000000-0005-0000-0000-000099070000}"/>
    <cellStyle name="Normal 4 15 2 2" xfId="493" xr:uid="{00000000-0005-0000-0000-00009A070000}"/>
    <cellStyle name="Normal 4 15 2 2 2" xfId="2432" xr:uid="{00000000-0005-0000-0000-00009B070000}"/>
    <cellStyle name="Normal 4 15 2 3" xfId="610" xr:uid="{00000000-0005-0000-0000-00009C070000}"/>
    <cellStyle name="Normal 4 15 2 3 2" xfId="2506" xr:uid="{00000000-0005-0000-0000-00009D070000}"/>
    <cellStyle name="Normal 4 15 2 4" xfId="672" xr:uid="{00000000-0005-0000-0000-00009E070000}"/>
    <cellStyle name="Normal 4 15 2 4 2" xfId="2574" xr:uid="{00000000-0005-0000-0000-00009F070000}"/>
    <cellStyle name="Normal 4 15 2 5" xfId="1020" xr:uid="{00000000-0005-0000-0000-0000A0070000}"/>
    <cellStyle name="Normal 4 15 2 6" xfId="1064" xr:uid="{00000000-0005-0000-0000-0000A1070000}"/>
    <cellStyle name="Normal 4 15 2 7" xfId="1147" xr:uid="{00000000-0005-0000-0000-0000A2070000}"/>
    <cellStyle name="Normal 4 15 2 8" xfId="1560" xr:uid="{00000000-0005-0000-0000-0000A3070000}"/>
    <cellStyle name="Normal 4 15 2 9" xfId="1269" xr:uid="{00000000-0005-0000-0000-0000A4070000}"/>
    <cellStyle name="Normal 4 15 3" xfId="492" xr:uid="{00000000-0005-0000-0000-0000A5070000}"/>
    <cellStyle name="Normal 4 15 3 2" xfId="2302" xr:uid="{00000000-0005-0000-0000-0000A6070000}"/>
    <cellStyle name="Normal 4 15 4" xfId="578" xr:uid="{00000000-0005-0000-0000-0000A7070000}"/>
    <cellStyle name="Normal 4 15 4 2" xfId="2470" xr:uid="{00000000-0005-0000-0000-0000A8070000}"/>
    <cellStyle name="Normal 4 15 5" xfId="640" xr:uid="{00000000-0005-0000-0000-0000A9070000}"/>
    <cellStyle name="Normal 4 15 5 2" xfId="2538" xr:uid="{00000000-0005-0000-0000-0000AA070000}"/>
    <cellStyle name="Normal 4 15 6" xfId="988" xr:uid="{00000000-0005-0000-0000-0000AB070000}"/>
    <cellStyle name="Normal 4 15 7" xfId="1063" xr:uid="{00000000-0005-0000-0000-0000AC070000}"/>
    <cellStyle name="Normal 4 15 8" xfId="1115" xr:uid="{00000000-0005-0000-0000-0000AD070000}"/>
    <cellStyle name="Normal 4 15 9" xfId="1404" xr:uid="{00000000-0005-0000-0000-0000AE070000}"/>
    <cellStyle name="Normal 4 16" xfId="272" xr:uid="{00000000-0005-0000-0000-0000AF070000}"/>
    <cellStyle name="Normal 4 16 10" xfId="1964" xr:uid="{00000000-0005-0000-0000-0000B0070000}"/>
    <cellStyle name="Normal 4 16 2" xfId="494" xr:uid="{00000000-0005-0000-0000-0000B1070000}"/>
    <cellStyle name="Normal 4 16 2 2" xfId="2312" xr:uid="{00000000-0005-0000-0000-0000B2070000}"/>
    <cellStyle name="Normal 4 16 3" xfId="581" xr:uid="{00000000-0005-0000-0000-0000B3070000}"/>
    <cellStyle name="Normal 4 16 3 2" xfId="2476" xr:uid="{00000000-0005-0000-0000-0000B4070000}"/>
    <cellStyle name="Normal 4 16 4" xfId="643" xr:uid="{00000000-0005-0000-0000-0000B5070000}"/>
    <cellStyle name="Normal 4 16 4 2" xfId="2544" xr:uid="{00000000-0005-0000-0000-0000B6070000}"/>
    <cellStyle name="Normal 4 16 5" xfId="991" xr:uid="{00000000-0005-0000-0000-0000B7070000}"/>
    <cellStyle name="Normal 4 16 6" xfId="1065" xr:uid="{00000000-0005-0000-0000-0000B8070000}"/>
    <cellStyle name="Normal 4 16 7" xfId="1118" xr:uid="{00000000-0005-0000-0000-0000B9070000}"/>
    <cellStyle name="Normal 4 16 8" xfId="1418" xr:uid="{00000000-0005-0000-0000-0000BA070000}"/>
    <cellStyle name="Normal 4 16 9" xfId="1594" xr:uid="{00000000-0005-0000-0000-0000BB070000}"/>
    <cellStyle name="Normal 4 17" xfId="481" xr:uid="{00000000-0005-0000-0000-0000BC070000}"/>
    <cellStyle name="Normal 4 17 2" xfId="674" xr:uid="{00000000-0005-0000-0000-0000BD070000}"/>
    <cellStyle name="Normal 4 17 3" xfId="2053" xr:uid="{00000000-0005-0000-0000-0000BE070000}"/>
    <cellStyle name="Normal 4 18" xfId="549" xr:uid="{00000000-0005-0000-0000-0000BF070000}"/>
    <cellStyle name="Normal 4 18 2" xfId="2108" xr:uid="{00000000-0005-0000-0000-0000C0070000}"/>
    <cellStyle name="Normal 4 19" xfId="611" xr:uid="{00000000-0005-0000-0000-0000C1070000}"/>
    <cellStyle name="Normal 4 19 2" xfId="2439" xr:uid="{00000000-0005-0000-0000-0000C2070000}"/>
    <cellStyle name="Normal 4 2" xfId="53" xr:uid="{00000000-0005-0000-0000-0000C3070000}"/>
    <cellStyle name="Normal 4 2 2" xfId="112" xr:uid="{00000000-0005-0000-0000-0000C4070000}"/>
    <cellStyle name="Normal 4 2 2 2" xfId="1160" xr:uid="{00000000-0005-0000-0000-0000C5070000}"/>
    <cellStyle name="Normal 4 2 2 2 2" xfId="2174" xr:uid="{00000000-0005-0000-0000-0000C6070000}"/>
    <cellStyle name="Normal 4 2 2 3" xfId="1966" xr:uid="{00000000-0005-0000-0000-0000C7070000}"/>
    <cellStyle name="Normal 4 2 3" xfId="113" xr:uid="{00000000-0005-0000-0000-0000C8070000}"/>
    <cellStyle name="Normal 4 2 3 2" xfId="1374" xr:uid="{00000000-0005-0000-0000-0000C9070000}"/>
    <cellStyle name="Normal 4 2 3 2 2" xfId="2175" xr:uid="{00000000-0005-0000-0000-0000CA070000}"/>
    <cellStyle name="Normal 4 2 3 3" xfId="1967" xr:uid="{00000000-0005-0000-0000-0000CB070000}"/>
    <cellStyle name="Normal 4 2 4" xfId="178" xr:uid="{00000000-0005-0000-0000-0000CC070000}"/>
    <cellStyle name="Normal 4 2 4 2" xfId="340" xr:uid="{00000000-0005-0000-0000-0000CD070000}"/>
    <cellStyle name="Normal 4 2 4 2 2" xfId="1432" xr:uid="{00000000-0005-0000-0000-0000CE070000}"/>
    <cellStyle name="Normal 4 2 4 2 2 2" xfId="2373" xr:uid="{00000000-0005-0000-0000-0000CF070000}"/>
    <cellStyle name="Normal 4 2 4 2 3" xfId="1969" xr:uid="{00000000-0005-0000-0000-0000D0070000}"/>
    <cellStyle name="Normal 4 2 4 3" xfId="1205" xr:uid="{00000000-0005-0000-0000-0000D1070000}"/>
    <cellStyle name="Normal 4 2 4 3 2" xfId="2238" xr:uid="{00000000-0005-0000-0000-0000D2070000}"/>
    <cellStyle name="Normal 4 2 4 4" xfId="1968" xr:uid="{00000000-0005-0000-0000-0000D3070000}"/>
    <cellStyle name="Normal 4 2 5" xfId="259" xr:uid="{00000000-0005-0000-0000-0000D4070000}"/>
    <cellStyle name="Normal 4 2 5 2" xfId="415" xr:uid="{00000000-0005-0000-0000-0000D5070000}"/>
    <cellStyle name="Normal 4 2 5 2 2" xfId="1304" xr:uid="{00000000-0005-0000-0000-0000D6070000}"/>
    <cellStyle name="Normal 4 2 5 2 2 2" xfId="2433" xr:uid="{00000000-0005-0000-0000-0000D7070000}"/>
    <cellStyle name="Normal 4 2 5 2 3" xfId="1971" xr:uid="{00000000-0005-0000-0000-0000D8070000}"/>
    <cellStyle name="Normal 4 2 5 3" xfId="1583" xr:uid="{00000000-0005-0000-0000-0000D9070000}"/>
    <cellStyle name="Normal 4 2 5 3 2" xfId="2303" xr:uid="{00000000-0005-0000-0000-0000DA070000}"/>
    <cellStyle name="Normal 4 2 5 4" xfId="1970" xr:uid="{00000000-0005-0000-0000-0000DB070000}"/>
    <cellStyle name="Normal 4 2 6" xfId="912" xr:uid="{00000000-0005-0000-0000-0000DC070000}"/>
    <cellStyle name="Normal 4 2 6 2" xfId="2061" xr:uid="{00000000-0005-0000-0000-0000DD070000}"/>
    <cellStyle name="Normal 4 2 7" xfId="1230" xr:uid="{00000000-0005-0000-0000-0000DE070000}"/>
    <cellStyle name="Normal 4 2 7 2" xfId="2115" xr:uid="{00000000-0005-0000-0000-0000DF070000}"/>
    <cellStyle name="Normal 4 2 8" xfId="1965" xr:uid="{00000000-0005-0000-0000-0000E0070000}"/>
    <cellStyle name="Normal 4 20" xfId="959" xr:uid="{00000000-0005-0000-0000-0000E1070000}"/>
    <cellStyle name="Normal 4 20 2" xfId="2507" xr:uid="{00000000-0005-0000-0000-0000E2070000}"/>
    <cellStyle name="Normal 4 21" xfId="1052" xr:uid="{00000000-0005-0000-0000-0000E3070000}"/>
    <cellStyle name="Normal 4 22" xfId="1086" xr:uid="{00000000-0005-0000-0000-0000E4070000}"/>
    <cellStyle name="Normal 4 23" xfId="1192" xr:uid="{00000000-0005-0000-0000-0000E5070000}"/>
    <cellStyle name="Normal 4 24" xfId="1565" xr:uid="{00000000-0005-0000-0000-0000E6070000}"/>
    <cellStyle name="Normal 4 25" xfId="1951" xr:uid="{00000000-0005-0000-0000-0000E7070000}"/>
    <cellStyle name="Normal 4 3" xfId="56" xr:uid="{00000000-0005-0000-0000-0000E8070000}"/>
    <cellStyle name="Normal 4 3 10" xfId="1456" xr:uid="{00000000-0005-0000-0000-0000E9070000}"/>
    <cellStyle name="Normal 4 3 11" xfId="1972" xr:uid="{00000000-0005-0000-0000-0000EA070000}"/>
    <cellStyle name="Normal 4 3 2" xfId="273" xr:uid="{00000000-0005-0000-0000-0000EB070000}"/>
    <cellStyle name="Normal 4 3 2 10" xfId="1973" xr:uid="{00000000-0005-0000-0000-0000EC070000}"/>
    <cellStyle name="Normal 4 3 2 2" xfId="496" xr:uid="{00000000-0005-0000-0000-0000ED070000}"/>
    <cellStyle name="Normal 4 3 2 2 2" xfId="914" xr:uid="{00000000-0005-0000-0000-0000EE070000}"/>
    <cellStyle name="Normal 4 3 2 2 3" xfId="2313" xr:uid="{00000000-0005-0000-0000-0000EF070000}"/>
    <cellStyle name="Normal 4 3 2 3" xfId="582" xr:uid="{00000000-0005-0000-0000-0000F0070000}"/>
    <cellStyle name="Normal 4 3 2 3 2" xfId="2477" xr:uid="{00000000-0005-0000-0000-0000F1070000}"/>
    <cellStyle name="Normal 4 3 2 4" xfId="644" xr:uid="{00000000-0005-0000-0000-0000F2070000}"/>
    <cellStyle name="Normal 4 3 2 4 2" xfId="2545" xr:uid="{00000000-0005-0000-0000-0000F3070000}"/>
    <cellStyle name="Normal 4 3 2 5" xfId="992" xr:uid="{00000000-0005-0000-0000-0000F4070000}"/>
    <cellStyle name="Normal 4 3 2 6" xfId="1067" xr:uid="{00000000-0005-0000-0000-0000F5070000}"/>
    <cellStyle name="Normal 4 3 2 7" xfId="1119" xr:uid="{00000000-0005-0000-0000-0000F6070000}"/>
    <cellStyle name="Normal 4 3 2 8" xfId="1419" xr:uid="{00000000-0005-0000-0000-0000F7070000}"/>
    <cellStyle name="Normal 4 3 2 9" xfId="1423" xr:uid="{00000000-0005-0000-0000-0000F8070000}"/>
    <cellStyle name="Normal 4 3 3" xfId="495" xr:uid="{00000000-0005-0000-0000-0000F9070000}"/>
    <cellStyle name="Normal 4 3 3 2" xfId="913" xr:uid="{00000000-0005-0000-0000-0000FA070000}"/>
    <cellStyle name="Normal 4 3 3 3" xfId="2118" xr:uid="{00000000-0005-0000-0000-0000FB070000}"/>
    <cellStyle name="Normal 4 3 4" xfId="550" xr:uid="{00000000-0005-0000-0000-0000FC070000}"/>
    <cellStyle name="Normal 4 3 4 2" xfId="2440" xr:uid="{00000000-0005-0000-0000-0000FD070000}"/>
    <cellStyle name="Normal 4 3 5" xfId="612" xr:uid="{00000000-0005-0000-0000-0000FE070000}"/>
    <cellStyle name="Normal 4 3 5 2" xfId="2508" xr:uid="{00000000-0005-0000-0000-0000FF070000}"/>
    <cellStyle name="Normal 4 3 6" xfId="960" xr:uid="{00000000-0005-0000-0000-000000080000}"/>
    <cellStyle name="Normal 4 3 7" xfId="1066" xr:uid="{00000000-0005-0000-0000-000001080000}"/>
    <cellStyle name="Normal 4 3 8" xfId="1087" xr:uid="{00000000-0005-0000-0000-000002080000}"/>
    <cellStyle name="Normal 4 3 9" xfId="1203" xr:uid="{00000000-0005-0000-0000-000003080000}"/>
    <cellStyle name="Normal 4 4" xfId="59" xr:uid="{00000000-0005-0000-0000-000004080000}"/>
    <cellStyle name="Normal 4 4 10" xfId="1322" xr:uid="{00000000-0005-0000-0000-000005080000}"/>
    <cellStyle name="Normal 4 4 11" xfId="1974" xr:uid="{00000000-0005-0000-0000-000006080000}"/>
    <cellStyle name="Normal 4 4 2" xfId="274" xr:uid="{00000000-0005-0000-0000-000007080000}"/>
    <cellStyle name="Normal 4 4 2 10" xfId="1975" xr:uid="{00000000-0005-0000-0000-000008080000}"/>
    <cellStyle name="Normal 4 4 2 2" xfId="498" xr:uid="{00000000-0005-0000-0000-000009080000}"/>
    <cellStyle name="Normal 4 4 2 2 2" xfId="2314" xr:uid="{00000000-0005-0000-0000-00000A080000}"/>
    <cellStyle name="Normal 4 4 2 3" xfId="583" xr:uid="{00000000-0005-0000-0000-00000B080000}"/>
    <cellStyle name="Normal 4 4 2 3 2" xfId="2478" xr:uid="{00000000-0005-0000-0000-00000C080000}"/>
    <cellStyle name="Normal 4 4 2 4" xfId="645" xr:uid="{00000000-0005-0000-0000-00000D080000}"/>
    <cellStyle name="Normal 4 4 2 4 2" xfId="2546" xr:uid="{00000000-0005-0000-0000-00000E080000}"/>
    <cellStyle name="Normal 4 4 2 5" xfId="993" xr:uid="{00000000-0005-0000-0000-00000F080000}"/>
    <cellStyle name="Normal 4 4 2 6" xfId="1069" xr:uid="{00000000-0005-0000-0000-000010080000}"/>
    <cellStyle name="Normal 4 4 2 7" xfId="1120" xr:uid="{00000000-0005-0000-0000-000011080000}"/>
    <cellStyle name="Normal 4 4 2 8" xfId="1420" xr:uid="{00000000-0005-0000-0000-000012080000}"/>
    <cellStyle name="Normal 4 4 2 9" xfId="1328" xr:uid="{00000000-0005-0000-0000-000013080000}"/>
    <cellStyle name="Normal 4 4 3" xfId="497" xr:uid="{00000000-0005-0000-0000-000014080000}"/>
    <cellStyle name="Normal 4 4 3 2" xfId="956" xr:uid="{00000000-0005-0000-0000-000015080000}"/>
    <cellStyle name="Normal 4 4 3 3" xfId="2121" xr:uid="{00000000-0005-0000-0000-000016080000}"/>
    <cellStyle name="Normal 4 4 4" xfId="551" xr:uid="{00000000-0005-0000-0000-000017080000}"/>
    <cellStyle name="Normal 4 4 4 2" xfId="2441" xr:uid="{00000000-0005-0000-0000-000018080000}"/>
    <cellStyle name="Normal 4 4 5" xfId="613" xr:uid="{00000000-0005-0000-0000-000019080000}"/>
    <cellStyle name="Normal 4 4 5 2" xfId="2509" xr:uid="{00000000-0005-0000-0000-00001A080000}"/>
    <cellStyle name="Normal 4 4 6" xfId="961" xr:uid="{00000000-0005-0000-0000-00001B080000}"/>
    <cellStyle name="Normal 4 4 7" xfId="1068" xr:uid="{00000000-0005-0000-0000-00001C080000}"/>
    <cellStyle name="Normal 4 4 8" xfId="1088" xr:uid="{00000000-0005-0000-0000-00001D080000}"/>
    <cellStyle name="Normal 4 4 9" xfId="1206" xr:uid="{00000000-0005-0000-0000-00001E080000}"/>
    <cellStyle name="Normal 4 5" xfId="60" xr:uid="{00000000-0005-0000-0000-00001F080000}"/>
    <cellStyle name="Normal 4 5 10" xfId="1590" xr:uid="{00000000-0005-0000-0000-000020080000}"/>
    <cellStyle name="Normal 4 5 11" xfId="1976" xr:uid="{00000000-0005-0000-0000-000021080000}"/>
    <cellStyle name="Normal 4 5 2" xfId="275" xr:uid="{00000000-0005-0000-0000-000022080000}"/>
    <cellStyle name="Normal 4 5 2 10" xfId="1977" xr:uid="{00000000-0005-0000-0000-000023080000}"/>
    <cellStyle name="Normal 4 5 2 2" xfId="500" xr:uid="{00000000-0005-0000-0000-000024080000}"/>
    <cellStyle name="Normal 4 5 2 2 2" xfId="2315" xr:uid="{00000000-0005-0000-0000-000025080000}"/>
    <cellStyle name="Normal 4 5 2 3" xfId="584" xr:uid="{00000000-0005-0000-0000-000026080000}"/>
    <cellStyle name="Normal 4 5 2 3 2" xfId="2479" xr:uid="{00000000-0005-0000-0000-000027080000}"/>
    <cellStyle name="Normal 4 5 2 4" xfId="646" xr:uid="{00000000-0005-0000-0000-000028080000}"/>
    <cellStyle name="Normal 4 5 2 4 2" xfId="2547" xr:uid="{00000000-0005-0000-0000-000029080000}"/>
    <cellStyle name="Normal 4 5 2 5" xfId="994" xr:uid="{00000000-0005-0000-0000-00002A080000}"/>
    <cellStyle name="Normal 4 5 2 6" xfId="1071" xr:uid="{00000000-0005-0000-0000-00002B080000}"/>
    <cellStyle name="Normal 4 5 2 7" xfId="1121" xr:uid="{00000000-0005-0000-0000-00002C080000}"/>
    <cellStyle name="Normal 4 5 2 8" xfId="1421" xr:uid="{00000000-0005-0000-0000-00002D080000}"/>
    <cellStyle name="Normal 4 5 2 9" xfId="1539" xr:uid="{00000000-0005-0000-0000-00002E080000}"/>
    <cellStyle name="Normal 4 5 3" xfId="499" xr:uid="{00000000-0005-0000-0000-00002F080000}"/>
    <cellStyle name="Normal 4 5 3 2" xfId="675" xr:uid="{00000000-0005-0000-0000-000030080000}"/>
    <cellStyle name="Normal 4 5 3 3" xfId="2122" xr:uid="{00000000-0005-0000-0000-000031080000}"/>
    <cellStyle name="Normal 4 5 4" xfId="552" xr:uid="{00000000-0005-0000-0000-000032080000}"/>
    <cellStyle name="Normal 4 5 4 2" xfId="2442" xr:uid="{00000000-0005-0000-0000-000033080000}"/>
    <cellStyle name="Normal 4 5 5" xfId="614" xr:uid="{00000000-0005-0000-0000-000034080000}"/>
    <cellStyle name="Normal 4 5 5 2" xfId="2510" xr:uid="{00000000-0005-0000-0000-000035080000}"/>
    <cellStyle name="Normal 4 5 6" xfId="962" xr:uid="{00000000-0005-0000-0000-000036080000}"/>
    <cellStyle name="Normal 4 5 7" xfId="1070" xr:uid="{00000000-0005-0000-0000-000037080000}"/>
    <cellStyle name="Normal 4 5 8" xfId="1089" xr:uid="{00000000-0005-0000-0000-000038080000}"/>
    <cellStyle name="Normal 4 5 9" xfId="1207" xr:uid="{00000000-0005-0000-0000-000039080000}"/>
    <cellStyle name="Normal 4 6" xfId="114" xr:uid="{00000000-0005-0000-0000-00003A080000}"/>
    <cellStyle name="Normal 4 6 10" xfId="1449" xr:uid="{00000000-0005-0000-0000-00003B080000}"/>
    <cellStyle name="Normal 4 6 11" xfId="1978" xr:uid="{00000000-0005-0000-0000-00003C080000}"/>
    <cellStyle name="Normal 4 6 2" xfId="280" xr:uid="{00000000-0005-0000-0000-00003D080000}"/>
    <cellStyle name="Normal 4 6 2 10" xfId="1979" xr:uid="{00000000-0005-0000-0000-00003E080000}"/>
    <cellStyle name="Normal 4 6 2 2" xfId="502" xr:uid="{00000000-0005-0000-0000-00003F080000}"/>
    <cellStyle name="Normal 4 6 2 2 2" xfId="2318" xr:uid="{00000000-0005-0000-0000-000040080000}"/>
    <cellStyle name="Normal 4 6 2 3" xfId="587" xr:uid="{00000000-0005-0000-0000-000041080000}"/>
    <cellStyle name="Normal 4 6 2 3 2" xfId="2482" xr:uid="{00000000-0005-0000-0000-000042080000}"/>
    <cellStyle name="Normal 4 6 2 4" xfId="649" xr:uid="{00000000-0005-0000-0000-000043080000}"/>
    <cellStyle name="Normal 4 6 2 4 2" xfId="2550" xr:uid="{00000000-0005-0000-0000-000044080000}"/>
    <cellStyle name="Normal 4 6 2 5" xfId="997" xr:uid="{00000000-0005-0000-0000-000045080000}"/>
    <cellStyle name="Normal 4 6 2 6" xfId="1073" xr:uid="{00000000-0005-0000-0000-000046080000}"/>
    <cellStyle name="Normal 4 6 2 7" xfId="1124" xr:uid="{00000000-0005-0000-0000-000047080000}"/>
    <cellStyle name="Normal 4 6 2 8" xfId="1426" xr:uid="{00000000-0005-0000-0000-000048080000}"/>
    <cellStyle name="Normal 4 6 2 9" xfId="1445" xr:uid="{00000000-0005-0000-0000-000049080000}"/>
    <cellStyle name="Normal 4 6 3" xfId="501" xr:uid="{00000000-0005-0000-0000-00004A080000}"/>
    <cellStyle name="Normal 4 6 3 2" xfId="2176" xr:uid="{00000000-0005-0000-0000-00004B080000}"/>
    <cellStyle name="Normal 4 6 4" xfId="555" xr:uid="{00000000-0005-0000-0000-00004C080000}"/>
    <cellStyle name="Normal 4 6 4 2" xfId="2445" xr:uid="{00000000-0005-0000-0000-00004D080000}"/>
    <cellStyle name="Normal 4 6 5" xfId="617" xr:uid="{00000000-0005-0000-0000-00004E080000}"/>
    <cellStyle name="Normal 4 6 5 2" xfId="2513" xr:uid="{00000000-0005-0000-0000-00004F080000}"/>
    <cellStyle name="Normal 4 6 6" xfId="965" xr:uid="{00000000-0005-0000-0000-000050080000}"/>
    <cellStyle name="Normal 4 6 7" xfId="1072" xr:uid="{00000000-0005-0000-0000-000051080000}"/>
    <cellStyle name="Normal 4 6 8" xfId="1092" xr:uid="{00000000-0005-0000-0000-000052080000}"/>
    <cellStyle name="Normal 4 6 9" xfId="1260" xr:uid="{00000000-0005-0000-0000-000053080000}"/>
    <cellStyle name="Normal 4 7" xfId="115" xr:uid="{00000000-0005-0000-0000-000054080000}"/>
    <cellStyle name="Normal 4 7 10" xfId="1484" xr:uid="{00000000-0005-0000-0000-000055080000}"/>
    <cellStyle name="Normal 4 7 11" xfId="1980" xr:uid="{00000000-0005-0000-0000-000056080000}"/>
    <cellStyle name="Normal 4 7 2" xfId="281" xr:uid="{00000000-0005-0000-0000-000057080000}"/>
    <cellStyle name="Normal 4 7 2 10" xfId="1981" xr:uid="{00000000-0005-0000-0000-000058080000}"/>
    <cellStyle name="Normal 4 7 2 2" xfId="504" xr:uid="{00000000-0005-0000-0000-000059080000}"/>
    <cellStyle name="Normal 4 7 2 2 2" xfId="2319" xr:uid="{00000000-0005-0000-0000-00005A080000}"/>
    <cellStyle name="Normal 4 7 2 3" xfId="588" xr:uid="{00000000-0005-0000-0000-00005B080000}"/>
    <cellStyle name="Normal 4 7 2 3 2" xfId="2483" xr:uid="{00000000-0005-0000-0000-00005C080000}"/>
    <cellStyle name="Normal 4 7 2 4" xfId="650" xr:uid="{00000000-0005-0000-0000-00005D080000}"/>
    <cellStyle name="Normal 4 7 2 4 2" xfId="2551" xr:uid="{00000000-0005-0000-0000-00005E080000}"/>
    <cellStyle name="Normal 4 7 2 5" xfId="998" xr:uid="{00000000-0005-0000-0000-00005F080000}"/>
    <cellStyle name="Normal 4 7 2 6" xfId="1075" xr:uid="{00000000-0005-0000-0000-000060080000}"/>
    <cellStyle name="Normal 4 7 2 7" xfId="1125" xr:uid="{00000000-0005-0000-0000-000061080000}"/>
    <cellStyle name="Normal 4 7 2 8" xfId="1427" xr:uid="{00000000-0005-0000-0000-000062080000}"/>
    <cellStyle name="Normal 4 7 2 9" xfId="1490" xr:uid="{00000000-0005-0000-0000-000063080000}"/>
    <cellStyle name="Normal 4 7 3" xfId="503" xr:uid="{00000000-0005-0000-0000-000064080000}"/>
    <cellStyle name="Normal 4 7 3 2" xfId="2177" xr:uid="{00000000-0005-0000-0000-000065080000}"/>
    <cellStyle name="Normal 4 7 4" xfId="556" xr:uid="{00000000-0005-0000-0000-000066080000}"/>
    <cellStyle name="Normal 4 7 4 2" xfId="2446" xr:uid="{00000000-0005-0000-0000-000067080000}"/>
    <cellStyle name="Normal 4 7 5" xfId="618" xr:uid="{00000000-0005-0000-0000-000068080000}"/>
    <cellStyle name="Normal 4 7 5 2" xfId="2514" xr:uid="{00000000-0005-0000-0000-000069080000}"/>
    <cellStyle name="Normal 4 7 6" xfId="966" xr:uid="{00000000-0005-0000-0000-00006A080000}"/>
    <cellStyle name="Normal 4 7 7" xfId="1074" xr:uid="{00000000-0005-0000-0000-00006B080000}"/>
    <cellStyle name="Normal 4 7 8" xfId="1093" xr:uid="{00000000-0005-0000-0000-00006C080000}"/>
    <cellStyle name="Normal 4 7 9" xfId="1261" xr:uid="{00000000-0005-0000-0000-00006D080000}"/>
    <cellStyle name="Normal 4 8" xfId="116" xr:uid="{00000000-0005-0000-0000-00006E080000}"/>
    <cellStyle name="Normal 4 8 10" xfId="1593" xr:uid="{00000000-0005-0000-0000-00006F080000}"/>
    <cellStyle name="Normal 4 8 11" xfId="1982" xr:uid="{00000000-0005-0000-0000-000070080000}"/>
    <cellStyle name="Normal 4 8 2" xfId="282" xr:uid="{00000000-0005-0000-0000-000071080000}"/>
    <cellStyle name="Normal 4 8 2 10" xfId="1983" xr:uid="{00000000-0005-0000-0000-000072080000}"/>
    <cellStyle name="Normal 4 8 2 2" xfId="506" xr:uid="{00000000-0005-0000-0000-000073080000}"/>
    <cellStyle name="Normal 4 8 2 2 2" xfId="2320" xr:uid="{00000000-0005-0000-0000-000074080000}"/>
    <cellStyle name="Normal 4 8 2 3" xfId="589" xr:uid="{00000000-0005-0000-0000-000075080000}"/>
    <cellStyle name="Normal 4 8 2 3 2" xfId="2484" xr:uid="{00000000-0005-0000-0000-000076080000}"/>
    <cellStyle name="Normal 4 8 2 4" xfId="651" xr:uid="{00000000-0005-0000-0000-000077080000}"/>
    <cellStyle name="Normal 4 8 2 4 2" xfId="2552" xr:uid="{00000000-0005-0000-0000-000078080000}"/>
    <cellStyle name="Normal 4 8 2 5" xfId="999" xr:uid="{00000000-0005-0000-0000-000079080000}"/>
    <cellStyle name="Normal 4 8 2 6" xfId="1077" xr:uid="{00000000-0005-0000-0000-00007A080000}"/>
    <cellStyle name="Normal 4 8 2 7" xfId="1126" xr:uid="{00000000-0005-0000-0000-00007B080000}"/>
    <cellStyle name="Normal 4 8 2 8" xfId="1428" xr:uid="{00000000-0005-0000-0000-00007C080000}"/>
    <cellStyle name="Normal 4 8 2 9" xfId="1302" xr:uid="{00000000-0005-0000-0000-00007D080000}"/>
    <cellStyle name="Normal 4 8 3" xfId="505" xr:uid="{00000000-0005-0000-0000-00007E080000}"/>
    <cellStyle name="Normal 4 8 3 2" xfId="2178" xr:uid="{00000000-0005-0000-0000-00007F080000}"/>
    <cellStyle name="Normal 4 8 4" xfId="557" xr:uid="{00000000-0005-0000-0000-000080080000}"/>
    <cellStyle name="Normal 4 8 4 2" xfId="2447" xr:uid="{00000000-0005-0000-0000-000081080000}"/>
    <cellStyle name="Normal 4 8 5" xfId="619" xr:uid="{00000000-0005-0000-0000-000082080000}"/>
    <cellStyle name="Normal 4 8 5 2" xfId="2515" xr:uid="{00000000-0005-0000-0000-000083080000}"/>
    <cellStyle name="Normal 4 8 6" xfId="967" xr:uid="{00000000-0005-0000-0000-000084080000}"/>
    <cellStyle name="Normal 4 8 7" xfId="1076" xr:uid="{00000000-0005-0000-0000-000085080000}"/>
    <cellStyle name="Normal 4 8 8" xfId="1094" xr:uid="{00000000-0005-0000-0000-000086080000}"/>
    <cellStyle name="Normal 4 8 9" xfId="1262" xr:uid="{00000000-0005-0000-0000-000087080000}"/>
    <cellStyle name="Normal 4 9" xfId="127" xr:uid="{00000000-0005-0000-0000-000088080000}"/>
    <cellStyle name="Normal 4 9 10" xfId="1157" xr:uid="{00000000-0005-0000-0000-000089080000}"/>
    <cellStyle name="Normal 4 9 11" xfId="1984" xr:uid="{00000000-0005-0000-0000-00008A080000}"/>
    <cellStyle name="Normal 4 9 2" xfId="289" xr:uid="{00000000-0005-0000-0000-00008B080000}"/>
    <cellStyle name="Normal 4 9 2 10" xfId="1985" xr:uid="{00000000-0005-0000-0000-00008C080000}"/>
    <cellStyle name="Normal 4 9 2 2" xfId="508" xr:uid="{00000000-0005-0000-0000-00008D080000}"/>
    <cellStyle name="Normal 4 9 2 2 2" xfId="2324" xr:uid="{00000000-0005-0000-0000-00008E080000}"/>
    <cellStyle name="Normal 4 9 2 3" xfId="593" xr:uid="{00000000-0005-0000-0000-00008F080000}"/>
    <cellStyle name="Normal 4 9 2 3 2" xfId="2488" xr:uid="{00000000-0005-0000-0000-000090080000}"/>
    <cellStyle name="Normal 4 9 2 4" xfId="655" xr:uid="{00000000-0005-0000-0000-000091080000}"/>
    <cellStyle name="Normal 4 9 2 4 2" xfId="2556" xr:uid="{00000000-0005-0000-0000-000092080000}"/>
    <cellStyle name="Normal 4 9 2 5" xfId="1003" xr:uid="{00000000-0005-0000-0000-000093080000}"/>
    <cellStyle name="Normal 4 9 2 6" xfId="1079" xr:uid="{00000000-0005-0000-0000-000094080000}"/>
    <cellStyle name="Normal 4 9 2 7" xfId="1130" xr:uid="{00000000-0005-0000-0000-000095080000}"/>
    <cellStyle name="Normal 4 9 2 8" xfId="1435" xr:uid="{00000000-0005-0000-0000-000096080000}"/>
    <cellStyle name="Normal 4 9 2 9" xfId="1182" xr:uid="{00000000-0005-0000-0000-000097080000}"/>
    <cellStyle name="Normal 4 9 3" xfId="507" xr:uid="{00000000-0005-0000-0000-000098080000}"/>
    <cellStyle name="Normal 4 9 3 2" xfId="2189" xr:uid="{00000000-0005-0000-0000-000099080000}"/>
    <cellStyle name="Normal 4 9 4" xfId="561" xr:uid="{00000000-0005-0000-0000-00009A080000}"/>
    <cellStyle name="Normal 4 9 4 2" xfId="2451" xr:uid="{00000000-0005-0000-0000-00009B080000}"/>
    <cellStyle name="Normal 4 9 5" xfId="623" xr:uid="{00000000-0005-0000-0000-00009C080000}"/>
    <cellStyle name="Normal 4 9 5 2" xfId="2519" xr:uid="{00000000-0005-0000-0000-00009D080000}"/>
    <cellStyle name="Normal 4 9 6" xfId="971" xr:uid="{00000000-0005-0000-0000-00009E080000}"/>
    <cellStyle name="Normal 4 9 7" xfId="1078" xr:uid="{00000000-0005-0000-0000-00009F080000}"/>
    <cellStyle name="Normal 4 9 8" xfId="1098" xr:uid="{00000000-0005-0000-0000-0000A0080000}"/>
    <cellStyle name="Normal 4 9 9" xfId="1273" xr:uid="{00000000-0005-0000-0000-0000A1080000}"/>
    <cellStyle name="Normal 5" xfId="45" xr:uid="{00000000-0005-0000-0000-0000A2080000}"/>
    <cellStyle name="Normal 5 2" xfId="57" xr:uid="{00000000-0005-0000-0000-0000A3080000}"/>
    <cellStyle name="Normal 5 2 2" xfId="916" xr:uid="{00000000-0005-0000-0000-0000A4080000}"/>
    <cellStyle name="Normal 5 2 2 2" xfId="2119" xr:uid="{00000000-0005-0000-0000-0000A5080000}"/>
    <cellStyle name="Normal 5 2 3" xfId="915" xr:uid="{00000000-0005-0000-0000-0000A6080000}"/>
    <cellStyle name="Normal 5 2 4" xfId="1331" xr:uid="{00000000-0005-0000-0000-0000A7080000}"/>
    <cellStyle name="Normal 5 2 5" xfId="1987" xr:uid="{00000000-0005-0000-0000-0000A8080000}"/>
    <cellStyle name="Normal 5 3" xfId="117" xr:uid="{00000000-0005-0000-0000-0000A9080000}"/>
    <cellStyle name="Normal 5 3 2" xfId="1581" xr:uid="{00000000-0005-0000-0000-0000AA080000}"/>
    <cellStyle name="Normal 5 3 2 2" xfId="2179" xr:uid="{00000000-0005-0000-0000-0000AB080000}"/>
    <cellStyle name="Normal 5 3 3" xfId="1988" xr:uid="{00000000-0005-0000-0000-0000AC080000}"/>
    <cellStyle name="Normal 5 4" xfId="179" xr:uid="{00000000-0005-0000-0000-0000AD080000}"/>
    <cellStyle name="Normal 5 4 2" xfId="341" xr:uid="{00000000-0005-0000-0000-0000AE080000}"/>
    <cellStyle name="Normal 5 4 2 2" xfId="1530" xr:uid="{00000000-0005-0000-0000-0000AF080000}"/>
    <cellStyle name="Normal 5 4 2 2 2" xfId="2374" xr:uid="{00000000-0005-0000-0000-0000B0080000}"/>
    <cellStyle name="Normal 5 4 2 3" xfId="1990" xr:uid="{00000000-0005-0000-0000-0000B1080000}"/>
    <cellStyle name="Normal 5 4 3" xfId="1381" xr:uid="{00000000-0005-0000-0000-0000B2080000}"/>
    <cellStyle name="Normal 5 4 3 2" xfId="2239" xr:uid="{00000000-0005-0000-0000-0000B3080000}"/>
    <cellStyle name="Normal 5 4 4" xfId="1989" xr:uid="{00000000-0005-0000-0000-0000B4080000}"/>
    <cellStyle name="Normal 5 5" xfId="260" xr:uid="{00000000-0005-0000-0000-0000B5080000}"/>
    <cellStyle name="Normal 5 5 2" xfId="416" xr:uid="{00000000-0005-0000-0000-0000B6080000}"/>
    <cellStyle name="Normal 5 5 2 2" xfId="1320" xr:uid="{00000000-0005-0000-0000-0000B7080000}"/>
    <cellStyle name="Normal 5 5 2 2 2" xfId="2434" xr:uid="{00000000-0005-0000-0000-0000B8080000}"/>
    <cellStyle name="Normal 5 5 2 3" xfId="1992" xr:uid="{00000000-0005-0000-0000-0000B9080000}"/>
    <cellStyle name="Normal 5 5 3" xfId="1474" xr:uid="{00000000-0005-0000-0000-0000BA080000}"/>
    <cellStyle name="Normal 5 5 3 2" xfId="2304" xr:uid="{00000000-0005-0000-0000-0000BB080000}"/>
    <cellStyle name="Normal 5 5 4" xfId="1991" xr:uid="{00000000-0005-0000-0000-0000BC080000}"/>
    <cellStyle name="Normal 5 6" xfId="1257" xr:uid="{00000000-0005-0000-0000-0000BD080000}"/>
    <cellStyle name="Normal 5 6 2" xfId="2109" xr:uid="{00000000-0005-0000-0000-0000BE080000}"/>
    <cellStyle name="Normal 5 7" xfId="1986" xr:uid="{00000000-0005-0000-0000-0000BF080000}"/>
    <cellStyle name="Normal 6" xfId="118" xr:uid="{00000000-0005-0000-0000-0000C0080000}"/>
    <cellStyle name="Normal 6 2" xfId="918" xr:uid="{00000000-0005-0000-0000-0000C1080000}"/>
    <cellStyle name="Normal 6 2 2" xfId="2180" xr:uid="{00000000-0005-0000-0000-0000C2080000}"/>
    <cellStyle name="Normal 6 3" xfId="917" xr:uid="{00000000-0005-0000-0000-0000C3080000}"/>
    <cellStyle name="Normal 6 4" xfId="1493" xr:uid="{00000000-0005-0000-0000-0000C4080000}"/>
    <cellStyle name="Normal 6 5" xfId="1993" xr:uid="{00000000-0005-0000-0000-0000C5080000}"/>
    <cellStyle name="Normal 7" xfId="119" xr:uid="{00000000-0005-0000-0000-0000C6080000}"/>
    <cellStyle name="Normal 7 10" xfId="1592" xr:uid="{00000000-0005-0000-0000-0000C7080000}"/>
    <cellStyle name="Normal 7 11" xfId="1994" xr:uid="{00000000-0005-0000-0000-0000C8080000}"/>
    <cellStyle name="Normal 7 2" xfId="283" xr:uid="{00000000-0005-0000-0000-0000C9080000}"/>
    <cellStyle name="Normal 7 2 10" xfId="1995" xr:uid="{00000000-0005-0000-0000-0000CA080000}"/>
    <cellStyle name="Normal 7 2 2" xfId="510" xr:uid="{00000000-0005-0000-0000-0000CB080000}"/>
    <cellStyle name="Normal 7 2 2 2" xfId="2321" xr:uid="{00000000-0005-0000-0000-0000CC080000}"/>
    <cellStyle name="Normal 7 2 3" xfId="590" xr:uid="{00000000-0005-0000-0000-0000CD080000}"/>
    <cellStyle name="Normal 7 2 3 2" xfId="2485" xr:uid="{00000000-0005-0000-0000-0000CE080000}"/>
    <cellStyle name="Normal 7 2 4" xfId="652" xr:uid="{00000000-0005-0000-0000-0000CF080000}"/>
    <cellStyle name="Normal 7 2 4 2" xfId="2553" xr:uid="{00000000-0005-0000-0000-0000D0080000}"/>
    <cellStyle name="Normal 7 2 5" xfId="1000" xr:uid="{00000000-0005-0000-0000-0000D1080000}"/>
    <cellStyle name="Normal 7 2 6" xfId="1081" xr:uid="{00000000-0005-0000-0000-0000D2080000}"/>
    <cellStyle name="Normal 7 2 7" xfId="1127" xr:uid="{00000000-0005-0000-0000-0000D3080000}"/>
    <cellStyle name="Normal 7 2 8" xfId="1429" xr:uid="{00000000-0005-0000-0000-0000D4080000}"/>
    <cellStyle name="Normal 7 2 9" xfId="1464" xr:uid="{00000000-0005-0000-0000-0000D5080000}"/>
    <cellStyle name="Normal 7 3" xfId="509" xr:uid="{00000000-0005-0000-0000-0000D6080000}"/>
    <cellStyle name="Normal 7 3 2" xfId="919" xr:uid="{00000000-0005-0000-0000-0000D7080000}"/>
    <cellStyle name="Normal 7 3 3" xfId="2181" xr:uid="{00000000-0005-0000-0000-0000D8080000}"/>
    <cellStyle name="Normal 7 4" xfId="558" xr:uid="{00000000-0005-0000-0000-0000D9080000}"/>
    <cellStyle name="Normal 7 4 2" xfId="2448" xr:uid="{00000000-0005-0000-0000-0000DA080000}"/>
    <cellStyle name="Normal 7 5" xfId="620" xr:uid="{00000000-0005-0000-0000-0000DB080000}"/>
    <cellStyle name="Normal 7 5 2" xfId="2516" xr:uid="{00000000-0005-0000-0000-0000DC080000}"/>
    <cellStyle name="Normal 7 6" xfId="968" xr:uid="{00000000-0005-0000-0000-0000DD080000}"/>
    <cellStyle name="Normal 7 7" xfId="1080" xr:uid="{00000000-0005-0000-0000-0000DE080000}"/>
    <cellStyle name="Normal 7 8" xfId="1095" xr:uid="{00000000-0005-0000-0000-0000DF080000}"/>
    <cellStyle name="Normal 7 9" xfId="1265" xr:uid="{00000000-0005-0000-0000-0000E0080000}"/>
    <cellStyle name="Normal 8" xfId="128" xr:uid="{00000000-0005-0000-0000-0000E1080000}"/>
    <cellStyle name="Normal 8 10" xfId="1216" xr:uid="{00000000-0005-0000-0000-0000E2080000}"/>
    <cellStyle name="Normal 8 11" xfId="1996" xr:uid="{00000000-0005-0000-0000-0000E3080000}"/>
    <cellStyle name="Normal 8 2" xfId="290" xr:uid="{00000000-0005-0000-0000-0000E4080000}"/>
    <cellStyle name="Normal 8 2 10" xfId="1997" xr:uid="{00000000-0005-0000-0000-0000E5080000}"/>
    <cellStyle name="Normal 8 2 2" xfId="512" xr:uid="{00000000-0005-0000-0000-0000E6080000}"/>
    <cellStyle name="Normal 8 2 2 2" xfId="2325" xr:uid="{00000000-0005-0000-0000-0000E7080000}"/>
    <cellStyle name="Normal 8 2 3" xfId="594" xr:uid="{00000000-0005-0000-0000-0000E8080000}"/>
    <cellStyle name="Normal 8 2 3 2" xfId="2489" xr:uid="{00000000-0005-0000-0000-0000E9080000}"/>
    <cellStyle name="Normal 8 2 4" xfId="656" xr:uid="{00000000-0005-0000-0000-0000EA080000}"/>
    <cellStyle name="Normal 8 2 4 2" xfId="2557" xr:uid="{00000000-0005-0000-0000-0000EB080000}"/>
    <cellStyle name="Normal 8 2 5" xfId="1004" xr:uid="{00000000-0005-0000-0000-0000EC080000}"/>
    <cellStyle name="Normal 8 2 6" xfId="1083" xr:uid="{00000000-0005-0000-0000-0000ED080000}"/>
    <cellStyle name="Normal 8 2 7" xfId="1131" xr:uid="{00000000-0005-0000-0000-0000EE080000}"/>
    <cellStyle name="Normal 8 2 8" xfId="1436" xr:uid="{00000000-0005-0000-0000-0000EF080000}"/>
    <cellStyle name="Normal 8 2 9" xfId="1240" xr:uid="{00000000-0005-0000-0000-0000F0080000}"/>
    <cellStyle name="Normal 8 3" xfId="511" xr:uid="{00000000-0005-0000-0000-0000F1080000}"/>
    <cellStyle name="Normal 8 3 2" xfId="920" xr:uid="{00000000-0005-0000-0000-0000F2080000}"/>
    <cellStyle name="Normal 8 3 3" xfId="2190" xr:uid="{00000000-0005-0000-0000-0000F3080000}"/>
    <cellStyle name="Normal 8 4" xfId="562" xr:uid="{00000000-0005-0000-0000-0000F4080000}"/>
    <cellStyle name="Normal 8 4 2" xfId="2452" xr:uid="{00000000-0005-0000-0000-0000F5080000}"/>
    <cellStyle name="Normal 8 5" xfId="624" xr:uid="{00000000-0005-0000-0000-0000F6080000}"/>
    <cellStyle name="Normal 8 5 2" xfId="2520" xr:uid="{00000000-0005-0000-0000-0000F7080000}"/>
    <cellStyle name="Normal 8 6" xfId="972" xr:uid="{00000000-0005-0000-0000-0000F8080000}"/>
    <cellStyle name="Normal 8 7" xfId="1082" xr:uid="{00000000-0005-0000-0000-0000F9080000}"/>
    <cellStyle name="Normal 8 8" xfId="1099" xr:uid="{00000000-0005-0000-0000-0000FA080000}"/>
    <cellStyle name="Normal 8 9" xfId="1274" xr:uid="{00000000-0005-0000-0000-0000FB080000}"/>
    <cellStyle name="Normal 9" xfId="129" xr:uid="{00000000-0005-0000-0000-0000FC080000}"/>
    <cellStyle name="Normal 9 10" xfId="1482" xr:uid="{00000000-0005-0000-0000-0000FD080000}"/>
    <cellStyle name="Normal 9 11" xfId="1998" xr:uid="{00000000-0005-0000-0000-0000FE080000}"/>
    <cellStyle name="Normal 9 2" xfId="291" xr:uid="{00000000-0005-0000-0000-0000FF080000}"/>
    <cellStyle name="Normal 9 2 10" xfId="1999" xr:uid="{00000000-0005-0000-0000-000000090000}"/>
    <cellStyle name="Normal 9 2 2" xfId="514" xr:uid="{00000000-0005-0000-0000-000001090000}"/>
    <cellStyle name="Normal 9 2 2 2" xfId="952" xr:uid="{00000000-0005-0000-0000-000002090000}"/>
    <cellStyle name="Normal 9 2 2 3" xfId="2326" xr:uid="{00000000-0005-0000-0000-000003090000}"/>
    <cellStyle name="Normal 9 2 3" xfId="595" xr:uid="{00000000-0005-0000-0000-000004090000}"/>
    <cellStyle name="Normal 9 2 3 2" xfId="2490" xr:uid="{00000000-0005-0000-0000-000005090000}"/>
    <cellStyle name="Normal 9 2 4" xfId="657" xr:uid="{00000000-0005-0000-0000-000006090000}"/>
    <cellStyle name="Normal 9 2 4 2" xfId="2558" xr:uid="{00000000-0005-0000-0000-000007090000}"/>
    <cellStyle name="Normal 9 2 5" xfId="1005" xr:uid="{00000000-0005-0000-0000-000008090000}"/>
    <cellStyle name="Normal 9 2 6" xfId="1085" xr:uid="{00000000-0005-0000-0000-000009090000}"/>
    <cellStyle name="Normal 9 2 7" xfId="1132" xr:uid="{00000000-0005-0000-0000-00000A090000}"/>
    <cellStyle name="Normal 9 2 8" xfId="1437" xr:uid="{00000000-0005-0000-0000-00000B090000}"/>
    <cellStyle name="Normal 9 2 9" xfId="1346" xr:uid="{00000000-0005-0000-0000-00000C090000}"/>
    <cellStyle name="Normal 9 3" xfId="513" xr:uid="{00000000-0005-0000-0000-00000D090000}"/>
    <cellStyle name="Normal 9 3 2" xfId="921" xr:uid="{00000000-0005-0000-0000-00000E090000}"/>
    <cellStyle name="Normal 9 3 3" xfId="2191" xr:uid="{00000000-0005-0000-0000-00000F090000}"/>
    <cellStyle name="Normal 9 4" xfId="563" xr:uid="{00000000-0005-0000-0000-000010090000}"/>
    <cellStyle name="Normal 9 4 2" xfId="2453" xr:uid="{00000000-0005-0000-0000-000011090000}"/>
    <cellStyle name="Normal 9 5" xfId="625" xr:uid="{00000000-0005-0000-0000-000012090000}"/>
    <cellStyle name="Normal 9 5 2" xfId="2521" xr:uid="{00000000-0005-0000-0000-000013090000}"/>
    <cellStyle name="Normal 9 6" xfId="973" xr:uid="{00000000-0005-0000-0000-000014090000}"/>
    <cellStyle name="Normal 9 7" xfId="1084" xr:uid="{00000000-0005-0000-0000-000015090000}"/>
    <cellStyle name="Normal 9 8" xfId="1100" xr:uid="{00000000-0005-0000-0000-000016090000}"/>
    <cellStyle name="Normal 9 9" xfId="1275" xr:uid="{00000000-0005-0000-0000-000017090000}"/>
    <cellStyle name="Normal_Obat dan BHP untuk DTPS MPS" xfId="46" xr:uid="{00000000-0005-0000-0000-000018090000}"/>
    <cellStyle name="Normal_Sheet1" xfId="47" xr:uid="{00000000-0005-0000-0000-000019090000}"/>
    <cellStyle name="Note 2" xfId="48" xr:uid="{00000000-0005-0000-0000-00001A090000}"/>
    <cellStyle name="Note 2 10" xfId="1294" xr:uid="{00000000-0005-0000-0000-00001B090000}"/>
    <cellStyle name="Note 2 11" xfId="2000" xr:uid="{00000000-0005-0000-0000-00001C090000}"/>
    <cellStyle name="Note 2 2" xfId="120" xr:uid="{00000000-0005-0000-0000-00001D090000}"/>
    <cellStyle name="Note 2 2 2" xfId="284" xr:uid="{00000000-0005-0000-0000-00001E090000}"/>
    <cellStyle name="Note 2 2 2 2" xfId="515" xr:uid="{00000000-0005-0000-0000-00001F090000}"/>
    <cellStyle name="Note 2 2 2 3" xfId="1402" xr:uid="{00000000-0005-0000-0000-000020090000}"/>
    <cellStyle name="Note 2 2 2 4" xfId="2002" xr:uid="{00000000-0005-0000-0000-000021090000}"/>
    <cellStyle name="Note 2 2 3" xfId="923" xr:uid="{00000000-0005-0000-0000-000022090000}"/>
    <cellStyle name="Note 2 2 3 2" xfId="2182" xr:uid="{00000000-0005-0000-0000-000023090000}"/>
    <cellStyle name="Note 2 2 4" xfId="1241" xr:uid="{00000000-0005-0000-0000-000024090000}"/>
    <cellStyle name="Note 2 2 5" xfId="2001" xr:uid="{00000000-0005-0000-0000-000025090000}"/>
    <cellStyle name="Note 2 3" xfId="180" xr:uid="{00000000-0005-0000-0000-000026090000}"/>
    <cellStyle name="Note 2 3 2" xfId="342" xr:uid="{00000000-0005-0000-0000-000027090000}"/>
    <cellStyle name="Note 2 3 2 2" xfId="517" xr:uid="{00000000-0005-0000-0000-000028090000}"/>
    <cellStyle name="Note 2 3 2 3" xfId="1586" xr:uid="{00000000-0005-0000-0000-000029090000}"/>
    <cellStyle name="Note 2 3 2 4" xfId="2004" xr:uid="{00000000-0005-0000-0000-00002A090000}"/>
    <cellStyle name="Note 2 3 3" xfId="516" xr:uid="{00000000-0005-0000-0000-00002B090000}"/>
    <cellStyle name="Note 2 3 4" xfId="1508" xr:uid="{00000000-0005-0000-0000-00002C090000}"/>
    <cellStyle name="Note 2 3 5" xfId="2003" xr:uid="{00000000-0005-0000-0000-00002D090000}"/>
    <cellStyle name="Note 2 4" xfId="195" xr:uid="{00000000-0005-0000-0000-00002E090000}"/>
    <cellStyle name="Note 2 4 2" xfId="357" xr:uid="{00000000-0005-0000-0000-00002F090000}"/>
    <cellStyle name="Note 2 4 2 2" xfId="519" xr:uid="{00000000-0005-0000-0000-000030090000}"/>
    <cellStyle name="Note 2 4 2 2 2" xfId="2382" xr:uid="{00000000-0005-0000-0000-000031090000}"/>
    <cellStyle name="Note 2 4 2 3" xfId="1518" xr:uid="{00000000-0005-0000-0000-000032090000}"/>
    <cellStyle name="Note 2 4 2 4" xfId="2006" xr:uid="{00000000-0005-0000-0000-000033090000}"/>
    <cellStyle name="Note 2 4 3" xfId="518" xr:uid="{00000000-0005-0000-0000-000034090000}"/>
    <cellStyle name="Note 2 4 3 2" xfId="2247" xr:uid="{00000000-0005-0000-0000-000035090000}"/>
    <cellStyle name="Note 2 4 4" xfId="1391" xr:uid="{00000000-0005-0000-0000-000036090000}"/>
    <cellStyle name="Note 2 4 5" xfId="2005" xr:uid="{00000000-0005-0000-0000-000037090000}"/>
    <cellStyle name="Note 2 5" xfId="198" xr:uid="{00000000-0005-0000-0000-000038090000}"/>
    <cellStyle name="Note 2 5 2" xfId="360" xr:uid="{00000000-0005-0000-0000-000039090000}"/>
    <cellStyle name="Note 2 5 2 2" xfId="521" xr:uid="{00000000-0005-0000-0000-00003A090000}"/>
    <cellStyle name="Note 2 5 2 3" xfId="1558" xr:uid="{00000000-0005-0000-0000-00003B090000}"/>
    <cellStyle name="Note 2 5 2 4" xfId="2008" xr:uid="{00000000-0005-0000-0000-00003C090000}"/>
    <cellStyle name="Note 2 5 3" xfId="520" xr:uid="{00000000-0005-0000-0000-00003D090000}"/>
    <cellStyle name="Note 2 5 4" xfId="1492" xr:uid="{00000000-0005-0000-0000-00003E090000}"/>
    <cellStyle name="Note 2 5 5" xfId="2007" xr:uid="{00000000-0005-0000-0000-00003F090000}"/>
    <cellStyle name="Note 2 6" xfId="196" xr:uid="{00000000-0005-0000-0000-000040090000}"/>
    <cellStyle name="Note 2 6 2" xfId="358" xr:uid="{00000000-0005-0000-0000-000041090000}"/>
    <cellStyle name="Note 2 6 2 2" xfId="523" xr:uid="{00000000-0005-0000-0000-000042090000}"/>
    <cellStyle name="Note 2 6 2 3" xfId="1591" xr:uid="{00000000-0005-0000-0000-000043090000}"/>
    <cellStyle name="Note 2 6 2 4" xfId="2010" xr:uid="{00000000-0005-0000-0000-000044090000}"/>
    <cellStyle name="Note 2 6 3" xfId="522" xr:uid="{00000000-0005-0000-0000-000045090000}"/>
    <cellStyle name="Note 2 6 4" xfId="1389" xr:uid="{00000000-0005-0000-0000-000046090000}"/>
    <cellStyle name="Note 2 6 5" xfId="2009" xr:uid="{00000000-0005-0000-0000-000047090000}"/>
    <cellStyle name="Note 2 7" xfId="240" xr:uid="{00000000-0005-0000-0000-000048090000}"/>
    <cellStyle name="Note 2 7 2" xfId="524" xr:uid="{00000000-0005-0000-0000-000049090000}"/>
    <cellStyle name="Note 2 7 2 2" xfId="2286" xr:uid="{00000000-0005-0000-0000-00004A090000}"/>
    <cellStyle name="Note 2 7 3" xfId="1380" xr:uid="{00000000-0005-0000-0000-00004B090000}"/>
    <cellStyle name="Note 2 7 4" xfId="2011" xr:uid="{00000000-0005-0000-0000-00004C090000}"/>
    <cellStyle name="Note 2 8" xfId="261" xr:uid="{00000000-0005-0000-0000-00004D090000}"/>
    <cellStyle name="Note 2 8 2" xfId="417" xr:uid="{00000000-0005-0000-0000-00004E090000}"/>
    <cellStyle name="Note 2 8 2 2" xfId="526" xr:uid="{00000000-0005-0000-0000-00004F090000}"/>
    <cellStyle name="Note 2 8 2 3" xfId="1283" xr:uid="{00000000-0005-0000-0000-000050090000}"/>
    <cellStyle name="Note 2 8 2 4" xfId="2013" xr:uid="{00000000-0005-0000-0000-000051090000}"/>
    <cellStyle name="Note 2 8 3" xfId="525" xr:uid="{00000000-0005-0000-0000-000052090000}"/>
    <cellStyle name="Note 2 8 4" xfId="1287" xr:uid="{00000000-0005-0000-0000-000053090000}"/>
    <cellStyle name="Note 2 8 5" xfId="2012" xr:uid="{00000000-0005-0000-0000-000054090000}"/>
    <cellStyle name="Note 2 9" xfId="922" xr:uid="{00000000-0005-0000-0000-000055090000}"/>
    <cellStyle name="Note 2 9 2" xfId="2110" xr:uid="{00000000-0005-0000-0000-000056090000}"/>
    <cellStyle name="Output 2" xfId="49" xr:uid="{00000000-0005-0000-0000-000057090000}"/>
    <cellStyle name="Output 2 10" xfId="1200" xr:uid="{00000000-0005-0000-0000-000058090000}"/>
    <cellStyle name="Output 2 11" xfId="2014" xr:uid="{00000000-0005-0000-0000-000059090000}"/>
    <cellStyle name="Output 2 2" xfId="121" xr:uid="{00000000-0005-0000-0000-00005A090000}"/>
    <cellStyle name="Output 2 2 2" xfId="285" xr:uid="{00000000-0005-0000-0000-00005B090000}"/>
    <cellStyle name="Output 2 2 2 2" xfId="527" xr:uid="{00000000-0005-0000-0000-00005C090000}"/>
    <cellStyle name="Output 2 2 2 3" xfId="1582" xr:uid="{00000000-0005-0000-0000-00005D090000}"/>
    <cellStyle name="Output 2 2 2 4" xfId="2016" xr:uid="{00000000-0005-0000-0000-00005E090000}"/>
    <cellStyle name="Output 2 2 3" xfId="925" xr:uid="{00000000-0005-0000-0000-00005F090000}"/>
    <cellStyle name="Output 2 2 3 2" xfId="2183" xr:uid="{00000000-0005-0000-0000-000060090000}"/>
    <cellStyle name="Output 2 2 4" xfId="1410" xr:uid="{00000000-0005-0000-0000-000061090000}"/>
    <cellStyle name="Output 2 2 5" xfId="2015" xr:uid="{00000000-0005-0000-0000-000062090000}"/>
    <cellStyle name="Output 2 3" xfId="181" xr:uid="{00000000-0005-0000-0000-000063090000}"/>
    <cellStyle name="Output 2 3 2" xfId="343" xr:uid="{00000000-0005-0000-0000-000064090000}"/>
    <cellStyle name="Output 2 3 2 2" xfId="529" xr:uid="{00000000-0005-0000-0000-000065090000}"/>
    <cellStyle name="Output 2 3 2 3" xfId="1370" xr:uid="{00000000-0005-0000-0000-000066090000}"/>
    <cellStyle name="Output 2 3 2 4" xfId="2018" xr:uid="{00000000-0005-0000-0000-000067090000}"/>
    <cellStyle name="Output 2 3 3" xfId="528" xr:uid="{00000000-0005-0000-0000-000068090000}"/>
    <cellStyle name="Output 2 3 4" xfId="1466" xr:uid="{00000000-0005-0000-0000-000069090000}"/>
    <cellStyle name="Output 2 3 5" xfId="2017" xr:uid="{00000000-0005-0000-0000-00006A090000}"/>
    <cellStyle name="Output 2 4" xfId="192" xr:uid="{00000000-0005-0000-0000-00006B090000}"/>
    <cellStyle name="Output 2 4 2" xfId="354" xr:uid="{00000000-0005-0000-0000-00006C090000}"/>
    <cellStyle name="Output 2 4 2 2" xfId="531" xr:uid="{00000000-0005-0000-0000-00006D090000}"/>
    <cellStyle name="Output 2 4 2 2 2" xfId="2379" xr:uid="{00000000-0005-0000-0000-00006E090000}"/>
    <cellStyle name="Output 2 4 2 3" xfId="1258" xr:uid="{00000000-0005-0000-0000-00006F090000}"/>
    <cellStyle name="Output 2 4 2 4" xfId="2020" xr:uid="{00000000-0005-0000-0000-000070090000}"/>
    <cellStyle name="Output 2 4 3" xfId="530" xr:uid="{00000000-0005-0000-0000-000071090000}"/>
    <cellStyle name="Output 2 4 3 2" xfId="2244" xr:uid="{00000000-0005-0000-0000-000072090000}"/>
    <cellStyle name="Output 2 4 4" xfId="1312" xr:uid="{00000000-0005-0000-0000-000073090000}"/>
    <cellStyle name="Output 2 4 5" xfId="2019" xr:uid="{00000000-0005-0000-0000-000074090000}"/>
    <cellStyle name="Output 2 5" xfId="199" xr:uid="{00000000-0005-0000-0000-000075090000}"/>
    <cellStyle name="Output 2 5 2" xfId="361" xr:uid="{00000000-0005-0000-0000-000076090000}"/>
    <cellStyle name="Output 2 5 2 2" xfId="533" xr:uid="{00000000-0005-0000-0000-000077090000}"/>
    <cellStyle name="Output 2 5 2 3" xfId="1589" xr:uid="{00000000-0005-0000-0000-000078090000}"/>
    <cellStyle name="Output 2 5 2 4" xfId="2022" xr:uid="{00000000-0005-0000-0000-000079090000}"/>
    <cellStyle name="Output 2 5 3" xfId="532" xr:uid="{00000000-0005-0000-0000-00007A090000}"/>
    <cellStyle name="Output 2 5 4" xfId="1566" xr:uid="{00000000-0005-0000-0000-00007B090000}"/>
    <cellStyle name="Output 2 5 5" xfId="2021" xr:uid="{00000000-0005-0000-0000-00007C090000}"/>
    <cellStyle name="Output 2 6" xfId="197" xr:uid="{00000000-0005-0000-0000-00007D090000}"/>
    <cellStyle name="Output 2 6 2" xfId="359" xr:uid="{00000000-0005-0000-0000-00007E090000}"/>
    <cellStyle name="Output 2 6 2 2" xfId="535" xr:uid="{00000000-0005-0000-0000-00007F090000}"/>
    <cellStyle name="Output 2 6 2 3" xfId="1360" xr:uid="{00000000-0005-0000-0000-000080090000}"/>
    <cellStyle name="Output 2 6 2 4" xfId="2024" xr:uid="{00000000-0005-0000-0000-000081090000}"/>
    <cellStyle name="Output 2 6 3" xfId="534" xr:uid="{00000000-0005-0000-0000-000082090000}"/>
    <cellStyle name="Output 2 6 4" xfId="1172" xr:uid="{00000000-0005-0000-0000-000083090000}"/>
    <cellStyle name="Output 2 6 5" xfId="2023" xr:uid="{00000000-0005-0000-0000-000084090000}"/>
    <cellStyle name="Output 2 7" xfId="241" xr:uid="{00000000-0005-0000-0000-000085090000}"/>
    <cellStyle name="Output 2 7 2" xfId="536" xr:uid="{00000000-0005-0000-0000-000086090000}"/>
    <cellStyle name="Output 2 7 2 2" xfId="2287" xr:uid="{00000000-0005-0000-0000-000087090000}"/>
    <cellStyle name="Output 2 7 3" xfId="1355" xr:uid="{00000000-0005-0000-0000-000088090000}"/>
    <cellStyle name="Output 2 7 4" xfId="2025" xr:uid="{00000000-0005-0000-0000-000089090000}"/>
    <cellStyle name="Output 2 8" xfId="262" xr:uid="{00000000-0005-0000-0000-00008A090000}"/>
    <cellStyle name="Output 2 8 2" xfId="418" xr:uid="{00000000-0005-0000-0000-00008B090000}"/>
    <cellStyle name="Output 2 8 2 2" xfId="538" xr:uid="{00000000-0005-0000-0000-00008C090000}"/>
    <cellStyle name="Output 2 8 2 3" xfId="1199" xr:uid="{00000000-0005-0000-0000-00008D090000}"/>
    <cellStyle name="Output 2 8 2 4" xfId="2027" xr:uid="{00000000-0005-0000-0000-00008E090000}"/>
    <cellStyle name="Output 2 8 3" xfId="537" xr:uid="{00000000-0005-0000-0000-00008F090000}"/>
    <cellStyle name="Output 2 8 4" xfId="1259" xr:uid="{00000000-0005-0000-0000-000090090000}"/>
    <cellStyle name="Output 2 8 5" xfId="2026" xr:uid="{00000000-0005-0000-0000-000091090000}"/>
    <cellStyle name="Output 2 9" xfId="924" xr:uid="{00000000-0005-0000-0000-000092090000}"/>
    <cellStyle name="Output 2 9 2" xfId="2111" xr:uid="{00000000-0005-0000-0000-000093090000}"/>
    <cellStyle name="Percent 2" xfId="926" xr:uid="{00000000-0005-0000-0000-000094090000}"/>
    <cellStyle name="Percent 2 2" xfId="927" xr:uid="{00000000-0005-0000-0000-000095090000}"/>
    <cellStyle name="Percent 2 2 2" xfId="928" xr:uid="{00000000-0005-0000-0000-000096090000}"/>
    <cellStyle name="Percent 2 2 3" xfId="929" xr:uid="{00000000-0005-0000-0000-000097090000}"/>
    <cellStyle name="Percent 2 3" xfId="930" xr:uid="{00000000-0005-0000-0000-000098090000}"/>
    <cellStyle name="Percent 2 3 2" xfId="931" xr:uid="{00000000-0005-0000-0000-000099090000}"/>
    <cellStyle name="Percent 2 4" xfId="957" xr:uid="{00000000-0005-0000-0000-00009A090000}"/>
    <cellStyle name="Percent 3" xfId="932" xr:uid="{00000000-0005-0000-0000-00009B090000}"/>
    <cellStyle name="Percent 3 2" xfId="933" xr:uid="{00000000-0005-0000-0000-00009C090000}"/>
    <cellStyle name="Percent 5" xfId="934" xr:uid="{00000000-0005-0000-0000-00009D090000}"/>
    <cellStyle name="Percent 5 2" xfId="935" xr:uid="{00000000-0005-0000-0000-00009E090000}"/>
    <cellStyle name="stub" xfId="936" xr:uid="{00000000-0005-0000-0000-00009F090000}"/>
    <cellStyle name="stub 2" xfId="937" xr:uid="{00000000-0005-0000-0000-0000A0090000}"/>
    <cellStyle name="stub 2 2" xfId="938" xr:uid="{00000000-0005-0000-0000-0000A1090000}"/>
    <cellStyle name="stub 3" xfId="939" xr:uid="{00000000-0005-0000-0000-0000A2090000}"/>
    <cellStyle name="stub 3 2" xfId="940" xr:uid="{00000000-0005-0000-0000-0000A3090000}"/>
    <cellStyle name="stub 4" xfId="941" xr:uid="{00000000-0005-0000-0000-0000A4090000}"/>
    <cellStyle name="sumber" xfId="942" xr:uid="{00000000-0005-0000-0000-0000A5090000}"/>
    <cellStyle name="sumber 2" xfId="943" xr:uid="{00000000-0005-0000-0000-0000A6090000}"/>
    <cellStyle name="sumber 2 2" xfId="944" xr:uid="{00000000-0005-0000-0000-0000A7090000}"/>
    <cellStyle name="sumber 3" xfId="945" xr:uid="{00000000-0005-0000-0000-0000A8090000}"/>
    <cellStyle name="Title 2" xfId="50" xr:uid="{00000000-0005-0000-0000-0000A9090000}"/>
    <cellStyle name="Title 2 2" xfId="122" xr:uid="{00000000-0005-0000-0000-0000AA090000}"/>
    <cellStyle name="Title 2 2 2" xfId="947" xr:uid="{00000000-0005-0000-0000-0000AB090000}"/>
    <cellStyle name="Title 2 2 2 2" xfId="2184" xr:uid="{00000000-0005-0000-0000-0000AC090000}"/>
    <cellStyle name="Title 2 2 3" xfId="1540" xr:uid="{00000000-0005-0000-0000-0000AD090000}"/>
    <cellStyle name="Title 2 2 4" xfId="2029" xr:uid="{00000000-0005-0000-0000-0000AE090000}"/>
    <cellStyle name="Title 2 3" xfId="133" xr:uid="{00000000-0005-0000-0000-0000AF090000}"/>
    <cellStyle name="Title 2 3 2" xfId="295" xr:uid="{00000000-0005-0000-0000-0000B0090000}"/>
    <cellStyle name="Title 2 3 2 2" xfId="1496" xr:uid="{00000000-0005-0000-0000-0000B1090000}"/>
    <cellStyle name="Title 2 3 2 2 2" xfId="2330" xr:uid="{00000000-0005-0000-0000-0000B2090000}"/>
    <cellStyle name="Title 2 3 2 3" xfId="2031" xr:uid="{00000000-0005-0000-0000-0000B3090000}"/>
    <cellStyle name="Title 2 3 3" xfId="1446" xr:uid="{00000000-0005-0000-0000-0000B4090000}"/>
    <cellStyle name="Title 2 3 3 2" xfId="2195" xr:uid="{00000000-0005-0000-0000-0000B5090000}"/>
    <cellStyle name="Title 2 3 4" xfId="2030" xr:uid="{00000000-0005-0000-0000-0000B6090000}"/>
    <cellStyle name="Title 2 4" xfId="263" xr:uid="{00000000-0005-0000-0000-0000B7090000}"/>
    <cellStyle name="Title 2 4 2" xfId="419" xr:uid="{00000000-0005-0000-0000-0000B8090000}"/>
    <cellStyle name="Title 2 4 2 2" xfId="1270" xr:uid="{00000000-0005-0000-0000-0000B9090000}"/>
    <cellStyle name="Title 2 4 2 2 2" xfId="2435" xr:uid="{00000000-0005-0000-0000-0000BA090000}"/>
    <cellStyle name="Title 2 4 2 3" xfId="2033" xr:uid="{00000000-0005-0000-0000-0000BB090000}"/>
    <cellStyle name="Title 2 4 3" xfId="1324" xr:uid="{00000000-0005-0000-0000-0000BC090000}"/>
    <cellStyle name="Title 2 4 3 2" xfId="2305" xr:uid="{00000000-0005-0000-0000-0000BD090000}"/>
    <cellStyle name="Title 2 4 4" xfId="2032" xr:uid="{00000000-0005-0000-0000-0000BE090000}"/>
    <cellStyle name="Title 2 5" xfId="946" xr:uid="{00000000-0005-0000-0000-0000BF090000}"/>
    <cellStyle name="Title 2 5 2" xfId="2112" xr:uid="{00000000-0005-0000-0000-0000C0090000}"/>
    <cellStyle name="Title 2 6" xfId="1580" xr:uid="{00000000-0005-0000-0000-0000C1090000}"/>
    <cellStyle name="Title 2 7" xfId="2028" xr:uid="{00000000-0005-0000-0000-0000C2090000}"/>
    <cellStyle name="Total 2" xfId="51" xr:uid="{00000000-0005-0000-0000-0000C3090000}"/>
    <cellStyle name="Total 2 10" xfId="2034" xr:uid="{00000000-0005-0000-0000-0000C4090000}"/>
    <cellStyle name="Total 2 2" xfId="123" xr:uid="{00000000-0005-0000-0000-0000C5090000}"/>
    <cellStyle name="Total 2 2 2" xfId="286" xr:uid="{00000000-0005-0000-0000-0000C6090000}"/>
    <cellStyle name="Total 2 2 2 2" xfId="539" xr:uid="{00000000-0005-0000-0000-0000C7090000}"/>
    <cellStyle name="Total 2 2 2 3" xfId="1219" xr:uid="{00000000-0005-0000-0000-0000C8090000}"/>
    <cellStyle name="Total 2 2 2 4" xfId="2036" xr:uid="{00000000-0005-0000-0000-0000C9090000}"/>
    <cellStyle name="Total 2 2 3" xfId="949" xr:uid="{00000000-0005-0000-0000-0000CA090000}"/>
    <cellStyle name="Total 2 2 3 2" xfId="2185" xr:uid="{00000000-0005-0000-0000-0000CB090000}"/>
    <cellStyle name="Total 2 2 4" xfId="1231" xr:uid="{00000000-0005-0000-0000-0000CC090000}"/>
    <cellStyle name="Total 2 2 5" xfId="2035" xr:uid="{00000000-0005-0000-0000-0000CD090000}"/>
    <cellStyle name="Total 2 3" xfId="182" xr:uid="{00000000-0005-0000-0000-0000CE090000}"/>
    <cellStyle name="Total 2 3 2" xfId="344" xr:uid="{00000000-0005-0000-0000-0000CF090000}"/>
    <cellStyle name="Total 2 3 2 2" xfId="541" xr:uid="{00000000-0005-0000-0000-0000D0090000}"/>
    <cellStyle name="Total 2 3 2 3" xfId="1486" xr:uid="{00000000-0005-0000-0000-0000D1090000}"/>
    <cellStyle name="Total 2 3 2 4" xfId="2038" xr:uid="{00000000-0005-0000-0000-0000D2090000}"/>
    <cellStyle name="Total 2 3 3" xfId="540" xr:uid="{00000000-0005-0000-0000-0000D3090000}"/>
    <cellStyle name="Total 2 3 4" xfId="1394" xr:uid="{00000000-0005-0000-0000-0000D4090000}"/>
    <cellStyle name="Total 2 3 5" xfId="2037" xr:uid="{00000000-0005-0000-0000-0000D5090000}"/>
    <cellStyle name="Total 2 4" xfId="185" xr:uid="{00000000-0005-0000-0000-0000D6090000}"/>
    <cellStyle name="Total 2 4 2" xfId="347" xr:uid="{00000000-0005-0000-0000-0000D7090000}"/>
    <cellStyle name="Total 2 4 2 2" xfId="543" xr:uid="{00000000-0005-0000-0000-0000D8090000}"/>
    <cellStyle name="Total 2 4 2 3" xfId="1587" xr:uid="{00000000-0005-0000-0000-0000D9090000}"/>
    <cellStyle name="Total 2 4 2 4" xfId="2040" xr:uid="{00000000-0005-0000-0000-0000DA090000}"/>
    <cellStyle name="Total 2 4 3" xfId="542" xr:uid="{00000000-0005-0000-0000-0000DB090000}"/>
    <cellStyle name="Total 2 4 4" xfId="1329" xr:uid="{00000000-0005-0000-0000-0000DC090000}"/>
    <cellStyle name="Total 2 4 5" xfId="2039" xr:uid="{00000000-0005-0000-0000-0000DD090000}"/>
    <cellStyle name="Total 2 5" xfId="200" xr:uid="{00000000-0005-0000-0000-0000DE090000}"/>
    <cellStyle name="Total 2 5 2" xfId="362" xr:uid="{00000000-0005-0000-0000-0000DF090000}"/>
    <cellStyle name="Total 2 5 2 2" xfId="545" xr:uid="{00000000-0005-0000-0000-0000E0090000}"/>
    <cellStyle name="Total 2 5 2 3" xfId="1521" xr:uid="{00000000-0005-0000-0000-0000E1090000}"/>
    <cellStyle name="Total 2 5 2 4" xfId="2042" xr:uid="{00000000-0005-0000-0000-0000E2090000}"/>
    <cellStyle name="Total 2 5 3" xfId="544" xr:uid="{00000000-0005-0000-0000-0000E3090000}"/>
    <cellStyle name="Total 2 5 4" xfId="1465" xr:uid="{00000000-0005-0000-0000-0000E4090000}"/>
    <cellStyle name="Total 2 5 5" xfId="2041" xr:uid="{00000000-0005-0000-0000-0000E5090000}"/>
    <cellStyle name="Total 2 6" xfId="243" xr:uid="{00000000-0005-0000-0000-0000E6090000}"/>
    <cellStyle name="Total 2 6 2" xfId="546" xr:uid="{00000000-0005-0000-0000-0000E7090000}"/>
    <cellStyle name="Total 2 6 3" xfId="1516" xr:uid="{00000000-0005-0000-0000-0000E8090000}"/>
    <cellStyle name="Total 2 6 4" xfId="2043" xr:uid="{00000000-0005-0000-0000-0000E9090000}"/>
    <cellStyle name="Total 2 7" xfId="264" xr:uid="{00000000-0005-0000-0000-0000EA090000}"/>
    <cellStyle name="Total 2 7 2" xfId="420" xr:uid="{00000000-0005-0000-0000-0000EB090000}"/>
    <cellStyle name="Total 2 7 2 2" xfId="548" xr:uid="{00000000-0005-0000-0000-0000EC090000}"/>
    <cellStyle name="Total 2 7 2 3" xfId="1491" xr:uid="{00000000-0005-0000-0000-0000ED090000}"/>
    <cellStyle name="Total 2 7 2 4" xfId="2045" xr:uid="{00000000-0005-0000-0000-0000EE090000}"/>
    <cellStyle name="Total 2 7 3" xfId="547" xr:uid="{00000000-0005-0000-0000-0000EF090000}"/>
    <cellStyle name="Total 2 7 4" xfId="1405" xr:uid="{00000000-0005-0000-0000-0000F0090000}"/>
    <cellStyle name="Total 2 7 5" xfId="2044" xr:uid="{00000000-0005-0000-0000-0000F1090000}"/>
    <cellStyle name="Total 2 8" xfId="948" xr:uid="{00000000-0005-0000-0000-0000F2090000}"/>
    <cellStyle name="Total 2 8 2" xfId="2113" xr:uid="{00000000-0005-0000-0000-0000F3090000}"/>
    <cellStyle name="Total 2 9" xfId="1588" xr:uid="{00000000-0005-0000-0000-0000F4090000}"/>
    <cellStyle name="Warning Text 2" xfId="52" xr:uid="{00000000-0005-0000-0000-0000F5090000}"/>
    <cellStyle name="Warning Text 2 2" xfId="124" xr:uid="{00000000-0005-0000-0000-0000F6090000}"/>
    <cellStyle name="Warning Text 2 2 2" xfId="951" xr:uid="{00000000-0005-0000-0000-0000F7090000}"/>
    <cellStyle name="Warning Text 2 2 2 2" xfId="2186" xr:uid="{00000000-0005-0000-0000-0000F8090000}"/>
    <cellStyle name="Warning Text 2 2 3" xfId="1547" xr:uid="{00000000-0005-0000-0000-0000F9090000}"/>
    <cellStyle name="Warning Text 2 2 4" xfId="2047" xr:uid="{00000000-0005-0000-0000-0000FA090000}"/>
    <cellStyle name="Warning Text 2 3" xfId="183" xr:uid="{00000000-0005-0000-0000-0000FB090000}"/>
    <cellStyle name="Warning Text 2 3 2" xfId="345" xr:uid="{00000000-0005-0000-0000-0000FC090000}"/>
    <cellStyle name="Warning Text 2 3 2 2" xfId="1417" xr:uid="{00000000-0005-0000-0000-0000FD090000}"/>
    <cellStyle name="Warning Text 2 3 2 2 2" xfId="2375" xr:uid="{00000000-0005-0000-0000-0000FE090000}"/>
    <cellStyle name="Warning Text 2 3 2 3" xfId="2049" xr:uid="{00000000-0005-0000-0000-0000FF090000}"/>
    <cellStyle name="Warning Text 2 3 3" xfId="1158" xr:uid="{00000000-0005-0000-0000-0000000A0000}"/>
    <cellStyle name="Warning Text 2 3 3 2" xfId="2240" xr:uid="{00000000-0005-0000-0000-0000010A0000}"/>
    <cellStyle name="Warning Text 2 3 4" xfId="2048" xr:uid="{00000000-0005-0000-0000-0000020A0000}"/>
    <cellStyle name="Warning Text 2 4" xfId="265" xr:uid="{00000000-0005-0000-0000-0000030A0000}"/>
    <cellStyle name="Warning Text 2 4 2" xfId="421" xr:uid="{00000000-0005-0000-0000-0000040A0000}"/>
    <cellStyle name="Warning Text 2 4 2 2" xfId="1411" xr:uid="{00000000-0005-0000-0000-0000050A0000}"/>
    <cellStyle name="Warning Text 2 4 2 2 2" xfId="2436" xr:uid="{00000000-0005-0000-0000-0000060A0000}"/>
    <cellStyle name="Warning Text 2 4 2 3" xfId="2051" xr:uid="{00000000-0005-0000-0000-0000070A0000}"/>
    <cellStyle name="Warning Text 2 4 3" xfId="1561" xr:uid="{00000000-0005-0000-0000-0000080A0000}"/>
    <cellStyle name="Warning Text 2 4 3 2" xfId="2306" xr:uid="{00000000-0005-0000-0000-0000090A0000}"/>
    <cellStyle name="Warning Text 2 4 4" xfId="2050" xr:uid="{00000000-0005-0000-0000-00000A0A0000}"/>
    <cellStyle name="Warning Text 2 5" xfId="950" xr:uid="{00000000-0005-0000-0000-00000B0A0000}"/>
    <cellStyle name="Warning Text 2 5 2" xfId="2114" xr:uid="{00000000-0005-0000-0000-00000C0A0000}"/>
    <cellStyle name="Warning Text 2 6" xfId="1585" xr:uid="{00000000-0005-0000-0000-00000D0A0000}"/>
    <cellStyle name="Warning Text 2 7" xfId="2046" xr:uid="{00000000-0005-0000-0000-00000E0A0000}"/>
  </cellStyles>
  <dxfs count="0"/>
  <tableStyles count="0" defaultTableStyle="TableStyleMedium9" defaultPivotStyle="PivotStyleLight16"/>
  <colors>
    <mruColors>
      <color rgb="FFCC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ILE%202021/Finalisasi%20Laporan%20%20Prog%20Ibu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TUNJUK"/>
      <sheetName val="SDM"/>
      <sheetName val="1.DATA KIA "/>
      <sheetName val="2.PWS"/>
      <sheetName val="3.Komplikasi"/>
      <sheetName val="4.Komp By Name"/>
      <sheetName val="5.Mati maternal"/>
      <sheetName val="6.P4K"/>
      <sheetName val="7.Mati Gol Umur"/>
      <sheetName val="8.ANCTEPADU"/>
      <sheetName val="9.PONED KAB"/>
      <sheetName val="9.PONED"/>
      <sheetName val="Sheet2"/>
    </sheetNames>
    <sheetDataSet>
      <sheetData sheetId="0">
        <row r="9">
          <cell r="B9" t="str">
            <v>Kedung I</v>
          </cell>
        </row>
        <row r="11">
          <cell r="B11" t="str">
            <v>Pecangaan</v>
          </cell>
        </row>
        <row r="12">
          <cell r="B12" t="str">
            <v>Welahan I</v>
          </cell>
        </row>
        <row r="13">
          <cell r="B13" t="str">
            <v>Welahan II</v>
          </cell>
        </row>
        <row r="14">
          <cell r="B14" t="str">
            <v>Mayong I</v>
          </cell>
        </row>
        <row r="16">
          <cell r="B16" t="str">
            <v>Batealit</v>
          </cell>
        </row>
        <row r="18">
          <cell r="B18" t="str">
            <v>Mlonggo</v>
          </cell>
        </row>
        <row r="19">
          <cell r="B19" t="str">
            <v>Pakis Aji</v>
          </cell>
        </row>
        <row r="20">
          <cell r="B20" t="str">
            <v>Bangsri I</v>
          </cell>
        </row>
        <row r="22">
          <cell r="B22" t="str">
            <v>Keling I</v>
          </cell>
        </row>
        <row r="24">
          <cell r="B24" t="str">
            <v>Karimunjawa</v>
          </cell>
        </row>
        <row r="26">
          <cell r="B26" t="str">
            <v>Nalumsari I</v>
          </cell>
        </row>
        <row r="28">
          <cell r="B28" t="str">
            <v>Kalinyamatan</v>
          </cell>
        </row>
        <row r="30">
          <cell r="B30" t="str">
            <v>Donorojo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0C0"/>
  </sheetPr>
  <dimension ref="A1:N30"/>
  <sheetViews>
    <sheetView zoomScale="80" zoomScaleNormal="80" workbookViewId="0">
      <selection activeCell="H19" sqref="H19"/>
    </sheetView>
  </sheetViews>
  <sheetFormatPr defaultColWidth="8.7265625" defaultRowHeight="14" x14ac:dyDescent="0.3"/>
  <cols>
    <col min="1" max="1" width="5.54296875" style="19" customWidth="1"/>
    <col min="2" max="2" width="26" style="19" customWidth="1"/>
    <col min="3" max="3" width="42.1796875" style="19" customWidth="1"/>
    <col min="4" max="4" width="7.7265625" style="19" customWidth="1"/>
    <col min="5" max="5" width="5.1796875" style="19" customWidth="1"/>
    <col min="6" max="6" width="4.1796875" style="19" customWidth="1"/>
    <col min="7" max="16384" width="8.7265625" style="19"/>
  </cols>
  <sheetData>
    <row r="1" spans="1:14" ht="15.5" x14ac:dyDescent="0.35">
      <c r="A1" s="18" t="s">
        <v>171</v>
      </c>
      <c r="B1" s="27"/>
      <c r="C1" s="27"/>
    </row>
    <row r="2" spans="1:14" ht="15.5" x14ac:dyDescent="0.3">
      <c r="A2" s="20" t="s">
        <v>165</v>
      </c>
      <c r="B2" s="20"/>
      <c r="C2" s="20"/>
      <c r="D2" s="22"/>
      <c r="E2" s="22"/>
      <c r="F2" s="22"/>
      <c r="G2" s="22"/>
      <c r="H2" s="22"/>
      <c r="I2" s="22"/>
      <c r="J2" s="22"/>
      <c r="K2" s="23"/>
      <c r="L2" s="22"/>
      <c r="M2" s="22"/>
    </row>
    <row r="3" spans="1:14" ht="15.5" x14ac:dyDescent="0.3">
      <c r="A3" s="20"/>
      <c r="B3" s="20"/>
      <c r="C3" s="20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4" ht="20.149999999999999" customHeight="1" x14ac:dyDescent="0.3">
      <c r="A4" s="20" t="s">
        <v>135</v>
      </c>
      <c r="B4" s="20"/>
      <c r="C4" s="28">
        <v>2026</v>
      </c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4" ht="20.149999999999999" customHeight="1" x14ac:dyDescent="0.3">
      <c r="A5" s="24" t="s">
        <v>147</v>
      </c>
      <c r="B5" s="20"/>
      <c r="C5" s="343" t="s">
        <v>445</v>
      </c>
      <c r="D5" s="344" t="s">
        <v>390</v>
      </c>
      <c r="E5" s="22"/>
      <c r="F5" s="22"/>
      <c r="G5" s="22"/>
      <c r="H5" s="22"/>
      <c r="I5" s="22"/>
      <c r="J5" s="22"/>
      <c r="K5" s="22"/>
      <c r="L5" s="22"/>
      <c r="M5" s="22"/>
    </row>
    <row r="6" spans="1:14" ht="20.149999999999999" customHeight="1" x14ac:dyDescent="0.3">
      <c r="A6" s="24" t="s">
        <v>148</v>
      </c>
      <c r="B6" s="20"/>
      <c r="C6" s="28" t="s">
        <v>149</v>
      </c>
      <c r="D6" s="22"/>
      <c r="E6" s="21"/>
      <c r="F6" s="21"/>
      <c r="G6" s="21"/>
      <c r="H6" s="21"/>
      <c r="I6" s="21"/>
      <c r="J6" s="21"/>
      <c r="K6" s="21"/>
      <c r="L6" s="21"/>
      <c r="M6" s="21"/>
    </row>
    <row r="7" spans="1:14" ht="20.149999999999999" customHeight="1" x14ac:dyDescent="0.35">
      <c r="A7" s="21"/>
      <c r="B7" s="21"/>
      <c r="C7" s="22"/>
      <c r="D7" s="21"/>
      <c r="E7" s="21"/>
      <c r="F7" s="340" t="s">
        <v>150</v>
      </c>
      <c r="G7" s="341"/>
      <c r="H7" s="341"/>
      <c r="I7" s="341"/>
      <c r="J7" s="341"/>
      <c r="K7" s="341"/>
      <c r="L7" s="341"/>
      <c r="M7" s="341"/>
      <c r="N7" s="342"/>
    </row>
    <row r="8" spans="1:14" ht="15.5" x14ac:dyDescent="0.35">
      <c r="A8" s="25" t="s">
        <v>136</v>
      </c>
      <c r="B8" s="445" t="s">
        <v>40</v>
      </c>
      <c r="C8" s="26" t="s">
        <v>152</v>
      </c>
      <c r="D8" s="21"/>
      <c r="E8" s="21"/>
      <c r="F8" s="341" t="s">
        <v>153</v>
      </c>
      <c r="G8" s="341" t="s">
        <v>154</v>
      </c>
      <c r="H8" s="341"/>
      <c r="I8" s="341"/>
      <c r="J8" s="341"/>
      <c r="K8" s="341"/>
      <c r="L8" s="341"/>
      <c r="M8" s="341"/>
      <c r="N8" s="342"/>
    </row>
    <row r="9" spans="1:14" ht="16.5" x14ac:dyDescent="0.35">
      <c r="A9" s="442">
        <v>1</v>
      </c>
      <c r="B9" s="700" t="s">
        <v>446</v>
      </c>
      <c r="C9" s="444" t="s">
        <v>458</v>
      </c>
      <c r="D9" s="21"/>
      <c r="E9" s="21"/>
      <c r="F9" s="341" t="s">
        <v>155</v>
      </c>
      <c r="G9" s="341" t="s">
        <v>156</v>
      </c>
      <c r="H9" s="341"/>
      <c r="I9" s="341"/>
      <c r="J9" s="341"/>
      <c r="K9" s="341"/>
      <c r="L9" s="341"/>
      <c r="M9" s="341"/>
      <c r="N9" s="342"/>
    </row>
    <row r="10" spans="1:14" ht="16.5" x14ac:dyDescent="0.35">
      <c r="A10" s="442">
        <v>2</v>
      </c>
      <c r="B10" s="700" t="s">
        <v>447</v>
      </c>
      <c r="C10" s="444" t="s">
        <v>459</v>
      </c>
      <c r="D10" s="21"/>
      <c r="E10" s="21"/>
      <c r="F10" s="341" t="s">
        <v>157</v>
      </c>
      <c r="G10" s="341" t="s">
        <v>158</v>
      </c>
      <c r="H10" s="341"/>
      <c r="I10" s="341"/>
      <c r="J10" s="341"/>
      <c r="K10" s="341"/>
      <c r="L10" s="341"/>
      <c r="M10" s="341"/>
      <c r="N10" s="342"/>
    </row>
    <row r="11" spans="1:14" ht="16.5" x14ac:dyDescent="0.35">
      <c r="A11" s="442">
        <v>3</v>
      </c>
      <c r="B11" s="700" t="s">
        <v>448</v>
      </c>
      <c r="C11" s="444" t="s">
        <v>460</v>
      </c>
      <c r="D11" s="21"/>
      <c r="E11" s="21"/>
      <c r="F11" s="341" t="s">
        <v>159</v>
      </c>
      <c r="G11" s="341" t="s">
        <v>160</v>
      </c>
      <c r="H11" s="341"/>
      <c r="I11" s="341"/>
      <c r="J11" s="341"/>
      <c r="K11" s="341"/>
      <c r="L11" s="341"/>
      <c r="M11" s="341"/>
      <c r="N11" s="342"/>
    </row>
    <row r="12" spans="1:14" ht="16.5" x14ac:dyDescent="0.35">
      <c r="A12" s="442">
        <v>4</v>
      </c>
      <c r="B12" s="700" t="s">
        <v>449</v>
      </c>
      <c r="C12" s="444" t="s">
        <v>461</v>
      </c>
      <c r="D12" s="21"/>
      <c r="E12" s="21"/>
      <c r="F12" s="341" t="s">
        <v>161</v>
      </c>
      <c r="G12" s="341" t="s">
        <v>287</v>
      </c>
      <c r="H12" s="341"/>
      <c r="I12" s="341"/>
      <c r="J12" s="341"/>
      <c r="K12" s="341"/>
      <c r="L12" s="341"/>
      <c r="M12" s="341"/>
      <c r="N12" s="342"/>
    </row>
    <row r="13" spans="1:14" ht="16.5" x14ac:dyDescent="0.35">
      <c r="A13" s="442">
        <v>5</v>
      </c>
      <c r="B13" s="700" t="s">
        <v>450</v>
      </c>
      <c r="C13" s="444" t="s">
        <v>462</v>
      </c>
      <c r="D13" s="21"/>
      <c r="E13" s="21"/>
      <c r="F13" s="341" t="s">
        <v>162</v>
      </c>
      <c r="G13" s="341" t="s">
        <v>389</v>
      </c>
      <c r="H13" s="341"/>
      <c r="I13" s="341"/>
      <c r="J13" s="341"/>
      <c r="K13" s="341"/>
      <c r="L13" s="341"/>
      <c r="M13" s="341"/>
      <c r="N13" s="342"/>
    </row>
    <row r="14" spans="1:14" ht="16.5" x14ac:dyDescent="0.35">
      <c r="A14" s="442">
        <v>6</v>
      </c>
      <c r="B14" s="700" t="s">
        <v>451</v>
      </c>
      <c r="C14" s="444" t="s">
        <v>463</v>
      </c>
      <c r="D14" s="21"/>
      <c r="E14" s="21"/>
      <c r="F14" s="341" t="s">
        <v>163</v>
      </c>
      <c r="G14" s="341" t="s">
        <v>164</v>
      </c>
      <c r="H14" s="341"/>
      <c r="I14" s="341"/>
      <c r="J14" s="341"/>
      <c r="K14" s="341"/>
      <c r="L14" s="341"/>
      <c r="M14" s="341"/>
      <c r="N14" s="342"/>
    </row>
    <row r="15" spans="1:14" ht="16.5" x14ac:dyDescent="0.35">
      <c r="A15" s="442">
        <v>7</v>
      </c>
      <c r="B15" s="700" t="s">
        <v>452</v>
      </c>
      <c r="C15" s="444" t="s">
        <v>464</v>
      </c>
      <c r="D15" s="21"/>
      <c r="E15" s="21"/>
      <c r="F15" s="341" t="s">
        <v>202</v>
      </c>
      <c r="G15" s="341" t="s">
        <v>203</v>
      </c>
      <c r="H15" s="341"/>
      <c r="I15" s="341"/>
      <c r="J15" s="341"/>
      <c r="K15" s="341"/>
      <c r="L15" s="341"/>
      <c r="M15" s="341"/>
      <c r="N15" s="342"/>
    </row>
    <row r="16" spans="1:14" ht="16.5" x14ac:dyDescent="0.3">
      <c r="A16" s="442">
        <v>8</v>
      </c>
      <c r="B16" s="700" t="s">
        <v>453</v>
      </c>
      <c r="C16" s="444" t="s">
        <v>465</v>
      </c>
      <c r="D16" s="21"/>
      <c r="E16" s="21"/>
      <c r="F16" s="21"/>
      <c r="G16" s="21"/>
      <c r="H16" s="21"/>
      <c r="I16" s="21"/>
      <c r="J16" s="21"/>
      <c r="K16" s="21"/>
      <c r="L16" s="21"/>
      <c r="M16" s="21"/>
    </row>
    <row r="17" spans="1:13" ht="16.5" x14ac:dyDescent="0.3">
      <c r="A17" s="442">
        <v>9</v>
      </c>
      <c r="B17" s="700" t="s">
        <v>454</v>
      </c>
      <c r="C17" s="444" t="s">
        <v>466</v>
      </c>
      <c r="D17" s="21"/>
      <c r="E17" s="21"/>
      <c r="F17" s="21"/>
      <c r="G17" s="21"/>
      <c r="H17" s="21"/>
      <c r="I17" s="21"/>
      <c r="J17" s="21"/>
      <c r="K17" s="21"/>
      <c r="L17" s="21"/>
      <c r="M17" s="21"/>
    </row>
    <row r="18" spans="1:13" ht="16.5" x14ac:dyDescent="0.3">
      <c r="A18" s="442">
        <v>10</v>
      </c>
      <c r="B18" s="701" t="s">
        <v>455</v>
      </c>
      <c r="C18" s="444" t="s">
        <v>467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</row>
    <row r="19" spans="1:13" ht="16.5" x14ac:dyDescent="0.3">
      <c r="A19" s="442">
        <v>11</v>
      </c>
      <c r="B19" s="701" t="s">
        <v>456</v>
      </c>
      <c r="C19" s="444" t="s">
        <v>468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 spans="1:13" ht="16.5" x14ac:dyDescent="0.3">
      <c r="A20" s="442">
        <v>12</v>
      </c>
      <c r="B20" s="701" t="s">
        <v>457</v>
      </c>
      <c r="C20" s="444" t="s">
        <v>469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</row>
    <row r="21" spans="1:13" ht="16.5" x14ac:dyDescent="0.3">
      <c r="A21" s="442">
        <v>13</v>
      </c>
      <c r="B21" s="446"/>
      <c r="C21" s="444"/>
      <c r="D21" s="22"/>
      <c r="E21" s="22"/>
      <c r="F21" s="22"/>
      <c r="G21" s="22"/>
      <c r="H21" s="22"/>
      <c r="I21" s="22"/>
      <c r="J21" s="22"/>
      <c r="K21" s="22"/>
      <c r="L21" s="22"/>
      <c r="M21" s="22"/>
    </row>
    <row r="22" spans="1:13" ht="16.5" x14ac:dyDescent="0.3">
      <c r="A22" s="442">
        <v>14</v>
      </c>
      <c r="B22" s="446"/>
      <c r="C22" s="444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spans="1:13" ht="16.5" x14ac:dyDescent="0.3">
      <c r="A23" s="442">
        <v>15</v>
      </c>
      <c r="B23" s="446"/>
      <c r="C23" s="444"/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 spans="1:13" ht="16.5" x14ac:dyDescent="0.3">
      <c r="A24" s="442">
        <v>16</v>
      </c>
      <c r="B24" s="446"/>
      <c r="C24" s="444"/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 spans="1:13" ht="16.5" x14ac:dyDescent="0.3">
      <c r="A25" s="442">
        <v>17</v>
      </c>
      <c r="B25" s="446"/>
      <c r="C25" s="444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 spans="1:13" ht="16.5" x14ac:dyDescent="0.3">
      <c r="A26" s="442">
        <v>18</v>
      </c>
      <c r="B26" s="446"/>
      <c r="C26" s="444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1:13" ht="16.5" x14ac:dyDescent="0.3">
      <c r="A27" s="443">
        <v>19</v>
      </c>
      <c r="B27" s="446"/>
      <c r="C27" s="444"/>
    </row>
    <row r="28" spans="1:13" ht="16.5" x14ac:dyDescent="0.3">
      <c r="A28" s="443">
        <v>20</v>
      </c>
      <c r="B28" s="446"/>
      <c r="C28" s="444"/>
    </row>
    <row r="29" spans="1:13" ht="16.5" x14ac:dyDescent="0.3">
      <c r="A29" s="443">
        <v>21</v>
      </c>
      <c r="B29" s="446"/>
      <c r="C29" s="444"/>
    </row>
    <row r="30" spans="1:13" ht="16.5" x14ac:dyDescent="0.3">
      <c r="A30" s="443">
        <v>22</v>
      </c>
      <c r="B30" s="446"/>
      <c r="C30" s="444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0C0"/>
    <pageSetUpPr fitToPage="1"/>
  </sheetPr>
  <dimension ref="A1:AP475"/>
  <sheetViews>
    <sheetView topLeftCell="C116" zoomScale="70" zoomScaleNormal="70" zoomScaleSheetLayoutView="80" workbookViewId="0">
      <selection activeCell="F122" sqref="F122"/>
    </sheetView>
  </sheetViews>
  <sheetFormatPr defaultColWidth="9.1796875" defaultRowHeight="15" x14ac:dyDescent="0.35"/>
  <cols>
    <col min="1" max="1" width="4.81640625" style="525" customWidth="1"/>
    <col min="2" max="2" width="14.54296875" style="525" customWidth="1"/>
    <col min="3" max="3" width="11.54296875" style="525" customWidth="1"/>
    <col min="4" max="4" width="10" style="525" customWidth="1"/>
    <col min="5" max="5" width="9.453125" style="525" customWidth="1"/>
    <col min="6" max="6" width="11.1796875" style="525" customWidth="1"/>
    <col min="7" max="7" width="6.26953125" style="525" customWidth="1"/>
    <col min="8" max="8" width="7.7265625" style="525" customWidth="1"/>
    <col min="9" max="9" width="8.1796875" style="525" customWidth="1"/>
    <col min="10" max="10" width="8" style="525" customWidth="1"/>
    <col min="11" max="11" width="7.26953125" style="525" customWidth="1"/>
    <col min="12" max="12" width="8.453125" style="525" customWidth="1"/>
    <col min="13" max="15" width="8.26953125" style="525" customWidth="1"/>
    <col min="16" max="16" width="8.81640625" style="525" customWidth="1"/>
    <col min="17" max="21" width="6.26953125" style="525" customWidth="1"/>
    <col min="22" max="24" width="7.1796875" style="525" customWidth="1"/>
    <col min="25" max="25" width="6.54296875" style="525" customWidth="1"/>
    <col min="26" max="26" width="8" style="525" customWidth="1"/>
    <col min="27" max="27" width="6.453125" style="525" customWidth="1"/>
    <col min="28" max="28" width="7.26953125" style="525" customWidth="1"/>
    <col min="29" max="29" width="7" style="525" customWidth="1"/>
    <col min="30" max="30" width="8.26953125" style="525" customWidth="1"/>
    <col min="31" max="31" width="6.1796875" style="525" customWidth="1"/>
    <col min="32" max="32" width="7.81640625" style="525" customWidth="1"/>
    <col min="33" max="33" width="7" style="525" customWidth="1"/>
    <col min="34" max="34" width="8.54296875" style="525" customWidth="1"/>
    <col min="35" max="35" width="7.1796875" style="525" customWidth="1"/>
    <col min="36" max="36" width="7.54296875" style="525" customWidth="1"/>
    <col min="37" max="37" width="8.453125" style="525" customWidth="1"/>
    <col min="38" max="38" width="9.26953125" style="525" customWidth="1"/>
    <col min="39" max="16384" width="9.1796875" style="13"/>
  </cols>
  <sheetData>
    <row r="1" spans="1:38" s="16" customFormat="1" ht="15.5" x14ac:dyDescent="0.35">
      <c r="A1" s="731" t="s">
        <v>239</v>
      </c>
      <c r="B1" s="731"/>
      <c r="C1" s="731"/>
      <c r="D1" s="731"/>
      <c r="E1" s="731"/>
      <c r="F1" s="731"/>
      <c r="G1" s="731"/>
      <c r="H1" s="731"/>
      <c r="I1" s="731"/>
      <c r="J1" s="731"/>
      <c r="K1" s="731"/>
      <c r="L1" s="731"/>
      <c r="M1" s="731"/>
      <c r="N1" s="731"/>
      <c r="O1" s="731"/>
      <c r="P1" s="731"/>
      <c r="Q1" s="731"/>
      <c r="R1" s="731"/>
      <c r="S1" s="731"/>
      <c r="T1" s="731"/>
      <c r="U1" s="731"/>
      <c r="V1" s="731"/>
      <c r="W1" s="731"/>
      <c r="X1" s="731"/>
      <c r="Y1" s="731"/>
      <c r="Z1" s="731"/>
      <c r="AA1" s="731"/>
      <c r="AB1" s="731"/>
      <c r="AC1" s="731"/>
      <c r="AD1" s="731"/>
      <c r="AE1" s="731"/>
      <c r="AF1" s="731"/>
      <c r="AG1" s="731"/>
      <c r="AH1" s="731"/>
      <c r="AI1" s="731"/>
      <c r="AJ1" s="731"/>
      <c r="AK1" s="731"/>
      <c r="AL1" s="731"/>
    </row>
    <row r="2" spans="1:38" s="16" customFormat="1" ht="15.5" x14ac:dyDescent="0.35">
      <c r="A2" s="505"/>
      <c r="B2" s="505"/>
      <c r="C2" s="505"/>
      <c r="D2" s="505"/>
      <c r="E2" s="505"/>
      <c r="F2" s="505"/>
      <c r="G2" s="505"/>
      <c r="H2" s="505"/>
      <c r="I2" s="505"/>
      <c r="J2" s="505"/>
      <c r="K2" s="505"/>
      <c r="L2" s="505"/>
      <c r="M2" s="505"/>
      <c r="N2" s="505"/>
      <c r="O2" s="505"/>
      <c r="P2" s="505"/>
      <c r="Q2" s="505"/>
      <c r="R2" s="505"/>
      <c r="S2" s="505"/>
      <c r="T2" s="505"/>
      <c r="U2" s="505"/>
      <c r="V2" s="505"/>
      <c r="W2" s="505"/>
      <c r="X2" s="505"/>
      <c r="Y2" s="505"/>
      <c r="Z2" s="505"/>
      <c r="AA2" s="505"/>
      <c r="AB2" s="505"/>
      <c r="AC2" s="505"/>
      <c r="AD2" s="505"/>
      <c r="AE2" s="505"/>
      <c r="AF2" s="505"/>
      <c r="AG2" s="505"/>
      <c r="AH2" s="505"/>
      <c r="AI2" s="505"/>
      <c r="AJ2" s="505"/>
      <c r="AK2" s="505"/>
      <c r="AL2" s="505"/>
    </row>
    <row r="3" spans="1:38" s="16" customFormat="1" ht="15.5" x14ac:dyDescent="0.35">
      <c r="A3" s="504" t="s">
        <v>168</v>
      </c>
      <c r="B3" s="504"/>
      <c r="C3" s="679" t="str">
        <f>PETUNJUK!C5</f>
        <v>PECANGAAN</v>
      </c>
      <c r="D3" s="504"/>
      <c r="E3" s="504"/>
      <c r="F3" s="504"/>
      <c r="G3" s="504"/>
      <c r="H3" s="504"/>
      <c r="I3" s="504"/>
      <c r="J3" s="504"/>
      <c r="K3" s="504"/>
      <c r="L3" s="504"/>
      <c r="M3" s="504"/>
      <c r="N3" s="504"/>
      <c r="O3" s="504"/>
      <c r="P3" s="504"/>
      <c r="Q3" s="504"/>
      <c r="R3" s="504"/>
      <c r="S3" s="504"/>
      <c r="T3" s="504"/>
      <c r="U3" s="504"/>
      <c r="V3" s="504"/>
      <c r="W3" s="504"/>
      <c r="X3" s="504"/>
      <c r="Y3" s="504"/>
      <c r="Z3" s="504"/>
      <c r="AA3" s="504"/>
      <c r="AB3" s="504"/>
      <c r="AC3" s="504"/>
      <c r="AD3" s="504"/>
      <c r="AE3" s="504"/>
      <c r="AF3" s="504"/>
      <c r="AG3" s="504"/>
      <c r="AH3" s="504"/>
      <c r="AI3" s="505"/>
      <c r="AJ3" s="505"/>
      <c r="AK3" s="505"/>
      <c r="AL3" s="505"/>
    </row>
    <row r="4" spans="1:38" s="16" customFormat="1" ht="15.5" x14ac:dyDescent="0.35">
      <c r="A4" s="504" t="s">
        <v>170</v>
      </c>
      <c r="B4" s="504"/>
      <c r="C4" s="680" t="s">
        <v>393</v>
      </c>
      <c r="D4" s="504"/>
      <c r="E4" s="504"/>
      <c r="F4" s="504"/>
      <c r="G4" s="504"/>
      <c r="H4" s="504"/>
      <c r="I4" s="504"/>
      <c r="J4" s="504"/>
      <c r="K4" s="504"/>
      <c r="L4" s="504"/>
      <c r="M4" s="504"/>
      <c r="N4" s="504"/>
      <c r="O4" s="504"/>
      <c r="P4" s="504"/>
      <c r="Q4" s="504"/>
      <c r="R4" s="504"/>
      <c r="S4" s="504"/>
      <c r="T4" s="504"/>
      <c r="U4" s="504"/>
      <c r="V4" s="504"/>
      <c r="W4" s="504"/>
      <c r="X4" s="504"/>
      <c r="Y4" s="504"/>
      <c r="Z4" s="504"/>
      <c r="AA4" s="504"/>
      <c r="AB4" s="504"/>
      <c r="AC4" s="504"/>
      <c r="AD4" s="504"/>
      <c r="AE4" s="504"/>
      <c r="AF4" s="504"/>
      <c r="AG4" s="504"/>
      <c r="AH4" s="504"/>
      <c r="AI4" s="505"/>
      <c r="AJ4" s="505"/>
      <c r="AK4" s="505"/>
      <c r="AL4" s="505"/>
    </row>
    <row r="5" spans="1:38" s="16" customFormat="1" ht="15.5" x14ac:dyDescent="0.35">
      <c r="A5" s="505"/>
      <c r="B5" s="505"/>
      <c r="C5" s="505"/>
      <c r="D5" s="505"/>
      <c r="E5" s="505"/>
      <c r="F5" s="505"/>
      <c r="G5" s="505"/>
      <c r="H5" s="505"/>
      <c r="I5" s="505"/>
      <c r="J5" s="505"/>
      <c r="K5" s="505"/>
      <c r="L5" s="505"/>
      <c r="M5" s="505"/>
      <c r="N5" s="505"/>
      <c r="O5" s="505"/>
      <c r="P5" s="505"/>
      <c r="Q5" s="505"/>
      <c r="R5" s="505"/>
      <c r="S5" s="505"/>
      <c r="T5" s="505"/>
      <c r="U5" s="505"/>
      <c r="V5" s="505"/>
      <c r="W5" s="505"/>
      <c r="X5" s="505"/>
      <c r="Y5" s="505"/>
      <c r="Z5" s="505"/>
      <c r="AA5" s="505"/>
      <c r="AB5" s="505"/>
      <c r="AC5" s="505"/>
      <c r="AD5" s="505"/>
      <c r="AE5" s="505"/>
      <c r="AF5" s="505"/>
      <c r="AG5" s="505"/>
      <c r="AH5" s="505"/>
      <c r="AI5" s="505"/>
      <c r="AJ5" s="505"/>
      <c r="AK5" s="505"/>
      <c r="AL5" s="505"/>
    </row>
    <row r="6" spans="1:38" s="17" customFormat="1" ht="27.75" customHeight="1" x14ac:dyDescent="0.35">
      <c r="A6" s="754" t="s">
        <v>1</v>
      </c>
      <c r="B6" s="754" t="s">
        <v>2</v>
      </c>
      <c r="C6" s="754" t="s">
        <v>174</v>
      </c>
      <c r="D6" s="754"/>
      <c r="E6" s="754"/>
      <c r="F6" s="755" t="s">
        <v>8</v>
      </c>
      <c r="G6" s="759" t="s">
        <v>295</v>
      </c>
      <c r="H6" s="759" t="s">
        <v>296</v>
      </c>
      <c r="I6" s="759" t="s">
        <v>297</v>
      </c>
      <c r="J6" s="739" t="s">
        <v>9</v>
      </c>
      <c r="K6" s="759" t="s">
        <v>298</v>
      </c>
      <c r="L6" s="760" t="s">
        <v>299</v>
      </c>
      <c r="M6" s="758" t="s">
        <v>289</v>
      </c>
      <c r="N6" s="758" t="s">
        <v>422</v>
      </c>
      <c r="O6" s="758" t="s">
        <v>423</v>
      </c>
      <c r="P6" s="739" t="s">
        <v>290</v>
      </c>
      <c r="Q6" s="752" t="s">
        <v>230</v>
      </c>
      <c r="R6" s="753"/>
      <c r="S6" s="753"/>
      <c r="T6" s="753"/>
      <c r="U6" s="753"/>
      <c r="V6" s="753"/>
      <c r="W6" s="755" t="s">
        <v>15</v>
      </c>
      <c r="X6" s="739" t="s">
        <v>16</v>
      </c>
      <c r="Y6" s="735" t="s">
        <v>231</v>
      </c>
      <c r="Z6" s="735"/>
      <c r="AA6" s="736" t="s">
        <v>240</v>
      </c>
      <c r="AB6" s="735" t="s">
        <v>4</v>
      </c>
      <c r="AC6" s="735"/>
      <c r="AD6" s="735"/>
      <c r="AE6" s="735"/>
      <c r="AF6" s="728" t="s">
        <v>237</v>
      </c>
      <c r="AG6" s="736" t="s">
        <v>23</v>
      </c>
      <c r="AH6" s="755" t="s">
        <v>3</v>
      </c>
      <c r="AI6" s="763" t="s">
        <v>238</v>
      </c>
      <c r="AJ6" s="764"/>
      <c r="AK6" s="764"/>
      <c r="AL6" s="765"/>
    </row>
    <row r="7" spans="1:38" s="17" customFormat="1" ht="23.25" customHeight="1" x14ac:dyDescent="0.35">
      <c r="A7" s="754"/>
      <c r="B7" s="754"/>
      <c r="C7" s="732" t="s">
        <v>5</v>
      </c>
      <c r="D7" s="732" t="s">
        <v>6</v>
      </c>
      <c r="E7" s="732" t="s">
        <v>133</v>
      </c>
      <c r="F7" s="756"/>
      <c r="G7" s="756"/>
      <c r="H7" s="756"/>
      <c r="I7" s="756"/>
      <c r="J7" s="740"/>
      <c r="K7" s="756"/>
      <c r="L7" s="761"/>
      <c r="M7" s="758"/>
      <c r="N7" s="758"/>
      <c r="O7" s="758"/>
      <c r="P7" s="740"/>
      <c r="Q7" s="732" t="s">
        <v>10</v>
      </c>
      <c r="R7" s="732" t="s">
        <v>11</v>
      </c>
      <c r="S7" s="732" t="s">
        <v>12</v>
      </c>
      <c r="T7" s="732" t="s">
        <v>13</v>
      </c>
      <c r="U7" s="732" t="s">
        <v>14</v>
      </c>
      <c r="V7" s="746" t="s">
        <v>227</v>
      </c>
      <c r="W7" s="756"/>
      <c r="X7" s="740"/>
      <c r="Y7" s="748" t="s">
        <v>228</v>
      </c>
      <c r="Z7" s="748" t="s">
        <v>229</v>
      </c>
      <c r="AA7" s="737"/>
      <c r="AB7" s="749" t="s">
        <v>232</v>
      </c>
      <c r="AC7" s="750"/>
      <c r="AD7" s="751"/>
      <c r="AE7" s="733" t="s">
        <v>236</v>
      </c>
      <c r="AF7" s="729"/>
      <c r="AG7" s="737"/>
      <c r="AH7" s="756"/>
      <c r="AI7" s="742" t="s">
        <v>166</v>
      </c>
      <c r="AJ7" s="742" t="s">
        <v>167</v>
      </c>
      <c r="AK7" s="742" t="s">
        <v>134</v>
      </c>
      <c r="AL7" s="742" t="s">
        <v>291</v>
      </c>
    </row>
    <row r="8" spans="1:38" s="17" customFormat="1" ht="76.5" customHeight="1" x14ac:dyDescent="0.35">
      <c r="A8" s="754"/>
      <c r="B8" s="754"/>
      <c r="C8" s="732"/>
      <c r="D8" s="732"/>
      <c r="E8" s="732"/>
      <c r="F8" s="757"/>
      <c r="G8" s="757"/>
      <c r="H8" s="757"/>
      <c r="I8" s="757"/>
      <c r="J8" s="741"/>
      <c r="K8" s="757"/>
      <c r="L8" s="762"/>
      <c r="M8" s="758"/>
      <c r="N8" s="758"/>
      <c r="O8" s="758"/>
      <c r="P8" s="741"/>
      <c r="Q8" s="732"/>
      <c r="R8" s="732"/>
      <c r="S8" s="732"/>
      <c r="T8" s="732"/>
      <c r="U8" s="732"/>
      <c r="V8" s="747"/>
      <c r="W8" s="757"/>
      <c r="X8" s="741"/>
      <c r="Y8" s="748"/>
      <c r="Z8" s="748"/>
      <c r="AA8" s="738"/>
      <c r="AB8" s="506" t="s">
        <v>233</v>
      </c>
      <c r="AC8" s="681" t="s">
        <v>234</v>
      </c>
      <c r="AD8" s="681" t="s">
        <v>235</v>
      </c>
      <c r="AE8" s="734"/>
      <c r="AF8" s="730"/>
      <c r="AG8" s="738"/>
      <c r="AH8" s="757"/>
      <c r="AI8" s="743"/>
      <c r="AJ8" s="743"/>
      <c r="AK8" s="743"/>
      <c r="AL8" s="743"/>
    </row>
    <row r="9" spans="1:38" ht="20.149999999999999" customHeight="1" x14ac:dyDescent="0.35">
      <c r="A9" s="507">
        <v>1</v>
      </c>
      <c r="B9" s="702" t="str">
        <f>PETUNJUK!B9</f>
        <v>Pecangaan Kulon</v>
      </c>
      <c r="C9" s="346">
        <v>101.2</v>
      </c>
      <c r="D9" s="346">
        <v>96.600000000000009</v>
      </c>
      <c r="E9" s="507">
        <f>C9*20%</f>
        <v>20.240000000000002</v>
      </c>
      <c r="F9" s="346">
        <v>7</v>
      </c>
      <c r="G9" s="346">
        <v>1</v>
      </c>
      <c r="H9" s="346">
        <v>7</v>
      </c>
      <c r="I9" s="346">
        <v>7</v>
      </c>
      <c r="J9" s="346">
        <v>6</v>
      </c>
      <c r="K9" s="346">
        <v>7</v>
      </c>
      <c r="L9" s="346">
        <v>7</v>
      </c>
      <c r="M9" s="346">
        <v>8</v>
      </c>
      <c r="N9" s="673">
        <v>10</v>
      </c>
      <c r="O9" s="673">
        <v>8</v>
      </c>
      <c r="P9" s="346">
        <v>3</v>
      </c>
      <c r="Q9" s="346"/>
      <c r="R9" s="346"/>
      <c r="S9" s="346"/>
      <c r="T9" s="346">
        <v>5</v>
      </c>
      <c r="U9" s="346">
        <v>2</v>
      </c>
      <c r="V9" s="346">
        <f>SUM(R9:U9)</f>
        <v>7</v>
      </c>
      <c r="W9" s="346">
        <f>F9</f>
        <v>7</v>
      </c>
      <c r="X9" s="346">
        <f>J9</f>
        <v>6</v>
      </c>
      <c r="Y9" s="346">
        <v>3</v>
      </c>
      <c r="Z9" s="346">
        <v>2</v>
      </c>
      <c r="AA9" s="346">
        <f>Y9</f>
        <v>3</v>
      </c>
      <c r="AB9" s="346">
        <v>10</v>
      </c>
      <c r="AC9" s="346">
        <f>AB9</f>
        <v>10</v>
      </c>
      <c r="AD9" s="346"/>
      <c r="AE9" s="346"/>
      <c r="AF9" s="346">
        <f>'3.Komplikasi'!AJ7</f>
        <v>1</v>
      </c>
      <c r="AG9" s="346">
        <f>AB9</f>
        <v>10</v>
      </c>
      <c r="AH9" s="346">
        <f>AB9</f>
        <v>10</v>
      </c>
      <c r="AI9" s="346">
        <f>AB9</f>
        <v>10</v>
      </c>
      <c r="AJ9" s="346">
        <f>AB9</f>
        <v>10</v>
      </c>
      <c r="AK9" s="346">
        <f>AB9</f>
        <v>10</v>
      </c>
      <c r="AL9" s="346">
        <f>AB9</f>
        <v>10</v>
      </c>
    </row>
    <row r="10" spans="1:38" ht="20.149999999999999" customHeight="1" x14ac:dyDescent="0.35">
      <c r="A10" s="507">
        <v>2</v>
      </c>
      <c r="B10" s="702" t="str">
        <f>PETUNJUK!B10</f>
        <v>Rengging</v>
      </c>
      <c r="C10" s="346">
        <v>111.10000000000001</v>
      </c>
      <c r="D10" s="346">
        <v>106.05000000000001</v>
      </c>
      <c r="E10" s="507">
        <f t="shared" ref="E10:E30" si="0">C10*20%</f>
        <v>22.220000000000002</v>
      </c>
      <c r="F10" s="346">
        <v>23</v>
      </c>
      <c r="G10" s="346">
        <v>3</v>
      </c>
      <c r="H10" s="346">
        <v>22</v>
      </c>
      <c r="I10" s="346">
        <v>22</v>
      </c>
      <c r="J10" s="346">
        <v>9</v>
      </c>
      <c r="K10" s="346">
        <v>9</v>
      </c>
      <c r="L10" s="346">
        <v>9</v>
      </c>
      <c r="M10" s="346">
        <v>20</v>
      </c>
      <c r="N10" s="673">
        <v>18</v>
      </c>
      <c r="O10" s="673">
        <v>20</v>
      </c>
      <c r="P10" s="346">
        <v>20</v>
      </c>
      <c r="Q10" s="346"/>
      <c r="R10" s="346"/>
      <c r="S10" s="346">
        <v>9</v>
      </c>
      <c r="T10" s="346">
        <v>5</v>
      </c>
      <c r="U10" s="346">
        <v>4</v>
      </c>
      <c r="V10" s="346">
        <f t="shared" ref="V10:V20" si="1">SUM(R10:U10)</f>
        <v>18</v>
      </c>
      <c r="W10" s="346">
        <f t="shared" ref="W10:W20" si="2">F10</f>
        <v>23</v>
      </c>
      <c r="X10" s="346">
        <f t="shared" ref="X10:X20" si="3">J10</f>
        <v>9</v>
      </c>
      <c r="Y10" s="346">
        <v>3</v>
      </c>
      <c r="Z10" s="346">
        <v>2</v>
      </c>
      <c r="AA10" s="346">
        <f t="shared" ref="AA10:AA20" si="4">Y10</f>
        <v>3</v>
      </c>
      <c r="AB10" s="346">
        <v>14</v>
      </c>
      <c r="AC10" s="346">
        <f t="shared" ref="AC10:AC20" si="5">AB10</f>
        <v>14</v>
      </c>
      <c r="AD10" s="346"/>
      <c r="AE10" s="346"/>
      <c r="AF10" s="346">
        <f>'3.Komplikasi'!AJ8</f>
        <v>2</v>
      </c>
      <c r="AG10" s="346">
        <f t="shared" ref="AG10:AG20" si="6">AB10</f>
        <v>14</v>
      </c>
      <c r="AH10" s="346">
        <f t="shared" ref="AH10:AH20" si="7">AB10</f>
        <v>14</v>
      </c>
      <c r="AI10" s="346">
        <f t="shared" ref="AI10:AI20" si="8">AB10</f>
        <v>14</v>
      </c>
      <c r="AJ10" s="346">
        <f t="shared" ref="AJ10:AJ20" si="9">AB10</f>
        <v>14</v>
      </c>
      <c r="AK10" s="346">
        <f t="shared" ref="AK10:AK20" si="10">AB10</f>
        <v>14</v>
      </c>
      <c r="AL10" s="346">
        <f t="shared" ref="AL10:AL20" si="11">AB10</f>
        <v>14</v>
      </c>
    </row>
    <row r="11" spans="1:38" ht="20.149999999999999" customHeight="1" x14ac:dyDescent="0.35">
      <c r="A11" s="507">
        <v>3</v>
      </c>
      <c r="B11" s="702" t="str">
        <f>PETUNJUK!B11</f>
        <v>Troso</v>
      </c>
      <c r="C11" s="346">
        <v>205.70000000000002</v>
      </c>
      <c r="D11" s="346">
        <v>196.35</v>
      </c>
      <c r="E11" s="507">
        <f t="shared" si="0"/>
        <v>41.140000000000008</v>
      </c>
      <c r="F11" s="346">
        <v>18</v>
      </c>
      <c r="G11" s="346">
        <v>4</v>
      </c>
      <c r="H11" s="346">
        <v>18</v>
      </c>
      <c r="I11" s="346">
        <v>18</v>
      </c>
      <c r="J11" s="346">
        <v>15</v>
      </c>
      <c r="K11" s="346">
        <v>20</v>
      </c>
      <c r="L11" s="346">
        <v>18</v>
      </c>
      <c r="M11" s="346">
        <v>19</v>
      </c>
      <c r="N11" s="673">
        <v>20</v>
      </c>
      <c r="O11" s="673">
        <v>19</v>
      </c>
      <c r="P11" s="346">
        <v>15</v>
      </c>
      <c r="Q11" s="346"/>
      <c r="R11" s="346"/>
      <c r="S11" s="346">
        <v>12</v>
      </c>
      <c r="T11" s="346">
        <v>6</v>
      </c>
      <c r="U11" s="346">
        <v>5</v>
      </c>
      <c r="V11" s="346">
        <f t="shared" si="1"/>
        <v>23</v>
      </c>
      <c r="W11" s="346">
        <f t="shared" si="2"/>
        <v>18</v>
      </c>
      <c r="X11" s="346">
        <f t="shared" si="3"/>
        <v>15</v>
      </c>
      <c r="Y11" s="346">
        <v>3</v>
      </c>
      <c r="Z11" s="346">
        <v>2</v>
      </c>
      <c r="AA11" s="346">
        <f t="shared" si="4"/>
        <v>3</v>
      </c>
      <c r="AB11" s="346">
        <v>17</v>
      </c>
      <c r="AC11" s="346">
        <f t="shared" si="5"/>
        <v>17</v>
      </c>
      <c r="AD11" s="346"/>
      <c r="AE11" s="346"/>
      <c r="AF11" s="346">
        <f>'3.Komplikasi'!AJ9</f>
        <v>4</v>
      </c>
      <c r="AG11" s="346">
        <f t="shared" si="6"/>
        <v>17</v>
      </c>
      <c r="AH11" s="346">
        <f t="shared" si="7"/>
        <v>17</v>
      </c>
      <c r="AI11" s="346">
        <f t="shared" si="8"/>
        <v>17</v>
      </c>
      <c r="AJ11" s="346">
        <f t="shared" si="9"/>
        <v>17</v>
      </c>
      <c r="AK11" s="346">
        <f t="shared" si="10"/>
        <v>17</v>
      </c>
      <c r="AL11" s="346">
        <f t="shared" si="11"/>
        <v>17</v>
      </c>
    </row>
    <row r="12" spans="1:38" ht="20.149999999999999" customHeight="1" x14ac:dyDescent="0.35">
      <c r="A12" s="507">
        <v>4</v>
      </c>
      <c r="B12" s="702" t="str">
        <f>PETUNJUK!B12</f>
        <v>Ngeling</v>
      </c>
      <c r="C12" s="346">
        <v>95.7</v>
      </c>
      <c r="D12" s="346">
        <v>91.350000000000009</v>
      </c>
      <c r="E12" s="507">
        <f t="shared" si="0"/>
        <v>19.14</v>
      </c>
      <c r="F12" s="346">
        <v>7</v>
      </c>
      <c r="G12" s="346">
        <v>1</v>
      </c>
      <c r="H12" s="346">
        <v>7</v>
      </c>
      <c r="I12" s="346">
        <v>7</v>
      </c>
      <c r="J12" s="346">
        <v>8</v>
      </c>
      <c r="K12" s="346">
        <v>4</v>
      </c>
      <c r="L12" s="346">
        <v>4</v>
      </c>
      <c r="M12" s="346">
        <v>6</v>
      </c>
      <c r="N12" s="673">
        <v>9</v>
      </c>
      <c r="O12" s="673">
        <v>6</v>
      </c>
      <c r="P12" s="346">
        <v>3</v>
      </c>
      <c r="Q12" s="346"/>
      <c r="R12" s="346"/>
      <c r="S12" s="346"/>
      <c r="T12" s="346">
        <v>3</v>
      </c>
      <c r="U12" s="346">
        <v>4</v>
      </c>
      <c r="V12" s="346">
        <f t="shared" si="1"/>
        <v>7</v>
      </c>
      <c r="W12" s="346">
        <f t="shared" si="2"/>
        <v>7</v>
      </c>
      <c r="X12" s="346">
        <f t="shared" si="3"/>
        <v>8</v>
      </c>
      <c r="Y12" s="346">
        <v>2</v>
      </c>
      <c r="Z12" s="346">
        <v>2</v>
      </c>
      <c r="AA12" s="346">
        <f t="shared" si="4"/>
        <v>2</v>
      </c>
      <c r="AB12" s="346">
        <v>9</v>
      </c>
      <c r="AC12" s="346">
        <f t="shared" si="5"/>
        <v>9</v>
      </c>
      <c r="AD12" s="346"/>
      <c r="AE12" s="346"/>
      <c r="AF12" s="346">
        <f>'3.Komplikasi'!AJ10</f>
        <v>3</v>
      </c>
      <c r="AG12" s="346">
        <f t="shared" si="6"/>
        <v>9</v>
      </c>
      <c r="AH12" s="346">
        <f t="shared" si="7"/>
        <v>9</v>
      </c>
      <c r="AI12" s="346">
        <f t="shared" si="8"/>
        <v>9</v>
      </c>
      <c r="AJ12" s="346">
        <f t="shared" si="9"/>
        <v>9</v>
      </c>
      <c r="AK12" s="346">
        <f t="shared" si="10"/>
        <v>9</v>
      </c>
      <c r="AL12" s="346">
        <f t="shared" si="11"/>
        <v>9</v>
      </c>
    </row>
    <row r="13" spans="1:38" ht="20.149999999999999" customHeight="1" x14ac:dyDescent="0.35">
      <c r="A13" s="507">
        <v>5</v>
      </c>
      <c r="B13" s="702" t="str">
        <f>PETUNJUK!B13</f>
        <v>Lebuawu</v>
      </c>
      <c r="C13" s="346">
        <v>85.800000000000011</v>
      </c>
      <c r="D13" s="346">
        <v>81.900000000000006</v>
      </c>
      <c r="E13" s="507">
        <f t="shared" si="0"/>
        <v>17.160000000000004</v>
      </c>
      <c r="F13" s="346">
        <v>9</v>
      </c>
      <c r="G13" s="346">
        <v>2</v>
      </c>
      <c r="H13" s="346">
        <v>9</v>
      </c>
      <c r="I13" s="346">
        <v>9</v>
      </c>
      <c r="J13" s="346">
        <v>7</v>
      </c>
      <c r="K13" s="346">
        <v>6</v>
      </c>
      <c r="L13" s="346">
        <v>6</v>
      </c>
      <c r="M13" s="346">
        <v>6</v>
      </c>
      <c r="N13" s="673">
        <v>5</v>
      </c>
      <c r="O13" s="673">
        <v>6</v>
      </c>
      <c r="P13" s="346">
        <v>4</v>
      </c>
      <c r="Q13" s="346"/>
      <c r="R13" s="346"/>
      <c r="S13" s="346"/>
      <c r="T13" s="346">
        <v>6</v>
      </c>
      <c r="U13" s="346">
        <v>3</v>
      </c>
      <c r="V13" s="346">
        <f t="shared" si="1"/>
        <v>9</v>
      </c>
      <c r="W13" s="346">
        <f t="shared" si="2"/>
        <v>9</v>
      </c>
      <c r="X13" s="346">
        <f t="shared" si="3"/>
        <v>7</v>
      </c>
      <c r="Y13" s="346">
        <v>1</v>
      </c>
      <c r="Z13" s="346">
        <v>1</v>
      </c>
      <c r="AA13" s="346">
        <f t="shared" si="4"/>
        <v>1</v>
      </c>
      <c r="AB13" s="346">
        <v>7</v>
      </c>
      <c r="AC13" s="346">
        <f t="shared" si="5"/>
        <v>7</v>
      </c>
      <c r="AD13" s="346"/>
      <c r="AE13" s="346"/>
      <c r="AF13" s="346">
        <f>'3.Komplikasi'!AJ11</f>
        <v>0</v>
      </c>
      <c r="AG13" s="346">
        <f t="shared" si="6"/>
        <v>7</v>
      </c>
      <c r="AH13" s="346">
        <f t="shared" si="7"/>
        <v>7</v>
      </c>
      <c r="AI13" s="346">
        <f t="shared" si="8"/>
        <v>7</v>
      </c>
      <c r="AJ13" s="346">
        <f t="shared" si="9"/>
        <v>7</v>
      </c>
      <c r="AK13" s="346">
        <f t="shared" si="10"/>
        <v>7</v>
      </c>
      <c r="AL13" s="346">
        <f t="shared" si="11"/>
        <v>7</v>
      </c>
    </row>
    <row r="14" spans="1:38" ht="20.149999999999999" customHeight="1" x14ac:dyDescent="0.35">
      <c r="A14" s="507">
        <v>6</v>
      </c>
      <c r="B14" s="702" t="str">
        <f>PETUNJUK!B14</f>
        <v>Pulodarat</v>
      </c>
      <c r="C14" s="346">
        <v>82.5</v>
      </c>
      <c r="D14" s="346">
        <v>78.75</v>
      </c>
      <c r="E14" s="507">
        <f t="shared" si="0"/>
        <v>16.5</v>
      </c>
      <c r="F14" s="346">
        <v>5</v>
      </c>
      <c r="G14" s="346">
        <v>0</v>
      </c>
      <c r="H14" s="346">
        <v>5</v>
      </c>
      <c r="I14" s="346">
        <v>5</v>
      </c>
      <c r="J14" s="346">
        <v>6</v>
      </c>
      <c r="K14" s="346">
        <v>6</v>
      </c>
      <c r="L14" s="346">
        <v>6</v>
      </c>
      <c r="M14" s="346">
        <v>6</v>
      </c>
      <c r="N14" s="673">
        <v>5</v>
      </c>
      <c r="O14" s="673">
        <v>5</v>
      </c>
      <c r="P14" s="346">
        <v>5</v>
      </c>
      <c r="Q14" s="346"/>
      <c r="R14" s="346"/>
      <c r="S14" s="346"/>
      <c r="T14" s="346">
        <v>3</v>
      </c>
      <c r="U14" s="346">
        <v>2</v>
      </c>
      <c r="V14" s="346">
        <f t="shared" si="1"/>
        <v>5</v>
      </c>
      <c r="W14" s="346">
        <f t="shared" si="2"/>
        <v>5</v>
      </c>
      <c r="X14" s="346">
        <f t="shared" si="3"/>
        <v>6</v>
      </c>
      <c r="Y14" s="346">
        <v>0</v>
      </c>
      <c r="Z14" s="346">
        <v>0</v>
      </c>
      <c r="AA14" s="346">
        <f t="shared" si="4"/>
        <v>0</v>
      </c>
      <c r="AB14" s="346">
        <v>7</v>
      </c>
      <c r="AC14" s="346">
        <f t="shared" si="5"/>
        <v>7</v>
      </c>
      <c r="AD14" s="346"/>
      <c r="AE14" s="346"/>
      <c r="AF14" s="346">
        <f>'3.Komplikasi'!AJ12</f>
        <v>0</v>
      </c>
      <c r="AG14" s="346">
        <f t="shared" si="6"/>
        <v>7</v>
      </c>
      <c r="AH14" s="346">
        <f t="shared" si="7"/>
        <v>7</v>
      </c>
      <c r="AI14" s="346">
        <f t="shared" si="8"/>
        <v>7</v>
      </c>
      <c r="AJ14" s="346">
        <f t="shared" si="9"/>
        <v>7</v>
      </c>
      <c r="AK14" s="346">
        <f t="shared" si="10"/>
        <v>7</v>
      </c>
      <c r="AL14" s="346">
        <f t="shared" si="11"/>
        <v>7</v>
      </c>
    </row>
    <row r="15" spans="1:38" ht="20.149999999999999" customHeight="1" x14ac:dyDescent="0.35">
      <c r="A15" s="507">
        <v>7</v>
      </c>
      <c r="B15" s="702" t="str">
        <f>PETUNJUK!B15</f>
        <v>Karangrandu</v>
      </c>
      <c r="C15" s="346">
        <v>93.500000000000014</v>
      </c>
      <c r="D15" s="346">
        <v>89.25</v>
      </c>
      <c r="E15" s="507">
        <f t="shared" si="0"/>
        <v>18.700000000000003</v>
      </c>
      <c r="F15" s="346">
        <v>7</v>
      </c>
      <c r="G15" s="346">
        <v>2</v>
      </c>
      <c r="H15" s="346">
        <v>7</v>
      </c>
      <c r="I15" s="346">
        <v>7</v>
      </c>
      <c r="J15" s="346">
        <v>5</v>
      </c>
      <c r="K15" s="346">
        <v>4</v>
      </c>
      <c r="L15" s="346">
        <v>4</v>
      </c>
      <c r="M15" s="346">
        <v>5</v>
      </c>
      <c r="N15" s="673">
        <v>5</v>
      </c>
      <c r="O15" s="673">
        <v>5</v>
      </c>
      <c r="P15" s="346">
        <v>8</v>
      </c>
      <c r="Q15" s="346"/>
      <c r="R15" s="346"/>
      <c r="S15" s="346"/>
      <c r="T15" s="346">
        <v>2</v>
      </c>
      <c r="U15" s="346">
        <v>5</v>
      </c>
      <c r="V15" s="346">
        <f t="shared" si="1"/>
        <v>7</v>
      </c>
      <c r="W15" s="346">
        <f t="shared" si="2"/>
        <v>7</v>
      </c>
      <c r="X15" s="346">
        <f t="shared" si="3"/>
        <v>5</v>
      </c>
      <c r="Y15" s="346">
        <v>3</v>
      </c>
      <c r="Z15" s="346">
        <v>1</v>
      </c>
      <c r="AA15" s="346">
        <f t="shared" si="4"/>
        <v>3</v>
      </c>
      <c r="AB15" s="346">
        <v>5</v>
      </c>
      <c r="AC15" s="346">
        <f t="shared" si="5"/>
        <v>5</v>
      </c>
      <c r="AD15" s="346"/>
      <c r="AE15" s="346"/>
      <c r="AF15" s="346">
        <f>'3.Komplikasi'!AJ13</f>
        <v>0</v>
      </c>
      <c r="AG15" s="346">
        <f t="shared" si="6"/>
        <v>5</v>
      </c>
      <c r="AH15" s="346">
        <f t="shared" si="7"/>
        <v>5</v>
      </c>
      <c r="AI15" s="346">
        <f t="shared" si="8"/>
        <v>5</v>
      </c>
      <c r="AJ15" s="346">
        <f t="shared" si="9"/>
        <v>5</v>
      </c>
      <c r="AK15" s="346">
        <f t="shared" si="10"/>
        <v>5</v>
      </c>
      <c r="AL15" s="346">
        <f t="shared" si="11"/>
        <v>5</v>
      </c>
    </row>
    <row r="16" spans="1:38" ht="20.149999999999999" customHeight="1" x14ac:dyDescent="0.35">
      <c r="A16" s="507">
        <v>8</v>
      </c>
      <c r="B16" s="702" t="str">
        <f>PETUNJUK!B16</f>
        <v>Kaliombo</v>
      </c>
      <c r="C16" s="346">
        <v>46.2</v>
      </c>
      <c r="D16" s="346">
        <v>44.1</v>
      </c>
      <c r="E16" s="507">
        <f t="shared" si="0"/>
        <v>9.24</v>
      </c>
      <c r="F16" s="346">
        <v>1</v>
      </c>
      <c r="G16" s="346">
        <v>1</v>
      </c>
      <c r="H16" s="346">
        <v>1</v>
      </c>
      <c r="I16" s="346">
        <v>1</v>
      </c>
      <c r="J16" s="346">
        <v>1</v>
      </c>
      <c r="K16" s="346">
        <v>1</v>
      </c>
      <c r="L16" s="346">
        <v>1</v>
      </c>
      <c r="M16" s="346">
        <v>1</v>
      </c>
      <c r="N16" s="673">
        <v>1</v>
      </c>
      <c r="O16" s="673">
        <v>1</v>
      </c>
      <c r="P16" s="346">
        <v>2</v>
      </c>
      <c r="Q16" s="346"/>
      <c r="R16" s="346"/>
      <c r="S16" s="346"/>
      <c r="T16" s="346">
        <v>0</v>
      </c>
      <c r="U16" s="346">
        <v>1</v>
      </c>
      <c r="V16" s="346">
        <f t="shared" si="1"/>
        <v>1</v>
      </c>
      <c r="W16" s="346">
        <f t="shared" si="2"/>
        <v>1</v>
      </c>
      <c r="X16" s="346">
        <f t="shared" si="3"/>
        <v>1</v>
      </c>
      <c r="Y16" s="346">
        <v>1</v>
      </c>
      <c r="Z16" s="346">
        <v>0</v>
      </c>
      <c r="AA16" s="346">
        <f t="shared" si="4"/>
        <v>1</v>
      </c>
      <c r="AB16" s="346">
        <v>1</v>
      </c>
      <c r="AC16" s="346">
        <f t="shared" si="5"/>
        <v>1</v>
      </c>
      <c r="AD16" s="346"/>
      <c r="AE16" s="346"/>
      <c r="AF16" s="346">
        <f>'3.Komplikasi'!AJ14</f>
        <v>0</v>
      </c>
      <c r="AG16" s="346">
        <f t="shared" si="6"/>
        <v>1</v>
      </c>
      <c r="AH16" s="346">
        <f t="shared" si="7"/>
        <v>1</v>
      </c>
      <c r="AI16" s="346">
        <f t="shared" si="8"/>
        <v>1</v>
      </c>
      <c r="AJ16" s="346">
        <f t="shared" si="9"/>
        <v>1</v>
      </c>
      <c r="AK16" s="346">
        <f t="shared" si="10"/>
        <v>1</v>
      </c>
      <c r="AL16" s="346">
        <f t="shared" si="11"/>
        <v>1</v>
      </c>
    </row>
    <row r="17" spans="1:38" ht="20.149999999999999" customHeight="1" x14ac:dyDescent="0.35">
      <c r="A17" s="507">
        <v>9</v>
      </c>
      <c r="B17" s="702" t="str">
        <f>PETUNJUK!B17</f>
        <v>Gemulung</v>
      </c>
      <c r="C17" s="346">
        <v>53.900000000000006</v>
      </c>
      <c r="D17" s="346">
        <v>51.45</v>
      </c>
      <c r="E17" s="507">
        <f t="shared" si="0"/>
        <v>10.780000000000001</v>
      </c>
      <c r="F17" s="508">
        <v>4</v>
      </c>
      <c r="G17" s="508">
        <v>1</v>
      </c>
      <c r="H17" s="508">
        <v>4</v>
      </c>
      <c r="I17" s="508">
        <v>4</v>
      </c>
      <c r="J17" s="508">
        <v>5</v>
      </c>
      <c r="K17" s="508">
        <v>5</v>
      </c>
      <c r="L17" s="508">
        <v>5</v>
      </c>
      <c r="M17" s="508">
        <v>5</v>
      </c>
      <c r="N17" s="674">
        <v>2</v>
      </c>
      <c r="O17" s="674">
        <v>5</v>
      </c>
      <c r="P17" s="508">
        <v>4</v>
      </c>
      <c r="Q17" s="508"/>
      <c r="R17" s="508"/>
      <c r="S17" s="508"/>
      <c r="T17" s="508">
        <v>1</v>
      </c>
      <c r="U17" s="508">
        <v>3</v>
      </c>
      <c r="V17" s="346">
        <f t="shared" si="1"/>
        <v>4</v>
      </c>
      <c r="W17" s="346">
        <f t="shared" si="2"/>
        <v>4</v>
      </c>
      <c r="X17" s="346">
        <f t="shared" si="3"/>
        <v>5</v>
      </c>
      <c r="Y17" s="508">
        <v>0</v>
      </c>
      <c r="Z17" s="508">
        <v>0</v>
      </c>
      <c r="AA17" s="346">
        <f t="shared" si="4"/>
        <v>0</v>
      </c>
      <c r="AB17" s="508">
        <v>3</v>
      </c>
      <c r="AC17" s="346">
        <f t="shared" si="5"/>
        <v>3</v>
      </c>
      <c r="AD17" s="346"/>
      <c r="AE17" s="508"/>
      <c r="AF17" s="346">
        <f>'3.Komplikasi'!AJ15</f>
        <v>1</v>
      </c>
      <c r="AG17" s="346">
        <f t="shared" si="6"/>
        <v>3</v>
      </c>
      <c r="AH17" s="346">
        <f t="shared" si="7"/>
        <v>3</v>
      </c>
      <c r="AI17" s="346">
        <f t="shared" si="8"/>
        <v>3</v>
      </c>
      <c r="AJ17" s="346">
        <f t="shared" si="9"/>
        <v>3</v>
      </c>
      <c r="AK17" s="346">
        <f t="shared" si="10"/>
        <v>3</v>
      </c>
      <c r="AL17" s="346">
        <f t="shared" si="11"/>
        <v>3</v>
      </c>
    </row>
    <row r="18" spans="1:38" ht="20.149999999999999" customHeight="1" x14ac:dyDescent="0.35">
      <c r="A18" s="507">
        <v>10</v>
      </c>
      <c r="B18" s="702" t="str">
        <f>PETUNJUK!B18</f>
        <v>Pecangaan Wetan</v>
      </c>
      <c r="C18" s="346">
        <v>50.6</v>
      </c>
      <c r="D18" s="346">
        <v>48.300000000000004</v>
      </c>
      <c r="E18" s="507">
        <f t="shared" si="0"/>
        <v>10.120000000000001</v>
      </c>
      <c r="F18" s="509">
        <v>4</v>
      </c>
      <c r="G18" s="509">
        <v>0</v>
      </c>
      <c r="H18" s="509">
        <v>4</v>
      </c>
      <c r="I18" s="509">
        <v>4</v>
      </c>
      <c r="J18" s="509">
        <v>3</v>
      </c>
      <c r="K18" s="509">
        <v>3</v>
      </c>
      <c r="L18" s="509">
        <v>3</v>
      </c>
      <c r="M18" s="509">
        <v>2</v>
      </c>
      <c r="N18" s="675">
        <v>2</v>
      </c>
      <c r="O18" s="675">
        <v>2</v>
      </c>
      <c r="P18" s="509">
        <v>4</v>
      </c>
      <c r="Q18" s="509"/>
      <c r="R18" s="509"/>
      <c r="S18" s="509"/>
      <c r="T18" s="509">
        <v>0</v>
      </c>
      <c r="U18" s="509">
        <v>4</v>
      </c>
      <c r="V18" s="346">
        <f t="shared" si="1"/>
        <v>4</v>
      </c>
      <c r="W18" s="346">
        <f t="shared" si="2"/>
        <v>4</v>
      </c>
      <c r="X18" s="346">
        <f t="shared" si="3"/>
        <v>3</v>
      </c>
      <c r="Y18" s="509">
        <v>1</v>
      </c>
      <c r="Z18" s="509">
        <v>0</v>
      </c>
      <c r="AA18" s="346">
        <f t="shared" si="4"/>
        <v>1</v>
      </c>
      <c r="AB18" s="509">
        <v>7</v>
      </c>
      <c r="AC18" s="346">
        <f t="shared" si="5"/>
        <v>7</v>
      </c>
      <c r="AD18" s="346"/>
      <c r="AE18" s="509"/>
      <c r="AF18" s="346">
        <f>'3.Komplikasi'!AJ16</f>
        <v>0</v>
      </c>
      <c r="AG18" s="346">
        <f t="shared" si="6"/>
        <v>7</v>
      </c>
      <c r="AH18" s="346">
        <f t="shared" si="7"/>
        <v>7</v>
      </c>
      <c r="AI18" s="346">
        <f t="shared" si="8"/>
        <v>7</v>
      </c>
      <c r="AJ18" s="346">
        <f t="shared" si="9"/>
        <v>7</v>
      </c>
      <c r="AK18" s="346">
        <f t="shared" si="10"/>
        <v>7</v>
      </c>
      <c r="AL18" s="346">
        <f t="shared" si="11"/>
        <v>7</v>
      </c>
    </row>
    <row r="19" spans="1:38" ht="20.149999999999999" customHeight="1" x14ac:dyDescent="0.35">
      <c r="A19" s="507">
        <v>11</v>
      </c>
      <c r="B19" s="702" t="str">
        <f>PETUNJUK!B19</f>
        <v>Krasak</v>
      </c>
      <c r="C19" s="346">
        <v>117.7</v>
      </c>
      <c r="D19" s="346">
        <v>112.35000000000001</v>
      </c>
      <c r="E19" s="507">
        <f t="shared" si="0"/>
        <v>23.540000000000003</v>
      </c>
      <c r="F19" s="510">
        <v>15</v>
      </c>
      <c r="G19" s="510">
        <v>2</v>
      </c>
      <c r="H19" s="510">
        <v>5</v>
      </c>
      <c r="I19" s="510">
        <v>5</v>
      </c>
      <c r="J19" s="510">
        <v>4</v>
      </c>
      <c r="K19" s="510">
        <v>10</v>
      </c>
      <c r="L19" s="510">
        <v>10</v>
      </c>
      <c r="M19" s="510">
        <v>8</v>
      </c>
      <c r="N19" s="676">
        <v>8</v>
      </c>
      <c r="O19" s="676">
        <v>10</v>
      </c>
      <c r="P19" s="510">
        <v>14</v>
      </c>
      <c r="Q19" s="510"/>
      <c r="R19" s="510"/>
      <c r="S19" s="510"/>
      <c r="T19" s="510">
        <v>5</v>
      </c>
      <c r="U19" s="510">
        <v>10</v>
      </c>
      <c r="V19" s="346">
        <f t="shared" si="1"/>
        <v>15</v>
      </c>
      <c r="W19" s="346">
        <f t="shared" si="2"/>
        <v>15</v>
      </c>
      <c r="X19" s="346">
        <f t="shared" si="3"/>
        <v>4</v>
      </c>
      <c r="Y19" s="510">
        <v>1</v>
      </c>
      <c r="Z19" s="510">
        <v>1</v>
      </c>
      <c r="AA19" s="346">
        <f t="shared" si="4"/>
        <v>1</v>
      </c>
      <c r="AB19" s="510">
        <v>8</v>
      </c>
      <c r="AC19" s="346">
        <f t="shared" si="5"/>
        <v>8</v>
      </c>
      <c r="AD19" s="346"/>
      <c r="AE19" s="510"/>
      <c r="AF19" s="346">
        <f>'3.Komplikasi'!AJ17</f>
        <v>4</v>
      </c>
      <c r="AG19" s="346">
        <f t="shared" si="6"/>
        <v>8</v>
      </c>
      <c r="AH19" s="346">
        <f t="shared" si="7"/>
        <v>8</v>
      </c>
      <c r="AI19" s="346">
        <f t="shared" si="8"/>
        <v>8</v>
      </c>
      <c r="AJ19" s="346">
        <f t="shared" si="9"/>
        <v>8</v>
      </c>
      <c r="AK19" s="346">
        <f t="shared" si="10"/>
        <v>8</v>
      </c>
      <c r="AL19" s="346">
        <f t="shared" si="11"/>
        <v>8</v>
      </c>
    </row>
    <row r="20" spans="1:38" ht="20.149999999999999" customHeight="1" x14ac:dyDescent="0.35">
      <c r="A20" s="507">
        <v>12</v>
      </c>
      <c r="B20" s="702" t="str">
        <f>PETUNJUK!B20</f>
        <v>Gerdu</v>
      </c>
      <c r="C20" s="346">
        <v>23.1</v>
      </c>
      <c r="D20" s="346">
        <v>22.05</v>
      </c>
      <c r="E20" s="507">
        <f t="shared" si="0"/>
        <v>4.62</v>
      </c>
      <c r="F20" s="511">
        <v>1</v>
      </c>
      <c r="G20" s="511">
        <v>0</v>
      </c>
      <c r="H20" s="511">
        <v>1</v>
      </c>
      <c r="I20" s="511">
        <v>1</v>
      </c>
      <c r="J20" s="511">
        <v>3</v>
      </c>
      <c r="K20" s="511">
        <v>3</v>
      </c>
      <c r="L20" s="511">
        <v>3</v>
      </c>
      <c r="M20" s="511">
        <v>2</v>
      </c>
      <c r="N20" s="511">
        <v>0</v>
      </c>
      <c r="O20" s="511">
        <v>2</v>
      </c>
      <c r="P20" s="511">
        <v>2</v>
      </c>
      <c r="Q20" s="511"/>
      <c r="R20" s="511"/>
      <c r="S20" s="511"/>
      <c r="T20" s="511">
        <v>0</v>
      </c>
      <c r="U20" s="511">
        <v>1</v>
      </c>
      <c r="V20" s="346">
        <f t="shared" si="1"/>
        <v>1</v>
      </c>
      <c r="W20" s="346">
        <f t="shared" si="2"/>
        <v>1</v>
      </c>
      <c r="X20" s="346">
        <f t="shared" si="3"/>
        <v>3</v>
      </c>
      <c r="Y20" s="511">
        <v>0</v>
      </c>
      <c r="Z20" s="511">
        <v>0</v>
      </c>
      <c r="AA20" s="346">
        <f t="shared" si="4"/>
        <v>0</v>
      </c>
      <c r="AB20" s="511">
        <v>2</v>
      </c>
      <c r="AC20" s="346">
        <f t="shared" si="5"/>
        <v>2</v>
      </c>
      <c r="AD20" s="346"/>
      <c r="AE20" s="511"/>
      <c r="AF20" s="346">
        <f>'3.Komplikasi'!AJ18</f>
        <v>1</v>
      </c>
      <c r="AG20" s="346">
        <f t="shared" si="6"/>
        <v>2</v>
      </c>
      <c r="AH20" s="346">
        <f t="shared" si="7"/>
        <v>2</v>
      </c>
      <c r="AI20" s="346">
        <f t="shared" si="8"/>
        <v>2</v>
      </c>
      <c r="AJ20" s="346">
        <f t="shared" si="9"/>
        <v>2</v>
      </c>
      <c r="AK20" s="346">
        <f t="shared" si="10"/>
        <v>2</v>
      </c>
      <c r="AL20" s="346">
        <f t="shared" si="11"/>
        <v>2</v>
      </c>
    </row>
    <row r="21" spans="1:38" ht="20.149999999999999" customHeight="1" x14ac:dyDescent="0.35">
      <c r="A21" s="507">
        <v>13</v>
      </c>
      <c r="B21" s="507">
        <f>PETUNJUK!B21</f>
        <v>0</v>
      </c>
      <c r="C21" s="346"/>
      <c r="D21" s="346"/>
      <c r="E21" s="507">
        <f t="shared" si="0"/>
        <v>0</v>
      </c>
      <c r="F21" s="346"/>
      <c r="G21" s="346"/>
      <c r="H21" s="346"/>
      <c r="I21" s="346"/>
      <c r="J21" s="346"/>
      <c r="K21" s="346"/>
      <c r="L21" s="346"/>
      <c r="M21" s="346"/>
      <c r="N21" s="673"/>
      <c r="O21" s="673"/>
      <c r="P21" s="346"/>
      <c r="Q21" s="346"/>
      <c r="R21" s="346"/>
      <c r="S21" s="346"/>
      <c r="T21" s="346"/>
      <c r="U21" s="346"/>
      <c r="V21" s="346"/>
      <c r="W21" s="346"/>
      <c r="X21" s="346"/>
      <c r="Y21" s="346"/>
      <c r="Z21" s="346"/>
      <c r="AA21" s="346"/>
      <c r="AB21" s="346"/>
      <c r="AC21" s="346"/>
      <c r="AD21" s="346"/>
      <c r="AE21" s="346"/>
      <c r="AF21" s="346"/>
      <c r="AG21" s="346"/>
      <c r="AH21" s="346"/>
      <c r="AI21" s="346"/>
      <c r="AJ21" s="346"/>
      <c r="AK21" s="346"/>
      <c r="AL21" s="346"/>
    </row>
    <row r="22" spans="1:38" ht="20.149999999999999" customHeight="1" x14ac:dyDescent="0.35">
      <c r="A22" s="507">
        <v>14</v>
      </c>
      <c r="B22" s="507">
        <f>PETUNJUK!B22</f>
        <v>0</v>
      </c>
      <c r="C22" s="346"/>
      <c r="D22" s="346"/>
      <c r="E22" s="507">
        <f t="shared" si="0"/>
        <v>0</v>
      </c>
      <c r="F22" s="346"/>
      <c r="G22" s="346"/>
      <c r="H22" s="346"/>
      <c r="I22" s="346"/>
      <c r="J22" s="346"/>
      <c r="K22" s="346"/>
      <c r="L22" s="346"/>
      <c r="M22" s="346"/>
      <c r="N22" s="673"/>
      <c r="O22" s="673"/>
      <c r="P22" s="346"/>
      <c r="Q22" s="346"/>
      <c r="R22" s="346"/>
      <c r="S22" s="346"/>
      <c r="T22" s="346"/>
      <c r="U22" s="346"/>
      <c r="V22" s="346"/>
      <c r="W22" s="346"/>
      <c r="X22" s="346"/>
      <c r="Y22" s="346"/>
      <c r="Z22" s="346"/>
      <c r="AA22" s="346"/>
      <c r="AB22" s="346"/>
      <c r="AC22" s="346"/>
      <c r="AD22" s="346"/>
      <c r="AE22" s="346"/>
      <c r="AF22" s="346"/>
      <c r="AG22" s="346"/>
      <c r="AH22" s="346"/>
      <c r="AI22" s="346"/>
      <c r="AJ22" s="346"/>
      <c r="AK22" s="346"/>
      <c r="AL22" s="346"/>
    </row>
    <row r="23" spans="1:38" ht="20.149999999999999" customHeight="1" x14ac:dyDescent="0.35">
      <c r="A23" s="507">
        <v>15</v>
      </c>
      <c r="B23" s="507">
        <f>PETUNJUK!B23</f>
        <v>0</v>
      </c>
      <c r="C23" s="346"/>
      <c r="D23" s="346"/>
      <c r="E23" s="507">
        <f t="shared" si="0"/>
        <v>0</v>
      </c>
      <c r="F23" s="346"/>
      <c r="G23" s="346"/>
      <c r="H23" s="346"/>
      <c r="I23" s="346"/>
      <c r="J23" s="346"/>
      <c r="K23" s="346"/>
      <c r="L23" s="346"/>
      <c r="M23" s="346"/>
      <c r="N23" s="673"/>
      <c r="O23" s="673"/>
      <c r="P23" s="346"/>
      <c r="Q23" s="346"/>
      <c r="R23" s="346"/>
      <c r="S23" s="346"/>
      <c r="T23" s="346"/>
      <c r="U23" s="346"/>
      <c r="V23" s="346"/>
      <c r="W23" s="346"/>
      <c r="X23" s="346"/>
      <c r="Y23" s="346"/>
      <c r="Z23" s="346"/>
      <c r="AA23" s="346"/>
      <c r="AB23" s="346"/>
      <c r="AC23" s="346"/>
      <c r="AD23" s="346"/>
      <c r="AE23" s="346"/>
      <c r="AF23" s="346"/>
      <c r="AG23" s="346"/>
      <c r="AH23" s="346"/>
      <c r="AI23" s="346"/>
      <c r="AJ23" s="346"/>
      <c r="AK23" s="346"/>
      <c r="AL23" s="346"/>
    </row>
    <row r="24" spans="1:38" ht="20.149999999999999" customHeight="1" x14ac:dyDescent="0.35">
      <c r="A24" s="507">
        <v>16</v>
      </c>
      <c r="B24" s="507">
        <f>PETUNJUK!B24</f>
        <v>0</v>
      </c>
      <c r="C24" s="346"/>
      <c r="D24" s="346"/>
      <c r="E24" s="507">
        <f t="shared" si="0"/>
        <v>0</v>
      </c>
      <c r="F24" s="346"/>
      <c r="G24" s="346"/>
      <c r="H24" s="346"/>
      <c r="I24" s="346"/>
      <c r="J24" s="346"/>
      <c r="K24" s="346"/>
      <c r="L24" s="346"/>
      <c r="M24" s="346"/>
      <c r="N24" s="673"/>
      <c r="O24" s="673"/>
      <c r="P24" s="346"/>
      <c r="Q24" s="346"/>
      <c r="R24" s="346"/>
      <c r="S24" s="346"/>
      <c r="T24" s="346"/>
      <c r="U24" s="346"/>
      <c r="V24" s="346"/>
      <c r="W24" s="346"/>
      <c r="X24" s="346"/>
      <c r="Y24" s="346"/>
      <c r="Z24" s="346"/>
      <c r="AA24" s="346"/>
      <c r="AB24" s="346"/>
      <c r="AC24" s="346"/>
      <c r="AD24" s="346"/>
      <c r="AE24" s="346"/>
      <c r="AF24" s="346"/>
      <c r="AG24" s="346"/>
      <c r="AH24" s="346"/>
      <c r="AI24" s="346"/>
      <c r="AJ24" s="346"/>
      <c r="AK24" s="346"/>
      <c r="AL24" s="346"/>
    </row>
    <row r="25" spans="1:38" ht="20.149999999999999" customHeight="1" x14ac:dyDescent="0.35">
      <c r="A25" s="507">
        <v>17</v>
      </c>
      <c r="B25" s="507">
        <f>PETUNJUK!B25</f>
        <v>0</v>
      </c>
      <c r="C25" s="346"/>
      <c r="D25" s="346"/>
      <c r="E25" s="507">
        <f t="shared" si="0"/>
        <v>0</v>
      </c>
      <c r="F25" s="346"/>
      <c r="G25" s="346"/>
      <c r="H25" s="346"/>
      <c r="I25" s="346"/>
      <c r="J25" s="346"/>
      <c r="K25" s="346"/>
      <c r="L25" s="346"/>
      <c r="M25" s="346"/>
      <c r="N25" s="673"/>
      <c r="O25" s="673"/>
      <c r="P25" s="346"/>
      <c r="Q25" s="346"/>
      <c r="R25" s="346"/>
      <c r="S25" s="346"/>
      <c r="T25" s="346"/>
      <c r="U25" s="346"/>
      <c r="V25" s="346"/>
      <c r="W25" s="346"/>
      <c r="X25" s="346"/>
      <c r="Y25" s="346"/>
      <c r="Z25" s="346"/>
      <c r="AA25" s="346"/>
      <c r="AB25" s="346"/>
      <c r="AC25" s="346"/>
      <c r="AD25" s="346"/>
      <c r="AE25" s="346"/>
      <c r="AF25" s="346"/>
      <c r="AG25" s="346"/>
      <c r="AH25" s="346"/>
      <c r="AI25" s="346"/>
      <c r="AJ25" s="346"/>
      <c r="AK25" s="346"/>
      <c r="AL25" s="346"/>
    </row>
    <row r="26" spans="1:38" ht="20.149999999999999" customHeight="1" x14ac:dyDescent="0.35">
      <c r="A26" s="507">
        <v>18</v>
      </c>
      <c r="B26" s="507">
        <f>PETUNJUK!B26</f>
        <v>0</v>
      </c>
      <c r="C26" s="346"/>
      <c r="D26" s="346"/>
      <c r="E26" s="507">
        <f t="shared" si="0"/>
        <v>0</v>
      </c>
      <c r="F26" s="346"/>
      <c r="G26" s="346"/>
      <c r="H26" s="346"/>
      <c r="I26" s="346"/>
      <c r="J26" s="346"/>
      <c r="K26" s="346"/>
      <c r="L26" s="346"/>
      <c r="M26" s="346"/>
      <c r="N26" s="673"/>
      <c r="O26" s="673"/>
      <c r="P26" s="346"/>
      <c r="Q26" s="346"/>
      <c r="R26" s="346"/>
      <c r="S26" s="346"/>
      <c r="T26" s="346"/>
      <c r="U26" s="346"/>
      <c r="V26" s="346"/>
      <c r="W26" s="346"/>
      <c r="X26" s="346"/>
      <c r="Y26" s="346"/>
      <c r="Z26" s="346"/>
      <c r="AA26" s="346"/>
      <c r="AB26" s="346"/>
      <c r="AC26" s="346"/>
      <c r="AD26" s="346"/>
      <c r="AE26" s="346"/>
      <c r="AF26" s="346"/>
      <c r="AG26" s="346"/>
      <c r="AH26" s="346"/>
      <c r="AI26" s="346"/>
      <c r="AJ26" s="346"/>
      <c r="AK26" s="346"/>
      <c r="AL26" s="346"/>
    </row>
    <row r="27" spans="1:38" ht="20.149999999999999" customHeight="1" x14ac:dyDescent="0.35">
      <c r="A27" s="507">
        <v>19</v>
      </c>
      <c r="B27" s="507">
        <f>PETUNJUK!B27</f>
        <v>0</v>
      </c>
      <c r="C27" s="346"/>
      <c r="D27" s="346"/>
      <c r="E27" s="507">
        <f t="shared" si="0"/>
        <v>0</v>
      </c>
      <c r="F27" s="346"/>
      <c r="G27" s="346"/>
      <c r="H27" s="346"/>
      <c r="I27" s="346"/>
      <c r="J27" s="346"/>
      <c r="K27" s="346"/>
      <c r="L27" s="346"/>
      <c r="M27" s="346"/>
      <c r="N27" s="673"/>
      <c r="O27" s="673"/>
      <c r="P27" s="346"/>
      <c r="Q27" s="346"/>
      <c r="R27" s="346"/>
      <c r="S27" s="346"/>
      <c r="T27" s="346"/>
      <c r="U27" s="346"/>
      <c r="V27" s="346"/>
      <c r="W27" s="346"/>
      <c r="X27" s="346"/>
      <c r="Y27" s="346"/>
      <c r="Z27" s="346"/>
      <c r="AA27" s="346"/>
      <c r="AB27" s="346"/>
      <c r="AC27" s="346"/>
      <c r="AD27" s="346"/>
      <c r="AE27" s="346"/>
      <c r="AF27" s="346"/>
      <c r="AG27" s="346"/>
      <c r="AH27" s="346"/>
      <c r="AI27" s="346"/>
      <c r="AJ27" s="346"/>
      <c r="AK27" s="346"/>
      <c r="AL27" s="346"/>
    </row>
    <row r="28" spans="1:38" ht="20.149999999999999" customHeight="1" x14ac:dyDescent="0.35">
      <c r="A28" s="507">
        <v>20</v>
      </c>
      <c r="B28" s="507">
        <f>PETUNJUK!B28</f>
        <v>0</v>
      </c>
      <c r="C28" s="346"/>
      <c r="D28" s="346"/>
      <c r="E28" s="507">
        <f t="shared" si="0"/>
        <v>0</v>
      </c>
      <c r="F28" s="346"/>
      <c r="G28" s="346"/>
      <c r="H28" s="346"/>
      <c r="I28" s="346"/>
      <c r="J28" s="346"/>
      <c r="K28" s="346"/>
      <c r="L28" s="346"/>
      <c r="M28" s="346"/>
      <c r="N28" s="673"/>
      <c r="O28" s="673"/>
      <c r="P28" s="346"/>
      <c r="Q28" s="346"/>
      <c r="R28" s="346"/>
      <c r="S28" s="346"/>
      <c r="T28" s="346"/>
      <c r="U28" s="346"/>
      <c r="V28" s="346"/>
      <c r="W28" s="346"/>
      <c r="X28" s="346"/>
      <c r="Y28" s="346"/>
      <c r="Z28" s="346"/>
      <c r="AA28" s="346"/>
      <c r="AB28" s="346"/>
      <c r="AC28" s="346"/>
      <c r="AD28" s="346"/>
      <c r="AE28" s="346"/>
      <c r="AF28" s="346"/>
      <c r="AG28" s="346"/>
      <c r="AH28" s="346"/>
      <c r="AI28" s="346"/>
      <c r="AJ28" s="346"/>
      <c r="AK28" s="346"/>
      <c r="AL28" s="346"/>
    </row>
    <row r="29" spans="1:38" ht="20.149999999999999" customHeight="1" x14ac:dyDescent="0.35">
      <c r="A29" s="507">
        <v>21</v>
      </c>
      <c r="B29" s="507">
        <f>PETUNJUK!B29</f>
        <v>0</v>
      </c>
      <c r="C29" s="346"/>
      <c r="D29" s="346"/>
      <c r="E29" s="507">
        <f t="shared" si="0"/>
        <v>0</v>
      </c>
      <c r="F29" s="346"/>
      <c r="G29" s="346"/>
      <c r="H29" s="346"/>
      <c r="I29" s="346"/>
      <c r="J29" s="346"/>
      <c r="K29" s="346"/>
      <c r="L29" s="346"/>
      <c r="M29" s="346"/>
      <c r="N29" s="673"/>
      <c r="O29" s="673"/>
      <c r="P29" s="346"/>
      <c r="Q29" s="346"/>
      <c r="R29" s="346"/>
      <c r="S29" s="346"/>
      <c r="T29" s="346"/>
      <c r="U29" s="346"/>
      <c r="V29" s="346"/>
      <c r="W29" s="346"/>
      <c r="X29" s="346"/>
      <c r="Y29" s="346"/>
      <c r="Z29" s="346"/>
      <c r="AA29" s="346"/>
      <c r="AB29" s="346"/>
      <c r="AC29" s="346"/>
      <c r="AD29" s="346"/>
      <c r="AE29" s="346"/>
      <c r="AF29" s="346"/>
      <c r="AG29" s="346"/>
      <c r="AH29" s="346"/>
      <c r="AI29" s="346"/>
      <c r="AJ29" s="346"/>
      <c r="AK29" s="346"/>
      <c r="AL29" s="346"/>
    </row>
    <row r="30" spans="1:38" ht="20.149999999999999" customHeight="1" thickBot="1" x14ac:dyDescent="0.4">
      <c r="A30" s="512">
        <v>22</v>
      </c>
      <c r="B30" s="512">
        <f>PETUNJUK!B30</f>
        <v>0</v>
      </c>
      <c r="C30" s="509"/>
      <c r="D30" s="509"/>
      <c r="E30" s="507">
        <f t="shared" si="0"/>
        <v>0</v>
      </c>
      <c r="F30" s="509"/>
      <c r="G30" s="509"/>
      <c r="H30" s="509"/>
      <c r="I30" s="509"/>
      <c r="J30" s="509"/>
      <c r="K30" s="509"/>
      <c r="L30" s="509"/>
      <c r="M30" s="346"/>
      <c r="N30" s="675"/>
      <c r="O30" s="675"/>
      <c r="P30" s="509"/>
      <c r="Q30" s="509"/>
      <c r="R30" s="509"/>
      <c r="S30" s="509"/>
      <c r="T30" s="509"/>
      <c r="U30" s="509"/>
      <c r="V30" s="509"/>
      <c r="W30" s="509"/>
      <c r="X30" s="509"/>
      <c r="Y30" s="509"/>
      <c r="Z30" s="509"/>
      <c r="AA30" s="509"/>
      <c r="AB30" s="509"/>
      <c r="AC30" s="509"/>
      <c r="AD30" s="346"/>
      <c r="AE30" s="509"/>
      <c r="AF30" s="509"/>
      <c r="AG30" s="509"/>
      <c r="AH30" s="509"/>
      <c r="AI30" s="509"/>
      <c r="AJ30" s="509"/>
      <c r="AK30" s="509"/>
      <c r="AL30" s="509"/>
    </row>
    <row r="31" spans="1:38" ht="20.149999999999999" customHeight="1" thickBot="1" x14ac:dyDescent="0.4">
      <c r="A31" s="744" t="s">
        <v>18</v>
      </c>
      <c r="B31" s="745"/>
      <c r="C31" s="513">
        <f>SUM(C9:C30)</f>
        <v>1067</v>
      </c>
      <c r="D31" s="513">
        <f t="shared" ref="D31:AL31" si="12">SUM(D9:D30)</f>
        <v>1018.5</v>
      </c>
      <c r="E31" s="513">
        <f t="shared" ref="E31" si="13">20%*C31</f>
        <v>213.4</v>
      </c>
      <c r="F31" s="513">
        <f t="shared" si="12"/>
        <v>101</v>
      </c>
      <c r="G31" s="513">
        <f t="shared" si="12"/>
        <v>17</v>
      </c>
      <c r="H31" s="513">
        <f t="shared" si="12"/>
        <v>90</v>
      </c>
      <c r="I31" s="513">
        <f t="shared" si="12"/>
        <v>90</v>
      </c>
      <c r="J31" s="513">
        <f t="shared" si="12"/>
        <v>72</v>
      </c>
      <c r="K31" s="513">
        <f t="shared" si="12"/>
        <v>78</v>
      </c>
      <c r="L31" s="513">
        <f t="shared" si="12"/>
        <v>76</v>
      </c>
      <c r="M31" s="513">
        <f t="shared" si="12"/>
        <v>88</v>
      </c>
      <c r="N31" s="513">
        <f t="shared" si="12"/>
        <v>85</v>
      </c>
      <c r="O31" s="513">
        <f t="shared" si="12"/>
        <v>89</v>
      </c>
      <c r="P31" s="513">
        <f t="shared" si="12"/>
        <v>84</v>
      </c>
      <c r="Q31" s="513">
        <f t="shared" si="12"/>
        <v>0</v>
      </c>
      <c r="R31" s="513">
        <f t="shared" si="12"/>
        <v>0</v>
      </c>
      <c r="S31" s="513">
        <f t="shared" si="12"/>
        <v>21</v>
      </c>
      <c r="T31" s="513">
        <f t="shared" si="12"/>
        <v>36</v>
      </c>
      <c r="U31" s="513">
        <f t="shared" si="12"/>
        <v>44</v>
      </c>
      <c r="V31" s="513">
        <f t="shared" si="12"/>
        <v>101</v>
      </c>
      <c r="W31" s="513">
        <f t="shared" si="12"/>
        <v>101</v>
      </c>
      <c r="X31" s="513">
        <f t="shared" si="12"/>
        <v>72</v>
      </c>
      <c r="Y31" s="513">
        <f t="shared" si="12"/>
        <v>18</v>
      </c>
      <c r="Z31" s="513">
        <f t="shared" si="12"/>
        <v>11</v>
      </c>
      <c r="AA31" s="513">
        <f t="shared" si="12"/>
        <v>18</v>
      </c>
      <c r="AB31" s="513">
        <f t="shared" si="12"/>
        <v>90</v>
      </c>
      <c r="AC31" s="513">
        <f t="shared" si="12"/>
        <v>90</v>
      </c>
      <c r="AD31" s="513">
        <f t="shared" si="12"/>
        <v>0</v>
      </c>
      <c r="AE31" s="513">
        <f t="shared" si="12"/>
        <v>0</v>
      </c>
      <c r="AF31" s="513">
        <f t="shared" si="12"/>
        <v>16</v>
      </c>
      <c r="AG31" s="513">
        <f t="shared" si="12"/>
        <v>90</v>
      </c>
      <c r="AH31" s="513">
        <f t="shared" si="12"/>
        <v>90</v>
      </c>
      <c r="AI31" s="513">
        <f t="shared" si="12"/>
        <v>90</v>
      </c>
      <c r="AJ31" s="513">
        <f t="shared" si="12"/>
        <v>90</v>
      </c>
      <c r="AK31" s="513">
        <f t="shared" si="12"/>
        <v>90</v>
      </c>
      <c r="AL31" s="513">
        <f t="shared" si="12"/>
        <v>90</v>
      </c>
    </row>
    <row r="32" spans="1:38" ht="15.5" x14ac:dyDescent="0.35">
      <c r="A32" s="514"/>
      <c r="B32" s="514"/>
      <c r="C32" s="514"/>
      <c r="D32" s="514"/>
      <c r="E32" s="514"/>
      <c r="F32" s="514"/>
      <c r="G32" s="514"/>
      <c r="H32" s="514"/>
      <c r="I32" s="514"/>
      <c r="J32" s="514"/>
      <c r="K32" s="514"/>
      <c r="L32" s="514"/>
      <c r="M32" s="514"/>
      <c r="N32" s="514"/>
      <c r="O32" s="514"/>
      <c r="P32" s="514"/>
      <c r="Q32" s="514"/>
      <c r="R32" s="514"/>
      <c r="S32" s="514"/>
      <c r="T32" s="514"/>
      <c r="U32" s="514"/>
      <c r="V32" s="514"/>
      <c r="W32" s="514"/>
      <c r="X32" s="514"/>
      <c r="Y32" s="514"/>
      <c r="Z32" s="514"/>
      <c r="AA32" s="514"/>
      <c r="AB32" s="514"/>
      <c r="AC32" s="514"/>
      <c r="AD32" s="514"/>
      <c r="AE32" s="514"/>
      <c r="AF32" s="514"/>
      <c r="AG32" s="514"/>
      <c r="AH32" s="514"/>
      <c r="AI32" s="514"/>
      <c r="AJ32" s="514"/>
      <c r="AK32" s="514"/>
      <c r="AL32" s="514"/>
    </row>
    <row r="33" spans="1:38" ht="15.5" x14ac:dyDescent="0.35">
      <c r="A33" s="514"/>
      <c r="B33" s="514"/>
      <c r="C33" s="514"/>
      <c r="D33" s="514"/>
      <c r="E33" s="514"/>
      <c r="F33" s="514"/>
      <c r="G33" s="514"/>
      <c r="H33" s="514"/>
      <c r="I33" s="514"/>
      <c r="J33" s="514"/>
      <c r="K33" s="514"/>
      <c r="L33" s="514"/>
      <c r="M33" s="514"/>
      <c r="N33" s="514"/>
      <c r="O33" s="514"/>
      <c r="P33" s="514"/>
      <c r="Q33" s="514"/>
      <c r="R33" s="514"/>
      <c r="S33" s="514"/>
      <c r="T33" s="514"/>
      <c r="U33" s="514"/>
      <c r="V33" s="514"/>
      <c r="W33" s="514"/>
      <c r="X33" s="514"/>
      <c r="Y33" s="514"/>
      <c r="Z33" s="514"/>
      <c r="AA33" s="514"/>
      <c r="AB33" s="514"/>
      <c r="AC33" s="514"/>
      <c r="AD33" s="514"/>
      <c r="AE33" s="514"/>
      <c r="AF33" s="514"/>
      <c r="AG33" s="514"/>
      <c r="AH33" s="514"/>
      <c r="AI33" s="514"/>
      <c r="AJ33" s="514"/>
      <c r="AK33" s="514"/>
      <c r="AL33" s="514"/>
    </row>
    <row r="34" spans="1:38" ht="15.5" x14ac:dyDescent="0.35">
      <c r="A34" s="514"/>
      <c r="B34" s="514"/>
      <c r="C34" s="514"/>
      <c r="D34" s="514"/>
      <c r="E34" s="514"/>
      <c r="F34" s="514"/>
      <c r="G34" s="514"/>
      <c r="H34" s="514"/>
      <c r="I34" s="514"/>
      <c r="J34" s="514"/>
      <c r="K34" s="514"/>
      <c r="L34" s="514"/>
      <c r="M34" s="514"/>
      <c r="N34" s="514"/>
      <c r="O34" s="514"/>
      <c r="P34" s="514"/>
      <c r="Q34" s="514"/>
      <c r="R34" s="514"/>
      <c r="S34" s="514"/>
      <c r="T34" s="514"/>
      <c r="U34" s="514"/>
      <c r="V34" s="514"/>
      <c r="W34" s="514"/>
      <c r="X34" s="514"/>
      <c r="Y34" s="514"/>
      <c r="Z34" s="514"/>
      <c r="AA34" s="514"/>
      <c r="AB34" s="514"/>
      <c r="AC34" s="514"/>
      <c r="AD34" s="514"/>
      <c r="AE34" s="514"/>
      <c r="AF34" s="514"/>
      <c r="AG34" s="514"/>
      <c r="AH34" s="514"/>
      <c r="AI34" s="514"/>
      <c r="AJ34" s="514"/>
      <c r="AK34" s="514"/>
      <c r="AL34" s="514"/>
    </row>
    <row r="35" spans="1:38" ht="15.5" x14ac:dyDescent="0.35">
      <c r="A35" s="731" t="s">
        <v>239</v>
      </c>
      <c r="B35" s="731"/>
      <c r="C35" s="731"/>
      <c r="D35" s="731"/>
      <c r="E35" s="731"/>
      <c r="F35" s="731"/>
      <c r="G35" s="731"/>
      <c r="H35" s="731"/>
      <c r="I35" s="731"/>
      <c r="J35" s="731"/>
      <c r="K35" s="731"/>
      <c r="L35" s="731"/>
      <c r="M35" s="731"/>
      <c r="N35" s="731"/>
      <c r="O35" s="731"/>
      <c r="P35" s="731"/>
      <c r="Q35" s="731"/>
      <c r="R35" s="731"/>
      <c r="S35" s="731"/>
      <c r="T35" s="731"/>
      <c r="U35" s="731"/>
      <c r="V35" s="731"/>
      <c r="W35" s="731"/>
      <c r="X35" s="731"/>
      <c r="Y35" s="731"/>
      <c r="Z35" s="731"/>
      <c r="AA35" s="731"/>
      <c r="AB35" s="731"/>
      <c r="AC35" s="731"/>
      <c r="AD35" s="731"/>
      <c r="AE35" s="731"/>
      <c r="AF35" s="731"/>
      <c r="AG35" s="731"/>
      <c r="AH35" s="731"/>
      <c r="AI35" s="505"/>
      <c r="AJ35" s="505"/>
      <c r="AK35" s="505"/>
      <c r="AL35" s="505"/>
    </row>
    <row r="36" spans="1:38" ht="15.5" x14ac:dyDescent="0.35">
      <c r="A36" s="505"/>
      <c r="B36" s="505"/>
      <c r="C36" s="505"/>
      <c r="D36" s="505"/>
      <c r="E36" s="505"/>
      <c r="F36" s="505"/>
      <c r="G36" s="505"/>
      <c r="H36" s="505"/>
      <c r="I36" s="505"/>
      <c r="J36" s="505"/>
      <c r="K36" s="505"/>
      <c r="L36" s="505"/>
      <c r="M36" s="505"/>
      <c r="N36" s="505"/>
      <c r="O36" s="505"/>
      <c r="P36" s="505"/>
      <c r="Q36" s="505"/>
      <c r="R36" s="505"/>
      <c r="S36" s="505"/>
      <c r="T36" s="505"/>
      <c r="U36" s="505"/>
      <c r="V36" s="505"/>
      <c r="W36" s="505"/>
      <c r="X36" s="505"/>
      <c r="Y36" s="505"/>
      <c r="Z36" s="505"/>
      <c r="AA36" s="505"/>
      <c r="AB36" s="505"/>
      <c r="AC36" s="505"/>
      <c r="AD36" s="505"/>
      <c r="AE36" s="505"/>
      <c r="AF36" s="505"/>
      <c r="AG36" s="505"/>
      <c r="AH36" s="505"/>
      <c r="AI36" s="505"/>
      <c r="AJ36" s="505"/>
      <c r="AK36" s="505"/>
      <c r="AL36" s="505"/>
    </row>
    <row r="37" spans="1:38" ht="15.5" x14ac:dyDescent="0.35">
      <c r="A37" s="504" t="s">
        <v>168</v>
      </c>
      <c r="B37" s="504"/>
      <c r="C37" s="679" t="str">
        <f>PETUNJUK!C5</f>
        <v>PECANGAAN</v>
      </c>
      <c r="D37" s="504"/>
      <c r="E37" s="504"/>
      <c r="F37" s="504"/>
      <c r="G37" s="504"/>
      <c r="H37" s="504"/>
      <c r="I37" s="504"/>
      <c r="J37" s="504"/>
      <c r="K37" s="504"/>
      <c r="L37" s="504"/>
      <c r="M37" s="504"/>
      <c r="N37" s="504"/>
      <c r="O37" s="504"/>
      <c r="P37" s="504"/>
      <c r="Q37" s="504"/>
      <c r="R37" s="504"/>
      <c r="S37" s="504"/>
      <c r="T37" s="504"/>
      <c r="U37" s="504"/>
      <c r="V37" s="504"/>
      <c r="W37" s="504"/>
      <c r="X37" s="504"/>
      <c r="Y37" s="504"/>
      <c r="Z37" s="504"/>
      <c r="AA37" s="504"/>
      <c r="AB37" s="504"/>
      <c r="AC37" s="504"/>
      <c r="AD37" s="504"/>
      <c r="AE37" s="504"/>
      <c r="AF37" s="504"/>
      <c r="AG37" s="504"/>
      <c r="AH37" s="504"/>
      <c r="AI37" s="505"/>
      <c r="AJ37" s="505"/>
      <c r="AK37" s="505"/>
      <c r="AL37" s="505"/>
    </row>
    <row r="38" spans="1:38" ht="15.5" x14ac:dyDescent="0.35">
      <c r="A38" s="504" t="s">
        <v>169</v>
      </c>
      <c r="B38" s="504"/>
      <c r="C38" s="504" t="s">
        <v>394</v>
      </c>
      <c r="D38" s="504"/>
      <c r="E38" s="504"/>
      <c r="F38" s="504"/>
      <c r="G38" s="504"/>
      <c r="H38" s="504"/>
      <c r="I38" s="504"/>
      <c r="J38" s="504"/>
      <c r="K38" s="504"/>
      <c r="L38" s="504"/>
      <c r="M38" s="504"/>
      <c r="N38" s="504"/>
      <c r="O38" s="504"/>
      <c r="P38" s="504"/>
      <c r="Q38" s="504"/>
      <c r="R38" s="504"/>
      <c r="S38" s="504"/>
      <c r="T38" s="504"/>
      <c r="U38" s="504"/>
      <c r="V38" s="504"/>
      <c r="W38" s="504"/>
      <c r="X38" s="504"/>
      <c r="Y38" s="504"/>
      <c r="Z38" s="504"/>
      <c r="AA38" s="504"/>
      <c r="AB38" s="504"/>
      <c r="AC38" s="504"/>
      <c r="AD38" s="504"/>
      <c r="AE38" s="504"/>
      <c r="AF38" s="504"/>
      <c r="AG38" s="504"/>
      <c r="AH38" s="504"/>
      <c r="AI38" s="505"/>
      <c r="AJ38" s="505"/>
      <c r="AK38" s="505"/>
      <c r="AL38" s="505"/>
    </row>
    <row r="39" spans="1:38" ht="15.5" x14ac:dyDescent="0.35">
      <c r="A39" s="505"/>
      <c r="B39" s="505"/>
      <c r="C39" s="505"/>
      <c r="D39" s="505"/>
      <c r="E39" s="505"/>
      <c r="F39" s="505"/>
      <c r="G39" s="505"/>
      <c r="H39" s="505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Y39" s="505"/>
      <c r="Z39" s="505"/>
      <c r="AA39" s="505"/>
      <c r="AB39" s="505"/>
      <c r="AC39" s="505"/>
      <c r="AD39" s="505"/>
      <c r="AE39" s="505"/>
      <c r="AF39" s="505"/>
      <c r="AG39" s="505"/>
      <c r="AH39" s="505"/>
      <c r="AI39" s="505"/>
      <c r="AJ39" s="505"/>
      <c r="AK39" s="505"/>
      <c r="AL39" s="505"/>
    </row>
    <row r="40" spans="1:38" s="15" customFormat="1" ht="27" customHeight="1" x14ac:dyDescent="0.35">
      <c r="A40" s="754" t="s">
        <v>1</v>
      </c>
      <c r="B40" s="754" t="s">
        <v>2</v>
      </c>
      <c r="C40" s="754" t="s">
        <v>174</v>
      </c>
      <c r="D40" s="754"/>
      <c r="E40" s="754"/>
      <c r="F40" s="755" t="s">
        <v>8</v>
      </c>
      <c r="G40" s="759" t="s">
        <v>295</v>
      </c>
      <c r="H40" s="759" t="s">
        <v>296</v>
      </c>
      <c r="I40" s="759" t="s">
        <v>297</v>
      </c>
      <c r="J40" s="739" t="s">
        <v>9</v>
      </c>
      <c r="K40" s="759" t="s">
        <v>298</v>
      </c>
      <c r="L40" s="760" t="s">
        <v>299</v>
      </c>
      <c r="M40" s="758" t="s">
        <v>289</v>
      </c>
      <c r="N40" s="758" t="s">
        <v>422</v>
      </c>
      <c r="O40" s="758" t="s">
        <v>423</v>
      </c>
      <c r="P40" s="739" t="s">
        <v>290</v>
      </c>
      <c r="Q40" s="752" t="s">
        <v>230</v>
      </c>
      <c r="R40" s="753"/>
      <c r="S40" s="753"/>
      <c r="T40" s="753"/>
      <c r="U40" s="753"/>
      <c r="V40" s="753"/>
      <c r="W40" s="755" t="s">
        <v>15</v>
      </c>
      <c r="X40" s="739" t="s">
        <v>16</v>
      </c>
      <c r="Y40" s="735" t="s">
        <v>231</v>
      </c>
      <c r="Z40" s="735"/>
      <c r="AA40" s="736" t="s">
        <v>240</v>
      </c>
      <c r="AB40" s="735" t="s">
        <v>4</v>
      </c>
      <c r="AC40" s="735"/>
      <c r="AD40" s="735"/>
      <c r="AE40" s="735"/>
      <c r="AF40" s="728" t="s">
        <v>237</v>
      </c>
      <c r="AG40" s="736" t="s">
        <v>23</v>
      </c>
      <c r="AH40" s="755" t="s">
        <v>3</v>
      </c>
      <c r="AI40" s="763" t="s">
        <v>238</v>
      </c>
      <c r="AJ40" s="764"/>
      <c r="AK40" s="764"/>
      <c r="AL40" s="765"/>
    </row>
    <row r="41" spans="1:38" s="15" customFormat="1" ht="24.75" customHeight="1" x14ac:dyDescent="0.35">
      <c r="A41" s="754"/>
      <c r="B41" s="754"/>
      <c r="C41" s="732" t="s">
        <v>5</v>
      </c>
      <c r="D41" s="732" t="s">
        <v>6</v>
      </c>
      <c r="E41" s="732" t="s">
        <v>133</v>
      </c>
      <c r="F41" s="756"/>
      <c r="G41" s="756"/>
      <c r="H41" s="756"/>
      <c r="I41" s="756"/>
      <c r="J41" s="740"/>
      <c r="K41" s="756"/>
      <c r="L41" s="761"/>
      <c r="M41" s="758"/>
      <c r="N41" s="758"/>
      <c r="O41" s="758"/>
      <c r="P41" s="740"/>
      <c r="Q41" s="732" t="s">
        <v>10</v>
      </c>
      <c r="R41" s="732" t="s">
        <v>11</v>
      </c>
      <c r="S41" s="732" t="s">
        <v>12</v>
      </c>
      <c r="T41" s="732" t="s">
        <v>13</v>
      </c>
      <c r="U41" s="732" t="s">
        <v>14</v>
      </c>
      <c r="V41" s="746" t="s">
        <v>227</v>
      </c>
      <c r="W41" s="756"/>
      <c r="X41" s="740"/>
      <c r="Y41" s="748" t="s">
        <v>228</v>
      </c>
      <c r="Z41" s="748" t="s">
        <v>229</v>
      </c>
      <c r="AA41" s="737"/>
      <c r="AB41" s="749" t="s">
        <v>232</v>
      </c>
      <c r="AC41" s="750"/>
      <c r="AD41" s="751"/>
      <c r="AE41" s="733" t="s">
        <v>236</v>
      </c>
      <c r="AF41" s="729"/>
      <c r="AG41" s="737"/>
      <c r="AH41" s="756"/>
      <c r="AI41" s="742" t="s">
        <v>166</v>
      </c>
      <c r="AJ41" s="742" t="s">
        <v>167</v>
      </c>
      <c r="AK41" s="742" t="s">
        <v>134</v>
      </c>
      <c r="AL41" s="742" t="s">
        <v>291</v>
      </c>
    </row>
    <row r="42" spans="1:38" s="15" customFormat="1" ht="70.5" customHeight="1" x14ac:dyDescent="0.35">
      <c r="A42" s="754"/>
      <c r="B42" s="754"/>
      <c r="C42" s="732"/>
      <c r="D42" s="732"/>
      <c r="E42" s="732"/>
      <c r="F42" s="757"/>
      <c r="G42" s="757"/>
      <c r="H42" s="757"/>
      <c r="I42" s="757"/>
      <c r="J42" s="741"/>
      <c r="K42" s="757"/>
      <c r="L42" s="762"/>
      <c r="M42" s="758"/>
      <c r="N42" s="758"/>
      <c r="O42" s="758"/>
      <c r="P42" s="741"/>
      <c r="Q42" s="732"/>
      <c r="R42" s="732"/>
      <c r="S42" s="732"/>
      <c r="T42" s="732"/>
      <c r="U42" s="732"/>
      <c r="V42" s="747"/>
      <c r="W42" s="757"/>
      <c r="X42" s="741"/>
      <c r="Y42" s="748"/>
      <c r="Z42" s="748"/>
      <c r="AA42" s="738"/>
      <c r="AB42" s="506" t="s">
        <v>233</v>
      </c>
      <c r="AC42" s="681" t="s">
        <v>234</v>
      </c>
      <c r="AD42" s="681" t="s">
        <v>235</v>
      </c>
      <c r="AE42" s="734"/>
      <c r="AF42" s="730"/>
      <c r="AG42" s="738"/>
      <c r="AH42" s="757"/>
      <c r="AI42" s="743"/>
      <c r="AJ42" s="743"/>
      <c r="AK42" s="743"/>
      <c r="AL42" s="743"/>
    </row>
    <row r="43" spans="1:38" ht="20.149999999999999" customHeight="1" x14ac:dyDescent="0.35">
      <c r="A43" s="507">
        <v>1</v>
      </c>
      <c r="B43" s="702" t="str">
        <f>PETUNJUK!B9</f>
        <v>Pecangaan Kulon</v>
      </c>
      <c r="C43" s="507">
        <f>C9</f>
        <v>101.2</v>
      </c>
      <c r="D43" s="507">
        <f t="shared" ref="D43:E43" si="14">D9</f>
        <v>96.600000000000009</v>
      </c>
      <c r="E43" s="507">
        <f t="shared" si="14"/>
        <v>20.240000000000002</v>
      </c>
      <c r="F43" s="346">
        <v>8</v>
      </c>
      <c r="G43" s="515">
        <v>0</v>
      </c>
      <c r="H43" s="515">
        <v>8</v>
      </c>
      <c r="I43" s="515">
        <v>8</v>
      </c>
      <c r="J43" s="346">
        <v>7</v>
      </c>
      <c r="K43" s="346">
        <v>6</v>
      </c>
      <c r="L43" s="346">
        <v>6</v>
      </c>
      <c r="M43" s="346">
        <v>8</v>
      </c>
      <c r="N43" s="673">
        <v>8</v>
      </c>
      <c r="O43" s="673">
        <v>8</v>
      </c>
      <c r="P43" s="346">
        <v>5</v>
      </c>
      <c r="Q43" s="346"/>
      <c r="R43" s="346"/>
      <c r="S43" s="346"/>
      <c r="T43" s="346">
        <v>5</v>
      </c>
      <c r="U43" s="346">
        <v>3</v>
      </c>
      <c r="V43" s="346">
        <f t="shared" ref="V43:V54" si="15">SUM(R43:U43)</f>
        <v>8</v>
      </c>
      <c r="W43" s="346">
        <f t="shared" ref="W43:W54" si="16">F43</f>
        <v>8</v>
      </c>
      <c r="X43" s="346">
        <f t="shared" ref="X43:X54" si="17">J43</f>
        <v>7</v>
      </c>
      <c r="Y43" s="346">
        <v>3</v>
      </c>
      <c r="Z43" s="346">
        <v>1</v>
      </c>
      <c r="AA43" s="346">
        <f>Y43</f>
        <v>3</v>
      </c>
      <c r="AB43" s="346">
        <v>7</v>
      </c>
      <c r="AC43" s="346">
        <f>AB43</f>
        <v>7</v>
      </c>
      <c r="AD43" s="346"/>
      <c r="AE43" s="346"/>
      <c r="AF43" s="346">
        <f>'3.Komplikasi'!AJ42</f>
        <v>4</v>
      </c>
      <c r="AG43" s="346">
        <f t="shared" ref="AG43:AG54" si="18">AB43</f>
        <v>7</v>
      </c>
      <c r="AH43" s="346">
        <f t="shared" ref="AH43:AH54" si="19">AB43</f>
        <v>7</v>
      </c>
      <c r="AI43" s="346">
        <f t="shared" ref="AI43:AI54" si="20">AB43</f>
        <v>7</v>
      </c>
      <c r="AJ43" s="346">
        <f t="shared" ref="AJ43:AJ54" si="21">AB43</f>
        <v>7</v>
      </c>
      <c r="AK43" s="346">
        <f t="shared" ref="AK43:AK54" si="22">AB43</f>
        <v>7</v>
      </c>
      <c r="AL43" s="346">
        <f t="shared" ref="AL43:AL54" si="23">AB43</f>
        <v>7</v>
      </c>
    </row>
    <row r="44" spans="1:38" ht="20.149999999999999" customHeight="1" x14ac:dyDescent="0.35">
      <c r="A44" s="507">
        <v>2</v>
      </c>
      <c r="B44" s="702" t="str">
        <f>PETUNJUK!B10</f>
        <v>Rengging</v>
      </c>
      <c r="C44" s="507">
        <f t="shared" ref="C44:E44" si="24">C10</f>
        <v>111.10000000000001</v>
      </c>
      <c r="D44" s="507">
        <f t="shared" si="24"/>
        <v>106.05000000000001</v>
      </c>
      <c r="E44" s="507">
        <f t="shared" si="24"/>
        <v>22.220000000000002</v>
      </c>
      <c r="F44" s="346">
        <v>6</v>
      </c>
      <c r="G44" s="515">
        <v>2</v>
      </c>
      <c r="H44" s="515">
        <v>6</v>
      </c>
      <c r="I44" s="515">
        <v>6</v>
      </c>
      <c r="J44" s="346">
        <v>4</v>
      </c>
      <c r="K44" s="346">
        <v>6</v>
      </c>
      <c r="L44" s="346">
        <v>6</v>
      </c>
      <c r="M44" s="346">
        <v>6</v>
      </c>
      <c r="N44" s="673">
        <v>3</v>
      </c>
      <c r="O44" s="673">
        <v>6</v>
      </c>
      <c r="P44" s="346">
        <v>5</v>
      </c>
      <c r="Q44" s="346"/>
      <c r="R44" s="346"/>
      <c r="S44" s="346">
        <v>4</v>
      </c>
      <c r="T44" s="346">
        <v>1</v>
      </c>
      <c r="U44" s="346">
        <v>1</v>
      </c>
      <c r="V44" s="346">
        <f t="shared" si="15"/>
        <v>6</v>
      </c>
      <c r="W44" s="346">
        <f t="shared" si="16"/>
        <v>6</v>
      </c>
      <c r="X44" s="346">
        <f t="shared" si="17"/>
        <v>4</v>
      </c>
      <c r="Y44" s="346">
        <v>2</v>
      </c>
      <c r="Z44" s="346">
        <v>1</v>
      </c>
      <c r="AA44" s="346">
        <f t="shared" ref="AA44:AA54" si="25">Y44</f>
        <v>2</v>
      </c>
      <c r="AB44" s="346">
        <v>4</v>
      </c>
      <c r="AC44" s="346">
        <f t="shared" ref="AC44:AC54" si="26">AB44</f>
        <v>4</v>
      </c>
      <c r="AD44" s="346"/>
      <c r="AE44" s="346"/>
      <c r="AF44" s="346">
        <f>'3.Komplikasi'!AJ43</f>
        <v>0</v>
      </c>
      <c r="AG44" s="346">
        <f t="shared" si="18"/>
        <v>4</v>
      </c>
      <c r="AH44" s="346">
        <f t="shared" si="19"/>
        <v>4</v>
      </c>
      <c r="AI44" s="346">
        <f t="shared" si="20"/>
        <v>4</v>
      </c>
      <c r="AJ44" s="346">
        <f t="shared" si="21"/>
        <v>4</v>
      </c>
      <c r="AK44" s="346">
        <f t="shared" si="22"/>
        <v>4</v>
      </c>
      <c r="AL44" s="346">
        <f t="shared" si="23"/>
        <v>4</v>
      </c>
    </row>
    <row r="45" spans="1:38" ht="20.149999999999999" customHeight="1" x14ac:dyDescent="0.35">
      <c r="A45" s="507">
        <v>3</v>
      </c>
      <c r="B45" s="702" t="str">
        <f>PETUNJUK!B11</f>
        <v>Troso</v>
      </c>
      <c r="C45" s="507">
        <f t="shared" ref="C45:E45" si="27">C11</f>
        <v>205.70000000000002</v>
      </c>
      <c r="D45" s="507">
        <f t="shared" si="27"/>
        <v>196.35</v>
      </c>
      <c r="E45" s="507">
        <f t="shared" si="27"/>
        <v>41.140000000000008</v>
      </c>
      <c r="F45" s="346">
        <v>17</v>
      </c>
      <c r="G45" s="515">
        <v>2</v>
      </c>
      <c r="H45" s="515">
        <v>17</v>
      </c>
      <c r="I45" s="515">
        <v>17</v>
      </c>
      <c r="J45" s="346">
        <v>13</v>
      </c>
      <c r="K45" s="346">
        <v>18</v>
      </c>
      <c r="L45" s="346">
        <v>18</v>
      </c>
      <c r="M45" s="346">
        <v>20</v>
      </c>
      <c r="N45" s="673">
        <v>20</v>
      </c>
      <c r="O45" s="673">
        <v>20</v>
      </c>
      <c r="P45" s="346">
        <v>16</v>
      </c>
      <c r="Q45" s="346"/>
      <c r="R45" s="346"/>
      <c r="S45" s="346">
        <v>6</v>
      </c>
      <c r="T45" s="346">
        <v>8</v>
      </c>
      <c r="U45" s="346">
        <v>3</v>
      </c>
      <c r="V45" s="346">
        <f t="shared" si="15"/>
        <v>17</v>
      </c>
      <c r="W45" s="346">
        <f t="shared" si="16"/>
        <v>17</v>
      </c>
      <c r="X45" s="346">
        <f t="shared" si="17"/>
        <v>13</v>
      </c>
      <c r="Y45" s="346">
        <v>4</v>
      </c>
      <c r="Z45" s="346">
        <v>5</v>
      </c>
      <c r="AA45" s="346">
        <f t="shared" si="25"/>
        <v>4</v>
      </c>
      <c r="AB45" s="346">
        <v>17</v>
      </c>
      <c r="AC45" s="346">
        <f t="shared" si="26"/>
        <v>17</v>
      </c>
      <c r="AD45" s="346"/>
      <c r="AE45" s="346"/>
      <c r="AF45" s="346">
        <f>'3.Komplikasi'!AJ44</f>
        <v>2</v>
      </c>
      <c r="AG45" s="346">
        <f t="shared" si="18"/>
        <v>17</v>
      </c>
      <c r="AH45" s="346">
        <f t="shared" si="19"/>
        <v>17</v>
      </c>
      <c r="AI45" s="346">
        <f t="shared" si="20"/>
        <v>17</v>
      </c>
      <c r="AJ45" s="346">
        <f t="shared" si="21"/>
        <v>17</v>
      </c>
      <c r="AK45" s="346">
        <f t="shared" si="22"/>
        <v>17</v>
      </c>
      <c r="AL45" s="346">
        <f t="shared" si="23"/>
        <v>17</v>
      </c>
    </row>
    <row r="46" spans="1:38" ht="20.149999999999999" customHeight="1" x14ac:dyDescent="0.35">
      <c r="A46" s="507">
        <v>4</v>
      </c>
      <c r="B46" s="702" t="str">
        <f>PETUNJUK!B12</f>
        <v>Ngeling</v>
      </c>
      <c r="C46" s="507">
        <f t="shared" ref="C46:E46" si="28">C12</f>
        <v>95.7</v>
      </c>
      <c r="D46" s="507">
        <f t="shared" si="28"/>
        <v>91.350000000000009</v>
      </c>
      <c r="E46" s="507">
        <f t="shared" si="28"/>
        <v>19.14</v>
      </c>
      <c r="F46" s="346">
        <v>4</v>
      </c>
      <c r="G46" s="515">
        <v>0</v>
      </c>
      <c r="H46" s="515">
        <v>9</v>
      </c>
      <c r="I46" s="515">
        <v>9</v>
      </c>
      <c r="J46" s="346">
        <v>6</v>
      </c>
      <c r="K46" s="346">
        <v>8</v>
      </c>
      <c r="L46" s="346">
        <v>8</v>
      </c>
      <c r="M46" s="346">
        <v>5</v>
      </c>
      <c r="N46" s="673">
        <v>6</v>
      </c>
      <c r="O46" s="673">
        <v>5</v>
      </c>
      <c r="P46" s="346">
        <v>2</v>
      </c>
      <c r="Q46" s="346"/>
      <c r="R46" s="346"/>
      <c r="S46" s="346"/>
      <c r="T46" s="346">
        <v>2</v>
      </c>
      <c r="U46" s="346">
        <v>2</v>
      </c>
      <c r="V46" s="346">
        <f t="shared" si="15"/>
        <v>4</v>
      </c>
      <c r="W46" s="346">
        <f t="shared" si="16"/>
        <v>4</v>
      </c>
      <c r="X46" s="346">
        <f t="shared" si="17"/>
        <v>6</v>
      </c>
      <c r="Y46" s="346">
        <v>3</v>
      </c>
      <c r="Z46" s="346">
        <v>3</v>
      </c>
      <c r="AA46" s="346">
        <f t="shared" si="25"/>
        <v>3</v>
      </c>
      <c r="AB46" s="346">
        <v>7</v>
      </c>
      <c r="AC46" s="346">
        <f t="shared" si="26"/>
        <v>7</v>
      </c>
      <c r="AD46" s="346"/>
      <c r="AE46" s="346"/>
      <c r="AF46" s="346">
        <f>'3.Komplikasi'!AJ45</f>
        <v>3</v>
      </c>
      <c r="AG46" s="346">
        <f t="shared" si="18"/>
        <v>7</v>
      </c>
      <c r="AH46" s="346">
        <f t="shared" si="19"/>
        <v>7</v>
      </c>
      <c r="AI46" s="346">
        <f t="shared" si="20"/>
        <v>7</v>
      </c>
      <c r="AJ46" s="346">
        <f t="shared" si="21"/>
        <v>7</v>
      </c>
      <c r="AK46" s="346">
        <f t="shared" si="22"/>
        <v>7</v>
      </c>
      <c r="AL46" s="346">
        <f t="shared" si="23"/>
        <v>7</v>
      </c>
    </row>
    <row r="47" spans="1:38" ht="20.149999999999999" customHeight="1" x14ac:dyDescent="0.35">
      <c r="A47" s="507">
        <v>5</v>
      </c>
      <c r="B47" s="702" t="str">
        <f>PETUNJUK!B13</f>
        <v>Lebuawu</v>
      </c>
      <c r="C47" s="507">
        <f t="shared" ref="C47:E47" si="29">C13</f>
        <v>85.800000000000011</v>
      </c>
      <c r="D47" s="507">
        <f t="shared" si="29"/>
        <v>81.900000000000006</v>
      </c>
      <c r="E47" s="507">
        <f t="shared" si="29"/>
        <v>17.160000000000004</v>
      </c>
      <c r="F47" s="346">
        <v>11</v>
      </c>
      <c r="G47" s="515">
        <v>0</v>
      </c>
      <c r="H47" s="515">
        <v>11</v>
      </c>
      <c r="I47" s="515">
        <v>11</v>
      </c>
      <c r="J47" s="346">
        <v>5</v>
      </c>
      <c r="K47" s="346">
        <v>4</v>
      </c>
      <c r="L47" s="346">
        <v>4</v>
      </c>
      <c r="M47" s="346">
        <v>4</v>
      </c>
      <c r="N47" s="673">
        <v>4</v>
      </c>
      <c r="O47" s="673">
        <v>4</v>
      </c>
      <c r="P47" s="346">
        <v>9</v>
      </c>
      <c r="Q47" s="346"/>
      <c r="R47" s="346"/>
      <c r="S47" s="346"/>
      <c r="T47" s="346">
        <v>1</v>
      </c>
      <c r="U47" s="346">
        <v>10</v>
      </c>
      <c r="V47" s="346">
        <f t="shared" si="15"/>
        <v>11</v>
      </c>
      <c r="W47" s="346">
        <f t="shared" si="16"/>
        <v>11</v>
      </c>
      <c r="X47" s="346">
        <f t="shared" si="17"/>
        <v>5</v>
      </c>
      <c r="Y47" s="346">
        <v>2</v>
      </c>
      <c r="Z47" s="346">
        <v>2</v>
      </c>
      <c r="AA47" s="346">
        <f t="shared" si="25"/>
        <v>2</v>
      </c>
      <c r="AB47" s="346">
        <v>4</v>
      </c>
      <c r="AC47" s="346">
        <f t="shared" si="26"/>
        <v>4</v>
      </c>
      <c r="AD47" s="346"/>
      <c r="AE47" s="346"/>
      <c r="AF47" s="346">
        <f>'3.Komplikasi'!AJ46</f>
        <v>0</v>
      </c>
      <c r="AG47" s="346">
        <f t="shared" si="18"/>
        <v>4</v>
      </c>
      <c r="AH47" s="346">
        <f t="shared" si="19"/>
        <v>4</v>
      </c>
      <c r="AI47" s="346">
        <f t="shared" si="20"/>
        <v>4</v>
      </c>
      <c r="AJ47" s="346">
        <f t="shared" si="21"/>
        <v>4</v>
      </c>
      <c r="AK47" s="346">
        <f t="shared" si="22"/>
        <v>4</v>
      </c>
      <c r="AL47" s="346">
        <f t="shared" si="23"/>
        <v>4</v>
      </c>
    </row>
    <row r="48" spans="1:38" ht="20.149999999999999" customHeight="1" x14ac:dyDescent="0.35">
      <c r="A48" s="507">
        <v>6</v>
      </c>
      <c r="B48" s="702" t="str">
        <f>PETUNJUK!B14</f>
        <v>Pulodarat</v>
      </c>
      <c r="C48" s="507">
        <f t="shared" ref="C48:E48" si="30">C14</f>
        <v>82.5</v>
      </c>
      <c r="D48" s="507">
        <f t="shared" si="30"/>
        <v>78.75</v>
      </c>
      <c r="E48" s="507">
        <f t="shared" si="30"/>
        <v>16.5</v>
      </c>
      <c r="F48" s="346">
        <v>4</v>
      </c>
      <c r="G48" s="515">
        <v>0</v>
      </c>
      <c r="H48" s="515">
        <v>4</v>
      </c>
      <c r="I48" s="515">
        <v>4</v>
      </c>
      <c r="J48" s="346">
        <v>5</v>
      </c>
      <c r="K48" s="346">
        <v>5</v>
      </c>
      <c r="L48" s="346">
        <v>5</v>
      </c>
      <c r="M48" s="346">
        <v>5</v>
      </c>
      <c r="N48" s="673">
        <v>5</v>
      </c>
      <c r="O48" s="673">
        <v>5</v>
      </c>
      <c r="P48" s="346">
        <v>4</v>
      </c>
      <c r="Q48" s="346"/>
      <c r="R48" s="346"/>
      <c r="S48" s="346"/>
      <c r="T48" s="346">
        <v>3</v>
      </c>
      <c r="U48" s="346">
        <v>1</v>
      </c>
      <c r="V48" s="346">
        <f t="shared" si="15"/>
        <v>4</v>
      </c>
      <c r="W48" s="346">
        <f t="shared" si="16"/>
        <v>4</v>
      </c>
      <c r="X48" s="346">
        <f t="shared" si="17"/>
        <v>5</v>
      </c>
      <c r="Y48" s="346">
        <v>0</v>
      </c>
      <c r="Z48" s="346">
        <v>0</v>
      </c>
      <c r="AA48" s="346">
        <f t="shared" si="25"/>
        <v>0</v>
      </c>
      <c r="AB48" s="346">
        <v>4</v>
      </c>
      <c r="AC48" s="346">
        <f t="shared" si="26"/>
        <v>4</v>
      </c>
      <c r="AD48" s="346"/>
      <c r="AE48" s="346"/>
      <c r="AF48" s="346">
        <f>'3.Komplikasi'!AJ47</f>
        <v>2</v>
      </c>
      <c r="AG48" s="346">
        <f t="shared" si="18"/>
        <v>4</v>
      </c>
      <c r="AH48" s="346">
        <f t="shared" si="19"/>
        <v>4</v>
      </c>
      <c r="AI48" s="346">
        <f t="shared" si="20"/>
        <v>4</v>
      </c>
      <c r="AJ48" s="346">
        <f t="shared" si="21"/>
        <v>4</v>
      </c>
      <c r="AK48" s="346">
        <f t="shared" si="22"/>
        <v>4</v>
      </c>
      <c r="AL48" s="346">
        <f t="shared" si="23"/>
        <v>4</v>
      </c>
    </row>
    <row r="49" spans="1:38" ht="20.149999999999999" customHeight="1" x14ac:dyDescent="0.35">
      <c r="A49" s="507">
        <v>7</v>
      </c>
      <c r="B49" s="702" t="str">
        <f>PETUNJUK!B15</f>
        <v>Karangrandu</v>
      </c>
      <c r="C49" s="507">
        <f t="shared" ref="C49:E49" si="31">C15</f>
        <v>93.500000000000014</v>
      </c>
      <c r="D49" s="507">
        <f t="shared" si="31"/>
        <v>89.25</v>
      </c>
      <c r="E49" s="507">
        <f t="shared" si="31"/>
        <v>18.700000000000003</v>
      </c>
      <c r="F49" s="346">
        <v>8</v>
      </c>
      <c r="G49" s="515">
        <v>0</v>
      </c>
      <c r="H49" s="515">
        <v>8</v>
      </c>
      <c r="I49" s="515">
        <v>8</v>
      </c>
      <c r="J49" s="346">
        <v>8</v>
      </c>
      <c r="K49" s="346">
        <v>8</v>
      </c>
      <c r="L49" s="346">
        <v>8</v>
      </c>
      <c r="M49" s="346">
        <v>7</v>
      </c>
      <c r="N49" s="673">
        <v>4</v>
      </c>
      <c r="O49" s="673">
        <v>4</v>
      </c>
      <c r="P49" s="346">
        <v>9</v>
      </c>
      <c r="Q49" s="346"/>
      <c r="R49" s="346"/>
      <c r="S49" s="346"/>
      <c r="T49" s="346">
        <v>3</v>
      </c>
      <c r="U49" s="346">
        <v>5</v>
      </c>
      <c r="V49" s="346">
        <f t="shared" si="15"/>
        <v>8</v>
      </c>
      <c r="W49" s="346">
        <f t="shared" si="16"/>
        <v>8</v>
      </c>
      <c r="X49" s="346">
        <f t="shared" si="17"/>
        <v>8</v>
      </c>
      <c r="Y49" s="346">
        <v>2</v>
      </c>
      <c r="Z49" s="346">
        <v>1</v>
      </c>
      <c r="AA49" s="346">
        <f t="shared" si="25"/>
        <v>2</v>
      </c>
      <c r="AB49" s="346">
        <v>5</v>
      </c>
      <c r="AC49" s="346">
        <f t="shared" si="26"/>
        <v>5</v>
      </c>
      <c r="AD49" s="346"/>
      <c r="AE49" s="346"/>
      <c r="AF49" s="346">
        <f>'3.Komplikasi'!AJ48</f>
        <v>2</v>
      </c>
      <c r="AG49" s="346">
        <v>4</v>
      </c>
      <c r="AH49" s="346">
        <f t="shared" si="19"/>
        <v>5</v>
      </c>
      <c r="AI49" s="346">
        <f t="shared" si="20"/>
        <v>5</v>
      </c>
      <c r="AJ49" s="346">
        <f t="shared" si="21"/>
        <v>5</v>
      </c>
      <c r="AK49" s="346">
        <f t="shared" si="22"/>
        <v>5</v>
      </c>
      <c r="AL49" s="346">
        <f t="shared" si="23"/>
        <v>5</v>
      </c>
    </row>
    <row r="50" spans="1:38" ht="20.149999999999999" customHeight="1" x14ac:dyDescent="0.35">
      <c r="A50" s="507">
        <v>8</v>
      </c>
      <c r="B50" s="702" t="str">
        <f>PETUNJUK!B16</f>
        <v>Kaliombo</v>
      </c>
      <c r="C50" s="507">
        <f t="shared" ref="C50:E50" si="32">C16</f>
        <v>46.2</v>
      </c>
      <c r="D50" s="507">
        <f t="shared" si="32"/>
        <v>44.1</v>
      </c>
      <c r="E50" s="507">
        <f t="shared" si="32"/>
        <v>9.24</v>
      </c>
      <c r="F50" s="346">
        <v>5</v>
      </c>
      <c r="G50" s="515">
        <v>1</v>
      </c>
      <c r="H50" s="515">
        <v>5</v>
      </c>
      <c r="I50" s="515">
        <v>5</v>
      </c>
      <c r="J50" s="346">
        <v>5</v>
      </c>
      <c r="K50" s="346">
        <v>5</v>
      </c>
      <c r="L50" s="346">
        <v>5</v>
      </c>
      <c r="M50" s="346">
        <v>5</v>
      </c>
      <c r="N50" s="673">
        <v>5</v>
      </c>
      <c r="O50" s="673">
        <v>5</v>
      </c>
      <c r="P50" s="346">
        <v>5</v>
      </c>
      <c r="Q50" s="346"/>
      <c r="R50" s="346"/>
      <c r="S50" s="346"/>
      <c r="T50" s="346">
        <v>0</v>
      </c>
      <c r="U50" s="346">
        <v>5</v>
      </c>
      <c r="V50" s="346">
        <f t="shared" si="15"/>
        <v>5</v>
      </c>
      <c r="W50" s="346">
        <f t="shared" si="16"/>
        <v>5</v>
      </c>
      <c r="X50" s="346">
        <f t="shared" si="17"/>
        <v>5</v>
      </c>
      <c r="Y50" s="346">
        <v>1</v>
      </c>
      <c r="Z50" s="346">
        <v>0</v>
      </c>
      <c r="AA50" s="346">
        <f t="shared" si="25"/>
        <v>1</v>
      </c>
      <c r="AB50" s="346">
        <v>5</v>
      </c>
      <c r="AC50" s="346">
        <f t="shared" si="26"/>
        <v>5</v>
      </c>
      <c r="AD50" s="346"/>
      <c r="AE50" s="346"/>
      <c r="AF50" s="346">
        <f>'3.Komplikasi'!AJ49</f>
        <v>3</v>
      </c>
      <c r="AG50" s="346">
        <f t="shared" si="18"/>
        <v>5</v>
      </c>
      <c r="AH50" s="346">
        <f t="shared" si="19"/>
        <v>5</v>
      </c>
      <c r="AI50" s="346">
        <f t="shared" si="20"/>
        <v>5</v>
      </c>
      <c r="AJ50" s="346">
        <f t="shared" si="21"/>
        <v>5</v>
      </c>
      <c r="AK50" s="346">
        <f t="shared" si="22"/>
        <v>5</v>
      </c>
      <c r="AL50" s="346">
        <f t="shared" si="23"/>
        <v>5</v>
      </c>
    </row>
    <row r="51" spans="1:38" ht="20.149999999999999" customHeight="1" x14ac:dyDescent="0.35">
      <c r="A51" s="507">
        <v>9</v>
      </c>
      <c r="B51" s="702" t="str">
        <f>PETUNJUK!B17</f>
        <v>Gemulung</v>
      </c>
      <c r="C51" s="507">
        <f t="shared" ref="C51:E51" si="33">C17</f>
        <v>53.900000000000006</v>
      </c>
      <c r="D51" s="507">
        <f t="shared" si="33"/>
        <v>51.45</v>
      </c>
      <c r="E51" s="507">
        <f t="shared" si="33"/>
        <v>10.780000000000001</v>
      </c>
      <c r="F51" s="346">
        <v>5</v>
      </c>
      <c r="G51" s="515">
        <v>0</v>
      </c>
      <c r="H51" s="515">
        <v>5</v>
      </c>
      <c r="I51" s="515">
        <v>5</v>
      </c>
      <c r="J51" s="346">
        <v>4</v>
      </c>
      <c r="K51" s="346">
        <v>5</v>
      </c>
      <c r="L51" s="346">
        <v>5</v>
      </c>
      <c r="M51" s="346">
        <v>5</v>
      </c>
      <c r="N51" s="673">
        <v>3</v>
      </c>
      <c r="O51" s="673">
        <v>5</v>
      </c>
      <c r="P51" s="346">
        <v>6</v>
      </c>
      <c r="Q51" s="346"/>
      <c r="R51" s="346"/>
      <c r="S51" s="346"/>
      <c r="T51" s="346">
        <v>3</v>
      </c>
      <c r="U51" s="346">
        <v>2</v>
      </c>
      <c r="V51" s="346">
        <f t="shared" si="15"/>
        <v>5</v>
      </c>
      <c r="W51" s="346">
        <f t="shared" si="16"/>
        <v>5</v>
      </c>
      <c r="X51" s="346">
        <f t="shared" si="17"/>
        <v>4</v>
      </c>
      <c r="Y51" s="346">
        <v>0</v>
      </c>
      <c r="Z51" s="346">
        <v>0</v>
      </c>
      <c r="AA51" s="346">
        <f t="shared" si="25"/>
        <v>0</v>
      </c>
      <c r="AB51" s="346">
        <v>5</v>
      </c>
      <c r="AC51" s="346">
        <f t="shared" si="26"/>
        <v>5</v>
      </c>
      <c r="AD51" s="346"/>
      <c r="AE51" s="346"/>
      <c r="AF51" s="346">
        <f>'3.Komplikasi'!AJ50</f>
        <v>1</v>
      </c>
      <c r="AG51" s="346">
        <f t="shared" si="18"/>
        <v>5</v>
      </c>
      <c r="AH51" s="346">
        <f t="shared" si="19"/>
        <v>5</v>
      </c>
      <c r="AI51" s="346">
        <f t="shared" si="20"/>
        <v>5</v>
      </c>
      <c r="AJ51" s="346">
        <f t="shared" si="21"/>
        <v>5</v>
      </c>
      <c r="AK51" s="346">
        <f t="shared" si="22"/>
        <v>5</v>
      </c>
      <c r="AL51" s="346">
        <f t="shared" si="23"/>
        <v>5</v>
      </c>
    </row>
    <row r="52" spans="1:38" ht="20.149999999999999" customHeight="1" x14ac:dyDescent="0.35">
      <c r="A52" s="507">
        <v>6</v>
      </c>
      <c r="B52" s="702" t="str">
        <f>PETUNJUK!B18</f>
        <v>Pecangaan Wetan</v>
      </c>
      <c r="C52" s="507">
        <f t="shared" ref="C52:E52" si="34">C18</f>
        <v>50.6</v>
      </c>
      <c r="D52" s="507">
        <f t="shared" si="34"/>
        <v>48.300000000000004</v>
      </c>
      <c r="E52" s="507">
        <f t="shared" si="34"/>
        <v>10.120000000000001</v>
      </c>
      <c r="F52" s="346">
        <v>6</v>
      </c>
      <c r="G52" s="515">
        <v>0</v>
      </c>
      <c r="H52" s="515">
        <v>6</v>
      </c>
      <c r="I52" s="515">
        <v>6</v>
      </c>
      <c r="J52" s="346">
        <v>4</v>
      </c>
      <c r="K52" s="346">
        <v>3</v>
      </c>
      <c r="L52" s="346">
        <v>3</v>
      </c>
      <c r="M52" s="346">
        <v>3</v>
      </c>
      <c r="N52" s="673">
        <v>3</v>
      </c>
      <c r="O52" s="673">
        <v>3</v>
      </c>
      <c r="P52" s="346">
        <v>13</v>
      </c>
      <c r="Q52" s="346"/>
      <c r="R52" s="346"/>
      <c r="S52" s="346"/>
      <c r="T52" s="346">
        <v>2</v>
      </c>
      <c r="U52" s="346">
        <v>4</v>
      </c>
      <c r="V52" s="346">
        <f t="shared" si="15"/>
        <v>6</v>
      </c>
      <c r="W52" s="346">
        <f t="shared" si="16"/>
        <v>6</v>
      </c>
      <c r="X52" s="346">
        <f t="shared" si="17"/>
        <v>4</v>
      </c>
      <c r="Y52" s="346">
        <v>1</v>
      </c>
      <c r="Z52" s="346">
        <v>0</v>
      </c>
      <c r="AA52" s="346">
        <f t="shared" si="25"/>
        <v>1</v>
      </c>
      <c r="AB52" s="346">
        <v>3</v>
      </c>
      <c r="AC52" s="346">
        <f t="shared" si="26"/>
        <v>3</v>
      </c>
      <c r="AD52" s="346"/>
      <c r="AE52" s="346"/>
      <c r="AF52" s="346">
        <f>'3.Komplikasi'!AJ51</f>
        <v>1</v>
      </c>
      <c r="AG52" s="346">
        <f t="shared" si="18"/>
        <v>3</v>
      </c>
      <c r="AH52" s="346">
        <f t="shared" si="19"/>
        <v>3</v>
      </c>
      <c r="AI52" s="346">
        <f t="shared" si="20"/>
        <v>3</v>
      </c>
      <c r="AJ52" s="346">
        <f t="shared" si="21"/>
        <v>3</v>
      </c>
      <c r="AK52" s="346">
        <f t="shared" si="22"/>
        <v>3</v>
      </c>
      <c r="AL52" s="346">
        <f t="shared" si="23"/>
        <v>3</v>
      </c>
    </row>
    <row r="53" spans="1:38" ht="20.149999999999999" customHeight="1" x14ac:dyDescent="0.35">
      <c r="A53" s="507">
        <v>11</v>
      </c>
      <c r="B53" s="702" t="str">
        <f>PETUNJUK!B19</f>
        <v>Krasak</v>
      </c>
      <c r="C53" s="507">
        <f t="shared" ref="C53:E53" si="35">C19</f>
        <v>117.7</v>
      </c>
      <c r="D53" s="507">
        <f t="shared" si="35"/>
        <v>112.35000000000001</v>
      </c>
      <c r="E53" s="507">
        <f t="shared" si="35"/>
        <v>23.540000000000003</v>
      </c>
      <c r="F53" s="346">
        <v>10</v>
      </c>
      <c r="G53" s="515">
        <v>1</v>
      </c>
      <c r="H53" s="515">
        <v>10</v>
      </c>
      <c r="I53" s="515">
        <v>10</v>
      </c>
      <c r="J53" s="346">
        <v>7</v>
      </c>
      <c r="K53" s="346">
        <v>4</v>
      </c>
      <c r="L53" s="346">
        <v>4</v>
      </c>
      <c r="M53" s="346">
        <v>10</v>
      </c>
      <c r="N53" s="673">
        <v>7</v>
      </c>
      <c r="O53" s="673">
        <v>10</v>
      </c>
      <c r="P53" s="346">
        <v>2</v>
      </c>
      <c r="Q53" s="346"/>
      <c r="R53" s="346"/>
      <c r="S53" s="346"/>
      <c r="T53" s="346">
        <v>7</v>
      </c>
      <c r="U53" s="346">
        <v>3</v>
      </c>
      <c r="V53" s="346">
        <f t="shared" si="15"/>
        <v>10</v>
      </c>
      <c r="W53" s="346">
        <f t="shared" si="16"/>
        <v>10</v>
      </c>
      <c r="X53" s="346">
        <f t="shared" si="17"/>
        <v>7</v>
      </c>
      <c r="Y53" s="346">
        <v>1</v>
      </c>
      <c r="Z53" s="346">
        <v>1</v>
      </c>
      <c r="AA53" s="346">
        <f t="shared" si="25"/>
        <v>1</v>
      </c>
      <c r="AB53" s="346">
        <v>6</v>
      </c>
      <c r="AC53" s="346">
        <f t="shared" si="26"/>
        <v>6</v>
      </c>
      <c r="AD53" s="346"/>
      <c r="AE53" s="346"/>
      <c r="AF53" s="346">
        <f>'3.Komplikasi'!AJ52</f>
        <v>1</v>
      </c>
      <c r="AG53" s="346">
        <f t="shared" si="18"/>
        <v>6</v>
      </c>
      <c r="AH53" s="346">
        <f t="shared" si="19"/>
        <v>6</v>
      </c>
      <c r="AI53" s="346">
        <f t="shared" si="20"/>
        <v>6</v>
      </c>
      <c r="AJ53" s="346">
        <f t="shared" si="21"/>
        <v>6</v>
      </c>
      <c r="AK53" s="346">
        <f t="shared" si="22"/>
        <v>6</v>
      </c>
      <c r="AL53" s="346">
        <f t="shared" si="23"/>
        <v>6</v>
      </c>
    </row>
    <row r="54" spans="1:38" ht="20.149999999999999" customHeight="1" x14ac:dyDescent="0.35">
      <c r="A54" s="507">
        <v>12</v>
      </c>
      <c r="B54" s="702" t="str">
        <f>PETUNJUK!B20</f>
        <v>Gerdu</v>
      </c>
      <c r="C54" s="507">
        <f t="shared" ref="C54:E54" si="36">C20</f>
        <v>23.1</v>
      </c>
      <c r="D54" s="507">
        <f t="shared" si="36"/>
        <v>22.05</v>
      </c>
      <c r="E54" s="507">
        <f t="shared" si="36"/>
        <v>4.62</v>
      </c>
      <c r="F54" s="346">
        <v>1</v>
      </c>
      <c r="G54" s="515">
        <v>1</v>
      </c>
      <c r="H54" s="515">
        <v>1</v>
      </c>
      <c r="I54" s="515">
        <v>1</v>
      </c>
      <c r="J54" s="346">
        <v>2</v>
      </c>
      <c r="K54" s="346">
        <v>3</v>
      </c>
      <c r="L54" s="346">
        <v>3</v>
      </c>
      <c r="M54" s="346">
        <v>1</v>
      </c>
      <c r="N54" s="673">
        <v>1</v>
      </c>
      <c r="O54" s="673">
        <v>1</v>
      </c>
      <c r="P54" s="346"/>
      <c r="Q54" s="346"/>
      <c r="R54" s="346"/>
      <c r="S54" s="346"/>
      <c r="T54" s="346">
        <v>0</v>
      </c>
      <c r="U54" s="346">
        <v>1</v>
      </c>
      <c r="V54" s="346">
        <f t="shared" si="15"/>
        <v>1</v>
      </c>
      <c r="W54" s="346">
        <f t="shared" si="16"/>
        <v>1</v>
      </c>
      <c r="X54" s="346">
        <f t="shared" si="17"/>
        <v>2</v>
      </c>
      <c r="Y54" s="346">
        <v>0</v>
      </c>
      <c r="Z54" s="346">
        <v>1</v>
      </c>
      <c r="AA54" s="346">
        <f t="shared" si="25"/>
        <v>0</v>
      </c>
      <c r="AB54" s="346">
        <v>1</v>
      </c>
      <c r="AC54" s="346">
        <f t="shared" si="26"/>
        <v>1</v>
      </c>
      <c r="AD54" s="346"/>
      <c r="AE54" s="346"/>
      <c r="AF54" s="346">
        <f>'3.Komplikasi'!AJ53</f>
        <v>0</v>
      </c>
      <c r="AG54" s="346">
        <f t="shared" si="18"/>
        <v>1</v>
      </c>
      <c r="AH54" s="346">
        <f t="shared" si="19"/>
        <v>1</v>
      </c>
      <c r="AI54" s="346">
        <f t="shared" si="20"/>
        <v>1</v>
      </c>
      <c r="AJ54" s="346">
        <f t="shared" si="21"/>
        <v>1</v>
      </c>
      <c r="AK54" s="346">
        <f t="shared" si="22"/>
        <v>1</v>
      </c>
      <c r="AL54" s="346">
        <f t="shared" si="23"/>
        <v>1</v>
      </c>
    </row>
    <row r="55" spans="1:38" ht="20.149999999999999" customHeight="1" x14ac:dyDescent="0.35">
      <c r="A55" s="507">
        <v>13</v>
      </c>
      <c r="B55" s="507">
        <f>PETUNJUK!B21</f>
        <v>0</v>
      </c>
      <c r="C55" s="507">
        <f t="shared" ref="C55:E55" si="37">C21</f>
        <v>0</v>
      </c>
      <c r="D55" s="507">
        <f t="shared" si="37"/>
        <v>0</v>
      </c>
      <c r="E55" s="507">
        <f t="shared" si="37"/>
        <v>0</v>
      </c>
      <c r="F55" s="346"/>
      <c r="G55" s="515"/>
      <c r="H55" s="515"/>
      <c r="I55" s="515"/>
      <c r="J55" s="346"/>
      <c r="K55" s="346"/>
      <c r="L55" s="346"/>
      <c r="M55" s="346"/>
      <c r="N55" s="673"/>
      <c r="O55" s="673"/>
      <c r="P55" s="346"/>
      <c r="Q55" s="346"/>
      <c r="R55" s="346"/>
      <c r="S55" s="346"/>
      <c r="T55" s="346"/>
      <c r="U55" s="346"/>
      <c r="V55" s="346"/>
      <c r="W55" s="346"/>
      <c r="X55" s="346"/>
      <c r="Y55" s="346"/>
      <c r="Z55" s="346"/>
      <c r="AA55" s="346"/>
      <c r="AB55" s="346"/>
      <c r="AC55" s="346"/>
      <c r="AD55" s="346"/>
      <c r="AE55" s="346"/>
      <c r="AF55" s="346"/>
      <c r="AG55" s="346"/>
      <c r="AH55" s="346"/>
      <c r="AI55" s="346"/>
      <c r="AJ55" s="346"/>
      <c r="AK55" s="346"/>
      <c r="AL55" s="516"/>
    </row>
    <row r="56" spans="1:38" ht="20.149999999999999" customHeight="1" x14ac:dyDescent="0.35">
      <c r="A56" s="507">
        <v>14</v>
      </c>
      <c r="B56" s="507">
        <f>PETUNJUK!B22</f>
        <v>0</v>
      </c>
      <c r="C56" s="507">
        <f t="shared" ref="C56:E57" si="38">C22</f>
        <v>0</v>
      </c>
      <c r="D56" s="507">
        <f t="shared" si="38"/>
        <v>0</v>
      </c>
      <c r="E56" s="507">
        <f t="shared" si="38"/>
        <v>0</v>
      </c>
      <c r="F56" s="346"/>
      <c r="G56" s="515"/>
      <c r="H56" s="515"/>
      <c r="I56" s="515"/>
      <c r="J56" s="346"/>
      <c r="K56" s="346"/>
      <c r="L56" s="346"/>
      <c r="M56" s="346"/>
      <c r="N56" s="673"/>
      <c r="O56" s="673"/>
      <c r="P56" s="346"/>
      <c r="Q56" s="346"/>
      <c r="R56" s="346"/>
      <c r="S56" s="346"/>
      <c r="T56" s="346"/>
      <c r="U56" s="346"/>
      <c r="V56" s="346"/>
      <c r="W56" s="346"/>
      <c r="X56" s="346"/>
      <c r="Y56" s="346"/>
      <c r="Z56" s="346"/>
      <c r="AA56" s="346"/>
      <c r="AB56" s="346"/>
      <c r="AC56" s="346"/>
      <c r="AD56" s="346"/>
      <c r="AE56" s="346"/>
      <c r="AF56" s="346"/>
      <c r="AG56" s="346"/>
      <c r="AH56" s="346"/>
      <c r="AI56" s="346"/>
      <c r="AJ56" s="346"/>
      <c r="AK56" s="346"/>
      <c r="AL56" s="516"/>
    </row>
    <row r="57" spans="1:38" ht="20.149999999999999" customHeight="1" x14ac:dyDescent="0.35">
      <c r="A57" s="507">
        <v>15</v>
      </c>
      <c r="B57" s="507">
        <f>PETUNJUK!B23</f>
        <v>0</v>
      </c>
      <c r="C57" s="507">
        <f t="shared" si="38"/>
        <v>0</v>
      </c>
      <c r="D57" s="507">
        <f t="shared" si="38"/>
        <v>0</v>
      </c>
      <c r="E57" s="507">
        <f t="shared" si="38"/>
        <v>0</v>
      </c>
      <c r="F57" s="346"/>
      <c r="G57" s="515"/>
      <c r="H57" s="515"/>
      <c r="I57" s="515"/>
      <c r="J57" s="346"/>
      <c r="K57" s="346"/>
      <c r="L57" s="346"/>
      <c r="M57" s="346"/>
      <c r="N57" s="673"/>
      <c r="O57" s="673"/>
      <c r="P57" s="346"/>
      <c r="Q57" s="346"/>
      <c r="R57" s="346"/>
      <c r="S57" s="346"/>
      <c r="T57" s="346"/>
      <c r="U57" s="346"/>
      <c r="V57" s="346"/>
      <c r="W57" s="346"/>
      <c r="X57" s="346"/>
      <c r="Y57" s="346"/>
      <c r="Z57" s="346"/>
      <c r="AA57" s="346"/>
      <c r="AB57" s="346"/>
      <c r="AC57" s="346"/>
      <c r="AD57" s="346"/>
      <c r="AE57" s="346"/>
      <c r="AF57" s="346"/>
      <c r="AG57" s="346"/>
      <c r="AH57" s="346"/>
      <c r="AI57" s="346"/>
      <c r="AJ57" s="346"/>
      <c r="AK57" s="346"/>
      <c r="AL57" s="516"/>
    </row>
    <row r="58" spans="1:38" ht="20.149999999999999" customHeight="1" x14ac:dyDescent="0.35">
      <c r="A58" s="507">
        <v>16</v>
      </c>
      <c r="B58" s="507">
        <f>PETUNJUK!B24</f>
        <v>0</v>
      </c>
      <c r="C58" s="507">
        <f t="shared" ref="C58:E58" si="39">C24</f>
        <v>0</v>
      </c>
      <c r="D58" s="507">
        <f t="shared" si="39"/>
        <v>0</v>
      </c>
      <c r="E58" s="507">
        <f t="shared" si="39"/>
        <v>0</v>
      </c>
      <c r="F58" s="346"/>
      <c r="G58" s="515"/>
      <c r="H58" s="515"/>
      <c r="I58" s="515"/>
      <c r="J58" s="346"/>
      <c r="K58" s="346"/>
      <c r="L58" s="346"/>
      <c r="M58" s="346"/>
      <c r="N58" s="673"/>
      <c r="O58" s="673"/>
      <c r="P58" s="346"/>
      <c r="Q58" s="346"/>
      <c r="R58" s="346"/>
      <c r="S58" s="346"/>
      <c r="T58" s="346"/>
      <c r="U58" s="346"/>
      <c r="V58" s="346"/>
      <c r="W58" s="346"/>
      <c r="X58" s="346"/>
      <c r="Y58" s="346"/>
      <c r="Z58" s="346"/>
      <c r="AA58" s="346"/>
      <c r="AB58" s="346"/>
      <c r="AC58" s="346"/>
      <c r="AD58" s="346"/>
      <c r="AE58" s="346"/>
      <c r="AF58" s="346"/>
      <c r="AG58" s="346"/>
      <c r="AH58" s="346"/>
      <c r="AI58" s="346"/>
      <c r="AJ58" s="346"/>
      <c r="AK58" s="346"/>
      <c r="AL58" s="516"/>
    </row>
    <row r="59" spans="1:38" ht="20.149999999999999" customHeight="1" x14ac:dyDescent="0.35">
      <c r="A59" s="507">
        <v>17</v>
      </c>
      <c r="B59" s="507">
        <f>PETUNJUK!B25</f>
        <v>0</v>
      </c>
      <c r="C59" s="507">
        <f t="shared" ref="C59:E59" si="40">C25</f>
        <v>0</v>
      </c>
      <c r="D59" s="507">
        <f t="shared" si="40"/>
        <v>0</v>
      </c>
      <c r="E59" s="507">
        <f t="shared" si="40"/>
        <v>0</v>
      </c>
      <c r="F59" s="346"/>
      <c r="G59" s="515"/>
      <c r="H59" s="515"/>
      <c r="I59" s="515"/>
      <c r="J59" s="346"/>
      <c r="K59" s="346"/>
      <c r="L59" s="346"/>
      <c r="M59" s="346"/>
      <c r="N59" s="673"/>
      <c r="O59" s="673"/>
      <c r="P59" s="346"/>
      <c r="Q59" s="346"/>
      <c r="R59" s="346"/>
      <c r="S59" s="346"/>
      <c r="T59" s="346"/>
      <c r="U59" s="346"/>
      <c r="V59" s="346"/>
      <c r="W59" s="346"/>
      <c r="X59" s="346"/>
      <c r="Y59" s="346"/>
      <c r="Z59" s="346"/>
      <c r="AA59" s="346"/>
      <c r="AB59" s="346"/>
      <c r="AC59" s="346"/>
      <c r="AD59" s="346"/>
      <c r="AE59" s="346"/>
      <c r="AF59" s="346"/>
      <c r="AG59" s="346"/>
      <c r="AH59" s="346"/>
      <c r="AI59" s="346"/>
      <c r="AJ59" s="346"/>
      <c r="AK59" s="346"/>
      <c r="AL59" s="516"/>
    </row>
    <row r="60" spans="1:38" ht="20.149999999999999" customHeight="1" x14ac:dyDescent="0.35">
      <c r="A60" s="507">
        <v>18</v>
      </c>
      <c r="B60" s="507">
        <f>PETUNJUK!B26</f>
        <v>0</v>
      </c>
      <c r="C60" s="507">
        <f t="shared" ref="C60:E60" si="41">C26</f>
        <v>0</v>
      </c>
      <c r="D60" s="507">
        <f t="shared" si="41"/>
        <v>0</v>
      </c>
      <c r="E60" s="507">
        <f t="shared" si="41"/>
        <v>0</v>
      </c>
      <c r="F60" s="346"/>
      <c r="G60" s="515"/>
      <c r="H60" s="515"/>
      <c r="I60" s="515"/>
      <c r="J60" s="346"/>
      <c r="K60" s="346"/>
      <c r="L60" s="346"/>
      <c r="M60" s="346"/>
      <c r="N60" s="673"/>
      <c r="O60" s="673"/>
      <c r="P60" s="346"/>
      <c r="Q60" s="346"/>
      <c r="R60" s="346"/>
      <c r="S60" s="346"/>
      <c r="T60" s="346"/>
      <c r="U60" s="346"/>
      <c r="V60" s="346"/>
      <c r="W60" s="346"/>
      <c r="X60" s="346"/>
      <c r="Y60" s="346"/>
      <c r="Z60" s="346"/>
      <c r="AA60" s="346"/>
      <c r="AB60" s="346"/>
      <c r="AC60" s="346"/>
      <c r="AD60" s="346"/>
      <c r="AE60" s="346"/>
      <c r="AF60" s="346"/>
      <c r="AG60" s="346"/>
      <c r="AH60" s="346"/>
      <c r="AI60" s="346"/>
      <c r="AJ60" s="346"/>
      <c r="AK60" s="346"/>
      <c r="AL60" s="516"/>
    </row>
    <row r="61" spans="1:38" ht="20.149999999999999" customHeight="1" x14ac:dyDescent="0.35">
      <c r="A61" s="507">
        <v>19</v>
      </c>
      <c r="B61" s="507">
        <f>PETUNJUK!B27</f>
        <v>0</v>
      </c>
      <c r="C61" s="507">
        <f t="shared" ref="C61:E61" si="42">C27</f>
        <v>0</v>
      </c>
      <c r="D61" s="507">
        <f t="shared" si="42"/>
        <v>0</v>
      </c>
      <c r="E61" s="507">
        <f t="shared" si="42"/>
        <v>0</v>
      </c>
      <c r="F61" s="346"/>
      <c r="G61" s="515"/>
      <c r="H61" s="515"/>
      <c r="I61" s="515"/>
      <c r="J61" s="346"/>
      <c r="K61" s="346"/>
      <c r="L61" s="346"/>
      <c r="M61" s="346"/>
      <c r="N61" s="673"/>
      <c r="O61" s="673"/>
      <c r="P61" s="346"/>
      <c r="Q61" s="346"/>
      <c r="R61" s="346"/>
      <c r="S61" s="346"/>
      <c r="T61" s="346"/>
      <c r="U61" s="346"/>
      <c r="V61" s="346"/>
      <c r="W61" s="346"/>
      <c r="X61" s="346"/>
      <c r="Y61" s="346"/>
      <c r="Z61" s="346"/>
      <c r="AA61" s="346"/>
      <c r="AB61" s="346"/>
      <c r="AC61" s="346"/>
      <c r="AD61" s="346"/>
      <c r="AE61" s="346"/>
      <c r="AF61" s="346"/>
      <c r="AG61" s="346"/>
      <c r="AH61" s="346"/>
      <c r="AI61" s="346"/>
      <c r="AJ61" s="346"/>
      <c r="AK61" s="346"/>
      <c r="AL61" s="516"/>
    </row>
    <row r="62" spans="1:38" ht="20.149999999999999" customHeight="1" x14ac:dyDescent="0.35">
      <c r="A62" s="507">
        <v>20</v>
      </c>
      <c r="B62" s="507">
        <f>PETUNJUK!B28</f>
        <v>0</v>
      </c>
      <c r="C62" s="507">
        <f t="shared" ref="C62:E62" si="43">C28</f>
        <v>0</v>
      </c>
      <c r="D62" s="507">
        <f t="shared" si="43"/>
        <v>0</v>
      </c>
      <c r="E62" s="507">
        <f t="shared" si="43"/>
        <v>0</v>
      </c>
      <c r="F62" s="346"/>
      <c r="G62" s="515"/>
      <c r="H62" s="515"/>
      <c r="I62" s="515"/>
      <c r="J62" s="346"/>
      <c r="K62" s="346"/>
      <c r="L62" s="346"/>
      <c r="M62" s="346"/>
      <c r="N62" s="673"/>
      <c r="O62" s="673"/>
      <c r="P62" s="346"/>
      <c r="Q62" s="346"/>
      <c r="R62" s="346"/>
      <c r="S62" s="346"/>
      <c r="T62" s="346"/>
      <c r="U62" s="346"/>
      <c r="V62" s="346"/>
      <c r="W62" s="346"/>
      <c r="X62" s="346"/>
      <c r="Y62" s="346"/>
      <c r="Z62" s="346"/>
      <c r="AA62" s="346"/>
      <c r="AB62" s="346"/>
      <c r="AC62" s="346"/>
      <c r="AD62" s="346"/>
      <c r="AE62" s="346"/>
      <c r="AF62" s="346"/>
      <c r="AG62" s="346"/>
      <c r="AH62" s="346"/>
      <c r="AI62" s="346"/>
      <c r="AJ62" s="346"/>
      <c r="AK62" s="346"/>
      <c r="AL62" s="516"/>
    </row>
    <row r="63" spans="1:38" ht="20.149999999999999" customHeight="1" x14ac:dyDescent="0.35">
      <c r="A63" s="507">
        <v>21</v>
      </c>
      <c r="B63" s="507">
        <f>PETUNJUK!B29</f>
        <v>0</v>
      </c>
      <c r="C63" s="507">
        <f t="shared" ref="C63:E63" si="44">C29</f>
        <v>0</v>
      </c>
      <c r="D63" s="507">
        <f t="shared" si="44"/>
        <v>0</v>
      </c>
      <c r="E63" s="507">
        <f t="shared" si="44"/>
        <v>0</v>
      </c>
      <c r="F63" s="346"/>
      <c r="G63" s="515"/>
      <c r="H63" s="515"/>
      <c r="I63" s="515"/>
      <c r="J63" s="346"/>
      <c r="K63" s="346"/>
      <c r="L63" s="346"/>
      <c r="M63" s="346"/>
      <c r="N63" s="673"/>
      <c r="O63" s="673"/>
      <c r="P63" s="346"/>
      <c r="Q63" s="346"/>
      <c r="R63" s="346"/>
      <c r="S63" s="346"/>
      <c r="T63" s="346"/>
      <c r="U63" s="346"/>
      <c r="V63" s="346"/>
      <c r="W63" s="346"/>
      <c r="X63" s="346"/>
      <c r="Y63" s="346"/>
      <c r="Z63" s="346"/>
      <c r="AA63" s="346"/>
      <c r="AB63" s="346"/>
      <c r="AC63" s="346"/>
      <c r="AD63" s="346"/>
      <c r="AE63" s="346"/>
      <c r="AF63" s="346"/>
      <c r="AG63" s="346"/>
      <c r="AH63" s="346"/>
      <c r="AI63" s="346"/>
      <c r="AJ63" s="346"/>
      <c r="AK63" s="346"/>
      <c r="AL63" s="516"/>
    </row>
    <row r="64" spans="1:38" ht="20.149999999999999" customHeight="1" thickBot="1" x14ac:dyDescent="0.4">
      <c r="A64" s="512">
        <v>22</v>
      </c>
      <c r="B64" s="512">
        <f>PETUNJUK!B30</f>
        <v>0</v>
      </c>
      <c r="C64" s="507">
        <f t="shared" ref="C64:E64" si="45">C30</f>
        <v>0</v>
      </c>
      <c r="D64" s="507">
        <f t="shared" si="45"/>
        <v>0</v>
      </c>
      <c r="E64" s="507">
        <f t="shared" si="45"/>
        <v>0</v>
      </c>
      <c r="F64" s="509"/>
      <c r="G64" s="509"/>
      <c r="H64" s="509"/>
      <c r="I64" s="509"/>
      <c r="J64" s="509"/>
      <c r="K64" s="509"/>
      <c r="L64" s="509"/>
      <c r="M64" s="509"/>
      <c r="N64" s="675"/>
      <c r="O64" s="675"/>
      <c r="P64" s="509"/>
      <c r="Q64" s="509"/>
      <c r="R64" s="509"/>
      <c r="S64" s="509"/>
      <c r="T64" s="509"/>
      <c r="U64" s="509"/>
      <c r="V64" s="509"/>
      <c r="W64" s="509"/>
      <c r="X64" s="509"/>
      <c r="Y64" s="509"/>
      <c r="Z64" s="509"/>
      <c r="AA64" s="509"/>
      <c r="AB64" s="509"/>
      <c r="AC64" s="509"/>
      <c r="AD64" s="346"/>
      <c r="AE64" s="509"/>
      <c r="AF64" s="509"/>
      <c r="AG64" s="509"/>
      <c r="AH64" s="509"/>
      <c r="AI64" s="509"/>
      <c r="AJ64" s="509"/>
      <c r="AK64" s="509"/>
      <c r="AL64" s="517"/>
    </row>
    <row r="65" spans="1:38" ht="20.149999999999999" customHeight="1" thickBot="1" x14ac:dyDescent="0.4">
      <c r="A65" s="744" t="s">
        <v>18</v>
      </c>
      <c r="B65" s="745"/>
      <c r="C65" s="513">
        <f>SUM(C43:C64)</f>
        <v>1067</v>
      </c>
      <c r="D65" s="513">
        <f t="shared" ref="D65:AL65" si="46">SUM(D43:D64)</f>
        <v>1018.5</v>
      </c>
      <c r="E65" s="513">
        <f t="shared" si="46"/>
        <v>213.40000000000003</v>
      </c>
      <c r="F65" s="513">
        <f t="shared" si="46"/>
        <v>85</v>
      </c>
      <c r="G65" s="513">
        <f t="shared" si="46"/>
        <v>7</v>
      </c>
      <c r="H65" s="513">
        <f t="shared" si="46"/>
        <v>90</v>
      </c>
      <c r="I65" s="513">
        <f t="shared" si="46"/>
        <v>90</v>
      </c>
      <c r="J65" s="513">
        <f t="shared" si="46"/>
        <v>70</v>
      </c>
      <c r="K65" s="513">
        <f t="shared" si="46"/>
        <v>75</v>
      </c>
      <c r="L65" s="513">
        <f t="shared" si="46"/>
        <v>75</v>
      </c>
      <c r="M65" s="513">
        <f t="shared" si="46"/>
        <v>79</v>
      </c>
      <c r="N65" s="513">
        <f t="shared" si="46"/>
        <v>69</v>
      </c>
      <c r="O65" s="513">
        <f t="shared" si="46"/>
        <v>76</v>
      </c>
      <c r="P65" s="513">
        <f t="shared" si="46"/>
        <v>76</v>
      </c>
      <c r="Q65" s="513">
        <f t="shared" si="46"/>
        <v>0</v>
      </c>
      <c r="R65" s="513">
        <f t="shared" si="46"/>
        <v>0</v>
      </c>
      <c r="S65" s="513">
        <f t="shared" si="46"/>
        <v>10</v>
      </c>
      <c r="T65" s="513">
        <f t="shared" si="46"/>
        <v>35</v>
      </c>
      <c r="U65" s="513">
        <f t="shared" si="46"/>
        <v>40</v>
      </c>
      <c r="V65" s="513">
        <f t="shared" si="46"/>
        <v>85</v>
      </c>
      <c r="W65" s="513">
        <f t="shared" si="46"/>
        <v>85</v>
      </c>
      <c r="X65" s="513">
        <f t="shared" si="46"/>
        <v>70</v>
      </c>
      <c r="Y65" s="513">
        <f t="shared" si="46"/>
        <v>19</v>
      </c>
      <c r="Z65" s="513">
        <f t="shared" si="46"/>
        <v>15</v>
      </c>
      <c r="AA65" s="513">
        <f t="shared" si="46"/>
        <v>19</v>
      </c>
      <c r="AB65" s="513">
        <f t="shared" si="46"/>
        <v>68</v>
      </c>
      <c r="AC65" s="513">
        <f t="shared" si="46"/>
        <v>68</v>
      </c>
      <c r="AD65" s="513">
        <f t="shared" si="46"/>
        <v>0</v>
      </c>
      <c r="AE65" s="513">
        <f t="shared" si="46"/>
        <v>0</v>
      </c>
      <c r="AF65" s="513">
        <f t="shared" si="46"/>
        <v>19</v>
      </c>
      <c r="AG65" s="513">
        <f t="shared" si="46"/>
        <v>67</v>
      </c>
      <c r="AH65" s="513">
        <f t="shared" si="46"/>
        <v>68</v>
      </c>
      <c r="AI65" s="513">
        <f t="shared" si="46"/>
        <v>68</v>
      </c>
      <c r="AJ65" s="513">
        <f t="shared" si="46"/>
        <v>68</v>
      </c>
      <c r="AK65" s="513">
        <f t="shared" si="46"/>
        <v>68</v>
      </c>
      <c r="AL65" s="518">
        <f t="shared" si="46"/>
        <v>68</v>
      </c>
    </row>
    <row r="66" spans="1:38" ht="15.5" x14ac:dyDescent="0.35">
      <c r="A66" s="514"/>
      <c r="B66" s="514"/>
      <c r="C66" s="514"/>
      <c r="D66" s="514"/>
      <c r="E66" s="514"/>
      <c r="F66" s="514"/>
      <c r="G66" s="514"/>
      <c r="H66" s="514"/>
      <c r="I66" s="514"/>
      <c r="J66" s="514"/>
      <c r="K66" s="514"/>
      <c r="L66" s="514"/>
      <c r="M66" s="514"/>
      <c r="N66" s="514"/>
      <c r="O66" s="514"/>
      <c r="P66" s="514"/>
      <c r="Q66" s="514"/>
      <c r="R66" s="514"/>
      <c r="S66" s="514"/>
      <c r="T66" s="514"/>
      <c r="U66" s="514"/>
      <c r="V66" s="514"/>
      <c r="W66" s="514"/>
      <c r="X66" s="514"/>
      <c r="Y66" s="514"/>
      <c r="Z66" s="514"/>
      <c r="AA66" s="514"/>
      <c r="AB66" s="514"/>
      <c r="AC66" s="514"/>
      <c r="AD66" s="514"/>
      <c r="AE66" s="514"/>
      <c r="AF66" s="514"/>
      <c r="AG66" s="514"/>
      <c r="AH66" s="514"/>
      <c r="AI66" s="514"/>
      <c r="AJ66" s="514"/>
      <c r="AK66" s="514"/>
      <c r="AL66" s="514"/>
    </row>
    <row r="67" spans="1:38" ht="15.5" x14ac:dyDescent="0.35">
      <c r="A67" s="514"/>
      <c r="B67" s="514"/>
      <c r="C67" s="514"/>
      <c r="D67" s="514"/>
      <c r="E67" s="514"/>
      <c r="F67" s="514"/>
      <c r="G67" s="514"/>
      <c r="H67" s="514"/>
      <c r="I67" s="514"/>
      <c r="J67" s="514"/>
      <c r="K67" s="514"/>
      <c r="L67" s="514"/>
      <c r="M67" s="514"/>
      <c r="N67" s="514"/>
      <c r="O67" s="514"/>
      <c r="P67" s="514"/>
      <c r="Q67" s="514"/>
      <c r="R67" s="514"/>
      <c r="S67" s="514"/>
      <c r="T67" s="514"/>
      <c r="U67" s="514"/>
      <c r="V67" s="514"/>
      <c r="W67" s="514"/>
      <c r="X67" s="514"/>
      <c r="Y67" s="514"/>
      <c r="Z67" s="514"/>
      <c r="AA67" s="514"/>
      <c r="AB67" s="514"/>
      <c r="AC67" s="514"/>
      <c r="AD67" s="514"/>
      <c r="AE67" s="514"/>
      <c r="AF67" s="514"/>
      <c r="AG67" s="514"/>
      <c r="AH67" s="514"/>
      <c r="AI67" s="514"/>
      <c r="AJ67" s="514"/>
      <c r="AK67" s="514"/>
      <c r="AL67" s="514"/>
    </row>
    <row r="68" spans="1:38" ht="15.5" x14ac:dyDescent="0.35">
      <c r="A68" s="514"/>
      <c r="B68" s="514"/>
      <c r="C68" s="514"/>
      <c r="D68" s="514"/>
      <c r="E68" s="514"/>
      <c r="F68" s="514"/>
      <c r="G68" s="514"/>
      <c r="H68" s="514"/>
      <c r="I68" s="514"/>
      <c r="J68" s="514"/>
      <c r="K68" s="514"/>
      <c r="L68" s="514"/>
      <c r="M68" s="514"/>
      <c r="N68" s="514"/>
      <c r="O68" s="514"/>
      <c r="P68" s="514"/>
      <c r="Q68" s="514"/>
      <c r="R68" s="514"/>
      <c r="S68" s="514"/>
      <c r="T68" s="514"/>
      <c r="U68" s="514"/>
      <c r="V68" s="514"/>
      <c r="W68" s="514"/>
      <c r="X68" s="514"/>
      <c r="Y68" s="514"/>
      <c r="Z68" s="514"/>
      <c r="AA68" s="514"/>
      <c r="AB68" s="514"/>
      <c r="AC68" s="514"/>
      <c r="AD68" s="514"/>
      <c r="AE68" s="514"/>
      <c r="AF68" s="514"/>
      <c r="AG68" s="514"/>
      <c r="AH68" s="514"/>
      <c r="AI68" s="514"/>
      <c r="AJ68" s="514"/>
      <c r="AK68" s="514"/>
      <c r="AL68" s="514"/>
    </row>
    <row r="69" spans="1:38" ht="15.5" x14ac:dyDescent="0.35">
      <c r="A69" s="731" t="s">
        <v>239</v>
      </c>
      <c r="B69" s="731"/>
      <c r="C69" s="731"/>
      <c r="D69" s="731"/>
      <c r="E69" s="731"/>
      <c r="F69" s="731"/>
      <c r="G69" s="731"/>
      <c r="H69" s="731"/>
      <c r="I69" s="731"/>
      <c r="J69" s="731"/>
      <c r="K69" s="731"/>
      <c r="L69" s="731"/>
      <c r="M69" s="731"/>
      <c r="N69" s="731"/>
      <c r="O69" s="731"/>
      <c r="P69" s="731"/>
      <c r="Q69" s="731"/>
      <c r="R69" s="731"/>
      <c r="S69" s="731"/>
      <c r="T69" s="731"/>
      <c r="U69" s="731"/>
      <c r="V69" s="731"/>
      <c r="W69" s="731"/>
      <c r="X69" s="731"/>
      <c r="Y69" s="731"/>
      <c r="Z69" s="731"/>
      <c r="AA69" s="731"/>
      <c r="AB69" s="731"/>
      <c r="AC69" s="731"/>
      <c r="AD69" s="731"/>
      <c r="AE69" s="731"/>
      <c r="AF69" s="731"/>
      <c r="AG69" s="731"/>
      <c r="AH69" s="731"/>
      <c r="AI69" s="505"/>
      <c r="AJ69" s="505"/>
      <c r="AK69" s="505"/>
      <c r="AL69" s="505"/>
    </row>
    <row r="70" spans="1:38" ht="15.5" x14ac:dyDescent="0.35">
      <c r="A70" s="505"/>
      <c r="B70" s="505"/>
      <c r="C70" s="505"/>
      <c r="D70" s="505"/>
      <c r="E70" s="505"/>
      <c r="F70" s="505"/>
      <c r="G70" s="505"/>
      <c r="H70" s="505"/>
      <c r="I70" s="505"/>
      <c r="J70" s="505"/>
      <c r="K70" s="505"/>
      <c r="L70" s="505"/>
      <c r="M70" s="505"/>
      <c r="N70" s="505"/>
      <c r="O70" s="505"/>
      <c r="P70" s="505"/>
      <c r="Q70" s="505"/>
      <c r="R70" s="505"/>
      <c r="S70" s="505"/>
      <c r="T70" s="505"/>
      <c r="U70" s="505"/>
      <c r="V70" s="505"/>
      <c r="W70" s="505"/>
      <c r="X70" s="505"/>
      <c r="Y70" s="505"/>
      <c r="Z70" s="505"/>
      <c r="AA70" s="505"/>
      <c r="AB70" s="505"/>
      <c r="AC70" s="505"/>
      <c r="AD70" s="505"/>
      <c r="AE70" s="505"/>
      <c r="AF70" s="505"/>
      <c r="AG70" s="505"/>
      <c r="AH70" s="505"/>
      <c r="AI70" s="505"/>
      <c r="AJ70" s="505"/>
      <c r="AK70" s="505"/>
      <c r="AL70" s="505"/>
    </row>
    <row r="71" spans="1:38" ht="15.5" x14ac:dyDescent="0.35">
      <c r="A71" s="504" t="s">
        <v>168</v>
      </c>
      <c r="B71" s="504"/>
      <c r="C71" s="679" t="str">
        <f>PETUNJUK!C5</f>
        <v>PECANGAAN</v>
      </c>
      <c r="D71" s="504"/>
      <c r="E71" s="504"/>
      <c r="F71" s="504"/>
      <c r="G71" s="504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  <c r="S71" s="504"/>
      <c r="T71" s="504"/>
      <c r="U71" s="504"/>
      <c r="V71" s="504"/>
      <c r="W71" s="504"/>
      <c r="X71" s="504"/>
      <c r="Y71" s="504"/>
      <c r="Z71" s="504"/>
      <c r="AA71" s="504"/>
      <c r="AB71" s="504"/>
      <c r="AC71" s="504"/>
      <c r="AD71" s="504"/>
      <c r="AE71" s="504"/>
      <c r="AF71" s="504"/>
      <c r="AG71" s="504"/>
      <c r="AH71" s="504"/>
      <c r="AI71" s="505"/>
      <c r="AJ71" s="505"/>
      <c r="AK71" s="505"/>
      <c r="AL71" s="505"/>
    </row>
    <row r="72" spans="1:38" ht="15.5" x14ac:dyDescent="0.35">
      <c r="A72" s="504" t="s">
        <v>169</v>
      </c>
      <c r="B72" s="504"/>
      <c r="C72" s="680" t="s">
        <v>395</v>
      </c>
      <c r="D72" s="504"/>
      <c r="E72" s="504"/>
      <c r="F72" s="504"/>
      <c r="G72" s="504"/>
      <c r="H72" s="504"/>
      <c r="I72" s="504"/>
      <c r="J72" s="504"/>
      <c r="K72" s="504"/>
      <c r="L72" s="504"/>
      <c r="M72" s="504"/>
      <c r="N72" s="504"/>
      <c r="O72" s="504"/>
      <c r="P72" s="504"/>
      <c r="Q72" s="504"/>
      <c r="R72" s="504"/>
      <c r="S72" s="504"/>
      <c r="T72" s="504"/>
      <c r="U72" s="504"/>
      <c r="V72" s="504"/>
      <c r="W72" s="504"/>
      <c r="X72" s="504"/>
      <c r="Y72" s="504"/>
      <c r="Z72" s="504"/>
      <c r="AA72" s="504"/>
      <c r="AB72" s="504"/>
      <c r="AC72" s="504"/>
      <c r="AD72" s="504"/>
      <c r="AE72" s="504"/>
      <c r="AF72" s="504"/>
      <c r="AG72" s="504"/>
      <c r="AH72" s="504"/>
      <c r="AI72" s="505"/>
      <c r="AJ72" s="505"/>
      <c r="AK72" s="505"/>
      <c r="AL72" s="505"/>
    </row>
    <row r="73" spans="1:38" ht="15.5" x14ac:dyDescent="0.35">
      <c r="A73" s="505"/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5"/>
      <c r="W73" s="505"/>
      <c r="X73" s="505"/>
      <c r="Y73" s="505"/>
      <c r="Z73" s="505"/>
      <c r="AA73" s="505"/>
      <c r="AB73" s="505"/>
      <c r="AC73" s="505"/>
      <c r="AD73" s="505"/>
      <c r="AE73" s="505"/>
      <c r="AF73" s="505"/>
      <c r="AG73" s="505"/>
      <c r="AH73" s="505"/>
      <c r="AI73" s="505"/>
      <c r="AJ73" s="505"/>
      <c r="AK73" s="505"/>
      <c r="AL73" s="505"/>
    </row>
    <row r="74" spans="1:38" s="15" customFormat="1" ht="24" customHeight="1" x14ac:dyDescent="0.35">
      <c r="A74" s="754" t="s">
        <v>1</v>
      </c>
      <c r="B74" s="754" t="s">
        <v>2</v>
      </c>
      <c r="C74" s="754" t="s">
        <v>174</v>
      </c>
      <c r="D74" s="754"/>
      <c r="E74" s="754"/>
      <c r="F74" s="755" t="s">
        <v>8</v>
      </c>
      <c r="G74" s="759" t="s">
        <v>295</v>
      </c>
      <c r="H74" s="759" t="s">
        <v>296</v>
      </c>
      <c r="I74" s="759" t="s">
        <v>297</v>
      </c>
      <c r="J74" s="739" t="s">
        <v>9</v>
      </c>
      <c r="K74" s="759" t="s">
        <v>298</v>
      </c>
      <c r="L74" s="760" t="s">
        <v>299</v>
      </c>
      <c r="M74" s="758" t="s">
        <v>289</v>
      </c>
      <c r="N74" s="758" t="s">
        <v>422</v>
      </c>
      <c r="O74" s="758" t="s">
        <v>423</v>
      </c>
      <c r="P74" s="739" t="s">
        <v>290</v>
      </c>
      <c r="Q74" s="752" t="s">
        <v>230</v>
      </c>
      <c r="R74" s="753"/>
      <c r="S74" s="753"/>
      <c r="T74" s="753"/>
      <c r="U74" s="753"/>
      <c r="V74" s="753"/>
      <c r="W74" s="755" t="s">
        <v>15</v>
      </c>
      <c r="X74" s="739" t="s">
        <v>16</v>
      </c>
      <c r="Y74" s="735" t="s">
        <v>231</v>
      </c>
      <c r="Z74" s="735"/>
      <c r="AA74" s="736" t="s">
        <v>240</v>
      </c>
      <c r="AB74" s="735" t="s">
        <v>4</v>
      </c>
      <c r="AC74" s="735"/>
      <c r="AD74" s="735"/>
      <c r="AE74" s="735"/>
      <c r="AF74" s="728" t="s">
        <v>237</v>
      </c>
      <c r="AG74" s="736" t="s">
        <v>23</v>
      </c>
      <c r="AH74" s="755" t="s">
        <v>3</v>
      </c>
      <c r="AI74" s="763" t="s">
        <v>238</v>
      </c>
      <c r="AJ74" s="764"/>
      <c r="AK74" s="764"/>
      <c r="AL74" s="765"/>
    </row>
    <row r="75" spans="1:38" s="15" customFormat="1" ht="21.75" customHeight="1" x14ac:dyDescent="0.35">
      <c r="A75" s="754"/>
      <c r="B75" s="754"/>
      <c r="C75" s="732" t="s">
        <v>5</v>
      </c>
      <c r="D75" s="732" t="s">
        <v>6</v>
      </c>
      <c r="E75" s="732" t="s">
        <v>133</v>
      </c>
      <c r="F75" s="756"/>
      <c r="G75" s="756"/>
      <c r="H75" s="756"/>
      <c r="I75" s="756"/>
      <c r="J75" s="740"/>
      <c r="K75" s="756"/>
      <c r="L75" s="761"/>
      <c r="M75" s="758"/>
      <c r="N75" s="758"/>
      <c r="O75" s="758"/>
      <c r="P75" s="740"/>
      <c r="Q75" s="732" t="s">
        <v>10</v>
      </c>
      <c r="R75" s="732" t="s">
        <v>11</v>
      </c>
      <c r="S75" s="732" t="s">
        <v>12</v>
      </c>
      <c r="T75" s="732" t="s">
        <v>13</v>
      </c>
      <c r="U75" s="732" t="s">
        <v>14</v>
      </c>
      <c r="V75" s="746" t="s">
        <v>227</v>
      </c>
      <c r="W75" s="756"/>
      <c r="X75" s="740"/>
      <c r="Y75" s="748" t="s">
        <v>228</v>
      </c>
      <c r="Z75" s="748" t="s">
        <v>229</v>
      </c>
      <c r="AA75" s="737"/>
      <c r="AB75" s="749" t="s">
        <v>232</v>
      </c>
      <c r="AC75" s="750"/>
      <c r="AD75" s="751"/>
      <c r="AE75" s="733" t="s">
        <v>236</v>
      </c>
      <c r="AF75" s="729"/>
      <c r="AG75" s="737"/>
      <c r="AH75" s="756"/>
      <c r="AI75" s="742" t="s">
        <v>166</v>
      </c>
      <c r="AJ75" s="742" t="s">
        <v>167</v>
      </c>
      <c r="AK75" s="742" t="s">
        <v>134</v>
      </c>
      <c r="AL75" s="742" t="s">
        <v>291</v>
      </c>
    </row>
    <row r="76" spans="1:38" s="15" customFormat="1" ht="64.5" customHeight="1" x14ac:dyDescent="0.35">
      <c r="A76" s="754"/>
      <c r="B76" s="754"/>
      <c r="C76" s="732"/>
      <c r="D76" s="732"/>
      <c r="E76" s="732"/>
      <c r="F76" s="757"/>
      <c r="G76" s="757"/>
      <c r="H76" s="757"/>
      <c r="I76" s="757"/>
      <c r="J76" s="741"/>
      <c r="K76" s="757"/>
      <c r="L76" s="762"/>
      <c r="M76" s="758"/>
      <c r="N76" s="758"/>
      <c r="O76" s="758"/>
      <c r="P76" s="741"/>
      <c r="Q76" s="732"/>
      <c r="R76" s="732"/>
      <c r="S76" s="732"/>
      <c r="T76" s="732"/>
      <c r="U76" s="732"/>
      <c r="V76" s="747"/>
      <c r="W76" s="757"/>
      <c r="X76" s="741"/>
      <c r="Y76" s="748"/>
      <c r="Z76" s="748"/>
      <c r="AA76" s="738"/>
      <c r="AB76" s="506" t="s">
        <v>233</v>
      </c>
      <c r="AC76" s="681" t="s">
        <v>234</v>
      </c>
      <c r="AD76" s="681" t="s">
        <v>235</v>
      </c>
      <c r="AE76" s="734"/>
      <c r="AF76" s="730"/>
      <c r="AG76" s="738"/>
      <c r="AH76" s="757"/>
      <c r="AI76" s="743"/>
      <c r="AJ76" s="743"/>
      <c r="AK76" s="743"/>
      <c r="AL76" s="743"/>
    </row>
    <row r="77" spans="1:38" ht="20.149999999999999" customHeight="1" x14ac:dyDescent="0.35">
      <c r="A77" s="507">
        <v>1</v>
      </c>
      <c r="B77" s="702" t="str">
        <f>PETUNJUK!B9</f>
        <v>Pecangaan Kulon</v>
      </c>
      <c r="C77" s="507">
        <f>C43</f>
        <v>101.2</v>
      </c>
      <c r="D77" s="507">
        <f t="shared" ref="D77:E77" si="47">D43</f>
        <v>96.600000000000009</v>
      </c>
      <c r="E77" s="507">
        <f t="shared" si="47"/>
        <v>20.240000000000002</v>
      </c>
      <c r="F77" s="676">
        <v>7</v>
      </c>
      <c r="G77" s="676">
        <v>0</v>
      </c>
      <c r="H77" s="676">
        <v>7</v>
      </c>
      <c r="I77" s="676">
        <v>7</v>
      </c>
      <c r="J77" s="676">
        <v>8</v>
      </c>
      <c r="K77" s="676">
        <v>7</v>
      </c>
      <c r="L77" s="676">
        <v>7</v>
      </c>
      <c r="M77" s="676">
        <v>6</v>
      </c>
      <c r="N77" s="676">
        <v>6</v>
      </c>
      <c r="O77" s="676">
        <v>6</v>
      </c>
      <c r="P77" s="676">
        <v>3</v>
      </c>
      <c r="Q77" s="676"/>
      <c r="R77" s="676"/>
      <c r="S77" s="676"/>
      <c r="T77" s="676">
        <v>3</v>
      </c>
      <c r="U77" s="676">
        <v>4</v>
      </c>
      <c r="V77" s="346">
        <f t="shared" ref="V77:V88" si="48">SUM(R77:U77)</f>
        <v>7</v>
      </c>
      <c r="W77" s="346">
        <f t="shared" ref="W77:W88" si="49">F77</f>
        <v>7</v>
      </c>
      <c r="X77" s="346">
        <f t="shared" ref="X77:X88" si="50">J77</f>
        <v>8</v>
      </c>
      <c r="Y77" s="676">
        <v>2</v>
      </c>
      <c r="Z77" s="676">
        <v>2</v>
      </c>
      <c r="AA77" s="676">
        <f>Y77</f>
        <v>2</v>
      </c>
      <c r="AB77" s="676">
        <v>6</v>
      </c>
      <c r="AC77" s="676">
        <f>AB77</f>
        <v>6</v>
      </c>
      <c r="AD77" s="676"/>
      <c r="AE77" s="676"/>
      <c r="AF77" s="676">
        <f>'3.Komplikasi'!AJ76</f>
        <v>1</v>
      </c>
      <c r="AG77" s="676">
        <f>AB77</f>
        <v>6</v>
      </c>
      <c r="AH77" s="673">
        <f t="shared" ref="AH77:AH88" si="51">AB77</f>
        <v>6</v>
      </c>
      <c r="AI77" s="673">
        <f t="shared" ref="AI77:AI88" si="52">AB77</f>
        <v>6</v>
      </c>
      <c r="AJ77" s="673">
        <f t="shared" ref="AJ77:AJ88" si="53">AB77</f>
        <v>6</v>
      </c>
      <c r="AK77" s="673">
        <f t="shared" ref="AK77:AK88" si="54">AB77</f>
        <v>6</v>
      </c>
      <c r="AL77" s="673">
        <f t="shared" ref="AL77:AL88" si="55">AB77</f>
        <v>6</v>
      </c>
    </row>
    <row r="78" spans="1:38" ht="20.149999999999999" customHeight="1" x14ac:dyDescent="0.35">
      <c r="A78" s="507">
        <v>2</v>
      </c>
      <c r="B78" s="702" t="str">
        <f>PETUNJUK!B10</f>
        <v>Rengging</v>
      </c>
      <c r="C78" s="507">
        <f t="shared" ref="C78:E78" si="56">C44</f>
        <v>111.10000000000001</v>
      </c>
      <c r="D78" s="507">
        <f t="shared" si="56"/>
        <v>106.05000000000001</v>
      </c>
      <c r="E78" s="507">
        <f t="shared" si="56"/>
        <v>22.220000000000002</v>
      </c>
      <c r="F78" s="676">
        <v>6</v>
      </c>
      <c r="G78" s="676">
        <v>1</v>
      </c>
      <c r="H78" s="676">
        <v>6</v>
      </c>
      <c r="I78" s="676">
        <v>6</v>
      </c>
      <c r="J78" s="676">
        <v>3</v>
      </c>
      <c r="K78" s="676">
        <v>3</v>
      </c>
      <c r="L78" s="676">
        <v>3</v>
      </c>
      <c r="M78" s="676">
        <v>2</v>
      </c>
      <c r="N78" s="676">
        <v>5</v>
      </c>
      <c r="O78" s="676">
        <v>7</v>
      </c>
      <c r="P78" s="676">
        <v>5</v>
      </c>
      <c r="Q78" s="676"/>
      <c r="R78" s="676"/>
      <c r="S78" s="676"/>
      <c r="T78" s="676">
        <v>4</v>
      </c>
      <c r="U78" s="676">
        <v>2</v>
      </c>
      <c r="V78" s="346">
        <f t="shared" si="48"/>
        <v>6</v>
      </c>
      <c r="W78" s="346">
        <f t="shared" si="49"/>
        <v>6</v>
      </c>
      <c r="X78" s="346">
        <f t="shared" si="50"/>
        <v>3</v>
      </c>
      <c r="Y78" s="676">
        <v>2</v>
      </c>
      <c r="Z78" s="676">
        <v>1</v>
      </c>
      <c r="AA78" s="676">
        <f t="shared" ref="AA78:AA88" si="57">Y78</f>
        <v>2</v>
      </c>
      <c r="AB78" s="676">
        <v>7</v>
      </c>
      <c r="AC78" s="676">
        <f t="shared" ref="AC78:AC88" si="58">AB78</f>
        <v>7</v>
      </c>
      <c r="AD78" s="676"/>
      <c r="AE78" s="676"/>
      <c r="AF78" s="676">
        <f>'3.Komplikasi'!AJ77</f>
        <v>1</v>
      </c>
      <c r="AG78" s="676">
        <v>8</v>
      </c>
      <c r="AH78" s="673">
        <f t="shared" si="51"/>
        <v>7</v>
      </c>
      <c r="AI78" s="673">
        <f t="shared" si="52"/>
        <v>7</v>
      </c>
      <c r="AJ78" s="673">
        <f t="shared" si="53"/>
        <v>7</v>
      </c>
      <c r="AK78" s="673">
        <f t="shared" si="54"/>
        <v>7</v>
      </c>
      <c r="AL78" s="673">
        <f t="shared" si="55"/>
        <v>7</v>
      </c>
    </row>
    <row r="79" spans="1:38" ht="20.149999999999999" customHeight="1" x14ac:dyDescent="0.35">
      <c r="A79" s="507">
        <v>3</v>
      </c>
      <c r="B79" s="702" t="str">
        <f>PETUNJUK!B11</f>
        <v>Troso</v>
      </c>
      <c r="C79" s="507">
        <f t="shared" ref="C79:E79" si="59">C45</f>
        <v>205.70000000000002</v>
      </c>
      <c r="D79" s="507">
        <f t="shared" si="59"/>
        <v>196.35</v>
      </c>
      <c r="E79" s="507">
        <f t="shared" si="59"/>
        <v>41.140000000000008</v>
      </c>
      <c r="F79" s="676">
        <v>17</v>
      </c>
      <c r="G79" s="676">
        <v>4</v>
      </c>
      <c r="H79" s="676">
        <v>17</v>
      </c>
      <c r="I79" s="676">
        <v>17</v>
      </c>
      <c r="J79" s="676">
        <v>17</v>
      </c>
      <c r="K79" s="676">
        <v>20</v>
      </c>
      <c r="L79" s="676">
        <v>20</v>
      </c>
      <c r="M79" s="676">
        <v>18</v>
      </c>
      <c r="N79" s="676">
        <v>19</v>
      </c>
      <c r="O79" s="676">
        <v>19</v>
      </c>
      <c r="P79" s="676">
        <v>14</v>
      </c>
      <c r="Q79" s="676"/>
      <c r="R79" s="676"/>
      <c r="S79" s="676"/>
      <c r="T79" s="676">
        <v>6</v>
      </c>
      <c r="U79" s="676">
        <v>11</v>
      </c>
      <c r="V79" s="346">
        <f t="shared" si="48"/>
        <v>17</v>
      </c>
      <c r="W79" s="346">
        <f t="shared" si="49"/>
        <v>17</v>
      </c>
      <c r="X79" s="346">
        <f t="shared" si="50"/>
        <v>17</v>
      </c>
      <c r="Y79" s="676">
        <v>6</v>
      </c>
      <c r="Z79" s="676">
        <v>4</v>
      </c>
      <c r="AA79" s="676">
        <f t="shared" si="57"/>
        <v>6</v>
      </c>
      <c r="AB79" s="676">
        <v>12</v>
      </c>
      <c r="AC79" s="676">
        <f t="shared" si="58"/>
        <v>12</v>
      </c>
      <c r="AD79" s="676"/>
      <c r="AE79" s="676"/>
      <c r="AF79" s="676">
        <f>'3.Komplikasi'!AJ78</f>
        <v>2</v>
      </c>
      <c r="AG79" s="676">
        <f t="shared" ref="AG79:AG88" si="60">AB79</f>
        <v>12</v>
      </c>
      <c r="AH79" s="673">
        <f t="shared" si="51"/>
        <v>12</v>
      </c>
      <c r="AI79" s="673">
        <f t="shared" si="52"/>
        <v>12</v>
      </c>
      <c r="AJ79" s="673">
        <f t="shared" si="53"/>
        <v>12</v>
      </c>
      <c r="AK79" s="673">
        <f t="shared" si="54"/>
        <v>12</v>
      </c>
      <c r="AL79" s="673">
        <f t="shared" si="55"/>
        <v>12</v>
      </c>
    </row>
    <row r="80" spans="1:38" ht="20.149999999999999" customHeight="1" x14ac:dyDescent="0.35">
      <c r="A80" s="507">
        <v>4</v>
      </c>
      <c r="B80" s="702" t="str">
        <f>PETUNJUK!B12</f>
        <v>Ngeling</v>
      </c>
      <c r="C80" s="507">
        <f t="shared" ref="C80:E80" si="61">C46</f>
        <v>95.7</v>
      </c>
      <c r="D80" s="507">
        <f t="shared" si="61"/>
        <v>91.350000000000009</v>
      </c>
      <c r="E80" s="507">
        <f t="shared" si="61"/>
        <v>19.14</v>
      </c>
      <c r="F80" s="676">
        <v>10</v>
      </c>
      <c r="G80" s="676">
        <v>0</v>
      </c>
      <c r="H80" s="676">
        <v>10</v>
      </c>
      <c r="I80" s="676">
        <v>10</v>
      </c>
      <c r="J80" s="676">
        <v>7</v>
      </c>
      <c r="K80" s="676">
        <v>6</v>
      </c>
      <c r="L80" s="676">
        <v>6</v>
      </c>
      <c r="M80" s="676">
        <v>7</v>
      </c>
      <c r="N80" s="676">
        <v>5</v>
      </c>
      <c r="O80" s="676">
        <v>7</v>
      </c>
      <c r="P80" s="676">
        <v>2</v>
      </c>
      <c r="Q80" s="676"/>
      <c r="R80" s="676"/>
      <c r="S80" s="676"/>
      <c r="T80" s="676">
        <v>2</v>
      </c>
      <c r="U80" s="676">
        <v>8</v>
      </c>
      <c r="V80" s="346">
        <f t="shared" si="48"/>
        <v>10</v>
      </c>
      <c r="W80" s="346">
        <f t="shared" si="49"/>
        <v>10</v>
      </c>
      <c r="X80" s="346">
        <f t="shared" si="50"/>
        <v>7</v>
      </c>
      <c r="Y80" s="676">
        <v>1</v>
      </c>
      <c r="Z80" s="676">
        <v>0</v>
      </c>
      <c r="AA80" s="676">
        <f t="shared" si="57"/>
        <v>1</v>
      </c>
      <c r="AB80" s="676">
        <v>1</v>
      </c>
      <c r="AC80" s="676">
        <f t="shared" si="58"/>
        <v>1</v>
      </c>
      <c r="AD80" s="676"/>
      <c r="AE80" s="676"/>
      <c r="AF80" s="676">
        <f>'3.Komplikasi'!AJ79</f>
        <v>0</v>
      </c>
      <c r="AG80" s="676">
        <f t="shared" si="60"/>
        <v>1</v>
      </c>
      <c r="AH80" s="673">
        <f t="shared" si="51"/>
        <v>1</v>
      </c>
      <c r="AI80" s="673">
        <f t="shared" si="52"/>
        <v>1</v>
      </c>
      <c r="AJ80" s="673">
        <f t="shared" si="53"/>
        <v>1</v>
      </c>
      <c r="AK80" s="673">
        <f t="shared" si="54"/>
        <v>1</v>
      </c>
      <c r="AL80" s="673">
        <f t="shared" si="55"/>
        <v>1</v>
      </c>
    </row>
    <row r="81" spans="1:38" ht="20.149999999999999" customHeight="1" x14ac:dyDescent="0.35">
      <c r="A81" s="507">
        <v>5</v>
      </c>
      <c r="B81" s="702" t="str">
        <f>PETUNJUK!B13</f>
        <v>Lebuawu</v>
      </c>
      <c r="C81" s="507">
        <f t="shared" ref="C81:E81" si="62">C47</f>
        <v>85.800000000000011</v>
      </c>
      <c r="D81" s="507">
        <f t="shared" si="62"/>
        <v>81.900000000000006</v>
      </c>
      <c r="E81" s="507">
        <f t="shared" si="62"/>
        <v>17.160000000000004</v>
      </c>
      <c r="F81" s="676">
        <v>5</v>
      </c>
      <c r="G81" s="676">
        <v>0</v>
      </c>
      <c r="H81" s="676">
        <v>6</v>
      </c>
      <c r="I81" s="676">
        <v>6</v>
      </c>
      <c r="J81" s="676">
        <v>6</v>
      </c>
      <c r="K81" s="676">
        <v>5</v>
      </c>
      <c r="L81" s="676">
        <v>5</v>
      </c>
      <c r="M81" s="676">
        <v>4</v>
      </c>
      <c r="N81" s="676">
        <v>4</v>
      </c>
      <c r="O81" s="676">
        <v>4</v>
      </c>
      <c r="P81" s="676">
        <v>7</v>
      </c>
      <c r="Q81" s="676"/>
      <c r="R81" s="676"/>
      <c r="S81" s="676"/>
      <c r="T81" s="676">
        <v>0</v>
      </c>
      <c r="U81" s="676">
        <v>6</v>
      </c>
      <c r="V81" s="346">
        <f t="shared" si="48"/>
        <v>6</v>
      </c>
      <c r="W81" s="346">
        <f t="shared" si="49"/>
        <v>5</v>
      </c>
      <c r="X81" s="346">
        <f t="shared" si="50"/>
        <v>6</v>
      </c>
      <c r="Y81" s="676">
        <v>0</v>
      </c>
      <c r="Z81" s="676">
        <v>0</v>
      </c>
      <c r="AA81" s="676">
        <f t="shared" si="57"/>
        <v>0</v>
      </c>
      <c r="AB81" s="676">
        <v>4</v>
      </c>
      <c r="AC81" s="676">
        <f t="shared" si="58"/>
        <v>4</v>
      </c>
      <c r="AD81" s="676"/>
      <c r="AE81" s="676"/>
      <c r="AF81" s="676">
        <f>'3.Komplikasi'!AJ80</f>
        <v>0</v>
      </c>
      <c r="AG81" s="676">
        <f t="shared" si="60"/>
        <v>4</v>
      </c>
      <c r="AH81" s="673">
        <f t="shared" si="51"/>
        <v>4</v>
      </c>
      <c r="AI81" s="673">
        <f t="shared" si="52"/>
        <v>4</v>
      </c>
      <c r="AJ81" s="673">
        <f t="shared" si="53"/>
        <v>4</v>
      </c>
      <c r="AK81" s="673">
        <f t="shared" si="54"/>
        <v>4</v>
      </c>
      <c r="AL81" s="673">
        <f t="shared" si="55"/>
        <v>4</v>
      </c>
    </row>
    <row r="82" spans="1:38" ht="20.149999999999999" customHeight="1" x14ac:dyDescent="0.35">
      <c r="A82" s="507">
        <v>6</v>
      </c>
      <c r="B82" s="702" t="str">
        <f>PETUNJUK!B14</f>
        <v>Pulodarat</v>
      </c>
      <c r="C82" s="507">
        <f t="shared" ref="C82:E82" si="63">C48</f>
        <v>82.5</v>
      </c>
      <c r="D82" s="507">
        <f t="shared" si="63"/>
        <v>78.75</v>
      </c>
      <c r="E82" s="507">
        <f t="shared" si="63"/>
        <v>16.5</v>
      </c>
      <c r="F82" s="676">
        <v>5</v>
      </c>
      <c r="G82" s="676">
        <v>1</v>
      </c>
      <c r="H82" s="676">
        <v>5</v>
      </c>
      <c r="I82" s="676">
        <v>5</v>
      </c>
      <c r="J82" s="676">
        <v>4</v>
      </c>
      <c r="K82" s="676">
        <v>4</v>
      </c>
      <c r="L82" s="676">
        <v>4</v>
      </c>
      <c r="M82" s="676">
        <v>3</v>
      </c>
      <c r="N82" s="676">
        <v>4</v>
      </c>
      <c r="O82" s="676">
        <v>5</v>
      </c>
      <c r="P82" s="676">
        <v>4</v>
      </c>
      <c r="Q82" s="676"/>
      <c r="R82" s="676"/>
      <c r="S82" s="676"/>
      <c r="T82" s="676">
        <v>3</v>
      </c>
      <c r="U82" s="676">
        <v>2</v>
      </c>
      <c r="V82" s="346">
        <f t="shared" si="48"/>
        <v>5</v>
      </c>
      <c r="W82" s="346">
        <f t="shared" si="49"/>
        <v>5</v>
      </c>
      <c r="X82" s="346">
        <f t="shared" si="50"/>
        <v>4</v>
      </c>
      <c r="Y82" s="676">
        <v>1</v>
      </c>
      <c r="Z82" s="676">
        <v>1</v>
      </c>
      <c r="AA82" s="676">
        <f t="shared" si="57"/>
        <v>1</v>
      </c>
      <c r="AB82" s="676">
        <v>2</v>
      </c>
      <c r="AC82" s="676">
        <f t="shared" si="58"/>
        <v>2</v>
      </c>
      <c r="AD82" s="676"/>
      <c r="AE82" s="676"/>
      <c r="AF82" s="676">
        <f>'3.Komplikasi'!AJ81</f>
        <v>1</v>
      </c>
      <c r="AG82" s="676">
        <f t="shared" si="60"/>
        <v>2</v>
      </c>
      <c r="AH82" s="673">
        <f t="shared" si="51"/>
        <v>2</v>
      </c>
      <c r="AI82" s="673">
        <f t="shared" si="52"/>
        <v>2</v>
      </c>
      <c r="AJ82" s="673">
        <f t="shared" si="53"/>
        <v>2</v>
      </c>
      <c r="AK82" s="673">
        <f t="shared" si="54"/>
        <v>2</v>
      </c>
      <c r="AL82" s="673">
        <f t="shared" si="55"/>
        <v>2</v>
      </c>
    </row>
    <row r="83" spans="1:38" ht="20.149999999999999" customHeight="1" x14ac:dyDescent="0.35">
      <c r="A83" s="507">
        <v>7</v>
      </c>
      <c r="B83" s="702" t="str">
        <f>PETUNJUK!B15</f>
        <v>Karangrandu</v>
      </c>
      <c r="C83" s="507">
        <f t="shared" ref="C83:E83" si="64">C49</f>
        <v>93.500000000000014</v>
      </c>
      <c r="D83" s="507">
        <f t="shared" si="64"/>
        <v>89.25</v>
      </c>
      <c r="E83" s="507">
        <f t="shared" si="64"/>
        <v>18.700000000000003</v>
      </c>
      <c r="F83" s="676">
        <v>7</v>
      </c>
      <c r="G83" s="676">
        <v>2</v>
      </c>
      <c r="H83" s="676">
        <v>7</v>
      </c>
      <c r="I83" s="676">
        <v>7</v>
      </c>
      <c r="J83" s="676">
        <v>5</v>
      </c>
      <c r="K83" s="676">
        <v>8</v>
      </c>
      <c r="L83" s="676">
        <v>8</v>
      </c>
      <c r="M83" s="676">
        <v>7</v>
      </c>
      <c r="N83" s="676">
        <v>8</v>
      </c>
      <c r="O83" s="676">
        <v>8</v>
      </c>
      <c r="P83" s="676">
        <v>8</v>
      </c>
      <c r="Q83" s="676"/>
      <c r="R83" s="676"/>
      <c r="S83" s="676"/>
      <c r="T83" s="676">
        <v>5</v>
      </c>
      <c r="U83" s="676">
        <v>2</v>
      </c>
      <c r="V83" s="346">
        <f t="shared" si="48"/>
        <v>7</v>
      </c>
      <c r="W83" s="346">
        <f t="shared" si="49"/>
        <v>7</v>
      </c>
      <c r="X83" s="346">
        <f t="shared" si="50"/>
        <v>5</v>
      </c>
      <c r="Y83" s="676">
        <v>3</v>
      </c>
      <c r="Z83" s="676">
        <v>2</v>
      </c>
      <c r="AA83" s="676">
        <f t="shared" si="57"/>
        <v>3</v>
      </c>
      <c r="AB83" s="676">
        <v>9</v>
      </c>
      <c r="AC83" s="676">
        <f t="shared" si="58"/>
        <v>9</v>
      </c>
      <c r="AD83" s="676"/>
      <c r="AE83" s="676"/>
      <c r="AF83" s="676">
        <f>'3.Komplikasi'!AJ82</f>
        <v>1</v>
      </c>
      <c r="AG83" s="676">
        <f t="shared" si="60"/>
        <v>9</v>
      </c>
      <c r="AH83" s="673">
        <f t="shared" si="51"/>
        <v>9</v>
      </c>
      <c r="AI83" s="673">
        <f t="shared" si="52"/>
        <v>9</v>
      </c>
      <c r="AJ83" s="673">
        <f t="shared" si="53"/>
        <v>9</v>
      </c>
      <c r="AK83" s="673">
        <f t="shared" si="54"/>
        <v>9</v>
      </c>
      <c r="AL83" s="673">
        <f t="shared" si="55"/>
        <v>9</v>
      </c>
    </row>
    <row r="84" spans="1:38" ht="20.149999999999999" customHeight="1" x14ac:dyDescent="0.35">
      <c r="A84" s="507">
        <v>8</v>
      </c>
      <c r="B84" s="702" t="str">
        <f>PETUNJUK!B16</f>
        <v>Kaliombo</v>
      </c>
      <c r="C84" s="507">
        <f t="shared" ref="C84:E84" si="65">C50</f>
        <v>46.2</v>
      </c>
      <c r="D84" s="507">
        <f t="shared" si="65"/>
        <v>44.1</v>
      </c>
      <c r="E84" s="507">
        <f t="shared" si="65"/>
        <v>9.24</v>
      </c>
      <c r="F84" s="676">
        <v>2</v>
      </c>
      <c r="G84" s="676">
        <v>1</v>
      </c>
      <c r="H84" s="676">
        <v>2</v>
      </c>
      <c r="I84" s="676">
        <v>2</v>
      </c>
      <c r="J84" s="676">
        <v>2</v>
      </c>
      <c r="K84" s="676">
        <v>2</v>
      </c>
      <c r="L84" s="676">
        <v>2</v>
      </c>
      <c r="M84" s="676">
        <v>2</v>
      </c>
      <c r="N84" s="676">
        <v>2</v>
      </c>
      <c r="O84" s="676">
        <v>2</v>
      </c>
      <c r="P84" s="676">
        <v>2</v>
      </c>
      <c r="Q84" s="676"/>
      <c r="R84" s="676"/>
      <c r="S84" s="676"/>
      <c r="T84" s="676">
        <v>0</v>
      </c>
      <c r="U84" s="676">
        <v>2</v>
      </c>
      <c r="V84" s="346">
        <f t="shared" si="48"/>
        <v>2</v>
      </c>
      <c r="W84" s="346">
        <f t="shared" si="49"/>
        <v>2</v>
      </c>
      <c r="X84" s="346">
        <f t="shared" si="50"/>
        <v>2</v>
      </c>
      <c r="Y84" s="676">
        <v>2</v>
      </c>
      <c r="Z84" s="676">
        <v>2</v>
      </c>
      <c r="AA84" s="676">
        <f t="shared" si="57"/>
        <v>2</v>
      </c>
      <c r="AB84" s="676">
        <v>2</v>
      </c>
      <c r="AC84" s="676">
        <f t="shared" si="58"/>
        <v>2</v>
      </c>
      <c r="AD84" s="676"/>
      <c r="AE84" s="676"/>
      <c r="AF84" s="676">
        <f>'3.Komplikasi'!AJ83</f>
        <v>1</v>
      </c>
      <c r="AG84" s="676">
        <f t="shared" si="60"/>
        <v>2</v>
      </c>
      <c r="AH84" s="673">
        <f t="shared" si="51"/>
        <v>2</v>
      </c>
      <c r="AI84" s="673">
        <f t="shared" si="52"/>
        <v>2</v>
      </c>
      <c r="AJ84" s="673">
        <f t="shared" si="53"/>
        <v>2</v>
      </c>
      <c r="AK84" s="673">
        <f t="shared" si="54"/>
        <v>2</v>
      </c>
      <c r="AL84" s="673">
        <f t="shared" si="55"/>
        <v>2</v>
      </c>
    </row>
    <row r="85" spans="1:38" ht="20.149999999999999" customHeight="1" x14ac:dyDescent="0.35">
      <c r="A85" s="507" t="s">
        <v>293</v>
      </c>
      <c r="B85" s="702" t="str">
        <f>PETUNJUK!B17</f>
        <v>Gemulung</v>
      </c>
      <c r="C85" s="507">
        <f t="shared" ref="C85:E85" si="66">C51</f>
        <v>53.900000000000006</v>
      </c>
      <c r="D85" s="507">
        <f t="shared" si="66"/>
        <v>51.45</v>
      </c>
      <c r="E85" s="507">
        <f t="shared" si="66"/>
        <v>10.780000000000001</v>
      </c>
      <c r="F85" s="676">
        <v>5</v>
      </c>
      <c r="G85" s="676">
        <v>0</v>
      </c>
      <c r="H85" s="676">
        <v>3</v>
      </c>
      <c r="I85" s="676">
        <v>3</v>
      </c>
      <c r="J85" s="676">
        <v>5</v>
      </c>
      <c r="K85" s="676">
        <v>4</v>
      </c>
      <c r="L85" s="676">
        <v>4</v>
      </c>
      <c r="M85" s="676">
        <v>5</v>
      </c>
      <c r="N85" s="676">
        <v>4</v>
      </c>
      <c r="O85" s="676">
        <v>4</v>
      </c>
      <c r="P85" s="676">
        <v>3</v>
      </c>
      <c r="Q85" s="676"/>
      <c r="R85" s="676"/>
      <c r="S85" s="676"/>
      <c r="T85" s="676">
        <v>2</v>
      </c>
      <c r="U85" s="676">
        <v>3</v>
      </c>
      <c r="V85" s="346">
        <f t="shared" si="48"/>
        <v>5</v>
      </c>
      <c r="W85" s="346">
        <f t="shared" si="49"/>
        <v>5</v>
      </c>
      <c r="X85" s="346">
        <f t="shared" si="50"/>
        <v>5</v>
      </c>
      <c r="Y85" s="676">
        <v>0</v>
      </c>
      <c r="Z85" s="676">
        <v>0</v>
      </c>
      <c r="AA85" s="676">
        <f t="shared" si="57"/>
        <v>0</v>
      </c>
      <c r="AB85" s="676">
        <v>8</v>
      </c>
      <c r="AC85" s="676">
        <f t="shared" si="58"/>
        <v>8</v>
      </c>
      <c r="AD85" s="676"/>
      <c r="AE85" s="676"/>
      <c r="AF85" s="676">
        <f>'3.Komplikasi'!AJ84</f>
        <v>4</v>
      </c>
      <c r="AG85" s="676">
        <f t="shared" si="60"/>
        <v>8</v>
      </c>
      <c r="AH85" s="673">
        <f t="shared" si="51"/>
        <v>8</v>
      </c>
      <c r="AI85" s="673">
        <f t="shared" si="52"/>
        <v>8</v>
      </c>
      <c r="AJ85" s="673">
        <f t="shared" si="53"/>
        <v>8</v>
      </c>
      <c r="AK85" s="673">
        <f t="shared" si="54"/>
        <v>8</v>
      </c>
      <c r="AL85" s="673">
        <f t="shared" si="55"/>
        <v>8</v>
      </c>
    </row>
    <row r="86" spans="1:38" ht="20.149999999999999" customHeight="1" x14ac:dyDescent="0.35">
      <c r="A86" s="507">
        <v>6</v>
      </c>
      <c r="B86" s="702" t="str">
        <f>PETUNJUK!B18</f>
        <v>Pecangaan Wetan</v>
      </c>
      <c r="C86" s="507">
        <f t="shared" ref="C86:E86" si="67">C52</f>
        <v>50.6</v>
      </c>
      <c r="D86" s="507">
        <f t="shared" si="67"/>
        <v>48.300000000000004</v>
      </c>
      <c r="E86" s="507">
        <f t="shared" si="67"/>
        <v>10.120000000000001</v>
      </c>
      <c r="F86" s="676">
        <v>2</v>
      </c>
      <c r="G86" s="676">
        <v>0</v>
      </c>
      <c r="H86" s="676">
        <v>2</v>
      </c>
      <c r="I86" s="676">
        <v>2</v>
      </c>
      <c r="J86" s="676">
        <v>3</v>
      </c>
      <c r="K86" s="676">
        <v>3</v>
      </c>
      <c r="L86" s="676">
        <v>3</v>
      </c>
      <c r="M86" s="676">
        <v>3</v>
      </c>
      <c r="N86" s="676">
        <v>3</v>
      </c>
      <c r="O86" s="676">
        <v>3</v>
      </c>
      <c r="P86" s="676">
        <v>1</v>
      </c>
      <c r="Q86" s="676"/>
      <c r="R86" s="676"/>
      <c r="S86" s="676"/>
      <c r="T86" s="676">
        <v>1</v>
      </c>
      <c r="U86" s="676">
        <v>1</v>
      </c>
      <c r="V86" s="346">
        <f t="shared" si="48"/>
        <v>2</v>
      </c>
      <c r="W86" s="346">
        <f t="shared" si="49"/>
        <v>2</v>
      </c>
      <c r="X86" s="346">
        <f t="shared" si="50"/>
        <v>3</v>
      </c>
      <c r="Y86" s="676">
        <v>1</v>
      </c>
      <c r="Z86" s="676">
        <v>0</v>
      </c>
      <c r="AA86" s="676">
        <f t="shared" si="57"/>
        <v>1</v>
      </c>
      <c r="AB86" s="676">
        <v>1</v>
      </c>
      <c r="AC86" s="676">
        <f t="shared" si="58"/>
        <v>1</v>
      </c>
      <c r="AD86" s="676"/>
      <c r="AE86" s="676"/>
      <c r="AF86" s="676">
        <f>'3.Komplikasi'!AJ85</f>
        <v>0</v>
      </c>
      <c r="AG86" s="676">
        <f t="shared" si="60"/>
        <v>1</v>
      </c>
      <c r="AH86" s="673">
        <f t="shared" si="51"/>
        <v>1</v>
      </c>
      <c r="AI86" s="673">
        <f t="shared" si="52"/>
        <v>1</v>
      </c>
      <c r="AJ86" s="673">
        <f t="shared" si="53"/>
        <v>1</v>
      </c>
      <c r="AK86" s="673">
        <f t="shared" si="54"/>
        <v>1</v>
      </c>
      <c r="AL86" s="673">
        <f t="shared" si="55"/>
        <v>1</v>
      </c>
    </row>
    <row r="87" spans="1:38" ht="20.149999999999999" customHeight="1" x14ac:dyDescent="0.35">
      <c r="A87" s="507">
        <v>11</v>
      </c>
      <c r="B87" s="702" t="str">
        <f>PETUNJUK!B19</f>
        <v>Krasak</v>
      </c>
      <c r="C87" s="507">
        <f t="shared" ref="C87:E87" si="68">C53</f>
        <v>117.7</v>
      </c>
      <c r="D87" s="507">
        <f t="shared" si="68"/>
        <v>112.35000000000001</v>
      </c>
      <c r="E87" s="507">
        <f t="shared" si="68"/>
        <v>23.540000000000003</v>
      </c>
      <c r="F87" s="676">
        <v>9</v>
      </c>
      <c r="G87" s="676">
        <v>0</v>
      </c>
      <c r="H87" s="676">
        <v>9</v>
      </c>
      <c r="I87" s="676">
        <v>9</v>
      </c>
      <c r="J87" s="676">
        <v>5</v>
      </c>
      <c r="K87" s="676">
        <v>7</v>
      </c>
      <c r="L87" s="676">
        <v>7</v>
      </c>
      <c r="M87" s="676">
        <v>4</v>
      </c>
      <c r="N87" s="676">
        <v>8</v>
      </c>
      <c r="O87" s="676">
        <v>6</v>
      </c>
      <c r="P87" s="676">
        <v>11</v>
      </c>
      <c r="Q87" s="676"/>
      <c r="R87" s="676"/>
      <c r="S87" s="676"/>
      <c r="T87" s="676">
        <v>1</v>
      </c>
      <c r="U87" s="676">
        <v>6</v>
      </c>
      <c r="V87" s="346">
        <f t="shared" si="48"/>
        <v>7</v>
      </c>
      <c r="W87" s="346">
        <f t="shared" si="49"/>
        <v>9</v>
      </c>
      <c r="X87" s="346">
        <f t="shared" si="50"/>
        <v>5</v>
      </c>
      <c r="Y87" s="676">
        <v>1</v>
      </c>
      <c r="Z87" s="676">
        <v>1</v>
      </c>
      <c r="AA87" s="676">
        <f t="shared" si="57"/>
        <v>1</v>
      </c>
      <c r="AB87" s="676">
        <v>6</v>
      </c>
      <c r="AC87" s="676">
        <f t="shared" si="58"/>
        <v>6</v>
      </c>
      <c r="AD87" s="676"/>
      <c r="AE87" s="676"/>
      <c r="AF87" s="676">
        <f>'3.Komplikasi'!AJ86</f>
        <v>0</v>
      </c>
      <c r="AG87" s="676">
        <f t="shared" si="60"/>
        <v>6</v>
      </c>
      <c r="AH87" s="673">
        <f t="shared" si="51"/>
        <v>6</v>
      </c>
      <c r="AI87" s="673">
        <f t="shared" si="52"/>
        <v>6</v>
      </c>
      <c r="AJ87" s="673">
        <f t="shared" si="53"/>
        <v>6</v>
      </c>
      <c r="AK87" s="673">
        <f t="shared" si="54"/>
        <v>6</v>
      </c>
      <c r="AL87" s="673">
        <f t="shared" si="55"/>
        <v>6</v>
      </c>
    </row>
    <row r="88" spans="1:38" ht="20.149999999999999" customHeight="1" x14ac:dyDescent="0.35">
      <c r="A88" s="507">
        <v>12</v>
      </c>
      <c r="B88" s="702" t="str">
        <f>PETUNJUK!B20</f>
        <v>Gerdu</v>
      </c>
      <c r="C88" s="507">
        <f t="shared" ref="C88:E88" si="69">C54</f>
        <v>23.1</v>
      </c>
      <c r="D88" s="507">
        <f t="shared" si="69"/>
        <v>22.05</v>
      </c>
      <c r="E88" s="507">
        <f t="shared" si="69"/>
        <v>4.62</v>
      </c>
      <c r="F88" s="676">
        <v>3</v>
      </c>
      <c r="G88" s="676">
        <v>1</v>
      </c>
      <c r="H88" s="676">
        <v>3</v>
      </c>
      <c r="I88" s="676">
        <v>3</v>
      </c>
      <c r="J88" s="676">
        <v>0</v>
      </c>
      <c r="K88" s="676">
        <v>2</v>
      </c>
      <c r="L88" s="676">
        <v>2</v>
      </c>
      <c r="M88" s="676">
        <v>3</v>
      </c>
      <c r="N88" s="676">
        <v>1</v>
      </c>
      <c r="O88" s="676">
        <v>3</v>
      </c>
      <c r="P88" s="676">
        <v>3</v>
      </c>
      <c r="Q88" s="676"/>
      <c r="R88" s="676"/>
      <c r="S88" s="676"/>
      <c r="T88" s="676">
        <v>1</v>
      </c>
      <c r="U88" s="676">
        <v>2</v>
      </c>
      <c r="V88" s="346">
        <f t="shared" si="48"/>
        <v>3</v>
      </c>
      <c r="W88" s="346">
        <f t="shared" si="49"/>
        <v>3</v>
      </c>
      <c r="X88" s="346">
        <f t="shared" si="50"/>
        <v>0</v>
      </c>
      <c r="Y88" s="676">
        <v>2</v>
      </c>
      <c r="Z88" s="676">
        <v>0</v>
      </c>
      <c r="AA88" s="676">
        <f t="shared" si="57"/>
        <v>2</v>
      </c>
      <c r="AB88" s="676">
        <v>0</v>
      </c>
      <c r="AC88" s="676">
        <f t="shared" si="58"/>
        <v>0</v>
      </c>
      <c r="AD88" s="676"/>
      <c r="AE88" s="676"/>
      <c r="AF88" s="676">
        <f>'3.Komplikasi'!AJ87</f>
        <v>0</v>
      </c>
      <c r="AG88" s="676">
        <f t="shared" si="60"/>
        <v>0</v>
      </c>
      <c r="AH88" s="673">
        <f t="shared" si="51"/>
        <v>0</v>
      </c>
      <c r="AI88" s="673">
        <f t="shared" si="52"/>
        <v>0</v>
      </c>
      <c r="AJ88" s="673">
        <f t="shared" si="53"/>
        <v>0</v>
      </c>
      <c r="AK88" s="673">
        <f t="shared" si="54"/>
        <v>0</v>
      </c>
      <c r="AL88" s="673">
        <f t="shared" si="55"/>
        <v>0</v>
      </c>
    </row>
    <row r="89" spans="1:38" ht="20.149999999999999" customHeight="1" x14ac:dyDescent="0.35">
      <c r="A89" s="507">
        <v>13</v>
      </c>
      <c r="B89" s="507">
        <f>PETUNJUK!B21</f>
        <v>0</v>
      </c>
      <c r="C89" s="507">
        <f t="shared" ref="C89:E89" si="70">C55</f>
        <v>0</v>
      </c>
      <c r="D89" s="507">
        <f t="shared" si="70"/>
        <v>0</v>
      </c>
      <c r="E89" s="507">
        <f t="shared" si="70"/>
        <v>0</v>
      </c>
      <c r="F89" s="507"/>
      <c r="G89" s="507"/>
      <c r="H89" s="507"/>
      <c r="I89" s="507"/>
      <c r="J89" s="507"/>
      <c r="K89" s="507"/>
      <c r="L89" s="507"/>
      <c r="M89" s="507"/>
      <c r="N89" s="676"/>
      <c r="O89" s="676"/>
      <c r="P89" s="507"/>
      <c r="Q89" s="507"/>
      <c r="R89" s="507"/>
      <c r="S89" s="507"/>
      <c r="T89" s="507"/>
      <c r="U89" s="507"/>
      <c r="V89" s="507"/>
      <c r="W89" s="507"/>
      <c r="X89" s="507"/>
      <c r="Y89" s="507"/>
      <c r="Z89" s="507"/>
      <c r="AA89" s="507"/>
      <c r="AB89" s="507"/>
      <c r="AC89" s="507"/>
      <c r="AD89" s="507"/>
      <c r="AE89" s="507"/>
      <c r="AF89" s="507"/>
      <c r="AG89" s="507"/>
      <c r="AH89" s="507"/>
      <c r="AI89" s="507"/>
      <c r="AJ89" s="507"/>
      <c r="AK89" s="507"/>
      <c r="AL89" s="507"/>
    </row>
    <row r="90" spans="1:38" ht="20.149999999999999" customHeight="1" x14ac:dyDescent="0.35">
      <c r="A90" s="507">
        <v>14</v>
      </c>
      <c r="B90" s="507">
        <f>PETUNJUK!B22</f>
        <v>0</v>
      </c>
      <c r="C90" s="507">
        <f t="shared" ref="C90:E90" si="71">C56</f>
        <v>0</v>
      </c>
      <c r="D90" s="507">
        <f t="shared" si="71"/>
        <v>0</v>
      </c>
      <c r="E90" s="507">
        <f t="shared" si="71"/>
        <v>0</v>
      </c>
      <c r="F90" s="507"/>
      <c r="G90" s="507"/>
      <c r="H90" s="507"/>
      <c r="I90" s="507"/>
      <c r="J90" s="507"/>
      <c r="K90" s="507"/>
      <c r="L90" s="507"/>
      <c r="M90" s="507"/>
      <c r="N90" s="676"/>
      <c r="O90" s="676"/>
      <c r="P90" s="507"/>
      <c r="Q90" s="507"/>
      <c r="R90" s="507"/>
      <c r="S90" s="507"/>
      <c r="T90" s="507"/>
      <c r="U90" s="507"/>
      <c r="V90" s="507"/>
      <c r="W90" s="507"/>
      <c r="X90" s="507"/>
      <c r="Y90" s="507"/>
      <c r="Z90" s="507"/>
      <c r="AA90" s="507"/>
      <c r="AB90" s="507"/>
      <c r="AC90" s="507"/>
      <c r="AD90" s="507"/>
      <c r="AE90" s="507"/>
      <c r="AF90" s="507"/>
      <c r="AG90" s="507"/>
      <c r="AH90" s="507"/>
      <c r="AI90" s="507"/>
      <c r="AJ90" s="507"/>
      <c r="AK90" s="507"/>
      <c r="AL90" s="507"/>
    </row>
    <row r="91" spans="1:38" ht="20.149999999999999" customHeight="1" x14ac:dyDescent="0.35">
      <c r="A91" s="507">
        <v>15</v>
      </c>
      <c r="B91" s="507">
        <f>PETUNJUK!B23</f>
        <v>0</v>
      </c>
      <c r="C91" s="507">
        <f t="shared" ref="C91:E91" si="72">C57</f>
        <v>0</v>
      </c>
      <c r="D91" s="507">
        <f t="shared" si="72"/>
        <v>0</v>
      </c>
      <c r="E91" s="507">
        <f t="shared" si="72"/>
        <v>0</v>
      </c>
      <c r="F91" s="507"/>
      <c r="G91" s="507"/>
      <c r="H91" s="507"/>
      <c r="I91" s="507"/>
      <c r="J91" s="507"/>
      <c r="K91" s="507"/>
      <c r="L91" s="507"/>
      <c r="M91" s="507"/>
      <c r="N91" s="676"/>
      <c r="O91" s="676"/>
      <c r="P91" s="507"/>
      <c r="Q91" s="507"/>
      <c r="R91" s="507"/>
      <c r="S91" s="507"/>
      <c r="T91" s="507"/>
      <c r="U91" s="507"/>
      <c r="V91" s="507"/>
      <c r="W91" s="507"/>
      <c r="X91" s="507"/>
      <c r="Y91" s="507"/>
      <c r="Z91" s="507"/>
      <c r="AA91" s="507"/>
      <c r="AB91" s="507"/>
      <c r="AC91" s="507"/>
      <c r="AD91" s="507"/>
      <c r="AE91" s="507"/>
      <c r="AF91" s="507"/>
      <c r="AG91" s="507"/>
      <c r="AH91" s="507"/>
      <c r="AI91" s="507"/>
      <c r="AJ91" s="507"/>
      <c r="AK91" s="507"/>
      <c r="AL91" s="507"/>
    </row>
    <row r="92" spans="1:38" ht="20.149999999999999" customHeight="1" x14ac:dyDescent="0.35">
      <c r="A92" s="507">
        <v>16</v>
      </c>
      <c r="B92" s="507">
        <f>PETUNJUK!B24</f>
        <v>0</v>
      </c>
      <c r="C92" s="507">
        <f t="shared" ref="C92:E92" si="73">C58</f>
        <v>0</v>
      </c>
      <c r="D92" s="507">
        <f t="shared" si="73"/>
        <v>0</v>
      </c>
      <c r="E92" s="507">
        <f t="shared" si="73"/>
        <v>0</v>
      </c>
      <c r="F92" s="507"/>
      <c r="G92" s="507"/>
      <c r="H92" s="507"/>
      <c r="I92" s="507"/>
      <c r="J92" s="507"/>
      <c r="K92" s="507"/>
      <c r="L92" s="507"/>
      <c r="M92" s="507"/>
      <c r="N92" s="676"/>
      <c r="O92" s="676"/>
      <c r="P92" s="507"/>
      <c r="Q92" s="507"/>
      <c r="R92" s="507"/>
      <c r="S92" s="507"/>
      <c r="T92" s="507"/>
      <c r="U92" s="507"/>
      <c r="V92" s="507"/>
      <c r="W92" s="507"/>
      <c r="X92" s="507"/>
      <c r="Y92" s="507"/>
      <c r="Z92" s="507"/>
      <c r="AA92" s="507"/>
      <c r="AB92" s="507"/>
      <c r="AC92" s="507"/>
      <c r="AD92" s="507"/>
      <c r="AE92" s="507"/>
      <c r="AF92" s="507"/>
      <c r="AG92" s="507"/>
      <c r="AH92" s="507"/>
      <c r="AI92" s="507"/>
      <c r="AJ92" s="507"/>
      <c r="AK92" s="507"/>
      <c r="AL92" s="507"/>
    </row>
    <row r="93" spans="1:38" ht="20.149999999999999" customHeight="1" x14ac:dyDescent="0.35">
      <c r="A93" s="507">
        <v>17</v>
      </c>
      <c r="B93" s="507">
        <f>PETUNJUK!B25</f>
        <v>0</v>
      </c>
      <c r="C93" s="507">
        <f t="shared" ref="C93:E93" si="74">C59</f>
        <v>0</v>
      </c>
      <c r="D93" s="507">
        <f t="shared" si="74"/>
        <v>0</v>
      </c>
      <c r="E93" s="507">
        <f t="shared" si="74"/>
        <v>0</v>
      </c>
      <c r="F93" s="507"/>
      <c r="G93" s="507"/>
      <c r="H93" s="507"/>
      <c r="I93" s="507"/>
      <c r="J93" s="507"/>
      <c r="K93" s="507"/>
      <c r="L93" s="507"/>
      <c r="M93" s="507"/>
      <c r="N93" s="676"/>
      <c r="O93" s="676"/>
      <c r="P93" s="507"/>
      <c r="Q93" s="507"/>
      <c r="R93" s="507"/>
      <c r="S93" s="507"/>
      <c r="T93" s="507"/>
      <c r="U93" s="507"/>
      <c r="V93" s="507"/>
      <c r="W93" s="507"/>
      <c r="X93" s="507"/>
      <c r="Y93" s="507"/>
      <c r="Z93" s="507"/>
      <c r="AA93" s="507"/>
      <c r="AB93" s="507"/>
      <c r="AC93" s="507"/>
      <c r="AD93" s="507"/>
      <c r="AE93" s="507"/>
      <c r="AF93" s="507"/>
      <c r="AG93" s="507"/>
      <c r="AH93" s="507"/>
      <c r="AI93" s="507"/>
      <c r="AJ93" s="507"/>
      <c r="AK93" s="507"/>
      <c r="AL93" s="507"/>
    </row>
    <row r="94" spans="1:38" ht="20.149999999999999" customHeight="1" x14ac:dyDescent="0.35">
      <c r="A94" s="507">
        <v>18</v>
      </c>
      <c r="B94" s="507">
        <f>PETUNJUK!B26</f>
        <v>0</v>
      </c>
      <c r="C94" s="507">
        <f t="shared" ref="C94:E94" si="75">C60</f>
        <v>0</v>
      </c>
      <c r="D94" s="507">
        <f t="shared" si="75"/>
        <v>0</v>
      </c>
      <c r="E94" s="507">
        <f t="shared" si="75"/>
        <v>0</v>
      </c>
      <c r="F94" s="507"/>
      <c r="G94" s="507"/>
      <c r="H94" s="507"/>
      <c r="I94" s="507"/>
      <c r="J94" s="507"/>
      <c r="K94" s="507"/>
      <c r="L94" s="507"/>
      <c r="M94" s="507"/>
      <c r="N94" s="676"/>
      <c r="O94" s="676"/>
      <c r="P94" s="507"/>
      <c r="Q94" s="507"/>
      <c r="R94" s="507"/>
      <c r="S94" s="507"/>
      <c r="T94" s="507"/>
      <c r="U94" s="507"/>
      <c r="V94" s="507"/>
      <c r="W94" s="507"/>
      <c r="X94" s="507"/>
      <c r="Y94" s="507"/>
      <c r="Z94" s="507"/>
      <c r="AA94" s="507"/>
      <c r="AB94" s="507"/>
      <c r="AC94" s="507"/>
      <c r="AD94" s="507"/>
      <c r="AE94" s="507"/>
      <c r="AF94" s="507"/>
      <c r="AG94" s="507"/>
      <c r="AH94" s="507"/>
      <c r="AI94" s="507"/>
      <c r="AJ94" s="507"/>
      <c r="AK94" s="507"/>
      <c r="AL94" s="507"/>
    </row>
    <row r="95" spans="1:38" ht="20.149999999999999" customHeight="1" x14ac:dyDescent="0.35">
      <c r="A95" s="507">
        <v>19</v>
      </c>
      <c r="B95" s="507">
        <f>PETUNJUK!B27</f>
        <v>0</v>
      </c>
      <c r="C95" s="507">
        <f t="shared" ref="C95:E95" si="76">C61</f>
        <v>0</v>
      </c>
      <c r="D95" s="507">
        <f t="shared" si="76"/>
        <v>0</v>
      </c>
      <c r="E95" s="507">
        <f t="shared" si="76"/>
        <v>0</v>
      </c>
      <c r="F95" s="507"/>
      <c r="G95" s="507"/>
      <c r="H95" s="507"/>
      <c r="I95" s="507"/>
      <c r="J95" s="507"/>
      <c r="K95" s="507"/>
      <c r="L95" s="507"/>
      <c r="M95" s="507"/>
      <c r="N95" s="676"/>
      <c r="O95" s="676"/>
      <c r="P95" s="507"/>
      <c r="Q95" s="507"/>
      <c r="R95" s="507"/>
      <c r="S95" s="507"/>
      <c r="T95" s="507"/>
      <c r="U95" s="507"/>
      <c r="V95" s="507"/>
      <c r="W95" s="507"/>
      <c r="X95" s="507"/>
      <c r="Y95" s="507"/>
      <c r="Z95" s="507"/>
      <c r="AA95" s="507"/>
      <c r="AB95" s="507"/>
      <c r="AC95" s="507"/>
      <c r="AD95" s="507"/>
      <c r="AE95" s="507"/>
      <c r="AF95" s="507"/>
      <c r="AG95" s="507"/>
      <c r="AH95" s="507"/>
      <c r="AI95" s="507"/>
      <c r="AJ95" s="507"/>
      <c r="AK95" s="507"/>
      <c r="AL95" s="507"/>
    </row>
    <row r="96" spans="1:38" ht="20.149999999999999" customHeight="1" x14ac:dyDescent="0.35">
      <c r="A96" s="507">
        <v>20</v>
      </c>
      <c r="B96" s="507">
        <f>PETUNJUK!B28</f>
        <v>0</v>
      </c>
      <c r="C96" s="507">
        <f t="shared" ref="C96:E96" si="77">C62</f>
        <v>0</v>
      </c>
      <c r="D96" s="507">
        <f t="shared" si="77"/>
        <v>0</v>
      </c>
      <c r="E96" s="507">
        <f t="shared" si="77"/>
        <v>0</v>
      </c>
      <c r="F96" s="507"/>
      <c r="G96" s="507"/>
      <c r="H96" s="507"/>
      <c r="I96" s="507"/>
      <c r="J96" s="507"/>
      <c r="K96" s="507"/>
      <c r="L96" s="507"/>
      <c r="M96" s="507"/>
      <c r="N96" s="676"/>
      <c r="O96" s="676"/>
      <c r="P96" s="507"/>
      <c r="Q96" s="507"/>
      <c r="R96" s="507"/>
      <c r="S96" s="507"/>
      <c r="T96" s="507"/>
      <c r="U96" s="507"/>
      <c r="V96" s="507"/>
      <c r="W96" s="507"/>
      <c r="X96" s="507"/>
      <c r="Y96" s="507"/>
      <c r="Z96" s="507"/>
      <c r="AA96" s="507"/>
      <c r="AB96" s="507"/>
      <c r="AC96" s="507"/>
      <c r="AD96" s="507"/>
      <c r="AE96" s="507"/>
      <c r="AF96" s="507"/>
      <c r="AG96" s="507"/>
      <c r="AH96" s="507"/>
      <c r="AI96" s="507"/>
      <c r="AJ96" s="507"/>
      <c r="AK96" s="507"/>
      <c r="AL96" s="507"/>
    </row>
    <row r="97" spans="1:38" ht="20.149999999999999" customHeight="1" x14ac:dyDescent="0.35">
      <c r="A97" s="507">
        <v>21</v>
      </c>
      <c r="B97" s="507">
        <f>PETUNJUK!B29</f>
        <v>0</v>
      </c>
      <c r="C97" s="507">
        <f t="shared" ref="C97:E97" si="78">C63</f>
        <v>0</v>
      </c>
      <c r="D97" s="507">
        <f t="shared" si="78"/>
        <v>0</v>
      </c>
      <c r="E97" s="507">
        <f t="shared" si="78"/>
        <v>0</v>
      </c>
      <c r="F97" s="507"/>
      <c r="G97" s="507"/>
      <c r="H97" s="507"/>
      <c r="I97" s="507"/>
      <c r="J97" s="507"/>
      <c r="K97" s="507"/>
      <c r="L97" s="507"/>
      <c r="M97" s="507"/>
      <c r="N97" s="676"/>
      <c r="O97" s="676"/>
      <c r="P97" s="507"/>
      <c r="Q97" s="507"/>
      <c r="R97" s="507"/>
      <c r="S97" s="507"/>
      <c r="T97" s="507"/>
      <c r="U97" s="507"/>
      <c r="V97" s="507"/>
      <c r="W97" s="507"/>
      <c r="X97" s="507"/>
      <c r="Y97" s="507"/>
      <c r="Z97" s="507"/>
      <c r="AA97" s="507"/>
      <c r="AB97" s="507"/>
      <c r="AC97" s="507"/>
      <c r="AD97" s="507"/>
      <c r="AE97" s="507"/>
      <c r="AF97" s="507"/>
      <c r="AG97" s="507"/>
      <c r="AH97" s="507"/>
      <c r="AI97" s="507"/>
      <c r="AJ97" s="507"/>
      <c r="AK97" s="507"/>
      <c r="AL97" s="507"/>
    </row>
    <row r="98" spans="1:38" ht="20.149999999999999" customHeight="1" thickBot="1" x14ac:dyDescent="0.4">
      <c r="A98" s="512">
        <v>22</v>
      </c>
      <c r="B98" s="512">
        <f>PETUNJUK!B30</f>
        <v>0</v>
      </c>
      <c r="C98" s="507">
        <f t="shared" ref="C98:E98" si="79">C64</f>
        <v>0</v>
      </c>
      <c r="D98" s="507">
        <f t="shared" si="79"/>
        <v>0</v>
      </c>
      <c r="E98" s="507">
        <f t="shared" si="79"/>
        <v>0</v>
      </c>
      <c r="F98" s="512"/>
      <c r="G98" s="512"/>
      <c r="H98" s="512"/>
      <c r="I98" s="512"/>
      <c r="J98" s="512"/>
      <c r="K98" s="512"/>
      <c r="L98" s="512"/>
      <c r="M98" s="512"/>
      <c r="N98" s="521"/>
      <c r="O98" s="521"/>
      <c r="P98" s="512"/>
      <c r="Q98" s="512"/>
      <c r="R98" s="512"/>
      <c r="S98" s="512"/>
      <c r="T98" s="512"/>
      <c r="U98" s="512"/>
      <c r="V98" s="512"/>
      <c r="W98" s="512"/>
      <c r="X98" s="512"/>
      <c r="Y98" s="512"/>
      <c r="Z98" s="512"/>
      <c r="AA98" s="512"/>
      <c r="AB98" s="512"/>
      <c r="AC98" s="512"/>
      <c r="AD98" s="512"/>
      <c r="AE98" s="512"/>
      <c r="AF98" s="512"/>
      <c r="AG98" s="512"/>
      <c r="AH98" s="512"/>
      <c r="AI98" s="512"/>
      <c r="AJ98" s="512"/>
      <c r="AK98" s="512"/>
      <c r="AL98" s="512"/>
    </row>
    <row r="99" spans="1:38" ht="20.149999999999999" customHeight="1" thickBot="1" x14ac:dyDescent="0.4">
      <c r="A99" s="744" t="s">
        <v>18</v>
      </c>
      <c r="B99" s="745"/>
      <c r="C99" s="513">
        <f>SUM(C77:C98)</f>
        <v>1067</v>
      </c>
      <c r="D99" s="513">
        <f t="shared" ref="D99:AL99" si="80">SUM(D77:D98)</f>
        <v>1018.5</v>
      </c>
      <c r="E99" s="513">
        <f t="shared" si="80"/>
        <v>213.40000000000003</v>
      </c>
      <c r="F99" s="513">
        <f t="shared" si="80"/>
        <v>78</v>
      </c>
      <c r="G99" s="513">
        <f t="shared" si="80"/>
        <v>10</v>
      </c>
      <c r="H99" s="513">
        <f t="shared" si="80"/>
        <v>77</v>
      </c>
      <c r="I99" s="513">
        <f t="shared" si="80"/>
        <v>77</v>
      </c>
      <c r="J99" s="513">
        <f t="shared" si="80"/>
        <v>65</v>
      </c>
      <c r="K99" s="513">
        <f t="shared" si="80"/>
        <v>71</v>
      </c>
      <c r="L99" s="513">
        <f t="shared" si="80"/>
        <v>71</v>
      </c>
      <c r="M99" s="513">
        <f t="shared" si="80"/>
        <v>64</v>
      </c>
      <c r="N99" s="513"/>
      <c r="O99" s="513"/>
      <c r="P99" s="513">
        <f t="shared" si="80"/>
        <v>63</v>
      </c>
      <c r="Q99" s="513">
        <f t="shared" si="80"/>
        <v>0</v>
      </c>
      <c r="R99" s="513">
        <f t="shared" si="80"/>
        <v>0</v>
      </c>
      <c r="S99" s="513">
        <f t="shared" si="80"/>
        <v>0</v>
      </c>
      <c r="T99" s="513">
        <f t="shared" si="80"/>
        <v>28</v>
      </c>
      <c r="U99" s="513">
        <f t="shared" si="80"/>
        <v>49</v>
      </c>
      <c r="V99" s="513">
        <f t="shared" si="80"/>
        <v>77</v>
      </c>
      <c r="W99" s="513">
        <f t="shared" si="80"/>
        <v>78</v>
      </c>
      <c r="X99" s="513">
        <f t="shared" si="80"/>
        <v>65</v>
      </c>
      <c r="Y99" s="513">
        <f t="shared" si="80"/>
        <v>21</v>
      </c>
      <c r="Z99" s="513">
        <f t="shared" si="80"/>
        <v>13</v>
      </c>
      <c r="AA99" s="513">
        <f t="shared" si="80"/>
        <v>21</v>
      </c>
      <c r="AB99" s="513">
        <f t="shared" si="80"/>
        <v>58</v>
      </c>
      <c r="AC99" s="513">
        <f t="shared" si="80"/>
        <v>58</v>
      </c>
      <c r="AD99" s="513">
        <f t="shared" si="80"/>
        <v>0</v>
      </c>
      <c r="AE99" s="513">
        <f t="shared" si="80"/>
        <v>0</v>
      </c>
      <c r="AF99" s="513">
        <f t="shared" si="80"/>
        <v>11</v>
      </c>
      <c r="AG99" s="513">
        <f t="shared" si="80"/>
        <v>59</v>
      </c>
      <c r="AH99" s="513">
        <f t="shared" si="80"/>
        <v>58</v>
      </c>
      <c r="AI99" s="513">
        <f t="shared" si="80"/>
        <v>58</v>
      </c>
      <c r="AJ99" s="519">
        <f t="shared" si="80"/>
        <v>58</v>
      </c>
      <c r="AK99" s="519">
        <f t="shared" si="80"/>
        <v>58</v>
      </c>
      <c r="AL99" s="520">
        <f t="shared" si="80"/>
        <v>58</v>
      </c>
    </row>
    <row r="100" spans="1:38" ht="15.5" x14ac:dyDescent="0.35">
      <c r="A100" s="514"/>
      <c r="B100" s="514"/>
      <c r="C100" s="514"/>
      <c r="D100" s="514"/>
      <c r="E100" s="514"/>
      <c r="F100" s="514"/>
      <c r="G100" s="514"/>
      <c r="H100" s="514"/>
      <c r="I100" s="514"/>
      <c r="J100" s="514"/>
      <c r="K100" s="514"/>
      <c r="L100" s="514"/>
      <c r="M100" s="514"/>
      <c r="N100" s="514"/>
      <c r="O100" s="514"/>
      <c r="P100" s="514"/>
      <c r="Q100" s="514"/>
      <c r="R100" s="514"/>
      <c r="S100" s="514"/>
      <c r="T100" s="514"/>
      <c r="U100" s="514"/>
      <c r="V100" s="514"/>
      <c r="W100" s="514"/>
      <c r="X100" s="514"/>
      <c r="Y100" s="514"/>
      <c r="Z100" s="514"/>
      <c r="AA100" s="514"/>
      <c r="AB100" s="514"/>
      <c r="AC100" s="514"/>
      <c r="AD100" s="514"/>
      <c r="AE100" s="514"/>
      <c r="AF100" s="514"/>
      <c r="AG100" s="514"/>
      <c r="AH100" s="514"/>
      <c r="AI100" s="514"/>
      <c r="AJ100" s="514"/>
      <c r="AK100" s="514"/>
      <c r="AL100" s="514"/>
    </row>
    <row r="101" spans="1:38" ht="15.5" x14ac:dyDescent="0.35">
      <c r="A101" s="514"/>
      <c r="B101" s="514"/>
      <c r="C101" s="514"/>
      <c r="D101" s="514"/>
      <c r="E101" s="514"/>
      <c r="F101" s="514"/>
      <c r="G101" s="514"/>
      <c r="H101" s="514"/>
      <c r="I101" s="514"/>
      <c r="J101" s="514"/>
      <c r="K101" s="514"/>
      <c r="L101" s="514"/>
      <c r="M101" s="514"/>
      <c r="N101" s="514"/>
      <c r="O101" s="514"/>
      <c r="P101" s="514"/>
      <c r="Q101" s="514"/>
      <c r="R101" s="514"/>
      <c r="S101" s="514"/>
      <c r="T101" s="514"/>
      <c r="U101" s="514"/>
      <c r="V101" s="514"/>
      <c r="W101" s="514"/>
      <c r="X101" s="514"/>
      <c r="Y101" s="514"/>
      <c r="Z101" s="514"/>
      <c r="AA101" s="514"/>
      <c r="AB101" s="514"/>
      <c r="AC101" s="514"/>
      <c r="AD101" s="514"/>
      <c r="AE101" s="514"/>
      <c r="AF101" s="514"/>
      <c r="AG101" s="514"/>
      <c r="AH101" s="514"/>
      <c r="AI101" s="514"/>
      <c r="AJ101" s="514"/>
      <c r="AK101" s="514"/>
      <c r="AL101" s="514"/>
    </row>
    <row r="102" spans="1:38" ht="15.5" x14ac:dyDescent="0.35">
      <c r="A102" s="514"/>
      <c r="B102" s="514"/>
      <c r="C102" s="514"/>
      <c r="D102" s="514"/>
      <c r="E102" s="514"/>
      <c r="F102" s="514"/>
      <c r="G102" s="514"/>
      <c r="H102" s="514"/>
      <c r="I102" s="514"/>
      <c r="J102" s="514"/>
      <c r="K102" s="514"/>
      <c r="L102" s="514"/>
      <c r="M102" s="514"/>
      <c r="N102" s="514"/>
      <c r="O102" s="514"/>
      <c r="P102" s="514"/>
      <c r="Q102" s="514"/>
      <c r="R102" s="514"/>
      <c r="S102" s="514"/>
      <c r="T102" s="514"/>
      <c r="U102" s="514"/>
      <c r="V102" s="514"/>
      <c r="W102" s="514"/>
      <c r="X102" s="514"/>
      <c r="Y102" s="514"/>
      <c r="Z102" s="514"/>
      <c r="AA102" s="514"/>
      <c r="AB102" s="514"/>
      <c r="AC102" s="514"/>
      <c r="AD102" s="514"/>
      <c r="AE102" s="514"/>
      <c r="AF102" s="514"/>
      <c r="AG102" s="514"/>
      <c r="AH102" s="514"/>
      <c r="AI102" s="514"/>
      <c r="AJ102" s="514"/>
      <c r="AK102" s="514"/>
      <c r="AL102" s="514"/>
    </row>
    <row r="103" spans="1:38" ht="15.5" x14ac:dyDescent="0.35">
      <c r="A103" s="731" t="s">
        <v>239</v>
      </c>
      <c r="B103" s="731"/>
      <c r="C103" s="731"/>
      <c r="D103" s="731"/>
      <c r="E103" s="731"/>
      <c r="F103" s="731"/>
      <c r="G103" s="731"/>
      <c r="H103" s="731"/>
      <c r="I103" s="731"/>
      <c r="J103" s="731"/>
      <c r="K103" s="731"/>
      <c r="L103" s="731"/>
      <c r="M103" s="731"/>
      <c r="N103" s="731"/>
      <c r="O103" s="731"/>
      <c r="P103" s="731"/>
      <c r="Q103" s="731"/>
      <c r="R103" s="731"/>
      <c r="S103" s="731"/>
      <c r="T103" s="731"/>
      <c r="U103" s="731"/>
      <c r="V103" s="731"/>
      <c r="W103" s="731"/>
      <c r="X103" s="731"/>
      <c r="Y103" s="731"/>
      <c r="Z103" s="731"/>
      <c r="AA103" s="731"/>
      <c r="AB103" s="731"/>
      <c r="AC103" s="731"/>
      <c r="AD103" s="731"/>
      <c r="AE103" s="731"/>
      <c r="AF103" s="731"/>
      <c r="AG103" s="731"/>
      <c r="AH103" s="731"/>
      <c r="AI103" s="505"/>
      <c r="AJ103" s="505"/>
      <c r="AK103" s="505"/>
      <c r="AL103" s="505"/>
    </row>
    <row r="104" spans="1:38" ht="15.5" x14ac:dyDescent="0.35">
      <c r="A104" s="505"/>
      <c r="B104" s="505"/>
      <c r="C104" s="505"/>
      <c r="D104" s="505"/>
      <c r="E104" s="505"/>
      <c r="F104" s="505"/>
      <c r="G104" s="505"/>
      <c r="H104" s="505"/>
      <c r="I104" s="505"/>
      <c r="J104" s="505"/>
      <c r="K104" s="505"/>
      <c r="L104" s="505"/>
      <c r="M104" s="505"/>
      <c r="N104" s="505"/>
      <c r="O104" s="505"/>
      <c r="P104" s="505"/>
      <c r="Q104" s="505"/>
      <c r="R104" s="505"/>
      <c r="S104" s="505"/>
      <c r="T104" s="505"/>
      <c r="U104" s="505"/>
      <c r="V104" s="505"/>
      <c r="W104" s="505"/>
      <c r="X104" s="505"/>
      <c r="Y104" s="505"/>
      <c r="Z104" s="505"/>
      <c r="AA104" s="505"/>
      <c r="AB104" s="505"/>
      <c r="AC104" s="505"/>
      <c r="AD104" s="505"/>
      <c r="AE104" s="505"/>
      <c r="AF104" s="505"/>
      <c r="AG104" s="505"/>
      <c r="AH104" s="505"/>
      <c r="AI104" s="505"/>
      <c r="AJ104" s="505"/>
      <c r="AK104" s="505"/>
      <c r="AL104" s="505"/>
    </row>
    <row r="105" spans="1:38" ht="15.5" x14ac:dyDescent="0.35">
      <c r="A105" s="504" t="s">
        <v>168</v>
      </c>
      <c r="B105" s="504"/>
      <c r="C105" s="679" t="str">
        <f>PETUNJUK!C5</f>
        <v>PECANGAAN</v>
      </c>
      <c r="D105" s="504"/>
      <c r="E105" s="504"/>
      <c r="F105" s="504"/>
      <c r="G105" s="504"/>
      <c r="H105" s="504"/>
      <c r="I105" s="504"/>
      <c r="J105" s="504"/>
      <c r="K105" s="504"/>
      <c r="L105" s="504"/>
      <c r="M105" s="504"/>
      <c r="N105" s="504"/>
      <c r="O105" s="504"/>
      <c r="P105" s="504"/>
      <c r="Q105" s="504"/>
      <c r="R105" s="504"/>
      <c r="S105" s="504"/>
      <c r="T105" s="504"/>
      <c r="U105" s="504"/>
      <c r="V105" s="504"/>
      <c r="W105" s="504"/>
      <c r="X105" s="504"/>
      <c r="Y105" s="504"/>
      <c r="Z105" s="504"/>
      <c r="AA105" s="504"/>
      <c r="AB105" s="504"/>
      <c r="AC105" s="504"/>
      <c r="AD105" s="504"/>
      <c r="AE105" s="504"/>
      <c r="AF105" s="504"/>
      <c r="AG105" s="504"/>
      <c r="AH105" s="504"/>
      <c r="AI105" s="505"/>
      <c r="AJ105" s="505"/>
      <c r="AK105" s="505"/>
      <c r="AL105" s="505"/>
    </row>
    <row r="106" spans="1:38" ht="15.5" x14ac:dyDescent="0.35">
      <c r="A106" s="504" t="s">
        <v>169</v>
      </c>
      <c r="B106" s="504"/>
      <c r="C106" s="680" t="s">
        <v>401</v>
      </c>
      <c r="D106" s="504"/>
      <c r="E106" s="504"/>
      <c r="F106" s="504"/>
      <c r="G106" s="504"/>
      <c r="H106" s="504"/>
      <c r="I106" s="504"/>
      <c r="J106" s="504"/>
      <c r="K106" s="504"/>
      <c r="L106" s="504"/>
      <c r="M106" s="504"/>
      <c r="N106" s="504"/>
      <c r="O106" s="504"/>
      <c r="P106" s="504"/>
      <c r="Q106" s="504"/>
      <c r="R106" s="504"/>
      <c r="S106" s="504"/>
      <c r="T106" s="504"/>
      <c r="U106" s="504"/>
      <c r="V106" s="504"/>
      <c r="W106" s="504"/>
      <c r="X106" s="504"/>
      <c r="Y106" s="504"/>
      <c r="Z106" s="504"/>
      <c r="AA106" s="504"/>
      <c r="AB106" s="504"/>
      <c r="AC106" s="504"/>
      <c r="AD106" s="504"/>
      <c r="AE106" s="504"/>
      <c r="AF106" s="504"/>
      <c r="AG106" s="504"/>
      <c r="AH106" s="504"/>
      <c r="AI106" s="505"/>
      <c r="AJ106" s="505"/>
      <c r="AK106" s="505"/>
      <c r="AL106" s="505"/>
    </row>
    <row r="107" spans="1:38" ht="15.5" x14ac:dyDescent="0.35">
      <c r="A107" s="505"/>
      <c r="B107" s="505"/>
      <c r="C107" s="505"/>
      <c r="D107" s="505"/>
      <c r="E107" s="505"/>
      <c r="F107" s="505"/>
      <c r="G107" s="505"/>
      <c r="H107" s="505"/>
      <c r="I107" s="505"/>
      <c r="J107" s="505"/>
      <c r="K107" s="505"/>
      <c r="L107" s="505"/>
      <c r="M107" s="505"/>
      <c r="N107" s="505"/>
      <c r="O107" s="505"/>
      <c r="P107" s="505"/>
      <c r="Q107" s="505"/>
      <c r="R107" s="505"/>
      <c r="S107" s="505"/>
      <c r="T107" s="505"/>
      <c r="U107" s="505"/>
      <c r="V107" s="505"/>
      <c r="W107" s="505"/>
      <c r="X107" s="505"/>
      <c r="Y107" s="505"/>
      <c r="Z107" s="505"/>
      <c r="AA107" s="505"/>
      <c r="AB107" s="505"/>
      <c r="AC107" s="505"/>
      <c r="AD107" s="505"/>
      <c r="AE107" s="505"/>
      <c r="AF107" s="505"/>
      <c r="AG107" s="505"/>
      <c r="AH107" s="505"/>
      <c r="AI107" s="505"/>
      <c r="AJ107" s="505"/>
      <c r="AK107" s="505"/>
      <c r="AL107" s="505"/>
    </row>
    <row r="108" spans="1:38" s="15" customFormat="1" ht="22.5" customHeight="1" x14ac:dyDescent="0.35">
      <c r="A108" s="754" t="s">
        <v>1</v>
      </c>
      <c r="B108" s="754" t="s">
        <v>2</v>
      </c>
      <c r="C108" s="754" t="s">
        <v>174</v>
      </c>
      <c r="D108" s="754"/>
      <c r="E108" s="754"/>
      <c r="F108" s="755" t="s">
        <v>8</v>
      </c>
      <c r="G108" s="759" t="s">
        <v>295</v>
      </c>
      <c r="H108" s="759" t="s">
        <v>296</v>
      </c>
      <c r="I108" s="759" t="s">
        <v>297</v>
      </c>
      <c r="J108" s="739" t="s">
        <v>9</v>
      </c>
      <c r="K108" s="759" t="s">
        <v>298</v>
      </c>
      <c r="L108" s="760" t="s">
        <v>299</v>
      </c>
      <c r="M108" s="758" t="s">
        <v>289</v>
      </c>
      <c r="N108" s="758" t="s">
        <v>422</v>
      </c>
      <c r="O108" s="758" t="s">
        <v>423</v>
      </c>
      <c r="P108" s="739" t="s">
        <v>290</v>
      </c>
      <c r="Q108" s="752" t="s">
        <v>230</v>
      </c>
      <c r="R108" s="753"/>
      <c r="S108" s="753"/>
      <c r="T108" s="753"/>
      <c r="U108" s="753"/>
      <c r="V108" s="753"/>
      <c r="W108" s="755" t="s">
        <v>15</v>
      </c>
      <c r="X108" s="739" t="s">
        <v>16</v>
      </c>
      <c r="Y108" s="735" t="s">
        <v>231</v>
      </c>
      <c r="Z108" s="735"/>
      <c r="AA108" s="736" t="s">
        <v>240</v>
      </c>
      <c r="AB108" s="735" t="s">
        <v>4</v>
      </c>
      <c r="AC108" s="735"/>
      <c r="AD108" s="735"/>
      <c r="AE108" s="735"/>
      <c r="AF108" s="728" t="s">
        <v>237</v>
      </c>
      <c r="AG108" s="736" t="s">
        <v>23</v>
      </c>
      <c r="AH108" s="755" t="s">
        <v>3</v>
      </c>
      <c r="AI108" s="763" t="s">
        <v>238</v>
      </c>
      <c r="AJ108" s="764"/>
      <c r="AK108" s="764"/>
      <c r="AL108" s="765"/>
    </row>
    <row r="109" spans="1:38" s="15" customFormat="1" ht="21" customHeight="1" x14ac:dyDescent="0.35">
      <c r="A109" s="754"/>
      <c r="B109" s="754"/>
      <c r="C109" s="732" t="s">
        <v>5</v>
      </c>
      <c r="D109" s="732" t="s">
        <v>6</v>
      </c>
      <c r="E109" s="732" t="s">
        <v>133</v>
      </c>
      <c r="F109" s="756"/>
      <c r="G109" s="756"/>
      <c r="H109" s="756"/>
      <c r="I109" s="756"/>
      <c r="J109" s="740"/>
      <c r="K109" s="756"/>
      <c r="L109" s="761"/>
      <c r="M109" s="758"/>
      <c r="N109" s="758"/>
      <c r="O109" s="758"/>
      <c r="P109" s="740"/>
      <c r="Q109" s="732" t="s">
        <v>10</v>
      </c>
      <c r="R109" s="732" t="s">
        <v>11</v>
      </c>
      <c r="S109" s="732" t="s">
        <v>12</v>
      </c>
      <c r="T109" s="732" t="s">
        <v>13</v>
      </c>
      <c r="U109" s="732" t="s">
        <v>14</v>
      </c>
      <c r="V109" s="746" t="s">
        <v>227</v>
      </c>
      <c r="W109" s="756"/>
      <c r="X109" s="740"/>
      <c r="Y109" s="748" t="s">
        <v>228</v>
      </c>
      <c r="Z109" s="748" t="s">
        <v>229</v>
      </c>
      <c r="AA109" s="737"/>
      <c r="AB109" s="749" t="s">
        <v>232</v>
      </c>
      <c r="AC109" s="750"/>
      <c r="AD109" s="751"/>
      <c r="AE109" s="733" t="s">
        <v>236</v>
      </c>
      <c r="AF109" s="729"/>
      <c r="AG109" s="737"/>
      <c r="AH109" s="756"/>
      <c r="AI109" s="742" t="s">
        <v>166</v>
      </c>
      <c r="AJ109" s="742" t="s">
        <v>167</v>
      </c>
      <c r="AK109" s="742" t="s">
        <v>134</v>
      </c>
      <c r="AL109" s="742" t="s">
        <v>291</v>
      </c>
    </row>
    <row r="110" spans="1:38" s="15" customFormat="1" ht="77.150000000000006" customHeight="1" x14ac:dyDescent="0.35">
      <c r="A110" s="754"/>
      <c r="B110" s="754"/>
      <c r="C110" s="732"/>
      <c r="D110" s="732"/>
      <c r="E110" s="732"/>
      <c r="F110" s="757"/>
      <c r="G110" s="757"/>
      <c r="H110" s="757"/>
      <c r="I110" s="757"/>
      <c r="J110" s="741"/>
      <c r="K110" s="757"/>
      <c r="L110" s="762"/>
      <c r="M110" s="758"/>
      <c r="N110" s="758"/>
      <c r="O110" s="758"/>
      <c r="P110" s="741"/>
      <c r="Q110" s="732"/>
      <c r="R110" s="732"/>
      <c r="S110" s="732"/>
      <c r="T110" s="732"/>
      <c r="U110" s="732"/>
      <c r="V110" s="747"/>
      <c r="W110" s="757"/>
      <c r="X110" s="741"/>
      <c r="Y110" s="748"/>
      <c r="Z110" s="748"/>
      <c r="AA110" s="738"/>
      <c r="AB110" s="506" t="s">
        <v>233</v>
      </c>
      <c r="AC110" s="681" t="s">
        <v>234</v>
      </c>
      <c r="AD110" s="681" t="s">
        <v>235</v>
      </c>
      <c r="AE110" s="734"/>
      <c r="AF110" s="730"/>
      <c r="AG110" s="738"/>
      <c r="AH110" s="757"/>
      <c r="AI110" s="743"/>
      <c r="AJ110" s="743"/>
      <c r="AK110" s="743"/>
      <c r="AL110" s="743"/>
    </row>
    <row r="111" spans="1:38" ht="20.149999999999999" customHeight="1" x14ac:dyDescent="0.35">
      <c r="A111" s="507">
        <v>1</v>
      </c>
      <c r="B111" s="507" t="str">
        <f>PETUNJUK!B9</f>
        <v>Pecangaan Kulon</v>
      </c>
      <c r="C111" s="507">
        <f>C77</f>
        <v>101.2</v>
      </c>
      <c r="D111" s="507">
        <f t="shared" ref="D111:E111" si="81">D77</f>
        <v>96.600000000000009</v>
      </c>
      <c r="E111" s="507">
        <f t="shared" si="81"/>
        <v>20.240000000000002</v>
      </c>
      <c r="F111" s="507">
        <v>8</v>
      </c>
      <c r="G111" s="507">
        <v>1</v>
      </c>
      <c r="H111" s="507">
        <v>8</v>
      </c>
      <c r="I111" s="507">
        <v>8</v>
      </c>
      <c r="J111" s="507">
        <v>7</v>
      </c>
      <c r="K111" s="507">
        <v>8</v>
      </c>
      <c r="L111" s="507">
        <v>8</v>
      </c>
      <c r="M111" s="507">
        <v>7</v>
      </c>
      <c r="N111" s="676">
        <v>7</v>
      </c>
      <c r="O111" s="676">
        <v>7</v>
      </c>
      <c r="P111" s="507">
        <v>5</v>
      </c>
      <c r="Q111" s="507"/>
      <c r="R111" s="507"/>
      <c r="S111" s="507"/>
      <c r="T111" s="507">
        <v>5</v>
      </c>
      <c r="U111" s="507">
        <v>3</v>
      </c>
      <c r="V111" s="346">
        <f t="shared" ref="V111:V122" si="82">SUM(R111:U111)</f>
        <v>8</v>
      </c>
      <c r="W111" s="346">
        <f t="shared" ref="W111:W122" si="83">F111</f>
        <v>8</v>
      </c>
      <c r="X111" s="346">
        <f t="shared" ref="X111:X122" si="84">J111</f>
        <v>7</v>
      </c>
      <c r="Y111" s="507">
        <v>2</v>
      </c>
      <c r="Z111" s="507">
        <v>1</v>
      </c>
      <c r="AA111" s="507">
        <f>Y111</f>
        <v>2</v>
      </c>
      <c r="AB111" s="507">
        <v>6</v>
      </c>
      <c r="AC111" s="507">
        <f>AB111</f>
        <v>6</v>
      </c>
      <c r="AD111" s="507"/>
      <c r="AE111" s="507"/>
      <c r="AF111" s="507">
        <f>'3.Komplikasi'!AJ111</f>
        <v>4</v>
      </c>
      <c r="AG111" s="507">
        <f>AB111</f>
        <v>6</v>
      </c>
      <c r="AH111" s="673">
        <f t="shared" ref="AH111:AH122" si="85">AB111</f>
        <v>6</v>
      </c>
      <c r="AI111" s="673">
        <f t="shared" ref="AI111:AI122" si="86">AB111</f>
        <v>6</v>
      </c>
      <c r="AJ111" s="673">
        <f t="shared" ref="AJ111:AJ122" si="87">AB111</f>
        <v>6</v>
      </c>
      <c r="AK111" s="673">
        <f t="shared" ref="AK111:AK122" si="88">AB111</f>
        <v>6</v>
      </c>
      <c r="AL111" s="673">
        <f t="shared" ref="AL111:AL122" si="89">AB111</f>
        <v>6</v>
      </c>
    </row>
    <row r="112" spans="1:38" ht="20.149999999999999" customHeight="1" x14ac:dyDescent="0.35">
      <c r="A112" s="507">
        <v>2</v>
      </c>
      <c r="B112" s="507" t="str">
        <f>PETUNJUK!B10</f>
        <v>Rengging</v>
      </c>
      <c r="C112" s="507">
        <f t="shared" ref="C112:E112" si="90">C78</f>
        <v>111.10000000000001</v>
      </c>
      <c r="D112" s="507">
        <f t="shared" si="90"/>
        <v>106.05000000000001</v>
      </c>
      <c r="E112" s="507">
        <f t="shared" si="90"/>
        <v>22.220000000000002</v>
      </c>
      <c r="F112" s="507">
        <v>19</v>
      </c>
      <c r="G112" s="507">
        <v>1</v>
      </c>
      <c r="H112" s="507">
        <v>19</v>
      </c>
      <c r="I112" s="507">
        <v>19</v>
      </c>
      <c r="J112" s="507">
        <v>5</v>
      </c>
      <c r="K112" s="507">
        <v>5</v>
      </c>
      <c r="L112" s="507">
        <v>5</v>
      </c>
      <c r="M112" s="507">
        <v>4</v>
      </c>
      <c r="N112" s="676">
        <v>3</v>
      </c>
      <c r="O112" s="676">
        <v>19</v>
      </c>
      <c r="P112" s="507">
        <v>16</v>
      </c>
      <c r="Q112" s="507"/>
      <c r="R112" s="507"/>
      <c r="S112" s="507"/>
      <c r="T112" s="507">
        <v>14</v>
      </c>
      <c r="U112" s="507">
        <v>5</v>
      </c>
      <c r="V112" s="346">
        <f t="shared" si="82"/>
        <v>19</v>
      </c>
      <c r="W112" s="346">
        <f t="shared" si="83"/>
        <v>19</v>
      </c>
      <c r="X112" s="346">
        <f t="shared" si="84"/>
        <v>5</v>
      </c>
      <c r="Y112" s="507">
        <v>1</v>
      </c>
      <c r="Z112" s="507">
        <v>1</v>
      </c>
      <c r="AA112" s="507">
        <f t="shared" ref="AA112:AA122" si="91">Y112</f>
        <v>1</v>
      </c>
      <c r="AB112" s="507">
        <v>9</v>
      </c>
      <c r="AC112" s="507">
        <f t="shared" ref="AC112:AC122" si="92">AB112</f>
        <v>9</v>
      </c>
      <c r="AD112" s="507"/>
      <c r="AE112" s="507"/>
      <c r="AF112" s="507">
        <f>'3.Komplikasi'!AJ112</f>
        <v>1</v>
      </c>
      <c r="AG112" s="507">
        <f t="shared" ref="AG112:AG122" si="93">AB112</f>
        <v>9</v>
      </c>
      <c r="AH112" s="673">
        <f t="shared" si="85"/>
        <v>9</v>
      </c>
      <c r="AI112" s="673">
        <f t="shared" si="86"/>
        <v>9</v>
      </c>
      <c r="AJ112" s="673">
        <f t="shared" si="87"/>
        <v>9</v>
      </c>
      <c r="AK112" s="673">
        <f t="shared" si="88"/>
        <v>9</v>
      </c>
      <c r="AL112" s="673">
        <f t="shared" si="89"/>
        <v>9</v>
      </c>
    </row>
    <row r="113" spans="1:38" ht="20.149999999999999" customHeight="1" x14ac:dyDescent="0.35">
      <c r="A113" s="507">
        <v>3</v>
      </c>
      <c r="B113" s="507" t="str">
        <f>PETUNJUK!B11</f>
        <v>Troso</v>
      </c>
      <c r="C113" s="507">
        <f t="shared" ref="C113:E113" si="94">C79</f>
        <v>205.70000000000002</v>
      </c>
      <c r="D113" s="507">
        <f t="shared" si="94"/>
        <v>196.35</v>
      </c>
      <c r="E113" s="507">
        <f t="shared" si="94"/>
        <v>41.140000000000008</v>
      </c>
      <c r="F113" s="507">
        <v>26</v>
      </c>
      <c r="G113" s="507">
        <v>1</v>
      </c>
      <c r="H113" s="507">
        <v>26</v>
      </c>
      <c r="I113" s="507">
        <v>26</v>
      </c>
      <c r="J113" s="507">
        <v>19</v>
      </c>
      <c r="K113" s="507">
        <v>21</v>
      </c>
      <c r="L113" s="507">
        <v>21</v>
      </c>
      <c r="M113" s="507">
        <v>21</v>
      </c>
      <c r="N113" s="676">
        <v>20</v>
      </c>
      <c r="O113" s="676">
        <v>21</v>
      </c>
      <c r="P113" s="507">
        <v>24</v>
      </c>
      <c r="Q113" s="507"/>
      <c r="R113" s="507"/>
      <c r="S113" s="507"/>
      <c r="T113" s="507">
        <v>14</v>
      </c>
      <c r="U113" s="507">
        <v>12</v>
      </c>
      <c r="V113" s="346">
        <f t="shared" si="82"/>
        <v>26</v>
      </c>
      <c r="W113" s="346">
        <f t="shared" si="83"/>
        <v>26</v>
      </c>
      <c r="X113" s="346">
        <f t="shared" si="84"/>
        <v>19</v>
      </c>
      <c r="Y113" s="507">
        <v>10</v>
      </c>
      <c r="Z113" s="507">
        <v>0</v>
      </c>
      <c r="AA113" s="507">
        <f t="shared" si="91"/>
        <v>10</v>
      </c>
      <c r="AB113" s="507">
        <v>14</v>
      </c>
      <c r="AC113" s="507">
        <f t="shared" si="92"/>
        <v>14</v>
      </c>
      <c r="AD113" s="507"/>
      <c r="AE113" s="507"/>
      <c r="AF113" s="507">
        <f>'3.Komplikasi'!AJ113</f>
        <v>5</v>
      </c>
      <c r="AG113" s="507">
        <f t="shared" si="93"/>
        <v>14</v>
      </c>
      <c r="AH113" s="673">
        <f t="shared" si="85"/>
        <v>14</v>
      </c>
      <c r="AI113" s="673">
        <f t="shared" si="86"/>
        <v>14</v>
      </c>
      <c r="AJ113" s="673">
        <f t="shared" si="87"/>
        <v>14</v>
      </c>
      <c r="AK113" s="673">
        <f t="shared" si="88"/>
        <v>14</v>
      </c>
      <c r="AL113" s="673">
        <f t="shared" si="89"/>
        <v>14</v>
      </c>
    </row>
    <row r="114" spans="1:38" ht="20.149999999999999" customHeight="1" x14ac:dyDescent="0.35">
      <c r="A114" s="507">
        <v>4</v>
      </c>
      <c r="B114" s="507" t="str">
        <f>PETUNJUK!B12</f>
        <v>Ngeling</v>
      </c>
      <c r="C114" s="507">
        <f t="shared" ref="C114:E114" si="95">C80</f>
        <v>95.7</v>
      </c>
      <c r="D114" s="507">
        <f t="shared" si="95"/>
        <v>91.350000000000009</v>
      </c>
      <c r="E114" s="507">
        <f t="shared" si="95"/>
        <v>19.14</v>
      </c>
      <c r="F114" s="507">
        <v>9</v>
      </c>
      <c r="G114" s="507">
        <v>0</v>
      </c>
      <c r="H114" s="507">
        <v>9</v>
      </c>
      <c r="I114" s="507">
        <v>9</v>
      </c>
      <c r="J114" s="507">
        <v>7</v>
      </c>
      <c r="K114" s="507">
        <v>5</v>
      </c>
      <c r="L114" s="507">
        <v>5</v>
      </c>
      <c r="M114" s="507">
        <v>8</v>
      </c>
      <c r="N114" s="676">
        <v>10</v>
      </c>
      <c r="O114" s="676">
        <v>8</v>
      </c>
      <c r="P114" s="507">
        <v>1</v>
      </c>
      <c r="Q114" s="507"/>
      <c r="R114" s="507"/>
      <c r="S114" s="507"/>
      <c r="T114" s="507">
        <v>2</v>
      </c>
      <c r="U114" s="507">
        <v>7</v>
      </c>
      <c r="V114" s="346">
        <f t="shared" si="82"/>
        <v>9</v>
      </c>
      <c r="W114" s="346">
        <f t="shared" si="83"/>
        <v>9</v>
      </c>
      <c r="X114" s="346">
        <f t="shared" si="84"/>
        <v>7</v>
      </c>
      <c r="Y114" s="507">
        <v>1</v>
      </c>
      <c r="Z114" s="507">
        <v>0</v>
      </c>
      <c r="AA114" s="507">
        <f t="shared" si="91"/>
        <v>1</v>
      </c>
      <c r="AB114" s="507">
        <v>11</v>
      </c>
      <c r="AC114" s="507">
        <f t="shared" si="92"/>
        <v>11</v>
      </c>
      <c r="AD114" s="507"/>
      <c r="AE114" s="507"/>
      <c r="AF114" s="507">
        <f>'3.Komplikasi'!AJ114</f>
        <v>4</v>
      </c>
      <c r="AG114" s="507">
        <v>11</v>
      </c>
      <c r="AH114" s="673">
        <f t="shared" si="85"/>
        <v>11</v>
      </c>
      <c r="AI114" s="673">
        <f t="shared" si="86"/>
        <v>11</v>
      </c>
      <c r="AJ114" s="673">
        <f t="shared" si="87"/>
        <v>11</v>
      </c>
      <c r="AK114" s="673">
        <f t="shared" si="88"/>
        <v>11</v>
      </c>
      <c r="AL114" s="673">
        <f t="shared" si="89"/>
        <v>11</v>
      </c>
    </row>
    <row r="115" spans="1:38" ht="20.149999999999999" customHeight="1" x14ac:dyDescent="0.35">
      <c r="A115" s="507">
        <v>5</v>
      </c>
      <c r="B115" s="507" t="str">
        <f>PETUNJUK!B13</f>
        <v>Lebuawu</v>
      </c>
      <c r="C115" s="507">
        <f t="shared" ref="C115:E115" si="96">C81</f>
        <v>85.800000000000011</v>
      </c>
      <c r="D115" s="507">
        <f t="shared" si="96"/>
        <v>81.900000000000006</v>
      </c>
      <c r="E115" s="507">
        <f t="shared" si="96"/>
        <v>17.160000000000004</v>
      </c>
      <c r="F115" s="507">
        <v>8</v>
      </c>
      <c r="G115" s="507">
        <v>0</v>
      </c>
      <c r="H115" s="507">
        <v>8</v>
      </c>
      <c r="I115" s="507">
        <v>8</v>
      </c>
      <c r="J115" s="507">
        <v>7</v>
      </c>
      <c r="K115" s="507">
        <v>6</v>
      </c>
      <c r="L115" s="507">
        <v>6</v>
      </c>
      <c r="M115" s="507">
        <v>5</v>
      </c>
      <c r="N115" s="676">
        <v>5</v>
      </c>
      <c r="O115" s="676">
        <v>5</v>
      </c>
      <c r="P115" s="507">
        <v>10</v>
      </c>
      <c r="Q115" s="507"/>
      <c r="R115" s="507"/>
      <c r="S115" s="507"/>
      <c r="T115" s="507">
        <v>0</v>
      </c>
      <c r="U115" s="507">
        <v>8</v>
      </c>
      <c r="V115" s="346">
        <f t="shared" si="82"/>
        <v>8</v>
      </c>
      <c r="W115" s="346">
        <f t="shared" si="83"/>
        <v>8</v>
      </c>
      <c r="X115" s="346">
        <f t="shared" si="84"/>
        <v>7</v>
      </c>
      <c r="Y115" s="507">
        <v>2</v>
      </c>
      <c r="Z115" s="507">
        <v>0</v>
      </c>
      <c r="AA115" s="507">
        <f t="shared" si="91"/>
        <v>2</v>
      </c>
      <c r="AB115" s="507">
        <v>8</v>
      </c>
      <c r="AC115" s="507">
        <f t="shared" si="92"/>
        <v>8</v>
      </c>
      <c r="AD115" s="507"/>
      <c r="AE115" s="507"/>
      <c r="AF115" s="507">
        <f>'3.Komplikasi'!AJ115</f>
        <v>1</v>
      </c>
      <c r="AG115" s="507">
        <f t="shared" si="93"/>
        <v>8</v>
      </c>
      <c r="AH115" s="673">
        <f t="shared" si="85"/>
        <v>8</v>
      </c>
      <c r="AI115" s="673">
        <f t="shared" si="86"/>
        <v>8</v>
      </c>
      <c r="AJ115" s="673">
        <f t="shared" si="87"/>
        <v>8</v>
      </c>
      <c r="AK115" s="673">
        <f t="shared" si="88"/>
        <v>8</v>
      </c>
      <c r="AL115" s="673">
        <f t="shared" si="89"/>
        <v>8</v>
      </c>
    </row>
    <row r="116" spans="1:38" ht="20.149999999999999" customHeight="1" x14ac:dyDescent="0.35">
      <c r="A116" s="507">
        <v>6</v>
      </c>
      <c r="B116" s="507" t="str">
        <f>PETUNJUK!B14</f>
        <v>Pulodarat</v>
      </c>
      <c r="C116" s="507">
        <f t="shared" ref="C116:E116" si="97">C82</f>
        <v>82.5</v>
      </c>
      <c r="D116" s="507">
        <f t="shared" si="97"/>
        <v>78.75</v>
      </c>
      <c r="E116" s="507">
        <f t="shared" si="97"/>
        <v>16.5</v>
      </c>
      <c r="F116" s="507">
        <v>4</v>
      </c>
      <c r="G116" s="507">
        <v>1</v>
      </c>
      <c r="H116" s="507">
        <v>4</v>
      </c>
      <c r="I116" s="507">
        <v>4</v>
      </c>
      <c r="J116" s="507">
        <v>4</v>
      </c>
      <c r="K116" s="507">
        <v>4</v>
      </c>
      <c r="L116" s="507">
        <v>4</v>
      </c>
      <c r="M116" s="507">
        <v>5</v>
      </c>
      <c r="N116" s="676">
        <v>4</v>
      </c>
      <c r="O116" s="676">
        <v>4</v>
      </c>
      <c r="P116" s="507">
        <v>4</v>
      </c>
      <c r="Q116" s="507"/>
      <c r="R116" s="507"/>
      <c r="S116" s="507"/>
      <c r="T116" s="507">
        <v>3</v>
      </c>
      <c r="U116" s="507">
        <v>1</v>
      </c>
      <c r="V116" s="346">
        <f t="shared" si="82"/>
        <v>4</v>
      </c>
      <c r="W116" s="346">
        <f t="shared" si="83"/>
        <v>4</v>
      </c>
      <c r="X116" s="346">
        <f t="shared" si="84"/>
        <v>4</v>
      </c>
      <c r="Y116" s="507">
        <v>3</v>
      </c>
      <c r="Z116" s="507">
        <v>1</v>
      </c>
      <c r="AA116" s="507">
        <f t="shared" si="91"/>
        <v>3</v>
      </c>
      <c r="AB116" s="507">
        <v>4</v>
      </c>
      <c r="AC116" s="507">
        <f t="shared" si="92"/>
        <v>4</v>
      </c>
      <c r="AD116" s="507"/>
      <c r="AE116" s="507"/>
      <c r="AF116" s="507">
        <f>'3.Komplikasi'!AJ116</f>
        <v>1</v>
      </c>
      <c r="AG116" s="507">
        <f t="shared" si="93"/>
        <v>4</v>
      </c>
      <c r="AH116" s="673">
        <f t="shared" si="85"/>
        <v>4</v>
      </c>
      <c r="AI116" s="673">
        <f t="shared" si="86"/>
        <v>4</v>
      </c>
      <c r="AJ116" s="673">
        <f t="shared" si="87"/>
        <v>4</v>
      </c>
      <c r="AK116" s="673">
        <f t="shared" si="88"/>
        <v>4</v>
      </c>
      <c r="AL116" s="673">
        <f t="shared" si="89"/>
        <v>4</v>
      </c>
    </row>
    <row r="117" spans="1:38" ht="20.149999999999999" customHeight="1" x14ac:dyDescent="0.35">
      <c r="A117" s="507">
        <v>7</v>
      </c>
      <c r="B117" s="507" t="str">
        <f>PETUNJUK!B15</f>
        <v>Karangrandu</v>
      </c>
      <c r="C117" s="507">
        <f t="shared" ref="C117:E117" si="98">C83</f>
        <v>93.500000000000014</v>
      </c>
      <c r="D117" s="507">
        <f t="shared" si="98"/>
        <v>89.25</v>
      </c>
      <c r="E117" s="507">
        <f t="shared" si="98"/>
        <v>18.700000000000003</v>
      </c>
      <c r="F117" s="507">
        <v>9</v>
      </c>
      <c r="G117" s="507">
        <v>2</v>
      </c>
      <c r="H117" s="507">
        <v>8</v>
      </c>
      <c r="I117" s="507">
        <v>8</v>
      </c>
      <c r="J117" s="507">
        <v>6</v>
      </c>
      <c r="K117" s="507">
        <v>6</v>
      </c>
      <c r="L117" s="507">
        <v>6</v>
      </c>
      <c r="M117" s="507">
        <v>8</v>
      </c>
      <c r="N117" s="676">
        <v>7</v>
      </c>
      <c r="O117" s="676">
        <v>8</v>
      </c>
      <c r="P117" s="507">
        <v>10</v>
      </c>
      <c r="Q117" s="507"/>
      <c r="R117" s="507"/>
      <c r="S117" s="507"/>
      <c r="T117" s="507">
        <v>1</v>
      </c>
      <c r="U117" s="507">
        <v>8</v>
      </c>
      <c r="V117" s="346">
        <f t="shared" si="82"/>
        <v>9</v>
      </c>
      <c r="W117" s="346">
        <f t="shared" si="83"/>
        <v>9</v>
      </c>
      <c r="X117" s="346">
        <f t="shared" si="84"/>
        <v>6</v>
      </c>
      <c r="Y117" s="507">
        <v>6</v>
      </c>
      <c r="Z117" s="507">
        <v>1</v>
      </c>
      <c r="AA117" s="507">
        <f t="shared" si="91"/>
        <v>6</v>
      </c>
      <c r="AB117" s="507">
        <v>8</v>
      </c>
      <c r="AC117" s="507">
        <f t="shared" si="92"/>
        <v>8</v>
      </c>
      <c r="AD117" s="507"/>
      <c r="AE117" s="507"/>
      <c r="AF117" s="507">
        <f>'3.Komplikasi'!AJ117</f>
        <v>1</v>
      </c>
      <c r="AG117" s="507">
        <f t="shared" si="93"/>
        <v>8</v>
      </c>
      <c r="AH117" s="673">
        <f t="shared" si="85"/>
        <v>8</v>
      </c>
      <c r="AI117" s="673">
        <f t="shared" si="86"/>
        <v>8</v>
      </c>
      <c r="AJ117" s="673">
        <f t="shared" si="87"/>
        <v>8</v>
      </c>
      <c r="AK117" s="673">
        <f t="shared" si="88"/>
        <v>8</v>
      </c>
      <c r="AL117" s="673">
        <f t="shared" si="89"/>
        <v>8</v>
      </c>
    </row>
    <row r="118" spans="1:38" ht="20.149999999999999" customHeight="1" x14ac:dyDescent="0.35">
      <c r="A118" s="507">
        <v>8</v>
      </c>
      <c r="B118" s="507" t="str">
        <f>PETUNJUK!B16</f>
        <v>Kaliombo</v>
      </c>
      <c r="C118" s="507">
        <f t="shared" ref="C118:E118" si="99">C84</f>
        <v>46.2</v>
      </c>
      <c r="D118" s="507">
        <f t="shared" si="99"/>
        <v>44.1</v>
      </c>
      <c r="E118" s="507">
        <f t="shared" si="99"/>
        <v>9.24</v>
      </c>
      <c r="F118" s="507">
        <v>5</v>
      </c>
      <c r="G118" s="507">
        <v>1</v>
      </c>
      <c r="H118" s="507">
        <v>5</v>
      </c>
      <c r="I118" s="507">
        <v>5</v>
      </c>
      <c r="J118" s="507">
        <v>5</v>
      </c>
      <c r="K118" s="507">
        <v>5</v>
      </c>
      <c r="L118" s="507">
        <v>5</v>
      </c>
      <c r="M118" s="507">
        <v>5</v>
      </c>
      <c r="N118" s="676">
        <v>5</v>
      </c>
      <c r="O118" s="676">
        <v>5</v>
      </c>
      <c r="P118" s="507">
        <v>4</v>
      </c>
      <c r="Q118" s="507"/>
      <c r="R118" s="507"/>
      <c r="S118" s="507"/>
      <c r="T118" s="507">
        <v>0</v>
      </c>
      <c r="U118" s="507">
        <v>5</v>
      </c>
      <c r="V118" s="346">
        <f t="shared" si="82"/>
        <v>5</v>
      </c>
      <c r="W118" s="346">
        <f t="shared" si="83"/>
        <v>5</v>
      </c>
      <c r="X118" s="346">
        <f t="shared" si="84"/>
        <v>5</v>
      </c>
      <c r="Y118" s="507">
        <v>3</v>
      </c>
      <c r="Z118" s="507">
        <v>0</v>
      </c>
      <c r="AA118" s="507">
        <f t="shared" si="91"/>
        <v>3</v>
      </c>
      <c r="AB118" s="507">
        <v>5</v>
      </c>
      <c r="AC118" s="507">
        <f t="shared" si="92"/>
        <v>5</v>
      </c>
      <c r="AD118" s="507"/>
      <c r="AE118" s="507"/>
      <c r="AF118" s="507">
        <f>'3.Komplikasi'!AJ118</f>
        <v>1</v>
      </c>
      <c r="AG118" s="507">
        <f t="shared" si="93"/>
        <v>5</v>
      </c>
      <c r="AH118" s="673">
        <f t="shared" si="85"/>
        <v>5</v>
      </c>
      <c r="AI118" s="673">
        <f t="shared" si="86"/>
        <v>5</v>
      </c>
      <c r="AJ118" s="673">
        <f t="shared" si="87"/>
        <v>5</v>
      </c>
      <c r="AK118" s="673">
        <f t="shared" si="88"/>
        <v>5</v>
      </c>
      <c r="AL118" s="673">
        <f t="shared" si="89"/>
        <v>5</v>
      </c>
    </row>
    <row r="119" spans="1:38" ht="20.149999999999999" customHeight="1" x14ac:dyDescent="0.35">
      <c r="A119" s="507">
        <v>9</v>
      </c>
      <c r="B119" s="507" t="str">
        <f>PETUNJUK!B17</f>
        <v>Gemulung</v>
      </c>
      <c r="C119" s="507">
        <f t="shared" ref="C119:E119" si="100">C85</f>
        <v>53.900000000000006</v>
      </c>
      <c r="D119" s="507">
        <f t="shared" si="100"/>
        <v>51.45</v>
      </c>
      <c r="E119" s="507">
        <f t="shared" si="100"/>
        <v>10.780000000000001</v>
      </c>
      <c r="F119" s="507">
        <v>5</v>
      </c>
      <c r="G119" s="507">
        <v>1</v>
      </c>
      <c r="H119" s="507">
        <v>5</v>
      </c>
      <c r="I119" s="507">
        <v>5</v>
      </c>
      <c r="J119" s="507">
        <v>5</v>
      </c>
      <c r="K119" s="507">
        <v>5</v>
      </c>
      <c r="L119" s="507">
        <v>5</v>
      </c>
      <c r="M119" s="507">
        <v>4</v>
      </c>
      <c r="N119" s="676">
        <v>5</v>
      </c>
      <c r="O119" s="676">
        <v>4</v>
      </c>
      <c r="P119" s="507">
        <v>5</v>
      </c>
      <c r="Q119" s="507"/>
      <c r="R119" s="507"/>
      <c r="S119" s="507"/>
      <c r="T119" s="507">
        <v>2</v>
      </c>
      <c r="U119" s="507">
        <v>3</v>
      </c>
      <c r="V119" s="346">
        <f t="shared" si="82"/>
        <v>5</v>
      </c>
      <c r="W119" s="346">
        <f t="shared" si="83"/>
        <v>5</v>
      </c>
      <c r="X119" s="346">
        <f t="shared" si="84"/>
        <v>5</v>
      </c>
      <c r="Y119" s="507">
        <v>3</v>
      </c>
      <c r="Z119" s="507">
        <v>1</v>
      </c>
      <c r="AA119" s="507">
        <f t="shared" si="91"/>
        <v>3</v>
      </c>
      <c r="AB119" s="507">
        <v>4</v>
      </c>
      <c r="AC119" s="507">
        <f t="shared" si="92"/>
        <v>4</v>
      </c>
      <c r="AD119" s="507"/>
      <c r="AE119" s="507"/>
      <c r="AF119" s="507">
        <f>'3.Komplikasi'!AJ119</f>
        <v>2</v>
      </c>
      <c r="AG119" s="507">
        <f t="shared" si="93"/>
        <v>4</v>
      </c>
      <c r="AH119" s="673">
        <f t="shared" si="85"/>
        <v>4</v>
      </c>
      <c r="AI119" s="673">
        <f t="shared" si="86"/>
        <v>4</v>
      </c>
      <c r="AJ119" s="673">
        <f t="shared" si="87"/>
        <v>4</v>
      </c>
      <c r="AK119" s="673">
        <f t="shared" si="88"/>
        <v>4</v>
      </c>
      <c r="AL119" s="673">
        <f t="shared" si="89"/>
        <v>4</v>
      </c>
    </row>
    <row r="120" spans="1:38" ht="20.149999999999999" customHeight="1" x14ac:dyDescent="0.35">
      <c r="A120" s="507">
        <v>6</v>
      </c>
      <c r="B120" s="507" t="str">
        <f>PETUNJUK!B18</f>
        <v>Pecangaan Wetan</v>
      </c>
      <c r="C120" s="507">
        <f t="shared" ref="C120:E120" si="101">C86</f>
        <v>50.6</v>
      </c>
      <c r="D120" s="507">
        <f t="shared" si="101"/>
        <v>48.300000000000004</v>
      </c>
      <c r="E120" s="507">
        <f t="shared" si="101"/>
        <v>10.120000000000001</v>
      </c>
      <c r="F120" s="507">
        <v>3</v>
      </c>
      <c r="G120" s="507">
        <v>0</v>
      </c>
      <c r="H120" s="507">
        <v>3</v>
      </c>
      <c r="I120" s="507">
        <v>3</v>
      </c>
      <c r="J120" s="507">
        <v>2</v>
      </c>
      <c r="K120" s="507">
        <v>2</v>
      </c>
      <c r="L120" s="507">
        <v>2</v>
      </c>
      <c r="M120" s="507">
        <v>2</v>
      </c>
      <c r="N120" s="676">
        <v>2</v>
      </c>
      <c r="O120" s="676">
        <v>2</v>
      </c>
      <c r="P120" s="507">
        <v>3</v>
      </c>
      <c r="Q120" s="507"/>
      <c r="R120" s="507"/>
      <c r="S120" s="507"/>
      <c r="T120" s="507">
        <v>1</v>
      </c>
      <c r="U120" s="507">
        <v>2</v>
      </c>
      <c r="V120" s="346">
        <f t="shared" si="82"/>
        <v>3</v>
      </c>
      <c r="W120" s="346">
        <f t="shared" si="83"/>
        <v>3</v>
      </c>
      <c r="X120" s="346">
        <f t="shared" si="84"/>
        <v>2</v>
      </c>
      <c r="Y120" s="507">
        <v>1</v>
      </c>
      <c r="Z120" s="507">
        <v>0</v>
      </c>
      <c r="AA120" s="507">
        <f t="shared" si="91"/>
        <v>1</v>
      </c>
      <c r="AB120" s="507">
        <v>2</v>
      </c>
      <c r="AC120" s="507">
        <f t="shared" si="92"/>
        <v>2</v>
      </c>
      <c r="AD120" s="507"/>
      <c r="AE120" s="507"/>
      <c r="AF120" s="507">
        <f>'3.Komplikasi'!AJ120</f>
        <v>0</v>
      </c>
      <c r="AG120" s="507">
        <f t="shared" si="93"/>
        <v>2</v>
      </c>
      <c r="AH120" s="673">
        <f t="shared" si="85"/>
        <v>2</v>
      </c>
      <c r="AI120" s="673">
        <f t="shared" si="86"/>
        <v>2</v>
      </c>
      <c r="AJ120" s="673">
        <f t="shared" si="87"/>
        <v>2</v>
      </c>
      <c r="AK120" s="673">
        <f t="shared" si="88"/>
        <v>2</v>
      </c>
      <c r="AL120" s="673">
        <f t="shared" si="89"/>
        <v>2</v>
      </c>
    </row>
    <row r="121" spans="1:38" ht="20.149999999999999" customHeight="1" x14ac:dyDescent="0.35">
      <c r="A121" s="507">
        <v>11</v>
      </c>
      <c r="B121" s="507" t="str">
        <f>PETUNJUK!B19</f>
        <v>Krasak</v>
      </c>
      <c r="C121" s="507">
        <f t="shared" ref="C121:E121" si="102">C87</f>
        <v>117.7</v>
      </c>
      <c r="D121" s="507">
        <f t="shared" si="102"/>
        <v>112.35000000000001</v>
      </c>
      <c r="E121" s="507">
        <f t="shared" si="102"/>
        <v>23.540000000000003</v>
      </c>
      <c r="F121" s="507">
        <v>11</v>
      </c>
      <c r="G121" s="507">
        <v>1</v>
      </c>
      <c r="H121" s="507">
        <v>11</v>
      </c>
      <c r="I121" s="507">
        <v>11</v>
      </c>
      <c r="J121" s="507">
        <v>6</v>
      </c>
      <c r="K121" s="507">
        <v>5</v>
      </c>
      <c r="L121" s="507">
        <v>7</v>
      </c>
      <c r="M121" s="507">
        <v>7</v>
      </c>
      <c r="N121" s="676">
        <v>10</v>
      </c>
      <c r="O121" s="676">
        <v>7</v>
      </c>
      <c r="P121" s="507">
        <v>10</v>
      </c>
      <c r="Q121" s="507"/>
      <c r="R121" s="507"/>
      <c r="S121" s="507"/>
      <c r="T121" s="507">
        <v>3</v>
      </c>
      <c r="U121" s="507">
        <v>8</v>
      </c>
      <c r="V121" s="346">
        <f t="shared" si="82"/>
        <v>11</v>
      </c>
      <c r="W121" s="346">
        <f t="shared" si="83"/>
        <v>11</v>
      </c>
      <c r="X121" s="346">
        <f t="shared" si="84"/>
        <v>6</v>
      </c>
      <c r="Y121" s="507">
        <v>2</v>
      </c>
      <c r="Z121" s="507">
        <v>3</v>
      </c>
      <c r="AA121" s="507">
        <f t="shared" si="91"/>
        <v>2</v>
      </c>
      <c r="AB121" s="507">
        <v>9</v>
      </c>
      <c r="AC121" s="507">
        <f t="shared" si="92"/>
        <v>9</v>
      </c>
      <c r="AD121" s="507"/>
      <c r="AE121" s="507"/>
      <c r="AF121" s="507">
        <f>'3.Komplikasi'!AJ121</f>
        <v>2</v>
      </c>
      <c r="AG121" s="507">
        <f t="shared" si="93"/>
        <v>9</v>
      </c>
      <c r="AH121" s="673">
        <f t="shared" si="85"/>
        <v>9</v>
      </c>
      <c r="AI121" s="673">
        <f t="shared" si="86"/>
        <v>9</v>
      </c>
      <c r="AJ121" s="673">
        <f t="shared" si="87"/>
        <v>9</v>
      </c>
      <c r="AK121" s="673">
        <f t="shared" si="88"/>
        <v>9</v>
      </c>
      <c r="AL121" s="673">
        <f t="shared" si="89"/>
        <v>9</v>
      </c>
    </row>
    <row r="122" spans="1:38" ht="20.149999999999999" customHeight="1" x14ac:dyDescent="0.35">
      <c r="A122" s="507">
        <v>12</v>
      </c>
      <c r="B122" s="507" t="str">
        <f>PETUNJUK!B20</f>
        <v>Gerdu</v>
      </c>
      <c r="C122" s="507">
        <f t="shared" ref="C122:E122" si="103">C88</f>
        <v>23.1</v>
      </c>
      <c r="D122" s="507">
        <f t="shared" si="103"/>
        <v>22.05</v>
      </c>
      <c r="E122" s="507">
        <f t="shared" si="103"/>
        <v>4.62</v>
      </c>
      <c r="F122" s="507">
        <v>3</v>
      </c>
      <c r="G122" s="507">
        <v>0</v>
      </c>
      <c r="H122" s="507">
        <v>3</v>
      </c>
      <c r="I122" s="507">
        <v>3</v>
      </c>
      <c r="J122" s="507">
        <v>3</v>
      </c>
      <c r="K122" s="507">
        <v>0</v>
      </c>
      <c r="L122" s="507">
        <v>0</v>
      </c>
      <c r="M122" s="507">
        <v>2</v>
      </c>
      <c r="N122" s="676">
        <v>3</v>
      </c>
      <c r="O122" s="676">
        <v>2</v>
      </c>
      <c r="P122" s="507">
        <v>2</v>
      </c>
      <c r="Q122" s="507"/>
      <c r="R122" s="507"/>
      <c r="S122" s="507"/>
      <c r="T122" s="507">
        <v>1</v>
      </c>
      <c r="U122" s="507">
        <v>2</v>
      </c>
      <c r="V122" s="346">
        <f t="shared" si="82"/>
        <v>3</v>
      </c>
      <c r="W122" s="346">
        <f t="shared" si="83"/>
        <v>3</v>
      </c>
      <c r="X122" s="346">
        <f t="shared" si="84"/>
        <v>3</v>
      </c>
      <c r="Y122" s="507">
        <v>0</v>
      </c>
      <c r="Z122" s="507">
        <v>0</v>
      </c>
      <c r="AA122" s="507">
        <f t="shared" si="91"/>
        <v>0</v>
      </c>
      <c r="AB122" s="507">
        <v>2</v>
      </c>
      <c r="AC122" s="507">
        <f t="shared" si="92"/>
        <v>2</v>
      </c>
      <c r="AD122" s="507"/>
      <c r="AE122" s="507"/>
      <c r="AF122" s="507">
        <f>'3.Komplikasi'!AJ122</f>
        <v>1</v>
      </c>
      <c r="AG122" s="507">
        <f t="shared" si="93"/>
        <v>2</v>
      </c>
      <c r="AH122" s="673">
        <f t="shared" si="85"/>
        <v>2</v>
      </c>
      <c r="AI122" s="673">
        <f t="shared" si="86"/>
        <v>2</v>
      </c>
      <c r="AJ122" s="673">
        <f t="shared" si="87"/>
        <v>2</v>
      </c>
      <c r="AK122" s="673">
        <f t="shared" si="88"/>
        <v>2</v>
      </c>
      <c r="AL122" s="673">
        <f t="shared" si="89"/>
        <v>2</v>
      </c>
    </row>
    <row r="123" spans="1:38" ht="20.149999999999999" customHeight="1" x14ac:dyDescent="0.35">
      <c r="A123" s="507">
        <v>13</v>
      </c>
      <c r="B123" s="507">
        <f>PETUNJUK!B21</f>
        <v>0</v>
      </c>
      <c r="C123" s="507">
        <f t="shared" ref="C123:E123" si="104">C89</f>
        <v>0</v>
      </c>
      <c r="D123" s="507">
        <f t="shared" si="104"/>
        <v>0</v>
      </c>
      <c r="E123" s="507">
        <f t="shared" si="104"/>
        <v>0</v>
      </c>
      <c r="F123" s="507"/>
      <c r="G123" s="507"/>
      <c r="H123" s="507"/>
      <c r="I123" s="507"/>
      <c r="J123" s="507"/>
      <c r="K123" s="507"/>
      <c r="L123" s="507"/>
      <c r="M123" s="507"/>
      <c r="N123" s="676"/>
      <c r="O123" s="676"/>
      <c r="P123" s="507"/>
      <c r="Q123" s="507"/>
      <c r="R123" s="507"/>
      <c r="S123" s="507"/>
      <c r="T123" s="507"/>
      <c r="U123" s="507"/>
      <c r="V123" s="507"/>
      <c r="W123" s="507"/>
      <c r="X123" s="507"/>
      <c r="Y123" s="507"/>
      <c r="Z123" s="507"/>
      <c r="AA123" s="507"/>
      <c r="AB123" s="507"/>
      <c r="AC123" s="507"/>
      <c r="AD123" s="507"/>
      <c r="AE123" s="507"/>
      <c r="AF123" s="507"/>
      <c r="AG123" s="507"/>
      <c r="AH123" s="507"/>
      <c r="AI123" s="507"/>
      <c r="AJ123" s="507"/>
      <c r="AK123" s="507"/>
      <c r="AL123" s="507"/>
    </row>
    <row r="124" spans="1:38" ht="20.149999999999999" customHeight="1" x14ac:dyDescent="0.35">
      <c r="A124" s="507">
        <v>14</v>
      </c>
      <c r="B124" s="507">
        <f>PETUNJUK!B22</f>
        <v>0</v>
      </c>
      <c r="C124" s="507">
        <f t="shared" ref="C124:E124" si="105">C90</f>
        <v>0</v>
      </c>
      <c r="D124" s="507">
        <f t="shared" si="105"/>
        <v>0</v>
      </c>
      <c r="E124" s="507">
        <f t="shared" si="105"/>
        <v>0</v>
      </c>
      <c r="F124" s="507"/>
      <c r="G124" s="507"/>
      <c r="H124" s="507"/>
      <c r="I124" s="507"/>
      <c r="J124" s="507"/>
      <c r="K124" s="507"/>
      <c r="L124" s="507"/>
      <c r="M124" s="507"/>
      <c r="N124" s="676"/>
      <c r="O124" s="676"/>
      <c r="P124" s="507"/>
      <c r="Q124" s="507"/>
      <c r="R124" s="507"/>
      <c r="S124" s="507"/>
      <c r="T124" s="507"/>
      <c r="U124" s="507"/>
      <c r="V124" s="507"/>
      <c r="W124" s="507"/>
      <c r="X124" s="507"/>
      <c r="Y124" s="507"/>
      <c r="Z124" s="507"/>
      <c r="AA124" s="507"/>
      <c r="AB124" s="507"/>
      <c r="AC124" s="507"/>
      <c r="AD124" s="507"/>
      <c r="AE124" s="507"/>
      <c r="AF124" s="507"/>
      <c r="AG124" s="507"/>
      <c r="AH124" s="507"/>
      <c r="AI124" s="507"/>
      <c r="AJ124" s="507"/>
      <c r="AK124" s="507"/>
      <c r="AL124" s="507"/>
    </row>
    <row r="125" spans="1:38" ht="20.149999999999999" customHeight="1" x14ac:dyDescent="0.35">
      <c r="A125" s="507">
        <v>15</v>
      </c>
      <c r="B125" s="507">
        <f>PETUNJUK!B23</f>
        <v>0</v>
      </c>
      <c r="C125" s="507">
        <f t="shared" ref="C125:E125" si="106">C91</f>
        <v>0</v>
      </c>
      <c r="D125" s="507">
        <f t="shared" si="106"/>
        <v>0</v>
      </c>
      <c r="E125" s="507">
        <f t="shared" si="106"/>
        <v>0</v>
      </c>
      <c r="F125" s="507"/>
      <c r="G125" s="507"/>
      <c r="H125" s="507"/>
      <c r="I125" s="507"/>
      <c r="J125" s="507"/>
      <c r="K125" s="507"/>
      <c r="L125" s="507"/>
      <c r="M125" s="507"/>
      <c r="N125" s="676"/>
      <c r="O125" s="676"/>
      <c r="P125" s="507"/>
      <c r="Q125" s="507"/>
      <c r="R125" s="507"/>
      <c r="S125" s="507"/>
      <c r="T125" s="507"/>
      <c r="U125" s="507"/>
      <c r="V125" s="507"/>
      <c r="W125" s="507"/>
      <c r="X125" s="507"/>
      <c r="Y125" s="507"/>
      <c r="Z125" s="507"/>
      <c r="AA125" s="507"/>
      <c r="AB125" s="507"/>
      <c r="AC125" s="507"/>
      <c r="AD125" s="507"/>
      <c r="AE125" s="507"/>
      <c r="AF125" s="507"/>
      <c r="AG125" s="507"/>
      <c r="AH125" s="507"/>
      <c r="AI125" s="507"/>
      <c r="AJ125" s="507"/>
      <c r="AK125" s="507"/>
      <c r="AL125" s="507"/>
    </row>
    <row r="126" spans="1:38" ht="20.149999999999999" customHeight="1" x14ac:dyDescent="0.35">
      <c r="A126" s="507">
        <v>16</v>
      </c>
      <c r="B126" s="507">
        <f>PETUNJUK!B24</f>
        <v>0</v>
      </c>
      <c r="C126" s="507">
        <f t="shared" ref="C126:E126" si="107">C92</f>
        <v>0</v>
      </c>
      <c r="D126" s="507">
        <f t="shared" si="107"/>
        <v>0</v>
      </c>
      <c r="E126" s="507">
        <f t="shared" si="107"/>
        <v>0</v>
      </c>
      <c r="F126" s="507"/>
      <c r="G126" s="507"/>
      <c r="H126" s="507"/>
      <c r="I126" s="507"/>
      <c r="J126" s="507"/>
      <c r="K126" s="507"/>
      <c r="L126" s="507"/>
      <c r="M126" s="507"/>
      <c r="N126" s="676"/>
      <c r="O126" s="676"/>
      <c r="P126" s="507"/>
      <c r="Q126" s="507"/>
      <c r="R126" s="507"/>
      <c r="S126" s="507"/>
      <c r="T126" s="507"/>
      <c r="U126" s="507"/>
      <c r="V126" s="507"/>
      <c r="W126" s="507"/>
      <c r="X126" s="507"/>
      <c r="Y126" s="507"/>
      <c r="Z126" s="507"/>
      <c r="AA126" s="507"/>
      <c r="AB126" s="507"/>
      <c r="AC126" s="507"/>
      <c r="AD126" s="507"/>
      <c r="AE126" s="507"/>
      <c r="AF126" s="507"/>
      <c r="AG126" s="507"/>
      <c r="AH126" s="507"/>
      <c r="AI126" s="507"/>
      <c r="AJ126" s="507"/>
      <c r="AK126" s="507"/>
      <c r="AL126" s="507"/>
    </row>
    <row r="127" spans="1:38" ht="20.149999999999999" customHeight="1" x14ac:dyDescent="0.35">
      <c r="A127" s="507">
        <v>17</v>
      </c>
      <c r="B127" s="507">
        <f>PETUNJUK!B25</f>
        <v>0</v>
      </c>
      <c r="C127" s="507">
        <f t="shared" ref="C127:E127" si="108">C93</f>
        <v>0</v>
      </c>
      <c r="D127" s="507">
        <f t="shared" si="108"/>
        <v>0</v>
      </c>
      <c r="E127" s="507">
        <f t="shared" si="108"/>
        <v>0</v>
      </c>
      <c r="F127" s="507"/>
      <c r="G127" s="507"/>
      <c r="H127" s="507"/>
      <c r="I127" s="507"/>
      <c r="J127" s="507"/>
      <c r="K127" s="507"/>
      <c r="L127" s="507"/>
      <c r="M127" s="507"/>
      <c r="N127" s="676"/>
      <c r="O127" s="676"/>
      <c r="P127" s="507"/>
      <c r="Q127" s="507"/>
      <c r="R127" s="507"/>
      <c r="S127" s="507"/>
      <c r="T127" s="507"/>
      <c r="U127" s="507"/>
      <c r="V127" s="507"/>
      <c r="W127" s="507"/>
      <c r="X127" s="507"/>
      <c r="Y127" s="507"/>
      <c r="Z127" s="507"/>
      <c r="AA127" s="507"/>
      <c r="AB127" s="507"/>
      <c r="AC127" s="507"/>
      <c r="AD127" s="507"/>
      <c r="AE127" s="507"/>
      <c r="AF127" s="507"/>
      <c r="AG127" s="507"/>
      <c r="AH127" s="507"/>
      <c r="AI127" s="507"/>
      <c r="AJ127" s="507"/>
      <c r="AK127" s="507"/>
      <c r="AL127" s="507"/>
    </row>
    <row r="128" spans="1:38" ht="20.149999999999999" customHeight="1" x14ac:dyDescent="0.35">
      <c r="A128" s="507">
        <v>18</v>
      </c>
      <c r="B128" s="507">
        <f>PETUNJUK!B26</f>
        <v>0</v>
      </c>
      <c r="C128" s="507">
        <f t="shared" ref="C128:E128" si="109">C94</f>
        <v>0</v>
      </c>
      <c r="D128" s="507">
        <f t="shared" si="109"/>
        <v>0</v>
      </c>
      <c r="E128" s="507">
        <f t="shared" si="109"/>
        <v>0</v>
      </c>
      <c r="F128" s="507"/>
      <c r="G128" s="507"/>
      <c r="H128" s="507"/>
      <c r="I128" s="507"/>
      <c r="J128" s="507"/>
      <c r="K128" s="507"/>
      <c r="L128" s="507"/>
      <c r="M128" s="507"/>
      <c r="N128" s="676"/>
      <c r="O128" s="676"/>
      <c r="P128" s="507"/>
      <c r="Q128" s="507"/>
      <c r="R128" s="507"/>
      <c r="S128" s="507"/>
      <c r="T128" s="507"/>
      <c r="U128" s="507"/>
      <c r="V128" s="507"/>
      <c r="W128" s="507"/>
      <c r="X128" s="507"/>
      <c r="Y128" s="507"/>
      <c r="Z128" s="507"/>
      <c r="AA128" s="507"/>
      <c r="AB128" s="507"/>
      <c r="AC128" s="507"/>
      <c r="AD128" s="507"/>
      <c r="AE128" s="507"/>
      <c r="AF128" s="507"/>
      <c r="AG128" s="507"/>
      <c r="AH128" s="507"/>
      <c r="AI128" s="507"/>
      <c r="AJ128" s="507"/>
      <c r="AK128" s="507"/>
      <c r="AL128" s="507"/>
    </row>
    <row r="129" spans="1:38" ht="20.149999999999999" customHeight="1" x14ac:dyDescent="0.35">
      <c r="A129" s="507">
        <v>19</v>
      </c>
      <c r="B129" s="507">
        <f>PETUNJUK!B27</f>
        <v>0</v>
      </c>
      <c r="C129" s="507">
        <f t="shared" ref="C129:E129" si="110">C95</f>
        <v>0</v>
      </c>
      <c r="D129" s="507">
        <f t="shared" si="110"/>
        <v>0</v>
      </c>
      <c r="E129" s="507">
        <f t="shared" si="110"/>
        <v>0</v>
      </c>
      <c r="F129" s="507"/>
      <c r="G129" s="507"/>
      <c r="H129" s="507"/>
      <c r="I129" s="507"/>
      <c r="J129" s="507"/>
      <c r="K129" s="507"/>
      <c r="L129" s="507"/>
      <c r="M129" s="507"/>
      <c r="N129" s="676"/>
      <c r="O129" s="676"/>
      <c r="P129" s="507"/>
      <c r="Q129" s="507"/>
      <c r="R129" s="507"/>
      <c r="S129" s="507"/>
      <c r="T129" s="507"/>
      <c r="U129" s="507"/>
      <c r="V129" s="507"/>
      <c r="W129" s="507"/>
      <c r="X129" s="507"/>
      <c r="Y129" s="507"/>
      <c r="Z129" s="507"/>
      <c r="AA129" s="507"/>
      <c r="AB129" s="507"/>
      <c r="AC129" s="507"/>
      <c r="AD129" s="507"/>
      <c r="AE129" s="507"/>
      <c r="AF129" s="507"/>
      <c r="AG129" s="507"/>
      <c r="AH129" s="507"/>
      <c r="AI129" s="507"/>
      <c r="AJ129" s="507"/>
      <c r="AK129" s="507"/>
      <c r="AL129" s="507"/>
    </row>
    <row r="130" spans="1:38" ht="20.149999999999999" customHeight="1" x14ac:dyDescent="0.35">
      <c r="A130" s="507">
        <v>20</v>
      </c>
      <c r="B130" s="507">
        <f>PETUNJUK!B28</f>
        <v>0</v>
      </c>
      <c r="C130" s="507">
        <f t="shared" ref="C130:E130" si="111">C96</f>
        <v>0</v>
      </c>
      <c r="D130" s="507">
        <f t="shared" si="111"/>
        <v>0</v>
      </c>
      <c r="E130" s="507">
        <f t="shared" si="111"/>
        <v>0</v>
      </c>
      <c r="F130" s="507"/>
      <c r="G130" s="507"/>
      <c r="H130" s="507"/>
      <c r="I130" s="507"/>
      <c r="J130" s="507"/>
      <c r="K130" s="507"/>
      <c r="L130" s="507"/>
      <c r="M130" s="507"/>
      <c r="N130" s="676"/>
      <c r="O130" s="676"/>
      <c r="P130" s="507"/>
      <c r="Q130" s="507"/>
      <c r="R130" s="507"/>
      <c r="S130" s="507"/>
      <c r="T130" s="507"/>
      <c r="U130" s="507"/>
      <c r="V130" s="507"/>
      <c r="W130" s="507"/>
      <c r="X130" s="507"/>
      <c r="Y130" s="507"/>
      <c r="Z130" s="507"/>
      <c r="AA130" s="507"/>
      <c r="AB130" s="507"/>
      <c r="AC130" s="507"/>
      <c r="AD130" s="507"/>
      <c r="AE130" s="507"/>
      <c r="AF130" s="507"/>
      <c r="AG130" s="507"/>
      <c r="AH130" s="507"/>
      <c r="AI130" s="507"/>
      <c r="AJ130" s="507"/>
      <c r="AK130" s="507"/>
      <c r="AL130" s="507"/>
    </row>
    <row r="131" spans="1:38" ht="20.149999999999999" customHeight="1" x14ac:dyDescent="0.35">
      <c r="A131" s="507">
        <v>21</v>
      </c>
      <c r="B131" s="507">
        <f>PETUNJUK!B29</f>
        <v>0</v>
      </c>
      <c r="C131" s="507">
        <f t="shared" ref="C131:E131" si="112">C97</f>
        <v>0</v>
      </c>
      <c r="D131" s="507">
        <f t="shared" si="112"/>
        <v>0</v>
      </c>
      <c r="E131" s="507">
        <f t="shared" si="112"/>
        <v>0</v>
      </c>
      <c r="F131" s="507"/>
      <c r="G131" s="507"/>
      <c r="H131" s="507"/>
      <c r="I131" s="507"/>
      <c r="J131" s="507"/>
      <c r="K131" s="507"/>
      <c r="L131" s="507"/>
      <c r="M131" s="507"/>
      <c r="N131" s="676"/>
      <c r="O131" s="676"/>
      <c r="P131" s="507"/>
      <c r="Q131" s="507"/>
      <c r="R131" s="507"/>
      <c r="S131" s="507"/>
      <c r="T131" s="507"/>
      <c r="U131" s="507"/>
      <c r="V131" s="507"/>
      <c r="W131" s="507"/>
      <c r="X131" s="507"/>
      <c r="Y131" s="507"/>
      <c r="Z131" s="507"/>
      <c r="AA131" s="507"/>
      <c r="AB131" s="507"/>
      <c r="AC131" s="507"/>
      <c r="AD131" s="507"/>
      <c r="AE131" s="507"/>
      <c r="AF131" s="507"/>
      <c r="AG131" s="507"/>
      <c r="AH131" s="507"/>
      <c r="AI131" s="507"/>
      <c r="AJ131" s="507"/>
      <c r="AK131" s="507"/>
      <c r="AL131" s="507"/>
    </row>
    <row r="132" spans="1:38" ht="20.149999999999999" customHeight="1" thickBot="1" x14ac:dyDescent="0.4">
      <c r="A132" s="512">
        <v>22</v>
      </c>
      <c r="B132" s="512">
        <f>PETUNJUK!B30</f>
        <v>0</v>
      </c>
      <c r="C132" s="507">
        <f t="shared" ref="C132:E132" si="113">C98</f>
        <v>0</v>
      </c>
      <c r="D132" s="507">
        <f t="shared" si="113"/>
        <v>0</v>
      </c>
      <c r="E132" s="507">
        <f t="shared" si="113"/>
        <v>0</v>
      </c>
      <c r="F132" s="512"/>
      <c r="G132" s="512"/>
      <c r="H132" s="512"/>
      <c r="I132" s="512"/>
      <c r="J132" s="512"/>
      <c r="K132" s="512"/>
      <c r="L132" s="512"/>
      <c r="M132" s="512"/>
      <c r="N132" s="521"/>
      <c r="O132" s="521"/>
      <c r="P132" s="512"/>
      <c r="Q132" s="512"/>
      <c r="R132" s="512"/>
      <c r="S132" s="512"/>
      <c r="T132" s="512"/>
      <c r="U132" s="512"/>
      <c r="V132" s="512"/>
      <c r="W132" s="512"/>
      <c r="X132" s="512"/>
      <c r="Y132" s="512"/>
      <c r="Z132" s="512"/>
      <c r="AA132" s="512"/>
      <c r="AB132" s="512"/>
      <c r="AC132" s="512"/>
      <c r="AD132" s="512"/>
      <c r="AE132" s="512"/>
      <c r="AF132" s="512"/>
      <c r="AG132" s="512"/>
      <c r="AH132" s="512"/>
      <c r="AI132" s="512"/>
      <c r="AJ132" s="512"/>
      <c r="AK132" s="512"/>
      <c r="AL132" s="512"/>
    </row>
    <row r="133" spans="1:38" ht="20.149999999999999" customHeight="1" thickBot="1" x14ac:dyDescent="0.4">
      <c r="A133" s="744" t="s">
        <v>18</v>
      </c>
      <c r="B133" s="745"/>
      <c r="C133" s="513">
        <f>SUM(C111:C132)</f>
        <v>1067</v>
      </c>
      <c r="D133" s="513">
        <f t="shared" ref="D133:AL133" si="114">SUM(D111:D132)</f>
        <v>1018.5</v>
      </c>
      <c r="E133" s="513">
        <f t="shared" si="114"/>
        <v>213.40000000000003</v>
      </c>
      <c r="F133" s="513">
        <f t="shared" si="114"/>
        <v>110</v>
      </c>
      <c r="G133" s="513">
        <f t="shared" si="114"/>
        <v>9</v>
      </c>
      <c r="H133" s="513">
        <f t="shared" si="114"/>
        <v>109</v>
      </c>
      <c r="I133" s="513">
        <f t="shared" si="114"/>
        <v>109</v>
      </c>
      <c r="J133" s="513">
        <f t="shared" si="114"/>
        <v>76</v>
      </c>
      <c r="K133" s="513">
        <f t="shared" si="114"/>
        <v>72</v>
      </c>
      <c r="L133" s="513">
        <f t="shared" si="114"/>
        <v>74</v>
      </c>
      <c r="M133" s="513">
        <f t="shared" si="114"/>
        <v>78</v>
      </c>
      <c r="N133" s="513"/>
      <c r="O133" s="513"/>
      <c r="P133" s="513">
        <f t="shared" si="114"/>
        <v>94</v>
      </c>
      <c r="Q133" s="513">
        <f t="shared" si="114"/>
        <v>0</v>
      </c>
      <c r="R133" s="513">
        <f t="shared" si="114"/>
        <v>0</v>
      </c>
      <c r="S133" s="513">
        <f t="shared" si="114"/>
        <v>0</v>
      </c>
      <c r="T133" s="513">
        <f t="shared" si="114"/>
        <v>46</v>
      </c>
      <c r="U133" s="513">
        <f t="shared" si="114"/>
        <v>64</v>
      </c>
      <c r="V133" s="513">
        <f t="shared" si="114"/>
        <v>110</v>
      </c>
      <c r="W133" s="513">
        <f t="shared" si="114"/>
        <v>110</v>
      </c>
      <c r="X133" s="513">
        <f t="shared" si="114"/>
        <v>76</v>
      </c>
      <c r="Y133" s="513">
        <f t="shared" si="114"/>
        <v>34</v>
      </c>
      <c r="Z133" s="513">
        <f t="shared" si="114"/>
        <v>8</v>
      </c>
      <c r="AA133" s="513">
        <f t="shared" si="114"/>
        <v>34</v>
      </c>
      <c r="AB133" s="513">
        <f t="shared" si="114"/>
        <v>82</v>
      </c>
      <c r="AC133" s="513">
        <f t="shared" si="114"/>
        <v>82</v>
      </c>
      <c r="AD133" s="513">
        <f t="shared" si="114"/>
        <v>0</v>
      </c>
      <c r="AE133" s="513">
        <f t="shared" si="114"/>
        <v>0</v>
      </c>
      <c r="AF133" s="513">
        <f t="shared" si="114"/>
        <v>23</v>
      </c>
      <c r="AG133" s="513">
        <f t="shared" si="114"/>
        <v>82</v>
      </c>
      <c r="AH133" s="513">
        <f t="shared" si="114"/>
        <v>82</v>
      </c>
      <c r="AI133" s="513">
        <f t="shared" si="114"/>
        <v>82</v>
      </c>
      <c r="AJ133" s="513">
        <f t="shared" si="114"/>
        <v>82</v>
      </c>
      <c r="AK133" s="513">
        <f t="shared" si="114"/>
        <v>82</v>
      </c>
      <c r="AL133" s="518">
        <f t="shared" si="114"/>
        <v>82</v>
      </c>
    </row>
    <row r="134" spans="1:38" ht="15.5" x14ac:dyDescent="0.35">
      <c r="A134" s="514"/>
      <c r="B134" s="514"/>
      <c r="C134" s="514"/>
      <c r="D134" s="514"/>
      <c r="E134" s="514"/>
      <c r="F134" s="514"/>
      <c r="G134" s="514"/>
      <c r="H134" s="514"/>
      <c r="I134" s="514"/>
      <c r="J134" s="514"/>
      <c r="K134" s="514"/>
      <c r="L134" s="514"/>
      <c r="M134" s="514"/>
      <c r="N134" s="514"/>
      <c r="O134" s="514"/>
      <c r="P134" s="514"/>
      <c r="Q134" s="514"/>
      <c r="R134" s="514"/>
      <c r="S134" s="514"/>
      <c r="T134" s="514"/>
      <c r="U134" s="514"/>
      <c r="V134" s="514"/>
      <c r="W134" s="514"/>
      <c r="X134" s="514"/>
      <c r="Y134" s="514"/>
      <c r="Z134" s="514"/>
      <c r="AA134" s="514"/>
      <c r="AB134" s="514"/>
      <c r="AC134" s="514"/>
      <c r="AD134" s="514"/>
      <c r="AE134" s="514"/>
      <c r="AF134" s="514"/>
      <c r="AG134" s="514"/>
      <c r="AH134" s="514"/>
      <c r="AI134" s="514"/>
      <c r="AJ134" s="514"/>
      <c r="AK134" s="514"/>
      <c r="AL134" s="514"/>
    </row>
    <row r="135" spans="1:38" ht="15.5" x14ac:dyDescent="0.35">
      <c r="A135" s="514"/>
      <c r="B135" s="514"/>
      <c r="C135" s="514"/>
      <c r="D135" s="514"/>
      <c r="E135" s="514"/>
      <c r="F135" s="514"/>
      <c r="G135" s="514"/>
      <c r="H135" s="514"/>
      <c r="I135" s="514"/>
      <c r="J135" s="514"/>
      <c r="K135" s="514"/>
      <c r="L135" s="514"/>
      <c r="M135" s="514"/>
      <c r="N135" s="514"/>
      <c r="O135" s="514"/>
      <c r="P135" s="514"/>
      <c r="Q135" s="514"/>
      <c r="R135" s="514"/>
      <c r="S135" s="514"/>
      <c r="T135" s="514"/>
      <c r="U135" s="514"/>
      <c r="V135" s="514"/>
      <c r="W135" s="514"/>
      <c r="X135" s="514"/>
      <c r="Y135" s="514"/>
      <c r="Z135" s="514"/>
      <c r="AA135" s="514"/>
      <c r="AB135" s="514"/>
      <c r="AC135" s="514"/>
      <c r="AD135" s="514"/>
      <c r="AE135" s="514"/>
      <c r="AF135" s="514"/>
      <c r="AG135" s="514"/>
      <c r="AH135" s="514"/>
      <c r="AI135" s="514"/>
      <c r="AJ135" s="514"/>
      <c r="AK135" s="514"/>
      <c r="AL135" s="514"/>
    </row>
    <row r="136" spans="1:38" ht="15.5" x14ac:dyDescent="0.35">
      <c r="A136" s="514"/>
      <c r="B136" s="514"/>
      <c r="C136" s="514"/>
      <c r="D136" s="514"/>
      <c r="E136" s="514"/>
      <c r="F136" s="514"/>
      <c r="G136" s="514"/>
      <c r="H136" s="514"/>
      <c r="I136" s="514"/>
      <c r="J136" s="514"/>
      <c r="K136" s="514"/>
      <c r="L136" s="514"/>
      <c r="M136" s="514"/>
      <c r="N136" s="514"/>
      <c r="O136" s="514"/>
      <c r="P136" s="514"/>
      <c r="Q136" s="514"/>
      <c r="R136" s="514"/>
      <c r="S136" s="514"/>
      <c r="T136" s="514"/>
      <c r="U136" s="514"/>
      <c r="V136" s="514"/>
      <c r="W136" s="514"/>
      <c r="X136" s="514"/>
      <c r="Y136" s="514"/>
      <c r="Z136" s="514"/>
      <c r="AA136" s="514"/>
      <c r="AB136" s="514"/>
      <c r="AC136" s="514"/>
      <c r="AD136" s="514"/>
      <c r="AE136" s="514"/>
      <c r="AF136" s="514"/>
      <c r="AG136" s="514"/>
      <c r="AH136" s="514"/>
      <c r="AI136" s="514"/>
      <c r="AJ136" s="514"/>
      <c r="AK136" s="514"/>
      <c r="AL136" s="514"/>
    </row>
    <row r="137" spans="1:38" ht="15.5" x14ac:dyDescent="0.35">
      <c r="A137" s="731" t="s">
        <v>239</v>
      </c>
      <c r="B137" s="731"/>
      <c r="C137" s="731"/>
      <c r="D137" s="731"/>
      <c r="E137" s="731"/>
      <c r="F137" s="731"/>
      <c r="G137" s="731"/>
      <c r="H137" s="731"/>
      <c r="I137" s="731"/>
      <c r="J137" s="731"/>
      <c r="K137" s="731"/>
      <c r="L137" s="731"/>
      <c r="M137" s="731"/>
      <c r="N137" s="731"/>
      <c r="O137" s="731"/>
      <c r="P137" s="731"/>
      <c r="Q137" s="731"/>
      <c r="R137" s="731"/>
      <c r="S137" s="731"/>
      <c r="T137" s="731"/>
      <c r="U137" s="731"/>
      <c r="V137" s="731"/>
      <c r="W137" s="731"/>
      <c r="X137" s="731"/>
      <c r="Y137" s="731"/>
      <c r="Z137" s="731"/>
      <c r="AA137" s="731"/>
      <c r="AB137" s="731"/>
      <c r="AC137" s="731"/>
      <c r="AD137" s="731"/>
      <c r="AE137" s="731"/>
      <c r="AF137" s="731"/>
      <c r="AG137" s="731"/>
      <c r="AH137" s="731"/>
      <c r="AI137" s="505"/>
      <c r="AJ137" s="505"/>
      <c r="AK137" s="505"/>
      <c r="AL137" s="505"/>
    </row>
    <row r="138" spans="1:38" ht="15.5" x14ac:dyDescent="0.35">
      <c r="A138" s="505"/>
      <c r="B138" s="505"/>
      <c r="C138" s="505"/>
      <c r="D138" s="505"/>
      <c r="E138" s="505"/>
      <c r="F138" s="505"/>
      <c r="G138" s="505"/>
      <c r="H138" s="505"/>
      <c r="I138" s="505"/>
      <c r="J138" s="505"/>
      <c r="K138" s="505"/>
      <c r="L138" s="505"/>
      <c r="M138" s="505"/>
      <c r="N138" s="505"/>
      <c r="O138" s="505"/>
      <c r="P138" s="505"/>
      <c r="Q138" s="505"/>
      <c r="R138" s="505"/>
      <c r="S138" s="505"/>
      <c r="T138" s="505"/>
      <c r="U138" s="505"/>
      <c r="V138" s="505"/>
      <c r="W138" s="505"/>
      <c r="X138" s="505"/>
      <c r="Y138" s="505"/>
      <c r="Z138" s="505"/>
      <c r="AA138" s="505"/>
      <c r="AB138" s="505"/>
      <c r="AC138" s="505"/>
      <c r="AD138" s="505"/>
      <c r="AE138" s="505"/>
      <c r="AF138" s="505"/>
      <c r="AG138" s="505"/>
      <c r="AH138" s="505"/>
      <c r="AI138" s="505"/>
      <c r="AJ138" s="505"/>
      <c r="AK138" s="505"/>
      <c r="AL138" s="505"/>
    </row>
    <row r="139" spans="1:38" ht="15.5" x14ac:dyDescent="0.35">
      <c r="A139" s="504" t="s">
        <v>168</v>
      </c>
      <c r="B139" s="504"/>
      <c r="C139" s="679" t="str">
        <f>PETUNJUK!C5</f>
        <v>PECANGAAN</v>
      </c>
      <c r="D139" s="504"/>
      <c r="E139" s="504"/>
      <c r="F139" s="504"/>
      <c r="G139" s="504"/>
      <c r="H139" s="504"/>
      <c r="I139" s="504"/>
      <c r="J139" s="504"/>
      <c r="K139" s="504"/>
      <c r="L139" s="504"/>
      <c r="M139" s="504"/>
      <c r="N139" s="504"/>
      <c r="O139" s="504"/>
      <c r="P139" s="504"/>
      <c r="Q139" s="504"/>
      <c r="R139" s="504"/>
      <c r="S139" s="504"/>
      <c r="T139" s="504"/>
      <c r="U139" s="504"/>
      <c r="V139" s="504"/>
      <c r="W139" s="504"/>
      <c r="X139" s="504"/>
      <c r="Y139" s="504"/>
      <c r="Z139" s="504"/>
      <c r="AA139" s="504"/>
      <c r="AB139" s="504"/>
      <c r="AC139" s="504"/>
      <c r="AD139" s="504"/>
      <c r="AE139" s="504"/>
      <c r="AF139" s="504"/>
      <c r="AG139" s="504"/>
      <c r="AH139" s="504"/>
      <c r="AI139" s="505"/>
      <c r="AJ139" s="505"/>
      <c r="AK139" s="505"/>
      <c r="AL139" s="505"/>
    </row>
    <row r="140" spans="1:38" ht="15.5" x14ac:dyDescent="0.35">
      <c r="A140" s="504" t="s">
        <v>169</v>
      </c>
      <c r="B140" s="504"/>
      <c r="C140" s="680" t="s">
        <v>385</v>
      </c>
      <c r="D140" s="504"/>
      <c r="E140" s="504"/>
      <c r="F140" s="504"/>
      <c r="G140" s="504"/>
      <c r="H140" s="504"/>
      <c r="I140" s="504"/>
      <c r="J140" s="504"/>
      <c r="K140" s="504"/>
      <c r="L140" s="504"/>
      <c r="M140" s="504"/>
      <c r="N140" s="504"/>
      <c r="O140" s="504"/>
      <c r="P140" s="504"/>
      <c r="Q140" s="504"/>
      <c r="R140" s="504"/>
      <c r="S140" s="504"/>
      <c r="T140" s="504"/>
      <c r="U140" s="504"/>
      <c r="V140" s="504"/>
      <c r="W140" s="504"/>
      <c r="X140" s="504"/>
      <c r="Y140" s="504"/>
      <c r="Z140" s="504"/>
      <c r="AA140" s="504"/>
      <c r="AB140" s="504"/>
      <c r="AC140" s="504"/>
      <c r="AD140" s="504"/>
      <c r="AE140" s="504"/>
      <c r="AF140" s="504"/>
      <c r="AG140" s="504"/>
      <c r="AH140" s="504"/>
      <c r="AI140" s="505"/>
      <c r="AJ140" s="505"/>
      <c r="AK140" s="505"/>
      <c r="AL140" s="505"/>
    </row>
    <row r="141" spans="1:38" ht="15.5" x14ac:dyDescent="0.35">
      <c r="A141" s="505"/>
      <c r="B141" s="505"/>
      <c r="C141" s="505"/>
      <c r="D141" s="505"/>
      <c r="E141" s="505"/>
      <c r="F141" s="505"/>
      <c r="G141" s="505"/>
      <c r="H141" s="505"/>
      <c r="I141" s="505"/>
      <c r="J141" s="505"/>
      <c r="K141" s="505"/>
      <c r="L141" s="505"/>
      <c r="M141" s="505"/>
      <c r="N141" s="505"/>
      <c r="O141" s="505"/>
      <c r="P141" s="505"/>
      <c r="Q141" s="505"/>
      <c r="R141" s="505"/>
      <c r="S141" s="505"/>
      <c r="T141" s="505"/>
      <c r="U141" s="505"/>
      <c r="V141" s="505"/>
      <c r="W141" s="505"/>
      <c r="X141" s="505"/>
      <c r="Y141" s="505"/>
      <c r="Z141" s="505"/>
      <c r="AA141" s="505"/>
      <c r="AB141" s="505"/>
      <c r="AC141" s="505"/>
      <c r="AD141" s="505"/>
      <c r="AE141" s="505"/>
      <c r="AF141" s="505"/>
      <c r="AG141" s="505"/>
      <c r="AH141" s="505"/>
      <c r="AI141" s="505"/>
      <c r="AJ141" s="505"/>
      <c r="AK141" s="505"/>
      <c r="AL141" s="505"/>
    </row>
    <row r="142" spans="1:38" s="15" customFormat="1" ht="22.5" customHeight="1" x14ac:dyDescent="0.35">
      <c r="A142" s="754" t="s">
        <v>1</v>
      </c>
      <c r="B142" s="754" t="s">
        <v>2</v>
      </c>
      <c r="C142" s="754" t="s">
        <v>174</v>
      </c>
      <c r="D142" s="754"/>
      <c r="E142" s="754"/>
      <c r="F142" s="755" t="s">
        <v>8</v>
      </c>
      <c r="G142" s="759" t="s">
        <v>295</v>
      </c>
      <c r="H142" s="759" t="s">
        <v>296</v>
      </c>
      <c r="I142" s="759" t="s">
        <v>297</v>
      </c>
      <c r="J142" s="739" t="s">
        <v>9</v>
      </c>
      <c r="K142" s="759" t="s">
        <v>298</v>
      </c>
      <c r="L142" s="760" t="s">
        <v>299</v>
      </c>
      <c r="M142" s="758" t="s">
        <v>289</v>
      </c>
      <c r="N142" s="758" t="s">
        <v>422</v>
      </c>
      <c r="O142" s="758" t="s">
        <v>423</v>
      </c>
      <c r="P142" s="739" t="s">
        <v>290</v>
      </c>
      <c r="Q142" s="752" t="s">
        <v>230</v>
      </c>
      <c r="R142" s="753"/>
      <c r="S142" s="753"/>
      <c r="T142" s="753"/>
      <c r="U142" s="753"/>
      <c r="V142" s="753"/>
      <c r="W142" s="755" t="s">
        <v>15</v>
      </c>
      <c r="X142" s="739" t="s">
        <v>16</v>
      </c>
      <c r="Y142" s="735" t="s">
        <v>231</v>
      </c>
      <c r="Z142" s="735"/>
      <c r="AA142" s="736" t="s">
        <v>240</v>
      </c>
      <c r="AB142" s="735" t="s">
        <v>4</v>
      </c>
      <c r="AC142" s="735"/>
      <c r="AD142" s="735"/>
      <c r="AE142" s="735"/>
      <c r="AF142" s="728" t="s">
        <v>237</v>
      </c>
      <c r="AG142" s="736" t="s">
        <v>23</v>
      </c>
      <c r="AH142" s="755" t="s">
        <v>3</v>
      </c>
      <c r="AI142" s="763" t="s">
        <v>238</v>
      </c>
      <c r="AJ142" s="764"/>
      <c r="AK142" s="764"/>
      <c r="AL142" s="765"/>
    </row>
    <row r="143" spans="1:38" s="15" customFormat="1" ht="21" customHeight="1" x14ac:dyDescent="0.35">
      <c r="A143" s="754"/>
      <c r="B143" s="754"/>
      <c r="C143" s="732" t="s">
        <v>5</v>
      </c>
      <c r="D143" s="732" t="s">
        <v>6</v>
      </c>
      <c r="E143" s="732" t="s">
        <v>133</v>
      </c>
      <c r="F143" s="756"/>
      <c r="G143" s="756"/>
      <c r="H143" s="756"/>
      <c r="I143" s="756"/>
      <c r="J143" s="740"/>
      <c r="K143" s="756"/>
      <c r="L143" s="761"/>
      <c r="M143" s="758"/>
      <c r="N143" s="758"/>
      <c r="O143" s="758"/>
      <c r="P143" s="740"/>
      <c r="Q143" s="732" t="s">
        <v>10</v>
      </c>
      <c r="R143" s="732" t="s">
        <v>11</v>
      </c>
      <c r="S143" s="732" t="s">
        <v>12</v>
      </c>
      <c r="T143" s="732" t="s">
        <v>13</v>
      </c>
      <c r="U143" s="732" t="s">
        <v>14</v>
      </c>
      <c r="V143" s="746" t="s">
        <v>227</v>
      </c>
      <c r="W143" s="756"/>
      <c r="X143" s="740"/>
      <c r="Y143" s="748" t="s">
        <v>228</v>
      </c>
      <c r="Z143" s="748" t="s">
        <v>229</v>
      </c>
      <c r="AA143" s="737"/>
      <c r="AB143" s="749" t="s">
        <v>232</v>
      </c>
      <c r="AC143" s="750"/>
      <c r="AD143" s="751"/>
      <c r="AE143" s="733" t="s">
        <v>236</v>
      </c>
      <c r="AF143" s="729"/>
      <c r="AG143" s="737"/>
      <c r="AH143" s="756"/>
      <c r="AI143" s="742" t="s">
        <v>166</v>
      </c>
      <c r="AJ143" s="742" t="s">
        <v>167</v>
      </c>
      <c r="AK143" s="742" t="s">
        <v>134</v>
      </c>
      <c r="AL143" s="742" t="s">
        <v>291</v>
      </c>
    </row>
    <row r="144" spans="1:38" s="15" customFormat="1" ht="65.25" customHeight="1" x14ac:dyDescent="0.35">
      <c r="A144" s="754"/>
      <c r="B144" s="754"/>
      <c r="C144" s="732"/>
      <c r="D144" s="732"/>
      <c r="E144" s="732"/>
      <c r="F144" s="757"/>
      <c r="G144" s="757"/>
      <c r="H144" s="757"/>
      <c r="I144" s="757"/>
      <c r="J144" s="741"/>
      <c r="K144" s="757"/>
      <c r="L144" s="762"/>
      <c r="M144" s="758"/>
      <c r="N144" s="758"/>
      <c r="O144" s="758"/>
      <c r="P144" s="741"/>
      <c r="Q144" s="732"/>
      <c r="R144" s="732"/>
      <c r="S144" s="732"/>
      <c r="T144" s="732"/>
      <c r="U144" s="732"/>
      <c r="V144" s="747"/>
      <c r="W144" s="757"/>
      <c r="X144" s="741"/>
      <c r="Y144" s="748"/>
      <c r="Z144" s="748"/>
      <c r="AA144" s="738"/>
      <c r="AB144" s="506" t="s">
        <v>233</v>
      </c>
      <c r="AC144" s="681" t="s">
        <v>234</v>
      </c>
      <c r="AD144" s="681" t="s">
        <v>235</v>
      </c>
      <c r="AE144" s="734"/>
      <c r="AF144" s="730"/>
      <c r="AG144" s="738"/>
      <c r="AH144" s="757"/>
      <c r="AI144" s="743"/>
      <c r="AJ144" s="743"/>
      <c r="AK144" s="743"/>
      <c r="AL144" s="743"/>
    </row>
    <row r="145" spans="1:38" ht="20.149999999999999" customHeight="1" x14ac:dyDescent="0.35">
      <c r="A145" s="507">
        <v>1</v>
      </c>
      <c r="B145" s="507" t="str">
        <f>PETUNJUK!B9</f>
        <v>Pecangaan Kulon</v>
      </c>
      <c r="C145" s="507">
        <f>C111</f>
        <v>101.2</v>
      </c>
      <c r="D145" s="507">
        <f t="shared" ref="D145:E145" si="115">D111</f>
        <v>96.600000000000009</v>
      </c>
      <c r="E145" s="507">
        <f t="shared" si="115"/>
        <v>20.240000000000002</v>
      </c>
      <c r="F145" s="346"/>
      <c r="G145" s="515"/>
      <c r="H145" s="515"/>
      <c r="I145" s="515"/>
      <c r="J145" s="515"/>
      <c r="K145" s="515"/>
      <c r="L145" s="515"/>
      <c r="M145" s="515"/>
      <c r="N145" s="673"/>
      <c r="O145" s="673"/>
      <c r="P145" s="515"/>
      <c r="Q145" s="515"/>
      <c r="R145" s="515"/>
      <c r="S145" s="515"/>
      <c r="T145" s="515"/>
      <c r="U145" s="515"/>
      <c r="V145" s="515"/>
      <c r="W145" s="515"/>
      <c r="X145" s="515"/>
      <c r="Y145" s="515"/>
      <c r="Z145" s="515"/>
      <c r="AA145" s="515"/>
      <c r="AB145" s="515"/>
      <c r="AC145" s="515"/>
      <c r="AD145" s="515"/>
      <c r="AE145" s="515"/>
      <c r="AF145" s="515"/>
      <c r="AG145" s="515"/>
      <c r="AH145" s="515"/>
      <c r="AI145" s="515"/>
      <c r="AJ145" s="515"/>
      <c r="AK145" s="515"/>
      <c r="AL145" s="515"/>
    </row>
    <row r="146" spans="1:38" ht="20.149999999999999" customHeight="1" x14ac:dyDescent="0.35">
      <c r="A146" s="507">
        <v>2</v>
      </c>
      <c r="B146" s="507" t="str">
        <f>PETUNJUK!B10</f>
        <v>Rengging</v>
      </c>
      <c r="C146" s="507">
        <f t="shared" ref="C146:E146" si="116">C112</f>
        <v>111.10000000000001</v>
      </c>
      <c r="D146" s="507">
        <f t="shared" si="116"/>
        <v>106.05000000000001</v>
      </c>
      <c r="E146" s="507">
        <f t="shared" si="116"/>
        <v>22.220000000000002</v>
      </c>
      <c r="F146" s="346"/>
      <c r="G146" s="515"/>
      <c r="H146" s="515"/>
      <c r="I146" s="515"/>
      <c r="J146" s="515"/>
      <c r="K146" s="515"/>
      <c r="L146" s="515"/>
      <c r="M146" s="515"/>
      <c r="N146" s="673"/>
      <c r="O146" s="673"/>
      <c r="P146" s="515"/>
      <c r="Q146" s="515"/>
      <c r="R146" s="515"/>
      <c r="S146" s="515"/>
      <c r="T146" s="515"/>
      <c r="U146" s="515"/>
      <c r="V146" s="515"/>
      <c r="W146" s="515"/>
      <c r="X146" s="515"/>
      <c r="Y146" s="515"/>
      <c r="Z146" s="515"/>
      <c r="AA146" s="515"/>
      <c r="AB146" s="515"/>
      <c r="AC146" s="515"/>
      <c r="AD146" s="515"/>
      <c r="AE146" s="515"/>
      <c r="AF146" s="515"/>
      <c r="AG146" s="515"/>
      <c r="AH146" s="515"/>
      <c r="AI146" s="515"/>
      <c r="AJ146" s="515"/>
      <c r="AK146" s="515"/>
      <c r="AL146" s="515"/>
    </row>
    <row r="147" spans="1:38" ht="20.149999999999999" customHeight="1" x14ac:dyDescent="0.35">
      <c r="A147" s="507">
        <v>3</v>
      </c>
      <c r="B147" s="507" t="str">
        <f>PETUNJUK!B11</f>
        <v>Troso</v>
      </c>
      <c r="C147" s="507">
        <f t="shared" ref="C147:E147" si="117">C113</f>
        <v>205.70000000000002</v>
      </c>
      <c r="D147" s="507">
        <f t="shared" si="117"/>
        <v>196.35</v>
      </c>
      <c r="E147" s="507">
        <f t="shared" si="117"/>
        <v>41.140000000000008</v>
      </c>
      <c r="F147" s="346"/>
      <c r="G147" s="515"/>
      <c r="H147" s="515"/>
      <c r="I147" s="515"/>
      <c r="J147" s="515"/>
      <c r="K147" s="515"/>
      <c r="L147" s="515"/>
      <c r="M147" s="515"/>
      <c r="N147" s="673"/>
      <c r="O147" s="673"/>
      <c r="P147" s="515"/>
      <c r="Q147" s="515"/>
      <c r="R147" s="515"/>
      <c r="S147" s="515"/>
      <c r="T147" s="515"/>
      <c r="U147" s="515"/>
      <c r="V147" s="515"/>
      <c r="W147" s="515"/>
      <c r="X147" s="515"/>
      <c r="Y147" s="515"/>
      <c r="Z147" s="515"/>
      <c r="AA147" s="515"/>
      <c r="AB147" s="515"/>
      <c r="AC147" s="515"/>
      <c r="AD147" s="515"/>
      <c r="AE147" s="515"/>
      <c r="AF147" s="515"/>
      <c r="AG147" s="515"/>
      <c r="AH147" s="515"/>
      <c r="AI147" s="515"/>
      <c r="AJ147" s="515"/>
      <c r="AK147" s="515"/>
      <c r="AL147" s="515"/>
    </row>
    <row r="148" spans="1:38" ht="20.149999999999999" customHeight="1" x14ac:dyDescent="0.35">
      <c r="A148" s="507">
        <v>4</v>
      </c>
      <c r="B148" s="507" t="str">
        <f>PETUNJUK!B12</f>
        <v>Ngeling</v>
      </c>
      <c r="C148" s="507">
        <f t="shared" ref="C148:E148" si="118">C114</f>
        <v>95.7</v>
      </c>
      <c r="D148" s="507">
        <f t="shared" si="118"/>
        <v>91.350000000000009</v>
      </c>
      <c r="E148" s="507">
        <f t="shared" si="118"/>
        <v>19.14</v>
      </c>
      <c r="F148" s="346"/>
      <c r="G148" s="515"/>
      <c r="H148" s="515"/>
      <c r="I148" s="515"/>
      <c r="J148" s="515"/>
      <c r="K148" s="515"/>
      <c r="L148" s="515"/>
      <c r="M148" s="515"/>
      <c r="N148" s="673"/>
      <c r="O148" s="673"/>
      <c r="P148" s="515"/>
      <c r="Q148" s="515"/>
      <c r="R148" s="515"/>
      <c r="S148" s="515"/>
      <c r="T148" s="515"/>
      <c r="U148" s="515"/>
      <c r="V148" s="515"/>
      <c r="W148" s="515"/>
      <c r="X148" s="515"/>
      <c r="Y148" s="515"/>
      <c r="Z148" s="515"/>
      <c r="AA148" s="515"/>
      <c r="AB148" s="515"/>
      <c r="AC148" s="515"/>
      <c r="AD148" s="515"/>
      <c r="AE148" s="515"/>
      <c r="AF148" s="515"/>
      <c r="AG148" s="515"/>
      <c r="AH148" s="515"/>
      <c r="AI148" s="515"/>
      <c r="AJ148" s="515"/>
      <c r="AK148" s="515"/>
      <c r="AL148" s="515"/>
    </row>
    <row r="149" spans="1:38" ht="20.149999999999999" customHeight="1" x14ac:dyDescent="0.35">
      <c r="A149" s="507">
        <v>5</v>
      </c>
      <c r="B149" s="507" t="str">
        <f>PETUNJUK!B13</f>
        <v>Lebuawu</v>
      </c>
      <c r="C149" s="507">
        <f t="shared" ref="C149:E149" si="119">C115</f>
        <v>85.800000000000011</v>
      </c>
      <c r="D149" s="507">
        <f t="shared" si="119"/>
        <v>81.900000000000006</v>
      </c>
      <c r="E149" s="507">
        <f t="shared" si="119"/>
        <v>17.160000000000004</v>
      </c>
      <c r="F149" s="346"/>
      <c r="G149" s="515"/>
      <c r="H149" s="515"/>
      <c r="I149" s="515"/>
      <c r="J149" s="515"/>
      <c r="K149" s="515"/>
      <c r="L149" s="515"/>
      <c r="M149" s="515"/>
      <c r="N149" s="673"/>
      <c r="O149" s="673"/>
      <c r="P149" s="515"/>
      <c r="Q149" s="515"/>
      <c r="R149" s="515"/>
      <c r="S149" s="515"/>
      <c r="T149" s="515"/>
      <c r="U149" s="515"/>
      <c r="V149" s="515"/>
      <c r="W149" s="515"/>
      <c r="X149" s="515"/>
      <c r="Y149" s="515"/>
      <c r="Z149" s="515"/>
      <c r="AA149" s="515"/>
      <c r="AB149" s="515"/>
      <c r="AC149" s="515"/>
      <c r="AD149" s="515"/>
      <c r="AE149" s="515"/>
      <c r="AF149" s="515"/>
      <c r="AG149" s="515"/>
      <c r="AH149" s="515"/>
      <c r="AI149" s="515"/>
      <c r="AJ149" s="515"/>
      <c r="AK149" s="515"/>
      <c r="AL149" s="515"/>
    </row>
    <row r="150" spans="1:38" ht="20.149999999999999" customHeight="1" x14ac:dyDescent="0.35">
      <c r="A150" s="507">
        <v>6</v>
      </c>
      <c r="B150" s="507" t="str">
        <f>PETUNJUK!B14</f>
        <v>Pulodarat</v>
      </c>
      <c r="C150" s="507">
        <f t="shared" ref="C150:E150" si="120">C116</f>
        <v>82.5</v>
      </c>
      <c r="D150" s="507">
        <f t="shared" si="120"/>
        <v>78.75</v>
      </c>
      <c r="E150" s="507">
        <f t="shared" si="120"/>
        <v>16.5</v>
      </c>
      <c r="F150" s="346"/>
      <c r="G150" s="515"/>
      <c r="H150" s="515"/>
      <c r="I150" s="515"/>
      <c r="J150" s="515"/>
      <c r="K150" s="515"/>
      <c r="L150" s="515"/>
      <c r="M150" s="515"/>
      <c r="N150" s="673"/>
      <c r="O150" s="673"/>
      <c r="P150" s="515"/>
      <c r="Q150" s="515"/>
      <c r="R150" s="515"/>
      <c r="S150" s="515"/>
      <c r="T150" s="515"/>
      <c r="U150" s="515"/>
      <c r="V150" s="515"/>
      <c r="W150" s="515"/>
      <c r="X150" s="515"/>
      <c r="Y150" s="515"/>
      <c r="Z150" s="515"/>
      <c r="AA150" s="515"/>
      <c r="AB150" s="515"/>
      <c r="AC150" s="515"/>
      <c r="AD150" s="515"/>
      <c r="AE150" s="515"/>
      <c r="AF150" s="515"/>
      <c r="AG150" s="515"/>
      <c r="AH150" s="515"/>
      <c r="AI150" s="515"/>
      <c r="AJ150" s="515"/>
      <c r="AK150" s="515"/>
      <c r="AL150" s="515"/>
    </row>
    <row r="151" spans="1:38" ht="20.149999999999999" customHeight="1" x14ac:dyDescent="0.35">
      <c r="A151" s="507">
        <v>7</v>
      </c>
      <c r="B151" s="507" t="str">
        <f>PETUNJUK!B15</f>
        <v>Karangrandu</v>
      </c>
      <c r="C151" s="507">
        <f t="shared" ref="C151:E151" si="121">C117</f>
        <v>93.500000000000014</v>
      </c>
      <c r="D151" s="507">
        <f t="shared" si="121"/>
        <v>89.25</v>
      </c>
      <c r="E151" s="507">
        <f t="shared" si="121"/>
        <v>18.700000000000003</v>
      </c>
      <c r="F151" s="346"/>
      <c r="G151" s="515"/>
      <c r="H151" s="515"/>
      <c r="I151" s="515"/>
      <c r="J151" s="515"/>
      <c r="K151" s="515"/>
      <c r="L151" s="515"/>
      <c r="M151" s="515"/>
      <c r="N151" s="673"/>
      <c r="O151" s="673"/>
      <c r="P151" s="515"/>
      <c r="Q151" s="515"/>
      <c r="R151" s="515"/>
      <c r="S151" s="515"/>
      <c r="T151" s="515"/>
      <c r="U151" s="515"/>
      <c r="V151" s="515"/>
      <c r="W151" s="515"/>
      <c r="X151" s="515"/>
      <c r="Y151" s="515"/>
      <c r="Z151" s="515"/>
      <c r="AA151" s="515"/>
      <c r="AB151" s="515"/>
      <c r="AC151" s="515"/>
      <c r="AD151" s="515"/>
      <c r="AE151" s="515"/>
      <c r="AF151" s="515"/>
      <c r="AG151" s="515"/>
      <c r="AH151" s="515"/>
      <c r="AI151" s="515"/>
      <c r="AJ151" s="515"/>
      <c r="AK151" s="515"/>
      <c r="AL151" s="515"/>
    </row>
    <row r="152" spans="1:38" ht="20.149999999999999" customHeight="1" x14ac:dyDescent="0.35">
      <c r="A152" s="507">
        <v>8</v>
      </c>
      <c r="B152" s="507" t="str">
        <f>PETUNJUK!B16</f>
        <v>Kaliombo</v>
      </c>
      <c r="C152" s="507">
        <f t="shared" ref="C152:E152" si="122">C118</f>
        <v>46.2</v>
      </c>
      <c r="D152" s="507">
        <f t="shared" si="122"/>
        <v>44.1</v>
      </c>
      <c r="E152" s="507">
        <f t="shared" si="122"/>
        <v>9.24</v>
      </c>
      <c r="F152" s="346"/>
      <c r="G152" s="515"/>
      <c r="H152" s="515"/>
      <c r="I152" s="515"/>
      <c r="J152" s="515"/>
      <c r="K152" s="515"/>
      <c r="L152" s="515"/>
      <c r="M152" s="515"/>
      <c r="N152" s="673"/>
      <c r="O152" s="673"/>
      <c r="P152" s="515"/>
      <c r="Q152" s="515"/>
      <c r="R152" s="515"/>
      <c r="S152" s="515"/>
      <c r="T152" s="515"/>
      <c r="U152" s="515"/>
      <c r="V152" s="515"/>
      <c r="W152" s="515"/>
      <c r="X152" s="515"/>
      <c r="Y152" s="515"/>
      <c r="Z152" s="515"/>
      <c r="AA152" s="515"/>
      <c r="AB152" s="515"/>
      <c r="AC152" s="515"/>
      <c r="AD152" s="515"/>
      <c r="AE152" s="515"/>
      <c r="AF152" s="515"/>
      <c r="AG152" s="515"/>
      <c r="AH152" s="515"/>
      <c r="AI152" s="515"/>
      <c r="AJ152" s="515"/>
      <c r="AK152" s="515"/>
      <c r="AL152" s="515"/>
    </row>
    <row r="153" spans="1:38" ht="20.149999999999999" customHeight="1" x14ac:dyDescent="0.35">
      <c r="A153" s="507">
        <v>9</v>
      </c>
      <c r="B153" s="507" t="str">
        <f>PETUNJUK!B17</f>
        <v>Gemulung</v>
      </c>
      <c r="C153" s="507">
        <f t="shared" ref="C153:E153" si="123">C119</f>
        <v>53.900000000000006</v>
      </c>
      <c r="D153" s="507">
        <f t="shared" si="123"/>
        <v>51.45</v>
      </c>
      <c r="E153" s="507">
        <f t="shared" si="123"/>
        <v>10.780000000000001</v>
      </c>
      <c r="F153" s="346"/>
      <c r="G153" s="515"/>
      <c r="H153" s="515"/>
      <c r="I153" s="515"/>
      <c r="J153" s="515"/>
      <c r="K153" s="515"/>
      <c r="L153" s="515"/>
      <c r="M153" s="515"/>
      <c r="N153" s="673"/>
      <c r="O153" s="673"/>
      <c r="P153" s="515"/>
      <c r="Q153" s="515"/>
      <c r="R153" s="515"/>
      <c r="S153" s="515"/>
      <c r="T153" s="515"/>
      <c r="U153" s="515"/>
      <c r="V153" s="515"/>
      <c r="W153" s="515"/>
      <c r="X153" s="515"/>
      <c r="Y153" s="515"/>
      <c r="Z153" s="515"/>
      <c r="AA153" s="515"/>
      <c r="AB153" s="515"/>
      <c r="AC153" s="515"/>
      <c r="AD153" s="515"/>
      <c r="AE153" s="515"/>
      <c r="AF153" s="515"/>
      <c r="AG153" s="515"/>
      <c r="AH153" s="515"/>
      <c r="AI153" s="515"/>
      <c r="AJ153" s="515"/>
      <c r="AK153" s="515"/>
      <c r="AL153" s="515"/>
    </row>
    <row r="154" spans="1:38" ht="20.149999999999999" customHeight="1" x14ac:dyDescent="0.35">
      <c r="A154" s="507">
        <v>6</v>
      </c>
      <c r="B154" s="507" t="str">
        <f>PETUNJUK!B18</f>
        <v>Pecangaan Wetan</v>
      </c>
      <c r="C154" s="507">
        <f t="shared" ref="C154:E154" si="124">C120</f>
        <v>50.6</v>
      </c>
      <c r="D154" s="507">
        <f t="shared" si="124"/>
        <v>48.300000000000004</v>
      </c>
      <c r="E154" s="507">
        <f t="shared" si="124"/>
        <v>10.120000000000001</v>
      </c>
      <c r="F154" s="346"/>
      <c r="G154" s="515"/>
      <c r="H154" s="515"/>
      <c r="I154" s="515"/>
      <c r="J154" s="515"/>
      <c r="K154" s="515"/>
      <c r="L154" s="515"/>
      <c r="M154" s="515"/>
      <c r="N154" s="673"/>
      <c r="O154" s="673"/>
      <c r="P154" s="515"/>
      <c r="Q154" s="515"/>
      <c r="R154" s="515"/>
      <c r="S154" s="515"/>
      <c r="T154" s="515"/>
      <c r="U154" s="515"/>
      <c r="V154" s="515"/>
      <c r="W154" s="515"/>
      <c r="X154" s="515"/>
      <c r="Y154" s="515"/>
      <c r="Z154" s="515"/>
      <c r="AA154" s="515"/>
      <c r="AB154" s="515"/>
      <c r="AC154" s="515"/>
      <c r="AD154" s="515"/>
      <c r="AE154" s="515"/>
      <c r="AF154" s="515"/>
      <c r="AG154" s="515"/>
      <c r="AH154" s="515"/>
      <c r="AI154" s="515"/>
      <c r="AJ154" s="515"/>
      <c r="AK154" s="515"/>
      <c r="AL154" s="515"/>
    </row>
    <row r="155" spans="1:38" ht="20.149999999999999" customHeight="1" x14ac:dyDescent="0.35">
      <c r="A155" s="507">
        <v>11</v>
      </c>
      <c r="B155" s="507" t="str">
        <f>PETUNJUK!B19</f>
        <v>Krasak</v>
      </c>
      <c r="C155" s="507">
        <f t="shared" ref="C155:E155" si="125">C121</f>
        <v>117.7</v>
      </c>
      <c r="D155" s="507">
        <f t="shared" si="125"/>
        <v>112.35000000000001</v>
      </c>
      <c r="E155" s="507">
        <f t="shared" si="125"/>
        <v>23.540000000000003</v>
      </c>
      <c r="F155" s="346"/>
      <c r="G155" s="515"/>
      <c r="H155" s="515"/>
      <c r="I155" s="515"/>
      <c r="J155" s="515"/>
      <c r="K155" s="515"/>
      <c r="L155" s="515"/>
      <c r="M155" s="515"/>
      <c r="N155" s="673"/>
      <c r="O155" s="673"/>
      <c r="P155" s="515"/>
      <c r="Q155" s="515"/>
      <c r="R155" s="515"/>
      <c r="S155" s="515"/>
      <c r="T155" s="515"/>
      <c r="U155" s="515"/>
      <c r="V155" s="515"/>
      <c r="W155" s="515"/>
      <c r="X155" s="515"/>
      <c r="Y155" s="515"/>
      <c r="Z155" s="515"/>
      <c r="AA155" s="515"/>
      <c r="AB155" s="515"/>
      <c r="AC155" s="515"/>
      <c r="AD155" s="515"/>
      <c r="AE155" s="515"/>
      <c r="AF155" s="515"/>
      <c r="AG155" s="515"/>
      <c r="AH155" s="515"/>
      <c r="AI155" s="515"/>
      <c r="AJ155" s="515"/>
      <c r="AK155" s="515"/>
      <c r="AL155" s="515"/>
    </row>
    <row r="156" spans="1:38" ht="20.149999999999999" customHeight="1" x14ac:dyDescent="0.35">
      <c r="A156" s="507">
        <v>12</v>
      </c>
      <c r="B156" s="507" t="str">
        <f>PETUNJUK!B20</f>
        <v>Gerdu</v>
      </c>
      <c r="C156" s="507">
        <f t="shared" ref="C156:E156" si="126">C122</f>
        <v>23.1</v>
      </c>
      <c r="D156" s="507">
        <f t="shared" si="126"/>
        <v>22.05</v>
      </c>
      <c r="E156" s="507">
        <f t="shared" si="126"/>
        <v>4.62</v>
      </c>
      <c r="F156" s="346"/>
      <c r="G156" s="515"/>
      <c r="H156" s="515"/>
      <c r="I156" s="515"/>
      <c r="J156" s="515"/>
      <c r="K156" s="515"/>
      <c r="L156" s="515"/>
      <c r="M156" s="515"/>
      <c r="N156" s="673"/>
      <c r="O156" s="673"/>
      <c r="P156" s="515"/>
      <c r="Q156" s="515"/>
      <c r="R156" s="515"/>
      <c r="S156" s="515"/>
      <c r="T156" s="515"/>
      <c r="U156" s="515"/>
      <c r="V156" s="515"/>
      <c r="W156" s="515"/>
      <c r="X156" s="515"/>
      <c r="Y156" s="515"/>
      <c r="Z156" s="515"/>
      <c r="AA156" s="515"/>
      <c r="AB156" s="515"/>
      <c r="AC156" s="515"/>
      <c r="AD156" s="515"/>
      <c r="AE156" s="515"/>
      <c r="AF156" s="515"/>
      <c r="AG156" s="515"/>
      <c r="AH156" s="515"/>
      <c r="AI156" s="515"/>
      <c r="AJ156" s="515"/>
      <c r="AK156" s="515"/>
      <c r="AL156" s="515"/>
    </row>
    <row r="157" spans="1:38" ht="20.149999999999999" customHeight="1" x14ac:dyDescent="0.35">
      <c r="A157" s="507">
        <v>13</v>
      </c>
      <c r="B157" s="507">
        <f>PETUNJUK!B21</f>
        <v>0</v>
      </c>
      <c r="C157" s="507">
        <f t="shared" ref="C157:E157" si="127">C123</f>
        <v>0</v>
      </c>
      <c r="D157" s="507">
        <f t="shared" si="127"/>
        <v>0</v>
      </c>
      <c r="E157" s="507">
        <f t="shared" si="127"/>
        <v>0</v>
      </c>
      <c r="F157" s="346"/>
      <c r="G157" s="515"/>
      <c r="H157" s="515"/>
      <c r="I157" s="515"/>
      <c r="J157" s="515"/>
      <c r="K157" s="515"/>
      <c r="L157" s="515"/>
      <c r="M157" s="515"/>
      <c r="N157" s="673"/>
      <c r="O157" s="673"/>
      <c r="P157" s="515"/>
      <c r="Q157" s="515"/>
      <c r="R157" s="515"/>
      <c r="S157" s="515"/>
      <c r="T157" s="515"/>
      <c r="U157" s="515"/>
      <c r="V157" s="515"/>
      <c r="W157" s="515"/>
      <c r="X157" s="515"/>
      <c r="Y157" s="515"/>
      <c r="Z157" s="515"/>
      <c r="AA157" s="515"/>
      <c r="AB157" s="515"/>
      <c r="AC157" s="515"/>
      <c r="AD157" s="515"/>
      <c r="AE157" s="515"/>
      <c r="AF157" s="515"/>
      <c r="AG157" s="515"/>
      <c r="AH157" s="515"/>
      <c r="AI157" s="515"/>
      <c r="AJ157" s="515"/>
      <c r="AK157" s="515"/>
      <c r="AL157" s="515"/>
    </row>
    <row r="158" spans="1:38" ht="20.149999999999999" customHeight="1" x14ac:dyDescent="0.35">
      <c r="A158" s="507">
        <v>14</v>
      </c>
      <c r="B158" s="507">
        <f>PETUNJUK!B22</f>
        <v>0</v>
      </c>
      <c r="C158" s="507">
        <f t="shared" ref="C158:E158" si="128">C124</f>
        <v>0</v>
      </c>
      <c r="D158" s="507">
        <f t="shared" si="128"/>
        <v>0</v>
      </c>
      <c r="E158" s="507">
        <f t="shared" si="128"/>
        <v>0</v>
      </c>
      <c r="F158" s="346"/>
      <c r="G158" s="515"/>
      <c r="H158" s="515"/>
      <c r="I158" s="515"/>
      <c r="J158" s="515"/>
      <c r="K158" s="515"/>
      <c r="L158" s="515"/>
      <c r="M158" s="515"/>
      <c r="N158" s="673"/>
      <c r="O158" s="673"/>
      <c r="P158" s="515"/>
      <c r="Q158" s="515"/>
      <c r="R158" s="515"/>
      <c r="S158" s="515"/>
      <c r="T158" s="515"/>
      <c r="U158" s="515"/>
      <c r="V158" s="515"/>
      <c r="W158" s="515"/>
      <c r="X158" s="515"/>
      <c r="Y158" s="515"/>
      <c r="Z158" s="515"/>
      <c r="AA158" s="515"/>
      <c r="AB158" s="515"/>
      <c r="AC158" s="515"/>
      <c r="AD158" s="515"/>
      <c r="AE158" s="515"/>
      <c r="AF158" s="515"/>
      <c r="AG158" s="515"/>
      <c r="AH158" s="515"/>
      <c r="AI158" s="515"/>
      <c r="AJ158" s="515"/>
      <c r="AK158" s="515"/>
      <c r="AL158" s="515"/>
    </row>
    <row r="159" spans="1:38" ht="20.149999999999999" customHeight="1" x14ac:dyDescent="0.35">
      <c r="A159" s="507">
        <v>15</v>
      </c>
      <c r="B159" s="507">
        <f>PETUNJUK!B23</f>
        <v>0</v>
      </c>
      <c r="C159" s="507">
        <f t="shared" ref="C159:E159" si="129">C125</f>
        <v>0</v>
      </c>
      <c r="D159" s="507">
        <f t="shared" si="129"/>
        <v>0</v>
      </c>
      <c r="E159" s="507">
        <f t="shared" si="129"/>
        <v>0</v>
      </c>
      <c r="F159" s="346"/>
      <c r="G159" s="515"/>
      <c r="H159" s="515"/>
      <c r="I159" s="515"/>
      <c r="J159" s="515"/>
      <c r="K159" s="515"/>
      <c r="L159" s="515"/>
      <c r="M159" s="515"/>
      <c r="N159" s="673"/>
      <c r="O159" s="673"/>
      <c r="P159" s="515"/>
      <c r="Q159" s="515"/>
      <c r="R159" s="515"/>
      <c r="S159" s="515"/>
      <c r="T159" s="515"/>
      <c r="U159" s="515"/>
      <c r="V159" s="515"/>
      <c r="W159" s="515"/>
      <c r="X159" s="515"/>
      <c r="Y159" s="515"/>
      <c r="Z159" s="515"/>
      <c r="AA159" s="515"/>
      <c r="AB159" s="515"/>
      <c r="AC159" s="515"/>
      <c r="AD159" s="515"/>
      <c r="AE159" s="515"/>
      <c r="AF159" s="515"/>
      <c r="AG159" s="515"/>
      <c r="AH159" s="515"/>
      <c r="AI159" s="515"/>
      <c r="AJ159" s="515"/>
      <c r="AK159" s="515"/>
      <c r="AL159" s="515"/>
    </row>
    <row r="160" spans="1:38" ht="20.149999999999999" customHeight="1" x14ac:dyDescent="0.35">
      <c r="A160" s="507">
        <v>16</v>
      </c>
      <c r="B160" s="507">
        <f>PETUNJUK!B24</f>
        <v>0</v>
      </c>
      <c r="C160" s="507">
        <f t="shared" ref="C160:E160" si="130">C126</f>
        <v>0</v>
      </c>
      <c r="D160" s="507">
        <f t="shared" si="130"/>
        <v>0</v>
      </c>
      <c r="E160" s="507">
        <f t="shared" si="130"/>
        <v>0</v>
      </c>
      <c r="F160" s="346"/>
      <c r="G160" s="515"/>
      <c r="H160" s="515"/>
      <c r="I160" s="515"/>
      <c r="J160" s="515"/>
      <c r="K160" s="515"/>
      <c r="L160" s="515"/>
      <c r="M160" s="515"/>
      <c r="N160" s="673"/>
      <c r="O160" s="673"/>
      <c r="P160" s="515"/>
      <c r="Q160" s="515"/>
      <c r="R160" s="515"/>
      <c r="S160" s="515"/>
      <c r="T160" s="515"/>
      <c r="U160" s="515"/>
      <c r="V160" s="515"/>
      <c r="W160" s="515"/>
      <c r="X160" s="515"/>
      <c r="Y160" s="515"/>
      <c r="Z160" s="515"/>
      <c r="AA160" s="515"/>
      <c r="AB160" s="515"/>
      <c r="AC160" s="515"/>
      <c r="AD160" s="515"/>
      <c r="AE160" s="515"/>
      <c r="AF160" s="515"/>
      <c r="AG160" s="515"/>
      <c r="AH160" s="515"/>
      <c r="AI160" s="515"/>
      <c r="AJ160" s="515"/>
      <c r="AK160" s="515"/>
      <c r="AL160" s="515"/>
    </row>
    <row r="161" spans="1:38" ht="20.149999999999999" customHeight="1" x14ac:dyDescent="0.35">
      <c r="A161" s="507">
        <v>17</v>
      </c>
      <c r="B161" s="507">
        <f>PETUNJUK!B25</f>
        <v>0</v>
      </c>
      <c r="C161" s="507">
        <f t="shared" ref="C161:E161" si="131">C127</f>
        <v>0</v>
      </c>
      <c r="D161" s="507">
        <f t="shared" si="131"/>
        <v>0</v>
      </c>
      <c r="E161" s="507">
        <f t="shared" si="131"/>
        <v>0</v>
      </c>
      <c r="F161" s="346"/>
      <c r="G161" s="515"/>
      <c r="H161" s="515"/>
      <c r="I161" s="515"/>
      <c r="J161" s="515"/>
      <c r="K161" s="515"/>
      <c r="L161" s="515"/>
      <c r="M161" s="515"/>
      <c r="N161" s="673"/>
      <c r="O161" s="673"/>
      <c r="P161" s="515"/>
      <c r="Q161" s="515"/>
      <c r="R161" s="515"/>
      <c r="S161" s="515"/>
      <c r="T161" s="515"/>
      <c r="U161" s="515"/>
      <c r="V161" s="515"/>
      <c r="W161" s="515"/>
      <c r="X161" s="515"/>
      <c r="Y161" s="515"/>
      <c r="Z161" s="515"/>
      <c r="AA161" s="515"/>
      <c r="AB161" s="515"/>
      <c r="AC161" s="515"/>
      <c r="AD161" s="515"/>
      <c r="AE161" s="515"/>
      <c r="AF161" s="515"/>
      <c r="AG161" s="515"/>
      <c r="AH161" s="515"/>
      <c r="AI161" s="515"/>
      <c r="AJ161" s="515"/>
      <c r="AK161" s="515"/>
      <c r="AL161" s="515"/>
    </row>
    <row r="162" spans="1:38" ht="20.149999999999999" customHeight="1" x14ac:dyDescent="0.35">
      <c r="A162" s="507">
        <v>18</v>
      </c>
      <c r="B162" s="507">
        <f>PETUNJUK!B26</f>
        <v>0</v>
      </c>
      <c r="C162" s="507">
        <f t="shared" ref="C162:E162" si="132">C128</f>
        <v>0</v>
      </c>
      <c r="D162" s="507">
        <f t="shared" si="132"/>
        <v>0</v>
      </c>
      <c r="E162" s="507">
        <f t="shared" si="132"/>
        <v>0</v>
      </c>
      <c r="F162" s="346"/>
      <c r="G162" s="515"/>
      <c r="H162" s="515"/>
      <c r="I162" s="515"/>
      <c r="J162" s="515"/>
      <c r="K162" s="515"/>
      <c r="L162" s="515"/>
      <c r="M162" s="515"/>
      <c r="N162" s="673"/>
      <c r="O162" s="673"/>
      <c r="P162" s="515"/>
      <c r="Q162" s="515"/>
      <c r="R162" s="515"/>
      <c r="S162" s="515"/>
      <c r="T162" s="515"/>
      <c r="U162" s="515"/>
      <c r="V162" s="515"/>
      <c r="W162" s="515"/>
      <c r="X162" s="515"/>
      <c r="Y162" s="515"/>
      <c r="Z162" s="515"/>
      <c r="AA162" s="515"/>
      <c r="AB162" s="515"/>
      <c r="AC162" s="515"/>
      <c r="AD162" s="515"/>
      <c r="AE162" s="515"/>
      <c r="AF162" s="515"/>
      <c r="AG162" s="515"/>
      <c r="AH162" s="515"/>
      <c r="AI162" s="515"/>
      <c r="AJ162" s="515"/>
      <c r="AK162" s="515"/>
      <c r="AL162" s="515"/>
    </row>
    <row r="163" spans="1:38" ht="20.149999999999999" customHeight="1" x14ac:dyDescent="0.35">
      <c r="A163" s="507">
        <v>19</v>
      </c>
      <c r="B163" s="507">
        <f>PETUNJUK!B27</f>
        <v>0</v>
      </c>
      <c r="C163" s="507">
        <f t="shared" ref="C163:E163" si="133">C129</f>
        <v>0</v>
      </c>
      <c r="D163" s="507">
        <f t="shared" si="133"/>
        <v>0</v>
      </c>
      <c r="E163" s="507">
        <f t="shared" si="133"/>
        <v>0</v>
      </c>
      <c r="F163" s="346"/>
      <c r="G163" s="515"/>
      <c r="H163" s="515"/>
      <c r="I163" s="515"/>
      <c r="J163" s="515"/>
      <c r="K163" s="515"/>
      <c r="L163" s="515"/>
      <c r="M163" s="515"/>
      <c r="N163" s="673"/>
      <c r="O163" s="673"/>
      <c r="P163" s="515"/>
      <c r="Q163" s="515"/>
      <c r="R163" s="515"/>
      <c r="S163" s="515"/>
      <c r="T163" s="515"/>
      <c r="U163" s="515"/>
      <c r="V163" s="515"/>
      <c r="W163" s="515"/>
      <c r="X163" s="515"/>
      <c r="Y163" s="515"/>
      <c r="Z163" s="515"/>
      <c r="AA163" s="515"/>
      <c r="AB163" s="515"/>
      <c r="AC163" s="515"/>
      <c r="AD163" s="515"/>
      <c r="AE163" s="515"/>
      <c r="AF163" s="515"/>
      <c r="AG163" s="515"/>
      <c r="AH163" s="515"/>
      <c r="AI163" s="515"/>
      <c r="AJ163" s="515"/>
      <c r="AK163" s="515"/>
      <c r="AL163" s="515"/>
    </row>
    <row r="164" spans="1:38" ht="20.149999999999999" customHeight="1" x14ac:dyDescent="0.35">
      <c r="A164" s="507">
        <v>20</v>
      </c>
      <c r="B164" s="507">
        <f>PETUNJUK!B28</f>
        <v>0</v>
      </c>
      <c r="C164" s="507">
        <f t="shared" ref="C164:E164" si="134">C130</f>
        <v>0</v>
      </c>
      <c r="D164" s="507">
        <f t="shared" si="134"/>
        <v>0</v>
      </c>
      <c r="E164" s="507">
        <f t="shared" si="134"/>
        <v>0</v>
      </c>
      <c r="F164" s="346"/>
      <c r="G164" s="515"/>
      <c r="H164" s="515"/>
      <c r="I164" s="515"/>
      <c r="J164" s="515"/>
      <c r="K164" s="515"/>
      <c r="L164" s="515"/>
      <c r="M164" s="515"/>
      <c r="N164" s="673"/>
      <c r="O164" s="673"/>
      <c r="P164" s="515"/>
      <c r="Q164" s="515"/>
      <c r="R164" s="515"/>
      <c r="S164" s="515"/>
      <c r="T164" s="515"/>
      <c r="U164" s="515"/>
      <c r="V164" s="515"/>
      <c r="W164" s="515"/>
      <c r="X164" s="515"/>
      <c r="Y164" s="515"/>
      <c r="Z164" s="515"/>
      <c r="AA164" s="515"/>
      <c r="AB164" s="515"/>
      <c r="AC164" s="515"/>
      <c r="AD164" s="515"/>
      <c r="AE164" s="515"/>
      <c r="AF164" s="515"/>
      <c r="AG164" s="515"/>
      <c r="AH164" s="515"/>
      <c r="AI164" s="515"/>
      <c r="AJ164" s="515"/>
      <c r="AK164" s="515"/>
      <c r="AL164" s="515"/>
    </row>
    <row r="165" spans="1:38" ht="20.149999999999999" customHeight="1" x14ac:dyDescent="0.35">
      <c r="A165" s="507">
        <v>21</v>
      </c>
      <c r="B165" s="507">
        <f>PETUNJUK!B29</f>
        <v>0</v>
      </c>
      <c r="C165" s="507">
        <f t="shared" ref="C165:E165" si="135">C131</f>
        <v>0</v>
      </c>
      <c r="D165" s="507">
        <f t="shared" si="135"/>
        <v>0</v>
      </c>
      <c r="E165" s="507">
        <f t="shared" si="135"/>
        <v>0</v>
      </c>
      <c r="F165" s="346"/>
      <c r="G165" s="515"/>
      <c r="H165" s="515"/>
      <c r="I165" s="515"/>
      <c r="J165" s="515"/>
      <c r="K165" s="515"/>
      <c r="L165" s="515"/>
      <c r="M165" s="515"/>
      <c r="N165" s="673"/>
      <c r="O165" s="673"/>
      <c r="P165" s="515"/>
      <c r="Q165" s="515"/>
      <c r="R165" s="515"/>
      <c r="S165" s="515"/>
      <c r="T165" s="515"/>
      <c r="U165" s="515"/>
      <c r="V165" s="515"/>
      <c r="W165" s="515"/>
      <c r="X165" s="515"/>
      <c r="Y165" s="515"/>
      <c r="Z165" s="515"/>
      <c r="AA165" s="515"/>
      <c r="AB165" s="515"/>
      <c r="AC165" s="515"/>
      <c r="AD165" s="515"/>
      <c r="AE165" s="515"/>
      <c r="AF165" s="515"/>
      <c r="AG165" s="515"/>
      <c r="AH165" s="515"/>
      <c r="AI165" s="515"/>
      <c r="AJ165" s="515"/>
      <c r="AK165" s="515"/>
      <c r="AL165" s="515"/>
    </row>
    <row r="166" spans="1:38" ht="20.149999999999999" customHeight="1" thickBot="1" x14ac:dyDescent="0.4">
      <c r="A166" s="512">
        <v>22</v>
      </c>
      <c r="B166" s="512">
        <f>PETUNJUK!B30</f>
        <v>0</v>
      </c>
      <c r="C166" s="507">
        <f t="shared" ref="C166:E166" si="136">C132</f>
        <v>0</v>
      </c>
      <c r="D166" s="507">
        <f t="shared" si="136"/>
        <v>0</v>
      </c>
      <c r="E166" s="507">
        <f t="shared" si="136"/>
        <v>0</v>
      </c>
      <c r="F166" s="509"/>
      <c r="G166" s="509"/>
      <c r="H166" s="509"/>
      <c r="I166" s="509"/>
      <c r="J166" s="509"/>
      <c r="K166" s="509"/>
      <c r="L166" s="509"/>
      <c r="M166" s="509"/>
      <c r="N166" s="675"/>
      <c r="O166" s="675"/>
      <c r="P166" s="509"/>
      <c r="Q166" s="509"/>
      <c r="R166" s="509"/>
      <c r="S166" s="509"/>
      <c r="T166" s="509"/>
      <c r="U166" s="509"/>
      <c r="V166" s="509"/>
      <c r="W166" s="509"/>
      <c r="X166" s="509"/>
      <c r="Y166" s="509"/>
      <c r="Z166" s="509"/>
      <c r="AA166" s="509"/>
      <c r="AB166" s="509"/>
      <c r="AC166" s="509"/>
      <c r="AD166" s="515"/>
      <c r="AE166" s="515"/>
      <c r="AF166" s="509"/>
      <c r="AG166" s="509"/>
      <c r="AH166" s="509"/>
      <c r="AI166" s="509"/>
      <c r="AJ166" s="509"/>
      <c r="AK166" s="509"/>
      <c r="AL166" s="509"/>
    </row>
    <row r="167" spans="1:38" ht="20.149999999999999" customHeight="1" thickBot="1" x14ac:dyDescent="0.4">
      <c r="A167" s="744" t="s">
        <v>18</v>
      </c>
      <c r="B167" s="745"/>
      <c r="C167" s="513">
        <f>SUM(C145:C166)</f>
        <v>1067</v>
      </c>
      <c r="D167" s="513">
        <f t="shared" ref="D167:AL167" si="137">SUM(D145:D166)</f>
        <v>1018.5</v>
      </c>
      <c r="E167" s="513">
        <f t="shared" si="137"/>
        <v>213.40000000000003</v>
      </c>
      <c r="F167" s="513">
        <f t="shared" si="137"/>
        <v>0</v>
      </c>
      <c r="G167" s="513">
        <f t="shared" si="137"/>
        <v>0</v>
      </c>
      <c r="H167" s="513">
        <f t="shared" si="137"/>
        <v>0</v>
      </c>
      <c r="I167" s="513">
        <f t="shared" si="137"/>
        <v>0</v>
      </c>
      <c r="J167" s="513">
        <f t="shared" si="137"/>
        <v>0</v>
      </c>
      <c r="K167" s="513">
        <f t="shared" si="137"/>
        <v>0</v>
      </c>
      <c r="L167" s="513">
        <f t="shared" si="137"/>
        <v>0</v>
      </c>
      <c r="M167" s="513">
        <f t="shared" si="137"/>
        <v>0</v>
      </c>
      <c r="N167" s="513"/>
      <c r="O167" s="513"/>
      <c r="P167" s="513">
        <f t="shared" si="137"/>
        <v>0</v>
      </c>
      <c r="Q167" s="513">
        <f t="shared" si="137"/>
        <v>0</v>
      </c>
      <c r="R167" s="513">
        <f t="shared" si="137"/>
        <v>0</v>
      </c>
      <c r="S167" s="513">
        <f t="shared" si="137"/>
        <v>0</v>
      </c>
      <c r="T167" s="513">
        <f t="shared" si="137"/>
        <v>0</v>
      </c>
      <c r="U167" s="513">
        <f t="shared" si="137"/>
        <v>0</v>
      </c>
      <c r="V167" s="513">
        <f t="shared" si="137"/>
        <v>0</v>
      </c>
      <c r="W167" s="513">
        <f t="shared" si="137"/>
        <v>0</v>
      </c>
      <c r="X167" s="513">
        <f t="shared" si="137"/>
        <v>0</v>
      </c>
      <c r="Y167" s="513">
        <f t="shared" si="137"/>
        <v>0</v>
      </c>
      <c r="Z167" s="513">
        <f t="shared" si="137"/>
        <v>0</v>
      </c>
      <c r="AA167" s="513">
        <f t="shared" si="137"/>
        <v>0</v>
      </c>
      <c r="AB167" s="513">
        <f t="shared" si="137"/>
        <v>0</v>
      </c>
      <c r="AC167" s="513">
        <f t="shared" si="137"/>
        <v>0</v>
      </c>
      <c r="AD167" s="513">
        <f t="shared" si="137"/>
        <v>0</v>
      </c>
      <c r="AE167" s="513">
        <f t="shared" si="137"/>
        <v>0</v>
      </c>
      <c r="AF167" s="513">
        <f t="shared" si="137"/>
        <v>0</v>
      </c>
      <c r="AG167" s="513">
        <f t="shared" si="137"/>
        <v>0</v>
      </c>
      <c r="AH167" s="513">
        <f t="shared" si="137"/>
        <v>0</v>
      </c>
      <c r="AI167" s="513">
        <f t="shared" si="137"/>
        <v>0</v>
      </c>
      <c r="AJ167" s="513">
        <f t="shared" si="137"/>
        <v>0</v>
      </c>
      <c r="AK167" s="513">
        <f t="shared" si="137"/>
        <v>0</v>
      </c>
      <c r="AL167" s="518">
        <f t="shared" si="137"/>
        <v>0</v>
      </c>
    </row>
    <row r="168" spans="1:38" ht="15.5" x14ac:dyDescent="0.35">
      <c r="A168" s="514"/>
      <c r="B168" s="514"/>
      <c r="C168" s="514"/>
      <c r="D168" s="514"/>
      <c r="E168" s="514"/>
      <c r="F168" s="514"/>
      <c r="G168" s="514"/>
      <c r="H168" s="514"/>
      <c r="I168" s="514"/>
      <c r="J168" s="514"/>
      <c r="K168" s="514"/>
      <c r="L168" s="514"/>
      <c r="M168" s="514"/>
      <c r="N168" s="514"/>
      <c r="O168" s="514"/>
      <c r="P168" s="514"/>
      <c r="Q168" s="514"/>
      <c r="R168" s="514"/>
      <c r="S168" s="514"/>
      <c r="T168" s="514"/>
      <c r="U168" s="514"/>
      <c r="V168" s="514"/>
      <c r="W168" s="514"/>
      <c r="X168" s="514"/>
      <c r="Y168" s="514"/>
      <c r="Z168" s="514"/>
      <c r="AA168" s="514"/>
      <c r="AB168" s="514"/>
      <c r="AC168" s="514"/>
      <c r="AD168" s="514"/>
      <c r="AE168" s="514"/>
      <c r="AF168" s="514"/>
      <c r="AG168" s="514"/>
      <c r="AH168" s="514"/>
      <c r="AI168" s="514"/>
      <c r="AJ168" s="514"/>
      <c r="AK168" s="514"/>
      <c r="AL168" s="514"/>
    </row>
    <row r="169" spans="1:38" ht="15.5" x14ac:dyDescent="0.35">
      <c r="A169" s="514"/>
      <c r="B169" s="514"/>
      <c r="C169" s="514"/>
      <c r="D169" s="514"/>
      <c r="E169" s="514"/>
      <c r="F169" s="514"/>
      <c r="G169" s="514"/>
      <c r="H169" s="514"/>
      <c r="I169" s="514"/>
      <c r="J169" s="514"/>
      <c r="K169" s="514"/>
      <c r="L169" s="514"/>
      <c r="M169" s="514"/>
      <c r="N169" s="514"/>
      <c r="O169" s="514"/>
      <c r="P169" s="514"/>
      <c r="Q169" s="514"/>
      <c r="R169" s="514"/>
      <c r="S169" s="514"/>
      <c r="T169" s="514"/>
      <c r="U169" s="514"/>
      <c r="V169" s="514"/>
      <c r="W169" s="514"/>
      <c r="X169" s="514"/>
      <c r="Y169" s="514"/>
      <c r="Z169" s="514"/>
      <c r="AA169" s="514"/>
      <c r="AB169" s="514"/>
      <c r="AC169" s="514"/>
      <c r="AD169" s="514"/>
      <c r="AE169" s="514"/>
      <c r="AF169" s="514"/>
      <c r="AG169" s="514"/>
      <c r="AH169" s="514"/>
      <c r="AI169" s="514"/>
      <c r="AJ169" s="514"/>
      <c r="AK169" s="514"/>
      <c r="AL169" s="514"/>
    </row>
    <row r="170" spans="1:38" ht="15.5" x14ac:dyDescent="0.35">
      <c r="A170" s="514"/>
      <c r="B170" s="514"/>
      <c r="C170" s="514"/>
      <c r="D170" s="514"/>
      <c r="E170" s="514"/>
      <c r="F170" s="514"/>
      <c r="G170" s="514"/>
      <c r="H170" s="514"/>
      <c r="I170" s="514"/>
      <c r="J170" s="514"/>
      <c r="K170" s="514"/>
      <c r="L170" s="514"/>
      <c r="M170" s="514"/>
      <c r="N170" s="514"/>
      <c r="O170" s="514"/>
      <c r="P170" s="514"/>
      <c r="Q170" s="514"/>
      <c r="R170" s="514"/>
      <c r="S170" s="514"/>
      <c r="T170" s="514"/>
      <c r="U170" s="514"/>
      <c r="V170" s="514"/>
      <c r="W170" s="514"/>
      <c r="X170" s="514"/>
      <c r="Y170" s="514"/>
      <c r="Z170" s="514"/>
      <c r="AA170" s="514"/>
      <c r="AB170" s="514"/>
      <c r="AC170" s="514"/>
      <c r="AD170" s="514"/>
      <c r="AE170" s="514"/>
      <c r="AF170" s="514"/>
      <c r="AG170" s="514"/>
      <c r="AH170" s="514"/>
      <c r="AI170" s="514"/>
      <c r="AJ170" s="514"/>
      <c r="AK170" s="514"/>
      <c r="AL170" s="514"/>
    </row>
    <row r="171" spans="1:38" ht="15.5" x14ac:dyDescent="0.35">
      <c r="A171" s="731" t="s">
        <v>239</v>
      </c>
      <c r="B171" s="731"/>
      <c r="C171" s="731"/>
      <c r="D171" s="731"/>
      <c r="E171" s="731"/>
      <c r="F171" s="731"/>
      <c r="G171" s="731"/>
      <c r="H171" s="731"/>
      <c r="I171" s="731"/>
      <c r="J171" s="731"/>
      <c r="K171" s="731"/>
      <c r="L171" s="731"/>
      <c r="M171" s="731"/>
      <c r="N171" s="731"/>
      <c r="O171" s="731"/>
      <c r="P171" s="731"/>
      <c r="Q171" s="731"/>
      <c r="R171" s="731"/>
      <c r="S171" s="731"/>
      <c r="T171" s="731"/>
      <c r="U171" s="731"/>
      <c r="V171" s="731"/>
      <c r="W171" s="731"/>
      <c r="X171" s="731"/>
      <c r="Y171" s="731"/>
      <c r="Z171" s="731"/>
      <c r="AA171" s="731"/>
      <c r="AB171" s="731"/>
      <c r="AC171" s="731"/>
      <c r="AD171" s="731"/>
      <c r="AE171" s="731"/>
      <c r="AF171" s="731"/>
      <c r="AG171" s="731"/>
      <c r="AH171" s="731"/>
      <c r="AI171" s="505"/>
      <c r="AJ171" s="505"/>
      <c r="AK171" s="505"/>
      <c r="AL171" s="505"/>
    </row>
    <row r="172" spans="1:38" ht="15.5" x14ac:dyDescent="0.35">
      <c r="A172" s="505"/>
      <c r="B172" s="505"/>
      <c r="C172" s="505"/>
      <c r="D172" s="505"/>
      <c r="E172" s="505"/>
      <c r="F172" s="505"/>
      <c r="G172" s="505"/>
      <c r="H172" s="505"/>
      <c r="I172" s="505"/>
      <c r="J172" s="505"/>
      <c r="K172" s="505"/>
      <c r="L172" s="505"/>
      <c r="M172" s="505"/>
      <c r="N172" s="505"/>
      <c r="O172" s="505"/>
      <c r="P172" s="505"/>
      <c r="Q172" s="505"/>
      <c r="R172" s="505"/>
      <c r="S172" s="505"/>
      <c r="T172" s="505"/>
      <c r="U172" s="505"/>
      <c r="V172" s="505"/>
      <c r="W172" s="505"/>
      <c r="X172" s="505"/>
      <c r="Y172" s="505"/>
      <c r="Z172" s="505"/>
      <c r="AA172" s="505"/>
      <c r="AB172" s="505"/>
      <c r="AC172" s="505"/>
      <c r="AD172" s="505"/>
      <c r="AE172" s="505"/>
      <c r="AF172" s="505"/>
      <c r="AG172" s="505"/>
      <c r="AH172" s="505"/>
      <c r="AI172" s="505"/>
      <c r="AJ172" s="505"/>
      <c r="AK172" s="505"/>
      <c r="AL172" s="505"/>
    </row>
    <row r="173" spans="1:38" ht="15.5" x14ac:dyDescent="0.35">
      <c r="A173" s="504" t="s">
        <v>168</v>
      </c>
      <c r="B173" s="504"/>
      <c r="C173" s="679" t="str">
        <f>PETUNJUK!C5</f>
        <v>PECANGAAN</v>
      </c>
      <c r="D173" s="504"/>
      <c r="E173" s="504"/>
      <c r="F173" s="504"/>
      <c r="G173" s="504"/>
      <c r="H173" s="504"/>
      <c r="I173" s="504"/>
      <c r="J173" s="504"/>
      <c r="K173" s="504"/>
      <c r="L173" s="504"/>
      <c r="M173" s="504"/>
      <c r="N173" s="504"/>
      <c r="O173" s="504"/>
      <c r="P173" s="504"/>
      <c r="Q173" s="504"/>
      <c r="R173" s="504"/>
      <c r="S173" s="504"/>
      <c r="T173" s="504"/>
      <c r="U173" s="504"/>
      <c r="V173" s="504"/>
      <c r="W173" s="504"/>
      <c r="X173" s="504"/>
      <c r="Y173" s="504"/>
      <c r="Z173" s="504"/>
      <c r="AA173" s="504"/>
      <c r="AB173" s="504"/>
      <c r="AC173" s="504"/>
      <c r="AD173" s="504"/>
      <c r="AE173" s="504"/>
      <c r="AF173" s="504"/>
      <c r="AG173" s="504"/>
      <c r="AH173" s="504"/>
      <c r="AI173" s="505"/>
      <c r="AJ173" s="505"/>
      <c r="AK173" s="505"/>
      <c r="AL173" s="505"/>
    </row>
    <row r="174" spans="1:38" ht="15.5" x14ac:dyDescent="0.35">
      <c r="A174" s="504" t="s">
        <v>169</v>
      </c>
      <c r="B174" s="504"/>
      <c r="C174" s="680" t="s">
        <v>396</v>
      </c>
      <c r="D174" s="504"/>
      <c r="E174" s="504"/>
      <c r="F174" s="504"/>
      <c r="G174" s="504"/>
      <c r="H174" s="504"/>
      <c r="I174" s="504"/>
      <c r="J174" s="504"/>
      <c r="K174" s="504"/>
      <c r="L174" s="504"/>
      <c r="M174" s="504"/>
      <c r="N174" s="504"/>
      <c r="O174" s="504"/>
      <c r="P174" s="504"/>
      <c r="Q174" s="504"/>
      <c r="R174" s="504"/>
      <c r="S174" s="504"/>
      <c r="T174" s="504"/>
      <c r="U174" s="504"/>
      <c r="V174" s="504"/>
      <c r="W174" s="504"/>
      <c r="X174" s="504"/>
      <c r="Y174" s="504"/>
      <c r="Z174" s="504"/>
      <c r="AA174" s="504"/>
      <c r="AB174" s="504"/>
      <c r="AC174" s="504"/>
      <c r="AD174" s="504"/>
      <c r="AE174" s="504"/>
      <c r="AF174" s="504"/>
      <c r="AG174" s="504"/>
      <c r="AH174" s="504"/>
      <c r="AI174" s="505"/>
      <c r="AJ174" s="505"/>
      <c r="AK174" s="505"/>
      <c r="AL174" s="505"/>
    </row>
    <row r="175" spans="1:38" ht="15.5" x14ac:dyDescent="0.35">
      <c r="A175" s="505"/>
      <c r="B175" s="505"/>
      <c r="C175" s="505"/>
      <c r="D175" s="505"/>
      <c r="E175" s="505"/>
      <c r="F175" s="505"/>
      <c r="G175" s="505"/>
      <c r="H175" s="505"/>
      <c r="I175" s="505"/>
      <c r="J175" s="505"/>
      <c r="K175" s="505"/>
      <c r="L175" s="505"/>
      <c r="M175" s="505"/>
      <c r="N175" s="505"/>
      <c r="O175" s="505"/>
      <c r="P175" s="505"/>
      <c r="Q175" s="505"/>
      <c r="R175" s="505"/>
      <c r="S175" s="505"/>
      <c r="T175" s="505"/>
      <c r="U175" s="505"/>
      <c r="V175" s="505"/>
      <c r="W175" s="505"/>
      <c r="X175" s="505"/>
      <c r="Y175" s="505"/>
      <c r="Z175" s="505"/>
      <c r="AA175" s="505"/>
      <c r="AB175" s="505"/>
      <c r="AC175" s="505"/>
      <c r="AD175" s="505"/>
      <c r="AE175" s="505"/>
      <c r="AF175" s="505"/>
      <c r="AG175" s="505"/>
      <c r="AH175" s="505"/>
      <c r="AI175" s="505"/>
      <c r="AJ175" s="505"/>
      <c r="AK175" s="505"/>
      <c r="AL175" s="505"/>
    </row>
    <row r="176" spans="1:38" s="15" customFormat="1" ht="24.75" customHeight="1" x14ac:dyDescent="0.35">
      <c r="A176" s="754" t="s">
        <v>1</v>
      </c>
      <c r="B176" s="754" t="s">
        <v>2</v>
      </c>
      <c r="C176" s="754" t="s">
        <v>174</v>
      </c>
      <c r="D176" s="754"/>
      <c r="E176" s="754"/>
      <c r="F176" s="755" t="s">
        <v>8</v>
      </c>
      <c r="G176" s="759" t="s">
        <v>295</v>
      </c>
      <c r="H176" s="759" t="s">
        <v>296</v>
      </c>
      <c r="I176" s="759" t="s">
        <v>297</v>
      </c>
      <c r="J176" s="739" t="s">
        <v>9</v>
      </c>
      <c r="K176" s="759" t="s">
        <v>298</v>
      </c>
      <c r="L176" s="760" t="s">
        <v>299</v>
      </c>
      <c r="M176" s="758" t="s">
        <v>289</v>
      </c>
      <c r="N176" s="758" t="s">
        <v>422</v>
      </c>
      <c r="O176" s="758" t="s">
        <v>423</v>
      </c>
      <c r="P176" s="739" t="s">
        <v>290</v>
      </c>
      <c r="Q176" s="752" t="s">
        <v>230</v>
      </c>
      <c r="R176" s="753"/>
      <c r="S176" s="753"/>
      <c r="T176" s="753"/>
      <c r="U176" s="753"/>
      <c r="V176" s="753"/>
      <c r="W176" s="755" t="s">
        <v>15</v>
      </c>
      <c r="X176" s="739" t="s">
        <v>16</v>
      </c>
      <c r="Y176" s="735" t="s">
        <v>231</v>
      </c>
      <c r="Z176" s="735"/>
      <c r="AA176" s="736" t="s">
        <v>240</v>
      </c>
      <c r="AB176" s="735" t="s">
        <v>4</v>
      </c>
      <c r="AC176" s="735"/>
      <c r="AD176" s="735"/>
      <c r="AE176" s="735"/>
      <c r="AF176" s="728" t="s">
        <v>237</v>
      </c>
      <c r="AG176" s="736" t="s">
        <v>23</v>
      </c>
      <c r="AH176" s="755" t="s">
        <v>3</v>
      </c>
      <c r="AI176" s="763" t="s">
        <v>238</v>
      </c>
      <c r="AJ176" s="764"/>
      <c r="AK176" s="764"/>
      <c r="AL176" s="765"/>
    </row>
    <row r="177" spans="1:38" s="15" customFormat="1" ht="20.25" customHeight="1" x14ac:dyDescent="0.35">
      <c r="A177" s="754"/>
      <c r="B177" s="754"/>
      <c r="C177" s="732" t="s">
        <v>5</v>
      </c>
      <c r="D177" s="732" t="s">
        <v>6</v>
      </c>
      <c r="E177" s="732" t="s">
        <v>133</v>
      </c>
      <c r="F177" s="756"/>
      <c r="G177" s="756"/>
      <c r="H177" s="756"/>
      <c r="I177" s="756"/>
      <c r="J177" s="740"/>
      <c r="K177" s="756"/>
      <c r="L177" s="761"/>
      <c r="M177" s="758"/>
      <c r="N177" s="758"/>
      <c r="O177" s="758"/>
      <c r="P177" s="740"/>
      <c r="Q177" s="732" t="s">
        <v>10</v>
      </c>
      <c r="R177" s="732" t="s">
        <v>11</v>
      </c>
      <c r="S177" s="732" t="s">
        <v>12</v>
      </c>
      <c r="T177" s="732" t="s">
        <v>13</v>
      </c>
      <c r="U177" s="732" t="s">
        <v>14</v>
      </c>
      <c r="V177" s="746" t="s">
        <v>227</v>
      </c>
      <c r="W177" s="756"/>
      <c r="X177" s="740"/>
      <c r="Y177" s="748" t="s">
        <v>228</v>
      </c>
      <c r="Z177" s="748" t="s">
        <v>229</v>
      </c>
      <c r="AA177" s="737"/>
      <c r="AB177" s="749" t="s">
        <v>232</v>
      </c>
      <c r="AC177" s="750"/>
      <c r="AD177" s="751"/>
      <c r="AE177" s="733" t="s">
        <v>236</v>
      </c>
      <c r="AF177" s="729"/>
      <c r="AG177" s="737"/>
      <c r="AH177" s="756"/>
      <c r="AI177" s="742" t="s">
        <v>166</v>
      </c>
      <c r="AJ177" s="742" t="s">
        <v>167</v>
      </c>
      <c r="AK177" s="742" t="s">
        <v>134</v>
      </c>
      <c r="AL177" s="742" t="s">
        <v>291</v>
      </c>
    </row>
    <row r="178" spans="1:38" s="15" customFormat="1" ht="67.5" customHeight="1" x14ac:dyDescent="0.35">
      <c r="A178" s="754"/>
      <c r="B178" s="754"/>
      <c r="C178" s="732"/>
      <c r="D178" s="732"/>
      <c r="E178" s="732"/>
      <c r="F178" s="757"/>
      <c r="G178" s="757"/>
      <c r="H178" s="757"/>
      <c r="I178" s="757"/>
      <c r="J178" s="741"/>
      <c r="K178" s="757"/>
      <c r="L178" s="762"/>
      <c r="M178" s="758"/>
      <c r="N178" s="758"/>
      <c r="O178" s="758"/>
      <c r="P178" s="741"/>
      <c r="Q178" s="732"/>
      <c r="R178" s="732"/>
      <c r="S178" s="732"/>
      <c r="T178" s="732"/>
      <c r="U178" s="732"/>
      <c r="V178" s="747"/>
      <c r="W178" s="757"/>
      <c r="X178" s="741"/>
      <c r="Y178" s="748"/>
      <c r="Z178" s="748"/>
      <c r="AA178" s="738"/>
      <c r="AB178" s="506" t="s">
        <v>233</v>
      </c>
      <c r="AC178" s="681" t="s">
        <v>234</v>
      </c>
      <c r="AD178" s="681" t="s">
        <v>235</v>
      </c>
      <c r="AE178" s="734"/>
      <c r="AF178" s="730"/>
      <c r="AG178" s="738"/>
      <c r="AH178" s="757"/>
      <c r="AI178" s="743"/>
      <c r="AJ178" s="743"/>
      <c r="AK178" s="743"/>
      <c r="AL178" s="743"/>
    </row>
    <row r="179" spans="1:38" ht="20.149999999999999" customHeight="1" x14ac:dyDescent="0.35">
      <c r="A179" s="507">
        <v>1</v>
      </c>
      <c r="B179" s="507" t="str">
        <f>PETUNJUK!B9</f>
        <v>Pecangaan Kulon</v>
      </c>
      <c r="C179" s="507">
        <f>C145</f>
        <v>101.2</v>
      </c>
      <c r="D179" s="507">
        <f>D145</f>
        <v>96.600000000000009</v>
      </c>
      <c r="E179" s="507">
        <f>E145</f>
        <v>20.240000000000002</v>
      </c>
      <c r="F179" s="346"/>
      <c r="G179" s="346"/>
      <c r="H179" s="346"/>
      <c r="I179" s="346"/>
      <c r="J179" s="346"/>
      <c r="K179" s="346"/>
      <c r="L179" s="346"/>
      <c r="M179" s="346"/>
      <c r="N179" s="673"/>
      <c r="O179" s="673"/>
      <c r="P179" s="346"/>
      <c r="Q179" s="346"/>
      <c r="R179" s="346"/>
      <c r="S179" s="346"/>
      <c r="T179" s="346"/>
      <c r="U179" s="346"/>
      <c r="V179" s="346"/>
      <c r="W179" s="346"/>
      <c r="X179" s="346"/>
      <c r="Y179" s="346"/>
      <c r="Z179" s="346"/>
      <c r="AA179" s="346"/>
      <c r="AB179" s="346"/>
      <c r="AC179" s="346"/>
      <c r="AD179" s="346"/>
      <c r="AE179" s="346"/>
      <c r="AF179" s="346"/>
      <c r="AG179" s="346"/>
      <c r="AH179" s="346"/>
      <c r="AI179" s="346"/>
      <c r="AJ179" s="346"/>
      <c r="AK179" s="346"/>
      <c r="AL179" s="346"/>
    </row>
    <row r="180" spans="1:38" ht="20.149999999999999" customHeight="1" x14ac:dyDescent="0.35">
      <c r="A180" s="507">
        <v>2</v>
      </c>
      <c r="B180" s="507" t="str">
        <f>PETUNJUK!B10</f>
        <v>Rengging</v>
      </c>
      <c r="C180" s="507">
        <f t="shared" ref="C180:E180" si="138">C146</f>
        <v>111.10000000000001</v>
      </c>
      <c r="D180" s="507">
        <f t="shared" si="138"/>
        <v>106.05000000000001</v>
      </c>
      <c r="E180" s="507">
        <f t="shared" si="138"/>
        <v>22.220000000000002</v>
      </c>
      <c r="F180" s="508"/>
      <c r="G180" s="508"/>
      <c r="H180" s="508"/>
      <c r="I180" s="508"/>
      <c r="J180" s="508"/>
      <c r="K180" s="508"/>
      <c r="L180" s="508"/>
      <c r="M180" s="508"/>
      <c r="N180" s="674"/>
      <c r="O180" s="674"/>
      <c r="P180" s="508"/>
      <c r="Q180" s="508"/>
      <c r="R180" s="508"/>
      <c r="S180" s="508"/>
      <c r="T180" s="508"/>
      <c r="U180" s="508"/>
      <c r="V180" s="508"/>
      <c r="W180" s="508"/>
      <c r="X180" s="508"/>
      <c r="Y180" s="508"/>
      <c r="Z180" s="508"/>
      <c r="AA180" s="508"/>
      <c r="AB180" s="508"/>
      <c r="AC180" s="508"/>
      <c r="AD180" s="508"/>
      <c r="AE180" s="508"/>
      <c r="AF180" s="508"/>
      <c r="AG180" s="508"/>
      <c r="AH180" s="508"/>
      <c r="AI180" s="508"/>
      <c r="AJ180" s="508"/>
      <c r="AK180" s="508"/>
      <c r="AL180" s="508"/>
    </row>
    <row r="181" spans="1:38" ht="20.149999999999999" customHeight="1" x14ac:dyDescent="0.35">
      <c r="A181" s="507">
        <v>3</v>
      </c>
      <c r="B181" s="507" t="str">
        <f>PETUNJUK!B11</f>
        <v>Troso</v>
      </c>
      <c r="C181" s="507">
        <f t="shared" ref="C181:E181" si="139">C147</f>
        <v>205.70000000000002</v>
      </c>
      <c r="D181" s="507">
        <f t="shared" si="139"/>
        <v>196.35</v>
      </c>
      <c r="E181" s="507">
        <f t="shared" si="139"/>
        <v>41.140000000000008</v>
      </c>
      <c r="F181" s="346"/>
      <c r="G181" s="346"/>
      <c r="H181" s="346"/>
      <c r="I181" s="346"/>
      <c r="J181" s="346"/>
      <c r="K181" s="346"/>
      <c r="L181" s="346"/>
      <c r="M181" s="346"/>
      <c r="N181" s="673"/>
      <c r="O181" s="673"/>
      <c r="P181" s="346"/>
      <c r="Q181" s="346"/>
      <c r="R181" s="346"/>
      <c r="S181" s="346"/>
      <c r="T181" s="346"/>
      <c r="U181" s="346"/>
      <c r="V181" s="346"/>
      <c r="W181" s="346"/>
      <c r="X181" s="346"/>
      <c r="Y181" s="346"/>
      <c r="Z181" s="346"/>
      <c r="AA181" s="346"/>
      <c r="AB181" s="346"/>
      <c r="AC181" s="346"/>
      <c r="AD181" s="346"/>
      <c r="AE181" s="346"/>
      <c r="AF181" s="346"/>
      <c r="AG181" s="346"/>
      <c r="AH181" s="346"/>
      <c r="AI181" s="346"/>
      <c r="AJ181" s="346"/>
      <c r="AK181" s="346"/>
      <c r="AL181" s="346"/>
    </row>
    <row r="182" spans="1:38" ht="20.149999999999999" customHeight="1" x14ac:dyDescent="0.35">
      <c r="A182" s="507">
        <v>4</v>
      </c>
      <c r="B182" s="507" t="str">
        <f>PETUNJUK!B12</f>
        <v>Ngeling</v>
      </c>
      <c r="C182" s="507">
        <f t="shared" ref="C182:E182" si="140">C148</f>
        <v>95.7</v>
      </c>
      <c r="D182" s="507">
        <f t="shared" si="140"/>
        <v>91.350000000000009</v>
      </c>
      <c r="E182" s="507">
        <f t="shared" si="140"/>
        <v>19.14</v>
      </c>
      <c r="F182" s="346"/>
      <c r="G182" s="346"/>
      <c r="H182" s="346"/>
      <c r="I182" s="346"/>
      <c r="J182" s="346"/>
      <c r="K182" s="346"/>
      <c r="L182" s="346"/>
      <c r="M182" s="346"/>
      <c r="N182" s="673"/>
      <c r="O182" s="673"/>
      <c r="P182" s="346"/>
      <c r="Q182" s="346"/>
      <c r="R182" s="346"/>
      <c r="S182" s="346"/>
      <c r="T182" s="346"/>
      <c r="U182" s="346"/>
      <c r="V182" s="346"/>
      <c r="W182" s="346"/>
      <c r="X182" s="346"/>
      <c r="Y182" s="346"/>
      <c r="Z182" s="346"/>
      <c r="AA182" s="346"/>
      <c r="AB182" s="346"/>
      <c r="AC182" s="346"/>
      <c r="AD182" s="346"/>
      <c r="AE182" s="346"/>
      <c r="AF182" s="346"/>
      <c r="AG182" s="346"/>
      <c r="AH182" s="346"/>
      <c r="AI182" s="346"/>
      <c r="AJ182" s="346"/>
      <c r="AK182" s="346"/>
      <c r="AL182" s="346"/>
    </row>
    <row r="183" spans="1:38" ht="20.149999999999999" customHeight="1" x14ac:dyDescent="0.35">
      <c r="A183" s="507">
        <v>5</v>
      </c>
      <c r="B183" s="507" t="str">
        <f>PETUNJUK!B13</f>
        <v>Lebuawu</v>
      </c>
      <c r="C183" s="507">
        <f t="shared" ref="C183:E183" si="141">C149</f>
        <v>85.800000000000011</v>
      </c>
      <c r="D183" s="507">
        <f t="shared" si="141"/>
        <v>81.900000000000006</v>
      </c>
      <c r="E183" s="507">
        <f t="shared" si="141"/>
        <v>17.160000000000004</v>
      </c>
      <c r="F183" s="346"/>
      <c r="G183" s="346"/>
      <c r="H183" s="346"/>
      <c r="I183" s="346"/>
      <c r="J183" s="346"/>
      <c r="K183" s="346"/>
      <c r="L183" s="346"/>
      <c r="M183" s="346"/>
      <c r="N183" s="673"/>
      <c r="O183" s="673"/>
      <c r="P183" s="346"/>
      <c r="Q183" s="346"/>
      <c r="R183" s="346"/>
      <c r="S183" s="346"/>
      <c r="T183" s="346"/>
      <c r="U183" s="346"/>
      <c r="V183" s="346"/>
      <c r="W183" s="346"/>
      <c r="X183" s="346"/>
      <c r="Y183" s="346"/>
      <c r="Z183" s="346"/>
      <c r="AA183" s="346"/>
      <c r="AB183" s="346"/>
      <c r="AC183" s="346"/>
      <c r="AD183" s="346"/>
      <c r="AE183" s="346"/>
      <c r="AF183" s="346"/>
      <c r="AG183" s="346"/>
      <c r="AH183" s="346"/>
      <c r="AI183" s="346"/>
      <c r="AJ183" s="346"/>
      <c r="AK183" s="346"/>
      <c r="AL183" s="346"/>
    </row>
    <row r="184" spans="1:38" ht="20.149999999999999" customHeight="1" x14ac:dyDescent="0.35">
      <c r="A184" s="507">
        <v>6</v>
      </c>
      <c r="B184" s="507" t="str">
        <f>PETUNJUK!B14</f>
        <v>Pulodarat</v>
      </c>
      <c r="C184" s="507">
        <f t="shared" ref="C184:E184" si="142">C150</f>
        <v>82.5</v>
      </c>
      <c r="D184" s="507">
        <f t="shared" si="142"/>
        <v>78.75</v>
      </c>
      <c r="E184" s="507">
        <f t="shared" si="142"/>
        <v>16.5</v>
      </c>
      <c r="F184" s="346"/>
      <c r="G184" s="346"/>
      <c r="H184" s="346"/>
      <c r="I184" s="346"/>
      <c r="J184" s="346"/>
      <c r="K184" s="346"/>
      <c r="L184" s="346"/>
      <c r="M184" s="346"/>
      <c r="N184" s="673"/>
      <c r="O184" s="673"/>
      <c r="P184" s="346"/>
      <c r="Q184" s="346"/>
      <c r="R184" s="346"/>
      <c r="S184" s="346"/>
      <c r="T184" s="346"/>
      <c r="U184" s="346"/>
      <c r="V184" s="346"/>
      <c r="W184" s="346"/>
      <c r="X184" s="346"/>
      <c r="Y184" s="346"/>
      <c r="Z184" s="346"/>
      <c r="AA184" s="346"/>
      <c r="AB184" s="346"/>
      <c r="AC184" s="346"/>
      <c r="AD184" s="346"/>
      <c r="AE184" s="346"/>
      <c r="AF184" s="346"/>
      <c r="AG184" s="346"/>
      <c r="AH184" s="346"/>
      <c r="AI184" s="346"/>
      <c r="AJ184" s="346"/>
      <c r="AK184" s="346"/>
      <c r="AL184" s="346"/>
    </row>
    <row r="185" spans="1:38" ht="20.149999999999999" customHeight="1" x14ac:dyDescent="0.35">
      <c r="A185" s="507">
        <v>7</v>
      </c>
      <c r="B185" s="507" t="str">
        <f>PETUNJUK!B15</f>
        <v>Karangrandu</v>
      </c>
      <c r="C185" s="507">
        <f t="shared" ref="C185:E185" si="143">C151</f>
        <v>93.500000000000014</v>
      </c>
      <c r="D185" s="507">
        <f t="shared" si="143"/>
        <v>89.25</v>
      </c>
      <c r="E185" s="507">
        <f t="shared" si="143"/>
        <v>18.700000000000003</v>
      </c>
      <c r="F185" s="346"/>
      <c r="G185" s="346"/>
      <c r="H185" s="346"/>
      <c r="I185" s="346"/>
      <c r="J185" s="346"/>
      <c r="K185" s="346"/>
      <c r="L185" s="346"/>
      <c r="M185" s="346"/>
      <c r="N185" s="673"/>
      <c r="O185" s="673"/>
      <c r="P185" s="346"/>
      <c r="Q185" s="346"/>
      <c r="R185" s="346"/>
      <c r="S185" s="346"/>
      <c r="T185" s="346"/>
      <c r="U185" s="346"/>
      <c r="V185" s="346"/>
      <c r="W185" s="346"/>
      <c r="X185" s="346"/>
      <c r="Y185" s="346"/>
      <c r="Z185" s="346"/>
      <c r="AA185" s="346"/>
      <c r="AB185" s="346"/>
      <c r="AC185" s="346"/>
      <c r="AD185" s="346"/>
      <c r="AE185" s="346"/>
      <c r="AF185" s="346"/>
      <c r="AG185" s="346"/>
      <c r="AH185" s="346"/>
      <c r="AI185" s="346"/>
      <c r="AJ185" s="346"/>
      <c r="AK185" s="346"/>
      <c r="AL185" s="346"/>
    </row>
    <row r="186" spans="1:38" ht="20.149999999999999" customHeight="1" x14ac:dyDescent="0.35">
      <c r="A186" s="507">
        <v>8</v>
      </c>
      <c r="B186" s="507" t="str">
        <f>PETUNJUK!B16</f>
        <v>Kaliombo</v>
      </c>
      <c r="C186" s="507">
        <f t="shared" ref="C186:E186" si="144">C152</f>
        <v>46.2</v>
      </c>
      <c r="D186" s="507">
        <f t="shared" si="144"/>
        <v>44.1</v>
      </c>
      <c r="E186" s="507">
        <f t="shared" si="144"/>
        <v>9.24</v>
      </c>
      <c r="F186" s="346"/>
      <c r="G186" s="346"/>
      <c r="H186" s="346"/>
      <c r="I186" s="346"/>
      <c r="J186" s="346"/>
      <c r="K186" s="346"/>
      <c r="L186" s="346"/>
      <c r="M186" s="346"/>
      <c r="N186" s="673"/>
      <c r="O186" s="673"/>
      <c r="P186" s="346"/>
      <c r="Q186" s="346"/>
      <c r="R186" s="346"/>
      <c r="S186" s="346"/>
      <c r="T186" s="346"/>
      <c r="U186" s="346"/>
      <c r="V186" s="346"/>
      <c r="W186" s="346"/>
      <c r="X186" s="346"/>
      <c r="Y186" s="346"/>
      <c r="Z186" s="346"/>
      <c r="AA186" s="346"/>
      <c r="AB186" s="346"/>
      <c r="AC186" s="346"/>
      <c r="AD186" s="346"/>
      <c r="AE186" s="346"/>
      <c r="AF186" s="346"/>
      <c r="AG186" s="346"/>
      <c r="AH186" s="346"/>
      <c r="AI186" s="346"/>
      <c r="AJ186" s="346"/>
      <c r="AK186" s="346"/>
      <c r="AL186" s="346"/>
    </row>
    <row r="187" spans="1:38" ht="20.149999999999999" customHeight="1" x14ac:dyDescent="0.35">
      <c r="A187" s="507">
        <v>9</v>
      </c>
      <c r="B187" s="507" t="str">
        <f>PETUNJUK!B17</f>
        <v>Gemulung</v>
      </c>
      <c r="C187" s="507">
        <f t="shared" ref="C187:E187" si="145">C153</f>
        <v>53.900000000000006</v>
      </c>
      <c r="D187" s="507">
        <f t="shared" si="145"/>
        <v>51.45</v>
      </c>
      <c r="E187" s="507">
        <f t="shared" si="145"/>
        <v>10.780000000000001</v>
      </c>
      <c r="F187" s="346"/>
      <c r="G187" s="346"/>
      <c r="H187" s="346"/>
      <c r="I187" s="346"/>
      <c r="J187" s="346"/>
      <c r="K187" s="346"/>
      <c r="L187" s="346"/>
      <c r="M187" s="346"/>
      <c r="N187" s="673"/>
      <c r="O187" s="673"/>
      <c r="P187" s="346"/>
      <c r="Q187" s="346"/>
      <c r="R187" s="346"/>
      <c r="S187" s="346"/>
      <c r="T187" s="346"/>
      <c r="U187" s="346"/>
      <c r="V187" s="346"/>
      <c r="W187" s="346"/>
      <c r="X187" s="346"/>
      <c r="Y187" s="346"/>
      <c r="Z187" s="346"/>
      <c r="AA187" s="346"/>
      <c r="AB187" s="346"/>
      <c r="AC187" s="346"/>
      <c r="AD187" s="346"/>
      <c r="AE187" s="346"/>
      <c r="AF187" s="346"/>
      <c r="AG187" s="346"/>
      <c r="AH187" s="346"/>
      <c r="AI187" s="346"/>
      <c r="AJ187" s="346"/>
      <c r="AK187" s="346"/>
      <c r="AL187" s="346"/>
    </row>
    <row r="188" spans="1:38" ht="20.149999999999999" customHeight="1" x14ac:dyDescent="0.35">
      <c r="A188" s="507">
        <v>6</v>
      </c>
      <c r="B188" s="507" t="str">
        <f>PETUNJUK!B18</f>
        <v>Pecangaan Wetan</v>
      </c>
      <c r="C188" s="507">
        <f t="shared" ref="C188:E188" si="146">C154</f>
        <v>50.6</v>
      </c>
      <c r="D188" s="507">
        <f t="shared" si="146"/>
        <v>48.300000000000004</v>
      </c>
      <c r="E188" s="507">
        <f t="shared" si="146"/>
        <v>10.120000000000001</v>
      </c>
      <c r="F188" s="346"/>
      <c r="G188" s="346"/>
      <c r="H188" s="346"/>
      <c r="I188" s="346"/>
      <c r="J188" s="346"/>
      <c r="K188" s="346"/>
      <c r="L188" s="346"/>
      <c r="M188" s="346"/>
      <c r="N188" s="673"/>
      <c r="O188" s="673"/>
      <c r="P188" s="346"/>
      <c r="Q188" s="346"/>
      <c r="R188" s="346"/>
      <c r="S188" s="346"/>
      <c r="T188" s="346"/>
      <c r="U188" s="346"/>
      <c r="V188" s="346"/>
      <c r="W188" s="346"/>
      <c r="X188" s="346"/>
      <c r="Y188" s="346"/>
      <c r="Z188" s="346"/>
      <c r="AA188" s="346"/>
      <c r="AB188" s="346"/>
      <c r="AC188" s="346"/>
      <c r="AD188" s="346"/>
      <c r="AE188" s="346"/>
      <c r="AF188" s="346"/>
      <c r="AG188" s="346"/>
      <c r="AH188" s="346"/>
      <c r="AI188" s="346"/>
      <c r="AJ188" s="346"/>
      <c r="AK188" s="346"/>
      <c r="AL188" s="346"/>
    </row>
    <row r="189" spans="1:38" ht="20.149999999999999" customHeight="1" x14ac:dyDescent="0.35">
      <c r="A189" s="507">
        <v>11</v>
      </c>
      <c r="B189" s="507" t="str">
        <f>PETUNJUK!B19</f>
        <v>Krasak</v>
      </c>
      <c r="C189" s="507">
        <f t="shared" ref="C189:E189" si="147">C155</f>
        <v>117.7</v>
      </c>
      <c r="D189" s="507">
        <f t="shared" si="147"/>
        <v>112.35000000000001</v>
      </c>
      <c r="E189" s="507">
        <f t="shared" si="147"/>
        <v>23.540000000000003</v>
      </c>
      <c r="F189" s="346"/>
      <c r="G189" s="346"/>
      <c r="H189" s="346"/>
      <c r="I189" s="346"/>
      <c r="J189" s="346"/>
      <c r="K189" s="346"/>
      <c r="L189" s="346"/>
      <c r="M189" s="346"/>
      <c r="N189" s="673"/>
      <c r="O189" s="673"/>
      <c r="P189" s="346"/>
      <c r="Q189" s="346"/>
      <c r="R189" s="346"/>
      <c r="S189" s="346"/>
      <c r="T189" s="346"/>
      <c r="U189" s="346"/>
      <c r="V189" s="346"/>
      <c r="W189" s="346"/>
      <c r="X189" s="346"/>
      <c r="Y189" s="346"/>
      <c r="Z189" s="346"/>
      <c r="AA189" s="346"/>
      <c r="AB189" s="346"/>
      <c r="AC189" s="346"/>
      <c r="AD189" s="346"/>
      <c r="AE189" s="346"/>
      <c r="AF189" s="346"/>
      <c r="AG189" s="346"/>
      <c r="AH189" s="346"/>
      <c r="AI189" s="346"/>
      <c r="AJ189" s="346"/>
      <c r="AK189" s="346"/>
      <c r="AL189" s="346"/>
    </row>
    <row r="190" spans="1:38" ht="20.149999999999999" customHeight="1" x14ac:dyDescent="0.35">
      <c r="A190" s="507">
        <v>12</v>
      </c>
      <c r="B190" s="507" t="str">
        <f>PETUNJUK!B20</f>
        <v>Gerdu</v>
      </c>
      <c r="C190" s="507">
        <f t="shared" ref="C190:E190" si="148">C156</f>
        <v>23.1</v>
      </c>
      <c r="D190" s="507">
        <f t="shared" si="148"/>
        <v>22.05</v>
      </c>
      <c r="E190" s="507">
        <f t="shared" si="148"/>
        <v>4.62</v>
      </c>
      <c r="F190" s="346"/>
      <c r="G190" s="346"/>
      <c r="H190" s="346"/>
      <c r="I190" s="346"/>
      <c r="J190" s="346"/>
      <c r="K190" s="346"/>
      <c r="L190" s="346"/>
      <c r="M190" s="346"/>
      <c r="N190" s="673"/>
      <c r="O190" s="673"/>
      <c r="P190" s="346"/>
      <c r="Q190" s="346"/>
      <c r="R190" s="346"/>
      <c r="S190" s="346"/>
      <c r="T190" s="346"/>
      <c r="U190" s="346"/>
      <c r="V190" s="346"/>
      <c r="W190" s="346"/>
      <c r="X190" s="346"/>
      <c r="Y190" s="346"/>
      <c r="Z190" s="346"/>
      <c r="AA190" s="346"/>
      <c r="AB190" s="346"/>
      <c r="AC190" s="346"/>
      <c r="AD190" s="346"/>
      <c r="AE190" s="346"/>
      <c r="AF190" s="346"/>
      <c r="AG190" s="346"/>
      <c r="AH190" s="346"/>
      <c r="AI190" s="346"/>
      <c r="AJ190" s="346"/>
      <c r="AK190" s="346"/>
      <c r="AL190" s="346"/>
    </row>
    <row r="191" spans="1:38" ht="20.149999999999999" customHeight="1" x14ac:dyDescent="0.35">
      <c r="A191" s="507">
        <v>13</v>
      </c>
      <c r="B191" s="507">
        <f>PETUNJUK!B21</f>
        <v>0</v>
      </c>
      <c r="C191" s="507">
        <f t="shared" ref="C191:E191" si="149">C157</f>
        <v>0</v>
      </c>
      <c r="D191" s="507">
        <f t="shared" si="149"/>
        <v>0</v>
      </c>
      <c r="E191" s="507">
        <f t="shared" si="149"/>
        <v>0</v>
      </c>
      <c r="F191" s="346"/>
      <c r="G191" s="346"/>
      <c r="H191" s="346"/>
      <c r="I191" s="346"/>
      <c r="J191" s="346"/>
      <c r="K191" s="346"/>
      <c r="L191" s="346"/>
      <c r="M191" s="346"/>
      <c r="N191" s="673"/>
      <c r="O191" s="673"/>
      <c r="P191" s="346"/>
      <c r="Q191" s="346"/>
      <c r="R191" s="346"/>
      <c r="S191" s="346"/>
      <c r="T191" s="346"/>
      <c r="U191" s="346"/>
      <c r="V191" s="346"/>
      <c r="W191" s="346"/>
      <c r="X191" s="346"/>
      <c r="Y191" s="346"/>
      <c r="Z191" s="346"/>
      <c r="AA191" s="346"/>
      <c r="AB191" s="346"/>
      <c r="AC191" s="346"/>
      <c r="AD191" s="346"/>
      <c r="AE191" s="346"/>
      <c r="AF191" s="346"/>
      <c r="AG191" s="346"/>
      <c r="AH191" s="346"/>
      <c r="AI191" s="346"/>
      <c r="AJ191" s="346"/>
      <c r="AK191" s="346"/>
      <c r="AL191" s="346"/>
    </row>
    <row r="192" spans="1:38" ht="20.149999999999999" customHeight="1" x14ac:dyDescent="0.35">
      <c r="A192" s="507">
        <v>14</v>
      </c>
      <c r="B192" s="507">
        <f>PETUNJUK!B22</f>
        <v>0</v>
      </c>
      <c r="C192" s="507">
        <f t="shared" ref="C192:E192" si="150">C158</f>
        <v>0</v>
      </c>
      <c r="D192" s="507">
        <f t="shared" si="150"/>
        <v>0</v>
      </c>
      <c r="E192" s="507">
        <f t="shared" si="150"/>
        <v>0</v>
      </c>
      <c r="F192" s="346"/>
      <c r="G192" s="346"/>
      <c r="H192" s="346"/>
      <c r="I192" s="346"/>
      <c r="J192" s="346"/>
      <c r="K192" s="346"/>
      <c r="L192" s="346"/>
      <c r="M192" s="346"/>
      <c r="N192" s="673"/>
      <c r="O192" s="673"/>
      <c r="P192" s="346"/>
      <c r="Q192" s="346"/>
      <c r="R192" s="346"/>
      <c r="S192" s="346"/>
      <c r="T192" s="346"/>
      <c r="U192" s="346"/>
      <c r="V192" s="346"/>
      <c r="W192" s="346"/>
      <c r="X192" s="346"/>
      <c r="Y192" s="346"/>
      <c r="Z192" s="346"/>
      <c r="AA192" s="346"/>
      <c r="AB192" s="346"/>
      <c r="AC192" s="346"/>
      <c r="AD192" s="346"/>
      <c r="AE192" s="346"/>
      <c r="AF192" s="346"/>
      <c r="AG192" s="346"/>
      <c r="AH192" s="346"/>
      <c r="AI192" s="346"/>
      <c r="AJ192" s="346"/>
      <c r="AK192" s="346"/>
      <c r="AL192" s="346"/>
    </row>
    <row r="193" spans="1:38" ht="20.149999999999999" customHeight="1" x14ac:dyDescent="0.35">
      <c r="A193" s="507">
        <v>15</v>
      </c>
      <c r="B193" s="507">
        <f>PETUNJUK!B23</f>
        <v>0</v>
      </c>
      <c r="C193" s="507">
        <f t="shared" ref="C193:E193" si="151">C159</f>
        <v>0</v>
      </c>
      <c r="D193" s="507">
        <f t="shared" si="151"/>
        <v>0</v>
      </c>
      <c r="E193" s="507">
        <f t="shared" si="151"/>
        <v>0</v>
      </c>
      <c r="F193" s="346"/>
      <c r="G193" s="346"/>
      <c r="H193" s="346"/>
      <c r="I193" s="346"/>
      <c r="J193" s="346"/>
      <c r="K193" s="346"/>
      <c r="L193" s="346"/>
      <c r="M193" s="346"/>
      <c r="N193" s="673"/>
      <c r="O193" s="673"/>
      <c r="P193" s="346"/>
      <c r="Q193" s="346"/>
      <c r="R193" s="346"/>
      <c r="S193" s="346"/>
      <c r="T193" s="346"/>
      <c r="U193" s="346"/>
      <c r="V193" s="346"/>
      <c r="W193" s="346"/>
      <c r="X193" s="346"/>
      <c r="Y193" s="346"/>
      <c r="Z193" s="346"/>
      <c r="AA193" s="346"/>
      <c r="AB193" s="346"/>
      <c r="AC193" s="346"/>
      <c r="AD193" s="346"/>
      <c r="AE193" s="346"/>
      <c r="AF193" s="346"/>
      <c r="AG193" s="346"/>
      <c r="AH193" s="346"/>
      <c r="AI193" s="346"/>
      <c r="AJ193" s="346"/>
      <c r="AK193" s="346"/>
      <c r="AL193" s="346"/>
    </row>
    <row r="194" spans="1:38" ht="20.149999999999999" customHeight="1" x14ac:dyDescent="0.35">
      <c r="A194" s="507">
        <v>16</v>
      </c>
      <c r="B194" s="507">
        <f>PETUNJUK!B24</f>
        <v>0</v>
      </c>
      <c r="C194" s="507">
        <f t="shared" ref="C194:E194" si="152">C160</f>
        <v>0</v>
      </c>
      <c r="D194" s="507">
        <f t="shared" si="152"/>
        <v>0</v>
      </c>
      <c r="E194" s="507">
        <f t="shared" si="152"/>
        <v>0</v>
      </c>
      <c r="F194" s="346"/>
      <c r="G194" s="346"/>
      <c r="H194" s="346"/>
      <c r="I194" s="346"/>
      <c r="J194" s="346"/>
      <c r="K194" s="346"/>
      <c r="L194" s="346"/>
      <c r="M194" s="346"/>
      <c r="N194" s="673"/>
      <c r="O194" s="673"/>
      <c r="P194" s="346"/>
      <c r="Q194" s="346"/>
      <c r="R194" s="346"/>
      <c r="S194" s="346"/>
      <c r="T194" s="346"/>
      <c r="U194" s="346"/>
      <c r="V194" s="346"/>
      <c r="W194" s="346"/>
      <c r="X194" s="346"/>
      <c r="Y194" s="346"/>
      <c r="Z194" s="346"/>
      <c r="AA194" s="346"/>
      <c r="AB194" s="346"/>
      <c r="AC194" s="346"/>
      <c r="AD194" s="346"/>
      <c r="AE194" s="346"/>
      <c r="AF194" s="346"/>
      <c r="AG194" s="346"/>
      <c r="AH194" s="346"/>
      <c r="AI194" s="346"/>
      <c r="AJ194" s="346"/>
      <c r="AK194" s="346"/>
      <c r="AL194" s="346"/>
    </row>
    <row r="195" spans="1:38" ht="20.149999999999999" customHeight="1" x14ac:dyDescent="0.35">
      <c r="A195" s="507">
        <v>17</v>
      </c>
      <c r="B195" s="507">
        <f>PETUNJUK!B25</f>
        <v>0</v>
      </c>
      <c r="C195" s="507">
        <f t="shared" ref="C195:E195" si="153">C161</f>
        <v>0</v>
      </c>
      <c r="D195" s="507">
        <f t="shared" si="153"/>
        <v>0</v>
      </c>
      <c r="E195" s="507">
        <f t="shared" si="153"/>
        <v>0</v>
      </c>
      <c r="F195" s="346"/>
      <c r="G195" s="346"/>
      <c r="H195" s="346"/>
      <c r="I195" s="346"/>
      <c r="J195" s="346"/>
      <c r="K195" s="346"/>
      <c r="L195" s="346"/>
      <c r="M195" s="346"/>
      <c r="N195" s="673"/>
      <c r="O195" s="673"/>
      <c r="P195" s="346"/>
      <c r="Q195" s="346"/>
      <c r="R195" s="346"/>
      <c r="S195" s="346"/>
      <c r="T195" s="346"/>
      <c r="U195" s="346"/>
      <c r="V195" s="346"/>
      <c r="W195" s="346"/>
      <c r="X195" s="346"/>
      <c r="Y195" s="346"/>
      <c r="Z195" s="346"/>
      <c r="AA195" s="346"/>
      <c r="AB195" s="346"/>
      <c r="AC195" s="346"/>
      <c r="AD195" s="346"/>
      <c r="AE195" s="346"/>
      <c r="AF195" s="346"/>
      <c r="AG195" s="346"/>
      <c r="AH195" s="346"/>
      <c r="AI195" s="346"/>
      <c r="AJ195" s="346"/>
      <c r="AK195" s="346"/>
      <c r="AL195" s="346"/>
    </row>
    <row r="196" spans="1:38" ht="20.149999999999999" customHeight="1" x14ac:dyDescent="0.35">
      <c r="A196" s="507">
        <v>18</v>
      </c>
      <c r="B196" s="507">
        <f>PETUNJUK!B26</f>
        <v>0</v>
      </c>
      <c r="C196" s="507">
        <f t="shared" ref="C196:E196" si="154">C162</f>
        <v>0</v>
      </c>
      <c r="D196" s="507">
        <f t="shared" si="154"/>
        <v>0</v>
      </c>
      <c r="E196" s="507">
        <f t="shared" si="154"/>
        <v>0</v>
      </c>
      <c r="F196" s="346"/>
      <c r="G196" s="346"/>
      <c r="H196" s="346"/>
      <c r="I196" s="346"/>
      <c r="J196" s="346"/>
      <c r="K196" s="346"/>
      <c r="L196" s="346"/>
      <c r="M196" s="346"/>
      <c r="N196" s="673"/>
      <c r="O196" s="673"/>
      <c r="P196" s="346"/>
      <c r="Q196" s="346"/>
      <c r="R196" s="346"/>
      <c r="S196" s="346"/>
      <c r="T196" s="346"/>
      <c r="U196" s="346"/>
      <c r="V196" s="346"/>
      <c r="W196" s="346"/>
      <c r="X196" s="346"/>
      <c r="Y196" s="346"/>
      <c r="Z196" s="346"/>
      <c r="AA196" s="346"/>
      <c r="AB196" s="346"/>
      <c r="AC196" s="346"/>
      <c r="AD196" s="346"/>
      <c r="AE196" s="346"/>
      <c r="AF196" s="346"/>
      <c r="AG196" s="346"/>
      <c r="AH196" s="346"/>
      <c r="AI196" s="346"/>
      <c r="AJ196" s="346"/>
      <c r="AK196" s="346"/>
      <c r="AL196" s="346"/>
    </row>
    <row r="197" spans="1:38" ht="20.149999999999999" customHeight="1" x14ac:dyDescent="0.35">
      <c r="A197" s="507">
        <v>19</v>
      </c>
      <c r="B197" s="507">
        <f>PETUNJUK!B27</f>
        <v>0</v>
      </c>
      <c r="C197" s="507">
        <f t="shared" ref="C197:E197" si="155">C163</f>
        <v>0</v>
      </c>
      <c r="D197" s="507">
        <f t="shared" si="155"/>
        <v>0</v>
      </c>
      <c r="E197" s="507">
        <f t="shared" si="155"/>
        <v>0</v>
      </c>
      <c r="F197" s="346"/>
      <c r="G197" s="346"/>
      <c r="H197" s="346"/>
      <c r="I197" s="346"/>
      <c r="J197" s="346"/>
      <c r="K197" s="346"/>
      <c r="L197" s="346"/>
      <c r="M197" s="346"/>
      <c r="N197" s="673"/>
      <c r="O197" s="673"/>
      <c r="P197" s="346"/>
      <c r="Q197" s="346"/>
      <c r="R197" s="346"/>
      <c r="S197" s="346"/>
      <c r="T197" s="346"/>
      <c r="U197" s="346"/>
      <c r="V197" s="346"/>
      <c r="W197" s="346"/>
      <c r="X197" s="346"/>
      <c r="Y197" s="346"/>
      <c r="Z197" s="346"/>
      <c r="AA197" s="346"/>
      <c r="AB197" s="346"/>
      <c r="AC197" s="346"/>
      <c r="AD197" s="346"/>
      <c r="AE197" s="346"/>
      <c r="AF197" s="346"/>
      <c r="AG197" s="346"/>
      <c r="AH197" s="346"/>
      <c r="AI197" s="346"/>
      <c r="AJ197" s="346"/>
      <c r="AK197" s="346"/>
      <c r="AL197" s="346"/>
    </row>
    <row r="198" spans="1:38" ht="20.149999999999999" customHeight="1" x14ac:dyDescent="0.35">
      <c r="A198" s="507">
        <v>20</v>
      </c>
      <c r="B198" s="507">
        <f>PETUNJUK!B28</f>
        <v>0</v>
      </c>
      <c r="C198" s="507">
        <f t="shared" ref="C198:E198" si="156">C164</f>
        <v>0</v>
      </c>
      <c r="D198" s="507">
        <f t="shared" si="156"/>
        <v>0</v>
      </c>
      <c r="E198" s="507">
        <f t="shared" si="156"/>
        <v>0</v>
      </c>
      <c r="F198" s="346"/>
      <c r="G198" s="346"/>
      <c r="H198" s="346"/>
      <c r="I198" s="346"/>
      <c r="J198" s="346"/>
      <c r="K198" s="346"/>
      <c r="L198" s="346"/>
      <c r="M198" s="346"/>
      <c r="N198" s="673"/>
      <c r="O198" s="673"/>
      <c r="P198" s="346"/>
      <c r="Q198" s="346"/>
      <c r="R198" s="346"/>
      <c r="S198" s="346"/>
      <c r="T198" s="346"/>
      <c r="U198" s="346"/>
      <c r="V198" s="346"/>
      <c r="W198" s="346"/>
      <c r="X198" s="346"/>
      <c r="Y198" s="346"/>
      <c r="Z198" s="346"/>
      <c r="AA198" s="346"/>
      <c r="AB198" s="346"/>
      <c r="AC198" s="346"/>
      <c r="AD198" s="346"/>
      <c r="AE198" s="346"/>
      <c r="AF198" s="346"/>
      <c r="AG198" s="346"/>
      <c r="AH198" s="346"/>
      <c r="AI198" s="346"/>
      <c r="AJ198" s="346"/>
      <c r="AK198" s="346"/>
      <c r="AL198" s="346"/>
    </row>
    <row r="199" spans="1:38" ht="20.149999999999999" customHeight="1" x14ac:dyDescent="0.35">
      <c r="A199" s="507">
        <v>21</v>
      </c>
      <c r="B199" s="507">
        <f>PETUNJUK!B29</f>
        <v>0</v>
      </c>
      <c r="C199" s="507">
        <f t="shared" ref="C199:E199" si="157">C165</f>
        <v>0</v>
      </c>
      <c r="D199" s="507">
        <f t="shared" si="157"/>
        <v>0</v>
      </c>
      <c r="E199" s="507">
        <f t="shared" si="157"/>
        <v>0</v>
      </c>
      <c r="F199" s="346"/>
      <c r="G199" s="346"/>
      <c r="H199" s="346"/>
      <c r="I199" s="346"/>
      <c r="J199" s="346"/>
      <c r="K199" s="346"/>
      <c r="L199" s="346"/>
      <c r="M199" s="346"/>
      <c r="N199" s="673"/>
      <c r="O199" s="673"/>
      <c r="P199" s="346"/>
      <c r="Q199" s="346"/>
      <c r="R199" s="346"/>
      <c r="S199" s="346"/>
      <c r="T199" s="346"/>
      <c r="U199" s="346"/>
      <c r="V199" s="346"/>
      <c r="W199" s="346"/>
      <c r="X199" s="346"/>
      <c r="Y199" s="346"/>
      <c r="Z199" s="346"/>
      <c r="AA199" s="346"/>
      <c r="AB199" s="346"/>
      <c r="AC199" s="346"/>
      <c r="AD199" s="346"/>
      <c r="AE199" s="346"/>
      <c r="AF199" s="346"/>
      <c r="AG199" s="346"/>
      <c r="AH199" s="346"/>
      <c r="AI199" s="346"/>
      <c r="AJ199" s="346"/>
      <c r="AK199" s="346"/>
      <c r="AL199" s="346"/>
    </row>
    <row r="200" spans="1:38" ht="20.149999999999999" customHeight="1" thickBot="1" x14ac:dyDescent="0.4">
      <c r="A200" s="512">
        <v>22</v>
      </c>
      <c r="B200" s="512">
        <f>PETUNJUK!B30</f>
        <v>0</v>
      </c>
      <c r="C200" s="507">
        <f t="shared" ref="C200:E200" si="158">C166</f>
        <v>0</v>
      </c>
      <c r="D200" s="507">
        <f t="shared" si="158"/>
        <v>0</v>
      </c>
      <c r="E200" s="507">
        <f t="shared" si="158"/>
        <v>0</v>
      </c>
      <c r="F200" s="509"/>
      <c r="G200" s="509"/>
      <c r="H200" s="509"/>
      <c r="I200" s="509"/>
      <c r="J200" s="509"/>
      <c r="K200" s="509"/>
      <c r="L200" s="509"/>
      <c r="M200" s="509"/>
      <c r="N200" s="675"/>
      <c r="O200" s="675"/>
      <c r="P200" s="509"/>
      <c r="Q200" s="509"/>
      <c r="R200" s="509"/>
      <c r="S200" s="509"/>
      <c r="T200" s="509"/>
      <c r="U200" s="509"/>
      <c r="V200" s="509"/>
      <c r="W200" s="509"/>
      <c r="X200" s="509"/>
      <c r="Y200" s="509"/>
      <c r="Z200" s="509"/>
      <c r="AA200" s="509"/>
      <c r="AB200" s="509"/>
      <c r="AC200" s="509"/>
      <c r="AD200" s="509"/>
      <c r="AE200" s="509"/>
      <c r="AF200" s="509"/>
      <c r="AG200" s="509"/>
      <c r="AH200" s="509"/>
      <c r="AI200" s="509"/>
      <c r="AJ200" s="509"/>
      <c r="AK200" s="509"/>
      <c r="AL200" s="509"/>
    </row>
    <row r="201" spans="1:38" ht="20.149999999999999" customHeight="1" thickBot="1" x14ac:dyDescent="0.4">
      <c r="A201" s="744" t="s">
        <v>18</v>
      </c>
      <c r="B201" s="745"/>
      <c r="C201" s="513">
        <f>SUM(C179:C200)</f>
        <v>1067</v>
      </c>
      <c r="D201" s="513">
        <f t="shared" ref="D201:AL201" si="159">SUM(D179:D200)</f>
        <v>1018.5</v>
      </c>
      <c r="E201" s="513">
        <f t="shared" si="159"/>
        <v>213.40000000000003</v>
      </c>
      <c r="F201" s="513">
        <f t="shared" si="159"/>
        <v>0</v>
      </c>
      <c r="G201" s="513">
        <f t="shared" si="159"/>
        <v>0</v>
      </c>
      <c r="H201" s="513">
        <f t="shared" si="159"/>
        <v>0</v>
      </c>
      <c r="I201" s="513">
        <f t="shared" si="159"/>
        <v>0</v>
      </c>
      <c r="J201" s="513">
        <f t="shared" si="159"/>
        <v>0</v>
      </c>
      <c r="K201" s="513">
        <f t="shared" si="159"/>
        <v>0</v>
      </c>
      <c r="L201" s="513">
        <f t="shared" si="159"/>
        <v>0</v>
      </c>
      <c r="M201" s="513">
        <f t="shared" si="159"/>
        <v>0</v>
      </c>
      <c r="N201" s="513"/>
      <c r="O201" s="513"/>
      <c r="P201" s="513">
        <f t="shared" si="159"/>
        <v>0</v>
      </c>
      <c r="Q201" s="513">
        <f t="shared" si="159"/>
        <v>0</v>
      </c>
      <c r="R201" s="513">
        <f t="shared" si="159"/>
        <v>0</v>
      </c>
      <c r="S201" s="513">
        <f t="shared" si="159"/>
        <v>0</v>
      </c>
      <c r="T201" s="513">
        <f t="shared" si="159"/>
        <v>0</v>
      </c>
      <c r="U201" s="513">
        <f t="shared" si="159"/>
        <v>0</v>
      </c>
      <c r="V201" s="513">
        <f t="shared" si="159"/>
        <v>0</v>
      </c>
      <c r="W201" s="513">
        <f t="shared" si="159"/>
        <v>0</v>
      </c>
      <c r="X201" s="513">
        <f t="shared" si="159"/>
        <v>0</v>
      </c>
      <c r="Y201" s="513">
        <f t="shared" si="159"/>
        <v>0</v>
      </c>
      <c r="Z201" s="513">
        <f t="shared" si="159"/>
        <v>0</v>
      </c>
      <c r="AA201" s="513">
        <f t="shared" si="159"/>
        <v>0</v>
      </c>
      <c r="AB201" s="513">
        <f t="shared" si="159"/>
        <v>0</v>
      </c>
      <c r="AC201" s="513">
        <f t="shared" ref="AC201" si="160">SUM(AC179:AC200)</f>
        <v>0</v>
      </c>
      <c r="AD201" s="513">
        <f t="shared" si="159"/>
        <v>0</v>
      </c>
      <c r="AE201" s="513">
        <f t="shared" si="159"/>
        <v>0</v>
      </c>
      <c r="AF201" s="513">
        <f t="shared" si="159"/>
        <v>0</v>
      </c>
      <c r="AG201" s="513">
        <f t="shared" si="159"/>
        <v>0</v>
      </c>
      <c r="AH201" s="513">
        <f t="shared" si="159"/>
        <v>0</v>
      </c>
      <c r="AI201" s="513">
        <f t="shared" si="159"/>
        <v>0</v>
      </c>
      <c r="AJ201" s="513">
        <f t="shared" si="159"/>
        <v>0</v>
      </c>
      <c r="AK201" s="513">
        <f t="shared" si="159"/>
        <v>0</v>
      </c>
      <c r="AL201" s="518">
        <f t="shared" si="159"/>
        <v>0</v>
      </c>
    </row>
    <row r="202" spans="1:38" ht="15.5" x14ac:dyDescent="0.35">
      <c r="A202" s="514"/>
      <c r="B202" s="514"/>
      <c r="C202" s="514"/>
      <c r="D202" s="514"/>
      <c r="E202" s="514"/>
      <c r="F202" s="514"/>
      <c r="G202" s="514"/>
      <c r="H202" s="514"/>
      <c r="I202" s="514"/>
      <c r="J202" s="514"/>
      <c r="K202" s="514"/>
      <c r="L202" s="514"/>
      <c r="M202" s="514"/>
      <c r="N202" s="514"/>
      <c r="O202" s="514"/>
      <c r="P202" s="514"/>
      <c r="Q202" s="514"/>
      <c r="R202" s="514"/>
      <c r="S202" s="514"/>
      <c r="T202" s="514"/>
      <c r="U202" s="514"/>
      <c r="V202" s="514"/>
      <c r="W202" s="514"/>
      <c r="X202" s="514"/>
      <c r="Y202" s="514"/>
      <c r="Z202" s="514"/>
      <c r="AA202" s="514"/>
      <c r="AB202" s="514"/>
      <c r="AC202" s="514"/>
      <c r="AD202" s="514"/>
      <c r="AE202" s="514"/>
      <c r="AF202" s="514"/>
      <c r="AG202" s="514"/>
      <c r="AH202" s="514"/>
      <c r="AI202" s="514"/>
      <c r="AJ202" s="514"/>
      <c r="AK202" s="514"/>
      <c r="AL202" s="514"/>
    </row>
    <row r="203" spans="1:38" ht="15.5" x14ac:dyDescent="0.35">
      <c r="A203" s="514"/>
      <c r="B203" s="514"/>
      <c r="C203" s="514"/>
      <c r="D203" s="514"/>
      <c r="E203" s="514"/>
      <c r="F203" s="514"/>
      <c r="G203" s="514"/>
      <c r="H203" s="514"/>
      <c r="I203" s="514"/>
      <c r="J203" s="514"/>
      <c r="K203" s="514"/>
      <c r="L203" s="514"/>
      <c r="M203" s="514"/>
      <c r="N203" s="514"/>
      <c r="O203" s="514"/>
      <c r="P203" s="514"/>
      <c r="Q203" s="514"/>
      <c r="R203" s="514"/>
      <c r="S203" s="514"/>
      <c r="T203" s="514"/>
      <c r="U203" s="514"/>
      <c r="V203" s="514"/>
      <c r="W203" s="514"/>
      <c r="X203" s="514"/>
      <c r="Y203" s="514"/>
      <c r="Z203" s="514"/>
      <c r="AA203" s="514"/>
      <c r="AB203" s="514"/>
      <c r="AC203" s="514"/>
      <c r="AD203" s="514"/>
      <c r="AE203" s="514"/>
      <c r="AF203" s="514"/>
      <c r="AG203" s="514"/>
      <c r="AH203" s="514"/>
      <c r="AI203" s="514"/>
      <c r="AJ203" s="514"/>
      <c r="AK203" s="514"/>
      <c r="AL203" s="514"/>
    </row>
    <row r="204" spans="1:38" ht="15.5" x14ac:dyDescent="0.35">
      <c r="A204" s="514"/>
      <c r="B204" s="514"/>
      <c r="C204" s="514"/>
      <c r="D204" s="514"/>
      <c r="E204" s="514"/>
      <c r="F204" s="514"/>
      <c r="G204" s="514"/>
      <c r="H204" s="514"/>
      <c r="I204" s="514"/>
      <c r="J204" s="514"/>
      <c r="K204" s="514"/>
      <c r="L204" s="514"/>
      <c r="M204" s="514"/>
      <c r="N204" s="514"/>
      <c r="O204" s="514"/>
      <c r="P204" s="514"/>
      <c r="Q204" s="514"/>
      <c r="R204" s="514"/>
      <c r="S204" s="514"/>
      <c r="T204" s="514"/>
      <c r="U204" s="514"/>
      <c r="V204" s="514"/>
      <c r="W204" s="514"/>
      <c r="X204" s="514"/>
      <c r="Y204" s="514"/>
      <c r="Z204" s="514"/>
      <c r="AA204" s="514"/>
      <c r="AB204" s="514"/>
      <c r="AC204" s="514"/>
      <c r="AD204" s="514"/>
      <c r="AE204" s="514"/>
      <c r="AF204" s="514"/>
      <c r="AG204" s="514"/>
      <c r="AH204" s="514"/>
      <c r="AI204" s="514"/>
      <c r="AJ204" s="514"/>
      <c r="AK204" s="514"/>
      <c r="AL204" s="514"/>
    </row>
    <row r="205" spans="1:38" ht="15.5" x14ac:dyDescent="0.35">
      <c r="A205" s="731" t="s">
        <v>239</v>
      </c>
      <c r="B205" s="731"/>
      <c r="C205" s="731"/>
      <c r="D205" s="731"/>
      <c r="E205" s="731"/>
      <c r="F205" s="731"/>
      <c r="G205" s="731"/>
      <c r="H205" s="731"/>
      <c r="I205" s="731"/>
      <c r="J205" s="731"/>
      <c r="K205" s="731"/>
      <c r="L205" s="731"/>
      <c r="M205" s="731"/>
      <c r="N205" s="731"/>
      <c r="O205" s="731"/>
      <c r="P205" s="731"/>
      <c r="Q205" s="731"/>
      <c r="R205" s="731"/>
      <c r="S205" s="731"/>
      <c r="T205" s="731"/>
      <c r="U205" s="731"/>
      <c r="V205" s="731"/>
      <c r="W205" s="731"/>
      <c r="X205" s="731"/>
      <c r="Y205" s="731"/>
      <c r="Z205" s="731"/>
      <c r="AA205" s="731"/>
      <c r="AB205" s="731"/>
      <c r="AC205" s="731"/>
      <c r="AD205" s="731"/>
      <c r="AE205" s="731"/>
      <c r="AF205" s="731"/>
      <c r="AG205" s="731"/>
      <c r="AH205" s="731"/>
      <c r="AI205" s="505"/>
      <c r="AJ205" s="505"/>
      <c r="AK205" s="505"/>
      <c r="AL205" s="505"/>
    </row>
    <row r="206" spans="1:38" ht="15.5" x14ac:dyDescent="0.35">
      <c r="A206" s="505"/>
      <c r="B206" s="505"/>
      <c r="C206" s="505"/>
      <c r="D206" s="505"/>
      <c r="E206" s="505"/>
      <c r="F206" s="505"/>
      <c r="G206" s="505"/>
      <c r="H206" s="505"/>
      <c r="I206" s="505"/>
      <c r="J206" s="505"/>
      <c r="K206" s="505"/>
      <c r="L206" s="505"/>
      <c r="M206" s="505"/>
      <c r="N206" s="505"/>
      <c r="O206" s="505"/>
      <c r="P206" s="505"/>
      <c r="Q206" s="505"/>
      <c r="R206" s="505"/>
      <c r="S206" s="505"/>
      <c r="T206" s="505"/>
      <c r="U206" s="505"/>
      <c r="V206" s="505"/>
      <c r="W206" s="505"/>
      <c r="X206" s="505"/>
      <c r="Y206" s="505"/>
      <c r="Z206" s="505"/>
      <c r="AA206" s="505"/>
      <c r="AB206" s="505"/>
      <c r="AC206" s="505"/>
      <c r="AD206" s="505"/>
      <c r="AE206" s="505"/>
      <c r="AF206" s="505"/>
      <c r="AG206" s="505"/>
      <c r="AH206" s="505"/>
      <c r="AI206" s="505"/>
      <c r="AJ206" s="505"/>
      <c r="AK206" s="505"/>
      <c r="AL206" s="505"/>
    </row>
    <row r="207" spans="1:38" ht="15.5" x14ac:dyDescent="0.35">
      <c r="A207" s="504" t="s">
        <v>168</v>
      </c>
      <c r="B207" s="504"/>
      <c r="C207" s="679" t="str">
        <f>PETUNJUK!C5</f>
        <v>PECANGAAN</v>
      </c>
      <c r="D207" s="504"/>
      <c r="E207" s="504"/>
      <c r="F207" s="504"/>
      <c r="G207" s="504"/>
      <c r="H207" s="504"/>
      <c r="I207" s="504"/>
      <c r="J207" s="504"/>
      <c r="K207" s="504"/>
      <c r="L207" s="504"/>
      <c r="M207" s="504"/>
      <c r="N207" s="504"/>
      <c r="O207" s="504"/>
      <c r="P207" s="504"/>
      <c r="Q207" s="504"/>
      <c r="R207" s="504"/>
      <c r="S207" s="504"/>
      <c r="T207" s="504"/>
      <c r="U207" s="504"/>
      <c r="V207" s="504"/>
      <c r="W207" s="504"/>
      <c r="X207" s="504"/>
      <c r="Y207" s="504"/>
      <c r="Z207" s="504"/>
      <c r="AA207" s="504"/>
      <c r="AB207" s="504"/>
      <c r="AC207" s="504"/>
      <c r="AD207" s="504"/>
      <c r="AE207" s="504"/>
      <c r="AF207" s="504"/>
      <c r="AG207" s="504"/>
      <c r="AH207" s="504"/>
      <c r="AI207" s="505"/>
      <c r="AJ207" s="505"/>
      <c r="AK207" s="505"/>
      <c r="AL207" s="505"/>
    </row>
    <row r="208" spans="1:38" ht="15.5" x14ac:dyDescent="0.35">
      <c r="A208" s="504" t="s">
        <v>169</v>
      </c>
      <c r="B208" s="504"/>
      <c r="C208" s="680" t="s">
        <v>397</v>
      </c>
      <c r="D208" s="504"/>
      <c r="E208" s="504"/>
      <c r="F208" s="504"/>
      <c r="G208" s="504"/>
      <c r="H208" s="504"/>
      <c r="I208" s="504"/>
      <c r="J208" s="504"/>
      <c r="K208" s="504"/>
      <c r="L208" s="504"/>
      <c r="M208" s="504"/>
      <c r="N208" s="504"/>
      <c r="O208" s="504"/>
      <c r="P208" s="504"/>
      <c r="Q208" s="504"/>
      <c r="R208" s="504"/>
      <c r="S208" s="504"/>
      <c r="T208" s="504"/>
      <c r="U208" s="504"/>
      <c r="V208" s="504"/>
      <c r="W208" s="504"/>
      <c r="X208" s="504"/>
      <c r="Y208" s="504"/>
      <c r="Z208" s="504"/>
      <c r="AA208" s="504"/>
      <c r="AB208" s="504"/>
      <c r="AC208" s="504"/>
      <c r="AD208" s="504"/>
      <c r="AE208" s="504"/>
      <c r="AF208" s="504"/>
      <c r="AG208" s="504"/>
      <c r="AH208" s="504"/>
      <c r="AI208" s="505"/>
      <c r="AJ208" s="505"/>
      <c r="AK208" s="505"/>
      <c r="AL208" s="505"/>
    </row>
    <row r="209" spans="1:38" ht="15.5" x14ac:dyDescent="0.35">
      <c r="A209" s="505"/>
      <c r="B209" s="505"/>
      <c r="C209" s="505"/>
      <c r="D209" s="505"/>
      <c r="E209" s="505"/>
      <c r="F209" s="505"/>
      <c r="G209" s="505"/>
      <c r="H209" s="505"/>
      <c r="I209" s="505"/>
      <c r="J209" s="505"/>
      <c r="K209" s="505"/>
      <c r="L209" s="505"/>
      <c r="M209" s="505"/>
      <c r="N209" s="505"/>
      <c r="O209" s="505"/>
      <c r="P209" s="505"/>
      <c r="Q209" s="505"/>
      <c r="R209" s="505"/>
      <c r="S209" s="505"/>
      <c r="T209" s="505"/>
      <c r="U209" s="505"/>
      <c r="V209" s="505"/>
      <c r="W209" s="505"/>
      <c r="X209" s="505"/>
      <c r="Y209" s="505"/>
      <c r="Z209" s="505"/>
      <c r="AA209" s="505"/>
      <c r="AB209" s="505"/>
      <c r="AC209" s="505"/>
      <c r="AD209" s="505"/>
      <c r="AE209" s="505"/>
      <c r="AF209" s="505"/>
      <c r="AG209" s="505"/>
      <c r="AH209" s="505"/>
      <c r="AI209" s="505"/>
      <c r="AJ209" s="505"/>
      <c r="AK209" s="505"/>
      <c r="AL209" s="505"/>
    </row>
    <row r="210" spans="1:38" s="15" customFormat="1" ht="20.25" customHeight="1" x14ac:dyDescent="0.35">
      <c r="A210" s="754" t="s">
        <v>1</v>
      </c>
      <c r="B210" s="754" t="s">
        <v>2</v>
      </c>
      <c r="C210" s="754" t="s">
        <v>174</v>
      </c>
      <c r="D210" s="754"/>
      <c r="E210" s="754"/>
      <c r="F210" s="755" t="s">
        <v>8</v>
      </c>
      <c r="G210" s="759" t="s">
        <v>295</v>
      </c>
      <c r="H210" s="759" t="s">
        <v>296</v>
      </c>
      <c r="I210" s="759" t="s">
        <v>297</v>
      </c>
      <c r="J210" s="739" t="s">
        <v>9</v>
      </c>
      <c r="K210" s="759" t="s">
        <v>298</v>
      </c>
      <c r="L210" s="760" t="s">
        <v>299</v>
      </c>
      <c r="M210" s="758" t="s">
        <v>289</v>
      </c>
      <c r="N210" s="758" t="s">
        <v>422</v>
      </c>
      <c r="O210" s="758" t="s">
        <v>423</v>
      </c>
      <c r="P210" s="739" t="s">
        <v>290</v>
      </c>
      <c r="Q210" s="752" t="s">
        <v>230</v>
      </c>
      <c r="R210" s="753"/>
      <c r="S210" s="753"/>
      <c r="T210" s="753"/>
      <c r="U210" s="753"/>
      <c r="V210" s="753"/>
      <c r="W210" s="755" t="s">
        <v>15</v>
      </c>
      <c r="X210" s="739" t="s">
        <v>16</v>
      </c>
      <c r="Y210" s="735" t="s">
        <v>231</v>
      </c>
      <c r="Z210" s="735"/>
      <c r="AA210" s="736" t="s">
        <v>240</v>
      </c>
      <c r="AB210" s="735" t="s">
        <v>4</v>
      </c>
      <c r="AC210" s="735"/>
      <c r="AD210" s="735"/>
      <c r="AE210" s="735"/>
      <c r="AF210" s="728" t="s">
        <v>237</v>
      </c>
      <c r="AG210" s="736" t="s">
        <v>23</v>
      </c>
      <c r="AH210" s="755" t="s">
        <v>3</v>
      </c>
      <c r="AI210" s="763" t="s">
        <v>238</v>
      </c>
      <c r="AJ210" s="764"/>
      <c r="AK210" s="764"/>
      <c r="AL210" s="765"/>
    </row>
    <row r="211" spans="1:38" s="15" customFormat="1" ht="20.25" customHeight="1" x14ac:dyDescent="0.35">
      <c r="A211" s="754"/>
      <c r="B211" s="754"/>
      <c r="C211" s="732" t="s">
        <v>5</v>
      </c>
      <c r="D211" s="732" t="s">
        <v>6</v>
      </c>
      <c r="E211" s="732" t="s">
        <v>133</v>
      </c>
      <c r="F211" s="756"/>
      <c r="G211" s="756"/>
      <c r="H211" s="756"/>
      <c r="I211" s="756"/>
      <c r="J211" s="740"/>
      <c r="K211" s="756"/>
      <c r="L211" s="761"/>
      <c r="M211" s="758"/>
      <c r="N211" s="758"/>
      <c r="O211" s="758"/>
      <c r="P211" s="740"/>
      <c r="Q211" s="732" t="s">
        <v>10</v>
      </c>
      <c r="R211" s="732" t="s">
        <v>11</v>
      </c>
      <c r="S211" s="732" t="s">
        <v>12</v>
      </c>
      <c r="T211" s="732" t="s">
        <v>13</v>
      </c>
      <c r="U211" s="732" t="s">
        <v>14</v>
      </c>
      <c r="V211" s="746" t="s">
        <v>227</v>
      </c>
      <c r="W211" s="756"/>
      <c r="X211" s="740"/>
      <c r="Y211" s="748" t="s">
        <v>228</v>
      </c>
      <c r="Z211" s="748" t="s">
        <v>229</v>
      </c>
      <c r="AA211" s="737"/>
      <c r="AB211" s="749" t="s">
        <v>232</v>
      </c>
      <c r="AC211" s="750"/>
      <c r="AD211" s="751"/>
      <c r="AE211" s="733" t="s">
        <v>236</v>
      </c>
      <c r="AF211" s="729"/>
      <c r="AG211" s="737"/>
      <c r="AH211" s="756"/>
      <c r="AI211" s="742" t="s">
        <v>166</v>
      </c>
      <c r="AJ211" s="742" t="s">
        <v>167</v>
      </c>
      <c r="AK211" s="742" t="s">
        <v>134</v>
      </c>
      <c r="AL211" s="742" t="s">
        <v>291</v>
      </c>
    </row>
    <row r="212" spans="1:38" s="15" customFormat="1" ht="67.5" customHeight="1" x14ac:dyDescent="0.35">
      <c r="A212" s="754"/>
      <c r="B212" s="754"/>
      <c r="C212" s="732"/>
      <c r="D212" s="732"/>
      <c r="E212" s="732"/>
      <c r="F212" s="757"/>
      <c r="G212" s="757"/>
      <c r="H212" s="757"/>
      <c r="I212" s="757"/>
      <c r="J212" s="741"/>
      <c r="K212" s="757"/>
      <c r="L212" s="762"/>
      <c r="M212" s="758"/>
      <c r="N212" s="758"/>
      <c r="O212" s="758"/>
      <c r="P212" s="741"/>
      <c r="Q212" s="732"/>
      <c r="R212" s="732"/>
      <c r="S212" s="732"/>
      <c r="T212" s="732"/>
      <c r="U212" s="732"/>
      <c r="V212" s="747"/>
      <c r="W212" s="757"/>
      <c r="X212" s="741"/>
      <c r="Y212" s="748"/>
      <c r="Z212" s="748"/>
      <c r="AA212" s="738"/>
      <c r="AB212" s="506" t="s">
        <v>233</v>
      </c>
      <c r="AC212" s="681" t="s">
        <v>234</v>
      </c>
      <c r="AD212" s="681" t="s">
        <v>235</v>
      </c>
      <c r="AE212" s="734"/>
      <c r="AF212" s="730"/>
      <c r="AG212" s="738"/>
      <c r="AH212" s="757"/>
      <c r="AI212" s="743"/>
      <c r="AJ212" s="743"/>
      <c r="AK212" s="743"/>
      <c r="AL212" s="743"/>
    </row>
    <row r="213" spans="1:38" ht="20.149999999999999" customHeight="1" x14ac:dyDescent="0.35">
      <c r="A213" s="507">
        <v>1</v>
      </c>
      <c r="B213" s="507" t="str">
        <f>PETUNJUK!B9</f>
        <v>Pecangaan Kulon</v>
      </c>
      <c r="C213" s="507">
        <f>C179</f>
        <v>101.2</v>
      </c>
      <c r="D213" s="507">
        <f t="shared" ref="D213:E213" si="161">D179</f>
        <v>96.600000000000009</v>
      </c>
      <c r="E213" s="507">
        <f t="shared" si="161"/>
        <v>20.240000000000002</v>
      </c>
      <c r="F213" s="515"/>
      <c r="G213" s="515"/>
      <c r="H213" s="515"/>
      <c r="I213" s="515"/>
      <c r="J213" s="515"/>
      <c r="K213" s="515"/>
      <c r="L213" s="515"/>
      <c r="M213" s="515"/>
      <c r="N213" s="673"/>
      <c r="O213" s="673"/>
      <c r="P213" s="515"/>
      <c r="Q213" s="515"/>
      <c r="R213" s="515"/>
      <c r="S213" s="515"/>
      <c r="T213" s="515"/>
      <c r="U213" s="515"/>
      <c r="V213" s="515"/>
      <c r="W213" s="515"/>
      <c r="X213" s="515"/>
      <c r="Y213" s="515"/>
      <c r="Z213" s="515"/>
      <c r="AA213" s="515"/>
      <c r="AB213" s="515"/>
      <c r="AC213" s="515"/>
      <c r="AD213" s="515"/>
      <c r="AE213" s="515"/>
      <c r="AF213" s="515"/>
      <c r="AG213" s="515"/>
      <c r="AH213" s="515"/>
      <c r="AI213" s="515"/>
      <c r="AJ213" s="515"/>
      <c r="AK213" s="515"/>
      <c r="AL213" s="515"/>
    </row>
    <row r="214" spans="1:38" ht="20.149999999999999" customHeight="1" x14ac:dyDescent="0.35">
      <c r="A214" s="507">
        <v>2</v>
      </c>
      <c r="B214" s="507" t="str">
        <f>PETUNJUK!B10</f>
        <v>Rengging</v>
      </c>
      <c r="C214" s="507">
        <f t="shared" ref="C214:E214" si="162">C180</f>
        <v>111.10000000000001</v>
      </c>
      <c r="D214" s="507">
        <f t="shared" si="162"/>
        <v>106.05000000000001</v>
      </c>
      <c r="E214" s="507">
        <f t="shared" si="162"/>
        <v>22.220000000000002</v>
      </c>
      <c r="F214" s="515"/>
      <c r="G214" s="515"/>
      <c r="H214" s="515"/>
      <c r="I214" s="515"/>
      <c r="J214" s="515"/>
      <c r="K214" s="515"/>
      <c r="L214" s="515"/>
      <c r="M214" s="515"/>
      <c r="N214" s="673"/>
      <c r="O214" s="673"/>
      <c r="P214" s="515"/>
      <c r="Q214" s="515"/>
      <c r="R214" s="515"/>
      <c r="S214" s="515"/>
      <c r="T214" s="515"/>
      <c r="U214" s="515"/>
      <c r="V214" s="515"/>
      <c r="W214" s="515"/>
      <c r="X214" s="515"/>
      <c r="Y214" s="515"/>
      <c r="Z214" s="515"/>
      <c r="AA214" s="515"/>
      <c r="AB214" s="515"/>
      <c r="AC214" s="515"/>
      <c r="AD214" s="515"/>
      <c r="AE214" s="515"/>
      <c r="AF214" s="515"/>
      <c r="AG214" s="515"/>
      <c r="AH214" s="515"/>
      <c r="AI214" s="515"/>
      <c r="AJ214" s="515"/>
      <c r="AK214" s="515"/>
      <c r="AL214" s="515"/>
    </row>
    <row r="215" spans="1:38" ht="20.149999999999999" customHeight="1" x14ac:dyDescent="0.35">
      <c r="A215" s="507">
        <v>3</v>
      </c>
      <c r="B215" s="507" t="str">
        <f>PETUNJUK!B11</f>
        <v>Troso</v>
      </c>
      <c r="C215" s="507">
        <f t="shared" ref="C215:E215" si="163">C181</f>
        <v>205.70000000000002</v>
      </c>
      <c r="D215" s="507">
        <f t="shared" si="163"/>
        <v>196.35</v>
      </c>
      <c r="E215" s="507">
        <f t="shared" si="163"/>
        <v>41.140000000000008</v>
      </c>
      <c r="F215" s="515"/>
      <c r="G215" s="515"/>
      <c r="H215" s="515"/>
      <c r="I215" s="515"/>
      <c r="J215" s="515"/>
      <c r="K215" s="515"/>
      <c r="L215" s="515"/>
      <c r="M215" s="515"/>
      <c r="N215" s="673"/>
      <c r="O215" s="673"/>
      <c r="P215" s="515"/>
      <c r="Q215" s="515"/>
      <c r="R215" s="515"/>
      <c r="S215" s="515"/>
      <c r="T215" s="515"/>
      <c r="U215" s="515"/>
      <c r="V215" s="515"/>
      <c r="W215" s="515"/>
      <c r="X215" s="515"/>
      <c r="Y215" s="515"/>
      <c r="Z215" s="515"/>
      <c r="AA215" s="515"/>
      <c r="AB215" s="515"/>
      <c r="AC215" s="515"/>
      <c r="AD215" s="515"/>
      <c r="AE215" s="515"/>
      <c r="AF215" s="515"/>
      <c r="AG215" s="515"/>
      <c r="AH215" s="515"/>
      <c r="AI215" s="515"/>
      <c r="AJ215" s="515"/>
      <c r="AK215" s="515"/>
      <c r="AL215" s="515"/>
    </row>
    <row r="216" spans="1:38" ht="20.149999999999999" customHeight="1" x14ac:dyDescent="0.35">
      <c r="A216" s="507">
        <v>4</v>
      </c>
      <c r="B216" s="507" t="str">
        <f>PETUNJUK!B12</f>
        <v>Ngeling</v>
      </c>
      <c r="C216" s="507">
        <f t="shared" ref="C216:E216" si="164">C182</f>
        <v>95.7</v>
      </c>
      <c r="D216" s="507">
        <f t="shared" si="164"/>
        <v>91.350000000000009</v>
      </c>
      <c r="E216" s="507">
        <f t="shared" si="164"/>
        <v>19.14</v>
      </c>
      <c r="F216" s="515"/>
      <c r="G216" s="515"/>
      <c r="H216" s="515"/>
      <c r="I216" s="515"/>
      <c r="J216" s="515"/>
      <c r="K216" s="515"/>
      <c r="L216" s="515"/>
      <c r="M216" s="515"/>
      <c r="N216" s="673"/>
      <c r="O216" s="673"/>
      <c r="P216" s="515"/>
      <c r="Q216" s="515"/>
      <c r="R216" s="515"/>
      <c r="S216" s="515"/>
      <c r="T216" s="515"/>
      <c r="U216" s="515"/>
      <c r="V216" s="515"/>
      <c r="W216" s="515"/>
      <c r="X216" s="515"/>
      <c r="Y216" s="515"/>
      <c r="Z216" s="515"/>
      <c r="AA216" s="515"/>
      <c r="AB216" s="515"/>
      <c r="AC216" s="515"/>
      <c r="AD216" s="515"/>
      <c r="AE216" s="515"/>
      <c r="AF216" s="515"/>
      <c r="AG216" s="515"/>
      <c r="AH216" s="515"/>
      <c r="AI216" s="515"/>
      <c r="AJ216" s="515"/>
      <c r="AK216" s="515"/>
      <c r="AL216" s="515"/>
    </row>
    <row r="217" spans="1:38" ht="20.149999999999999" customHeight="1" x14ac:dyDescent="0.35">
      <c r="A217" s="507">
        <v>5</v>
      </c>
      <c r="B217" s="507" t="str">
        <f>PETUNJUK!B13</f>
        <v>Lebuawu</v>
      </c>
      <c r="C217" s="507">
        <f t="shared" ref="C217:E217" si="165">C183</f>
        <v>85.800000000000011</v>
      </c>
      <c r="D217" s="507">
        <f t="shared" si="165"/>
        <v>81.900000000000006</v>
      </c>
      <c r="E217" s="507">
        <f t="shared" si="165"/>
        <v>17.160000000000004</v>
      </c>
      <c r="F217" s="515"/>
      <c r="G217" s="515"/>
      <c r="H217" s="515"/>
      <c r="I217" s="515"/>
      <c r="J217" s="515"/>
      <c r="K217" s="515"/>
      <c r="L217" s="515"/>
      <c r="M217" s="515"/>
      <c r="N217" s="673"/>
      <c r="O217" s="673"/>
      <c r="P217" s="515"/>
      <c r="Q217" s="515"/>
      <c r="R217" s="515"/>
      <c r="S217" s="515"/>
      <c r="T217" s="515"/>
      <c r="U217" s="515"/>
      <c r="V217" s="515"/>
      <c r="W217" s="515"/>
      <c r="X217" s="515"/>
      <c r="Y217" s="515"/>
      <c r="Z217" s="515"/>
      <c r="AA217" s="515"/>
      <c r="AB217" s="515"/>
      <c r="AC217" s="515"/>
      <c r="AD217" s="515"/>
      <c r="AE217" s="515"/>
      <c r="AF217" s="515"/>
      <c r="AG217" s="515"/>
      <c r="AH217" s="515"/>
      <c r="AI217" s="515"/>
      <c r="AJ217" s="515"/>
      <c r="AK217" s="515"/>
      <c r="AL217" s="515"/>
    </row>
    <row r="218" spans="1:38" ht="20.149999999999999" customHeight="1" x14ac:dyDescent="0.35">
      <c r="A218" s="507">
        <v>6</v>
      </c>
      <c r="B218" s="507" t="str">
        <f>PETUNJUK!B14</f>
        <v>Pulodarat</v>
      </c>
      <c r="C218" s="507">
        <f t="shared" ref="C218:E218" si="166">C184</f>
        <v>82.5</v>
      </c>
      <c r="D218" s="507">
        <f t="shared" si="166"/>
        <v>78.75</v>
      </c>
      <c r="E218" s="507">
        <f t="shared" si="166"/>
        <v>16.5</v>
      </c>
      <c r="F218" s="515"/>
      <c r="G218" s="515"/>
      <c r="H218" s="515"/>
      <c r="I218" s="515"/>
      <c r="J218" s="515"/>
      <c r="K218" s="515"/>
      <c r="L218" s="515"/>
      <c r="M218" s="515"/>
      <c r="N218" s="673"/>
      <c r="O218" s="673"/>
      <c r="P218" s="515"/>
      <c r="Q218" s="515"/>
      <c r="R218" s="515"/>
      <c r="S218" s="515"/>
      <c r="T218" s="515"/>
      <c r="U218" s="515"/>
      <c r="V218" s="515"/>
      <c r="W218" s="515"/>
      <c r="X218" s="515"/>
      <c r="Y218" s="515"/>
      <c r="Z218" s="515"/>
      <c r="AA218" s="515"/>
      <c r="AB218" s="515"/>
      <c r="AC218" s="515"/>
      <c r="AD218" s="515"/>
      <c r="AE218" s="515"/>
      <c r="AF218" s="515"/>
      <c r="AG218" s="515"/>
      <c r="AH218" s="515"/>
      <c r="AI218" s="515"/>
      <c r="AJ218" s="515"/>
      <c r="AK218" s="515"/>
      <c r="AL218" s="515"/>
    </row>
    <row r="219" spans="1:38" ht="20.149999999999999" customHeight="1" x14ac:dyDescent="0.35">
      <c r="A219" s="507">
        <v>7</v>
      </c>
      <c r="B219" s="507" t="str">
        <f>PETUNJUK!B15</f>
        <v>Karangrandu</v>
      </c>
      <c r="C219" s="507">
        <f t="shared" ref="C219:E219" si="167">C185</f>
        <v>93.500000000000014</v>
      </c>
      <c r="D219" s="507">
        <f t="shared" si="167"/>
        <v>89.25</v>
      </c>
      <c r="E219" s="507">
        <f t="shared" si="167"/>
        <v>18.700000000000003</v>
      </c>
      <c r="F219" s="515"/>
      <c r="G219" s="515"/>
      <c r="H219" s="515"/>
      <c r="I219" s="515"/>
      <c r="J219" s="515"/>
      <c r="K219" s="515"/>
      <c r="L219" s="515"/>
      <c r="M219" s="515"/>
      <c r="N219" s="673"/>
      <c r="O219" s="673"/>
      <c r="P219" s="515"/>
      <c r="Q219" s="515"/>
      <c r="R219" s="515"/>
      <c r="S219" s="515"/>
      <c r="T219" s="515"/>
      <c r="U219" s="515"/>
      <c r="V219" s="515"/>
      <c r="W219" s="515"/>
      <c r="X219" s="515"/>
      <c r="Y219" s="515"/>
      <c r="Z219" s="515"/>
      <c r="AA219" s="515"/>
      <c r="AB219" s="515"/>
      <c r="AC219" s="515"/>
      <c r="AD219" s="515"/>
      <c r="AE219" s="515"/>
      <c r="AF219" s="515"/>
      <c r="AG219" s="515"/>
      <c r="AH219" s="515"/>
      <c r="AI219" s="515"/>
      <c r="AJ219" s="515"/>
      <c r="AK219" s="515"/>
      <c r="AL219" s="515"/>
    </row>
    <row r="220" spans="1:38" ht="20.149999999999999" customHeight="1" x14ac:dyDescent="0.35">
      <c r="A220" s="507">
        <v>8</v>
      </c>
      <c r="B220" s="507" t="str">
        <f>PETUNJUK!B16</f>
        <v>Kaliombo</v>
      </c>
      <c r="C220" s="507">
        <f t="shared" ref="C220:E220" si="168">C186</f>
        <v>46.2</v>
      </c>
      <c r="D220" s="507">
        <f t="shared" si="168"/>
        <v>44.1</v>
      </c>
      <c r="E220" s="507">
        <f t="shared" si="168"/>
        <v>9.24</v>
      </c>
      <c r="F220" s="515"/>
      <c r="G220" s="515"/>
      <c r="H220" s="515"/>
      <c r="I220" s="515"/>
      <c r="J220" s="515"/>
      <c r="K220" s="515"/>
      <c r="L220" s="515"/>
      <c r="M220" s="515"/>
      <c r="N220" s="673"/>
      <c r="O220" s="673"/>
      <c r="P220" s="515"/>
      <c r="Q220" s="515"/>
      <c r="R220" s="515"/>
      <c r="S220" s="515"/>
      <c r="T220" s="515"/>
      <c r="U220" s="515"/>
      <c r="V220" s="515"/>
      <c r="W220" s="515"/>
      <c r="X220" s="515"/>
      <c r="Y220" s="515"/>
      <c r="Z220" s="515"/>
      <c r="AA220" s="515"/>
      <c r="AB220" s="515"/>
      <c r="AC220" s="515"/>
      <c r="AD220" s="515"/>
      <c r="AE220" s="515"/>
      <c r="AF220" s="515"/>
      <c r="AG220" s="515"/>
      <c r="AH220" s="515"/>
      <c r="AI220" s="515"/>
      <c r="AJ220" s="515"/>
      <c r="AK220" s="515"/>
      <c r="AL220" s="515"/>
    </row>
    <row r="221" spans="1:38" ht="20.149999999999999" customHeight="1" x14ac:dyDescent="0.35">
      <c r="A221" s="507">
        <v>9</v>
      </c>
      <c r="B221" s="507" t="str">
        <f>PETUNJUK!B17</f>
        <v>Gemulung</v>
      </c>
      <c r="C221" s="507">
        <f t="shared" ref="C221:E221" si="169">C187</f>
        <v>53.900000000000006</v>
      </c>
      <c r="D221" s="507">
        <f t="shared" si="169"/>
        <v>51.45</v>
      </c>
      <c r="E221" s="507">
        <f t="shared" si="169"/>
        <v>10.780000000000001</v>
      </c>
      <c r="F221" s="515"/>
      <c r="G221" s="515"/>
      <c r="H221" s="515"/>
      <c r="I221" s="515"/>
      <c r="J221" s="515"/>
      <c r="K221" s="515"/>
      <c r="L221" s="515"/>
      <c r="M221" s="515"/>
      <c r="N221" s="673"/>
      <c r="O221" s="673"/>
      <c r="P221" s="515"/>
      <c r="Q221" s="515"/>
      <c r="R221" s="515"/>
      <c r="S221" s="515"/>
      <c r="T221" s="515"/>
      <c r="U221" s="515"/>
      <c r="V221" s="515"/>
      <c r="W221" s="515"/>
      <c r="X221" s="515"/>
      <c r="Y221" s="515"/>
      <c r="Z221" s="515"/>
      <c r="AA221" s="515"/>
      <c r="AB221" s="515"/>
      <c r="AC221" s="515"/>
      <c r="AD221" s="515"/>
      <c r="AE221" s="515"/>
      <c r="AF221" s="515"/>
      <c r="AG221" s="515"/>
      <c r="AH221" s="515"/>
      <c r="AI221" s="515"/>
      <c r="AJ221" s="515"/>
      <c r="AK221" s="515"/>
      <c r="AL221" s="515"/>
    </row>
    <row r="222" spans="1:38" ht="20.149999999999999" customHeight="1" x14ac:dyDescent="0.35">
      <c r="A222" s="507">
        <v>6</v>
      </c>
      <c r="B222" s="507" t="str">
        <f>PETUNJUK!B18</f>
        <v>Pecangaan Wetan</v>
      </c>
      <c r="C222" s="507">
        <f t="shared" ref="C222:E222" si="170">C188</f>
        <v>50.6</v>
      </c>
      <c r="D222" s="507">
        <f t="shared" si="170"/>
        <v>48.300000000000004</v>
      </c>
      <c r="E222" s="507">
        <f t="shared" si="170"/>
        <v>10.120000000000001</v>
      </c>
      <c r="F222" s="515"/>
      <c r="G222" s="515"/>
      <c r="H222" s="515"/>
      <c r="I222" s="515"/>
      <c r="J222" s="515"/>
      <c r="K222" s="515"/>
      <c r="L222" s="515"/>
      <c r="M222" s="515"/>
      <c r="N222" s="673"/>
      <c r="O222" s="673"/>
      <c r="P222" s="515"/>
      <c r="Q222" s="515"/>
      <c r="R222" s="515"/>
      <c r="S222" s="515"/>
      <c r="T222" s="515"/>
      <c r="U222" s="515"/>
      <c r="V222" s="515"/>
      <c r="W222" s="515"/>
      <c r="X222" s="515"/>
      <c r="Y222" s="515"/>
      <c r="Z222" s="515"/>
      <c r="AA222" s="515"/>
      <c r="AB222" s="515"/>
      <c r="AC222" s="515"/>
      <c r="AD222" s="515"/>
      <c r="AE222" s="515"/>
      <c r="AF222" s="515"/>
      <c r="AG222" s="515"/>
      <c r="AH222" s="515"/>
      <c r="AI222" s="515"/>
      <c r="AJ222" s="515"/>
      <c r="AK222" s="515"/>
      <c r="AL222" s="515"/>
    </row>
    <row r="223" spans="1:38" ht="20.149999999999999" customHeight="1" x14ac:dyDescent="0.35">
      <c r="A223" s="507">
        <v>11</v>
      </c>
      <c r="B223" s="507" t="str">
        <f>PETUNJUK!B19</f>
        <v>Krasak</v>
      </c>
      <c r="C223" s="507">
        <f t="shared" ref="C223:E223" si="171">C189</f>
        <v>117.7</v>
      </c>
      <c r="D223" s="507">
        <f t="shared" si="171"/>
        <v>112.35000000000001</v>
      </c>
      <c r="E223" s="507">
        <f t="shared" si="171"/>
        <v>23.540000000000003</v>
      </c>
      <c r="F223" s="515"/>
      <c r="G223" s="515"/>
      <c r="H223" s="515"/>
      <c r="I223" s="515"/>
      <c r="J223" s="515"/>
      <c r="K223" s="515"/>
      <c r="L223" s="515"/>
      <c r="M223" s="515"/>
      <c r="N223" s="673"/>
      <c r="O223" s="673"/>
      <c r="P223" s="515"/>
      <c r="Q223" s="515"/>
      <c r="R223" s="515"/>
      <c r="S223" s="515"/>
      <c r="T223" s="515"/>
      <c r="U223" s="515"/>
      <c r="V223" s="515"/>
      <c r="W223" s="515"/>
      <c r="X223" s="515"/>
      <c r="Y223" s="515"/>
      <c r="Z223" s="515"/>
      <c r="AA223" s="515"/>
      <c r="AB223" s="515"/>
      <c r="AC223" s="515"/>
      <c r="AD223" s="515"/>
      <c r="AE223" s="515"/>
      <c r="AF223" s="515"/>
      <c r="AG223" s="515"/>
      <c r="AH223" s="515"/>
      <c r="AI223" s="515"/>
      <c r="AJ223" s="515"/>
      <c r="AK223" s="515"/>
      <c r="AL223" s="515"/>
    </row>
    <row r="224" spans="1:38" ht="20.149999999999999" customHeight="1" x14ac:dyDescent="0.35">
      <c r="A224" s="507">
        <v>12</v>
      </c>
      <c r="B224" s="507" t="str">
        <f>PETUNJUK!B20</f>
        <v>Gerdu</v>
      </c>
      <c r="C224" s="507">
        <f t="shared" ref="C224:E224" si="172">C190</f>
        <v>23.1</v>
      </c>
      <c r="D224" s="507">
        <f t="shared" si="172"/>
        <v>22.05</v>
      </c>
      <c r="E224" s="507">
        <f t="shared" si="172"/>
        <v>4.62</v>
      </c>
      <c r="F224" s="515"/>
      <c r="G224" s="515"/>
      <c r="H224" s="515"/>
      <c r="I224" s="515"/>
      <c r="J224" s="515"/>
      <c r="K224" s="515"/>
      <c r="L224" s="515"/>
      <c r="M224" s="515"/>
      <c r="N224" s="673"/>
      <c r="O224" s="673"/>
      <c r="P224" s="515"/>
      <c r="Q224" s="515"/>
      <c r="R224" s="515"/>
      <c r="S224" s="515"/>
      <c r="T224" s="515"/>
      <c r="U224" s="515"/>
      <c r="V224" s="515"/>
      <c r="W224" s="515"/>
      <c r="X224" s="515"/>
      <c r="Y224" s="515"/>
      <c r="Z224" s="515"/>
      <c r="AA224" s="515"/>
      <c r="AB224" s="515"/>
      <c r="AC224" s="515"/>
      <c r="AD224" s="515"/>
      <c r="AE224" s="515"/>
      <c r="AF224" s="515"/>
      <c r="AG224" s="515"/>
      <c r="AH224" s="515"/>
      <c r="AI224" s="515"/>
      <c r="AJ224" s="515"/>
      <c r="AK224" s="515"/>
      <c r="AL224" s="515"/>
    </row>
    <row r="225" spans="1:38" ht="20.149999999999999" customHeight="1" x14ac:dyDescent="0.35">
      <c r="A225" s="507">
        <v>13</v>
      </c>
      <c r="B225" s="507">
        <f>PETUNJUK!B21</f>
        <v>0</v>
      </c>
      <c r="C225" s="507">
        <f t="shared" ref="C225:E225" si="173">C191</f>
        <v>0</v>
      </c>
      <c r="D225" s="507">
        <f t="shared" si="173"/>
        <v>0</v>
      </c>
      <c r="E225" s="507">
        <f t="shared" si="173"/>
        <v>0</v>
      </c>
      <c r="F225" s="515"/>
      <c r="G225" s="515"/>
      <c r="H225" s="515"/>
      <c r="I225" s="515"/>
      <c r="J225" s="515"/>
      <c r="K225" s="515"/>
      <c r="L225" s="515"/>
      <c r="M225" s="515"/>
      <c r="N225" s="673"/>
      <c r="O225" s="673"/>
      <c r="P225" s="515"/>
      <c r="Q225" s="515"/>
      <c r="R225" s="515"/>
      <c r="S225" s="515"/>
      <c r="T225" s="515"/>
      <c r="U225" s="515"/>
      <c r="V225" s="515"/>
      <c r="W225" s="515"/>
      <c r="X225" s="515"/>
      <c r="Y225" s="515"/>
      <c r="Z225" s="515"/>
      <c r="AA225" s="515"/>
      <c r="AB225" s="515"/>
      <c r="AC225" s="515"/>
      <c r="AD225" s="515"/>
      <c r="AE225" s="515"/>
      <c r="AF225" s="515"/>
      <c r="AG225" s="515"/>
      <c r="AH225" s="515"/>
      <c r="AI225" s="515"/>
      <c r="AJ225" s="515"/>
      <c r="AK225" s="515"/>
      <c r="AL225" s="515"/>
    </row>
    <row r="226" spans="1:38" ht="20.149999999999999" customHeight="1" x14ac:dyDescent="0.35">
      <c r="A226" s="507">
        <v>14</v>
      </c>
      <c r="B226" s="507">
        <f>PETUNJUK!B22</f>
        <v>0</v>
      </c>
      <c r="C226" s="507">
        <f t="shared" ref="C226:E226" si="174">C192</f>
        <v>0</v>
      </c>
      <c r="D226" s="507">
        <f t="shared" si="174"/>
        <v>0</v>
      </c>
      <c r="E226" s="507">
        <f t="shared" si="174"/>
        <v>0</v>
      </c>
      <c r="F226" s="515"/>
      <c r="G226" s="515"/>
      <c r="H226" s="515"/>
      <c r="I226" s="515"/>
      <c r="J226" s="515"/>
      <c r="K226" s="515"/>
      <c r="L226" s="515"/>
      <c r="M226" s="515"/>
      <c r="N226" s="673"/>
      <c r="O226" s="673"/>
      <c r="P226" s="515"/>
      <c r="Q226" s="515"/>
      <c r="R226" s="515"/>
      <c r="S226" s="515"/>
      <c r="T226" s="515"/>
      <c r="U226" s="515"/>
      <c r="V226" s="515"/>
      <c r="W226" s="515"/>
      <c r="X226" s="515"/>
      <c r="Y226" s="515"/>
      <c r="Z226" s="515"/>
      <c r="AA226" s="515"/>
      <c r="AB226" s="515"/>
      <c r="AC226" s="515"/>
      <c r="AD226" s="515"/>
      <c r="AE226" s="515"/>
      <c r="AF226" s="515"/>
      <c r="AG226" s="515"/>
      <c r="AH226" s="515"/>
      <c r="AI226" s="515"/>
      <c r="AJ226" s="515"/>
      <c r="AK226" s="515"/>
      <c r="AL226" s="515"/>
    </row>
    <row r="227" spans="1:38" ht="20.149999999999999" customHeight="1" x14ac:dyDescent="0.35">
      <c r="A227" s="507">
        <v>15</v>
      </c>
      <c r="B227" s="507">
        <f>PETUNJUK!B23</f>
        <v>0</v>
      </c>
      <c r="C227" s="507">
        <f t="shared" ref="C227:E227" si="175">C193</f>
        <v>0</v>
      </c>
      <c r="D227" s="507">
        <f t="shared" si="175"/>
        <v>0</v>
      </c>
      <c r="E227" s="507">
        <f t="shared" si="175"/>
        <v>0</v>
      </c>
      <c r="F227" s="515"/>
      <c r="G227" s="515"/>
      <c r="H227" s="515"/>
      <c r="I227" s="515"/>
      <c r="J227" s="515"/>
      <c r="K227" s="515"/>
      <c r="L227" s="515"/>
      <c r="M227" s="515"/>
      <c r="N227" s="673"/>
      <c r="O227" s="673"/>
      <c r="P227" s="515"/>
      <c r="Q227" s="515"/>
      <c r="R227" s="515"/>
      <c r="S227" s="515"/>
      <c r="T227" s="515"/>
      <c r="U227" s="515"/>
      <c r="V227" s="515"/>
      <c r="W227" s="515"/>
      <c r="X227" s="515"/>
      <c r="Y227" s="515"/>
      <c r="Z227" s="515"/>
      <c r="AA227" s="515"/>
      <c r="AB227" s="515"/>
      <c r="AC227" s="515"/>
      <c r="AD227" s="515"/>
      <c r="AE227" s="515"/>
      <c r="AF227" s="515"/>
      <c r="AG227" s="515"/>
      <c r="AH227" s="515"/>
      <c r="AI227" s="515"/>
      <c r="AJ227" s="515"/>
      <c r="AK227" s="515"/>
      <c r="AL227" s="515"/>
    </row>
    <row r="228" spans="1:38" ht="20.149999999999999" customHeight="1" x14ac:dyDescent="0.35">
      <c r="A228" s="507">
        <v>16</v>
      </c>
      <c r="B228" s="507">
        <f>PETUNJUK!B24</f>
        <v>0</v>
      </c>
      <c r="C228" s="507">
        <f t="shared" ref="C228:E228" si="176">C194</f>
        <v>0</v>
      </c>
      <c r="D228" s="507">
        <f t="shared" si="176"/>
        <v>0</v>
      </c>
      <c r="E228" s="507">
        <f t="shared" si="176"/>
        <v>0</v>
      </c>
      <c r="F228" s="515"/>
      <c r="G228" s="515"/>
      <c r="H228" s="515"/>
      <c r="I228" s="515"/>
      <c r="J228" s="515"/>
      <c r="K228" s="515"/>
      <c r="L228" s="515"/>
      <c r="M228" s="515"/>
      <c r="N228" s="673"/>
      <c r="O228" s="673"/>
      <c r="P228" s="515"/>
      <c r="Q228" s="515"/>
      <c r="R228" s="515"/>
      <c r="S228" s="515"/>
      <c r="T228" s="515"/>
      <c r="U228" s="515"/>
      <c r="V228" s="515"/>
      <c r="W228" s="515"/>
      <c r="X228" s="515"/>
      <c r="Y228" s="515"/>
      <c r="Z228" s="515"/>
      <c r="AA228" s="515"/>
      <c r="AB228" s="515"/>
      <c r="AC228" s="515"/>
      <c r="AD228" s="515"/>
      <c r="AE228" s="515"/>
      <c r="AF228" s="515"/>
      <c r="AG228" s="515"/>
      <c r="AH228" s="515"/>
      <c r="AI228" s="515"/>
      <c r="AJ228" s="515"/>
      <c r="AK228" s="515"/>
      <c r="AL228" s="515"/>
    </row>
    <row r="229" spans="1:38" ht="20.149999999999999" customHeight="1" x14ac:dyDescent="0.35">
      <c r="A229" s="507">
        <v>17</v>
      </c>
      <c r="B229" s="507">
        <f>PETUNJUK!B25</f>
        <v>0</v>
      </c>
      <c r="C229" s="507">
        <f t="shared" ref="C229:E229" si="177">C195</f>
        <v>0</v>
      </c>
      <c r="D229" s="507">
        <f t="shared" si="177"/>
        <v>0</v>
      </c>
      <c r="E229" s="507">
        <f t="shared" si="177"/>
        <v>0</v>
      </c>
      <c r="F229" s="515"/>
      <c r="G229" s="515"/>
      <c r="H229" s="515"/>
      <c r="I229" s="515"/>
      <c r="J229" s="515"/>
      <c r="K229" s="515"/>
      <c r="L229" s="515"/>
      <c r="M229" s="515"/>
      <c r="N229" s="673"/>
      <c r="O229" s="673"/>
      <c r="P229" s="515"/>
      <c r="Q229" s="515"/>
      <c r="R229" s="515"/>
      <c r="S229" s="515"/>
      <c r="T229" s="515"/>
      <c r="U229" s="515"/>
      <c r="V229" s="515"/>
      <c r="W229" s="515"/>
      <c r="X229" s="515"/>
      <c r="Y229" s="515"/>
      <c r="Z229" s="515"/>
      <c r="AA229" s="515"/>
      <c r="AB229" s="515"/>
      <c r="AC229" s="515"/>
      <c r="AD229" s="515"/>
      <c r="AE229" s="515"/>
      <c r="AF229" s="515"/>
      <c r="AG229" s="515"/>
      <c r="AH229" s="515"/>
      <c r="AI229" s="515"/>
      <c r="AJ229" s="515"/>
      <c r="AK229" s="515"/>
      <c r="AL229" s="515"/>
    </row>
    <row r="230" spans="1:38" ht="20.149999999999999" customHeight="1" x14ac:dyDescent="0.35">
      <c r="A230" s="507">
        <v>18</v>
      </c>
      <c r="B230" s="507">
        <f>PETUNJUK!B26</f>
        <v>0</v>
      </c>
      <c r="C230" s="507">
        <f t="shared" ref="C230:E230" si="178">C196</f>
        <v>0</v>
      </c>
      <c r="D230" s="507">
        <f t="shared" si="178"/>
        <v>0</v>
      </c>
      <c r="E230" s="507">
        <f t="shared" si="178"/>
        <v>0</v>
      </c>
      <c r="F230" s="515"/>
      <c r="G230" s="515"/>
      <c r="H230" s="515"/>
      <c r="I230" s="515"/>
      <c r="J230" s="515"/>
      <c r="K230" s="515"/>
      <c r="L230" s="515"/>
      <c r="M230" s="515"/>
      <c r="N230" s="673"/>
      <c r="O230" s="673"/>
      <c r="P230" s="515"/>
      <c r="Q230" s="515"/>
      <c r="R230" s="515"/>
      <c r="S230" s="515"/>
      <c r="T230" s="515"/>
      <c r="U230" s="515"/>
      <c r="V230" s="515"/>
      <c r="W230" s="515"/>
      <c r="X230" s="515"/>
      <c r="Y230" s="515"/>
      <c r="Z230" s="515"/>
      <c r="AA230" s="515"/>
      <c r="AB230" s="515"/>
      <c r="AC230" s="515"/>
      <c r="AD230" s="515"/>
      <c r="AE230" s="515"/>
      <c r="AF230" s="515"/>
      <c r="AG230" s="515"/>
      <c r="AH230" s="515"/>
      <c r="AI230" s="515"/>
      <c r="AJ230" s="515"/>
      <c r="AK230" s="515"/>
      <c r="AL230" s="515"/>
    </row>
    <row r="231" spans="1:38" ht="20.149999999999999" customHeight="1" x14ac:dyDescent="0.35">
      <c r="A231" s="507">
        <v>19</v>
      </c>
      <c r="B231" s="507">
        <f>PETUNJUK!B27</f>
        <v>0</v>
      </c>
      <c r="C231" s="507">
        <f t="shared" ref="C231:E231" si="179">C197</f>
        <v>0</v>
      </c>
      <c r="D231" s="507">
        <f t="shared" si="179"/>
        <v>0</v>
      </c>
      <c r="E231" s="507">
        <f t="shared" si="179"/>
        <v>0</v>
      </c>
      <c r="F231" s="515"/>
      <c r="G231" s="515"/>
      <c r="H231" s="515"/>
      <c r="I231" s="515"/>
      <c r="J231" s="515"/>
      <c r="K231" s="515"/>
      <c r="L231" s="515"/>
      <c r="M231" s="515"/>
      <c r="N231" s="673"/>
      <c r="O231" s="673"/>
      <c r="P231" s="515"/>
      <c r="Q231" s="515"/>
      <c r="R231" s="515"/>
      <c r="S231" s="515"/>
      <c r="T231" s="515"/>
      <c r="U231" s="515"/>
      <c r="V231" s="515"/>
      <c r="W231" s="515"/>
      <c r="X231" s="515"/>
      <c r="Y231" s="515"/>
      <c r="Z231" s="515"/>
      <c r="AA231" s="515"/>
      <c r="AB231" s="515"/>
      <c r="AC231" s="515"/>
      <c r="AD231" s="515"/>
      <c r="AE231" s="515"/>
      <c r="AF231" s="515"/>
      <c r="AG231" s="515"/>
      <c r="AH231" s="515"/>
      <c r="AI231" s="515"/>
      <c r="AJ231" s="515"/>
      <c r="AK231" s="515"/>
      <c r="AL231" s="515"/>
    </row>
    <row r="232" spans="1:38" ht="20.149999999999999" customHeight="1" x14ac:dyDescent="0.35">
      <c r="A232" s="507">
        <v>20</v>
      </c>
      <c r="B232" s="507">
        <f>PETUNJUK!B28</f>
        <v>0</v>
      </c>
      <c r="C232" s="507">
        <f t="shared" ref="C232:E232" si="180">C198</f>
        <v>0</v>
      </c>
      <c r="D232" s="507">
        <f t="shared" si="180"/>
        <v>0</v>
      </c>
      <c r="E232" s="507">
        <f t="shared" si="180"/>
        <v>0</v>
      </c>
      <c r="F232" s="515"/>
      <c r="G232" s="515"/>
      <c r="H232" s="515"/>
      <c r="I232" s="515"/>
      <c r="J232" s="515"/>
      <c r="K232" s="515"/>
      <c r="L232" s="515"/>
      <c r="M232" s="515"/>
      <c r="N232" s="673"/>
      <c r="O232" s="673"/>
      <c r="P232" s="515"/>
      <c r="Q232" s="515"/>
      <c r="R232" s="515"/>
      <c r="S232" s="515"/>
      <c r="T232" s="515"/>
      <c r="U232" s="515"/>
      <c r="V232" s="515"/>
      <c r="W232" s="515"/>
      <c r="X232" s="515"/>
      <c r="Y232" s="515"/>
      <c r="Z232" s="515"/>
      <c r="AA232" s="515"/>
      <c r="AB232" s="515"/>
      <c r="AC232" s="515"/>
      <c r="AD232" s="515"/>
      <c r="AE232" s="515"/>
      <c r="AF232" s="515"/>
      <c r="AG232" s="515"/>
      <c r="AH232" s="515"/>
      <c r="AI232" s="515"/>
      <c r="AJ232" s="515"/>
      <c r="AK232" s="515"/>
      <c r="AL232" s="515"/>
    </row>
    <row r="233" spans="1:38" ht="20.149999999999999" customHeight="1" x14ac:dyDescent="0.35">
      <c r="A233" s="507">
        <v>21</v>
      </c>
      <c r="B233" s="507">
        <f>PETUNJUK!B29</f>
        <v>0</v>
      </c>
      <c r="C233" s="507">
        <f t="shared" ref="C233:E233" si="181">C199</f>
        <v>0</v>
      </c>
      <c r="D233" s="507">
        <f t="shared" si="181"/>
        <v>0</v>
      </c>
      <c r="E233" s="507">
        <f t="shared" si="181"/>
        <v>0</v>
      </c>
      <c r="F233" s="515"/>
      <c r="G233" s="515"/>
      <c r="H233" s="515"/>
      <c r="I233" s="515"/>
      <c r="J233" s="515"/>
      <c r="K233" s="515"/>
      <c r="L233" s="515"/>
      <c r="M233" s="515"/>
      <c r="N233" s="673"/>
      <c r="O233" s="673"/>
      <c r="P233" s="515"/>
      <c r="Q233" s="515"/>
      <c r="R233" s="515"/>
      <c r="S233" s="515"/>
      <c r="T233" s="515"/>
      <c r="U233" s="515"/>
      <c r="V233" s="515"/>
      <c r="W233" s="515"/>
      <c r="X233" s="515"/>
      <c r="Y233" s="515"/>
      <c r="Z233" s="515"/>
      <c r="AA233" s="515"/>
      <c r="AB233" s="515"/>
      <c r="AC233" s="515"/>
      <c r="AD233" s="515"/>
      <c r="AE233" s="515"/>
      <c r="AF233" s="515"/>
      <c r="AG233" s="515"/>
      <c r="AH233" s="515"/>
      <c r="AI233" s="515"/>
      <c r="AJ233" s="515"/>
      <c r="AK233" s="515"/>
      <c r="AL233" s="515"/>
    </row>
    <row r="234" spans="1:38" ht="20.149999999999999" customHeight="1" thickBot="1" x14ac:dyDescent="0.4">
      <c r="A234" s="512">
        <v>22</v>
      </c>
      <c r="B234" s="512">
        <f>PETUNJUK!B30</f>
        <v>0</v>
      </c>
      <c r="C234" s="507">
        <f t="shared" ref="C234:E234" si="182">C200</f>
        <v>0</v>
      </c>
      <c r="D234" s="507">
        <f t="shared" si="182"/>
        <v>0</v>
      </c>
      <c r="E234" s="507">
        <f t="shared" si="182"/>
        <v>0</v>
      </c>
      <c r="F234" s="509"/>
      <c r="G234" s="509"/>
      <c r="H234" s="509"/>
      <c r="I234" s="509"/>
      <c r="J234" s="509"/>
      <c r="K234" s="509"/>
      <c r="L234" s="509"/>
      <c r="M234" s="509"/>
      <c r="N234" s="675"/>
      <c r="O234" s="675"/>
      <c r="P234" s="509"/>
      <c r="Q234" s="509"/>
      <c r="R234" s="509"/>
      <c r="S234" s="509"/>
      <c r="T234" s="509"/>
      <c r="U234" s="509"/>
      <c r="V234" s="509"/>
      <c r="W234" s="509"/>
      <c r="X234" s="509"/>
      <c r="Y234" s="509"/>
      <c r="Z234" s="509"/>
      <c r="AA234" s="509"/>
      <c r="AB234" s="509"/>
      <c r="AC234" s="509"/>
      <c r="AD234" s="509"/>
      <c r="AE234" s="509"/>
      <c r="AF234" s="509"/>
      <c r="AG234" s="509"/>
      <c r="AH234" s="509"/>
      <c r="AI234" s="509"/>
      <c r="AJ234" s="509"/>
      <c r="AK234" s="509"/>
      <c r="AL234" s="509"/>
    </row>
    <row r="235" spans="1:38" ht="20.149999999999999" customHeight="1" thickBot="1" x14ac:dyDescent="0.4">
      <c r="A235" s="744" t="s">
        <v>18</v>
      </c>
      <c r="B235" s="745"/>
      <c r="C235" s="513">
        <f>SUM(C213:C234)</f>
        <v>1067</v>
      </c>
      <c r="D235" s="513">
        <f t="shared" ref="D235:AL235" si="183">SUM(D213:D234)</f>
        <v>1018.5</v>
      </c>
      <c r="E235" s="513">
        <f t="shared" si="183"/>
        <v>213.40000000000003</v>
      </c>
      <c r="F235" s="513">
        <f t="shared" si="183"/>
        <v>0</v>
      </c>
      <c r="G235" s="513">
        <f t="shared" si="183"/>
        <v>0</v>
      </c>
      <c r="H235" s="513">
        <f t="shared" si="183"/>
        <v>0</v>
      </c>
      <c r="I235" s="513">
        <f t="shared" si="183"/>
        <v>0</v>
      </c>
      <c r="J235" s="513">
        <f t="shared" si="183"/>
        <v>0</v>
      </c>
      <c r="K235" s="513">
        <f t="shared" si="183"/>
        <v>0</v>
      </c>
      <c r="L235" s="513">
        <f t="shared" si="183"/>
        <v>0</v>
      </c>
      <c r="M235" s="513">
        <f t="shared" si="183"/>
        <v>0</v>
      </c>
      <c r="N235" s="513"/>
      <c r="O235" s="513"/>
      <c r="P235" s="513">
        <f t="shared" si="183"/>
        <v>0</v>
      </c>
      <c r="Q235" s="513">
        <f t="shared" si="183"/>
        <v>0</v>
      </c>
      <c r="R235" s="513">
        <f t="shared" si="183"/>
        <v>0</v>
      </c>
      <c r="S235" s="513">
        <f t="shared" si="183"/>
        <v>0</v>
      </c>
      <c r="T235" s="513">
        <f t="shared" si="183"/>
        <v>0</v>
      </c>
      <c r="U235" s="513">
        <f t="shared" si="183"/>
        <v>0</v>
      </c>
      <c r="V235" s="513">
        <f t="shared" si="183"/>
        <v>0</v>
      </c>
      <c r="W235" s="513">
        <f t="shared" si="183"/>
        <v>0</v>
      </c>
      <c r="X235" s="513">
        <f t="shared" si="183"/>
        <v>0</v>
      </c>
      <c r="Y235" s="513">
        <f t="shared" si="183"/>
        <v>0</v>
      </c>
      <c r="Z235" s="513">
        <f t="shared" si="183"/>
        <v>0</v>
      </c>
      <c r="AA235" s="513">
        <f t="shared" si="183"/>
        <v>0</v>
      </c>
      <c r="AB235" s="513">
        <f t="shared" si="183"/>
        <v>0</v>
      </c>
      <c r="AC235" s="513">
        <f t="shared" si="183"/>
        <v>0</v>
      </c>
      <c r="AD235" s="513">
        <f t="shared" si="183"/>
        <v>0</v>
      </c>
      <c r="AE235" s="513">
        <f t="shared" si="183"/>
        <v>0</v>
      </c>
      <c r="AF235" s="513">
        <f t="shared" si="183"/>
        <v>0</v>
      </c>
      <c r="AG235" s="513">
        <f t="shared" si="183"/>
        <v>0</v>
      </c>
      <c r="AH235" s="513">
        <f t="shared" si="183"/>
        <v>0</v>
      </c>
      <c r="AI235" s="513">
        <f t="shared" si="183"/>
        <v>0</v>
      </c>
      <c r="AJ235" s="513">
        <f t="shared" si="183"/>
        <v>0</v>
      </c>
      <c r="AK235" s="513">
        <f t="shared" si="183"/>
        <v>0</v>
      </c>
      <c r="AL235" s="518">
        <f t="shared" si="183"/>
        <v>0</v>
      </c>
    </row>
    <row r="236" spans="1:38" ht="15.5" x14ac:dyDescent="0.35">
      <c r="A236" s="514"/>
      <c r="B236" s="514"/>
      <c r="C236" s="514"/>
      <c r="D236" s="514"/>
      <c r="E236" s="514"/>
      <c r="F236" s="514"/>
      <c r="G236" s="514"/>
      <c r="H236" s="514"/>
      <c r="I236" s="514"/>
      <c r="J236" s="514"/>
      <c r="K236" s="514"/>
      <c r="L236" s="514"/>
      <c r="M236" s="514"/>
      <c r="N236" s="514"/>
      <c r="O236" s="514"/>
      <c r="P236" s="514"/>
      <c r="Q236" s="514"/>
      <c r="R236" s="514"/>
      <c r="S236" s="514"/>
      <c r="T236" s="514"/>
      <c r="U236" s="514"/>
      <c r="V236" s="514"/>
      <c r="W236" s="514"/>
      <c r="X236" s="514"/>
      <c r="Y236" s="514"/>
      <c r="Z236" s="514"/>
      <c r="AA236" s="514"/>
      <c r="AB236" s="514"/>
      <c r="AC236" s="514"/>
      <c r="AD236" s="514"/>
      <c r="AE236" s="514"/>
      <c r="AF236" s="514"/>
      <c r="AG236" s="514"/>
      <c r="AH236" s="514"/>
      <c r="AI236" s="514"/>
      <c r="AJ236" s="514"/>
      <c r="AK236" s="514"/>
      <c r="AL236" s="514"/>
    </row>
    <row r="237" spans="1:38" ht="15.5" x14ac:dyDescent="0.35">
      <c r="A237" s="514"/>
      <c r="B237" s="514"/>
      <c r="C237" s="514"/>
      <c r="D237" s="514"/>
      <c r="E237" s="514"/>
      <c r="F237" s="514"/>
      <c r="G237" s="514"/>
      <c r="H237" s="514"/>
      <c r="I237" s="514"/>
      <c r="J237" s="514"/>
      <c r="K237" s="514"/>
      <c r="L237" s="514"/>
      <c r="M237" s="514"/>
      <c r="N237" s="514"/>
      <c r="O237" s="514"/>
      <c r="P237" s="514"/>
      <c r="Q237" s="514"/>
      <c r="R237" s="514"/>
      <c r="S237" s="514"/>
      <c r="T237" s="514"/>
      <c r="U237" s="514"/>
      <c r="V237" s="514"/>
      <c r="W237" s="514"/>
      <c r="X237" s="514"/>
      <c r="Y237" s="514"/>
      <c r="Z237" s="514"/>
      <c r="AA237" s="514"/>
      <c r="AB237" s="514"/>
      <c r="AC237" s="514"/>
      <c r="AD237" s="514"/>
      <c r="AE237" s="514"/>
      <c r="AF237" s="514"/>
      <c r="AG237" s="514"/>
      <c r="AH237" s="514"/>
      <c r="AI237" s="514"/>
      <c r="AJ237" s="514"/>
      <c r="AK237" s="514"/>
      <c r="AL237" s="514"/>
    </row>
    <row r="238" spans="1:38" ht="15.5" x14ac:dyDescent="0.35">
      <c r="A238" s="514"/>
      <c r="B238" s="514"/>
      <c r="C238" s="514"/>
      <c r="D238" s="514"/>
      <c r="E238" s="514"/>
      <c r="F238" s="514"/>
      <c r="G238" s="514"/>
      <c r="H238" s="514"/>
      <c r="I238" s="514"/>
      <c r="J238" s="514"/>
      <c r="K238" s="514"/>
      <c r="L238" s="514"/>
      <c r="M238" s="514"/>
      <c r="N238" s="514"/>
      <c r="O238" s="514"/>
      <c r="P238" s="514"/>
      <c r="Q238" s="514"/>
      <c r="R238" s="514"/>
      <c r="S238" s="514"/>
      <c r="T238" s="514"/>
      <c r="U238" s="514"/>
      <c r="V238" s="514"/>
      <c r="W238" s="514"/>
      <c r="X238" s="514"/>
      <c r="Y238" s="514"/>
      <c r="Z238" s="514"/>
      <c r="AA238" s="514"/>
      <c r="AB238" s="514"/>
      <c r="AC238" s="514"/>
      <c r="AD238" s="514"/>
      <c r="AE238" s="514"/>
      <c r="AF238" s="514"/>
      <c r="AG238" s="514"/>
      <c r="AH238" s="514"/>
      <c r="AI238" s="514"/>
      <c r="AJ238" s="514"/>
      <c r="AK238" s="514"/>
      <c r="AL238" s="514"/>
    </row>
    <row r="239" spans="1:38" ht="15.5" x14ac:dyDescent="0.35">
      <c r="A239" s="731" t="s">
        <v>239</v>
      </c>
      <c r="B239" s="731"/>
      <c r="C239" s="731"/>
      <c r="D239" s="731"/>
      <c r="E239" s="731"/>
      <c r="F239" s="731"/>
      <c r="G239" s="731"/>
      <c r="H239" s="731"/>
      <c r="I239" s="731"/>
      <c r="J239" s="731"/>
      <c r="K239" s="731"/>
      <c r="L239" s="731"/>
      <c r="M239" s="731"/>
      <c r="N239" s="731"/>
      <c r="O239" s="731"/>
      <c r="P239" s="731"/>
      <c r="Q239" s="731"/>
      <c r="R239" s="731"/>
      <c r="S239" s="731"/>
      <c r="T239" s="731"/>
      <c r="U239" s="731"/>
      <c r="V239" s="731"/>
      <c r="W239" s="731"/>
      <c r="X239" s="731"/>
      <c r="Y239" s="731"/>
      <c r="Z239" s="731"/>
      <c r="AA239" s="731"/>
      <c r="AB239" s="731"/>
      <c r="AC239" s="731"/>
      <c r="AD239" s="731"/>
      <c r="AE239" s="731"/>
      <c r="AF239" s="731"/>
      <c r="AG239" s="731"/>
      <c r="AH239" s="731"/>
      <c r="AI239" s="505"/>
      <c r="AJ239" s="505"/>
      <c r="AK239" s="505"/>
      <c r="AL239" s="505"/>
    </row>
    <row r="240" spans="1:38" ht="15.5" x14ac:dyDescent="0.35">
      <c r="A240" s="505"/>
      <c r="B240" s="505"/>
      <c r="C240" s="505"/>
      <c r="D240" s="505"/>
      <c r="E240" s="505"/>
      <c r="F240" s="505"/>
      <c r="G240" s="505"/>
      <c r="H240" s="505"/>
      <c r="I240" s="505"/>
      <c r="J240" s="505"/>
      <c r="K240" s="505"/>
      <c r="L240" s="505"/>
      <c r="M240" s="505"/>
      <c r="N240" s="505"/>
      <c r="O240" s="505"/>
      <c r="P240" s="505"/>
      <c r="Q240" s="505"/>
      <c r="R240" s="505"/>
      <c r="S240" s="505"/>
      <c r="T240" s="505"/>
      <c r="U240" s="505"/>
      <c r="V240" s="505"/>
      <c r="W240" s="505"/>
      <c r="X240" s="505"/>
      <c r="Y240" s="505"/>
      <c r="Z240" s="505"/>
      <c r="AA240" s="505"/>
      <c r="AB240" s="505"/>
      <c r="AC240" s="505"/>
      <c r="AD240" s="505"/>
      <c r="AE240" s="505"/>
      <c r="AF240" s="505"/>
      <c r="AG240" s="505"/>
      <c r="AH240" s="505"/>
      <c r="AI240" s="505"/>
      <c r="AJ240" s="505"/>
      <c r="AK240" s="505"/>
      <c r="AL240" s="505"/>
    </row>
    <row r="241" spans="1:38" ht="15.5" x14ac:dyDescent="0.35">
      <c r="A241" s="504" t="s">
        <v>168</v>
      </c>
      <c r="B241" s="504"/>
      <c r="C241" s="679" t="str">
        <f>PETUNJUK!C5</f>
        <v>PECANGAAN</v>
      </c>
      <c r="D241" s="504"/>
      <c r="E241" s="504"/>
      <c r="F241" s="504"/>
      <c r="G241" s="504"/>
      <c r="H241" s="504"/>
      <c r="I241" s="504"/>
      <c r="J241" s="504"/>
      <c r="K241" s="504"/>
      <c r="L241" s="504"/>
      <c r="M241" s="504"/>
      <c r="N241" s="504"/>
      <c r="O241" s="504"/>
      <c r="P241" s="504"/>
      <c r="Q241" s="504"/>
      <c r="R241" s="504"/>
      <c r="S241" s="504"/>
      <c r="T241" s="504"/>
      <c r="U241" s="504"/>
      <c r="V241" s="504"/>
      <c r="W241" s="504"/>
      <c r="X241" s="504"/>
      <c r="Y241" s="504"/>
      <c r="Z241" s="504"/>
      <c r="AA241" s="504"/>
      <c r="AB241" s="504"/>
      <c r="AC241" s="504"/>
      <c r="AD241" s="504"/>
      <c r="AE241" s="504"/>
      <c r="AF241" s="504"/>
      <c r="AG241" s="504"/>
      <c r="AH241" s="504"/>
      <c r="AI241" s="505"/>
      <c r="AJ241" s="505"/>
      <c r="AK241" s="505"/>
      <c r="AL241" s="505"/>
    </row>
    <row r="242" spans="1:38" ht="15.5" x14ac:dyDescent="0.35">
      <c r="A242" s="504" t="s">
        <v>169</v>
      </c>
      <c r="B242" s="504"/>
      <c r="C242" s="680" t="s">
        <v>386</v>
      </c>
      <c r="D242" s="504"/>
      <c r="E242" s="504"/>
      <c r="F242" s="504"/>
      <c r="G242" s="504"/>
      <c r="H242" s="504"/>
      <c r="I242" s="504"/>
      <c r="J242" s="504"/>
      <c r="K242" s="504"/>
      <c r="L242" s="504"/>
      <c r="M242" s="504"/>
      <c r="N242" s="504"/>
      <c r="O242" s="504"/>
      <c r="P242" s="504"/>
      <c r="Q242" s="504"/>
      <c r="R242" s="504"/>
      <c r="S242" s="504"/>
      <c r="T242" s="504"/>
      <c r="U242" s="504"/>
      <c r="V242" s="504"/>
      <c r="W242" s="504"/>
      <c r="X242" s="504"/>
      <c r="Y242" s="504"/>
      <c r="Z242" s="504"/>
      <c r="AA242" s="504"/>
      <c r="AB242" s="504"/>
      <c r="AC242" s="504"/>
      <c r="AD242" s="504"/>
      <c r="AE242" s="504"/>
      <c r="AF242" s="504"/>
      <c r="AG242" s="504"/>
      <c r="AH242" s="504"/>
      <c r="AI242" s="505"/>
      <c r="AJ242" s="505"/>
      <c r="AK242" s="505"/>
      <c r="AL242" s="505"/>
    </row>
    <row r="243" spans="1:38" ht="15.5" x14ac:dyDescent="0.35">
      <c r="A243" s="505"/>
      <c r="B243" s="505"/>
      <c r="C243" s="505"/>
      <c r="D243" s="505"/>
      <c r="E243" s="505"/>
      <c r="F243" s="505"/>
      <c r="G243" s="505"/>
      <c r="H243" s="505"/>
      <c r="I243" s="505"/>
      <c r="J243" s="505"/>
      <c r="K243" s="505"/>
      <c r="L243" s="505"/>
      <c r="M243" s="505"/>
      <c r="N243" s="505"/>
      <c r="O243" s="505"/>
      <c r="P243" s="505"/>
      <c r="Q243" s="505"/>
      <c r="R243" s="505"/>
      <c r="S243" s="505"/>
      <c r="T243" s="505"/>
      <c r="U243" s="505"/>
      <c r="V243" s="505"/>
      <c r="W243" s="505"/>
      <c r="X243" s="505"/>
      <c r="Y243" s="505"/>
      <c r="Z243" s="505"/>
      <c r="AA243" s="505"/>
      <c r="AB243" s="505"/>
      <c r="AC243" s="505"/>
      <c r="AD243" s="505"/>
      <c r="AE243" s="505"/>
      <c r="AF243" s="505"/>
      <c r="AG243" s="505"/>
      <c r="AH243" s="505"/>
      <c r="AI243" s="505"/>
      <c r="AJ243" s="505"/>
      <c r="AK243" s="505"/>
      <c r="AL243" s="505"/>
    </row>
    <row r="244" spans="1:38" s="15" customFormat="1" ht="19.5" customHeight="1" x14ac:dyDescent="0.35">
      <c r="A244" s="754" t="s">
        <v>1</v>
      </c>
      <c r="B244" s="754" t="s">
        <v>2</v>
      </c>
      <c r="C244" s="754" t="s">
        <v>174</v>
      </c>
      <c r="D244" s="754"/>
      <c r="E244" s="754"/>
      <c r="F244" s="755" t="s">
        <v>8</v>
      </c>
      <c r="G244" s="759" t="s">
        <v>295</v>
      </c>
      <c r="H244" s="759" t="s">
        <v>296</v>
      </c>
      <c r="I244" s="759" t="s">
        <v>297</v>
      </c>
      <c r="J244" s="739" t="s">
        <v>9</v>
      </c>
      <c r="K244" s="759" t="s">
        <v>298</v>
      </c>
      <c r="L244" s="760" t="s">
        <v>299</v>
      </c>
      <c r="M244" s="758" t="s">
        <v>289</v>
      </c>
      <c r="N244" s="758" t="s">
        <v>422</v>
      </c>
      <c r="O244" s="758" t="s">
        <v>423</v>
      </c>
      <c r="P244" s="739" t="s">
        <v>290</v>
      </c>
      <c r="Q244" s="752" t="s">
        <v>230</v>
      </c>
      <c r="R244" s="753"/>
      <c r="S244" s="753"/>
      <c r="T244" s="753"/>
      <c r="U244" s="753"/>
      <c r="V244" s="753"/>
      <c r="W244" s="755" t="s">
        <v>15</v>
      </c>
      <c r="X244" s="739" t="s">
        <v>16</v>
      </c>
      <c r="Y244" s="735" t="s">
        <v>231</v>
      </c>
      <c r="Z244" s="735"/>
      <c r="AA244" s="736" t="s">
        <v>240</v>
      </c>
      <c r="AB244" s="735" t="s">
        <v>4</v>
      </c>
      <c r="AC244" s="735"/>
      <c r="AD244" s="735"/>
      <c r="AE244" s="735"/>
      <c r="AF244" s="728" t="s">
        <v>237</v>
      </c>
      <c r="AG244" s="736" t="s">
        <v>23</v>
      </c>
      <c r="AH244" s="755" t="s">
        <v>3</v>
      </c>
      <c r="AI244" s="763" t="s">
        <v>238</v>
      </c>
      <c r="AJ244" s="764"/>
      <c r="AK244" s="764"/>
      <c r="AL244" s="765"/>
    </row>
    <row r="245" spans="1:38" s="15" customFormat="1" ht="19.5" customHeight="1" x14ac:dyDescent="0.35">
      <c r="A245" s="754"/>
      <c r="B245" s="754"/>
      <c r="C245" s="732" t="s">
        <v>5</v>
      </c>
      <c r="D245" s="732" t="s">
        <v>6</v>
      </c>
      <c r="E245" s="732" t="s">
        <v>133</v>
      </c>
      <c r="F245" s="756"/>
      <c r="G245" s="756"/>
      <c r="H245" s="756"/>
      <c r="I245" s="756"/>
      <c r="J245" s="740"/>
      <c r="K245" s="756"/>
      <c r="L245" s="761"/>
      <c r="M245" s="758"/>
      <c r="N245" s="758"/>
      <c r="O245" s="758"/>
      <c r="P245" s="740"/>
      <c r="Q245" s="732" t="s">
        <v>10</v>
      </c>
      <c r="R245" s="732" t="s">
        <v>11</v>
      </c>
      <c r="S245" s="732" t="s">
        <v>12</v>
      </c>
      <c r="T245" s="732" t="s">
        <v>13</v>
      </c>
      <c r="U245" s="732" t="s">
        <v>14</v>
      </c>
      <c r="V245" s="746" t="s">
        <v>227</v>
      </c>
      <c r="W245" s="756"/>
      <c r="X245" s="740"/>
      <c r="Y245" s="748" t="s">
        <v>228</v>
      </c>
      <c r="Z245" s="748" t="s">
        <v>229</v>
      </c>
      <c r="AA245" s="737"/>
      <c r="AB245" s="749" t="s">
        <v>232</v>
      </c>
      <c r="AC245" s="750"/>
      <c r="AD245" s="751"/>
      <c r="AE245" s="733" t="s">
        <v>236</v>
      </c>
      <c r="AF245" s="729"/>
      <c r="AG245" s="737"/>
      <c r="AH245" s="756"/>
      <c r="AI245" s="742" t="s">
        <v>166</v>
      </c>
      <c r="AJ245" s="742" t="s">
        <v>167</v>
      </c>
      <c r="AK245" s="742" t="s">
        <v>134</v>
      </c>
      <c r="AL245" s="742" t="s">
        <v>291</v>
      </c>
    </row>
    <row r="246" spans="1:38" s="15" customFormat="1" ht="66" customHeight="1" x14ac:dyDescent="0.35">
      <c r="A246" s="754"/>
      <c r="B246" s="754"/>
      <c r="C246" s="732"/>
      <c r="D246" s="732"/>
      <c r="E246" s="732"/>
      <c r="F246" s="757"/>
      <c r="G246" s="757"/>
      <c r="H246" s="757"/>
      <c r="I246" s="757"/>
      <c r="J246" s="741"/>
      <c r="K246" s="757"/>
      <c r="L246" s="762"/>
      <c r="M246" s="758"/>
      <c r="N246" s="758"/>
      <c r="O246" s="758"/>
      <c r="P246" s="741"/>
      <c r="Q246" s="732"/>
      <c r="R246" s="732"/>
      <c r="S246" s="732"/>
      <c r="T246" s="732"/>
      <c r="U246" s="732"/>
      <c r="V246" s="747"/>
      <c r="W246" s="757"/>
      <c r="X246" s="741"/>
      <c r="Y246" s="748"/>
      <c r="Z246" s="748"/>
      <c r="AA246" s="738"/>
      <c r="AB246" s="506" t="s">
        <v>233</v>
      </c>
      <c r="AC246" s="681" t="s">
        <v>234</v>
      </c>
      <c r="AD246" s="681" t="s">
        <v>235</v>
      </c>
      <c r="AE246" s="734"/>
      <c r="AF246" s="730"/>
      <c r="AG246" s="738"/>
      <c r="AH246" s="757"/>
      <c r="AI246" s="743"/>
      <c r="AJ246" s="743"/>
      <c r="AK246" s="743"/>
      <c r="AL246" s="743"/>
    </row>
    <row r="247" spans="1:38" ht="20.149999999999999" customHeight="1" x14ac:dyDescent="0.35">
      <c r="A247" s="507">
        <v>1</v>
      </c>
      <c r="B247" s="507" t="str">
        <f>PETUNJUK!B9</f>
        <v>Pecangaan Kulon</v>
      </c>
      <c r="C247" s="507">
        <f>C213</f>
        <v>101.2</v>
      </c>
      <c r="D247" s="507">
        <f t="shared" ref="D247:E247" si="184">D213</f>
        <v>96.600000000000009</v>
      </c>
      <c r="E247" s="507">
        <f t="shared" si="184"/>
        <v>20.240000000000002</v>
      </c>
      <c r="F247" s="515"/>
      <c r="G247" s="515"/>
      <c r="H247" s="515"/>
      <c r="I247" s="515"/>
      <c r="J247" s="515"/>
      <c r="K247" s="515"/>
      <c r="L247" s="515"/>
      <c r="M247" s="515"/>
      <c r="N247" s="673"/>
      <c r="O247" s="673"/>
      <c r="P247" s="515"/>
      <c r="Q247" s="515"/>
      <c r="R247" s="515"/>
      <c r="S247" s="515"/>
      <c r="T247" s="515"/>
      <c r="U247" s="515"/>
      <c r="V247" s="515"/>
      <c r="W247" s="515"/>
      <c r="X247" s="515"/>
      <c r="Y247" s="515"/>
      <c r="Z247" s="515"/>
      <c r="AA247" s="515"/>
      <c r="AB247" s="515"/>
      <c r="AC247" s="515"/>
      <c r="AD247" s="515"/>
      <c r="AE247" s="515"/>
      <c r="AF247" s="515"/>
      <c r="AG247" s="515"/>
      <c r="AH247" s="515"/>
      <c r="AI247" s="515"/>
      <c r="AJ247" s="515"/>
      <c r="AK247" s="515"/>
      <c r="AL247" s="515"/>
    </row>
    <row r="248" spans="1:38" ht="20.149999999999999" customHeight="1" x14ac:dyDescent="0.35">
      <c r="A248" s="507">
        <v>2</v>
      </c>
      <c r="B248" s="507" t="str">
        <f>PETUNJUK!B10</f>
        <v>Rengging</v>
      </c>
      <c r="C248" s="507">
        <f t="shared" ref="C248:E248" si="185">C214</f>
        <v>111.10000000000001</v>
      </c>
      <c r="D248" s="507">
        <f t="shared" si="185"/>
        <v>106.05000000000001</v>
      </c>
      <c r="E248" s="507">
        <f t="shared" si="185"/>
        <v>22.220000000000002</v>
      </c>
      <c r="F248" s="515"/>
      <c r="G248" s="515"/>
      <c r="H248" s="515"/>
      <c r="I248" s="515"/>
      <c r="J248" s="515"/>
      <c r="K248" s="515"/>
      <c r="L248" s="515"/>
      <c r="M248" s="515"/>
      <c r="N248" s="673"/>
      <c r="O248" s="673"/>
      <c r="P248" s="515"/>
      <c r="Q248" s="515"/>
      <c r="R248" s="515"/>
      <c r="S248" s="515"/>
      <c r="T248" s="515"/>
      <c r="U248" s="515"/>
      <c r="V248" s="515"/>
      <c r="W248" s="515"/>
      <c r="X248" s="515"/>
      <c r="Y248" s="515"/>
      <c r="Z248" s="515"/>
      <c r="AA248" s="515"/>
      <c r="AB248" s="515"/>
      <c r="AC248" s="515"/>
      <c r="AD248" s="515"/>
      <c r="AE248" s="515"/>
      <c r="AF248" s="515"/>
      <c r="AG248" s="515"/>
      <c r="AH248" s="515"/>
      <c r="AI248" s="515"/>
      <c r="AJ248" s="515"/>
      <c r="AK248" s="515"/>
      <c r="AL248" s="515"/>
    </row>
    <row r="249" spans="1:38" ht="20.149999999999999" customHeight="1" x14ac:dyDescent="0.35">
      <c r="A249" s="507">
        <v>3</v>
      </c>
      <c r="B249" s="507" t="str">
        <f>PETUNJUK!B11</f>
        <v>Troso</v>
      </c>
      <c r="C249" s="507">
        <f t="shared" ref="C249:E249" si="186">C215</f>
        <v>205.70000000000002</v>
      </c>
      <c r="D249" s="507">
        <f t="shared" si="186"/>
        <v>196.35</v>
      </c>
      <c r="E249" s="507">
        <f t="shared" si="186"/>
        <v>41.140000000000008</v>
      </c>
      <c r="F249" s="515"/>
      <c r="G249" s="515"/>
      <c r="H249" s="515"/>
      <c r="I249" s="515"/>
      <c r="J249" s="515"/>
      <c r="K249" s="515"/>
      <c r="L249" s="515"/>
      <c r="M249" s="515"/>
      <c r="N249" s="673"/>
      <c r="O249" s="673"/>
      <c r="P249" s="515"/>
      <c r="Q249" s="515"/>
      <c r="R249" s="515"/>
      <c r="S249" s="515"/>
      <c r="T249" s="515"/>
      <c r="U249" s="515"/>
      <c r="V249" s="515"/>
      <c r="W249" s="515"/>
      <c r="X249" s="515"/>
      <c r="Y249" s="515"/>
      <c r="Z249" s="515"/>
      <c r="AA249" s="515"/>
      <c r="AB249" s="515"/>
      <c r="AC249" s="515"/>
      <c r="AD249" s="515"/>
      <c r="AE249" s="515"/>
      <c r="AF249" s="515"/>
      <c r="AG249" s="515"/>
      <c r="AH249" s="515"/>
      <c r="AI249" s="515"/>
      <c r="AJ249" s="515"/>
      <c r="AK249" s="515"/>
      <c r="AL249" s="515"/>
    </row>
    <row r="250" spans="1:38" ht="20.149999999999999" customHeight="1" x14ac:dyDescent="0.35">
      <c r="A250" s="507">
        <v>4</v>
      </c>
      <c r="B250" s="507" t="str">
        <f>PETUNJUK!B12</f>
        <v>Ngeling</v>
      </c>
      <c r="C250" s="507">
        <f t="shared" ref="C250:E250" si="187">C216</f>
        <v>95.7</v>
      </c>
      <c r="D250" s="507">
        <f t="shared" si="187"/>
        <v>91.350000000000009</v>
      </c>
      <c r="E250" s="507">
        <f t="shared" si="187"/>
        <v>19.14</v>
      </c>
      <c r="F250" s="515"/>
      <c r="G250" s="515"/>
      <c r="H250" s="515"/>
      <c r="I250" s="515"/>
      <c r="J250" s="515"/>
      <c r="K250" s="515"/>
      <c r="L250" s="515"/>
      <c r="M250" s="515"/>
      <c r="N250" s="673"/>
      <c r="O250" s="673"/>
      <c r="P250" s="515"/>
      <c r="Q250" s="515"/>
      <c r="R250" s="515"/>
      <c r="S250" s="515"/>
      <c r="T250" s="515"/>
      <c r="U250" s="515"/>
      <c r="V250" s="515"/>
      <c r="W250" s="515"/>
      <c r="X250" s="515"/>
      <c r="Y250" s="515"/>
      <c r="Z250" s="515"/>
      <c r="AA250" s="515"/>
      <c r="AB250" s="515"/>
      <c r="AC250" s="515"/>
      <c r="AD250" s="515"/>
      <c r="AE250" s="515"/>
      <c r="AF250" s="515"/>
      <c r="AG250" s="515"/>
      <c r="AH250" s="515"/>
      <c r="AI250" s="515"/>
      <c r="AJ250" s="515"/>
      <c r="AK250" s="515"/>
      <c r="AL250" s="515"/>
    </row>
    <row r="251" spans="1:38" ht="20.149999999999999" customHeight="1" x14ac:dyDescent="0.35">
      <c r="A251" s="507">
        <v>5</v>
      </c>
      <c r="B251" s="507" t="str">
        <f>PETUNJUK!B13</f>
        <v>Lebuawu</v>
      </c>
      <c r="C251" s="507">
        <f t="shared" ref="C251:E251" si="188">C217</f>
        <v>85.800000000000011</v>
      </c>
      <c r="D251" s="507">
        <f t="shared" si="188"/>
        <v>81.900000000000006</v>
      </c>
      <c r="E251" s="507">
        <f t="shared" si="188"/>
        <v>17.160000000000004</v>
      </c>
      <c r="F251" s="515"/>
      <c r="G251" s="515"/>
      <c r="H251" s="515"/>
      <c r="I251" s="515"/>
      <c r="J251" s="515"/>
      <c r="K251" s="515"/>
      <c r="L251" s="515"/>
      <c r="M251" s="515"/>
      <c r="N251" s="673"/>
      <c r="O251" s="673"/>
      <c r="P251" s="515"/>
      <c r="Q251" s="515"/>
      <c r="R251" s="515"/>
      <c r="S251" s="515"/>
      <c r="T251" s="515"/>
      <c r="U251" s="515"/>
      <c r="V251" s="515"/>
      <c r="W251" s="515"/>
      <c r="X251" s="515"/>
      <c r="Y251" s="515"/>
      <c r="Z251" s="515"/>
      <c r="AA251" s="515"/>
      <c r="AB251" s="515"/>
      <c r="AC251" s="515"/>
      <c r="AD251" s="515"/>
      <c r="AE251" s="515"/>
      <c r="AF251" s="515"/>
      <c r="AG251" s="515"/>
      <c r="AH251" s="515"/>
      <c r="AI251" s="515"/>
      <c r="AJ251" s="515"/>
      <c r="AK251" s="515"/>
      <c r="AL251" s="515"/>
    </row>
    <row r="252" spans="1:38" ht="20.149999999999999" customHeight="1" x14ac:dyDescent="0.35">
      <c r="A252" s="507">
        <v>6</v>
      </c>
      <c r="B252" s="507" t="str">
        <f>PETUNJUK!B14</f>
        <v>Pulodarat</v>
      </c>
      <c r="C252" s="507">
        <f t="shared" ref="C252:E252" si="189">C218</f>
        <v>82.5</v>
      </c>
      <c r="D252" s="507">
        <f t="shared" si="189"/>
        <v>78.75</v>
      </c>
      <c r="E252" s="507">
        <f t="shared" si="189"/>
        <v>16.5</v>
      </c>
      <c r="F252" s="515"/>
      <c r="G252" s="515"/>
      <c r="H252" s="515"/>
      <c r="I252" s="515"/>
      <c r="J252" s="515"/>
      <c r="K252" s="515"/>
      <c r="L252" s="515"/>
      <c r="M252" s="515"/>
      <c r="N252" s="673"/>
      <c r="O252" s="673"/>
      <c r="P252" s="515"/>
      <c r="Q252" s="515"/>
      <c r="R252" s="515"/>
      <c r="S252" s="515"/>
      <c r="T252" s="515"/>
      <c r="U252" s="515"/>
      <c r="V252" s="515"/>
      <c r="W252" s="515"/>
      <c r="X252" s="515"/>
      <c r="Y252" s="515"/>
      <c r="Z252" s="515"/>
      <c r="AA252" s="515"/>
      <c r="AB252" s="515"/>
      <c r="AC252" s="515"/>
      <c r="AD252" s="515"/>
      <c r="AE252" s="515"/>
      <c r="AF252" s="515"/>
      <c r="AG252" s="515"/>
      <c r="AH252" s="515"/>
      <c r="AI252" s="515"/>
      <c r="AJ252" s="515"/>
      <c r="AK252" s="515"/>
      <c r="AL252" s="515"/>
    </row>
    <row r="253" spans="1:38" ht="20.149999999999999" customHeight="1" x14ac:dyDescent="0.35">
      <c r="A253" s="507">
        <v>7</v>
      </c>
      <c r="B253" s="507" t="str">
        <f>PETUNJUK!B15</f>
        <v>Karangrandu</v>
      </c>
      <c r="C253" s="507">
        <f t="shared" ref="C253:E253" si="190">C219</f>
        <v>93.500000000000014</v>
      </c>
      <c r="D253" s="507">
        <f t="shared" si="190"/>
        <v>89.25</v>
      </c>
      <c r="E253" s="507">
        <f t="shared" si="190"/>
        <v>18.700000000000003</v>
      </c>
      <c r="F253" s="515"/>
      <c r="G253" s="515"/>
      <c r="H253" s="515"/>
      <c r="I253" s="515"/>
      <c r="J253" s="515"/>
      <c r="K253" s="515"/>
      <c r="L253" s="515"/>
      <c r="M253" s="515"/>
      <c r="N253" s="673"/>
      <c r="O253" s="673"/>
      <c r="P253" s="515"/>
      <c r="Q253" s="515"/>
      <c r="R253" s="515"/>
      <c r="S253" s="515"/>
      <c r="T253" s="515"/>
      <c r="U253" s="515"/>
      <c r="V253" s="515"/>
      <c r="W253" s="515"/>
      <c r="X253" s="515"/>
      <c r="Y253" s="515"/>
      <c r="Z253" s="515"/>
      <c r="AA253" s="515"/>
      <c r="AB253" s="515"/>
      <c r="AC253" s="515"/>
      <c r="AD253" s="515"/>
      <c r="AE253" s="515"/>
      <c r="AF253" s="515"/>
      <c r="AG253" s="515"/>
      <c r="AH253" s="515"/>
      <c r="AI253" s="515"/>
      <c r="AJ253" s="515"/>
      <c r="AK253" s="515"/>
      <c r="AL253" s="515"/>
    </row>
    <row r="254" spans="1:38" ht="20.149999999999999" customHeight="1" x14ac:dyDescent="0.35">
      <c r="A254" s="507">
        <v>8</v>
      </c>
      <c r="B254" s="507" t="str">
        <f>PETUNJUK!B16</f>
        <v>Kaliombo</v>
      </c>
      <c r="C254" s="507">
        <f t="shared" ref="C254:E254" si="191">C220</f>
        <v>46.2</v>
      </c>
      <c r="D254" s="507">
        <f t="shared" si="191"/>
        <v>44.1</v>
      </c>
      <c r="E254" s="507">
        <f t="shared" si="191"/>
        <v>9.24</v>
      </c>
      <c r="F254" s="515"/>
      <c r="G254" s="515"/>
      <c r="H254" s="515"/>
      <c r="I254" s="515"/>
      <c r="J254" s="515"/>
      <c r="K254" s="515"/>
      <c r="L254" s="515"/>
      <c r="M254" s="515"/>
      <c r="N254" s="673"/>
      <c r="O254" s="673"/>
      <c r="P254" s="515"/>
      <c r="Q254" s="515"/>
      <c r="R254" s="515"/>
      <c r="S254" s="515"/>
      <c r="T254" s="515"/>
      <c r="U254" s="515"/>
      <c r="V254" s="515"/>
      <c r="W254" s="515"/>
      <c r="X254" s="515"/>
      <c r="Y254" s="515"/>
      <c r="Z254" s="515"/>
      <c r="AA254" s="515"/>
      <c r="AB254" s="515"/>
      <c r="AC254" s="515"/>
      <c r="AD254" s="515"/>
      <c r="AE254" s="515"/>
      <c r="AF254" s="515"/>
      <c r="AG254" s="515"/>
      <c r="AH254" s="515"/>
      <c r="AI254" s="515"/>
      <c r="AJ254" s="515"/>
      <c r="AK254" s="515"/>
      <c r="AL254" s="515"/>
    </row>
    <row r="255" spans="1:38" ht="20.149999999999999" customHeight="1" x14ac:dyDescent="0.35">
      <c r="A255" s="507">
        <v>9</v>
      </c>
      <c r="B255" s="507" t="str">
        <f>PETUNJUK!B17</f>
        <v>Gemulung</v>
      </c>
      <c r="C255" s="507">
        <f t="shared" ref="C255:E255" si="192">C221</f>
        <v>53.900000000000006</v>
      </c>
      <c r="D255" s="507">
        <f t="shared" si="192"/>
        <v>51.45</v>
      </c>
      <c r="E255" s="507">
        <f t="shared" si="192"/>
        <v>10.780000000000001</v>
      </c>
      <c r="F255" s="515"/>
      <c r="G255" s="515"/>
      <c r="H255" s="515"/>
      <c r="I255" s="515"/>
      <c r="J255" s="515"/>
      <c r="K255" s="515"/>
      <c r="L255" s="515"/>
      <c r="M255" s="515"/>
      <c r="N255" s="673"/>
      <c r="O255" s="673"/>
      <c r="P255" s="515"/>
      <c r="Q255" s="515"/>
      <c r="R255" s="515"/>
      <c r="S255" s="515"/>
      <c r="T255" s="515"/>
      <c r="U255" s="515"/>
      <c r="V255" s="515"/>
      <c r="W255" s="515"/>
      <c r="X255" s="515"/>
      <c r="Y255" s="515"/>
      <c r="Z255" s="515"/>
      <c r="AA255" s="515"/>
      <c r="AB255" s="515"/>
      <c r="AC255" s="515"/>
      <c r="AD255" s="515"/>
      <c r="AE255" s="515"/>
      <c r="AF255" s="515"/>
      <c r="AG255" s="515"/>
      <c r="AH255" s="515"/>
      <c r="AI255" s="515"/>
      <c r="AJ255" s="515"/>
      <c r="AK255" s="515"/>
      <c r="AL255" s="515"/>
    </row>
    <row r="256" spans="1:38" ht="20.149999999999999" customHeight="1" x14ac:dyDescent="0.35">
      <c r="A256" s="507">
        <v>6</v>
      </c>
      <c r="B256" s="507" t="str">
        <f>PETUNJUK!B18</f>
        <v>Pecangaan Wetan</v>
      </c>
      <c r="C256" s="507">
        <f t="shared" ref="C256:E256" si="193">C222</f>
        <v>50.6</v>
      </c>
      <c r="D256" s="507">
        <f t="shared" si="193"/>
        <v>48.300000000000004</v>
      </c>
      <c r="E256" s="507">
        <f t="shared" si="193"/>
        <v>10.120000000000001</v>
      </c>
      <c r="F256" s="515"/>
      <c r="G256" s="515"/>
      <c r="H256" s="515"/>
      <c r="I256" s="515"/>
      <c r="J256" s="515"/>
      <c r="K256" s="515"/>
      <c r="L256" s="515"/>
      <c r="M256" s="515"/>
      <c r="N256" s="673"/>
      <c r="O256" s="673"/>
      <c r="P256" s="515"/>
      <c r="Q256" s="515"/>
      <c r="R256" s="515"/>
      <c r="S256" s="515"/>
      <c r="T256" s="515"/>
      <c r="U256" s="515"/>
      <c r="V256" s="515"/>
      <c r="W256" s="515"/>
      <c r="X256" s="515"/>
      <c r="Y256" s="515"/>
      <c r="Z256" s="515"/>
      <c r="AA256" s="515"/>
      <c r="AB256" s="515"/>
      <c r="AC256" s="515"/>
      <c r="AD256" s="515"/>
      <c r="AE256" s="515"/>
      <c r="AF256" s="515"/>
      <c r="AG256" s="515"/>
      <c r="AH256" s="515"/>
      <c r="AI256" s="515"/>
      <c r="AJ256" s="515"/>
      <c r="AK256" s="515"/>
      <c r="AL256" s="515"/>
    </row>
    <row r="257" spans="1:42" ht="20.149999999999999" customHeight="1" x14ac:dyDescent="0.35">
      <c r="A257" s="507">
        <v>11</v>
      </c>
      <c r="B257" s="507" t="str">
        <f>PETUNJUK!B19</f>
        <v>Krasak</v>
      </c>
      <c r="C257" s="507">
        <f t="shared" ref="C257:E257" si="194">C223</f>
        <v>117.7</v>
      </c>
      <c r="D257" s="507">
        <f t="shared" si="194"/>
        <v>112.35000000000001</v>
      </c>
      <c r="E257" s="507">
        <f t="shared" si="194"/>
        <v>23.540000000000003</v>
      </c>
      <c r="F257" s="515"/>
      <c r="G257" s="515"/>
      <c r="H257" s="515"/>
      <c r="I257" s="515"/>
      <c r="J257" s="515"/>
      <c r="K257" s="515"/>
      <c r="L257" s="515"/>
      <c r="M257" s="515"/>
      <c r="N257" s="673"/>
      <c r="O257" s="673"/>
      <c r="P257" s="515"/>
      <c r="Q257" s="515"/>
      <c r="R257" s="515"/>
      <c r="S257" s="515"/>
      <c r="T257" s="515"/>
      <c r="U257" s="515"/>
      <c r="V257" s="515"/>
      <c r="W257" s="515"/>
      <c r="X257" s="515"/>
      <c r="Y257" s="515"/>
      <c r="Z257" s="515"/>
      <c r="AA257" s="515"/>
      <c r="AB257" s="515"/>
      <c r="AC257" s="515"/>
      <c r="AD257" s="515"/>
      <c r="AE257" s="515"/>
      <c r="AF257" s="515"/>
      <c r="AG257" s="515"/>
      <c r="AH257" s="515"/>
      <c r="AI257" s="515"/>
      <c r="AJ257" s="515"/>
      <c r="AK257" s="515"/>
      <c r="AL257" s="515"/>
    </row>
    <row r="258" spans="1:42" ht="20.149999999999999" customHeight="1" x14ac:dyDescent="0.35">
      <c r="A258" s="507">
        <v>12</v>
      </c>
      <c r="B258" s="507" t="str">
        <f>PETUNJUK!B20</f>
        <v>Gerdu</v>
      </c>
      <c r="C258" s="507">
        <f t="shared" ref="C258:E258" si="195">C224</f>
        <v>23.1</v>
      </c>
      <c r="D258" s="507">
        <f t="shared" si="195"/>
        <v>22.05</v>
      </c>
      <c r="E258" s="507">
        <f t="shared" si="195"/>
        <v>4.62</v>
      </c>
      <c r="F258" s="515"/>
      <c r="G258" s="515"/>
      <c r="H258" s="515"/>
      <c r="I258" s="515"/>
      <c r="J258" s="515"/>
      <c r="K258" s="515"/>
      <c r="L258" s="515"/>
      <c r="M258" s="515"/>
      <c r="N258" s="673"/>
      <c r="O258" s="673"/>
      <c r="P258" s="515"/>
      <c r="Q258" s="515"/>
      <c r="R258" s="515"/>
      <c r="S258" s="515"/>
      <c r="T258" s="515"/>
      <c r="U258" s="515"/>
      <c r="V258" s="515"/>
      <c r="W258" s="515"/>
      <c r="X258" s="515"/>
      <c r="Y258" s="515"/>
      <c r="Z258" s="515"/>
      <c r="AA258" s="515"/>
      <c r="AB258" s="515"/>
      <c r="AC258" s="515"/>
      <c r="AD258" s="515"/>
      <c r="AE258" s="515"/>
      <c r="AF258" s="515"/>
      <c r="AG258" s="515"/>
      <c r="AH258" s="515"/>
      <c r="AI258" s="515"/>
      <c r="AJ258" s="515"/>
      <c r="AK258" s="515"/>
      <c r="AL258" s="515"/>
    </row>
    <row r="259" spans="1:42" ht="20.149999999999999" customHeight="1" x14ac:dyDescent="0.35">
      <c r="A259" s="507">
        <v>13</v>
      </c>
      <c r="B259" s="507">
        <f>PETUNJUK!B21</f>
        <v>0</v>
      </c>
      <c r="C259" s="507">
        <f t="shared" ref="C259:E259" si="196">C225</f>
        <v>0</v>
      </c>
      <c r="D259" s="507">
        <f t="shared" si="196"/>
        <v>0</v>
      </c>
      <c r="E259" s="507">
        <f t="shared" si="196"/>
        <v>0</v>
      </c>
      <c r="F259" s="515"/>
      <c r="G259" s="515"/>
      <c r="H259" s="515"/>
      <c r="I259" s="515"/>
      <c r="J259" s="515"/>
      <c r="K259" s="515"/>
      <c r="L259" s="515"/>
      <c r="M259" s="515"/>
      <c r="N259" s="673"/>
      <c r="O259" s="673"/>
      <c r="P259" s="515"/>
      <c r="Q259" s="515"/>
      <c r="R259" s="515"/>
      <c r="S259" s="515"/>
      <c r="T259" s="515"/>
      <c r="U259" s="515"/>
      <c r="V259" s="515"/>
      <c r="W259" s="515"/>
      <c r="X259" s="515"/>
      <c r="Y259" s="515"/>
      <c r="Z259" s="515"/>
      <c r="AA259" s="515"/>
      <c r="AB259" s="515"/>
      <c r="AC259" s="515"/>
      <c r="AD259" s="515"/>
      <c r="AE259" s="515"/>
      <c r="AF259" s="515"/>
      <c r="AG259" s="515"/>
      <c r="AH259" s="515"/>
      <c r="AI259" s="515"/>
      <c r="AJ259" s="515"/>
      <c r="AK259" s="515"/>
      <c r="AL259" s="515"/>
    </row>
    <row r="260" spans="1:42" ht="20.149999999999999" customHeight="1" x14ac:dyDescent="0.35">
      <c r="A260" s="507">
        <v>14</v>
      </c>
      <c r="B260" s="507">
        <f>PETUNJUK!B22</f>
        <v>0</v>
      </c>
      <c r="C260" s="507">
        <f t="shared" ref="C260:E260" si="197">C226</f>
        <v>0</v>
      </c>
      <c r="D260" s="507">
        <f t="shared" si="197"/>
        <v>0</v>
      </c>
      <c r="E260" s="507">
        <f t="shared" si="197"/>
        <v>0</v>
      </c>
      <c r="F260" s="515"/>
      <c r="G260" s="515"/>
      <c r="H260" s="515"/>
      <c r="I260" s="515"/>
      <c r="J260" s="515"/>
      <c r="K260" s="515"/>
      <c r="L260" s="515"/>
      <c r="M260" s="515"/>
      <c r="N260" s="673"/>
      <c r="O260" s="673"/>
      <c r="P260" s="515"/>
      <c r="Q260" s="515"/>
      <c r="R260" s="515"/>
      <c r="S260" s="515"/>
      <c r="T260" s="515"/>
      <c r="U260" s="515"/>
      <c r="V260" s="515"/>
      <c r="W260" s="515"/>
      <c r="X260" s="515"/>
      <c r="Y260" s="515"/>
      <c r="Z260" s="515"/>
      <c r="AA260" s="515"/>
      <c r="AB260" s="515"/>
      <c r="AC260" s="515"/>
      <c r="AD260" s="515"/>
      <c r="AE260" s="515"/>
      <c r="AF260" s="515"/>
      <c r="AG260" s="515"/>
      <c r="AH260" s="515"/>
      <c r="AI260" s="515"/>
      <c r="AJ260" s="515"/>
      <c r="AK260" s="515"/>
      <c r="AL260" s="515"/>
    </row>
    <row r="261" spans="1:42" ht="20.149999999999999" customHeight="1" x14ac:dyDescent="0.35">
      <c r="A261" s="507">
        <v>15</v>
      </c>
      <c r="B261" s="507">
        <f>PETUNJUK!B23</f>
        <v>0</v>
      </c>
      <c r="C261" s="507">
        <f t="shared" ref="C261:E261" si="198">C227</f>
        <v>0</v>
      </c>
      <c r="D261" s="507">
        <f t="shared" si="198"/>
        <v>0</v>
      </c>
      <c r="E261" s="507">
        <f t="shared" si="198"/>
        <v>0</v>
      </c>
      <c r="F261" s="515"/>
      <c r="G261" s="515"/>
      <c r="H261" s="515"/>
      <c r="I261" s="515"/>
      <c r="J261" s="515"/>
      <c r="K261" s="515"/>
      <c r="L261" s="515"/>
      <c r="M261" s="515"/>
      <c r="N261" s="673"/>
      <c r="O261" s="673"/>
      <c r="P261" s="515"/>
      <c r="Q261" s="515"/>
      <c r="R261" s="515"/>
      <c r="S261" s="515"/>
      <c r="T261" s="515"/>
      <c r="U261" s="515"/>
      <c r="V261" s="515"/>
      <c r="W261" s="515"/>
      <c r="X261" s="515"/>
      <c r="Y261" s="515"/>
      <c r="Z261" s="515"/>
      <c r="AA261" s="515"/>
      <c r="AB261" s="515"/>
      <c r="AC261" s="515"/>
      <c r="AD261" s="515"/>
      <c r="AE261" s="515"/>
      <c r="AF261" s="515"/>
      <c r="AG261" s="515"/>
      <c r="AH261" s="515"/>
      <c r="AI261" s="515"/>
      <c r="AJ261" s="515"/>
      <c r="AK261" s="515"/>
      <c r="AL261" s="515"/>
      <c r="AM261" s="13">
        <v>32</v>
      </c>
      <c r="AN261" s="13">
        <v>165</v>
      </c>
      <c r="AO261" s="13">
        <v>0</v>
      </c>
      <c r="AP261" s="13">
        <v>0</v>
      </c>
    </row>
    <row r="262" spans="1:42" ht="20.149999999999999" customHeight="1" x14ac:dyDescent="0.35">
      <c r="A262" s="507">
        <v>16</v>
      </c>
      <c r="B262" s="507">
        <f>PETUNJUK!B24</f>
        <v>0</v>
      </c>
      <c r="C262" s="507">
        <f t="shared" ref="C262:E262" si="199">C228</f>
        <v>0</v>
      </c>
      <c r="D262" s="507">
        <f t="shared" si="199"/>
        <v>0</v>
      </c>
      <c r="E262" s="507">
        <f t="shared" si="199"/>
        <v>0</v>
      </c>
      <c r="F262" s="515"/>
      <c r="G262" s="515"/>
      <c r="H262" s="515"/>
      <c r="I262" s="515"/>
      <c r="J262" s="515"/>
      <c r="K262" s="515"/>
      <c r="L262" s="515"/>
      <c r="M262" s="515"/>
      <c r="N262" s="673"/>
      <c r="O262" s="673"/>
      <c r="P262" s="515"/>
      <c r="Q262" s="515"/>
      <c r="R262" s="515"/>
      <c r="S262" s="515"/>
      <c r="T262" s="515"/>
      <c r="U262" s="515"/>
      <c r="V262" s="515"/>
      <c r="W262" s="515"/>
      <c r="X262" s="515"/>
      <c r="Y262" s="515"/>
      <c r="Z262" s="515"/>
      <c r="AA262" s="515"/>
      <c r="AB262" s="515"/>
      <c r="AC262" s="515"/>
      <c r="AD262" s="515"/>
      <c r="AE262" s="515"/>
      <c r="AF262" s="515"/>
      <c r="AG262" s="515"/>
      <c r="AH262" s="515"/>
      <c r="AI262" s="515"/>
      <c r="AJ262" s="515"/>
      <c r="AK262" s="515"/>
      <c r="AL262" s="515"/>
    </row>
    <row r="263" spans="1:42" ht="20.149999999999999" customHeight="1" x14ac:dyDescent="0.35">
      <c r="A263" s="507">
        <v>17</v>
      </c>
      <c r="B263" s="507">
        <f>PETUNJUK!B25</f>
        <v>0</v>
      </c>
      <c r="C263" s="507">
        <f t="shared" ref="C263:E263" si="200">C229</f>
        <v>0</v>
      </c>
      <c r="D263" s="507">
        <f t="shared" si="200"/>
        <v>0</v>
      </c>
      <c r="E263" s="507">
        <f t="shared" si="200"/>
        <v>0</v>
      </c>
      <c r="F263" s="515"/>
      <c r="G263" s="515"/>
      <c r="H263" s="515"/>
      <c r="I263" s="515"/>
      <c r="J263" s="515"/>
      <c r="K263" s="515"/>
      <c r="L263" s="515"/>
      <c r="M263" s="515"/>
      <c r="N263" s="673"/>
      <c r="O263" s="673"/>
      <c r="P263" s="515"/>
      <c r="Q263" s="515"/>
      <c r="R263" s="515"/>
      <c r="S263" s="515"/>
      <c r="T263" s="515"/>
      <c r="U263" s="515"/>
      <c r="V263" s="515"/>
      <c r="W263" s="515"/>
      <c r="X263" s="515"/>
      <c r="Y263" s="515"/>
      <c r="Z263" s="515"/>
      <c r="AA263" s="515"/>
      <c r="AB263" s="515"/>
      <c r="AC263" s="515"/>
      <c r="AD263" s="515"/>
      <c r="AE263" s="515"/>
      <c r="AF263" s="515"/>
      <c r="AG263" s="515"/>
      <c r="AH263" s="515"/>
      <c r="AI263" s="515"/>
      <c r="AJ263" s="515"/>
      <c r="AK263" s="515"/>
      <c r="AL263" s="515"/>
    </row>
    <row r="264" spans="1:42" ht="20.149999999999999" customHeight="1" x14ac:dyDescent="0.35">
      <c r="A264" s="507">
        <v>18</v>
      </c>
      <c r="B264" s="507">
        <f>PETUNJUK!B26</f>
        <v>0</v>
      </c>
      <c r="C264" s="507">
        <f t="shared" ref="C264:E264" si="201">C230</f>
        <v>0</v>
      </c>
      <c r="D264" s="507">
        <f t="shared" si="201"/>
        <v>0</v>
      </c>
      <c r="E264" s="507">
        <f t="shared" si="201"/>
        <v>0</v>
      </c>
      <c r="F264" s="515"/>
      <c r="G264" s="515"/>
      <c r="H264" s="515"/>
      <c r="I264" s="515"/>
      <c r="J264" s="515"/>
      <c r="K264" s="515"/>
      <c r="L264" s="515"/>
      <c r="M264" s="515"/>
      <c r="N264" s="673"/>
      <c r="O264" s="673"/>
      <c r="P264" s="515"/>
      <c r="Q264" s="515"/>
      <c r="R264" s="515"/>
      <c r="S264" s="515"/>
      <c r="T264" s="515"/>
      <c r="U264" s="515"/>
      <c r="V264" s="515"/>
      <c r="W264" s="515"/>
      <c r="X264" s="515"/>
      <c r="Y264" s="515"/>
      <c r="Z264" s="515"/>
      <c r="AA264" s="515"/>
      <c r="AB264" s="515"/>
      <c r="AC264" s="515"/>
      <c r="AD264" s="515"/>
      <c r="AE264" s="515"/>
      <c r="AF264" s="515"/>
      <c r="AG264" s="515"/>
      <c r="AH264" s="515"/>
      <c r="AI264" s="515"/>
      <c r="AJ264" s="515"/>
      <c r="AK264" s="515"/>
      <c r="AL264" s="515"/>
    </row>
    <row r="265" spans="1:42" ht="20.149999999999999" customHeight="1" x14ac:dyDescent="0.35">
      <c r="A265" s="507">
        <v>19</v>
      </c>
      <c r="B265" s="507">
        <f>PETUNJUK!B27</f>
        <v>0</v>
      </c>
      <c r="C265" s="507">
        <f t="shared" ref="C265:E265" si="202">C231</f>
        <v>0</v>
      </c>
      <c r="D265" s="507">
        <f t="shared" si="202"/>
        <v>0</v>
      </c>
      <c r="E265" s="507">
        <f t="shared" si="202"/>
        <v>0</v>
      </c>
      <c r="F265" s="515"/>
      <c r="G265" s="515"/>
      <c r="H265" s="515"/>
      <c r="I265" s="515"/>
      <c r="J265" s="515"/>
      <c r="K265" s="515"/>
      <c r="L265" s="515"/>
      <c r="M265" s="515"/>
      <c r="N265" s="673"/>
      <c r="O265" s="673"/>
      <c r="P265" s="515"/>
      <c r="Q265" s="515"/>
      <c r="R265" s="515"/>
      <c r="S265" s="515"/>
      <c r="T265" s="515"/>
      <c r="U265" s="515"/>
      <c r="V265" s="515"/>
      <c r="W265" s="515"/>
      <c r="X265" s="515"/>
      <c r="Y265" s="515"/>
      <c r="Z265" s="515"/>
      <c r="AA265" s="515"/>
      <c r="AB265" s="515"/>
      <c r="AC265" s="515"/>
      <c r="AD265" s="515"/>
      <c r="AE265" s="515"/>
      <c r="AF265" s="515"/>
      <c r="AG265" s="515"/>
      <c r="AH265" s="515"/>
      <c r="AI265" s="515"/>
      <c r="AJ265" s="515"/>
      <c r="AK265" s="515"/>
      <c r="AL265" s="515"/>
    </row>
    <row r="266" spans="1:42" ht="20.149999999999999" customHeight="1" x14ac:dyDescent="0.35">
      <c r="A266" s="507">
        <v>20</v>
      </c>
      <c r="B266" s="507">
        <f>PETUNJUK!B28</f>
        <v>0</v>
      </c>
      <c r="C266" s="507">
        <f t="shared" ref="C266:E266" si="203">C232</f>
        <v>0</v>
      </c>
      <c r="D266" s="507">
        <f t="shared" si="203"/>
        <v>0</v>
      </c>
      <c r="E266" s="507">
        <f t="shared" si="203"/>
        <v>0</v>
      </c>
      <c r="F266" s="515"/>
      <c r="G266" s="515"/>
      <c r="H266" s="515"/>
      <c r="I266" s="515"/>
      <c r="J266" s="515"/>
      <c r="K266" s="515"/>
      <c r="L266" s="515"/>
      <c r="M266" s="515"/>
      <c r="N266" s="673"/>
      <c r="O266" s="673"/>
      <c r="P266" s="515"/>
      <c r="Q266" s="515"/>
      <c r="R266" s="515"/>
      <c r="S266" s="515"/>
      <c r="T266" s="515"/>
      <c r="U266" s="515"/>
      <c r="V266" s="515"/>
      <c r="W266" s="515"/>
      <c r="X266" s="515"/>
      <c r="Y266" s="515"/>
      <c r="Z266" s="515"/>
      <c r="AA266" s="515"/>
      <c r="AB266" s="515"/>
      <c r="AC266" s="515"/>
      <c r="AD266" s="515"/>
      <c r="AE266" s="515"/>
      <c r="AF266" s="515"/>
      <c r="AG266" s="515"/>
      <c r="AH266" s="515"/>
      <c r="AI266" s="515"/>
      <c r="AJ266" s="515"/>
      <c r="AK266" s="515"/>
      <c r="AL266" s="515"/>
    </row>
    <row r="267" spans="1:42" ht="20.149999999999999" customHeight="1" x14ac:dyDescent="0.35">
      <c r="A267" s="507">
        <v>21</v>
      </c>
      <c r="B267" s="507">
        <f>PETUNJUK!B29</f>
        <v>0</v>
      </c>
      <c r="C267" s="507">
        <f t="shared" ref="C267:E267" si="204">C233</f>
        <v>0</v>
      </c>
      <c r="D267" s="507">
        <f t="shared" si="204"/>
        <v>0</v>
      </c>
      <c r="E267" s="507">
        <f t="shared" si="204"/>
        <v>0</v>
      </c>
      <c r="F267" s="515"/>
      <c r="G267" s="515"/>
      <c r="H267" s="515"/>
      <c r="I267" s="515"/>
      <c r="J267" s="515"/>
      <c r="K267" s="515"/>
      <c r="L267" s="515"/>
      <c r="M267" s="515"/>
      <c r="N267" s="673"/>
      <c r="O267" s="673"/>
      <c r="P267" s="515"/>
      <c r="Q267" s="515"/>
      <c r="R267" s="515"/>
      <c r="S267" s="515"/>
      <c r="T267" s="515"/>
      <c r="U267" s="515"/>
      <c r="V267" s="515"/>
      <c r="W267" s="515"/>
      <c r="X267" s="515"/>
      <c r="Y267" s="515"/>
      <c r="Z267" s="515"/>
      <c r="AA267" s="515"/>
      <c r="AB267" s="515"/>
      <c r="AC267" s="515"/>
      <c r="AD267" s="515"/>
      <c r="AE267" s="515"/>
      <c r="AF267" s="515"/>
      <c r="AG267" s="515"/>
      <c r="AH267" s="515"/>
      <c r="AI267" s="515"/>
      <c r="AJ267" s="515"/>
      <c r="AK267" s="515"/>
      <c r="AL267" s="515"/>
    </row>
    <row r="268" spans="1:42" ht="20.149999999999999" customHeight="1" thickBot="1" x14ac:dyDescent="0.4">
      <c r="A268" s="512">
        <v>22</v>
      </c>
      <c r="B268" s="512">
        <f>PETUNJUK!B30</f>
        <v>0</v>
      </c>
      <c r="C268" s="507">
        <f t="shared" ref="C268:E268" si="205">C234</f>
        <v>0</v>
      </c>
      <c r="D268" s="507">
        <f t="shared" si="205"/>
        <v>0</v>
      </c>
      <c r="E268" s="507">
        <f t="shared" si="205"/>
        <v>0</v>
      </c>
      <c r="F268" s="509"/>
      <c r="G268" s="509"/>
      <c r="H268" s="509"/>
      <c r="I268" s="509"/>
      <c r="J268" s="509"/>
      <c r="K268" s="509"/>
      <c r="L268" s="509"/>
      <c r="M268" s="509"/>
      <c r="N268" s="675"/>
      <c r="O268" s="675"/>
      <c r="P268" s="509"/>
      <c r="Q268" s="509"/>
      <c r="R268" s="509"/>
      <c r="S268" s="509"/>
      <c r="T268" s="509"/>
      <c r="U268" s="509"/>
      <c r="V268" s="509"/>
      <c r="W268" s="509"/>
      <c r="X268" s="509"/>
      <c r="Y268" s="509"/>
      <c r="Z268" s="509"/>
      <c r="AA268" s="509"/>
      <c r="AB268" s="509"/>
      <c r="AC268" s="509"/>
      <c r="AD268" s="509"/>
      <c r="AE268" s="509"/>
      <c r="AF268" s="509"/>
      <c r="AG268" s="509"/>
      <c r="AH268" s="509"/>
      <c r="AI268" s="509"/>
      <c r="AJ268" s="509"/>
      <c r="AK268" s="509"/>
      <c r="AL268" s="509"/>
    </row>
    <row r="269" spans="1:42" ht="20.149999999999999" customHeight="1" thickBot="1" x14ac:dyDescent="0.4">
      <c r="A269" s="744" t="s">
        <v>18</v>
      </c>
      <c r="B269" s="745"/>
      <c r="C269" s="513">
        <f>SUM(C247:C268)</f>
        <v>1067</v>
      </c>
      <c r="D269" s="513">
        <f t="shared" ref="D269:AL269" si="206">SUM(D247:D268)</f>
        <v>1018.5</v>
      </c>
      <c r="E269" s="513">
        <f t="shared" si="206"/>
        <v>213.40000000000003</v>
      </c>
      <c r="F269" s="513">
        <f t="shared" si="206"/>
        <v>0</v>
      </c>
      <c r="G269" s="513">
        <f t="shared" si="206"/>
        <v>0</v>
      </c>
      <c r="H269" s="513">
        <f t="shared" si="206"/>
        <v>0</v>
      </c>
      <c r="I269" s="513">
        <f t="shared" si="206"/>
        <v>0</v>
      </c>
      <c r="J269" s="513">
        <f t="shared" si="206"/>
        <v>0</v>
      </c>
      <c r="K269" s="513">
        <f t="shared" si="206"/>
        <v>0</v>
      </c>
      <c r="L269" s="513">
        <f t="shared" si="206"/>
        <v>0</v>
      </c>
      <c r="M269" s="513">
        <f t="shared" si="206"/>
        <v>0</v>
      </c>
      <c r="N269" s="513"/>
      <c r="O269" s="513"/>
      <c r="P269" s="513">
        <f t="shared" si="206"/>
        <v>0</v>
      </c>
      <c r="Q269" s="513">
        <f t="shared" si="206"/>
        <v>0</v>
      </c>
      <c r="R269" s="513">
        <f t="shared" si="206"/>
        <v>0</v>
      </c>
      <c r="S269" s="513">
        <f t="shared" si="206"/>
        <v>0</v>
      </c>
      <c r="T269" s="513">
        <f>SUM(T247:T268)</f>
        <v>0</v>
      </c>
      <c r="U269" s="513">
        <f t="shared" si="206"/>
        <v>0</v>
      </c>
      <c r="V269" s="513">
        <f t="shared" si="206"/>
        <v>0</v>
      </c>
      <c r="W269" s="513">
        <f t="shared" si="206"/>
        <v>0</v>
      </c>
      <c r="X269" s="513">
        <f t="shared" si="206"/>
        <v>0</v>
      </c>
      <c r="Y269" s="513">
        <f t="shared" si="206"/>
        <v>0</v>
      </c>
      <c r="Z269" s="513">
        <f t="shared" si="206"/>
        <v>0</v>
      </c>
      <c r="AA269" s="513">
        <f t="shared" si="206"/>
        <v>0</v>
      </c>
      <c r="AB269" s="513">
        <f t="shared" si="206"/>
        <v>0</v>
      </c>
      <c r="AC269" s="513">
        <f t="shared" si="206"/>
        <v>0</v>
      </c>
      <c r="AD269" s="513">
        <f t="shared" si="206"/>
        <v>0</v>
      </c>
      <c r="AE269" s="513">
        <f t="shared" si="206"/>
        <v>0</v>
      </c>
      <c r="AF269" s="513">
        <f t="shared" si="206"/>
        <v>0</v>
      </c>
      <c r="AG269" s="513">
        <f t="shared" si="206"/>
        <v>0</v>
      </c>
      <c r="AH269" s="513">
        <f t="shared" si="206"/>
        <v>0</v>
      </c>
      <c r="AI269" s="513">
        <f t="shared" si="206"/>
        <v>0</v>
      </c>
      <c r="AJ269" s="513">
        <f t="shared" si="206"/>
        <v>0</v>
      </c>
      <c r="AK269" s="513">
        <f t="shared" si="206"/>
        <v>0</v>
      </c>
      <c r="AL269" s="518">
        <f t="shared" si="206"/>
        <v>0</v>
      </c>
    </row>
    <row r="270" spans="1:42" ht="15.5" x14ac:dyDescent="0.35">
      <c r="A270" s="514"/>
      <c r="B270" s="514"/>
      <c r="C270" s="514"/>
      <c r="D270" s="514"/>
      <c r="E270" s="514"/>
      <c r="F270" s="514"/>
      <c r="G270" s="514"/>
      <c r="H270" s="514"/>
      <c r="I270" s="514"/>
      <c r="J270" s="514"/>
      <c r="K270" s="514"/>
      <c r="L270" s="514"/>
      <c r="M270" s="514"/>
      <c r="N270" s="514"/>
      <c r="O270" s="514"/>
      <c r="P270" s="514"/>
      <c r="Q270" s="514"/>
      <c r="R270" s="514"/>
      <c r="S270" s="514"/>
      <c r="T270" s="514"/>
      <c r="U270" s="514"/>
      <c r="V270" s="514"/>
      <c r="W270" s="514"/>
      <c r="X270" s="514"/>
      <c r="Y270" s="514"/>
      <c r="Z270" s="514"/>
      <c r="AA270" s="514"/>
      <c r="AB270" s="514"/>
      <c r="AC270" s="514"/>
      <c r="AD270" s="514"/>
      <c r="AE270" s="514"/>
      <c r="AF270" s="514"/>
      <c r="AG270" s="514"/>
      <c r="AH270" s="514"/>
      <c r="AI270" s="514"/>
      <c r="AJ270" s="514"/>
      <c r="AK270" s="514"/>
      <c r="AL270" s="514"/>
    </row>
    <row r="271" spans="1:42" ht="15.5" x14ac:dyDescent="0.35">
      <c r="A271" s="514"/>
      <c r="B271" s="514"/>
      <c r="C271" s="514"/>
      <c r="D271" s="514"/>
      <c r="E271" s="514"/>
      <c r="F271" s="514"/>
      <c r="G271" s="514"/>
      <c r="H271" s="514"/>
      <c r="I271" s="514"/>
      <c r="J271" s="514"/>
      <c r="K271" s="514"/>
      <c r="L271" s="514"/>
      <c r="M271" s="514"/>
      <c r="N271" s="514"/>
      <c r="O271" s="514"/>
      <c r="P271" s="514"/>
      <c r="Q271" s="514"/>
      <c r="R271" s="514"/>
      <c r="S271" s="514"/>
      <c r="T271" s="514"/>
      <c r="U271" s="514"/>
      <c r="V271" s="514"/>
      <c r="W271" s="514"/>
      <c r="X271" s="514"/>
      <c r="Y271" s="514"/>
      <c r="Z271" s="514"/>
      <c r="AA271" s="514"/>
      <c r="AB271" s="514"/>
      <c r="AC271" s="514"/>
      <c r="AD271" s="514"/>
      <c r="AE271" s="514"/>
      <c r="AF271" s="514"/>
      <c r="AG271" s="514"/>
      <c r="AH271" s="514"/>
      <c r="AI271" s="514"/>
      <c r="AJ271" s="514"/>
      <c r="AK271" s="514"/>
      <c r="AL271" s="514"/>
    </row>
    <row r="272" spans="1:42" ht="15.5" x14ac:dyDescent="0.35">
      <c r="A272" s="514"/>
      <c r="B272" s="514"/>
      <c r="C272" s="514"/>
      <c r="D272" s="514"/>
      <c r="E272" s="514"/>
      <c r="F272" s="514"/>
      <c r="G272" s="514"/>
      <c r="H272" s="514"/>
      <c r="I272" s="514"/>
      <c r="J272" s="514"/>
      <c r="K272" s="514"/>
      <c r="L272" s="514"/>
      <c r="M272" s="514"/>
      <c r="N272" s="514"/>
      <c r="O272" s="514"/>
      <c r="P272" s="514"/>
      <c r="Q272" s="514"/>
      <c r="R272" s="514"/>
      <c r="S272" s="514"/>
      <c r="T272" s="514"/>
      <c r="U272" s="514"/>
      <c r="V272" s="514"/>
      <c r="W272" s="514"/>
      <c r="X272" s="514"/>
      <c r="Y272" s="514"/>
      <c r="Z272" s="514"/>
      <c r="AA272" s="514"/>
      <c r="AB272" s="514"/>
      <c r="AC272" s="514"/>
      <c r="AD272" s="514"/>
      <c r="AE272" s="514"/>
      <c r="AF272" s="514"/>
      <c r="AG272" s="514"/>
      <c r="AH272" s="514"/>
      <c r="AI272" s="514"/>
      <c r="AJ272" s="514"/>
      <c r="AK272" s="514"/>
      <c r="AL272" s="514"/>
    </row>
    <row r="273" spans="1:38" ht="15.5" x14ac:dyDescent="0.35">
      <c r="A273" s="731" t="s">
        <v>239</v>
      </c>
      <c r="B273" s="731"/>
      <c r="C273" s="731"/>
      <c r="D273" s="731"/>
      <c r="E273" s="731"/>
      <c r="F273" s="731"/>
      <c r="G273" s="731"/>
      <c r="H273" s="731"/>
      <c r="I273" s="731"/>
      <c r="J273" s="731"/>
      <c r="K273" s="731"/>
      <c r="L273" s="731"/>
      <c r="M273" s="731"/>
      <c r="N273" s="731"/>
      <c r="O273" s="731"/>
      <c r="P273" s="731"/>
      <c r="Q273" s="731"/>
      <c r="R273" s="731"/>
      <c r="S273" s="731"/>
      <c r="T273" s="731"/>
      <c r="U273" s="731"/>
      <c r="V273" s="731"/>
      <c r="W273" s="731"/>
      <c r="X273" s="731"/>
      <c r="Y273" s="731"/>
      <c r="Z273" s="731"/>
      <c r="AA273" s="731"/>
      <c r="AB273" s="731"/>
      <c r="AC273" s="731"/>
      <c r="AD273" s="731"/>
      <c r="AE273" s="731"/>
      <c r="AF273" s="731"/>
      <c r="AG273" s="731"/>
      <c r="AH273" s="731"/>
      <c r="AI273" s="505"/>
      <c r="AJ273" s="505"/>
      <c r="AK273" s="505"/>
      <c r="AL273" s="505"/>
    </row>
    <row r="274" spans="1:38" ht="15.5" x14ac:dyDescent="0.35">
      <c r="A274" s="505"/>
      <c r="B274" s="505"/>
      <c r="C274" s="505"/>
      <c r="D274" s="505"/>
      <c r="E274" s="505"/>
      <c r="F274" s="505"/>
      <c r="G274" s="505"/>
      <c r="H274" s="505"/>
      <c r="I274" s="505"/>
      <c r="J274" s="505"/>
      <c r="K274" s="505"/>
      <c r="L274" s="505"/>
      <c r="M274" s="505"/>
      <c r="N274" s="505"/>
      <c r="O274" s="505"/>
      <c r="P274" s="505"/>
      <c r="Q274" s="505"/>
      <c r="R274" s="505"/>
      <c r="S274" s="505"/>
      <c r="T274" s="505"/>
      <c r="U274" s="505"/>
      <c r="V274" s="505"/>
      <c r="W274" s="505"/>
      <c r="X274" s="505"/>
      <c r="Y274" s="505"/>
      <c r="Z274" s="505"/>
      <c r="AA274" s="505"/>
      <c r="AB274" s="505"/>
      <c r="AC274" s="505"/>
      <c r="AD274" s="505"/>
      <c r="AE274" s="505"/>
      <c r="AF274" s="505"/>
      <c r="AG274" s="505"/>
      <c r="AH274" s="505"/>
      <c r="AI274" s="505"/>
      <c r="AJ274" s="505"/>
      <c r="AK274" s="505"/>
      <c r="AL274" s="505"/>
    </row>
    <row r="275" spans="1:38" ht="15.5" x14ac:dyDescent="0.35">
      <c r="A275" s="504" t="s">
        <v>168</v>
      </c>
      <c r="B275" s="504"/>
      <c r="C275" s="679" t="str">
        <f>PETUNJUK!C5</f>
        <v>PECANGAAN</v>
      </c>
      <c r="D275" s="504"/>
      <c r="E275" s="504"/>
      <c r="F275" s="504"/>
      <c r="G275" s="504"/>
      <c r="H275" s="504"/>
      <c r="I275" s="504"/>
      <c r="J275" s="504"/>
      <c r="K275" s="504"/>
      <c r="L275" s="504"/>
      <c r="M275" s="504"/>
      <c r="N275" s="504"/>
      <c r="O275" s="504"/>
      <c r="P275" s="504"/>
      <c r="Q275" s="504"/>
      <c r="R275" s="504"/>
      <c r="S275" s="504"/>
      <c r="T275" s="504"/>
      <c r="U275" s="504"/>
      <c r="V275" s="504"/>
      <c r="W275" s="504"/>
      <c r="X275" s="504"/>
      <c r="Y275" s="504"/>
      <c r="Z275" s="504"/>
      <c r="AA275" s="504"/>
      <c r="AB275" s="504"/>
      <c r="AC275" s="504"/>
      <c r="AD275" s="504"/>
      <c r="AE275" s="504"/>
      <c r="AF275" s="504"/>
      <c r="AG275" s="504"/>
      <c r="AH275" s="504"/>
      <c r="AI275" s="505"/>
      <c r="AJ275" s="505"/>
      <c r="AK275" s="505"/>
      <c r="AL275" s="505"/>
    </row>
    <row r="276" spans="1:38" ht="15.5" x14ac:dyDescent="0.35">
      <c r="A276" s="504" t="s">
        <v>169</v>
      </c>
      <c r="B276" s="504"/>
      <c r="C276" s="680" t="s">
        <v>387</v>
      </c>
      <c r="D276" s="504"/>
      <c r="E276" s="504"/>
      <c r="F276" s="504"/>
      <c r="G276" s="504"/>
      <c r="H276" s="504"/>
      <c r="I276" s="504"/>
      <c r="J276" s="504"/>
      <c r="K276" s="504"/>
      <c r="L276" s="504"/>
      <c r="M276" s="504"/>
      <c r="N276" s="504"/>
      <c r="O276" s="504"/>
      <c r="P276" s="504"/>
      <c r="Q276" s="504"/>
      <c r="R276" s="504"/>
      <c r="S276" s="504"/>
      <c r="T276" s="504"/>
      <c r="U276" s="504"/>
      <c r="V276" s="504"/>
      <c r="W276" s="504"/>
      <c r="X276" s="504"/>
      <c r="Y276" s="504"/>
      <c r="Z276" s="504"/>
      <c r="AA276" s="504"/>
      <c r="AB276" s="504"/>
      <c r="AC276" s="504"/>
      <c r="AD276" s="504"/>
      <c r="AE276" s="504"/>
      <c r="AF276" s="504"/>
      <c r="AG276" s="504"/>
      <c r="AH276" s="504"/>
      <c r="AI276" s="505"/>
      <c r="AJ276" s="505"/>
      <c r="AK276" s="505"/>
      <c r="AL276" s="505"/>
    </row>
    <row r="277" spans="1:38" ht="15.5" x14ac:dyDescent="0.35">
      <c r="A277" s="505"/>
      <c r="B277" s="505"/>
      <c r="C277" s="505"/>
      <c r="D277" s="505"/>
      <c r="E277" s="505"/>
      <c r="F277" s="505"/>
      <c r="G277" s="505"/>
      <c r="H277" s="505"/>
      <c r="I277" s="505"/>
      <c r="J277" s="505"/>
      <c r="K277" s="505"/>
      <c r="L277" s="505"/>
      <c r="M277" s="505"/>
      <c r="N277" s="505"/>
      <c r="O277" s="505"/>
      <c r="P277" s="505"/>
      <c r="Q277" s="505"/>
      <c r="R277" s="505"/>
      <c r="S277" s="505"/>
      <c r="T277" s="505"/>
      <c r="U277" s="505"/>
      <c r="V277" s="505"/>
      <c r="W277" s="505"/>
      <c r="X277" s="505"/>
      <c r="Y277" s="505"/>
      <c r="Z277" s="505"/>
      <c r="AA277" s="505"/>
      <c r="AB277" s="505"/>
      <c r="AC277" s="505"/>
      <c r="AD277" s="505"/>
      <c r="AE277" s="505"/>
      <c r="AF277" s="505"/>
      <c r="AG277" s="505"/>
      <c r="AH277" s="505"/>
      <c r="AI277" s="505"/>
      <c r="AJ277" s="505"/>
      <c r="AK277" s="505"/>
      <c r="AL277" s="505"/>
    </row>
    <row r="278" spans="1:38" s="15" customFormat="1" ht="21" customHeight="1" x14ac:dyDescent="0.35">
      <c r="A278" s="754" t="s">
        <v>1</v>
      </c>
      <c r="B278" s="754" t="s">
        <v>2</v>
      </c>
      <c r="C278" s="754" t="s">
        <v>174</v>
      </c>
      <c r="D278" s="754"/>
      <c r="E278" s="754"/>
      <c r="F278" s="755" t="s">
        <v>8</v>
      </c>
      <c r="G278" s="759" t="s">
        <v>295</v>
      </c>
      <c r="H278" s="759" t="s">
        <v>296</v>
      </c>
      <c r="I278" s="759" t="s">
        <v>297</v>
      </c>
      <c r="J278" s="739" t="s">
        <v>9</v>
      </c>
      <c r="K278" s="759" t="s">
        <v>298</v>
      </c>
      <c r="L278" s="760" t="s">
        <v>299</v>
      </c>
      <c r="M278" s="758" t="s">
        <v>289</v>
      </c>
      <c r="N278" s="758" t="s">
        <v>422</v>
      </c>
      <c r="O278" s="758" t="s">
        <v>423</v>
      </c>
      <c r="P278" s="739" t="s">
        <v>290</v>
      </c>
      <c r="Q278" s="752" t="s">
        <v>230</v>
      </c>
      <c r="R278" s="753"/>
      <c r="S278" s="753"/>
      <c r="T278" s="753"/>
      <c r="U278" s="753"/>
      <c r="V278" s="753"/>
      <c r="W278" s="755" t="s">
        <v>15</v>
      </c>
      <c r="X278" s="739" t="s">
        <v>16</v>
      </c>
      <c r="Y278" s="735" t="s">
        <v>231</v>
      </c>
      <c r="Z278" s="735"/>
      <c r="AA278" s="736" t="s">
        <v>240</v>
      </c>
      <c r="AB278" s="735" t="s">
        <v>4</v>
      </c>
      <c r="AC278" s="735"/>
      <c r="AD278" s="735"/>
      <c r="AE278" s="735"/>
      <c r="AF278" s="728" t="s">
        <v>237</v>
      </c>
      <c r="AG278" s="736" t="s">
        <v>23</v>
      </c>
      <c r="AH278" s="755" t="s">
        <v>3</v>
      </c>
      <c r="AI278" s="763" t="s">
        <v>238</v>
      </c>
      <c r="AJ278" s="764"/>
      <c r="AK278" s="764"/>
      <c r="AL278" s="765"/>
    </row>
    <row r="279" spans="1:38" s="15" customFormat="1" ht="19.5" customHeight="1" x14ac:dyDescent="0.35">
      <c r="A279" s="754"/>
      <c r="B279" s="754"/>
      <c r="C279" s="732" t="s">
        <v>5</v>
      </c>
      <c r="D279" s="732" t="s">
        <v>6</v>
      </c>
      <c r="E279" s="732" t="s">
        <v>133</v>
      </c>
      <c r="F279" s="756"/>
      <c r="G279" s="756"/>
      <c r="H279" s="756"/>
      <c r="I279" s="756"/>
      <c r="J279" s="740"/>
      <c r="K279" s="756"/>
      <c r="L279" s="761"/>
      <c r="M279" s="758"/>
      <c r="N279" s="758"/>
      <c r="O279" s="758"/>
      <c r="P279" s="740"/>
      <c r="Q279" s="732" t="s">
        <v>10</v>
      </c>
      <c r="R279" s="732" t="s">
        <v>11</v>
      </c>
      <c r="S279" s="732" t="s">
        <v>12</v>
      </c>
      <c r="T279" s="732" t="s">
        <v>13</v>
      </c>
      <c r="U279" s="732" t="s">
        <v>14</v>
      </c>
      <c r="V279" s="746" t="s">
        <v>227</v>
      </c>
      <c r="W279" s="756"/>
      <c r="X279" s="740"/>
      <c r="Y279" s="748" t="s">
        <v>228</v>
      </c>
      <c r="Z279" s="748" t="s">
        <v>229</v>
      </c>
      <c r="AA279" s="737"/>
      <c r="AB279" s="749" t="s">
        <v>232</v>
      </c>
      <c r="AC279" s="750"/>
      <c r="AD279" s="751"/>
      <c r="AE279" s="733" t="s">
        <v>236</v>
      </c>
      <c r="AF279" s="729"/>
      <c r="AG279" s="737"/>
      <c r="AH279" s="756"/>
      <c r="AI279" s="742" t="s">
        <v>166</v>
      </c>
      <c r="AJ279" s="742" t="s">
        <v>167</v>
      </c>
      <c r="AK279" s="742" t="s">
        <v>134</v>
      </c>
      <c r="AL279" s="742" t="s">
        <v>291</v>
      </c>
    </row>
    <row r="280" spans="1:38" s="15" customFormat="1" ht="66.75" customHeight="1" x14ac:dyDescent="0.35">
      <c r="A280" s="754"/>
      <c r="B280" s="754"/>
      <c r="C280" s="732"/>
      <c r="D280" s="732"/>
      <c r="E280" s="732"/>
      <c r="F280" s="757"/>
      <c r="G280" s="757"/>
      <c r="H280" s="757"/>
      <c r="I280" s="757"/>
      <c r="J280" s="741"/>
      <c r="K280" s="757"/>
      <c r="L280" s="762"/>
      <c r="M280" s="758"/>
      <c r="N280" s="758"/>
      <c r="O280" s="758"/>
      <c r="P280" s="741"/>
      <c r="Q280" s="732"/>
      <c r="R280" s="732"/>
      <c r="S280" s="732"/>
      <c r="T280" s="732"/>
      <c r="U280" s="732"/>
      <c r="V280" s="747"/>
      <c r="W280" s="757"/>
      <c r="X280" s="741"/>
      <c r="Y280" s="748"/>
      <c r="Z280" s="748"/>
      <c r="AA280" s="738"/>
      <c r="AB280" s="506" t="s">
        <v>233</v>
      </c>
      <c r="AC280" s="681" t="s">
        <v>234</v>
      </c>
      <c r="AD280" s="681" t="s">
        <v>235</v>
      </c>
      <c r="AE280" s="734"/>
      <c r="AF280" s="730"/>
      <c r="AG280" s="738"/>
      <c r="AH280" s="757"/>
      <c r="AI280" s="743"/>
      <c r="AJ280" s="743"/>
      <c r="AK280" s="743"/>
      <c r="AL280" s="743"/>
    </row>
    <row r="281" spans="1:38" ht="20.149999999999999" customHeight="1" x14ac:dyDescent="0.35">
      <c r="A281" s="507">
        <v>1</v>
      </c>
      <c r="B281" s="507" t="str">
        <f>PETUNJUK!B9</f>
        <v>Pecangaan Kulon</v>
      </c>
      <c r="C281" s="507">
        <f>C247</f>
        <v>101.2</v>
      </c>
      <c r="D281" s="507">
        <f t="shared" ref="D281:E281" si="207">D247</f>
        <v>96.600000000000009</v>
      </c>
      <c r="E281" s="507">
        <f t="shared" si="207"/>
        <v>20.240000000000002</v>
      </c>
      <c r="F281" s="515"/>
      <c r="G281" s="515"/>
      <c r="H281" s="515"/>
      <c r="I281" s="515"/>
      <c r="J281" s="515"/>
      <c r="K281" s="515"/>
      <c r="L281" s="515"/>
      <c r="M281" s="515"/>
      <c r="N281" s="673"/>
      <c r="O281" s="673"/>
      <c r="P281" s="515"/>
      <c r="Q281" s="515"/>
      <c r="R281" s="515"/>
      <c r="S281" s="515"/>
      <c r="T281" s="515"/>
      <c r="U281" s="515"/>
      <c r="V281" s="515"/>
      <c r="W281" s="515"/>
      <c r="X281" s="515"/>
      <c r="Y281" s="515"/>
      <c r="Z281" s="515"/>
      <c r="AA281" s="515"/>
      <c r="AB281" s="515"/>
      <c r="AC281" s="515"/>
      <c r="AD281" s="515"/>
      <c r="AE281" s="515"/>
      <c r="AF281" s="515"/>
      <c r="AG281" s="515"/>
      <c r="AH281" s="515"/>
      <c r="AI281" s="515"/>
      <c r="AJ281" s="515"/>
      <c r="AK281" s="515"/>
      <c r="AL281" s="515"/>
    </row>
    <row r="282" spans="1:38" ht="20.149999999999999" customHeight="1" x14ac:dyDescent="0.35">
      <c r="A282" s="507">
        <v>2</v>
      </c>
      <c r="B282" s="507" t="str">
        <f>PETUNJUK!B10</f>
        <v>Rengging</v>
      </c>
      <c r="C282" s="507">
        <f t="shared" ref="C282:E282" si="208">C248</f>
        <v>111.10000000000001</v>
      </c>
      <c r="D282" s="507">
        <f t="shared" si="208"/>
        <v>106.05000000000001</v>
      </c>
      <c r="E282" s="507">
        <f t="shared" si="208"/>
        <v>22.220000000000002</v>
      </c>
      <c r="F282" s="515"/>
      <c r="G282" s="515"/>
      <c r="H282" s="515"/>
      <c r="I282" s="515"/>
      <c r="J282" s="515"/>
      <c r="K282" s="515"/>
      <c r="L282" s="515"/>
      <c r="M282" s="515"/>
      <c r="N282" s="673"/>
      <c r="O282" s="673"/>
      <c r="P282" s="515"/>
      <c r="Q282" s="515"/>
      <c r="R282" s="515"/>
      <c r="S282" s="515"/>
      <c r="T282" s="515"/>
      <c r="U282" s="515"/>
      <c r="V282" s="515"/>
      <c r="W282" s="515"/>
      <c r="X282" s="515"/>
      <c r="Y282" s="515"/>
      <c r="Z282" s="515"/>
      <c r="AA282" s="515"/>
      <c r="AB282" s="515"/>
      <c r="AC282" s="515"/>
      <c r="AD282" s="515"/>
      <c r="AE282" s="515"/>
      <c r="AF282" s="515"/>
      <c r="AG282" s="515"/>
      <c r="AH282" s="515"/>
      <c r="AI282" s="515"/>
      <c r="AJ282" s="515"/>
      <c r="AK282" s="515"/>
      <c r="AL282" s="515"/>
    </row>
    <row r="283" spans="1:38" ht="20.149999999999999" customHeight="1" x14ac:dyDescent="0.35">
      <c r="A283" s="507">
        <v>3</v>
      </c>
      <c r="B283" s="507" t="str">
        <f>PETUNJUK!B11</f>
        <v>Troso</v>
      </c>
      <c r="C283" s="507">
        <f t="shared" ref="C283:E283" si="209">C249</f>
        <v>205.70000000000002</v>
      </c>
      <c r="D283" s="507">
        <f t="shared" si="209"/>
        <v>196.35</v>
      </c>
      <c r="E283" s="507">
        <f t="shared" si="209"/>
        <v>41.140000000000008</v>
      </c>
      <c r="F283" s="515"/>
      <c r="G283" s="515"/>
      <c r="H283" s="515"/>
      <c r="I283" s="515"/>
      <c r="J283" s="515"/>
      <c r="K283" s="515"/>
      <c r="L283" s="515"/>
      <c r="M283" s="515"/>
      <c r="N283" s="673"/>
      <c r="O283" s="673"/>
      <c r="P283" s="515"/>
      <c r="Q283" s="515"/>
      <c r="R283" s="515"/>
      <c r="S283" s="515"/>
      <c r="T283" s="515"/>
      <c r="U283" s="515"/>
      <c r="V283" s="515"/>
      <c r="W283" s="515"/>
      <c r="X283" s="515"/>
      <c r="Y283" s="515"/>
      <c r="Z283" s="515"/>
      <c r="AA283" s="515"/>
      <c r="AB283" s="515"/>
      <c r="AC283" s="515"/>
      <c r="AD283" s="515"/>
      <c r="AE283" s="515"/>
      <c r="AF283" s="515"/>
      <c r="AG283" s="515"/>
      <c r="AH283" s="515"/>
      <c r="AI283" s="515"/>
      <c r="AJ283" s="515"/>
      <c r="AK283" s="515"/>
      <c r="AL283" s="515"/>
    </row>
    <row r="284" spans="1:38" ht="20.149999999999999" customHeight="1" x14ac:dyDescent="0.35">
      <c r="A284" s="507">
        <v>4</v>
      </c>
      <c r="B284" s="507" t="str">
        <f>PETUNJUK!B12</f>
        <v>Ngeling</v>
      </c>
      <c r="C284" s="507">
        <f t="shared" ref="C284:E284" si="210">C250</f>
        <v>95.7</v>
      </c>
      <c r="D284" s="507">
        <f t="shared" si="210"/>
        <v>91.350000000000009</v>
      </c>
      <c r="E284" s="507">
        <f t="shared" si="210"/>
        <v>19.14</v>
      </c>
      <c r="F284" s="515"/>
      <c r="G284" s="515"/>
      <c r="H284" s="515"/>
      <c r="I284" s="515"/>
      <c r="J284" s="515"/>
      <c r="K284" s="515"/>
      <c r="L284" s="515"/>
      <c r="M284" s="515"/>
      <c r="N284" s="673"/>
      <c r="O284" s="673"/>
      <c r="P284" s="515"/>
      <c r="Q284" s="515"/>
      <c r="R284" s="515"/>
      <c r="S284" s="515"/>
      <c r="T284" s="515"/>
      <c r="U284" s="515"/>
      <c r="V284" s="515"/>
      <c r="W284" s="515"/>
      <c r="X284" s="515"/>
      <c r="Y284" s="515"/>
      <c r="Z284" s="515"/>
      <c r="AA284" s="515"/>
      <c r="AB284" s="515"/>
      <c r="AC284" s="515"/>
      <c r="AD284" s="515"/>
      <c r="AE284" s="515"/>
      <c r="AF284" s="515"/>
      <c r="AG284" s="515"/>
      <c r="AH284" s="515"/>
      <c r="AI284" s="515"/>
      <c r="AJ284" s="515"/>
      <c r="AK284" s="515"/>
      <c r="AL284" s="515"/>
    </row>
    <row r="285" spans="1:38" ht="20.149999999999999" customHeight="1" x14ac:dyDescent="0.35">
      <c r="A285" s="507">
        <v>5</v>
      </c>
      <c r="B285" s="507" t="str">
        <f>PETUNJUK!B13</f>
        <v>Lebuawu</v>
      </c>
      <c r="C285" s="507">
        <f t="shared" ref="C285:E285" si="211">C251</f>
        <v>85.800000000000011</v>
      </c>
      <c r="D285" s="507">
        <f t="shared" si="211"/>
        <v>81.900000000000006</v>
      </c>
      <c r="E285" s="507">
        <f t="shared" si="211"/>
        <v>17.160000000000004</v>
      </c>
      <c r="F285" s="515"/>
      <c r="G285" s="515"/>
      <c r="H285" s="515"/>
      <c r="I285" s="515"/>
      <c r="J285" s="515"/>
      <c r="K285" s="515"/>
      <c r="L285" s="515"/>
      <c r="M285" s="515"/>
      <c r="N285" s="673"/>
      <c r="O285" s="673"/>
      <c r="P285" s="515"/>
      <c r="Q285" s="515"/>
      <c r="R285" s="515"/>
      <c r="S285" s="515"/>
      <c r="T285" s="515"/>
      <c r="U285" s="515"/>
      <c r="V285" s="515"/>
      <c r="W285" s="515"/>
      <c r="X285" s="515"/>
      <c r="Y285" s="515"/>
      <c r="Z285" s="515"/>
      <c r="AA285" s="515"/>
      <c r="AB285" s="515"/>
      <c r="AC285" s="515"/>
      <c r="AD285" s="515"/>
      <c r="AE285" s="515"/>
      <c r="AF285" s="515"/>
      <c r="AG285" s="515"/>
      <c r="AH285" s="515"/>
      <c r="AI285" s="515"/>
      <c r="AJ285" s="515"/>
      <c r="AK285" s="515"/>
      <c r="AL285" s="515"/>
    </row>
    <row r="286" spans="1:38" ht="20.149999999999999" customHeight="1" x14ac:dyDescent="0.35">
      <c r="A286" s="507">
        <v>6</v>
      </c>
      <c r="B286" s="507" t="str">
        <f>PETUNJUK!B14</f>
        <v>Pulodarat</v>
      </c>
      <c r="C286" s="507">
        <f t="shared" ref="C286:E286" si="212">C252</f>
        <v>82.5</v>
      </c>
      <c r="D286" s="507">
        <f t="shared" si="212"/>
        <v>78.75</v>
      </c>
      <c r="E286" s="507">
        <f t="shared" si="212"/>
        <v>16.5</v>
      </c>
      <c r="F286" s="515"/>
      <c r="G286" s="515"/>
      <c r="H286" s="515"/>
      <c r="I286" s="515"/>
      <c r="J286" s="515"/>
      <c r="K286" s="515"/>
      <c r="L286" s="515"/>
      <c r="M286" s="515"/>
      <c r="N286" s="673"/>
      <c r="O286" s="673"/>
      <c r="P286" s="515"/>
      <c r="Q286" s="515"/>
      <c r="R286" s="515"/>
      <c r="S286" s="515"/>
      <c r="T286" s="515"/>
      <c r="U286" s="515"/>
      <c r="V286" s="515"/>
      <c r="W286" s="515"/>
      <c r="X286" s="515"/>
      <c r="Y286" s="515"/>
      <c r="Z286" s="515"/>
      <c r="AA286" s="515"/>
      <c r="AB286" s="515"/>
      <c r="AC286" s="515"/>
      <c r="AD286" s="515"/>
      <c r="AE286" s="515"/>
      <c r="AF286" s="515"/>
      <c r="AG286" s="515"/>
      <c r="AH286" s="515"/>
      <c r="AI286" s="515"/>
      <c r="AJ286" s="515"/>
      <c r="AK286" s="515"/>
      <c r="AL286" s="515"/>
    </row>
    <row r="287" spans="1:38" ht="20.149999999999999" customHeight="1" x14ac:dyDescent="0.35">
      <c r="A287" s="507">
        <v>7</v>
      </c>
      <c r="B287" s="507" t="str">
        <f>PETUNJUK!B15</f>
        <v>Karangrandu</v>
      </c>
      <c r="C287" s="507">
        <f t="shared" ref="C287:E287" si="213">C253</f>
        <v>93.500000000000014</v>
      </c>
      <c r="D287" s="507">
        <f t="shared" si="213"/>
        <v>89.25</v>
      </c>
      <c r="E287" s="507">
        <f t="shared" si="213"/>
        <v>18.700000000000003</v>
      </c>
      <c r="F287" s="515"/>
      <c r="G287" s="515"/>
      <c r="H287" s="515"/>
      <c r="I287" s="515"/>
      <c r="J287" s="515"/>
      <c r="K287" s="515"/>
      <c r="L287" s="515"/>
      <c r="M287" s="515"/>
      <c r="N287" s="673"/>
      <c r="O287" s="673"/>
      <c r="P287" s="515"/>
      <c r="Q287" s="515"/>
      <c r="R287" s="515"/>
      <c r="S287" s="515"/>
      <c r="T287" s="515"/>
      <c r="U287" s="515"/>
      <c r="V287" s="515"/>
      <c r="W287" s="515"/>
      <c r="X287" s="515"/>
      <c r="Y287" s="515"/>
      <c r="Z287" s="515"/>
      <c r="AA287" s="515"/>
      <c r="AB287" s="515"/>
      <c r="AC287" s="515"/>
      <c r="AD287" s="515"/>
      <c r="AE287" s="515"/>
      <c r="AF287" s="515"/>
      <c r="AG287" s="515"/>
      <c r="AH287" s="515"/>
      <c r="AI287" s="515"/>
      <c r="AJ287" s="515"/>
      <c r="AK287" s="515"/>
      <c r="AL287" s="515"/>
    </row>
    <row r="288" spans="1:38" ht="20.149999999999999" customHeight="1" x14ac:dyDescent="0.35">
      <c r="A288" s="507">
        <v>8</v>
      </c>
      <c r="B288" s="507" t="str">
        <f>PETUNJUK!B16</f>
        <v>Kaliombo</v>
      </c>
      <c r="C288" s="507">
        <f t="shared" ref="C288:E288" si="214">C254</f>
        <v>46.2</v>
      </c>
      <c r="D288" s="507">
        <f t="shared" si="214"/>
        <v>44.1</v>
      </c>
      <c r="E288" s="507">
        <f t="shared" si="214"/>
        <v>9.24</v>
      </c>
      <c r="F288" s="515"/>
      <c r="G288" s="515"/>
      <c r="H288" s="515"/>
      <c r="I288" s="515"/>
      <c r="J288" s="515"/>
      <c r="K288" s="515"/>
      <c r="L288" s="515"/>
      <c r="M288" s="515"/>
      <c r="N288" s="673"/>
      <c r="O288" s="673"/>
      <c r="P288" s="515"/>
      <c r="Q288" s="515"/>
      <c r="R288" s="515"/>
      <c r="S288" s="515"/>
      <c r="T288" s="515"/>
      <c r="U288" s="515"/>
      <c r="V288" s="515"/>
      <c r="W288" s="515"/>
      <c r="X288" s="515"/>
      <c r="Y288" s="515"/>
      <c r="Z288" s="515"/>
      <c r="AA288" s="515"/>
      <c r="AB288" s="515"/>
      <c r="AC288" s="515"/>
      <c r="AD288" s="515"/>
      <c r="AE288" s="515"/>
      <c r="AF288" s="515"/>
      <c r="AG288" s="515"/>
      <c r="AH288" s="515"/>
      <c r="AI288" s="515"/>
      <c r="AJ288" s="515"/>
      <c r="AK288" s="515"/>
      <c r="AL288" s="515"/>
    </row>
    <row r="289" spans="1:42" ht="20.149999999999999" customHeight="1" x14ac:dyDescent="0.35">
      <c r="A289" s="507">
        <v>9</v>
      </c>
      <c r="B289" s="507" t="str">
        <f>PETUNJUK!B17</f>
        <v>Gemulung</v>
      </c>
      <c r="C289" s="507">
        <f t="shared" ref="C289:E289" si="215">C255</f>
        <v>53.900000000000006</v>
      </c>
      <c r="D289" s="507">
        <f t="shared" si="215"/>
        <v>51.45</v>
      </c>
      <c r="E289" s="507">
        <f t="shared" si="215"/>
        <v>10.780000000000001</v>
      </c>
      <c r="F289" s="515"/>
      <c r="G289" s="515"/>
      <c r="H289" s="515"/>
      <c r="I289" s="515"/>
      <c r="J289" s="515"/>
      <c r="K289" s="515"/>
      <c r="L289" s="515"/>
      <c r="M289" s="515"/>
      <c r="N289" s="673"/>
      <c r="O289" s="673"/>
      <c r="P289" s="515"/>
      <c r="Q289" s="515"/>
      <c r="R289" s="515"/>
      <c r="S289" s="515"/>
      <c r="T289" s="515"/>
      <c r="U289" s="515"/>
      <c r="V289" s="515"/>
      <c r="W289" s="515"/>
      <c r="X289" s="515"/>
      <c r="Y289" s="515"/>
      <c r="Z289" s="515"/>
      <c r="AA289" s="515"/>
      <c r="AB289" s="515"/>
      <c r="AC289" s="515"/>
      <c r="AD289" s="515"/>
      <c r="AE289" s="515"/>
      <c r="AF289" s="515"/>
      <c r="AG289" s="515"/>
      <c r="AH289" s="515"/>
      <c r="AI289" s="515"/>
      <c r="AJ289" s="515"/>
      <c r="AK289" s="515"/>
      <c r="AL289" s="515"/>
    </row>
    <row r="290" spans="1:42" ht="20.149999999999999" customHeight="1" x14ac:dyDescent="0.35">
      <c r="A290" s="507">
        <v>6</v>
      </c>
      <c r="B290" s="507" t="str">
        <f>PETUNJUK!B18</f>
        <v>Pecangaan Wetan</v>
      </c>
      <c r="C290" s="507">
        <f t="shared" ref="C290:E290" si="216">C256</f>
        <v>50.6</v>
      </c>
      <c r="D290" s="507">
        <f t="shared" si="216"/>
        <v>48.300000000000004</v>
      </c>
      <c r="E290" s="507">
        <f t="shared" si="216"/>
        <v>10.120000000000001</v>
      </c>
      <c r="F290" s="515"/>
      <c r="G290" s="515"/>
      <c r="H290" s="515"/>
      <c r="I290" s="515"/>
      <c r="J290" s="515"/>
      <c r="K290" s="515"/>
      <c r="L290" s="515"/>
      <c r="M290" s="515"/>
      <c r="N290" s="673"/>
      <c r="O290" s="673"/>
      <c r="P290" s="515"/>
      <c r="Q290" s="515"/>
      <c r="R290" s="515"/>
      <c r="S290" s="515"/>
      <c r="T290" s="515"/>
      <c r="U290" s="515"/>
      <c r="V290" s="515"/>
      <c r="W290" s="515"/>
      <c r="X290" s="515"/>
      <c r="Y290" s="515"/>
      <c r="Z290" s="515"/>
      <c r="AA290" s="515"/>
      <c r="AB290" s="515"/>
      <c r="AC290" s="515"/>
      <c r="AD290" s="515"/>
      <c r="AE290" s="515"/>
      <c r="AF290" s="515"/>
      <c r="AG290" s="515"/>
      <c r="AH290" s="515"/>
      <c r="AI290" s="515"/>
      <c r="AJ290" s="515"/>
      <c r="AK290" s="515"/>
      <c r="AL290" s="515"/>
    </row>
    <row r="291" spans="1:42" ht="20.149999999999999" customHeight="1" x14ac:dyDescent="0.35">
      <c r="A291" s="507">
        <v>11</v>
      </c>
      <c r="B291" s="507" t="str">
        <f>PETUNJUK!B19</f>
        <v>Krasak</v>
      </c>
      <c r="C291" s="507">
        <f t="shared" ref="C291:E291" si="217">C257</f>
        <v>117.7</v>
      </c>
      <c r="D291" s="507">
        <f t="shared" si="217"/>
        <v>112.35000000000001</v>
      </c>
      <c r="E291" s="507">
        <f t="shared" si="217"/>
        <v>23.540000000000003</v>
      </c>
      <c r="F291" s="515"/>
      <c r="G291" s="515"/>
      <c r="H291" s="515"/>
      <c r="I291" s="515"/>
      <c r="J291" s="515"/>
      <c r="K291" s="515"/>
      <c r="L291" s="515"/>
      <c r="M291" s="515"/>
      <c r="N291" s="673"/>
      <c r="O291" s="673"/>
      <c r="P291" s="515"/>
      <c r="Q291" s="515"/>
      <c r="R291" s="515"/>
      <c r="S291" s="515"/>
      <c r="T291" s="515"/>
      <c r="U291" s="515"/>
      <c r="V291" s="515"/>
      <c r="W291" s="515"/>
      <c r="X291" s="515"/>
      <c r="Y291" s="515"/>
      <c r="Z291" s="515"/>
      <c r="AA291" s="515"/>
      <c r="AB291" s="515"/>
      <c r="AC291" s="515"/>
      <c r="AD291" s="515"/>
      <c r="AE291" s="515"/>
      <c r="AF291" s="515"/>
      <c r="AG291" s="515"/>
      <c r="AH291" s="515"/>
      <c r="AI291" s="515"/>
      <c r="AJ291" s="515"/>
      <c r="AK291" s="515"/>
      <c r="AL291" s="515"/>
    </row>
    <row r="292" spans="1:42" ht="20.149999999999999" customHeight="1" x14ac:dyDescent="0.35">
      <c r="A292" s="507">
        <v>12</v>
      </c>
      <c r="B292" s="507" t="str">
        <f>PETUNJUK!B20</f>
        <v>Gerdu</v>
      </c>
      <c r="C292" s="507">
        <f t="shared" ref="C292:E292" si="218">C258</f>
        <v>23.1</v>
      </c>
      <c r="D292" s="507">
        <f t="shared" si="218"/>
        <v>22.05</v>
      </c>
      <c r="E292" s="507">
        <f t="shared" si="218"/>
        <v>4.62</v>
      </c>
      <c r="F292" s="515"/>
      <c r="G292" s="515"/>
      <c r="H292" s="515"/>
      <c r="I292" s="515"/>
      <c r="J292" s="515"/>
      <c r="K292" s="515"/>
      <c r="L292" s="515"/>
      <c r="M292" s="515"/>
      <c r="N292" s="673"/>
      <c r="O292" s="673"/>
      <c r="P292" s="515"/>
      <c r="Q292" s="515"/>
      <c r="R292" s="515"/>
      <c r="S292" s="515"/>
      <c r="T292" s="515"/>
      <c r="U292" s="515"/>
      <c r="V292" s="515"/>
      <c r="W292" s="515"/>
      <c r="X292" s="515"/>
      <c r="Y292" s="515"/>
      <c r="Z292" s="515"/>
      <c r="AA292" s="515"/>
      <c r="AB292" s="515"/>
      <c r="AC292" s="515"/>
      <c r="AD292" s="515"/>
      <c r="AE292" s="515"/>
      <c r="AF292" s="515"/>
      <c r="AG292" s="515"/>
      <c r="AH292" s="515"/>
      <c r="AI292" s="515"/>
      <c r="AJ292" s="515"/>
      <c r="AK292" s="515"/>
      <c r="AL292" s="515"/>
    </row>
    <row r="293" spans="1:42" ht="20.149999999999999" customHeight="1" x14ac:dyDescent="0.35">
      <c r="A293" s="507">
        <v>13</v>
      </c>
      <c r="B293" s="507">
        <f>PETUNJUK!B21</f>
        <v>0</v>
      </c>
      <c r="C293" s="507">
        <f t="shared" ref="C293:E293" si="219">C259</f>
        <v>0</v>
      </c>
      <c r="D293" s="507">
        <f t="shared" si="219"/>
        <v>0</v>
      </c>
      <c r="E293" s="507">
        <f t="shared" si="219"/>
        <v>0</v>
      </c>
      <c r="F293" s="515"/>
      <c r="G293" s="515"/>
      <c r="H293" s="515"/>
      <c r="I293" s="515"/>
      <c r="J293" s="515"/>
      <c r="K293" s="515"/>
      <c r="L293" s="515"/>
      <c r="M293" s="515"/>
      <c r="N293" s="673"/>
      <c r="O293" s="673"/>
      <c r="P293" s="515"/>
      <c r="Q293" s="515"/>
      <c r="R293" s="515"/>
      <c r="S293" s="515"/>
      <c r="T293" s="515"/>
      <c r="U293" s="515"/>
      <c r="V293" s="515"/>
      <c r="W293" s="515"/>
      <c r="X293" s="515"/>
      <c r="Y293" s="515"/>
      <c r="Z293" s="515"/>
      <c r="AA293" s="515"/>
      <c r="AB293" s="515"/>
      <c r="AC293" s="515"/>
      <c r="AD293" s="515"/>
      <c r="AE293" s="515"/>
      <c r="AF293" s="515"/>
      <c r="AG293" s="515"/>
      <c r="AH293" s="515"/>
      <c r="AI293" s="515"/>
      <c r="AJ293" s="515"/>
      <c r="AK293" s="515"/>
      <c r="AL293" s="515"/>
    </row>
    <row r="294" spans="1:42" ht="20.149999999999999" customHeight="1" x14ac:dyDescent="0.35">
      <c r="A294" s="507">
        <v>14</v>
      </c>
      <c r="B294" s="507">
        <f>PETUNJUK!B22</f>
        <v>0</v>
      </c>
      <c r="C294" s="507">
        <f t="shared" ref="C294:E294" si="220">C260</f>
        <v>0</v>
      </c>
      <c r="D294" s="507">
        <f t="shared" si="220"/>
        <v>0</v>
      </c>
      <c r="E294" s="507">
        <f t="shared" si="220"/>
        <v>0</v>
      </c>
      <c r="F294" s="515"/>
      <c r="G294" s="515"/>
      <c r="H294" s="515"/>
      <c r="I294" s="515"/>
      <c r="J294" s="515"/>
      <c r="K294" s="515"/>
      <c r="L294" s="515"/>
      <c r="M294" s="515"/>
      <c r="N294" s="673"/>
      <c r="O294" s="673"/>
      <c r="P294" s="515"/>
      <c r="Q294" s="515"/>
      <c r="R294" s="515"/>
      <c r="S294" s="515"/>
      <c r="T294" s="515"/>
      <c r="U294" s="515"/>
      <c r="V294" s="515"/>
      <c r="W294" s="515"/>
      <c r="X294" s="515"/>
      <c r="Y294" s="515"/>
      <c r="Z294" s="515"/>
      <c r="AA294" s="515"/>
      <c r="AB294" s="515"/>
      <c r="AC294" s="515"/>
      <c r="AD294" s="515"/>
      <c r="AE294" s="515"/>
      <c r="AF294" s="515"/>
      <c r="AG294" s="515"/>
      <c r="AH294" s="515"/>
      <c r="AI294" s="515"/>
      <c r="AJ294" s="515"/>
      <c r="AK294" s="515"/>
      <c r="AL294" s="515"/>
    </row>
    <row r="295" spans="1:42" ht="20.149999999999999" customHeight="1" x14ac:dyDescent="0.35">
      <c r="A295" s="507">
        <v>15</v>
      </c>
      <c r="B295" s="507">
        <f>PETUNJUK!B23</f>
        <v>0</v>
      </c>
      <c r="C295" s="507">
        <f t="shared" ref="C295:E295" si="221">C261</f>
        <v>0</v>
      </c>
      <c r="D295" s="507">
        <f t="shared" si="221"/>
        <v>0</v>
      </c>
      <c r="E295" s="507">
        <f t="shared" si="221"/>
        <v>0</v>
      </c>
      <c r="F295" s="515"/>
      <c r="G295" s="515"/>
      <c r="H295" s="515"/>
      <c r="I295" s="515"/>
      <c r="J295" s="515"/>
      <c r="K295" s="515"/>
      <c r="L295" s="515"/>
      <c r="M295" s="515"/>
      <c r="N295" s="673"/>
      <c r="O295" s="673"/>
      <c r="P295" s="515"/>
      <c r="Q295" s="515"/>
      <c r="R295" s="515"/>
      <c r="S295" s="515"/>
      <c r="T295" s="515"/>
      <c r="U295" s="515"/>
      <c r="V295" s="515"/>
      <c r="W295" s="515"/>
      <c r="X295" s="515"/>
      <c r="Y295" s="515"/>
      <c r="Z295" s="515"/>
      <c r="AA295" s="515"/>
      <c r="AB295" s="515"/>
      <c r="AC295" s="515"/>
      <c r="AD295" s="515"/>
      <c r="AE295" s="515"/>
      <c r="AF295" s="515"/>
      <c r="AG295" s="515"/>
      <c r="AH295" s="515"/>
      <c r="AI295" s="515"/>
      <c r="AJ295" s="515"/>
      <c r="AK295" s="515"/>
      <c r="AL295" s="515"/>
      <c r="AM295" s="13">
        <v>21</v>
      </c>
      <c r="AN295" s="13">
        <v>186</v>
      </c>
      <c r="AO295" s="13">
        <v>0</v>
      </c>
      <c r="AP295" s="13">
        <v>0</v>
      </c>
    </row>
    <row r="296" spans="1:42" ht="20.149999999999999" customHeight="1" x14ac:dyDescent="0.35">
      <c r="A296" s="507">
        <v>16</v>
      </c>
      <c r="B296" s="507">
        <f>PETUNJUK!B24</f>
        <v>0</v>
      </c>
      <c r="C296" s="507">
        <f t="shared" ref="C296:E296" si="222">C262</f>
        <v>0</v>
      </c>
      <c r="D296" s="507">
        <f t="shared" si="222"/>
        <v>0</v>
      </c>
      <c r="E296" s="507">
        <f t="shared" si="222"/>
        <v>0</v>
      </c>
      <c r="F296" s="515"/>
      <c r="G296" s="515"/>
      <c r="H296" s="515"/>
      <c r="I296" s="515"/>
      <c r="J296" s="515"/>
      <c r="K296" s="515"/>
      <c r="L296" s="515"/>
      <c r="M296" s="515"/>
      <c r="N296" s="673"/>
      <c r="O296" s="673"/>
      <c r="P296" s="515"/>
      <c r="Q296" s="515"/>
      <c r="R296" s="515"/>
      <c r="S296" s="515"/>
      <c r="T296" s="515"/>
      <c r="U296" s="515"/>
      <c r="V296" s="515"/>
      <c r="W296" s="515"/>
      <c r="X296" s="515"/>
      <c r="Y296" s="515"/>
      <c r="Z296" s="515"/>
      <c r="AA296" s="515"/>
      <c r="AB296" s="515"/>
      <c r="AC296" s="515"/>
      <c r="AD296" s="515"/>
      <c r="AE296" s="515"/>
      <c r="AF296" s="515"/>
      <c r="AG296" s="515"/>
      <c r="AH296" s="515"/>
      <c r="AI296" s="515"/>
      <c r="AJ296" s="515"/>
      <c r="AK296" s="515"/>
      <c r="AL296" s="515"/>
    </row>
    <row r="297" spans="1:42" ht="20.149999999999999" customHeight="1" x14ac:dyDescent="0.35">
      <c r="A297" s="507">
        <v>17</v>
      </c>
      <c r="B297" s="507">
        <f>PETUNJUK!B25</f>
        <v>0</v>
      </c>
      <c r="C297" s="507">
        <f t="shared" ref="C297:E297" si="223">C263</f>
        <v>0</v>
      </c>
      <c r="D297" s="507">
        <f t="shared" si="223"/>
        <v>0</v>
      </c>
      <c r="E297" s="507">
        <f t="shared" si="223"/>
        <v>0</v>
      </c>
      <c r="F297" s="515"/>
      <c r="G297" s="515"/>
      <c r="H297" s="515"/>
      <c r="I297" s="515"/>
      <c r="J297" s="515"/>
      <c r="K297" s="515"/>
      <c r="L297" s="515"/>
      <c r="M297" s="515"/>
      <c r="N297" s="673"/>
      <c r="O297" s="673"/>
      <c r="P297" s="515"/>
      <c r="Q297" s="515"/>
      <c r="R297" s="515"/>
      <c r="S297" s="515"/>
      <c r="T297" s="515"/>
      <c r="U297" s="515"/>
      <c r="V297" s="515"/>
      <c r="W297" s="515"/>
      <c r="X297" s="515"/>
      <c r="Y297" s="515"/>
      <c r="Z297" s="515"/>
      <c r="AA297" s="515"/>
      <c r="AB297" s="515"/>
      <c r="AC297" s="515"/>
      <c r="AD297" s="515"/>
      <c r="AE297" s="515"/>
      <c r="AF297" s="515"/>
      <c r="AG297" s="515"/>
      <c r="AH297" s="515"/>
      <c r="AI297" s="515"/>
      <c r="AJ297" s="515"/>
      <c r="AK297" s="515"/>
      <c r="AL297" s="515"/>
    </row>
    <row r="298" spans="1:42" ht="20.149999999999999" customHeight="1" x14ac:dyDescent="0.35">
      <c r="A298" s="507">
        <v>18</v>
      </c>
      <c r="B298" s="507">
        <f>PETUNJUK!B26</f>
        <v>0</v>
      </c>
      <c r="C298" s="507">
        <f t="shared" ref="C298:E298" si="224">C264</f>
        <v>0</v>
      </c>
      <c r="D298" s="507">
        <f t="shared" si="224"/>
        <v>0</v>
      </c>
      <c r="E298" s="507">
        <f t="shared" si="224"/>
        <v>0</v>
      </c>
      <c r="F298" s="515"/>
      <c r="G298" s="515"/>
      <c r="H298" s="515"/>
      <c r="I298" s="515"/>
      <c r="J298" s="515"/>
      <c r="K298" s="515"/>
      <c r="L298" s="515"/>
      <c r="M298" s="515"/>
      <c r="N298" s="673"/>
      <c r="O298" s="673"/>
      <c r="P298" s="515"/>
      <c r="Q298" s="515"/>
      <c r="R298" s="515"/>
      <c r="S298" s="515"/>
      <c r="T298" s="515"/>
      <c r="U298" s="515"/>
      <c r="V298" s="515"/>
      <c r="W298" s="515"/>
      <c r="X298" s="515"/>
      <c r="Y298" s="515"/>
      <c r="Z298" s="515"/>
      <c r="AA298" s="515"/>
      <c r="AB298" s="515"/>
      <c r="AC298" s="515"/>
      <c r="AD298" s="515"/>
      <c r="AE298" s="515"/>
      <c r="AF298" s="515"/>
      <c r="AG298" s="515"/>
      <c r="AH298" s="515"/>
      <c r="AI298" s="515"/>
      <c r="AJ298" s="515"/>
      <c r="AK298" s="515"/>
      <c r="AL298" s="515"/>
    </row>
    <row r="299" spans="1:42" ht="20.149999999999999" customHeight="1" x14ac:dyDescent="0.35">
      <c r="A299" s="507">
        <v>19</v>
      </c>
      <c r="B299" s="507">
        <f>PETUNJUK!B27</f>
        <v>0</v>
      </c>
      <c r="C299" s="507">
        <f t="shared" ref="C299:E299" si="225">C265</f>
        <v>0</v>
      </c>
      <c r="D299" s="507">
        <f t="shared" si="225"/>
        <v>0</v>
      </c>
      <c r="E299" s="507">
        <f t="shared" si="225"/>
        <v>0</v>
      </c>
      <c r="F299" s="515"/>
      <c r="G299" s="515"/>
      <c r="H299" s="515"/>
      <c r="I299" s="515"/>
      <c r="J299" s="515"/>
      <c r="K299" s="515"/>
      <c r="L299" s="515"/>
      <c r="M299" s="515"/>
      <c r="N299" s="673"/>
      <c r="O299" s="673"/>
      <c r="P299" s="515"/>
      <c r="Q299" s="515"/>
      <c r="R299" s="515"/>
      <c r="S299" s="515"/>
      <c r="T299" s="515"/>
      <c r="U299" s="515"/>
      <c r="V299" s="515"/>
      <c r="W299" s="515"/>
      <c r="X299" s="515"/>
      <c r="Y299" s="515"/>
      <c r="Z299" s="515"/>
      <c r="AA299" s="515"/>
      <c r="AB299" s="515"/>
      <c r="AC299" s="515"/>
      <c r="AD299" s="515"/>
      <c r="AE299" s="515"/>
      <c r="AF299" s="515"/>
      <c r="AG299" s="515"/>
      <c r="AH299" s="515"/>
      <c r="AI299" s="515"/>
      <c r="AJ299" s="515"/>
      <c r="AK299" s="515"/>
      <c r="AL299" s="515"/>
    </row>
    <row r="300" spans="1:42" ht="20.149999999999999" customHeight="1" x14ac:dyDescent="0.35">
      <c r="A300" s="507">
        <v>20</v>
      </c>
      <c r="B300" s="507">
        <f>PETUNJUK!B28</f>
        <v>0</v>
      </c>
      <c r="C300" s="507">
        <f t="shared" ref="C300:E300" si="226">C266</f>
        <v>0</v>
      </c>
      <c r="D300" s="507">
        <f t="shared" si="226"/>
        <v>0</v>
      </c>
      <c r="E300" s="507">
        <f t="shared" si="226"/>
        <v>0</v>
      </c>
      <c r="F300" s="515"/>
      <c r="G300" s="515"/>
      <c r="H300" s="515"/>
      <c r="I300" s="515"/>
      <c r="J300" s="515"/>
      <c r="K300" s="515"/>
      <c r="L300" s="515"/>
      <c r="M300" s="515"/>
      <c r="N300" s="673"/>
      <c r="O300" s="673"/>
      <c r="P300" s="515"/>
      <c r="Q300" s="515"/>
      <c r="R300" s="515"/>
      <c r="S300" s="515"/>
      <c r="T300" s="515"/>
      <c r="U300" s="515"/>
      <c r="V300" s="515"/>
      <c r="W300" s="515"/>
      <c r="X300" s="515"/>
      <c r="Y300" s="515"/>
      <c r="Z300" s="515"/>
      <c r="AA300" s="515"/>
      <c r="AB300" s="515"/>
      <c r="AC300" s="515"/>
      <c r="AD300" s="515"/>
      <c r="AE300" s="515"/>
      <c r="AF300" s="515"/>
      <c r="AG300" s="515"/>
      <c r="AH300" s="515"/>
      <c r="AI300" s="515"/>
      <c r="AJ300" s="515"/>
      <c r="AK300" s="515"/>
      <c r="AL300" s="515"/>
    </row>
    <row r="301" spans="1:42" ht="20.149999999999999" customHeight="1" x14ac:dyDescent="0.35">
      <c r="A301" s="507">
        <v>21</v>
      </c>
      <c r="B301" s="507">
        <f>PETUNJUK!B29</f>
        <v>0</v>
      </c>
      <c r="C301" s="507">
        <f t="shared" ref="C301:E301" si="227">C267</f>
        <v>0</v>
      </c>
      <c r="D301" s="507">
        <f t="shared" si="227"/>
        <v>0</v>
      </c>
      <c r="E301" s="507">
        <f t="shared" si="227"/>
        <v>0</v>
      </c>
      <c r="F301" s="515"/>
      <c r="G301" s="515"/>
      <c r="H301" s="515"/>
      <c r="I301" s="515"/>
      <c r="J301" s="515"/>
      <c r="K301" s="515"/>
      <c r="L301" s="515"/>
      <c r="M301" s="515"/>
      <c r="N301" s="673"/>
      <c r="O301" s="673"/>
      <c r="P301" s="515"/>
      <c r="Q301" s="515"/>
      <c r="R301" s="515"/>
      <c r="S301" s="515"/>
      <c r="T301" s="515"/>
      <c r="U301" s="515"/>
      <c r="V301" s="515"/>
      <c r="W301" s="515"/>
      <c r="X301" s="515"/>
      <c r="Y301" s="515"/>
      <c r="Z301" s="515"/>
      <c r="AA301" s="515"/>
      <c r="AB301" s="515"/>
      <c r="AC301" s="515"/>
      <c r="AD301" s="515"/>
      <c r="AE301" s="515"/>
      <c r="AF301" s="515"/>
      <c r="AG301" s="515"/>
      <c r="AH301" s="515"/>
      <c r="AI301" s="515"/>
      <c r="AJ301" s="515"/>
      <c r="AK301" s="515"/>
      <c r="AL301" s="515"/>
    </row>
    <row r="302" spans="1:42" ht="20.149999999999999" customHeight="1" thickBot="1" x14ac:dyDescent="0.4">
      <c r="A302" s="512">
        <v>22</v>
      </c>
      <c r="B302" s="512">
        <f>PETUNJUK!B30</f>
        <v>0</v>
      </c>
      <c r="C302" s="507">
        <f t="shared" ref="C302:E302" si="228">C268</f>
        <v>0</v>
      </c>
      <c r="D302" s="507">
        <f t="shared" si="228"/>
        <v>0</v>
      </c>
      <c r="E302" s="507">
        <f t="shared" si="228"/>
        <v>0</v>
      </c>
      <c r="F302" s="509"/>
      <c r="G302" s="509"/>
      <c r="H302" s="509"/>
      <c r="I302" s="509"/>
      <c r="J302" s="509"/>
      <c r="K302" s="509"/>
      <c r="L302" s="509"/>
      <c r="M302" s="509"/>
      <c r="N302" s="675"/>
      <c r="O302" s="675"/>
      <c r="P302" s="509"/>
      <c r="Q302" s="509"/>
      <c r="R302" s="509"/>
      <c r="S302" s="509"/>
      <c r="T302" s="509"/>
      <c r="U302" s="509"/>
      <c r="V302" s="509"/>
      <c r="W302" s="509"/>
      <c r="X302" s="509"/>
      <c r="Y302" s="509"/>
      <c r="Z302" s="509"/>
      <c r="AA302" s="509"/>
      <c r="AB302" s="509"/>
      <c r="AC302" s="509"/>
      <c r="AD302" s="509"/>
      <c r="AE302" s="509"/>
      <c r="AF302" s="509"/>
      <c r="AG302" s="509"/>
      <c r="AH302" s="509"/>
      <c r="AI302" s="509"/>
      <c r="AJ302" s="509"/>
      <c r="AK302" s="509"/>
      <c r="AL302" s="509"/>
    </row>
    <row r="303" spans="1:42" ht="20.149999999999999" customHeight="1" thickBot="1" x14ac:dyDescent="0.4">
      <c r="A303" s="744" t="s">
        <v>18</v>
      </c>
      <c r="B303" s="745"/>
      <c r="C303" s="513">
        <f>SUM(C281:C302)</f>
        <v>1067</v>
      </c>
      <c r="D303" s="513">
        <f t="shared" ref="D303:AL303" si="229">SUM(D281:D302)</f>
        <v>1018.5</v>
      </c>
      <c r="E303" s="513">
        <f t="shared" si="229"/>
        <v>213.40000000000003</v>
      </c>
      <c r="F303" s="513">
        <f t="shared" si="229"/>
        <v>0</v>
      </c>
      <c r="G303" s="513">
        <f t="shared" si="229"/>
        <v>0</v>
      </c>
      <c r="H303" s="513">
        <f t="shared" si="229"/>
        <v>0</v>
      </c>
      <c r="I303" s="513">
        <f t="shared" si="229"/>
        <v>0</v>
      </c>
      <c r="J303" s="513">
        <f t="shared" si="229"/>
        <v>0</v>
      </c>
      <c r="K303" s="513">
        <f t="shared" si="229"/>
        <v>0</v>
      </c>
      <c r="L303" s="513">
        <f t="shared" si="229"/>
        <v>0</v>
      </c>
      <c r="M303" s="513">
        <f t="shared" si="229"/>
        <v>0</v>
      </c>
      <c r="N303" s="513"/>
      <c r="O303" s="513"/>
      <c r="P303" s="513">
        <f t="shared" si="229"/>
        <v>0</v>
      </c>
      <c r="Q303" s="513">
        <f t="shared" si="229"/>
        <v>0</v>
      </c>
      <c r="R303" s="513">
        <f t="shared" si="229"/>
        <v>0</v>
      </c>
      <c r="S303" s="513">
        <f t="shared" si="229"/>
        <v>0</v>
      </c>
      <c r="T303" s="513">
        <f t="shared" si="229"/>
        <v>0</v>
      </c>
      <c r="U303" s="513">
        <f t="shared" si="229"/>
        <v>0</v>
      </c>
      <c r="V303" s="513">
        <f t="shared" si="229"/>
        <v>0</v>
      </c>
      <c r="W303" s="513">
        <f t="shared" si="229"/>
        <v>0</v>
      </c>
      <c r="X303" s="513">
        <f t="shared" si="229"/>
        <v>0</v>
      </c>
      <c r="Y303" s="513">
        <f t="shared" si="229"/>
        <v>0</v>
      </c>
      <c r="Z303" s="513">
        <f t="shared" si="229"/>
        <v>0</v>
      </c>
      <c r="AA303" s="513">
        <f t="shared" si="229"/>
        <v>0</v>
      </c>
      <c r="AB303" s="513">
        <f t="shared" si="229"/>
        <v>0</v>
      </c>
      <c r="AC303" s="513">
        <f t="shared" si="229"/>
        <v>0</v>
      </c>
      <c r="AD303" s="513">
        <f t="shared" si="229"/>
        <v>0</v>
      </c>
      <c r="AE303" s="513">
        <f t="shared" si="229"/>
        <v>0</v>
      </c>
      <c r="AF303" s="513">
        <f t="shared" si="229"/>
        <v>0</v>
      </c>
      <c r="AG303" s="513">
        <f t="shared" si="229"/>
        <v>0</v>
      </c>
      <c r="AH303" s="513">
        <f t="shared" si="229"/>
        <v>0</v>
      </c>
      <c r="AI303" s="513">
        <f t="shared" si="229"/>
        <v>0</v>
      </c>
      <c r="AJ303" s="513">
        <f t="shared" si="229"/>
        <v>0</v>
      </c>
      <c r="AK303" s="513">
        <f t="shared" si="229"/>
        <v>0</v>
      </c>
      <c r="AL303" s="518">
        <f t="shared" si="229"/>
        <v>0</v>
      </c>
    </row>
    <row r="304" spans="1:42" ht="15.5" x14ac:dyDescent="0.35">
      <c r="A304" s="514"/>
      <c r="B304" s="514"/>
      <c r="C304" s="514"/>
      <c r="D304" s="514"/>
      <c r="E304" s="514"/>
      <c r="F304" s="514"/>
      <c r="G304" s="514"/>
      <c r="H304" s="514"/>
      <c r="I304" s="514"/>
      <c r="J304" s="514"/>
      <c r="K304" s="514"/>
      <c r="L304" s="514"/>
      <c r="M304" s="514"/>
      <c r="N304" s="514"/>
      <c r="O304" s="514"/>
      <c r="P304" s="514"/>
      <c r="Q304" s="514"/>
      <c r="R304" s="514"/>
      <c r="S304" s="514"/>
      <c r="T304" s="514"/>
      <c r="U304" s="514"/>
      <c r="V304" s="514"/>
      <c r="W304" s="514"/>
      <c r="X304" s="514"/>
      <c r="Y304" s="514"/>
      <c r="Z304" s="514"/>
      <c r="AA304" s="514"/>
      <c r="AB304" s="514"/>
      <c r="AC304" s="514"/>
      <c r="AD304" s="514"/>
      <c r="AE304" s="514"/>
      <c r="AF304" s="514"/>
      <c r="AG304" s="514"/>
      <c r="AH304" s="514"/>
      <c r="AI304" s="514"/>
      <c r="AJ304" s="514"/>
      <c r="AK304" s="514"/>
      <c r="AL304" s="514"/>
    </row>
    <row r="305" spans="1:38" ht="15.5" x14ac:dyDescent="0.35">
      <c r="A305" s="514"/>
      <c r="B305" s="514"/>
      <c r="C305" s="514"/>
      <c r="D305" s="514"/>
      <c r="E305" s="514"/>
      <c r="F305" s="514"/>
      <c r="G305" s="514"/>
      <c r="H305" s="514"/>
      <c r="I305" s="514"/>
      <c r="J305" s="514"/>
      <c r="K305" s="514"/>
      <c r="L305" s="514"/>
      <c r="M305" s="514"/>
      <c r="N305" s="514"/>
      <c r="O305" s="514"/>
      <c r="P305" s="514"/>
      <c r="Q305" s="514"/>
      <c r="R305" s="514"/>
      <c r="S305" s="514"/>
      <c r="T305" s="514"/>
      <c r="U305" s="514"/>
      <c r="V305" s="514"/>
      <c r="W305" s="514"/>
      <c r="X305" s="514"/>
      <c r="Y305" s="514"/>
      <c r="Z305" s="514"/>
      <c r="AA305" s="514"/>
      <c r="AB305" s="514"/>
      <c r="AC305" s="514"/>
      <c r="AD305" s="514"/>
      <c r="AE305" s="514"/>
      <c r="AF305" s="514"/>
      <c r="AG305" s="514"/>
      <c r="AH305" s="514"/>
      <c r="AI305" s="514"/>
      <c r="AJ305" s="514"/>
      <c r="AK305" s="514"/>
      <c r="AL305" s="514"/>
    </row>
    <row r="306" spans="1:38" ht="15.5" x14ac:dyDescent="0.35">
      <c r="A306" s="514"/>
      <c r="B306" s="514"/>
      <c r="C306" s="514"/>
      <c r="D306" s="514"/>
      <c r="E306" s="514"/>
      <c r="F306" s="514"/>
      <c r="G306" s="514"/>
      <c r="H306" s="514"/>
      <c r="I306" s="514"/>
      <c r="J306" s="514"/>
      <c r="K306" s="514"/>
      <c r="L306" s="514"/>
      <c r="M306" s="514"/>
      <c r="N306" s="514"/>
      <c r="O306" s="514"/>
      <c r="P306" s="514"/>
      <c r="Q306" s="514"/>
      <c r="R306" s="514"/>
      <c r="S306" s="514"/>
      <c r="T306" s="514"/>
      <c r="U306" s="514"/>
      <c r="V306" s="514"/>
      <c r="W306" s="514"/>
      <c r="X306" s="514"/>
      <c r="Y306" s="514"/>
      <c r="Z306" s="514"/>
      <c r="AA306" s="514"/>
      <c r="AB306" s="514"/>
      <c r="AC306" s="514"/>
      <c r="AD306" s="514"/>
      <c r="AE306" s="514"/>
      <c r="AF306" s="514"/>
      <c r="AG306" s="514"/>
      <c r="AH306" s="514"/>
      <c r="AI306" s="514"/>
      <c r="AJ306" s="514"/>
      <c r="AK306" s="514"/>
      <c r="AL306" s="514"/>
    </row>
    <row r="307" spans="1:38" ht="15.5" x14ac:dyDescent="0.35">
      <c r="A307" s="731" t="s">
        <v>239</v>
      </c>
      <c r="B307" s="731"/>
      <c r="C307" s="731"/>
      <c r="D307" s="731"/>
      <c r="E307" s="731"/>
      <c r="F307" s="731"/>
      <c r="G307" s="731"/>
      <c r="H307" s="731"/>
      <c r="I307" s="731"/>
      <c r="J307" s="731"/>
      <c r="K307" s="731"/>
      <c r="L307" s="731"/>
      <c r="M307" s="731"/>
      <c r="N307" s="731"/>
      <c r="O307" s="731"/>
      <c r="P307" s="731"/>
      <c r="Q307" s="731"/>
      <c r="R307" s="731"/>
      <c r="S307" s="731"/>
      <c r="T307" s="731"/>
      <c r="U307" s="731"/>
      <c r="V307" s="731"/>
      <c r="W307" s="731"/>
      <c r="X307" s="731"/>
      <c r="Y307" s="731"/>
      <c r="Z307" s="731"/>
      <c r="AA307" s="731"/>
      <c r="AB307" s="731"/>
      <c r="AC307" s="731"/>
      <c r="AD307" s="731"/>
      <c r="AE307" s="731"/>
      <c r="AF307" s="731"/>
      <c r="AG307" s="731"/>
      <c r="AH307" s="731"/>
      <c r="AI307" s="505"/>
      <c r="AJ307" s="505"/>
      <c r="AK307" s="505"/>
      <c r="AL307" s="505"/>
    </row>
    <row r="308" spans="1:38" ht="15.5" x14ac:dyDescent="0.35">
      <c r="A308" s="505"/>
      <c r="B308" s="505"/>
      <c r="C308" s="505"/>
      <c r="D308" s="505"/>
      <c r="E308" s="505"/>
      <c r="F308" s="505"/>
      <c r="G308" s="505"/>
      <c r="H308" s="505"/>
      <c r="I308" s="505"/>
      <c r="J308" s="505"/>
      <c r="K308" s="505"/>
      <c r="L308" s="505"/>
      <c r="M308" s="505"/>
      <c r="N308" s="505"/>
      <c r="O308" s="505"/>
      <c r="P308" s="505"/>
      <c r="Q308" s="505"/>
      <c r="R308" s="505"/>
      <c r="S308" s="505"/>
      <c r="T308" s="505"/>
      <c r="U308" s="505"/>
      <c r="V308" s="505"/>
      <c r="W308" s="505"/>
      <c r="X308" s="505"/>
      <c r="Y308" s="505"/>
      <c r="Z308" s="505"/>
      <c r="AA308" s="505"/>
      <c r="AB308" s="505"/>
      <c r="AC308" s="505"/>
      <c r="AD308" s="505"/>
      <c r="AE308" s="505"/>
      <c r="AF308" s="505"/>
      <c r="AG308" s="505"/>
      <c r="AH308" s="505"/>
      <c r="AI308" s="505"/>
      <c r="AJ308" s="505"/>
      <c r="AK308" s="505"/>
      <c r="AL308" s="505"/>
    </row>
    <row r="309" spans="1:38" ht="15.5" x14ac:dyDescent="0.35">
      <c r="A309" s="504" t="s">
        <v>168</v>
      </c>
      <c r="B309" s="504"/>
      <c r="C309" s="679" t="str">
        <f>PETUNJUK!C5</f>
        <v>PECANGAAN</v>
      </c>
      <c r="D309" s="504"/>
      <c r="E309" s="504"/>
      <c r="F309" s="504"/>
      <c r="G309" s="504"/>
      <c r="H309" s="504"/>
      <c r="I309" s="504"/>
      <c r="J309" s="504"/>
      <c r="K309" s="504"/>
      <c r="L309" s="504"/>
      <c r="M309" s="504"/>
      <c r="N309" s="504"/>
      <c r="O309" s="504"/>
      <c r="P309" s="504"/>
      <c r="Q309" s="504"/>
      <c r="R309" s="504"/>
      <c r="S309" s="504"/>
      <c r="T309" s="504"/>
      <c r="U309" s="504"/>
      <c r="V309" s="504"/>
      <c r="W309" s="504"/>
      <c r="X309" s="504"/>
      <c r="Y309" s="504"/>
      <c r="Z309" s="504"/>
      <c r="AA309" s="504"/>
      <c r="AB309" s="504"/>
      <c r="AC309" s="504"/>
      <c r="AD309" s="504"/>
      <c r="AE309" s="504"/>
      <c r="AF309" s="504"/>
      <c r="AG309" s="504"/>
      <c r="AH309" s="504"/>
      <c r="AI309" s="505"/>
      <c r="AJ309" s="505"/>
      <c r="AK309" s="505"/>
      <c r="AL309" s="505"/>
    </row>
    <row r="310" spans="1:38" ht="15.5" x14ac:dyDescent="0.35">
      <c r="A310" s="504" t="s">
        <v>169</v>
      </c>
      <c r="B310" s="504"/>
      <c r="C310" s="680" t="s">
        <v>398</v>
      </c>
      <c r="D310" s="504"/>
      <c r="E310" s="504"/>
      <c r="F310" s="504"/>
      <c r="G310" s="504"/>
      <c r="H310" s="504"/>
      <c r="I310" s="504"/>
      <c r="J310" s="504"/>
      <c r="K310" s="504"/>
      <c r="L310" s="504"/>
      <c r="M310" s="504"/>
      <c r="N310" s="504"/>
      <c r="O310" s="504"/>
      <c r="P310" s="504"/>
      <c r="Q310" s="504"/>
      <c r="R310" s="504"/>
      <c r="S310" s="504"/>
      <c r="T310" s="504"/>
      <c r="U310" s="504"/>
      <c r="V310" s="504"/>
      <c r="W310" s="504"/>
      <c r="X310" s="504"/>
      <c r="Y310" s="504"/>
      <c r="Z310" s="504"/>
      <c r="AA310" s="504"/>
      <c r="AB310" s="504"/>
      <c r="AC310" s="504"/>
      <c r="AD310" s="504"/>
      <c r="AE310" s="504"/>
      <c r="AF310" s="504"/>
      <c r="AG310" s="504"/>
      <c r="AH310" s="504"/>
      <c r="AI310" s="505"/>
      <c r="AJ310" s="505"/>
      <c r="AK310" s="505"/>
      <c r="AL310" s="505"/>
    </row>
    <row r="311" spans="1:38" ht="15.5" x14ac:dyDescent="0.35">
      <c r="A311" s="505"/>
      <c r="B311" s="505"/>
      <c r="C311" s="505"/>
      <c r="D311" s="505"/>
      <c r="E311" s="505"/>
      <c r="F311" s="505"/>
      <c r="G311" s="505"/>
      <c r="H311" s="505"/>
      <c r="I311" s="505"/>
      <c r="J311" s="505"/>
      <c r="K311" s="505"/>
      <c r="L311" s="505"/>
      <c r="M311" s="505"/>
      <c r="N311" s="505"/>
      <c r="O311" s="505"/>
      <c r="P311" s="505"/>
      <c r="Q311" s="505"/>
      <c r="R311" s="505"/>
      <c r="S311" s="505"/>
      <c r="T311" s="505"/>
      <c r="U311" s="505"/>
      <c r="V311" s="505"/>
      <c r="W311" s="505"/>
      <c r="X311" s="505"/>
      <c r="Y311" s="505"/>
      <c r="Z311" s="505"/>
      <c r="AA311" s="505"/>
      <c r="AB311" s="505"/>
      <c r="AC311" s="505"/>
      <c r="AD311" s="505"/>
      <c r="AE311" s="505"/>
      <c r="AF311" s="505"/>
      <c r="AG311" s="505"/>
      <c r="AH311" s="505"/>
      <c r="AI311" s="505"/>
      <c r="AJ311" s="505"/>
      <c r="AK311" s="505"/>
      <c r="AL311" s="505"/>
    </row>
    <row r="312" spans="1:38" s="15" customFormat="1" ht="21" customHeight="1" x14ac:dyDescent="0.35">
      <c r="A312" s="754" t="s">
        <v>1</v>
      </c>
      <c r="B312" s="754" t="s">
        <v>2</v>
      </c>
      <c r="C312" s="754" t="s">
        <v>174</v>
      </c>
      <c r="D312" s="754"/>
      <c r="E312" s="754"/>
      <c r="F312" s="755" t="s">
        <v>8</v>
      </c>
      <c r="G312" s="759" t="s">
        <v>295</v>
      </c>
      <c r="H312" s="759" t="s">
        <v>296</v>
      </c>
      <c r="I312" s="759" t="s">
        <v>297</v>
      </c>
      <c r="J312" s="739" t="s">
        <v>9</v>
      </c>
      <c r="K312" s="759" t="s">
        <v>298</v>
      </c>
      <c r="L312" s="760" t="s">
        <v>299</v>
      </c>
      <c r="M312" s="758" t="s">
        <v>289</v>
      </c>
      <c r="N312" s="758" t="s">
        <v>422</v>
      </c>
      <c r="O312" s="758" t="s">
        <v>423</v>
      </c>
      <c r="P312" s="739" t="s">
        <v>290</v>
      </c>
      <c r="Q312" s="752" t="s">
        <v>230</v>
      </c>
      <c r="R312" s="753"/>
      <c r="S312" s="753"/>
      <c r="T312" s="753"/>
      <c r="U312" s="753"/>
      <c r="V312" s="753"/>
      <c r="W312" s="755" t="s">
        <v>15</v>
      </c>
      <c r="X312" s="739" t="s">
        <v>16</v>
      </c>
      <c r="Y312" s="735" t="s">
        <v>231</v>
      </c>
      <c r="Z312" s="735"/>
      <c r="AA312" s="736" t="s">
        <v>240</v>
      </c>
      <c r="AB312" s="735" t="s">
        <v>4</v>
      </c>
      <c r="AC312" s="735"/>
      <c r="AD312" s="735"/>
      <c r="AE312" s="735"/>
      <c r="AF312" s="728" t="s">
        <v>237</v>
      </c>
      <c r="AG312" s="736" t="s">
        <v>23</v>
      </c>
      <c r="AH312" s="755" t="s">
        <v>3</v>
      </c>
      <c r="AI312" s="763" t="s">
        <v>238</v>
      </c>
      <c r="AJ312" s="764"/>
      <c r="AK312" s="764"/>
      <c r="AL312" s="765"/>
    </row>
    <row r="313" spans="1:38" s="15" customFormat="1" ht="19.5" customHeight="1" x14ac:dyDescent="0.35">
      <c r="A313" s="754"/>
      <c r="B313" s="754"/>
      <c r="C313" s="732" t="s">
        <v>5</v>
      </c>
      <c r="D313" s="732" t="s">
        <v>6</v>
      </c>
      <c r="E313" s="732" t="s">
        <v>133</v>
      </c>
      <c r="F313" s="756"/>
      <c r="G313" s="756"/>
      <c r="H313" s="756"/>
      <c r="I313" s="756"/>
      <c r="J313" s="740"/>
      <c r="K313" s="756"/>
      <c r="L313" s="761"/>
      <c r="M313" s="758"/>
      <c r="N313" s="758"/>
      <c r="O313" s="758"/>
      <c r="P313" s="740"/>
      <c r="Q313" s="732" t="s">
        <v>10</v>
      </c>
      <c r="R313" s="732" t="s">
        <v>11</v>
      </c>
      <c r="S313" s="732" t="s">
        <v>12</v>
      </c>
      <c r="T313" s="732" t="s">
        <v>13</v>
      </c>
      <c r="U313" s="732" t="s">
        <v>14</v>
      </c>
      <c r="V313" s="746" t="s">
        <v>227</v>
      </c>
      <c r="W313" s="756"/>
      <c r="X313" s="740"/>
      <c r="Y313" s="748" t="s">
        <v>228</v>
      </c>
      <c r="Z313" s="748" t="s">
        <v>229</v>
      </c>
      <c r="AA313" s="737"/>
      <c r="AB313" s="749" t="s">
        <v>232</v>
      </c>
      <c r="AC313" s="750"/>
      <c r="AD313" s="751"/>
      <c r="AE313" s="733" t="s">
        <v>236</v>
      </c>
      <c r="AF313" s="729"/>
      <c r="AG313" s="737"/>
      <c r="AH313" s="756"/>
      <c r="AI313" s="742" t="s">
        <v>166</v>
      </c>
      <c r="AJ313" s="742" t="s">
        <v>167</v>
      </c>
      <c r="AK313" s="742" t="s">
        <v>134</v>
      </c>
      <c r="AL313" s="742" t="s">
        <v>291</v>
      </c>
    </row>
    <row r="314" spans="1:38" s="15" customFormat="1" ht="67.5" customHeight="1" x14ac:dyDescent="0.35">
      <c r="A314" s="754"/>
      <c r="B314" s="754"/>
      <c r="C314" s="732"/>
      <c r="D314" s="732"/>
      <c r="E314" s="732"/>
      <c r="F314" s="757"/>
      <c r="G314" s="757"/>
      <c r="H314" s="757"/>
      <c r="I314" s="757"/>
      <c r="J314" s="741"/>
      <c r="K314" s="757"/>
      <c r="L314" s="762"/>
      <c r="M314" s="758"/>
      <c r="N314" s="758"/>
      <c r="O314" s="758"/>
      <c r="P314" s="741"/>
      <c r="Q314" s="732"/>
      <c r="R314" s="732"/>
      <c r="S314" s="732"/>
      <c r="T314" s="732"/>
      <c r="U314" s="732"/>
      <c r="V314" s="747"/>
      <c r="W314" s="757"/>
      <c r="X314" s="741"/>
      <c r="Y314" s="748"/>
      <c r="Z314" s="748"/>
      <c r="AA314" s="738"/>
      <c r="AB314" s="506" t="s">
        <v>233</v>
      </c>
      <c r="AC314" s="681" t="s">
        <v>234</v>
      </c>
      <c r="AD314" s="681" t="s">
        <v>235</v>
      </c>
      <c r="AE314" s="734"/>
      <c r="AF314" s="730"/>
      <c r="AG314" s="738"/>
      <c r="AH314" s="757"/>
      <c r="AI314" s="743"/>
      <c r="AJ314" s="743"/>
      <c r="AK314" s="743"/>
      <c r="AL314" s="743"/>
    </row>
    <row r="315" spans="1:38" ht="20.149999999999999" customHeight="1" x14ac:dyDescent="0.35">
      <c r="A315" s="507">
        <v>1</v>
      </c>
      <c r="B315" s="507" t="str">
        <f>PETUNJUK!B9</f>
        <v>Pecangaan Kulon</v>
      </c>
      <c r="C315" s="507">
        <f>C281</f>
        <v>101.2</v>
      </c>
      <c r="D315" s="507">
        <f t="shared" ref="D315:E315" si="230">D281</f>
        <v>96.600000000000009</v>
      </c>
      <c r="E315" s="507">
        <f t="shared" si="230"/>
        <v>20.240000000000002</v>
      </c>
      <c r="F315" s="515"/>
      <c r="G315" s="515"/>
      <c r="H315" s="515"/>
      <c r="I315" s="515"/>
      <c r="J315" s="515"/>
      <c r="K315" s="515"/>
      <c r="L315" s="515"/>
      <c r="M315" s="515"/>
      <c r="N315" s="673"/>
      <c r="O315" s="673"/>
      <c r="P315" s="515"/>
      <c r="Q315" s="515"/>
      <c r="R315" s="515"/>
      <c r="S315" s="515"/>
      <c r="T315" s="515"/>
      <c r="U315" s="515"/>
      <c r="V315" s="515"/>
      <c r="W315" s="515"/>
      <c r="X315" s="515"/>
      <c r="Y315" s="515"/>
      <c r="Z315" s="515"/>
      <c r="AA315" s="515"/>
      <c r="AB315" s="515"/>
      <c r="AC315" s="515"/>
      <c r="AD315" s="515"/>
      <c r="AE315" s="515"/>
      <c r="AF315" s="515"/>
      <c r="AG315" s="515"/>
      <c r="AH315" s="515"/>
      <c r="AI315" s="515"/>
      <c r="AJ315" s="515"/>
      <c r="AK315" s="515"/>
      <c r="AL315" s="515"/>
    </row>
    <row r="316" spans="1:38" ht="20.149999999999999" customHeight="1" x14ac:dyDescent="0.35">
      <c r="A316" s="507">
        <v>2</v>
      </c>
      <c r="B316" s="507" t="str">
        <f>PETUNJUK!B10</f>
        <v>Rengging</v>
      </c>
      <c r="C316" s="507">
        <f t="shared" ref="C316:E316" si="231">C282</f>
        <v>111.10000000000001</v>
      </c>
      <c r="D316" s="507">
        <f t="shared" si="231"/>
        <v>106.05000000000001</v>
      </c>
      <c r="E316" s="507">
        <f t="shared" si="231"/>
        <v>22.220000000000002</v>
      </c>
      <c r="F316" s="515"/>
      <c r="G316" s="515"/>
      <c r="H316" s="515"/>
      <c r="I316" s="515"/>
      <c r="J316" s="515"/>
      <c r="K316" s="515"/>
      <c r="L316" s="515"/>
      <c r="M316" s="515"/>
      <c r="N316" s="673"/>
      <c r="O316" s="673"/>
      <c r="P316" s="515"/>
      <c r="Q316" s="515"/>
      <c r="R316" s="515"/>
      <c r="S316" s="515"/>
      <c r="T316" s="515"/>
      <c r="U316" s="515"/>
      <c r="V316" s="515"/>
      <c r="W316" s="515"/>
      <c r="X316" s="515"/>
      <c r="Y316" s="515"/>
      <c r="Z316" s="515"/>
      <c r="AA316" s="515"/>
      <c r="AB316" s="515"/>
      <c r="AC316" s="515"/>
      <c r="AD316" s="515"/>
      <c r="AE316" s="515"/>
      <c r="AF316" s="515"/>
      <c r="AG316" s="515"/>
      <c r="AH316" s="515"/>
      <c r="AI316" s="515"/>
      <c r="AJ316" s="515"/>
      <c r="AK316" s="515"/>
      <c r="AL316" s="515"/>
    </row>
    <row r="317" spans="1:38" ht="20.149999999999999" customHeight="1" x14ac:dyDescent="0.35">
      <c r="A317" s="507">
        <v>3</v>
      </c>
      <c r="B317" s="507" t="str">
        <f>PETUNJUK!B11</f>
        <v>Troso</v>
      </c>
      <c r="C317" s="507">
        <f t="shared" ref="C317:E317" si="232">C283</f>
        <v>205.70000000000002</v>
      </c>
      <c r="D317" s="507">
        <f t="shared" si="232"/>
        <v>196.35</v>
      </c>
      <c r="E317" s="507">
        <f t="shared" si="232"/>
        <v>41.140000000000008</v>
      </c>
      <c r="F317" s="515"/>
      <c r="G317" s="515"/>
      <c r="H317" s="515"/>
      <c r="I317" s="515"/>
      <c r="J317" s="515"/>
      <c r="K317" s="515"/>
      <c r="L317" s="515"/>
      <c r="M317" s="515"/>
      <c r="N317" s="673"/>
      <c r="O317" s="673"/>
      <c r="P317" s="515"/>
      <c r="Q317" s="515"/>
      <c r="R317" s="515"/>
      <c r="S317" s="515"/>
      <c r="T317" s="515"/>
      <c r="U317" s="515"/>
      <c r="V317" s="515"/>
      <c r="W317" s="515"/>
      <c r="X317" s="515"/>
      <c r="Y317" s="515"/>
      <c r="Z317" s="515"/>
      <c r="AA317" s="515"/>
      <c r="AB317" s="515"/>
      <c r="AC317" s="515"/>
      <c r="AD317" s="515"/>
      <c r="AE317" s="515"/>
      <c r="AF317" s="515"/>
      <c r="AG317" s="515"/>
      <c r="AH317" s="515"/>
      <c r="AI317" s="515"/>
      <c r="AJ317" s="515"/>
      <c r="AK317" s="515"/>
      <c r="AL317" s="515"/>
    </row>
    <row r="318" spans="1:38" ht="20.149999999999999" customHeight="1" x14ac:dyDescent="0.35">
      <c r="A318" s="507">
        <v>4</v>
      </c>
      <c r="B318" s="507" t="str">
        <f>PETUNJUK!B12</f>
        <v>Ngeling</v>
      </c>
      <c r="C318" s="507">
        <f t="shared" ref="C318:E318" si="233">C284</f>
        <v>95.7</v>
      </c>
      <c r="D318" s="507">
        <f t="shared" si="233"/>
        <v>91.350000000000009</v>
      </c>
      <c r="E318" s="507">
        <f t="shared" si="233"/>
        <v>19.14</v>
      </c>
      <c r="F318" s="515"/>
      <c r="G318" s="515"/>
      <c r="H318" s="515"/>
      <c r="I318" s="515"/>
      <c r="J318" s="515"/>
      <c r="K318" s="515"/>
      <c r="L318" s="515"/>
      <c r="M318" s="515"/>
      <c r="N318" s="673"/>
      <c r="O318" s="673"/>
      <c r="P318" s="515"/>
      <c r="Q318" s="515"/>
      <c r="R318" s="515"/>
      <c r="S318" s="515"/>
      <c r="T318" s="515"/>
      <c r="U318" s="515"/>
      <c r="V318" s="515"/>
      <c r="W318" s="515"/>
      <c r="X318" s="515"/>
      <c r="Y318" s="515"/>
      <c r="Z318" s="515"/>
      <c r="AA318" s="515"/>
      <c r="AB318" s="515"/>
      <c r="AC318" s="515"/>
      <c r="AD318" s="515"/>
      <c r="AE318" s="515"/>
      <c r="AF318" s="515"/>
      <c r="AG318" s="515"/>
      <c r="AH318" s="515"/>
      <c r="AI318" s="515"/>
      <c r="AJ318" s="515"/>
      <c r="AK318" s="515"/>
      <c r="AL318" s="515"/>
    </row>
    <row r="319" spans="1:38" ht="20.149999999999999" customHeight="1" x14ac:dyDescent="0.35">
      <c r="A319" s="507">
        <v>5</v>
      </c>
      <c r="B319" s="507" t="str">
        <f>PETUNJUK!B13</f>
        <v>Lebuawu</v>
      </c>
      <c r="C319" s="507">
        <f t="shared" ref="C319:E319" si="234">C285</f>
        <v>85.800000000000011</v>
      </c>
      <c r="D319" s="507">
        <f t="shared" si="234"/>
        <v>81.900000000000006</v>
      </c>
      <c r="E319" s="507">
        <f t="shared" si="234"/>
        <v>17.160000000000004</v>
      </c>
      <c r="F319" s="515"/>
      <c r="G319" s="515"/>
      <c r="H319" s="515"/>
      <c r="I319" s="515"/>
      <c r="J319" s="515"/>
      <c r="K319" s="515"/>
      <c r="L319" s="515"/>
      <c r="M319" s="515"/>
      <c r="N319" s="673"/>
      <c r="O319" s="673"/>
      <c r="P319" s="515"/>
      <c r="Q319" s="515"/>
      <c r="R319" s="515"/>
      <c r="S319" s="515"/>
      <c r="T319" s="515"/>
      <c r="U319" s="515"/>
      <c r="V319" s="515"/>
      <c r="W319" s="515"/>
      <c r="X319" s="515"/>
      <c r="Y319" s="515"/>
      <c r="Z319" s="515"/>
      <c r="AA319" s="515"/>
      <c r="AB319" s="515"/>
      <c r="AC319" s="515"/>
      <c r="AD319" s="515"/>
      <c r="AE319" s="515"/>
      <c r="AF319" s="515"/>
      <c r="AG319" s="515"/>
      <c r="AH319" s="515"/>
      <c r="AI319" s="515"/>
      <c r="AJ319" s="515"/>
      <c r="AK319" s="515"/>
      <c r="AL319" s="515"/>
    </row>
    <row r="320" spans="1:38" ht="20.149999999999999" customHeight="1" x14ac:dyDescent="0.35">
      <c r="A320" s="507">
        <v>6</v>
      </c>
      <c r="B320" s="507" t="str">
        <f>PETUNJUK!B14</f>
        <v>Pulodarat</v>
      </c>
      <c r="C320" s="507">
        <f t="shared" ref="C320:E320" si="235">C286</f>
        <v>82.5</v>
      </c>
      <c r="D320" s="507">
        <f t="shared" si="235"/>
        <v>78.75</v>
      </c>
      <c r="E320" s="507">
        <f t="shared" si="235"/>
        <v>16.5</v>
      </c>
      <c r="F320" s="515"/>
      <c r="G320" s="515"/>
      <c r="H320" s="515"/>
      <c r="I320" s="515"/>
      <c r="J320" s="515"/>
      <c r="K320" s="515"/>
      <c r="L320" s="515"/>
      <c r="M320" s="515"/>
      <c r="N320" s="673"/>
      <c r="O320" s="673"/>
      <c r="P320" s="515"/>
      <c r="Q320" s="515"/>
      <c r="R320" s="515"/>
      <c r="S320" s="515"/>
      <c r="T320" s="515"/>
      <c r="U320" s="515"/>
      <c r="V320" s="515"/>
      <c r="W320" s="515"/>
      <c r="X320" s="515"/>
      <c r="Y320" s="515"/>
      <c r="Z320" s="515"/>
      <c r="AA320" s="515"/>
      <c r="AB320" s="515"/>
      <c r="AC320" s="515"/>
      <c r="AD320" s="515"/>
      <c r="AE320" s="515"/>
      <c r="AF320" s="515"/>
      <c r="AG320" s="515"/>
      <c r="AH320" s="515"/>
      <c r="AI320" s="515"/>
      <c r="AJ320" s="515"/>
      <c r="AK320" s="515"/>
      <c r="AL320" s="515"/>
    </row>
    <row r="321" spans="1:42" ht="20.149999999999999" customHeight="1" x14ac:dyDescent="0.35">
      <c r="A321" s="507">
        <v>7</v>
      </c>
      <c r="B321" s="507" t="str">
        <f>PETUNJUK!B15</f>
        <v>Karangrandu</v>
      </c>
      <c r="C321" s="507">
        <f t="shared" ref="C321:E321" si="236">C287</f>
        <v>93.500000000000014</v>
      </c>
      <c r="D321" s="507">
        <f t="shared" si="236"/>
        <v>89.25</v>
      </c>
      <c r="E321" s="507">
        <f t="shared" si="236"/>
        <v>18.700000000000003</v>
      </c>
      <c r="F321" s="515"/>
      <c r="G321" s="515"/>
      <c r="H321" s="515"/>
      <c r="I321" s="515"/>
      <c r="J321" s="515"/>
      <c r="K321" s="515"/>
      <c r="L321" s="515"/>
      <c r="M321" s="515"/>
      <c r="N321" s="673"/>
      <c r="O321" s="673"/>
      <c r="P321" s="515"/>
      <c r="Q321" s="515"/>
      <c r="R321" s="515"/>
      <c r="S321" s="515"/>
      <c r="T321" s="515"/>
      <c r="U321" s="515"/>
      <c r="V321" s="515"/>
      <c r="W321" s="515"/>
      <c r="X321" s="515"/>
      <c r="Y321" s="515"/>
      <c r="Z321" s="515"/>
      <c r="AA321" s="515"/>
      <c r="AB321" s="515"/>
      <c r="AC321" s="515"/>
      <c r="AD321" s="515"/>
      <c r="AE321" s="515"/>
      <c r="AF321" s="515"/>
      <c r="AG321" s="515"/>
      <c r="AH321" s="515"/>
      <c r="AI321" s="515"/>
      <c r="AJ321" s="515"/>
      <c r="AK321" s="515"/>
      <c r="AL321" s="515"/>
    </row>
    <row r="322" spans="1:42" ht="20.149999999999999" customHeight="1" x14ac:dyDescent="0.35">
      <c r="A322" s="507">
        <v>8</v>
      </c>
      <c r="B322" s="507" t="str">
        <f>PETUNJUK!B16</f>
        <v>Kaliombo</v>
      </c>
      <c r="C322" s="507">
        <f t="shared" ref="C322:E322" si="237">C288</f>
        <v>46.2</v>
      </c>
      <c r="D322" s="507">
        <f t="shared" si="237"/>
        <v>44.1</v>
      </c>
      <c r="E322" s="507">
        <f t="shared" si="237"/>
        <v>9.24</v>
      </c>
      <c r="F322" s="515"/>
      <c r="G322" s="515"/>
      <c r="H322" s="515"/>
      <c r="I322" s="515"/>
      <c r="J322" s="515"/>
      <c r="K322" s="515"/>
      <c r="L322" s="515"/>
      <c r="M322" s="515"/>
      <c r="N322" s="673"/>
      <c r="O322" s="673"/>
      <c r="P322" s="515"/>
      <c r="Q322" s="515"/>
      <c r="R322" s="515"/>
      <c r="S322" s="515"/>
      <c r="T322" s="515"/>
      <c r="U322" s="515"/>
      <c r="V322" s="515"/>
      <c r="W322" s="515"/>
      <c r="X322" s="515"/>
      <c r="Y322" s="515"/>
      <c r="Z322" s="515"/>
      <c r="AA322" s="515"/>
      <c r="AB322" s="515"/>
      <c r="AC322" s="515"/>
      <c r="AD322" s="515"/>
      <c r="AE322" s="515"/>
      <c r="AF322" s="515"/>
      <c r="AG322" s="515"/>
      <c r="AH322" s="515"/>
      <c r="AI322" s="515"/>
      <c r="AJ322" s="515"/>
      <c r="AK322" s="515"/>
      <c r="AL322" s="515"/>
    </row>
    <row r="323" spans="1:42" ht="20.149999999999999" customHeight="1" x14ac:dyDescent="0.35">
      <c r="A323" s="507">
        <v>9</v>
      </c>
      <c r="B323" s="507" t="str">
        <f>PETUNJUK!B17</f>
        <v>Gemulung</v>
      </c>
      <c r="C323" s="507">
        <f t="shared" ref="C323:E323" si="238">C289</f>
        <v>53.900000000000006</v>
      </c>
      <c r="D323" s="507">
        <f t="shared" si="238"/>
        <v>51.45</v>
      </c>
      <c r="E323" s="507">
        <f t="shared" si="238"/>
        <v>10.780000000000001</v>
      </c>
      <c r="F323" s="515"/>
      <c r="G323" s="515"/>
      <c r="H323" s="515"/>
      <c r="I323" s="515"/>
      <c r="J323" s="515"/>
      <c r="K323" s="515"/>
      <c r="L323" s="515"/>
      <c r="M323" s="515"/>
      <c r="N323" s="673"/>
      <c r="O323" s="673"/>
      <c r="P323" s="515"/>
      <c r="Q323" s="515"/>
      <c r="R323" s="515"/>
      <c r="S323" s="515"/>
      <c r="T323" s="515"/>
      <c r="U323" s="515"/>
      <c r="V323" s="515"/>
      <c r="W323" s="515"/>
      <c r="X323" s="515"/>
      <c r="Y323" s="515"/>
      <c r="Z323" s="515"/>
      <c r="AA323" s="515"/>
      <c r="AB323" s="515"/>
      <c r="AC323" s="515"/>
      <c r="AD323" s="515"/>
      <c r="AE323" s="515"/>
      <c r="AF323" s="515"/>
      <c r="AG323" s="515"/>
      <c r="AH323" s="515"/>
      <c r="AI323" s="515"/>
      <c r="AJ323" s="515"/>
      <c r="AK323" s="515"/>
      <c r="AL323" s="515"/>
    </row>
    <row r="324" spans="1:42" ht="20.149999999999999" customHeight="1" x14ac:dyDescent="0.35">
      <c r="A324" s="507">
        <v>6</v>
      </c>
      <c r="B324" s="507" t="str">
        <f>PETUNJUK!B18</f>
        <v>Pecangaan Wetan</v>
      </c>
      <c r="C324" s="507">
        <f t="shared" ref="C324:E324" si="239">C290</f>
        <v>50.6</v>
      </c>
      <c r="D324" s="507">
        <f t="shared" si="239"/>
        <v>48.300000000000004</v>
      </c>
      <c r="E324" s="507">
        <f t="shared" si="239"/>
        <v>10.120000000000001</v>
      </c>
      <c r="F324" s="515"/>
      <c r="G324" s="515"/>
      <c r="H324" s="515"/>
      <c r="I324" s="515"/>
      <c r="J324" s="515"/>
      <c r="K324" s="515"/>
      <c r="L324" s="515"/>
      <c r="M324" s="515"/>
      <c r="N324" s="673"/>
      <c r="O324" s="673"/>
      <c r="P324" s="515"/>
      <c r="Q324" s="515"/>
      <c r="R324" s="515"/>
      <c r="S324" s="515"/>
      <c r="T324" s="515"/>
      <c r="U324" s="515"/>
      <c r="V324" s="515"/>
      <c r="W324" s="515"/>
      <c r="X324" s="515"/>
      <c r="Y324" s="515"/>
      <c r="Z324" s="515"/>
      <c r="AA324" s="515"/>
      <c r="AB324" s="515"/>
      <c r="AC324" s="515"/>
      <c r="AD324" s="515"/>
      <c r="AE324" s="515"/>
      <c r="AF324" s="515"/>
      <c r="AG324" s="515"/>
      <c r="AH324" s="515"/>
      <c r="AI324" s="515"/>
      <c r="AJ324" s="515"/>
      <c r="AK324" s="515"/>
      <c r="AL324" s="515"/>
    </row>
    <row r="325" spans="1:42" ht="20.149999999999999" customHeight="1" x14ac:dyDescent="0.35">
      <c r="A325" s="507">
        <v>11</v>
      </c>
      <c r="B325" s="507" t="str">
        <f>PETUNJUK!B19</f>
        <v>Krasak</v>
      </c>
      <c r="C325" s="507">
        <f t="shared" ref="C325:E325" si="240">C291</f>
        <v>117.7</v>
      </c>
      <c r="D325" s="507">
        <f t="shared" si="240"/>
        <v>112.35000000000001</v>
      </c>
      <c r="E325" s="507">
        <f t="shared" si="240"/>
        <v>23.540000000000003</v>
      </c>
      <c r="F325" s="515"/>
      <c r="G325" s="515"/>
      <c r="H325" s="515"/>
      <c r="I325" s="515"/>
      <c r="J325" s="515"/>
      <c r="K325" s="515"/>
      <c r="L325" s="515"/>
      <c r="M325" s="515"/>
      <c r="N325" s="673"/>
      <c r="O325" s="673"/>
      <c r="P325" s="515"/>
      <c r="Q325" s="515"/>
      <c r="R325" s="515"/>
      <c r="S325" s="515"/>
      <c r="T325" s="515"/>
      <c r="U325" s="515"/>
      <c r="V325" s="515"/>
      <c r="W325" s="515"/>
      <c r="X325" s="515"/>
      <c r="Y325" s="515"/>
      <c r="Z325" s="515"/>
      <c r="AA325" s="515"/>
      <c r="AB325" s="515"/>
      <c r="AC325" s="515"/>
      <c r="AD325" s="515"/>
      <c r="AE325" s="515"/>
      <c r="AF325" s="515"/>
      <c r="AG325" s="515"/>
      <c r="AH325" s="515"/>
      <c r="AI325" s="515"/>
      <c r="AJ325" s="515"/>
      <c r="AK325" s="515"/>
      <c r="AL325" s="515"/>
    </row>
    <row r="326" spans="1:42" ht="20.149999999999999" customHeight="1" x14ac:dyDescent="0.35">
      <c r="A326" s="507">
        <v>12</v>
      </c>
      <c r="B326" s="507" t="str">
        <f>PETUNJUK!B20</f>
        <v>Gerdu</v>
      </c>
      <c r="C326" s="507">
        <f t="shared" ref="C326:E326" si="241">C292</f>
        <v>23.1</v>
      </c>
      <c r="D326" s="507">
        <f t="shared" si="241"/>
        <v>22.05</v>
      </c>
      <c r="E326" s="507">
        <f t="shared" si="241"/>
        <v>4.62</v>
      </c>
      <c r="F326" s="515"/>
      <c r="G326" s="515"/>
      <c r="H326" s="515"/>
      <c r="I326" s="515"/>
      <c r="J326" s="515"/>
      <c r="K326" s="515"/>
      <c r="L326" s="515"/>
      <c r="M326" s="515"/>
      <c r="N326" s="673"/>
      <c r="O326" s="673"/>
      <c r="P326" s="515"/>
      <c r="Q326" s="515"/>
      <c r="R326" s="515"/>
      <c r="S326" s="515"/>
      <c r="T326" s="515"/>
      <c r="U326" s="515"/>
      <c r="V326" s="515"/>
      <c r="W326" s="515"/>
      <c r="X326" s="515"/>
      <c r="Y326" s="515"/>
      <c r="Z326" s="515"/>
      <c r="AA326" s="515"/>
      <c r="AB326" s="515"/>
      <c r="AC326" s="515"/>
      <c r="AD326" s="515"/>
      <c r="AE326" s="515"/>
      <c r="AF326" s="515"/>
      <c r="AG326" s="515"/>
      <c r="AH326" s="515"/>
      <c r="AI326" s="515"/>
      <c r="AJ326" s="515"/>
      <c r="AK326" s="515"/>
      <c r="AL326" s="515"/>
    </row>
    <row r="327" spans="1:42" ht="20.149999999999999" customHeight="1" x14ac:dyDescent="0.35">
      <c r="A327" s="507">
        <v>13</v>
      </c>
      <c r="B327" s="507">
        <f>PETUNJUK!B21</f>
        <v>0</v>
      </c>
      <c r="C327" s="507">
        <f t="shared" ref="C327:E327" si="242">C293</f>
        <v>0</v>
      </c>
      <c r="D327" s="507">
        <f t="shared" si="242"/>
        <v>0</v>
      </c>
      <c r="E327" s="507">
        <f t="shared" si="242"/>
        <v>0</v>
      </c>
      <c r="F327" s="515"/>
      <c r="G327" s="515"/>
      <c r="H327" s="515"/>
      <c r="I327" s="515"/>
      <c r="J327" s="515"/>
      <c r="K327" s="515"/>
      <c r="L327" s="515"/>
      <c r="M327" s="515"/>
      <c r="N327" s="673"/>
      <c r="O327" s="673"/>
      <c r="P327" s="515"/>
      <c r="Q327" s="515"/>
      <c r="R327" s="515"/>
      <c r="S327" s="515"/>
      <c r="T327" s="515"/>
      <c r="U327" s="515"/>
      <c r="V327" s="515"/>
      <c r="W327" s="515"/>
      <c r="X327" s="515"/>
      <c r="Y327" s="515"/>
      <c r="Z327" s="515"/>
      <c r="AA327" s="515"/>
      <c r="AB327" s="515"/>
      <c r="AC327" s="515"/>
      <c r="AD327" s="515"/>
      <c r="AE327" s="515"/>
      <c r="AF327" s="515"/>
      <c r="AG327" s="515"/>
      <c r="AH327" s="515"/>
      <c r="AI327" s="515"/>
      <c r="AJ327" s="515"/>
      <c r="AK327" s="515"/>
      <c r="AL327" s="515"/>
    </row>
    <row r="328" spans="1:42" ht="20.149999999999999" customHeight="1" x14ac:dyDescent="0.35">
      <c r="A328" s="507">
        <v>14</v>
      </c>
      <c r="B328" s="507">
        <f>PETUNJUK!B22</f>
        <v>0</v>
      </c>
      <c r="C328" s="507">
        <f t="shared" ref="C328:E328" si="243">C294</f>
        <v>0</v>
      </c>
      <c r="D328" s="507">
        <f t="shared" si="243"/>
        <v>0</v>
      </c>
      <c r="E328" s="507">
        <f t="shared" si="243"/>
        <v>0</v>
      </c>
      <c r="F328" s="515"/>
      <c r="G328" s="515"/>
      <c r="H328" s="515"/>
      <c r="I328" s="515"/>
      <c r="J328" s="515"/>
      <c r="K328" s="515"/>
      <c r="L328" s="515"/>
      <c r="M328" s="515"/>
      <c r="N328" s="673"/>
      <c r="O328" s="673"/>
      <c r="P328" s="515"/>
      <c r="Q328" s="515"/>
      <c r="R328" s="515"/>
      <c r="S328" s="515"/>
      <c r="T328" s="515"/>
      <c r="U328" s="515"/>
      <c r="V328" s="515"/>
      <c r="W328" s="515"/>
      <c r="X328" s="515"/>
      <c r="Y328" s="515"/>
      <c r="Z328" s="515"/>
      <c r="AA328" s="515"/>
      <c r="AB328" s="515"/>
      <c r="AC328" s="515"/>
      <c r="AD328" s="515"/>
      <c r="AE328" s="515"/>
      <c r="AF328" s="515"/>
      <c r="AG328" s="515"/>
      <c r="AH328" s="515"/>
      <c r="AI328" s="515"/>
      <c r="AJ328" s="515"/>
      <c r="AK328" s="515"/>
      <c r="AL328" s="515"/>
    </row>
    <row r="329" spans="1:42" ht="20.149999999999999" customHeight="1" x14ac:dyDescent="0.35">
      <c r="A329" s="507">
        <v>15</v>
      </c>
      <c r="B329" s="507">
        <f>PETUNJUK!B23</f>
        <v>0</v>
      </c>
      <c r="C329" s="507">
        <f t="shared" ref="C329:E329" si="244">C295</f>
        <v>0</v>
      </c>
      <c r="D329" s="507">
        <f t="shared" si="244"/>
        <v>0</v>
      </c>
      <c r="E329" s="507">
        <f t="shared" si="244"/>
        <v>0</v>
      </c>
      <c r="F329" s="515"/>
      <c r="G329" s="515"/>
      <c r="H329" s="515"/>
      <c r="I329" s="515"/>
      <c r="J329" s="515"/>
      <c r="K329" s="515"/>
      <c r="L329" s="515"/>
      <c r="M329" s="515"/>
      <c r="N329" s="673"/>
      <c r="O329" s="673"/>
      <c r="P329" s="515"/>
      <c r="Q329" s="515"/>
      <c r="R329" s="515"/>
      <c r="S329" s="515"/>
      <c r="T329" s="515"/>
      <c r="U329" s="515"/>
      <c r="V329" s="515"/>
      <c r="W329" s="515"/>
      <c r="X329" s="515"/>
      <c r="Y329" s="515"/>
      <c r="Z329" s="515"/>
      <c r="AA329" s="515"/>
      <c r="AB329" s="515"/>
      <c r="AC329" s="515"/>
      <c r="AD329" s="515"/>
      <c r="AE329" s="515"/>
      <c r="AF329" s="515"/>
      <c r="AG329" s="515"/>
      <c r="AH329" s="515"/>
      <c r="AI329" s="515"/>
      <c r="AJ329" s="515"/>
      <c r="AK329" s="515"/>
      <c r="AL329" s="515"/>
      <c r="AM329" s="13">
        <v>48</v>
      </c>
      <c r="AN329" s="13">
        <v>234</v>
      </c>
      <c r="AO329" s="13">
        <v>0</v>
      </c>
      <c r="AP329" s="13">
        <v>0</v>
      </c>
    </row>
    <row r="330" spans="1:42" ht="20.149999999999999" customHeight="1" x14ac:dyDescent="0.35">
      <c r="A330" s="507">
        <v>16</v>
      </c>
      <c r="B330" s="507">
        <f>PETUNJUK!B24</f>
        <v>0</v>
      </c>
      <c r="C330" s="507">
        <f t="shared" ref="C330:E330" si="245">C296</f>
        <v>0</v>
      </c>
      <c r="D330" s="507">
        <f t="shared" si="245"/>
        <v>0</v>
      </c>
      <c r="E330" s="507">
        <f t="shared" si="245"/>
        <v>0</v>
      </c>
      <c r="F330" s="515"/>
      <c r="G330" s="515"/>
      <c r="H330" s="515"/>
      <c r="I330" s="515"/>
      <c r="J330" s="515"/>
      <c r="K330" s="515"/>
      <c r="L330" s="515"/>
      <c r="M330" s="515"/>
      <c r="N330" s="673"/>
      <c r="O330" s="673"/>
      <c r="P330" s="515"/>
      <c r="Q330" s="515"/>
      <c r="R330" s="515"/>
      <c r="S330" s="515"/>
      <c r="T330" s="515"/>
      <c r="U330" s="515"/>
      <c r="V330" s="515"/>
      <c r="W330" s="515"/>
      <c r="X330" s="515"/>
      <c r="Y330" s="515"/>
      <c r="Z330" s="515"/>
      <c r="AA330" s="515"/>
      <c r="AB330" s="515"/>
      <c r="AC330" s="515"/>
      <c r="AD330" s="515"/>
      <c r="AE330" s="515"/>
      <c r="AF330" s="515"/>
      <c r="AG330" s="515"/>
      <c r="AH330" s="515"/>
      <c r="AI330" s="515"/>
      <c r="AJ330" s="515"/>
      <c r="AK330" s="515"/>
      <c r="AL330" s="515"/>
    </row>
    <row r="331" spans="1:42" ht="20.149999999999999" customHeight="1" x14ac:dyDescent="0.35">
      <c r="A331" s="507">
        <v>17</v>
      </c>
      <c r="B331" s="507">
        <f>PETUNJUK!B25</f>
        <v>0</v>
      </c>
      <c r="C331" s="507">
        <f t="shared" ref="C331:E331" si="246">C297</f>
        <v>0</v>
      </c>
      <c r="D331" s="507">
        <f t="shared" si="246"/>
        <v>0</v>
      </c>
      <c r="E331" s="507">
        <f t="shared" si="246"/>
        <v>0</v>
      </c>
      <c r="F331" s="515"/>
      <c r="G331" s="515"/>
      <c r="H331" s="515"/>
      <c r="I331" s="515"/>
      <c r="J331" s="515"/>
      <c r="K331" s="515"/>
      <c r="L331" s="515"/>
      <c r="M331" s="515"/>
      <c r="N331" s="673"/>
      <c r="O331" s="673"/>
      <c r="P331" s="515"/>
      <c r="Q331" s="515"/>
      <c r="R331" s="515"/>
      <c r="S331" s="515"/>
      <c r="T331" s="515"/>
      <c r="U331" s="515"/>
      <c r="V331" s="515"/>
      <c r="W331" s="515"/>
      <c r="X331" s="515"/>
      <c r="Y331" s="515"/>
      <c r="Z331" s="515"/>
      <c r="AA331" s="515"/>
      <c r="AB331" s="515"/>
      <c r="AC331" s="515"/>
      <c r="AD331" s="515"/>
      <c r="AE331" s="515"/>
      <c r="AF331" s="515"/>
      <c r="AG331" s="515"/>
      <c r="AH331" s="515"/>
      <c r="AI331" s="515"/>
      <c r="AJ331" s="515"/>
      <c r="AK331" s="515"/>
      <c r="AL331" s="515"/>
    </row>
    <row r="332" spans="1:42" ht="20.149999999999999" customHeight="1" x14ac:dyDescent="0.35">
      <c r="A332" s="507">
        <v>18</v>
      </c>
      <c r="B332" s="507">
        <f>PETUNJUK!B26</f>
        <v>0</v>
      </c>
      <c r="C332" s="507">
        <f t="shared" ref="C332:E332" si="247">C298</f>
        <v>0</v>
      </c>
      <c r="D332" s="507">
        <f t="shared" si="247"/>
        <v>0</v>
      </c>
      <c r="E332" s="507">
        <f t="shared" si="247"/>
        <v>0</v>
      </c>
      <c r="F332" s="515"/>
      <c r="G332" s="515"/>
      <c r="H332" s="515"/>
      <c r="I332" s="515"/>
      <c r="J332" s="515"/>
      <c r="K332" s="515"/>
      <c r="L332" s="515"/>
      <c r="M332" s="515"/>
      <c r="N332" s="673"/>
      <c r="O332" s="673"/>
      <c r="P332" s="515"/>
      <c r="Q332" s="515"/>
      <c r="R332" s="515"/>
      <c r="S332" s="515"/>
      <c r="T332" s="515"/>
      <c r="U332" s="515"/>
      <c r="V332" s="515"/>
      <c r="W332" s="515"/>
      <c r="X332" s="515"/>
      <c r="Y332" s="515"/>
      <c r="Z332" s="515"/>
      <c r="AA332" s="515"/>
      <c r="AB332" s="515"/>
      <c r="AC332" s="515"/>
      <c r="AD332" s="515"/>
      <c r="AE332" s="515"/>
      <c r="AF332" s="515"/>
      <c r="AG332" s="515"/>
      <c r="AH332" s="515"/>
      <c r="AI332" s="515"/>
      <c r="AJ332" s="515"/>
      <c r="AK332" s="515"/>
      <c r="AL332" s="515"/>
    </row>
    <row r="333" spans="1:42" ht="20.149999999999999" customHeight="1" x14ac:dyDescent="0.35">
      <c r="A333" s="507">
        <v>19</v>
      </c>
      <c r="B333" s="507">
        <f>PETUNJUK!B27</f>
        <v>0</v>
      </c>
      <c r="C333" s="507">
        <f t="shared" ref="C333:E333" si="248">C299</f>
        <v>0</v>
      </c>
      <c r="D333" s="507">
        <f t="shared" si="248"/>
        <v>0</v>
      </c>
      <c r="E333" s="507">
        <f t="shared" si="248"/>
        <v>0</v>
      </c>
      <c r="F333" s="515"/>
      <c r="G333" s="515"/>
      <c r="H333" s="515"/>
      <c r="I333" s="515"/>
      <c r="J333" s="515"/>
      <c r="K333" s="515"/>
      <c r="L333" s="515"/>
      <c r="M333" s="515"/>
      <c r="N333" s="673"/>
      <c r="O333" s="673"/>
      <c r="P333" s="515"/>
      <c r="Q333" s="515"/>
      <c r="R333" s="515"/>
      <c r="S333" s="515"/>
      <c r="T333" s="515"/>
      <c r="U333" s="515"/>
      <c r="V333" s="515"/>
      <c r="W333" s="515"/>
      <c r="X333" s="515"/>
      <c r="Y333" s="515"/>
      <c r="Z333" s="515"/>
      <c r="AA333" s="515"/>
      <c r="AB333" s="515"/>
      <c r="AC333" s="515"/>
      <c r="AD333" s="515"/>
      <c r="AE333" s="515"/>
      <c r="AF333" s="515"/>
      <c r="AG333" s="515"/>
      <c r="AH333" s="515"/>
      <c r="AI333" s="515"/>
      <c r="AJ333" s="515"/>
      <c r="AK333" s="515"/>
      <c r="AL333" s="515"/>
    </row>
    <row r="334" spans="1:42" ht="20.149999999999999" customHeight="1" x14ac:dyDescent="0.35">
      <c r="A334" s="507">
        <v>20</v>
      </c>
      <c r="B334" s="507">
        <f>PETUNJUK!B28</f>
        <v>0</v>
      </c>
      <c r="C334" s="507">
        <f t="shared" ref="C334:E334" si="249">C300</f>
        <v>0</v>
      </c>
      <c r="D334" s="507">
        <f t="shared" si="249"/>
        <v>0</v>
      </c>
      <c r="E334" s="507">
        <f t="shared" si="249"/>
        <v>0</v>
      </c>
      <c r="F334" s="515"/>
      <c r="G334" s="515"/>
      <c r="H334" s="515"/>
      <c r="I334" s="515"/>
      <c r="J334" s="515"/>
      <c r="K334" s="515"/>
      <c r="L334" s="515"/>
      <c r="M334" s="515"/>
      <c r="N334" s="673"/>
      <c r="O334" s="673"/>
      <c r="P334" s="515"/>
      <c r="Q334" s="515"/>
      <c r="R334" s="515"/>
      <c r="S334" s="515"/>
      <c r="T334" s="515"/>
      <c r="U334" s="515"/>
      <c r="V334" s="515"/>
      <c r="W334" s="515"/>
      <c r="X334" s="515"/>
      <c r="Y334" s="515"/>
      <c r="Z334" s="515"/>
      <c r="AA334" s="515"/>
      <c r="AB334" s="515"/>
      <c r="AC334" s="515"/>
      <c r="AD334" s="515"/>
      <c r="AE334" s="515"/>
      <c r="AF334" s="515"/>
      <c r="AG334" s="515"/>
      <c r="AH334" s="515"/>
      <c r="AI334" s="515"/>
      <c r="AJ334" s="515"/>
      <c r="AK334" s="515"/>
      <c r="AL334" s="515"/>
    </row>
    <row r="335" spans="1:42" ht="20.149999999999999" customHeight="1" x14ac:dyDescent="0.35">
      <c r="A335" s="507">
        <v>21</v>
      </c>
      <c r="B335" s="507">
        <f>PETUNJUK!B29</f>
        <v>0</v>
      </c>
      <c r="C335" s="507">
        <f t="shared" ref="C335:E335" si="250">C301</f>
        <v>0</v>
      </c>
      <c r="D335" s="507">
        <f t="shared" si="250"/>
        <v>0</v>
      </c>
      <c r="E335" s="507">
        <f t="shared" si="250"/>
        <v>0</v>
      </c>
      <c r="F335" s="515"/>
      <c r="G335" s="515"/>
      <c r="H335" s="515"/>
      <c r="I335" s="515"/>
      <c r="J335" s="515"/>
      <c r="K335" s="515"/>
      <c r="L335" s="515"/>
      <c r="M335" s="515"/>
      <c r="N335" s="673"/>
      <c r="O335" s="673"/>
      <c r="P335" s="515"/>
      <c r="Q335" s="515"/>
      <c r="R335" s="515"/>
      <c r="S335" s="515"/>
      <c r="T335" s="515"/>
      <c r="U335" s="515"/>
      <c r="V335" s="515"/>
      <c r="W335" s="515"/>
      <c r="X335" s="515"/>
      <c r="Y335" s="515"/>
      <c r="Z335" s="515"/>
      <c r="AA335" s="515"/>
      <c r="AB335" s="515"/>
      <c r="AC335" s="515"/>
      <c r="AD335" s="515"/>
      <c r="AE335" s="515"/>
      <c r="AF335" s="515"/>
      <c r="AG335" s="515"/>
      <c r="AH335" s="515"/>
      <c r="AI335" s="515"/>
      <c r="AJ335" s="515"/>
      <c r="AK335" s="515"/>
      <c r="AL335" s="515"/>
    </row>
    <row r="336" spans="1:42" ht="20.149999999999999" customHeight="1" thickBot="1" x14ac:dyDescent="0.4">
      <c r="A336" s="512">
        <v>22</v>
      </c>
      <c r="B336" s="512">
        <f>PETUNJUK!B30</f>
        <v>0</v>
      </c>
      <c r="C336" s="507">
        <f t="shared" ref="C336:E336" si="251">C302</f>
        <v>0</v>
      </c>
      <c r="D336" s="507">
        <f t="shared" si="251"/>
        <v>0</v>
      </c>
      <c r="E336" s="507">
        <f t="shared" si="251"/>
        <v>0</v>
      </c>
      <c r="F336" s="509"/>
      <c r="G336" s="509"/>
      <c r="H336" s="509"/>
      <c r="I336" s="509"/>
      <c r="J336" s="509"/>
      <c r="K336" s="509"/>
      <c r="L336" s="509"/>
      <c r="M336" s="509"/>
      <c r="N336" s="675"/>
      <c r="O336" s="675"/>
      <c r="P336" s="509"/>
      <c r="Q336" s="509"/>
      <c r="R336" s="509"/>
      <c r="S336" s="509"/>
      <c r="T336" s="509"/>
      <c r="U336" s="509"/>
      <c r="V336" s="509"/>
      <c r="W336" s="509"/>
      <c r="X336" s="509"/>
      <c r="Y336" s="509"/>
      <c r="Z336" s="509"/>
      <c r="AA336" s="509"/>
      <c r="AB336" s="509"/>
      <c r="AC336" s="509"/>
      <c r="AD336" s="509"/>
      <c r="AE336" s="509"/>
      <c r="AF336" s="509"/>
      <c r="AG336" s="509"/>
      <c r="AH336" s="509"/>
      <c r="AI336" s="509"/>
      <c r="AJ336" s="509"/>
      <c r="AK336" s="509"/>
      <c r="AL336" s="509"/>
    </row>
    <row r="337" spans="1:38" ht="20.149999999999999" customHeight="1" thickBot="1" x14ac:dyDescent="0.4">
      <c r="A337" s="744" t="s">
        <v>18</v>
      </c>
      <c r="B337" s="745"/>
      <c r="C337" s="513">
        <f>SUM(C315:C336)</f>
        <v>1067</v>
      </c>
      <c r="D337" s="513">
        <f t="shared" ref="D337:AL337" si="252">SUM(D315:D336)</f>
        <v>1018.5</v>
      </c>
      <c r="E337" s="513">
        <f t="shared" si="252"/>
        <v>213.40000000000003</v>
      </c>
      <c r="F337" s="513">
        <f t="shared" si="252"/>
        <v>0</v>
      </c>
      <c r="G337" s="513">
        <f t="shared" si="252"/>
        <v>0</v>
      </c>
      <c r="H337" s="513">
        <f t="shared" si="252"/>
        <v>0</v>
      </c>
      <c r="I337" s="513">
        <f t="shared" si="252"/>
        <v>0</v>
      </c>
      <c r="J337" s="513">
        <f t="shared" si="252"/>
        <v>0</v>
      </c>
      <c r="K337" s="513">
        <f t="shared" si="252"/>
        <v>0</v>
      </c>
      <c r="L337" s="513">
        <f t="shared" si="252"/>
        <v>0</v>
      </c>
      <c r="M337" s="513">
        <f t="shared" si="252"/>
        <v>0</v>
      </c>
      <c r="N337" s="513"/>
      <c r="O337" s="513"/>
      <c r="P337" s="513">
        <f t="shared" si="252"/>
        <v>0</v>
      </c>
      <c r="Q337" s="513">
        <f t="shared" si="252"/>
        <v>0</v>
      </c>
      <c r="R337" s="513">
        <f t="shared" si="252"/>
        <v>0</v>
      </c>
      <c r="S337" s="513">
        <f t="shared" si="252"/>
        <v>0</v>
      </c>
      <c r="T337" s="513">
        <f t="shared" si="252"/>
        <v>0</v>
      </c>
      <c r="U337" s="513">
        <f t="shared" si="252"/>
        <v>0</v>
      </c>
      <c r="V337" s="513">
        <f t="shared" si="252"/>
        <v>0</v>
      </c>
      <c r="W337" s="513">
        <f t="shared" si="252"/>
        <v>0</v>
      </c>
      <c r="X337" s="513">
        <f t="shared" si="252"/>
        <v>0</v>
      </c>
      <c r="Y337" s="513">
        <f t="shared" si="252"/>
        <v>0</v>
      </c>
      <c r="Z337" s="513">
        <f t="shared" si="252"/>
        <v>0</v>
      </c>
      <c r="AA337" s="513">
        <f t="shared" si="252"/>
        <v>0</v>
      </c>
      <c r="AB337" s="513">
        <f t="shared" si="252"/>
        <v>0</v>
      </c>
      <c r="AC337" s="513">
        <f t="shared" si="252"/>
        <v>0</v>
      </c>
      <c r="AD337" s="513">
        <f t="shared" si="252"/>
        <v>0</v>
      </c>
      <c r="AE337" s="513">
        <f t="shared" si="252"/>
        <v>0</v>
      </c>
      <c r="AF337" s="513">
        <f t="shared" si="252"/>
        <v>0</v>
      </c>
      <c r="AG337" s="513">
        <f t="shared" si="252"/>
        <v>0</v>
      </c>
      <c r="AH337" s="513">
        <f t="shared" si="252"/>
        <v>0</v>
      </c>
      <c r="AI337" s="513">
        <f t="shared" si="252"/>
        <v>0</v>
      </c>
      <c r="AJ337" s="513">
        <f t="shared" si="252"/>
        <v>0</v>
      </c>
      <c r="AK337" s="513">
        <f t="shared" si="252"/>
        <v>0</v>
      </c>
      <c r="AL337" s="518">
        <f t="shared" si="252"/>
        <v>0</v>
      </c>
    </row>
    <row r="338" spans="1:38" ht="15.5" x14ac:dyDescent="0.35">
      <c r="A338" s="514"/>
      <c r="B338" s="514"/>
      <c r="C338" s="514"/>
      <c r="D338" s="514"/>
      <c r="E338" s="514"/>
      <c r="F338" s="514"/>
      <c r="G338" s="514"/>
      <c r="H338" s="514"/>
      <c r="I338" s="514"/>
      <c r="J338" s="514"/>
      <c r="K338" s="514"/>
      <c r="L338" s="514"/>
      <c r="M338" s="514"/>
      <c r="N338" s="514"/>
      <c r="O338" s="514"/>
      <c r="P338" s="514"/>
      <c r="Q338" s="514"/>
      <c r="R338" s="514"/>
      <c r="S338" s="514"/>
      <c r="T338" s="514"/>
      <c r="U338" s="514"/>
      <c r="V338" s="514"/>
      <c r="W338" s="514"/>
      <c r="X338" s="514"/>
      <c r="Y338" s="514"/>
      <c r="Z338" s="514"/>
      <c r="AA338" s="514"/>
      <c r="AB338" s="514"/>
      <c r="AC338" s="514"/>
      <c r="AD338" s="514"/>
      <c r="AE338" s="514"/>
      <c r="AF338" s="514"/>
      <c r="AG338" s="514"/>
      <c r="AH338" s="514"/>
      <c r="AI338" s="514"/>
      <c r="AJ338" s="514"/>
      <c r="AK338" s="514"/>
      <c r="AL338" s="514"/>
    </row>
    <row r="339" spans="1:38" ht="15.5" x14ac:dyDescent="0.35">
      <c r="A339" s="514"/>
      <c r="B339" s="514"/>
      <c r="C339" s="514"/>
      <c r="D339" s="514"/>
      <c r="E339" s="514"/>
      <c r="F339" s="514"/>
      <c r="G339" s="514"/>
      <c r="H339" s="514"/>
      <c r="I339" s="514"/>
      <c r="J339" s="514"/>
      <c r="K339" s="514"/>
      <c r="L339" s="514"/>
      <c r="M339" s="514"/>
      <c r="N339" s="514"/>
      <c r="O339" s="514"/>
      <c r="P339" s="514"/>
      <c r="Q339" s="514"/>
      <c r="R339" s="514"/>
      <c r="S339" s="514"/>
      <c r="T339" s="514"/>
      <c r="U339" s="514"/>
      <c r="V339" s="514"/>
      <c r="W339" s="514"/>
      <c r="X339" s="514"/>
      <c r="Y339" s="514"/>
      <c r="Z339" s="514"/>
      <c r="AA339" s="514"/>
      <c r="AB339" s="514"/>
      <c r="AC339" s="514"/>
      <c r="AD339" s="514"/>
      <c r="AE339" s="514"/>
      <c r="AF339" s="514"/>
      <c r="AG339" s="514"/>
      <c r="AH339" s="514"/>
      <c r="AI339" s="514"/>
      <c r="AJ339" s="514"/>
      <c r="AK339" s="514"/>
      <c r="AL339" s="514"/>
    </row>
    <row r="340" spans="1:38" ht="15.5" x14ac:dyDescent="0.35">
      <c r="A340" s="514"/>
      <c r="B340" s="514"/>
      <c r="C340" s="514"/>
      <c r="D340" s="514"/>
      <c r="E340" s="514"/>
      <c r="F340" s="514"/>
      <c r="G340" s="514"/>
      <c r="H340" s="514"/>
      <c r="I340" s="514"/>
      <c r="J340" s="514"/>
      <c r="K340" s="514"/>
      <c r="L340" s="514"/>
      <c r="M340" s="514"/>
      <c r="N340" s="514"/>
      <c r="O340" s="514"/>
      <c r="P340" s="514"/>
      <c r="Q340" s="514"/>
      <c r="R340" s="514"/>
      <c r="S340" s="514"/>
      <c r="T340" s="514"/>
      <c r="U340" s="514"/>
      <c r="V340" s="514"/>
      <c r="W340" s="514"/>
      <c r="X340" s="514"/>
      <c r="Y340" s="514"/>
      <c r="Z340" s="514"/>
      <c r="AA340" s="514"/>
      <c r="AB340" s="514"/>
      <c r="AC340" s="514"/>
      <c r="AD340" s="514"/>
      <c r="AE340" s="514"/>
      <c r="AF340" s="514"/>
      <c r="AG340" s="514"/>
      <c r="AH340" s="514"/>
      <c r="AI340" s="514"/>
      <c r="AJ340" s="514"/>
      <c r="AK340" s="514"/>
      <c r="AL340" s="514"/>
    </row>
    <row r="341" spans="1:38" ht="15.5" x14ac:dyDescent="0.35">
      <c r="A341" s="731" t="s">
        <v>239</v>
      </c>
      <c r="B341" s="731"/>
      <c r="C341" s="731"/>
      <c r="D341" s="731"/>
      <c r="E341" s="731"/>
      <c r="F341" s="731"/>
      <c r="G341" s="731"/>
      <c r="H341" s="731"/>
      <c r="I341" s="731"/>
      <c r="J341" s="731"/>
      <c r="K341" s="731"/>
      <c r="L341" s="731"/>
      <c r="M341" s="731"/>
      <c r="N341" s="731"/>
      <c r="O341" s="731"/>
      <c r="P341" s="731"/>
      <c r="Q341" s="731"/>
      <c r="R341" s="731"/>
      <c r="S341" s="731"/>
      <c r="T341" s="731"/>
      <c r="U341" s="731"/>
      <c r="V341" s="731"/>
      <c r="W341" s="731"/>
      <c r="X341" s="731"/>
      <c r="Y341" s="731"/>
      <c r="Z341" s="731"/>
      <c r="AA341" s="731"/>
      <c r="AB341" s="731"/>
      <c r="AC341" s="731"/>
      <c r="AD341" s="731"/>
      <c r="AE341" s="731"/>
      <c r="AF341" s="731"/>
      <c r="AG341" s="731"/>
      <c r="AH341" s="731"/>
      <c r="AI341" s="505"/>
      <c r="AJ341" s="505"/>
      <c r="AK341" s="505"/>
      <c r="AL341" s="505"/>
    </row>
    <row r="342" spans="1:38" ht="15.5" x14ac:dyDescent="0.35">
      <c r="A342" s="505"/>
      <c r="B342" s="505"/>
      <c r="C342" s="505"/>
      <c r="D342" s="505"/>
      <c r="E342" s="505"/>
      <c r="F342" s="505"/>
      <c r="G342" s="505"/>
      <c r="H342" s="505"/>
      <c r="I342" s="505"/>
      <c r="J342" s="505"/>
      <c r="K342" s="505"/>
      <c r="L342" s="505"/>
      <c r="M342" s="505"/>
      <c r="N342" s="505"/>
      <c r="O342" s="505"/>
      <c r="P342" s="505"/>
      <c r="Q342" s="505"/>
      <c r="R342" s="505"/>
      <c r="S342" s="505"/>
      <c r="T342" s="505"/>
      <c r="U342" s="505"/>
      <c r="V342" s="505"/>
      <c r="W342" s="505"/>
      <c r="X342" s="505"/>
      <c r="Y342" s="505"/>
      <c r="Z342" s="505"/>
      <c r="AA342" s="505"/>
      <c r="AB342" s="505"/>
      <c r="AC342" s="505"/>
      <c r="AD342" s="505"/>
      <c r="AE342" s="505"/>
      <c r="AF342" s="505"/>
      <c r="AG342" s="505"/>
      <c r="AH342" s="505"/>
      <c r="AI342" s="505"/>
      <c r="AJ342" s="505"/>
      <c r="AK342" s="505"/>
      <c r="AL342" s="505"/>
    </row>
    <row r="343" spans="1:38" ht="15.5" x14ac:dyDescent="0.35">
      <c r="A343" s="504" t="s">
        <v>168</v>
      </c>
      <c r="B343" s="504"/>
      <c r="C343" s="679" t="str">
        <f>PETUNJUK!C5</f>
        <v>PECANGAAN</v>
      </c>
      <c r="D343" s="504"/>
      <c r="E343" s="504"/>
      <c r="F343" s="504"/>
      <c r="G343" s="504"/>
      <c r="H343" s="504"/>
      <c r="I343" s="504"/>
      <c r="J343" s="504"/>
      <c r="K343" s="504"/>
      <c r="L343" s="504"/>
      <c r="M343" s="504"/>
      <c r="N343" s="504"/>
      <c r="O343" s="504"/>
      <c r="P343" s="504"/>
      <c r="Q343" s="504"/>
      <c r="R343" s="504"/>
      <c r="S343" s="504"/>
      <c r="T343" s="504"/>
      <c r="U343" s="504"/>
      <c r="V343" s="504"/>
      <c r="W343" s="504"/>
      <c r="X343" s="504"/>
      <c r="Y343" s="504"/>
      <c r="Z343" s="504"/>
      <c r="AA343" s="504"/>
      <c r="AB343" s="504"/>
      <c r="AC343" s="504"/>
      <c r="AD343" s="504"/>
      <c r="AE343" s="504"/>
      <c r="AF343" s="504"/>
      <c r="AG343" s="504"/>
      <c r="AH343" s="504"/>
      <c r="AI343" s="505"/>
      <c r="AJ343" s="505"/>
      <c r="AK343" s="505"/>
      <c r="AL343" s="505"/>
    </row>
    <row r="344" spans="1:38" ht="15.5" x14ac:dyDescent="0.35">
      <c r="A344" s="504" t="s">
        <v>169</v>
      </c>
      <c r="B344" s="504"/>
      <c r="C344" s="680" t="s">
        <v>399</v>
      </c>
      <c r="D344" s="504"/>
      <c r="E344" s="504"/>
      <c r="F344" s="504"/>
      <c r="G344" s="504"/>
      <c r="H344" s="504"/>
      <c r="I344" s="504"/>
      <c r="J344" s="504"/>
      <c r="K344" s="504"/>
      <c r="L344" s="504"/>
      <c r="M344" s="504"/>
      <c r="N344" s="504"/>
      <c r="O344" s="504"/>
      <c r="P344" s="504"/>
      <c r="Q344" s="504"/>
      <c r="R344" s="504"/>
      <c r="S344" s="504"/>
      <c r="T344" s="504"/>
      <c r="U344" s="504"/>
      <c r="V344" s="504"/>
      <c r="W344" s="504"/>
      <c r="X344" s="504"/>
      <c r="Y344" s="504"/>
      <c r="Z344" s="504"/>
      <c r="AA344" s="504"/>
      <c r="AB344" s="504"/>
      <c r="AC344" s="504"/>
      <c r="AD344" s="504"/>
      <c r="AE344" s="504"/>
      <c r="AF344" s="504"/>
      <c r="AG344" s="504"/>
      <c r="AH344" s="504"/>
      <c r="AI344" s="505"/>
      <c r="AJ344" s="505"/>
      <c r="AK344" s="505"/>
      <c r="AL344" s="505"/>
    </row>
    <row r="345" spans="1:38" ht="15.5" x14ac:dyDescent="0.35">
      <c r="A345" s="505"/>
      <c r="B345" s="505"/>
      <c r="C345" s="505"/>
      <c r="D345" s="505"/>
      <c r="E345" s="505"/>
      <c r="F345" s="505"/>
      <c r="G345" s="505"/>
      <c r="H345" s="505"/>
      <c r="I345" s="505"/>
      <c r="J345" s="505"/>
      <c r="K345" s="505"/>
      <c r="L345" s="505"/>
      <c r="M345" s="505"/>
      <c r="N345" s="505"/>
      <c r="O345" s="505"/>
      <c r="P345" s="505"/>
      <c r="Q345" s="505"/>
      <c r="R345" s="505"/>
      <c r="S345" s="505"/>
      <c r="T345" s="505"/>
      <c r="U345" s="505"/>
      <c r="V345" s="505"/>
      <c r="W345" s="505"/>
      <c r="X345" s="505"/>
      <c r="Y345" s="505"/>
      <c r="Z345" s="505"/>
      <c r="AA345" s="505"/>
      <c r="AB345" s="505"/>
      <c r="AC345" s="505"/>
      <c r="AD345" s="505"/>
      <c r="AE345" s="505"/>
      <c r="AF345" s="505"/>
      <c r="AG345" s="505"/>
      <c r="AH345" s="505"/>
      <c r="AI345" s="505"/>
      <c r="AJ345" s="505"/>
      <c r="AK345" s="505"/>
      <c r="AL345" s="505"/>
    </row>
    <row r="346" spans="1:38" s="15" customFormat="1" ht="20.25" customHeight="1" x14ac:dyDescent="0.35">
      <c r="A346" s="754" t="s">
        <v>1</v>
      </c>
      <c r="B346" s="754" t="s">
        <v>2</v>
      </c>
      <c r="C346" s="754" t="s">
        <v>174</v>
      </c>
      <c r="D346" s="754"/>
      <c r="E346" s="754"/>
      <c r="F346" s="755" t="s">
        <v>8</v>
      </c>
      <c r="G346" s="759" t="s">
        <v>295</v>
      </c>
      <c r="H346" s="759" t="s">
        <v>296</v>
      </c>
      <c r="I346" s="759" t="s">
        <v>297</v>
      </c>
      <c r="J346" s="739" t="s">
        <v>9</v>
      </c>
      <c r="K346" s="759" t="s">
        <v>298</v>
      </c>
      <c r="L346" s="760" t="s">
        <v>299</v>
      </c>
      <c r="M346" s="758" t="s">
        <v>289</v>
      </c>
      <c r="N346" s="758" t="s">
        <v>422</v>
      </c>
      <c r="O346" s="758" t="s">
        <v>423</v>
      </c>
      <c r="P346" s="739" t="s">
        <v>290</v>
      </c>
      <c r="Q346" s="752" t="s">
        <v>230</v>
      </c>
      <c r="R346" s="753"/>
      <c r="S346" s="753"/>
      <c r="T346" s="753"/>
      <c r="U346" s="753"/>
      <c r="V346" s="753"/>
      <c r="W346" s="755" t="s">
        <v>15</v>
      </c>
      <c r="X346" s="739" t="s">
        <v>16</v>
      </c>
      <c r="Y346" s="735" t="s">
        <v>231</v>
      </c>
      <c r="Z346" s="735"/>
      <c r="AA346" s="736" t="s">
        <v>240</v>
      </c>
      <c r="AB346" s="735" t="s">
        <v>4</v>
      </c>
      <c r="AC346" s="735"/>
      <c r="AD346" s="735"/>
      <c r="AE346" s="735"/>
      <c r="AF346" s="728" t="s">
        <v>237</v>
      </c>
      <c r="AG346" s="736" t="s">
        <v>23</v>
      </c>
      <c r="AH346" s="755" t="s">
        <v>3</v>
      </c>
      <c r="AI346" s="763" t="s">
        <v>238</v>
      </c>
      <c r="AJ346" s="764"/>
      <c r="AK346" s="764"/>
      <c r="AL346" s="765"/>
    </row>
    <row r="347" spans="1:38" s="15" customFormat="1" ht="18" customHeight="1" x14ac:dyDescent="0.35">
      <c r="A347" s="754"/>
      <c r="B347" s="754"/>
      <c r="C347" s="732" t="s">
        <v>5</v>
      </c>
      <c r="D347" s="732" t="s">
        <v>6</v>
      </c>
      <c r="E347" s="732" t="s">
        <v>133</v>
      </c>
      <c r="F347" s="756"/>
      <c r="G347" s="756"/>
      <c r="H347" s="756"/>
      <c r="I347" s="756"/>
      <c r="J347" s="740"/>
      <c r="K347" s="756"/>
      <c r="L347" s="761"/>
      <c r="M347" s="758"/>
      <c r="N347" s="758"/>
      <c r="O347" s="758"/>
      <c r="P347" s="740"/>
      <c r="Q347" s="732" t="s">
        <v>10</v>
      </c>
      <c r="R347" s="732" t="s">
        <v>11</v>
      </c>
      <c r="S347" s="732" t="s">
        <v>12</v>
      </c>
      <c r="T347" s="732" t="s">
        <v>13</v>
      </c>
      <c r="U347" s="732" t="s">
        <v>14</v>
      </c>
      <c r="V347" s="746" t="s">
        <v>227</v>
      </c>
      <c r="W347" s="756"/>
      <c r="X347" s="740"/>
      <c r="Y347" s="748" t="s">
        <v>228</v>
      </c>
      <c r="Z347" s="748" t="s">
        <v>229</v>
      </c>
      <c r="AA347" s="737"/>
      <c r="AB347" s="749" t="s">
        <v>232</v>
      </c>
      <c r="AC347" s="750"/>
      <c r="AD347" s="751"/>
      <c r="AE347" s="733" t="s">
        <v>236</v>
      </c>
      <c r="AF347" s="729"/>
      <c r="AG347" s="737"/>
      <c r="AH347" s="756"/>
      <c r="AI347" s="742" t="s">
        <v>166</v>
      </c>
      <c r="AJ347" s="742" t="s">
        <v>167</v>
      </c>
      <c r="AK347" s="742" t="s">
        <v>134</v>
      </c>
      <c r="AL347" s="742" t="s">
        <v>291</v>
      </c>
    </row>
    <row r="348" spans="1:38" s="15" customFormat="1" ht="68.25" customHeight="1" x14ac:dyDescent="0.35">
      <c r="A348" s="754"/>
      <c r="B348" s="754"/>
      <c r="C348" s="732"/>
      <c r="D348" s="732"/>
      <c r="E348" s="732"/>
      <c r="F348" s="757"/>
      <c r="G348" s="757"/>
      <c r="H348" s="757"/>
      <c r="I348" s="757"/>
      <c r="J348" s="741"/>
      <c r="K348" s="757"/>
      <c r="L348" s="762"/>
      <c r="M348" s="758"/>
      <c r="N348" s="758"/>
      <c r="O348" s="758"/>
      <c r="P348" s="741"/>
      <c r="Q348" s="732"/>
      <c r="R348" s="732"/>
      <c r="S348" s="732"/>
      <c r="T348" s="732"/>
      <c r="U348" s="732"/>
      <c r="V348" s="747"/>
      <c r="W348" s="757"/>
      <c r="X348" s="741"/>
      <c r="Y348" s="748"/>
      <c r="Z348" s="748"/>
      <c r="AA348" s="738"/>
      <c r="AB348" s="506" t="s">
        <v>233</v>
      </c>
      <c r="AC348" s="681" t="s">
        <v>234</v>
      </c>
      <c r="AD348" s="681" t="s">
        <v>235</v>
      </c>
      <c r="AE348" s="734"/>
      <c r="AF348" s="730"/>
      <c r="AG348" s="738"/>
      <c r="AH348" s="757"/>
      <c r="AI348" s="743"/>
      <c r="AJ348" s="743"/>
      <c r="AK348" s="743"/>
      <c r="AL348" s="743"/>
    </row>
    <row r="349" spans="1:38" ht="20.149999999999999" customHeight="1" x14ac:dyDescent="0.35">
      <c r="A349" s="507">
        <v>1</v>
      </c>
      <c r="B349" s="507" t="str">
        <f>PETUNJUK!B9</f>
        <v>Pecangaan Kulon</v>
      </c>
      <c r="C349" s="507">
        <f>C315</f>
        <v>101.2</v>
      </c>
      <c r="D349" s="507">
        <f t="shared" ref="D349:E349" si="253">D315</f>
        <v>96.600000000000009</v>
      </c>
      <c r="E349" s="507">
        <f t="shared" si="253"/>
        <v>20.240000000000002</v>
      </c>
      <c r="F349" s="515"/>
      <c r="G349" s="515"/>
      <c r="H349" s="515"/>
      <c r="I349" s="515"/>
      <c r="J349" s="515"/>
      <c r="K349" s="515"/>
      <c r="L349" s="515"/>
      <c r="M349" s="515"/>
      <c r="N349" s="673"/>
      <c r="O349" s="673"/>
      <c r="P349" s="515"/>
      <c r="Q349" s="515"/>
      <c r="R349" s="515"/>
      <c r="S349" s="515"/>
      <c r="T349" s="515"/>
      <c r="U349" s="515"/>
      <c r="V349" s="515"/>
      <c r="W349" s="515"/>
      <c r="X349" s="515"/>
      <c r="Y349" s="515"/>
      <c r="Z349" s="515"/>
      <c r="AA349" s="515"/>
      <c r="AB349" s="515"/>
      <c r="AC349" s="515"/>
      <c r="AD349" s="515"/>
      <c r="AE349" s="515"/>
      <c r="AF349" s="515"/>
      <c r="AG349" s="515"/>
      <c r="AH349" s="515"/>
      <c r="AI349" s="515"/>
      <c r="AJ349" s="515"/>
      <c r="AK349" s="515"/>
      <c r="AL349" s="515"/>
    </row>
    <row r="350" spans="1:38" ht="20.149999999999999" customHeight="1" x14ac:dyDescent="0.35">
      <c r="A350" s="507">
        <v>2</v>
      </c>
      <c r="B350" s="507" t="str">
        <f>PETUNJUK!B10</f>
        <v>Rengging</v>
      </c>
      <c r="C350" s="507">
        <f t="shared" ref="C350:E350" si="254">C316</f>
        <v>111.10000000000001</v>
      </c>
      <c r="D350" s="507">
        <f t="shared" si="254"/>
        <v>106.05000000000001</v>
      </c>
      <c r="E350" s="507">
        <f t="shared" si="254"/>
        <v>22.220000000000002</v>
      </c>
      <c r="F350" s="515"/>
      <c r="G350" s="515"/>
      <c r="H350" s="515"/>
      <c r="I350" s="515"/>
      <c r="J350" s="515"/>
      <c r="K350" s="515"/>
      <c r="L350" s="515"/>
      <c r="M350" s="515"/>
      <c r="N350" s="673"/>
      <c r="O350" s="673"/>
      <c r="P350" s="515"/>
      <c r="Q350" s="515"/>
      <c r="R350" s="515"/>
      <c r="S350" s="515"/>
      <c r="T350" s="515"/>
      <c r="U350" s="515"/>
      <c r="V350" s="515"/>
      <c r="W350" s="515"/>
      <c r="X350" s="515"/>
      <c r="Y350" s="515"/>
      <c r="Z350" s="515"/>
      <c r="AA350" s="515"/>
      <c r="AB350" s="515"/>
      <c r="AC350" s="515"/>
      <c r="AD350" s="515"/>
      <c r="AE350" s="515"/>
      <c r="AF350" s="515"/>
      <c r="AG350" s="515"/>
      <c r="AH350" s="515"/>
      <c r="AI350" s="515"/>
      <c r="AJ350" s="515"/>
      <c r="AK350" s="515"/>
      <c r="AL350" s="515"/>
    </row>
    <row r="351" spans="1:38" ht="20.149999999999999" customHeight="1" x14ac:dyDescent="0.35">
      <c r="A351" s="507">
        <v>3</v>
      </c>
      <c r="B351" s="507" t="str">
        <f>PETUNJUK!B11</f>
        <v>Troso</v>
      </c>
      <c r="C351" s="507">
        <f t="shared" ref="C351:E351" si="255">C317</f>
        <v>205.70000000000002</v>
      </c>
      <c r="D351" s="507">
        <f t="shared" si="255"/>
        <v>196.35</v>
      </c>
      <c r="E351" s="507">
        <f t="shared" si="255"/>
        <v>41.140000000000008</v>
      </c>
      <c r="F351" s="515"/>
      <c r="G351" s="515"/>
      <c r="H351" s="515"/>
      <c r="I351" s="515"/>
      <c r="J351" s="515"/>
      <c r="K351" s="515"/>
      <c r="L351" s="515"/>
      <c r="M351" s="515"/>
      <c r="N351" s="673"/>
      <c r="O351" s="673"/>
      <c r="P351" s="515"/>
      <c r="Q351" s="515"/>
      <c r="R351" s="515"/>
      <c r="S351" s="515"/>
      <c r="T351" s="515"/>
      <c r="U351" s="515"/>
      <c r="V351" s="515"/>
      <c r="W351" s="515"/>
      <c r="X351" s="515"/>
      <c r="Y351" s="515"/>
      <c r="Z351" s="515"/>
      <c r="AA351" s="515"/>
      <c r="AB351" s="515"/>
      <c r="AC351" s="515"/>
      <c r="AD351" s="515"/>
      <c r="AE351" s="515"/>
      <c r="AF351" s="515"/>
      <c r="AG351" s="515"/>
      <c r="AH351" s="515"/>
      <c r="AI351" s="515"/>
      <c r="AJ351" s="515"/>
      <c r="AK351" s="515"/>
      <c r="AL351" s="515"/>
    </row>
    <row r="352" spans="1:38" ht="20.149999999999999" customHeight="1" x14ac:dyDescent="0.35">
      <c r="A352" s="507">
        <v>4</v>
      </c>
      <c r="B352" s="507" t="str">
        <f>PETUNJUK!B12</f>
        <v>Ngeling</v>
      </c>
      <c r="C352" s="507">
        <f t="shared" ref="C352:E352" si="256">C318</f>
        <v>95.7</v>
      </c>
      <c r="D352" s="507">
        <f t="shared" si="256"/>
        <v>91.350000000000009</v>
      </c>
      <c r="E352" s="507">
        <f t="shared" si="256"/>
        <v>19.14</v>
      </c>
      <c r="F352" s="515"/>
      <c r="G352" s="515"/>
      <c r="H352" s="515"/>
      <c r="I352" s="515"/>
      <c r="J352" s="515"/>
      <c r="K352" s="515"/>
      <c r="L352" s="515"/>
      <c r="M352" s="515"/>
      <c r="N352" s="673"/>
      <c r="O352" s="673"/>
      <c r="P352" s="515"/>
      <c r="Q352" s="515"/>
      <c r="R352" s="515"/>
      <c r="S352" s="515"/>
      <c r="T352" s="515"/>
      <c r="U352" s="515"/>
      <c r="V352" s="515"/>
      <c r="W352" s="515"/>
      <c r="X352" s="515"/>
      <c r="Y352" s="515"/>
      <c r="Z352" s="515"/>
      <c r="AA352" s="515"/>
      <c r="AB352" s="515"/>
      <c r="AC352" s="515"/>
      <c r="AD352" s="515"/>
      <c r="AE352" s="515"/>
      <c r="AF352" s="515"/>
      <c r="AG352" s="515"/>
      <c r="AH352" s="515"/>
      <c r="AI352" s="515"/>
      <c r="AJ352" s="515"/>
      <c r="AK352" s="515"/>
      <c r="AL352" s="515"/>
    </row>
    <row r="353" spans="1:38" ht="20.149999999999999" customHeight="1" x14ac:dyDescent="0.35">
      <c r="A353" s="507">
        <v>5</v>
      </c>
      <c r="B353" s="507" t="str">
        <f>PETUNJUK!B13</f>
        <v>Lebuawu</v>
      </c>
      <c r="C353" s="507">
        <f t="shared" ref="C353:E353" si="257">C319</f>
        <v>85.800000000000011</v>
      </c>
      <c r="D353" s="507">
        <f t="shared" si="257"/>
        <v>81.900000000000006</v>
      </c>
      <c r="E353" s="507">
        <f t="shared" si="257"/>
        <v>17.160000000000004</v>
      </c>
      <c r="F353" s="515"/>
      <c r="G353" s="515"/>
      <c r="H353" s="515"/>
      <c r="I353" s="515"/>
      <c r="J353" s="515"/>
      <c r="K353" s="515"/>
      <c r="L353" s="515"/>
      <c r="M353" s="515"/>
      <c r="N353" s="673"/>
      <c r="O353" s="673"/>
      <c r="P353" s="515"/>
      <c r="Q353" s="515"/>
      <c r="R353" s="515"/>
      <c r="S353" s="515"/>
      <c r="T353" s="515"/>
      <c r="U353" s="515"/>
      <c r="V353" s="515"/>
      <c r="W353" s="515"/>
      <c r="X353" s="515"/>
      <c r="Y353" s="515"/>
      <c r="Z353" s="515"/>
      <c r="AA353" s="515"/>
      <c r="AB353" s="515"/>
      <c r="AC353" s="515"/>
      <c r="AD353" s="515"/>
      <c r="AE353" s="515"/>
      <c r="AF353" s="515"/>
      <c r="AG353" s="515"/>
      <c r="AH353" s="515"/>
      <c r="AI353" s="515"/>
      <c r="AJ353" s="515"/>
      <c r="AK353" s="515"/>
      <c r="AL353" s="515"/>
    </row>
    <row r="354" spans="1:38" ht="20.149999999999999" customHeight="1" x14ac:dyDescent="0.35">
      <c r="A354" s="507">
        <v>6</v>
      </c>
      <c r="B354" s="507" t="str">
        <f>PETUNJUK!B14</f>
        <v>Pulodarat</v>
      </c>
      <c r="C354" s="507">
        <f t="shared" ref="C354:E354" si="258">C320</f>
        <v>82.5</v>
      </c>
      <c r="D354" s="507">
        <f t="shared" si="258"/>
        <v>78.75</v>
      </c>
      <c r="E354" s="507">
        <f t="shared" si="258"/>
        <v>16.5</v>
      </c>
      <c r="F354" s="515"/>
      <c r="G354" s="515"/>
      <c r="H354" s="515"/>
      <c r="I354" s="515"/>
      <c r="J354" s="515"/>
      <c r="K354" s="515"/>
      <c r="L354" s="515"/>
      <c r="M354" s="515"/>
      <c r="N354" s="673"/>
      <c r="O354" s="673"/>
      <c r="P354" s="515"/>
      <c r="Q354" s="515"/>
      <c r="R354" s="515"/>
      <c r="S354" s="515"/>
      <c r="T354" s="515"/>
      <c r="U354" s="515"/>
      <c r="V354" s="515"/>
      <c r="W354" s="515"/>
      <c r="X354" s="515"/>
      <c r="Y354" s="515"/>
      <c r="Z354" s="515"/>
      <c r="AA354" s="515"/>
      <c r="AB354" s="515"/>
      <c r="AC354" s="515"/>
      <c r="AD354" s="515"/>
      <c r="AE354" s="515"/>
      <c r="AF354" s="515"/>
      <c r="AG354" s="515"/>
      <c r="AH354" s="515"/>
      <c r="AI354" s="515"/>
      <c r="AJ354" s="515"/>
      <c r="AK354" s="515"/>
      <c r="AL354" s="515"/>
    </row>
    <row r="355" spans="1:38" ht="20.149999999999999" customHeight="1" x14ac:dyDescent="0.35">
      <c r="A355" s="507">
        <v>7</v>
      </c>
      <c r="B355" s="507" t="str">
        <f>PETUNJUK!B15</f>
        <v>Karangrandu</v>
      </c>
      <c r="C355" s="507">
        <f t="shared" ref="C355:E355" si="259">C321</f>
        <v>93.500000000000014</v>
      </c>
      <c r="D355" s="507">
        <f t="shared" si="259"/>
        <v>89.25</v>
      </c>
      <c r="E355" s="507">
        <f t="shared" si="259"/>
        <v>18.700000000000003</v>
      </c>
      <c r="F355" s="515"/>
      <c r="G355" s="515"/>
      <c r="H355" s="515"/>
      <c r="I355" s="515"/>
      <c r="J355" s="515"/>
      <c r="K355" s="515"/>
      <c r="L355" s="515"/>
      <c r="M355" s="515"/>
      <c r="N355" s="673"/>
      <c r="O355" s="673"/>
      <c r="P355" s="515"/>
      <c r="Q355" s="515"/>
      <c r="R355" s="515"/>
      <c r="S355" s="515"/>
      <c r="T355" s="515"/>
      <c r="U355" s="515"/>
      <c r="V355" s="515"/>
      <c r="W355" s="515"/>
      <c r="X355" s="515"/>
      <c r="Y355" s="515"/>
      <c r="Z355" s="515"/>
      <c r="AA355" s="515"/>
      <c r="AB355" s="515"/>
      <c r="AC355" s="515"/>
      <c r="AD355" s="515"/>
      <c r="AE355" s="515"/>
      <c r="AF355" s="515"/>
      <c r="AG355" s="515"/>
      <c r="AH355" s="515"/>
      <c r="AI355" s="515"/>
      <c r="AJ355" s="515"/>
      <c r="AK355" s="515"/>
      <c r="AL355" s="515"/>
    </row>
    <row r="356" spans="1:38" ht="20.149999999999999" customHeight="1" x14ac:dyDescent="0.35">
      <c r="A356" s="507">
        <v>8</v>
      </c>
      <c r="B356" s="507" t="str">
        <f>PETUNJUK!B16</f>
        <v>Kaliombo</v>
      </c>
      <c r="C356" s="507">
        <f t="shared" ref="C356:E356" si="260">C322</f>
        <v>46.2</v>
      </c>
      <c r="D356" s="507">
        <f t="shared" si="260"/>
        <v>44.1</v>
      </c>
      <c r="E356" s="507">
        <f t="shared" si="260"/>
        <v>9.24</v>
      </c>
      <c r="F356" s="515"/>
      <c r="G356" s="515"/>
      <c r="H356" s="515"/>
      <c r="I356" s="515"/>
      <c r="J356" s="515"/>
      <c r="K356" s="515"/>
      <c r="L356" s="515"/>
      <c r="M356" s="515"/>
      <c r="N356" s="673"/>
      <c r="O356" s="673"/>
      <c r="P356" s="515"/>
      <c r="Q356" s="515"/>
      <c r="R356" s="515"/>
      <c r="S356" s="515"/>
      <c r="T356" s="515"/>
      <c r="U356" s="515"/>
      <c r="V356" s="515"/>
      <c r="W356" s="515"/>
      <c r="X356" s="515"/>
      <c r="Y356" s="515"/>
      <c r="Z356" s="515"/>
      <c r="AA356" s="515"/>
      <c r="AB356" s="515"/>
      <c r="AC356" s="515"/>
      <c r="AD356" s="515"/>
      <c r="AE356" s="515"/>
      <c r="AF356" s="515"/>
      <c r="AG356" s="515"/>
      <c r="AH356" s="515"/>
      <c r="AI356" s="515"/>
      <c r="AJ356" s="515"/>
      <c r="AK356" s="515"/>
      <c r="AL356" s="515"/>
    </row>
    <row r="357" spans="1:38" ht="20.149999999999999" customHeight="1" x14ac:dyDescent="0.35">
      <c r="A357" s="507">
        <v>9</v>
      </c>
      <c r="B357" s="507" t="str">
        <f>PETUNJUK!B17</f>
        <v>Gemulung</v>
      </c>
      <c r="C357" s="507">
        <f t="shared" ref="C357:E357" si="261">C323</f>
        <v>53.900000000000006</v>
      </c>
      <c r="D357" s="507">
        <f t="shared" si="261"/>
        <v>51.45</v>
      </c>
      <c r="E357" s="507">
        <f t="shared" si="261"/>
        <v>10.780000000000001</v>
      </c>
      <c r="F357" s="515"/>
      <c r="G357" s="515"/>
      <c r="H357" s="515"/>
      <c r="I357" s="515"/>
      <c r="J357" s="515"/>
      <c r="K357" s="515"/>
      <c r="L357" s="515"/>
      <c r="M357" s="515"/>
      <c r="N357" s="673"/>
      <c r="O357" s="673"/>
      <c r="P357" s="515"/>
      <c r="Q357" s="515"/>
      <c r="R357" s="515"/>
      <c r="S357" s="515"/>
      <c r="T357" s="515"/>
      <c r="U357" s="515"/>
      <c r="V357" s="515"/>
      <c r="W357" s="515"/>
      <c r="X357" s="515"/>
      <c r="Y357" s="515"/>
      <c r="Z357" s="515"/>
      <c r="AA357" s="515"/>
      <c r="AB357" s="515"/>
      <c r="AC357" s="515"/>
      <c r="AD357" s="515"/>
      <c r="AE357" s="515"/>
      <c r="AF357" s="515"/>
      <c r="AG357" s="515"/>
      <c r="AH357" s="515"/>
      <c r="AI357" s="515"/>
      <c r="AJ357" s="515"/>
      <c r="AK357" s="515"/>
      <c r="AL357" s="515"/>
    </row>
    <row r="358" spans="1:38" ht="20.149999999999999" customHeight="1" x14ac:dyDescent="0.35">
      <c r="A358" s="507">
        <v>6</v>
      </c>
      <c r="B358" s="507" t="str">
        <f>PETUNJUK!B18</f>
        <v>Pecangaan Wetan</v>
      </c>
      <c r="C358" s="507">
        <f t="shared" ref="C358:E358" si="262">C324</f>
        <v>50.6</v>
      </c>
      <c r="D358" s="507">
        <f t="shared" si="262"/>
        <v>48.300000000000004</v>
      </c>
      <c r="E358" s="507">
        <f t="shared" si="262"/>
        <v>10.120000000000001</v>
      </c>
      <c r="F358" s="515"/>
      <c r="G358" s="515"/>
      <c r="H358" s="515"/>
      <c r="I358" s="515"/>
      <c r="J358" s="515"/>
      <c r="K358" s="515"/>
      <c r="L358" s="515"/>
      <c r="M358" s="515"/>
      <c r="N358" s="673"/>
      <c r="O358" s="673"/>
      <c r="P358" s="515"/>
      <c r="Q358" s="515"/>
      <c r="R358" s="515"/>
      <c r="S358" s="515"/>
      <c r="T358" s="515"/>
      <c r="U358" s="515"/>
      <c r="V358" s="515"/>
      <c r="W358" s="515"/>
      <c r="X358" s="515"/>
      <c r="Y358" s="515"/>
      <c r="Z358" s="515"/>
      <c r="AA358" s="515"/>
      <c r="AB358" s="515"/>
      <c r="AC358" s="515"/>
      <c r="AD358" s="515"/>
      <c r="AE358" s="515"/>
      <c r="AF358" s="515"/>
      <c r="AG358" s="515"/>
      <c r="AH358" s="515"/>
      <c r="AI358" s="515"/>
      <c r="AJ358" s="515"/>
      <c r="AK358" s="515"/>
      <c r="AL358" s="515"/>
    </row>
    <row r="359" spans="1:38" ht="20.149999999999999" customHeight="1" x14ac:dyDescent="0.35">
      <c r="A359" s="507">
        <v>11</v>
      </c>
      <c r="B359" s="507" t="str">
        <f>PETUNJUK!B19</f>
        <v>Krasak</v>
      </c>
      <c r="C359" s="507">
        <f t="shared" ref="C359:E359" si="263">C325</f>
        <v>117.7</v>
      </c>
      <c r="D359" s="507">
        <f t="shared" si="263"/>
        <v>112.35000000000001</v>
      </c>
      <c r="E359" s="507">
        <f t="shared" si="263"/>
        <v>23.540000000000003</v>
      </c>
      <c r="F359" s="515"/>
      <c r="G359" s="515"/>
      <c r="H359" s="515"/>
      <c r="I359" s="515"/>
      <c r="J359" s="515"/>
      <c r="K359" s="515"/>
      <c r="L359" s="515"/>
      <c r="M359" s="515"/>
      <c r="N359" s="673"/>
      <c r="O359" s="673"/>
      <c r="P359" s="515"/>
      <c r="Q359" s="515"/>
      <c r="R359" s="515"/>
      <c r="S359" s="515"/>
      <c r="T359" s="515"/>
      <c r="U359" s="515"/>
      <c r="V359" s="515"/>
      <c r="W359" s="515"/>
      <c r="X359" s="515"/>
      <c r="Y359" s="515"/>
      <c r="Z359" s="515"/>
      <c r="AA359" s="515"/>
      <c r="AB359" s="515"/>
      <c r="AC359" s="515"/>
      <c r="AD359" s="515"/>
      <c r="AE359" s="515"/>
      <c r="AF359" s="515"/>
      <c r="AG359" s="515"/>
      <c r="AH359" s="515"/>
      <c r="AI359" s="515"/>
      <c r="AJ359" s="515"/>
      <c r="AK359" s="515"/>
      <c r="AL359" s="515"/>
    </row>
    <row r="360" spans="1:38" ht="20.149999999999999" customHeight="1" x14ac:dyDescent="0.35">
      <c r="A360" s="507">
        <v>12</v>
      </c>
      <c r="B360" s="507" t="str">
        <f>PETUNJUK!B20</f>
        <v>Gerdu</v>
      </c>
      <c r="C360" s="507">
        <f t="shared" ref="C360:E360" si="264">C326</f>
        <v>23.1</v>
      </c>
      <c r="D360" s="507">
        <f t="shared" si="264"/>
        <v>22.05</v>
      </c>
      <c r="E360" s="507">
        <f t="shared" si="264"/>
        <v>4.62</v>
      </c>
      <c r="F360" s="515"/>
      <c r="G360" s="515"/>
      <c r="H360" s="515"/>
      <c r="I360" s="515"/>
      <c r="J360" s="515"/>
      <c r="K360" s="515"/>
      <c r="L360" s="515"/>
      <c r="M360" s="515"/>
      <c r="N360" s="673"/>
      <c r="O360" s="673"/>
      <c r="P360" s="515"/>
      <c r="Q360" s="515"/>
      <c r="R360" s="515"/>
      <c r="S360" s="515"/>
      <c r="T360" s="515"/>
      <c r="U360" s="515"/>
      <c r="V360" s="515"/>
      <c r="W360" s="515"/>
      <c r="X360" s="515"/>
      <c r="Y360" s="515"/>
      <c r="Z360" s="515"/>
      <c r="AA360" s="515"/>
      <c r="AB360" s="515"/>
      <c r="AC360" s="515"/>
      <c r="AD360" s="515"/>
      <c r="AE360" s="515"/>
      <c r="AF360" s="515"/>
      <c r="AG360" s="515"/>
      <c r="AH360" s="515"/>
      <c r="AI360" s="515"/>
      <c r="AJ360" s="515"/>
      <c r="AK360" s="515"/>
      <c r="AL360" s="515"/>
    </row>
    <row r="361" spans="1:38" ht="20.149999999999999" customHeight="1" x14ac:dyDescent="0.35">
      <c r="A361" s="507">
        <v>13</v>
      </c>
      <c r="B361" s="507">
        <f>PETUNJUK!B21</f>
        <v>0</v>
      </c>
      <c r="C361" s="507">
        <f t="shared" ref="C361:E361" si="265">C327</f>
        <v>0</v>
      </c>
      <c r="D361" s="507">
        <f t="shared" si="265"/>
        <v>0</v>
      </c>
      <c r="E361" s="507">
        <f t="shared" si="265"/>
        <v>0</v>
      </c>
      <c r="F361" s="515"/>
      <c r="G361" s="515"/>
      <c r="H361" s="515"/>
      <c r="I361" s="515"/>
      <c r="J361" s="515"/>
      <c r="K361" s="515"/>
      <c r="L361" s="515"/>
      <c r="M361" s="515"/>
      <c r="N361" s="673"/>
      <c r="O361" s="673"/>
      <c r="P361" s="515"/>
      <c r="Q361" s="515"/>
      <c r="R361" s="515"/>
      <c r="S361" s="515"/>
      <c r="T361" s="515"/>
      <c r="U361" s="515"/>
      <c r="V361" s="515"/>
      <c r="W361" s="515"/>
      <c r="X361" s="515"/>
      <c r="Y361" s="515"/>
      <c r="Z361" s="515"/>
      <c r="AA361" s="515"/>
      <c r="AB361" s="515"/>
      <c r="AC361" s="515"/>
      <c r="AD361" s="515"/>
      <c r="AE361" s="515"/>
      <c r="AF361" s="515"/>
      <c r="AG361" s="515"/>
      <c r="AH361" s="515"/>
      <c r="AI361" s="515"/>
      <c r="AJ361" s="515"/>
      <c r="AK361" s="515"/>
      <c r="AL361" s="515"/>
    </row>
    <row r="362" spans="1:38" ht="20.149999999999999" customHeight="1" x14ac:dyDescent="0.35">
      <c r="A362" s="507">
        <v>14</v>
      </c>
      <c r="B362" s="507">
        <f>PETUNJUK!B22</f>
        <v>0</v>
      </c>
      <c r="C362" s="507">
        <f t="shared" ref="C362:E362" si="266">C328</f>
        <v>0</v>
      </c>
      <c r="D362" s="507">
        <f t="shared" si="266"/>
        <v>0</v>
      </c>
      <c r="E362" s="507">
        <f t="shared" si="266"/>
        <v>0</v>
      </c>
      <c r="F362" s="515"/>
      <c r="G362" s="515"/>
      <c r="H362" s="515"/>
      <c r="I362" s="515"/>
      <c r="J362" s="515"/>
      <c r="K362" s="515"/>
      <c r="L362" s="515"/>
      <c r="M362" s="515"/>
      <c r="N362" s="673"/>
      <c r="O362" s="673"/>
      <c r="P362" s="515"/>
      <c r="Q362" s="515"/>
      <c r="R362" s="515"/>
      <c r="S362" s="515"/>
      <c r="T362" s="515"/>
      <c r="U362" s="515"/>
      <c r="V362" s="515"/>
      <c r="W362" s="515"/>
      <c r="X362" s="515"/>
      <c r="Y362" s="515"/>
      <c r="Z362" s="515"/>
      <c r="AA362" s="515"/>
      <c r="AB362" s="515"/>
      <c r="AC362" s="515"/>
      <c r="AD362" s="515"/>
      <c r="AE362" s="515"/>
      <c r="AF362" s="515"/>
      <c r="AG362" s="515"/>
      <c r="AH362" s="515"/>
      <c r="AI362" s="515"/>
      <c r="AJ362" s="515"/>
      <c r="AK362" s="515"/>
      <c r="AL362" s="515"/>
    </row>
    <row r="363" spans="1:38" ht="20.149999999999999" customHeight="1" x14ac:dyDescent="0.35">
      <c r="A363" s="507">
        <v>15</v>
      </c>
      <c r="B363" s="507">
        <f>PETUNJUK!B23</f>
        <v>0</v>
      </c>
      <c r="C363" s="507">
        <f t="shared" ref="C363:E363" si="267">C329</f>
        <v>0</v>
      </c>
      <c r="D363" s="507">
        <f t="shared" si="267"/>
        <v>0</v>
      </c>
      <c r="E363" s="507">
        <f t="shared" si="267"/>
        <v>0</v>
      </c>
      <c r="F363" s="515"/>
      <c r="G363" s="515"/>
      <c r="H363" s="515"/>
      <c r="I363" s="515"/>
      <c r="J363" s="515"/>
      <c r="K363" s="515"/>
      <c r="L363" s="515"/>
      <c r="M363" s="515"/>
      <c r="N363" s="673"/>
      <c r="O363" s="673"/>
      <c r="P363" s="515"/>
      <c r="Q363" s="515"/>
      <c r="R363" s="515"/>
      <c r="S363" s="515"/>
      <c r="T363" s="515"/>
      <c r="U363" s="515"/>
      <c r="V363" s="515"/>
      <c r="W363" s="515"/>
      <c r="X363" s="515"/>
      <c r="Y363" s="515"/>
      <c r="Z363" s="515"/>
      <c r="AA363" s="515"/>
      <c r="AB363" s="515"/>
      <c r="AC363" s="515"/>
      <c r="AD363" s="515"/>
      <c r="AE363" s="515"/>
      <c r="AF363" s="515"/>
      <c r="AG363" s="515"/>
      <c r="AH363" s="515"/>
      <c r="AI363" s="515"/>
      <c r="AJ363" s="515"/>
      <c r="AK363" s="515"/>
      <c r="AL363" s="515"/>
    </row>
    <row r="364" spans="1:38" ht="20.149999999999999" customHeight="1" x14ac:dyDescent="0.35">
      <c r="A364" s="507">
        <v>16</v>
      </c>
      <c r="B364" s="507">
        <f>PETUNJUK!B24</f>
        <v>0</v>
      </c>
      <c r="C364" s="507">
        <f t="shared" ref="C364:E364" si="268">C330</f>
        <v>0</v>
      </c>
      <c r="D364" s="507">
        <f t="shared" si="268"/>
        <v>0</v>
      </c>
      <c r="E364" s="507">
        <f t="shared" si="268"/>
        <v>0</v>
      </c>
      <c r="F364" s="515"/>
      <c r="G364" s="515"/>
      <c r="H364" s="515"/>
      <c r="I364" s="515"/>
      <c r="J364" s="515"/>
      <c r="K364" s="515"/>
      <c r="L364" s="515"/>
      <c r="M364" s="515"/>
      <c r="N364" s="673"/>
      <c r="O364" s="673"/>
      <c r="P364" s="515"/>
      <c r="Q364" s="515"/>
      <c r="R364" s="515"/>
      <c r="S364" s="515"/>
      <c r="T364" s="515"/>
      <c r="U364" s="515"/>
      <c r="V364" s="515"/>
      <c r="W364" s="515"/>
      <c r="X364" s="515"/>
      <c r="Y364" s="515"/>
      <c r="Z364" s="515"/>
      <c r="AA364" s="515"/>
      <c r="AB364" s="515"/>
      <c r="AC364" s="515"/>
      <c r="AD364" s="515"/>
      <c r="AE364" s="515"/>
      <c r="AF364" s="515"/>
      <c r="AG364" s="515"/>
      <c r="AH364" s="515"/>
      <c r="AI364" s="515"/>
      <c r="AJ364" s="515"/>
      <c r="AK364" s="515"/>
      <c r="AL364" s="515"/>
    </row>
    <row r="365" spans="1:38" ht="20.149999999999999" customHeight="1" x14ac:dyDescent="0.35">
      <c r="A365" s="507">
        <v>17</v>
      </c>
      <c r="B365" s="507">
        <f>PETUNJUK!B25</f>
        <v>0</v>
      </c>
      <c r="C365" s="507">
        <f t="shared" ref="C365:E365" si="269">C331</f>
        <v>0</v>
      </c>
      <c r="D365" s="507">
        <f t="shared" si="269"/>
        <v>0</v>
      </c>
      <c r="E365" s="507">
        <f t="shared" si="269"/>
        <v>0</v>
      </c>
      <c r="F365" s="515"/>
      <c r="G365" s="515"/>
      <c r="H365" s="515"/>
      <c r="I365" s="515"/>
      <c r="J365" s="515"/>
      <c r="K365" s="515"/>
      <c r="L365" s="515"/>
      <c r="M365" s="515"/>
      <c r="N365" s="673"/>
      <c r="O365" s="673"/>
      <c r="P365" s="515"/>
      <c r="Q365" s="515"/>
      <c r="R365" s="515"/>
      <c r="S365" s="515"/>
      <c r="T365" s="515"/>
      <c r="U365" s="515"/>
      <c r="V365" s="515"/>
      <c r="W365" s="515"/>
      <c r="X365" s="515"/>
      <c r="Y365" s="515"/>
      <c r="Z365" s="515"/>
      <c r="AA365" s="515"/>
      <c r="AB365" s="515"/>
      <c r="AC365" s="515"/>
      <c r="AD365" s="515"/>
      <c r="AE365" s="515"/>
      <c r="AF365" s="515"/>
      <c r="AG365" s="515"/>
      <c r="AH365" s="515"/>
      <c r="AI365" s="515"/>
      <c r="AJ365" s="515"/>
      <c r="AK365" s="515"/>
      <c r="AL365" s="515"/>
    </row>
    <row r="366" spans="1:38" ht="20.149999999999999" customHeight="1" x14ac:dyDescent="0.35">
      <c r="A366" s="507">
        <v>18</v>
      </c>
      <c r="B366" s="507">
        <f>PETUNJUK!B26</f>
        <v>0</v>
      </c>
      <c r="C366" s="507">
        <f t="shared" ref="C366:E366" si="270">C332</f>
        <v>0</v>
      </c>
      <c r="D366" s="507">
        <f t="shared" si="270"/>
        <v>0</v>
      </c>
      <c r="E366" s="507">
        <f t="shared" si="270"/>
        <v>0</v>
      </c>
      <c r="F366" s="515"/>
      <c r="G366" s="515"/>
      <c r="H366" s="515"/>
      <c r="I366" s="515"/>
      <c r="J366" s="515"/>
      <c r="K366" s="515"/>
      <c r="L366" s="515"/>
      <c r="M366" s="515"/>
      <c r="N366" s="673"/>
      <c r="O366" s="673"/>
      <c r="P366" s="515"/>
      <c r="Q366" s="515"/>
      <c r="R366" s="515"/>
      <c r="S366" s="515"/>
      <c r="T366" s="515"/>
      <c r="U366" s="515"/>
      <c r="V366" s="515"/>
      <c r="W366" s="515"/>
      <c r="X366" s="515"/>
      <c r="Y366" s="515"/>
      <c r="Z366" s="515"/>
      <c r="AA366" s="515"/>
      <c r="AB366" s="515"/>
      <c r="AC366" s="515"/>
      <c r="AD366" s="515"/>
      <c r="AE366" s="515"/>
      <c r="AF366" s="515"/>
      <c r="AG366" s="515"/>
      <c r="AH366" s="515"/>
      <c r="AI366" s="515"/>
      <c r="AJ366" s="515"/>
      <c r="AK366" s="515"/>
      <c r="AL366" s="515"/>
    </row>
    <row r="367" spans="1:38" ht="20.149999999999999" customHeight="1" x14ac:dyDescent="0.35">
      <c r="A367" s="507">
        <v>19</v>
      </c>
      <c r="B367" s="507">
        <f>PETUNJUK!B27</f>
        <v>0</v>
      </c>
      <c r="C367" s="507">
        <f t="shared" ref="C367:E367" si="271">C333</f>
        <v>0</v>
      </c>
      <c r="D367" s="507">
        <f t="shared" si="271"/>
        <v>0</v>
      </c>
      <c r="E367" s="507">
        <f t="shared" si="271"/>
        <v>0</v>
      </c>
      <c r="F367" s="515"/>
      <c r="G367" s="515"/>
      <c r="H367" s="515"/>
      <c r="I367" s="515"/>
      <c r="J367" s="515"/>
      <c r="K367" s="515"/>
      <c r="L367" s="515"/>
      <c r="M367" s="515"/>
      <c r="N367" s="673"/>
      <c r="O367" s="673"/>
      <c r="P367" s="515"/>
      <c r="Q367" s="515"/>
      <c r="R367" s="515"/>
      <c r="S367" s="515"/>
      <c r="T367" s="515"/>
      <c r="U367" s="515"/>
      <c r="V367" s="515"/>
      <c r="W367" s="515"/>
      <c r="X367" s="515"/>
      <c r="Y367" s="515"/>
      <c r="Z367" s="515"/>
      <c r="AA367" s="515"/>
      <c r="AB367" s="515"/>
      <c r="AC367" s="515"/>
      <c r="AD367" s="515"/>
      <c r="AE367" s="515"/>
      <c r="AF367" s="515"/>
      <c r="AG367" s="515"/>
      <c r="AH367" s="515"/>
      <c r="AI367" s="515"/>
      <c r="AJ367" s="515"/>
      <c r="AK367" s="515"/>
      <c r="AL367" s="515"/>
    </row>
    <row r="368" spans="1:38" ht="20.149999999999999" customHeight="1" x14ac:dyDescent="0.35">
      <c r="A368" s="507">
        <v>20</v>
      </c>
      <c r="B368" s="507">
        <f>PETUNJUK!B28</f>
        <v>0</v>
      </c>
      <c r="C368" s="507">
        <f t="shared" ref="C368:E368" si="272">C334</f>
        <v>0</v>
      </c>
      <c r="D368" s="507">
        <f t="shared" si="272"/>
        <v>0</v>
      </c>
      <c r="E368" s="507">
        <f t="shared" si="272"/>
        <v>0</v>
      </c>
      <c r="F368" s="515"/>
      <c r="G368" s="515"/>
      <c r="H368" s="515"/>
      <c r="I368" s="515"/>
      <c r="J368" s="515"/>
      <c r="K368" s="515"/>
      <c r="L368" s="515"/>
      <c r="M368" s="515"/>
      <c r="N368" s="673"/>
      <c r="O368" s="673"/>
      <c r="P368" s="515"/>
      <c r="Q368" s="515"/>
      <c r="R368" s="515"/>
      <c r="S368" s="515"/>
      <c r="T368" s="515"/>
      <c r="U368" s="515"/>
      <c r="V368" s="515"/>
      <c r="W368" s="515"/>
      <c r="X368" s="515"/>
      <c r="Y368" s="515"/>
      <c r="Z368" s="515"/>
      <c r="AA368" s="515"/>
      <c r="AB368" s="515"/>
      <c r="AC368" s="515"/>
      <c r="AD368" s="515"/>
      <c r="AE368" s="515"/>
      <c r="AF368" s="515"/>
      <c r="AG368" s="515"/>
      <c r="AH368" s="515"/>
      <c r="AI368" s="515"/>
      <c r="AJ368" s="515"/>
      <c r="AK368" s="515"/>
      <c r="AL368" s="515"/>
    </row>
    <row r="369" spans="1:38" ht="20.149999999999999" customHeight="1" x14ac:dyDescent="0.35">
      <c r="A369" s="507">
        <v>21</v>
      </c>
      <c r="B369" s="507">
        <f>PETUNJUK!B29</f>
        <v>0</v>
      </c>
      <c r="C369" s="507">
        <f t="shared" ref="C369:E369" si="273">C335</f>
        <v>0</v>
      </c>
      <c r="D369" s="507">
        <f t="shared" si="273"/>
        <v>0</v>
      </c>
      <c r="E369" s="507">
        <f t="shared" si="273"/>
        <v>0</v>
      </c>
      <c r="F369" s="515"/>
      <c r="G369" s="515"/>
      <c r="H369" s="515"/>
      <c r="I369" s="515"/>
      <c r="J369" s="515"/>
      <c r="K369" s="515"/>
      <c r="L369" s="515"/>
      <c r="M369" s="515"/>
      <c r="N369" s="673"/>
      <c r="O369" s="673"/>
      <c r="P369" s="515"/>
      <c r="Q369" s="515"/>
      <c r="R369" s="515"/>
      <c r="S369" s="515"/>
      <c r="T369" s="515"/>
      <c r="U369" s="515"/>
      <c r="V369" s="515"/>
      <c r="W369" s="515"/>
      <c r="X369" s="515"/>
      <c r="Y369" s="515"/>
      <c r="Z369" s="515"/>
      <c r="AA369" s="515"/>
      <c r="AB369" s="515"/>
      <c r="AC369" s="515"/>
      <c r="AD369" s="515"/>
      <c r="AE369" s="515"/>
      <c r="AF369" s="515"/>
      <c r="AG369" s="515"/>
      <c r="AH369" s="515"/>
      <c r="AI369" s="515"/>
      <c r="AJ369" s="515"/>
      <c r="AK369" s="515"/>
      <c r="AL369" s="515"/>
    </row>
    <row r="370" spans="1:38" ht="20.149999999999999" customHeight="1" thickBot="1" x14ac:dyDescent="0.4">
      <c r="A370" s="512">
        <v>22</v>
      </c>
      <c r="B370" s="512">
        <f>PETUNJUK!B30</f>
        <v>0</v>
      </c>
      <c r="C370" s="507">
        <f t="shared" ref="C370:E370" si="274">C336</f>
        <v>0</v>
      </c>
      <c r="D370" s="507">
        <f t="shared" si="274"/>
        <v>0</v>
      </c>
      <c r="E370" s="507">
        <f t="shared" si="274"/>
        <v>0</v>
      </c>
      <c r="F370" s="509"/>
      <c r="G370" s="509"/>
      <c r="H370" s="509"/>
      <c r="I370" s="509"/>
      <c r="J370" s="509"/>
      <c r="K370" s="509"/>
      <c r="L370" s="509"/>
      <c r="M370" s="509"/>
      <c r="N370" s="675"/>
      <c r="O370" s="675"/>
      <c r="P370" s="509"/>
      <c r="Q370" s="509"/>
      <c r="R370" s="509"/>
      <c r="S370" s="509"/>
      <c r="T370" s="509"/>
      <c r="U370" s="509"/>
      <c r="V370" s="509"/>
      <c r="W370" s="509"/>
      <c r="X370" s="509"/>
      <c r="Y370" s="509"/>
      <c r="Z370" s="509"/>
      <c r="AA370" s="509"/>
      <c r="AB370" s="509"/>
      <c r="AC370" s="509"/>
      <c r="AD370" s="509"/>
      <c r="AE370" s="509"/>
      <c r="AF370" s="509"/>
      <c r="AG370" s="509"/>
      <c r="AH370" s="509"/>
      <c r="AI370" s="509"/>
      <c r="AJ370" s="509"/>
      <c r="AK370" s="509"/>
      <c r="AL370" s="509"/>
    </row>
    <row r="371" spans="1:38" ht="20.149999999999999" customHeight="1" thickBot="1" x14ac:dyDescent="0.4">
      <c r="A371" s="744" t="s">
        <v>18</v>
      </c>
      <c r="B371" s="745"/>
      <c r="C371" s="513">
        <f>SUM(C349:C370)</f>
        <v>1067</v>
      </c>
      <c r="D371" s="513">
        <f t="shared" ref="D371:AL371" si="275">SUM(D349:D370)</f>
        <v>1018.5</v>
      </c>
      <c r="E371" s="513">
        <f t="shared" si="275"/>
        <v>213.40000000000003</v>
      </c>
      <c r="F371" s="513">
        <f t="shared" si="275"/>
        <v>0</v>
      </c>
      <c r="G371" s="513">
        <f t="shared" si="275"/>
        <v>0</v>
      </c>
      <c r="H371" s="513">
        <f t="shared" si="275"/>
        <v>0</v>
      </c>
      <c r="I371" s="513">
        <f t="shared" si="275"/>
        <v>0</v>
      </c>
      <c r="J371" s="513">
        <f t="shared" si="275"/>
        <v>0</v>
      </c>
      <c r="K371" s="513">
        <f t="shared" si="275"/>
        <v>0</v>
      </c>
      <c r="L371" s="513">
        <f t="shared" si="275"/>
        <v>0</v>
      </c>
      <c r="M371" s="513">
        <f t="shared" si="275"/>
        <v>0</v>
      </c>
      <c r="N371" s="513"/>
      <c r="O371" s="513"/>
      <c r="P371" s="513">
        <f t="shared" si="275"/>
        <v>0</v>
      </c>
      <c r="Q371" s="513">
        <f t="shared" si="275"/>
        <v>0</v>
      </c>
      <c r="R371" s="513">
        <f t="shared" si="275"/>
        <v>0</v>
      </c>
      <c r="S371" s="513">
        <f t="shared" si="275"/>
        <v>0</v>
      </c>
      <c r="T371" s="513">
        <f t="shared" si="275"/>
        <v>0</v>
      </c>
      <c r="U371" s="513">
        <f t="shared" si="275"/>
        <v>0</v>
      </c>
      <c r="V371" s="513">
        <f t="shared" si="275"/>
        <v>0</v>
      </c>
      <c r="W371" s="513">
        <f t="shared" si="275"/>
        <v>0</v>
      </c>
      <c r="X371" s="513">
        <f t="shared" si="275"/>
        <v>0</v>
      </c>
      <c r="Y371" s="513">
        <f t="shared" si="275"/>
        <v>0</v>
      </c>
      <c r="Z371" s="513">
        <f t="shared" si="275"/>
        <v>0</v>
      </c>
      <c r="AA371" s="513">
        <f t="shared" si="275"/>
        <v>0</v>
      </c>
      <c r="AB371" s="513">
        <f t="shared" si="275"/>
        <v>0</v>
      </c>
      <c r="AC371" s="513">
        <f t="shared" si="275"/>
        <v>0</v>
      </c>
      <c r="AD371" s="513">
        <f t="shared" si="275"/>
        <v>0</v>
      </c>
      <c r="AE371" s="513">
        <f t="shared" si="275"/>
        <v>0</v>
      </c>
      <c r="AF371" s="513">
        <f t="shared" si="275"/>
        <v>0</v>
      </c>
      <c r="AG371" s="513">
        <f t="shared" si="275"/>
        <v>0</v>
      </c>
      <c r="AH371" s="513">
        <f t="shared" si="275"/>
        <v>0</v>
      </c>
      <c r="AI371" s="513">
        <f t="shared" si="275"/>
        <v>0</v>
      </c>
      <c r="AJ371" s="513">
        <f t="shared" si="275"/>
        <v>0</v>
      </c>
      <c r="AK371" s="513">
        <f t="shared" si="275"/>
        <v>0</v>
      </c>
      <c r="AL371" s="518">
        <f t="shared" si="275"/>
        <v>0</v>
      </c>
    </row>
    <row r="372" spans="1:38" ht="15.5" x14ac:dyDescent="0.35">
      <c r="A372" s="514"/>
      <c r="B372" s="514"/>
      <c r="C372" s="514"/>
      <c r="D372" s="514"/>
      <c r="E372" s="514"/>
      <c r="F372" s="514"/>
      <c r="G372" s="514"/>
      <c r="H372" s="514"/>
      <c r="I372" s="514"/>
      <c r="J372" s="514"/>
      <c r="K372" s="514"/>
      <c r="L372" s="514"/>
      <c r="M372" s="514"/>
      <c r="N372" s="514"/>
      <c r="O372" s="514"/>
      <c r="P372" s="514"/>
      <c r="Q372" s="514"/>
      <c r="R372" s="514"/>
      <c r="S372" s="514"/>
      <c r="T372" s="514"/>
      <c r="U372" s="514"/>
      <c r="V372" s="514"/>
      <c r="W372" s="514"/>
      <c r="X372" s="514"/>
      <c r="Y372" s="514"/>
      <c r="Z372" s="514"/>
      <c r="AA372" s="514"/>
      <c r="AB372" s="514"/>
      <c r="AC372" s="514"/>
      <c r="AD372" s="514"/>
      <c r="AE372" s="514"/>
      <c r="AF372" s="514"/>
      <c r="AG372" s="514"/>
      <c r="AH372" s="514"/>
      <c r="AI372" s="514"/>
      <c r="AJ372" s="514"/>
      <c r="AK372" s="514"/>
      <c r="AL372" s="514"/>
    </row>
    <row r="373" spans="1:38" ht="15.5" x14ac:dyDescent="0.35">
      <c r="A373" s="514"/>
      <c r="B373" s="514"/>
      <c r="C373" s="514"/>
      <c r="D373" s="514"/>
      <c r="E373" s="514"/>
      <c r="F373" s="514"/>
      <c r="G373" s="514"/>
      <c r="H373" s="514"/>
      <c r="I373" s="514"/>
      <c r="J373" s="514"/>
      <c r="K373" s="514"/>
      <c r="L373" s="514"/>
      <c r="M373" s="514"/>
      <c r="N373" s="514"/>
      <c r="O373" s="514"/>
      <c r="P373" s="514"/>
      <c r="Q373" s="514"/>
      <c r="R373" s="514"/>
      <c r="S373" s="514"/>
      <c r="T373" s="514"/>
      <c r="U373" s="514"/>
      <c r="V373" s="514"/>
      <c r="W373" s="514"/>
      <c r="X373" s="514"/>
      <c r="Y373" s="514"/>
      <c r="Z373" s="514"/>
      <c r="AA373" s="514"/>
      <c r="AB373" s="514"/>
      <c r="AC373" s="514"/>
      <c r="AD373" s="514"/>
      <c r="AE373" s="514"/>
      <c r="AF373" s="514"/>
      <c r="AG373" s="514"/>
      <c r="AH373" s="514"/>
      <c r="AI373" s="514"/>
      <c r="AJ373" s="514"/>
      <c r="AK373" s="514"/>
      <c r="AL373" s="514"/>
    </row>
    <row r="374" spans="1:38" ht="15.5" x14ac:dyDescent="0.35">
      <c r="A374" s="514"/>
      <c r="B374" s="514"/>
      <c r="C374" s="514"/>
      <c r="D374" s="514"/>
      <c r="E374" s="514"/>
      <c r="F374" s="514"/>
      <c r="G374" s="514"/>
      <c r="H374" s="514"/>
      <c r="I374" s="514"/>
      <c r="J374" s="514"/>
      <c r="K374" s="514"/>
      <c r="L374" s="514"/>
      <c r="M374" s="514"/>
      <c r="N374" s="514"/>
      <c r="O374" s="514"/>
      <c r="P374" s="514"/>
      <c r="Q374" s="514"/>
      <c r="R374" s="514"/>
      <c r="S374" s="514"/>
      <c r="T374" s="514"/>
      <c r="U374" s="514"/>
      <c r="V374" s="514"/>
      <c r="W374" s="514"/>
      <c r="X374" s="514"/>
      <c r="Y374" s="514"/>
      <c r="Z374" s="514"/>
      <c r="AA374" s="514"/>
      <c r="AB374" s="514"/>
      <c r="AC374" s="514"/>
      <c r="AD374" s="514"/>
      <c r="AE374" s="514"/>
      <c r="AF374" s="514"/>
      <c r="AG374" s="514"/>
      <c r="AH374" s="514"/>
      <c r="AI374" s="514"/>
      <c r="AJ374" s="514"/>
      <c r="AK374" s="514"/>
      <c r="AL374" s="514"/>
    </row>
    <row r="375" spans="1:38" ht="15.5" x14ac:dyDescent="0.35">
      <c r="A375" s="731" t="s">
        <v>239</v>
      </c>
      <c r="B375" s="731"/>
      <c r="C375" s="731"/>
      <c r="D375" s="731"/>
      <c r="E375" s="731"/>
      <c r="F375" s="731"/>
      <c r="G375" s="731"/>
      <c r="H375" s="731"/>
      <c r="I375" s="731"/>
      <c r="J375" s="731"/>
      <c r="K375" s="731"/>
      <c r="L375" s="731"/>
      <c r="M375" s="731"/>
      <c r="N375" s="731"/>
      <c r="O375" s="731"/>
      <c r="P375" s="731"/>
      <c r="Q375" s="731"/>
      <c r="R375" s="731"/>
      <c r="S375" s="731"/>
      <c r="T375" s="731"/>
      <c r="U375" s="731"/>
      <c r="V375" s="731"/>
      <c r="W375" s="731"/>
      <c r="X375" s="731"/>
      <c r="Y375" s="731"/>
      <c r="Z375" s="731"/>
      <c r="AA375" s="731"/>
      <c r="AB375" s="731"/>
      <c r="AC375" s="731"/>
      <c r="AD375" s="731"/>
      <c r="AE375" s="731"/>
      <c r="AF375" s="731"/>
      <c r="AG375" s="731"/>
      <c r="AH375" s="731"/>
      <c r="AI375" s="505"/>
      <c r="AJ375" s="505"/>
      <c r="AK375" s="505"/>
      <c r="AL375" s="505"/>
    </row>
    <row r="376" spans="1:38" ht="15.5" x14ac:dyDescent="0.35">
      <c r="A376" s="505"/>
      <c r="B376" s="505"/>
      <c r="C376" s="505"/>
      <c r="D376" s="505"/>
      <c r="E376" s="505"/>
      <c r="F376" s="505"/>
      <c r="G376" s="505"/>
      <c r="H376" s="505"/>
      <c r="I376" s="505"/>
      <c r="J376" s="505"/>
      <c r="K376" s="505"/>
      <c r="L376" s="505"/>
      <c r="M376" s="505"/>
      <c r="N376" s="505"/>
      <c r="O376" s="505"/>
      <c r="P376" s="505"/>
      <c r="Q376" s="505"/>
      <c r="R376" s="505"/>
      <c r="S376" s="505"/>
      <c r="T376" s="505"/>
      <c r="U376" s="505"/>
      <c r="V376" s="505"/>
      <c r="W376" s="505"/>
      <c r="X376" s="505"/>
      <c r="Y376" s="505"/>
      <c r="Z376" s="505"/>
      <c r="AA376" s="505"/>
      <c r="AB376" s="505"/>
      <c r="AC376" s="505"/>
      <c r="AD376" s="505"/>
      <c r="AE376" s="505"/>
      <c r="AF376" s="505"/>
      <c r="AG376" s="505"/>
      <c r="AH376" s="505"/>
      <c r="AI376" s="505"/>
      <c r="AJ376" s="505"/>
      <c r="AK376" s="505"/>
      <c r="AL376" s="505"/>
    </row>
    <row r="377" spans="1:38" ht="15.5" x14ac:dyDescent="0.35">
      <c r="A377" s="504" t="s">
        <v>168</v>
      </c>
      <c r="B377" s="504"/>
      <c r="C377" s="679" t="str">
        <f>PETUNJUK!C5</f>
        <v>PECANGAAN</v>
      </c>
      <c r="D377" s="504"/>
      <c r="E377" s="504"/>
      <c r="F377" s="504"/>
      <c r="G377" s="504"/>
      <c r="H377" s="504"/>
      <c r="I377" s="504"/>
      <c r="J377" s="504"/>
      <c r="K377" s="504"/>
      <c r="L377" s="504"/>
      <c r="M377" s="504"/>
      <c r="N377" s="504"/>
      <c r="O377" s="504"/>
      <c r="P377" s="504"/>
      <c r="Q377" s="504"/>
      <c r="R377" s="504"/>
      <c r="S377" s="504"/>
      <c r="T377" s="504"/>
      <c r="U377" s="504"/>
      <c r="V377" s="504"/>
      <c r="W377" s="504"/>
      <c r="X377" s="504"/>
      <c r="Y377" s="504"/>
      <c r="Z377" s="504"/>
      <c r="AA377" s="504"/>
      <c r="AB377" s="504"/>
      <c r="AC377" s="504"/>
      <c r="AD377" s="504"/>
      <c r="AE377" s="504"/>
      <c r="AF377" s="504"/>
      <c r="AG377" s="504"/>
      <c r="AH377" s="504"/>
      <c r="AI377" s="505"/>
      <c r="AJ377" s="505"/>
      <c r="AK377" s="505"/>
      <c r="AL377" s="505"/>
    </row>
    <row r="378" spans="1:38" ht="15.5" x14ac:dyDescent="0.35">
      <c r="A378" s="504" t="s">
        <v>169</v>
      </c>
      <c r="B378" s="504"/>
      <c r="C378" s="680" t="s">
        <v>400</v>
      </c>
      <c r="D378" s="504"/>
      <c r="E378" s="504"/>
      <c r="F378" s="504"/>
      <c r="G378" s="504"/>
      <c r="H378" s="504"/>
      <c r="I378" s="504"/>
      <c r="J378" s="504"/>
      <c r="K378" s="504"/>
      <c r="L378" s="504"/>
      <c r="M378" s="504"/>
      <c r="N378" s="504"/>
      <c r="O378" s="504"/>
      <c r="P378" s="504"/>
      <c r="Q378" s="504"/>
      <c r="R378" s="504"/>
      <c r="S378" s="504"/>
      <c r="T378" s="504"/>
      <c r="U378" s="504"/>
      <c r="V378" s="504"/>
      <c r="W378" s="504"/>
      <c r="X378" s="504"/>
      <c r="Y378" s="504"/>
      <c r="Z378" s="504"/>
      <c r="AA378" s="504"/>
      <c r="AB378" s="504"/>
      <c r="AC378" s="504"/>
      <c r="AD378" s="504"/>
      <c r="AE378" s="504"/>
      <c r="AF378" s="504"/>
      <c r="AG378" s="504"/>
      <c r="AH378" s="504"/>
      <c r="AI378" s="505"/>
      <c r="AJ378" s="505"/>
      <c r="AK378" s="505"/>
      <c r="AL378" s="505"/>
    </row>
    <row r="379" spans="1:38" ht="15.5" x14ac:dyDescent="0.35">
      <c r="A379" s="505"/>
      <c r="B379" s="505"/>
      <c r="C379" s="505"/>
      <c r="D379" s="505"/>
      <c r="E379" s="505"/>
      <c r="F379" s="505"/>
      <c r="G379" s="505"/>
      <c r="H379" s="505"/>
      <c r="I379" s="505"/>
      <c r="J379" s="505"/>
      <c r="K379" s="505"/>
      <c r="L379" s="505"/>
      <c r="M379" s="505"/>
      <c r="N379" s="505"/>
      <c r="O379" s="505"/>
      <c r="P379" s="505"/>
      <c r="Q379" s="505"/>
      <c r="R379" s="505"/>
      <c r="S379" s="505"/>
      <c r="T379" s="505"/>
      <c r="U379" s="505"/>
      <c r="V379" s="505"/>
      <c r="W379" s="505"/>
      <c r="X379" s="505"/>
      <c r="Y379" s="505"/>
      <c r="Z379" s="505"/>
      <c r="AA379" s="505"/>
      <c r="AB379" s="505"/>
      <c r="AC379" s="505"/>
      <c r="AD379" s="505"/>
      <c r="AE379" s="505"/>
      <c r="AF379" s="505"/>
      <c r="AG379" s="505"/>
      <c r="AH379" s="505"/>
      <c r="AI379" s="505"/>
      <c r="AJ379" s="505"/>
      <c r="AK379" s="505"/>
      <c r="AL379" s="505"/>
    </row>
    <row r="380" spans="1:38" s="15" customFormat="1" ht="19.5" customHeight="1" x14ac:dyDescent="0.35">
      <c r="A380" s="754" t="s">
        <v>1</v>
      </c>
      <c r="B380" s="754" t="s">
        <v>2</v>
      </c>
      <c r="C380" s="754" t="s">
        <v>174</v>
      </c>
      <c r="D380" s="754"/>
      <c r="E380" s="754"/>
      <c r="F380" s="755" t="s">
        <v>8</v>
      </c>
      <c r="G380" s="759" t="s">
        <v>295</v>
      </c>
      <c r="H380" s="759" t="s">
        <v>296</v>
      </c>
      <c r="I380" s="759" t="s">
        <v>297</v>
      </c>
      <c r="J380" s="739" t="s">
        <v>9</v>
      </c>
      <c r="K380" s="759" t="s">
        <v>298</v>
      </c>
      <c r="L380" s="760" t="s">
        <v>299</v>
      </c>
      <c r="M380" s="758" t="s">
        <v>289</v>
      </c>
      <c r="N380" s="758" t="s">
        <v>422</v>
      </c>
      <c r="O380" s="758" t="s">
        <v>423</v>
      </c>
      <c r="P380" s="739" t="s">
        <v>290</v>
      </c>
      <c r="Q380" s="752" t="s">
        <v>230</v>
      </c>
      <c r="R380" s="753"/>
      <c r="S380" s="753"/>
      <c r="T380" s="753"/>
      <c r="U380" s="753"/>
      <c r="V380" s="753"/>
      <c r="W380" s="755" t="s">
        <v>15</v>
      </c>
      <c r="X380" s="739" t="s">
        <v>16</v>
      </c>
      <c r="Y380" s="735" t="s">
        <v>231</v>
      </c>
      <c r="Z380" s="735"/>
      <c r="AA380" s="736" t="s">
        <v>240</v>
      </c>
      <c r="AB380" s="735" t="s">
        <v>4</v>
      </c>
      <c r="AC380" s="735"/>
      <c r="AD380" s="735"/>
      <c r="AE380" s="735"/>
      <c r="AF380" s="728" t="s">
        <v>237</v>
      </c>
      <c r="AG380" s="736" t="s">
        <v>23</v>
      </c>
      <c r="AH380" s="755" t="s">
        <v>3</v>
      </c>
      <c r="AI380" s="763" t="s">
        <v>238</v>
      </c>
      <c r="AJ380" s="764"/>
      <c r="AK380" s="764"/>
      <c r="AL380" s="765"/>
    </row>
    <row r="381" spans="1:38" s="15" customFormat="1" ht="19.5" customHeight="1" x14ac:dyDescent="0.35">
      <c r="A381" s="754"/>
      <c r="B381" s="754"/>
      <c r="C381" s="732" t="s">
        <v>5</v>
      </c>
      <c r="D381" s="732" t="s">
        <v>6</v>
      </c>
      <c r="E381" s="732" t="s">
        <v>133</v>
      </c>
      <c r="F381" s="756"/>
      <c r="G381" s="756"/>
      <c r="H381" s="756"/>
      <c r="I381" s="756"/>
      <c r="J381" s="740"/>
      <c r="K381" s="756"/>
      <c r="L381" s="761"/>
      <c r="M381" s="758"/>
      <c r="N381" s="758"/>
      <c r="O381" s="758"/>
      <c r="P381" s="740"/>
      <c r="Q381" s="732" t="s">
        <v>10</v>
      </c>
      <c r="R381" s="732" t="s">
        <v>11</v>
      </c>
      <c r="S381" s="732" t="s">
        <v>12</v>
      </c>
      <c r="T381" s="732" t="s">
        <v>13</v>
      </c>
      <c r="U381" s="732" t="s">
        <v>14</v>
      </c>
      <c r="V381" s="746" t="s">
        <v>227</v>
      </c>
      <c r="W381" s="756"/>
      <c r="X381" s="740"/>
      <c r="Y381" s="748" t="s">
        <v>228</v>
      </c>
      <c r="Z381" s="748" t="s">
        <v>229</v>
      </c>
      <c r="AA381" s="737"/>
      <c r="AB381" s="749" t="s">
        <v>232</v>
      </c>
      <c r="AC381" s="750"/>
      <c r="AD381" s="751"/>
      <c r="AE381" s="733" t="s">
        <v>236</v>
      </c>
      <c r="AF381" s="729"/>
      <c r="AG381" s="737"/>
      <c r="AH381" s="756"/>
      <c r="AI381" s="742" t="s">
        <v>166</v>
      </c>
      <c r="AJ381" s="742" t="s">
        <v>167</v>
      </c>
      <c r="AK381" s="742" t="s">
        <v>134</v>
      </c>
      <c r="AL381" s="742" t="s">
        <v>291</v>
      </c>
    </row>
    <row r="382" spans="1:38" s="15" customFormat="1" ht="66" customHeight="1" x14ac:dyDescent="0.35">
      <c r="A382" s="754"/>
      <c r="B382" s="754"/>
      <c r="C382" s="732"/>
      <c r="D382" s="732"/>
      <c r="E382" s="732"/>
      <c r="F382" s="757"/>
      <c r="G382" s="757"/>
      <c r="H382" s="757"/>
      <c r="I382" s="757"/>
      <c r="J382" s="741"/>
      <c r="K382" s="757"/>
      <c r="L382" s="762"/>
      <c r="M382" s="758"/>
      <c r="N382" s="758"/>
      <c r="O382" s="758"/>
      <c r="P382" s="741"/>
      <c r="Q382" s="732"/>
      <c r="R382" s="732"/>
      <c r="S382" s="732"/>
      <c r="T382" s="732"/>
      <c r="U382" s="732"/>
      <c r="V382" s="747"/>
      <c r="W382" s="757"/>
      <c r="X382" s="741"/>
      <c r="Y382" s="748"/>
      <c r="Z382" s="748"/>
      <c r="AA382" s="738"/>
      <c r="AB382" s="506" t="s">
        <v>233</v>
      </c>
      <c r="AC382" s="681" t="s">
        <v>234</v>
      </c>
      <c r="AD382" s="681" t="s">
        <v>235</v>
      </c>
      <c r="AE382" s="734"/>
      <c r="AF382" s="730"/>
      <c r="AG382" s="738"/>
      <c r="AH382" s="757"/>
      <c r="AI382" s="743"/>
      <c r="AJ382" s="743"/>
      <c r="AK382" s="743"/>
      <c r="AL382" s="743"/>
    </row>
    <row r="383" spans="1:38" ht="20.149999999999999" customHeight="1" x14ac:dyDescent="0.35">
      <c r="A383" s="507">
        <v>1</v>
      </c>
      <c r="B383" s="507" t="str">
        <f>PETUNJUK!B9</f>
        <v>Pecangaan Kulon</v>
      </c>
      <c r="C383" s="507">
        <f>C349</f>
        <v>101.2</v>
      </c>
      <c r="D383" s="507">
        <f t="shared" ref="D383:E383" si="276">D349</f>
        <v>96.600000000000009</v>
      </c>
      <c r="E383" s="507">
        <f t="shared" si="276"/>
        <v>20.240000000000002</v>
      </c>
      <c r="F383" s="515"/>
      <c r="G383" s="515"/>
      <c r="H383" s="515"/>
      <c r="I383" s="515"/>
      <c r="J383" s="515"/>
      <c r="K383" s="515"/>
      <c r="L383" s="515"/>
      <c r="M383" s="515"/>
      <c r="N383" s="673"/>
      <c r="O383" s="673"/>
      <c r="P383" s="515"/>
      <c r="Q383" s="515"/>
      <c r="R383" s="515"/>
      <c r="S383" s="515"/>
      <c r="T383" s="515"/>
      <c r="U383" s="515"/>
      <c r="V383" s="515"/>
      <c r="W383" s="515"/>
      <c r="X383" s="515"/>
      <c r="Y383" s="515"/>
      <c r="Z383" s="515"/>
      <c r="AA383" s="515"/>
      <c r="AB383" s="515"/>
      <c r="AC383" s="515"/>
      <c r="AD383" s="515"/>
      <c r="AE383" s="515"/>
      <c r="AF383" s="515"/>
      <c r="AG383" s="515"/>
      <c r="AH383" s="515"/>
      <c r="AI383" s="515"/>
      <c r="AJ383" s="515"/>
      <c r="AK383" s="515"/>
      <c r="AL383" s="515"/>
    </row>
    <row r="384" spans="1:38" ht="20.149999999999999" customHeight="1" x14ac:dyDescent="0.35">
      <c r="A384" s="507">
        <v>2</v>
      </c>
      <c r="B384" s="507" t="str">
        <f>PETUNJUK!B10</f>
        <v>Rengging</v>
      </c>
      <c r="C384" s="507">
        <f t="shared" ref="C384:E384" si="277">C350</f>
        <v>111.10000000000001</v>
      </c>
      <c r="D384" s="507">
        <f t="shared" si="277"/>
        <v>106.05000000000001</v>
      </c>
      <c r="E384" s="507">
        <f t="shared" si="277"/>
        <v>22.220000000000002</v>
      </c>
      <c r="F384" s="515"/>
      <c r="G384" s="515"/>
      <c r="H384" s="515"/>
      <c r="I384" s="515"/>
      <c r="J384" s="515"/>
      <c r="K384" s="515"/>
      <c r="L384" s="515"/>
      <c r="M384" s="515"/>
      <c r="N384" s="673"/>
      <c r="O384" s="673"/>
      <c r="P384" s="515"/>
      <c r="Q384" s="515"/>
      <c r="R384" s="515"/>
      <c r="S384" s="515"/>
      <c r="T384" s="515"/>
      <c r="U384" s="515"/>
      <c r="V384" s="515"/>
      <c r="W384" s="515"/>
      <c r="X384" s="515"/>
      <c r="Y384" s="515"/>
      <c r="Z384" s="515"/>
      <c r="AA384" s="515"/>
      <c r="AB384" s="515"/>
      <c r="AC384" s="515"/>
      <c r="AD384" s="515"/>
      <c r="AE384" s="515"/>
      <c r="AF384" s="515"/>
      <c r="AG384" s="515"/>
      <c r="AH384" s="515"/>
      <c r="AI384" s="515"/>
      <c r="AJ384" s="515"/>
      <c r="AK384" s="515"/>
      <c r="AL384" s="515"/>
    </row>
    <row r="385" spans="1:42" ht="20.149999999999999" customHeight="1" x14ac:dyDescent="0.35">
      <c r="A385" s="507">
        <v>3</v>
      </c>
      <c r="B385" s="507" t="str">
        <f>PETUNJUK!B11</f>
        <v>Troso</v>
      </c>
      <c r="C385" s="507">
        <f t="shared" ref="C385:E385" si="278">C351</f>
        <v>205.70000000000002</v>
      </c>
      <c r="D385" s="507">
        <f t="shared" si="278"/>
        <v>196.35</v>
      </c>
      <c r="E385" s="507">
        <f t="shared" si="278"/>
        <v>41.140000000000008</v>
      </c>
      <c r="F385" s="515"/>
      <c r="G385" s="515"/>
      <c r="H385" s="515"/>
      <c r="I385" s="515"/>
      <c r="J385" s="515"/>
      <c r="K385" s="515"/>
      <c r="L385" s="515"/>
      <c r="M385" s="515"/>
      <c r="N385" s="673"/>
      <c r="O385" s="673"/>
      <c r="P385" s="515"/>
      <c r="Q385" s="515"/>
      <c r="R385" s="515"/>
      <c r="S385" s="515"/>
      <c r="T385" s="515"/>
      <c r="U385" s="515"/>
      <c r="V385" s="515"/>
      <c r="W385" s="515"/>
      <c r="X385" s="515"/>
      <c r="Y385" s="515"/>
      <c r="Z385" s="515"/>
      <c r="AA385" s="515"/>
      <c r="AB385" s="515"/>
      <c r="AC385" s="515"/>
      <c r="AD385" s="515"/>
      <c r="AE385" s="515"/>
      <c r="AF385" s="515"/>
      <c r="AG385" s="515"/>
      <c r="AH385" s="515"/>
      <c r="AI385" s="515"/>
      <c r="AJ385" s="515"/>
      <c r="AK385" s="515"/>
      <c r="AL385" s="515"/>
    </row>
    <row r="386" spans="1:42" ht="20.149999999999999" customHeight="1" x14ac:dyDescent="0.35">
      <c r="A386" s="507">
        <v>4</v>
      </c>
      <c r="B386" s="507" t="str">
        <f>PETUNJUK!B12</f>
        <v>Ngeling</v>
      </c>
      <c r="C386" s="507">
        <f t="shared" ref="C386:E386" si="279">C352</f>
        <v>95.7</v>
      </c>
      <c r="D386" s="507">
        <f t="shared" si="279"/>
        <v>91.350000000000009</v>
      </c>
      <c r="E386" s="507">
        <f t="shared" si="279"/>
        <v>19.14</v>
      </c>
      <c r="F386" s="515"/>
      <c r="G386" s="515"/>
      <c r="H386" s="515"/>
      <c r="I386" s="515"/>
      <c r="J386" s="515"/>
      <c r="K386" s="515"/>
      <c r="L386" s="515"/>
      <c r="M386" s="515"/>
      <c r="N386" s="673"/>
      <c r="O386" s="673"/>
      <c r="P386" s="515"/>
      <c r="Q386" s="515"/>
      <c r="R386" s="515"/>
      <c r="S386" s="515"/>
      <c r="T386" s="515"/>
      <c r="U386" s="515"/>
      <c r="V386" s="515"/>
      <c r="W386" s="515"/>
      <c r="X386" s="515"/>
      <c r="Y386" s="515"/>
      <c r="Z386" s="515"/>
      <c r="AA386" s="515"/>
      <c r="AB386" s="515"/>
      <c r="AC386" s="515"/>
      <c r="AD386" s="515"/>
      <c r="AE386" s="515"/>
      <c r="AF386" s="515"/>
      <c r="AG386" s="515"/>
      <c r="AH386" s="515"/>
      <c r="AI386" s="515"/>
      <c r="AJ386" s="515"/>
      <c r="AK386" s="515"/>
      <c r="AL386" s="515"/>
    </row>
    <row r="387" spans="1:42" ht="20.149999999999999" customHeight="1" x14ac:dyDescent="0.35">
      <c r="A387" s="507">
        <v>5</v>
      </c>
      <c r="B387" s="507" t="str">
        <f>PETUNJUK!B13</f>
        <v>Lebuawu</v>
      </c>
      <c r="C387" s="507">
        <f t="shared" ref="C387:E387" si="280">C353</f>
        <v>85.800000000000011</v>
      </c>
      <c r="D387" s="507">
        <f t="shared" si="280"/>
        <v>81.900000000000006</v>
      </c>
      <c r="E387" s="507">
        <f t="shared" si="280"/>
        <v>17.160000000000004</v>
      </c>
      <c r="F387" s="515"/>
      <c r="G387" s="515"/>
      <c r="H387" s="515"/>
      <c r="I387" s="515"/>
      <c r="J387" s="515"/>
      <c r="K387" s="515"/>
      <c r="L387" s="515"/>
      <c r="M387" s="515"/>
      <c r="N387" s="673"/>
      <c r="O387" s="673"/>
      <c r="P387" s="515"/>
      <c r="Q387" s="515"/>
      <c r="R387" s="515"/>
      <c r="S387" s="515"/>
      <c r="T387" s="515"/>
      <c r="U387" s="515"/>
      <c r="V387" s="515"/>
      <c r="W387" s="515"/>
      <c r="X387" s="515"/>
      <c r="Y387" s="515"/>
      <c r="Z387" s="515"/>
      <c r="AA387" s="515"/>
      <c r="AB387" s="515"/>
      <c r="AC387" s="515"/>
      <c r="AD387" s="515"/>
      <c r="AE387" s="515"/>
      <c r="AF387" s="515"/>
      <c r="AG387" s="515"/>
      <c r="AH387" s="515"/>
      <c r="AI387" s="515"/>
      <c r="AJ387" s="515"/>
      <c r="AK387" s="515"/>
      <c r="AL387" s="515"/>
    </row>
    <row r="388" spans="1:42" ht="19.5" customHeight="1" x14ac:dyDescent="0.35">
      <c r="A388" s="507">
        <v>6</v>
      </c>
      <c r="B388" s="507" t="str">
        <f>PETUNJUK!B14</f>
        <v>Pulodarat</v>
      </c>
      <c r="C388" s="507">
        <f t="shared" ref="C388:E388" si="281">C354</f>
        <v>82.5</v>
      </c>
      <c r="D388" s="507">
        <f t="shared" si="281"/>
        <v>78.75</v>
      </c>
      <c r="E388" s="507">
        <f t="shared" si="281"/>
        <v>16.5</v>
      </c>
      <c r="F388" s="515"/>
      <c r="G388" s="515"/>
      <c r="H388" s="515"/>
      <c r="I388" s="515"/>
      <c r="J388" s="515"/>
      <c r="K388" s="515"/>
      <c r="L388" s="515"/>
      <c r="M388" s="515"/>
      <c r="N388" s="673"/>
      <c r="O388" s="673"/>
      <c r="P388" s="515"/>
      <c r="Q388" s="515"/>
      <c r="R388" s="515"/>
      <c r="S388" s="515"/>
      <c r="T388" s="515"/>
      <c r="U388" s="515"/>
      <c r="V388" s="515"/>
      <c r="W388" s="515"/>
      <c r="X388" s="515"/>
      <c r="Y388" s="515"/>
      <c r="Z388" s="515"/>
      <c r="AA388" s="515"/>
      <c r="AB388" s="515"/>
      <c r="AC388" s="515"/>
      <c r="AD388" s="515"/>
      <c r="AE388" s="515"/>
      <c r="AF388" s="515"/>
      <c r="AG388" s="515"/>
      <c r="AH388" s="515"/>
      <c r="AI388" s="515"/>
      <c r="AJ388" s="515"/>
      <c r="AK388" s="515"/>
      <c r="AL388" s="515"/>
    </row>
    <row r="389" spans="1:42" ht="20.149999999999999" customHeight="1" x14ac:dyDescent="0.35">
      <c r="A389" s="507">
        <v>7</v>
      </c>
      <c r="B389" s="507" t="str">
        <f>PETUNJUK!B15</f>
        <v>Karangrandu</v>
      </c>
      <c r="C389" s="507">
        <f t="shared" ref="C389:E389" si="282">C355</f>
        <v>93.500000000000014</v>
      </c>
      <c r="D389" s="507">
        <f t="shared" si="282"/>
        <v>89.25</v>
      </c>
      <c r="E389" s="507">
        <f t="shared" si="282"/>
        <v>18.700000000000003</v>
      </c>
      <c r="F389" s="515"/>
      <c r="G389" s="515"/>
      <c r="H389" s="515"/>
      <c r="I389" s="515"/>
      <c r="J389" s="515"/>
      <c r="K389" s="515"/>
      <c r="L389" s="515"/>
      <c r="M389" s="515"/>
      <c r="N389" s="673"/>
      <c r="O389" s="673"/>
      <c r="P389" s="515"/>
      <c r="Q389" s="515"/>
      <c r="R389" s="515"/>
      <c r="S389" s="515"/>
      <c r="T389" s="515"/>
      <c r="U389" s="515"/>
      <c r="V389" s="515"/>
      <c r="W389" s="515"/>
      <c r="X389" s="515"/>
      <c r="Y389" s="515"/>
      <c r="Z389" s="515"/>
      <c r="AA389" s="515"/>
      <c r="AB389" s="515"/>
      <c r="AC389" s="515"/>
      <c r="AD389" s="515"/>
      <c r="AE389" s="515"/>
      <c r="AF389" s="515"/>
      <c r="AG389" s="515"/>
      <c r="AH389" s="515"/>
      <c r="AI389" s="515"/>
      <c r="AJ389" s="515"/>
      <c r="AK389" s="515"/>
      <c r="AL389" s="515"/>
    </row>
    <row r="390" spans="1:42" ht="20.149999999999999" customHeight="1" x14ac:dyDescent="0.35">
      <c r="A390" s="507">
        <v>8</v>
      </c>
      <c r="B390" s="507" t="str">
        <f>PETUNJUK!B16</f>
        <v>Kaliombo</v>
      </c>
      <c r="C390" s="507">
        <f t="shared" ref="C390:E390" si="283">C356</f>
        <v>46.2</v>
      </c>
      <c r="D390" s="507">
        <f t="shared" si="283"/>
        <v>44.1</v>
      </c>
      <c r="E390" s="507">
        <f t="shared" si="283"/>
        <v>9.24</v>
      </c>
      <c r="F390" s="515"/>
      <c r="G390" s="515"/>
      <c r="H390" s="515"/>
      <c r="I390" s="515"/>
      <c r="J390" s="515"/>
      <c r="K390" s="515"/>
      <c r="L390" s="515"/>
      <c r="M390" s="515"/>
      <c r="N390" s="673"/>
      <c r="O390" s="673"/>
      <c r="P390" s="515"/>
      <c r="Q390" s="515"/>
      <c r="R390" s="515"/>
      <c r="S390" s="515"/>
      <c r="T390" s="515"/>
      <c r="U390" s="515"/>
      <c r="V390" s="515"/>
      <c r="W390" s="515"/>
      <c r="X390" s="515"/>
      <c r="Y390" s="515"/>
      <c r="Z390" s="515"/>
      <c r="AA390" s="515"/>
      <c r="AB390" s="515"/>
      <c r="AC390" s="515"/>
      <c r="AD390" s="515"/>
      <c r="AE390" s="515"/>
      <c r="AF390" s="515"/>
      <c r="AG390" s="515"/>
      <c r="AH390" s="515"/>
      <c r="AI390" s="515"/>
      <c r="AJ390" s="515"/>
      <c r="AK390" s="515"/>
      <c r="AL390" s="515"/>
    </row>
    <row r="391" spans="1:42" ht="20.149999999999999" customHeight="1" x14ac:dyDescent="0.35">
      <c r="A391" s="507">
        <v>9</v>
      </c>
      <c r="B391" s="507" t="str">
        <f>PETUNJUK!B17</f>
        <v>Gemulung</v>
      </c>
      <c r="C391" s="507">
        <f t="shared" ref="C391:E391" si="284">C357</f>
        <v>53.900000000000006</v>
      </c>
      <c r="D391" s="507">
        <f t="shared" si="284"/>
        <v>51.45</v>
      </c>
      <c r="E391" s="507">
        <f t="shared" si="284"/>
        <v>10.780000000000001</v>
      </c>
      <c r="F391" s="515"/>
      <c r="G391" s="515"/>
      <c r="H391" s="515"/>
      <c r="I391" s="515"/>
      <c r="J391" s="515"/>
      <c r="K391" s="515"/>
      <c r="L391" s="515"/>
      <c r="M391" s="515"/>
      <c r="N391" s="673"/>
      <c r="O391" s="673"/>
      <c r="P391" s="515"/>
      <c r="Q391" s="515"/>
      <c r="R391" s="515"/>
      <c r="S391" s="515"/>
      <c r="T391" s="515"/>
      <c r="U391" s="515"/>
      <c r="V391" s="515"/>
      <c r="W391" s="515"/>
      <c r="X391" s="515"/>
      <c r="Y391" s="515"/>
      <c r="Z391" s="515"/>
      <c r="AA391" s="515"/>
      <c r="AB391" s="515"/>
      <c r="AC391" s="515"/>
      <c r="AD391" s="515"/>
      <c r="AE391" s="515"/>
      <c r="AF391" s="515"/>
      <c r="AG391" s="515"/>
      <c r="AH391" s="515"/>
      <c r="AI391" s="515"/>
      <c r="AJ391" s="515"/>
      <c r="AK391" s="515"/>
      <c r="AL391" s="515"/>
    </row>
    <row r="392" spans="1:42" ht="20.149999999999999" customHeight="1" x14ac:dyDescent="0.35">
      <c r="A392" s="507">
        <v>6</v>
      </c>
      <c r="B392" s="507" t="str">
        <f>PETUNJUK!B18</f>
        <v>Pecangaan Wetan</v>
      </c>
      <c r="C392" s="507">
        <f t="shared" ref="C392:E392" si="285">C358</f>
        <v>50.6</v>
      </c>
      <c r="D392" s="507">
        <f t="shared" si="285"/>
        <v>48.300000000000004</v>
      </c>
      <c r="E392" s="507">
        <f t="shared" si="285"/>
        <v>10.120000000000001</v>
      </c>
      <c r="F392" s="515"/>
      <c r="G392" s="515"/>
      <c r="H392" s="515"/>
      <c r="I392" s="515"/>
      <c r="J392" s="515"/>
      <c r="K392" s="515"/>
      <c r="L392" s="515"/>
      <c r="M392" s="515"/>
      <c r="N392" s="673"/>
      <c r="O392" s="673"/>
      <c r="P392" s="515"/>
      <c r="Q392" s="515"/>
      <c r="R392" s="515"/>
      <c r="S392" s="515"/>
      <c r="T392" s="515"/>
      <c r="U392" s="515"/>
      <c r="V392" s="515"/>
      <c r="W392" s="515"/>
      <c r="X392" s="515"/>
      <c r="Y392" s="515"/>
      <c r="Z392" s="515"/>
      <c r="AA392" s="515"/>
      <c r="AB392" s="515"/>
      <c r="AC392" s="515"/>
      <c r="AD392" s="515"/>
      <c r="AE392" s="515"/>
      <c r="AF392" s="515"/>
      <c r="AG392" s="515"/>
      <c r="AH392" s="515"/>
      <c r="AI392" s="515"/>
      <c r="AJ392" s="515"/>
      <c r="AK392" s="515"/>
      <c r="AL392" s="515"/>
    </row>
    <row r="393" spans="1:42" ht="20.149999999999999" customHeight="1" x14ac:dyDescent="0.35">
      <c r="A393" s="507">
        <v>11</v>
      </c>
      <c r="B393" s="507" t="str">
        <f>PETUNJUK!B19</f>
        <v>Krasak</v>
      </c>
      <c r="C393" s="507">
        <f t="shared" ref="C393:E393" si="286">C359</f>
        <v>117.7</v>
      </c>
      <c r="D393" s="507">
        <f t="shared" si="286"/>
        <v>112.35000000000001</v>
      </c>
      <c r="E393" s="507">
        <f t="shared" si="286"/>
        <v>23.540000000000003</v>
      </c>
      <c r="F393" s="515"/>
      <c r="G393" s="515"/>
      <c r="H393" s="515"/>
      <c r="I393" s="515"/>
      <c r="J393" s="515"/>
      <c r="K393" s="515"/>
      <c r="L393" s="515"/>
      <c r="M393" s="515"/>
      <c r="N393" s="673"/>
      <c r="O393" s="673"/>
      <c r="P393" s="515"/>
      <c r="Q393" s="515"/>
      <c r="R393" s="515"/>
      <c r="S393" s="515"/>
      <c r="T393" s="515"/>
      <c r="U393" s="515"/>
      <c r="V393" s="515"/>
      <c r="W393" s="515"/>
      <c r="X393" s="515"/>
      <c r="Y393" s="515"/>
      <c r="Z393" s="515"/>
      <c r="AA393" s="515"/>
      <c r="AB393" s="515"/>
      <c r="AC393" s="515"/>
      <c r="AD393" s="515"/>
      <c r="AE393" s="515"/>
      <c r="AF393" s="515"/>
      <c r="AG393" s="515"/>
      <c r="AH393" s="515"/>
      <c r="AI393" s="515"/>
      <c r="AJ393" s="515"/>
      <c r="AK393" s="515"/>
      <c r="AL393" s="515"/>
    </row>
    <row r="394" spans="1:42" ht="20.149999999999999" customHeight="1" x14ac:dyDescent="0.35">
      <c r="A394" s="507">
        <v>12</v>
      </c>
      <c r="B394" s="507" t="str">
        <f>PETUNJUK!B20</f>
        <v>Gerdu</v>
      </c>
      <c r="C394" s="507">
        <f t="shared" ref="C394:E394" si="287">C360</f>
        <v>23.1</v>
      </c>
      <c r="D394" s="507">
        <f t="shared" si="287"/>
        <v>22.05</v>
      </c>
      <c r="E394" s="507">
        <f t="shared" si="287"/>
        <v>4.62</v>
      </c>
      <c r="F394" s="515"/>
      <c r="G394" s="515"/>
      <c r="H394" s="515"/>
      <c r="I394" s="515"/>
      <c r="J394" s="515"/>
      <c r="K394" s="515"/>
      <c r="L394" s="515"/>
      <c r="M394" s="515"/>
      <c r="N394" s="673"/>
      <c r="O394" s="673"/>
      <c r="P394" s="515"/>
      <c r="Q394" s="515"/>
      <c r="R394" s="515"/>
      <c r="S394" s="515"/>
      <c r="T394" s="515"/>
      <c r="U394" s="515"/>
      <c r="V394" s="515"/>
      <c r="W394" s="515"/>
      <c r="X394" s="515"/>
      <c r="Y394" s="515"/>
      <c r="Z394" s="515"/>
      <c r="AA394" s="515"/>
      <c r="AB394" s="515"/>
      <c r="AC394" s="515"/>
      <c r="AD394" s="515"/>
      <c r="AE394" s="515"/>
      <c r="AF394" s="515"/>
      <c r="AG394" s="515"/>
      <c r="AH394" s="515"/>
      <c r="AI394" s="515"/>
      <c r="AJ394" s="515"/>
      <c r="AK394" s="515"/>
      <c r="AL394" s="515"/>
    </row>
    <row r="395" spans="1:42" ht="20.149999999999999" customHeight="1" x14ac:dyDescent="0.35">
      <c r="A395" s="507">
        <v>13</v>
      </c>
      <c r="B395" s="507">
        <f>PETUNJUK!B21</f>
        <v>0</v>
      </c>
      <c r="C395" s="507">
        <f t="shared" ref="C395:E395" si="288">C361</f>
        <v>0</v>
      </c>
      <c r="D395" s="507">
        <f t="shared" si="288"/>
        <v>0</v>
      </c>
      <c r="E395" s="507">
        <f t="shared" si="288"/>
        <v>0</v>
      </c>
      <c r="F395" s="515"/>
      <c r="G395" s="515"/>
      <c r="H395" s="515"/>
      <c r="I395" s="515"/>
      <c r="J395" s="515"/>
      <c r="K395" s="515"/>
      <c r="L395" s="515"/>
      <c r="M395" s="515"/>
      <c r="N395" s="673"/>
      <c r="O395" s="673"/>
      <c r="P395" s="515"/>
      <c r="Q395" s="515"/>
      <c r="R395" s="515"/>
      <c r="S395" s="515"/>
      <c r="T395" s="515"/>
      <c r="U395" s="515"/>
      <c r="V395" s="515"/>
      <c r="W395" s="515"/>
      <c r="X395" s="515"/>
      <c r="Y395" s="515"/>
      <c r="Z395" s="515"/>
      <c r="AA395" s="515"/>
      <c r="AB395" s="515"/>
      <c r="AC395" s="515"/>
      <c r="AD395" s="515"/>
      <c r="AE395" s="515"/>
      <c r="AF395" s="515"/>
      <c r="AG395" s="515"/>
      <c r="AH395" s="515"/>
      <c r="AI395" s="515"/>
      <c r="AJ395" s="515"/>
      <c r="AK395" s="515"/>
      <c r="AL395" s="515"/>
    </row>
    <row r="396" spans="1:42" ht="20.149999999999999" customHeight="1" x14ac:dyDescent="0.35">
      <c r="A396" s="507">
        <v>14</v>
      </c>
      <c r="B396" s="507">
        <f>PETUNJUK!B22</f>
        <v>0</v>
      </c>
      <c r="C396" s="507">
        <f t="shared" ref="C396:E396" si="289">C362</f>
        <v>0</v>
      </c>
      <c r="D396" s="507">
        <f t="shared" si="289"/>
        <v>0</v>
      </c>
      <c r="E396" s="507">
        <f t="shared" si="289"/>
        <v>0</v>
      </c>
      <c r="F396" s="515"/>
      <c r="G396" s="515"/>
      <c r="H396" s="515"/>
      <c r="I396" s="515"/>
      <c r="J396" s="515"/>
      <c r="K396" s="515"/>
      <c r="L396" s="515"/>
      <c r="M396" s="515"/>
      <c r="N396" s="673"/>
      <c r="O396" s="673"/>
      <c r="P396" s="515"/>
      <c r="Q396" s="515"/>
      <c r="R396" s="515"/>
      <c r="S396" s="515"/>
      <c r="T396" s="515"/>
      <c r="U396" s="515"/>
      <c r="V396" s="515"/>
      <c r="W396" s="515"/>
      <c r="X396" s="515"/>
      <c r="Y396" s="515"/>
      <c r="Z396" s="515"/>
      <c r="AA396" s="515"/>
      <c r="AB396" s="515"/>
      <c r="AC396" s="515"/>
      <c r="AD396" s="515"/>
      <c r="AE396" s="515"/>
      <c r="AF396" s="515"/>
      <c r="AG396" s="515"/>
      <c r="AH396" s="515"/>
      <c r="AI396" s="515"/>
      <c r="AJ396" s="515"/>
      <c r="AK396" s="515"/>
      <c r="AL396" s="515"/>
    </row>
    <row r="397" spans="1:42" ht="20.149999999999999" customHeight="1" x14ac:dyDescent="0.35">
      <c r="A397" s="507">
        <v>15</v>
      </c>
      <c r="B397" s="507">
        <f>PETUNJUK!B23</f>
        <v>0</v>
      </c>
      <c r="C397" s="507">
        <f t="shared" ref="C397:E397" si="290">C363</f>
        <v>0</v>
      </c>
      <c r="D397" s="507">
        <f t="shared" si="290"/>
        <v>0</v>
      </c>
      <c r="E397" s="507">
        <f t="shared" si="290"/>
        <v>0</v>
      </c>
      <c r="F397" s="515"/>
      <c r="G397" s="515"/>
      <c r="H397" s="515"/>
      <c r="I397" s="515"/>
      <c r="J397" s="515"/>
      <c r="K397" s="515"/>
      <c r="L397" s="515"/>
      <c r="M397" s="515"/>
      <c r="N397" s="673"/>
      <c r="O397" s="673"/>
      <c r="P397" s="515"/>
      <c r="Q397" s="515"/>
      <c r="R397" s="515"/>
      <c r="S397" s="515"/>
      <c r="T397" s="515"/>
      <c r="U397" s="515"/>
      <c r="V397" s="515"/>
      <c r="W397" s="515"/>
      <c r="X397" s="515"/>
      <c r="Y397" s="515"/>
      <c r="Z397" s="515"/>
      <c r="AA397" s="515"/>
      <c r="AB397" s="515"/>
      <c r="AC397" s="515"/>
      <c r="AD397" s="515"/>
      <c r="AE397" s="515"/>
      <c r="AF397" s="515"/>
      <c r="AG397" s="515"/>
      <c r="AH397" s="515"/>
      <c r="AI397" s="515"/>
      <c r="AJ397" s="515"/>
      <c r="AK397" s="515"/>
      <c r="AL397" s="515"/>
      <c r="AM397" s="13">
        <v>27</v>
      </c>
      <c r="AN397" s="13">
        <v>286</v>
      </c>
      <c r="AO397" s="13">
        <v>0</v>
      </c>
      <c r="AP397" s="13">
        <v>53</v>
      </c>
    </row>
    <row r="398" spans="1:42" ht="20.149999999999999" customHeight="1" x14ac:dyDescent="0.35">
      <c r="A398" s="507">
        <v>16</v>
      </c>
      <c r="B398" s="507">
        <f>PETUNJUK!B24</f>
        <v>0</v>
      </c>
      <c r="C398" s="507">
        <f t="shared" ref="C398:E398" si="291">C364</f>
        <v>0</v>
      </c>
      <c r="D398" s="507">
        <f t="shared" si="291"/>
        <v>0</v>
      </c>
      <c r="E398" s="507">
        <f t="shared" si="291"/>
        <v>0</v>
      </c>
      <c r="F398" s="515"/>
      <c r="G398" s="515"/>
      <c r="H398" s="515"/>
      <c r="I398" s="515"/>
      <c r="J398" s="515"/>
      <c r="K398" s="515"/>
      <c r="L398" s="515"/>
      <c r="M398" s="515"/>
      <c r="N398" s="673"/>
      <c r="O398" s="673"/>
      <c r="P398" s="515"/>
      <c r="Q398" s="515"/>
      <c r="R398" s="515"/>
      <c r="S398" s="515"/>
      <c r="T398" s="515"/>
      <c r="U398" s="515"/>
      <c r="V398" s="515"/>
      <c r="W398" s="515"/>
      <c r="X398" s="515"/>
      <c r="Y398" s="515"/>
      <c r="Z398" s="515"/>
      <c r="AA398" s="515"/>
      <c r="AB398" s="515"/>
      <c r="AC398" s="515"/>
      <c r="AD398" s="515"/>
      <c r="AE398" s="515"/>
      <c r="AF398" s="515"/>
      <c r="AG398" s="515"/>
      <c r="AH398" s="515"/>
      <c r="AI398" s="515"/>
      <c r="AJ398" s="515"/>
      <c r="AK398" s="515"/>
      <c r="AL398" s="515"/>
    </row>
    <row r="399" spans="1:42" ht="20.149999999999999" customHeight="1" x14ac:dyDescent="0.35">
      <c r="A399" s="507">
        <v>17</v>
      </c>
      <c r="B399" s="507">
        <f>PETUNJUK!B25</f>
        <v>0</v>
      </c>
      <c r="C399" s="507">
        <f t="shared" ref="C399:E399" si="292">C365</f>
        <v>0</v>
      </c>
      <c r="D399" s="507">
        <f t="shared" si="292"/>
        <v>0</v>
      </c>
      <c r="E399" s="507">
        <f t="shared" si="292"/>
        <v>0</v>
      </c>
      <c r="F399" s="515"/>
      <c r="G399" s="515"/>
      <c r="H399" s="515"/>
      <c r="I399" s="515"/>
      <c r="J399" s="515"/>
      <c r="K399" s="515"/>
      <c r="L399" s="515"/>
      <c r="M399" s="515"/>
      <c r="N399" s="673"/>
      <c r="O399" s="673"/>
      <c r="P399" s="515"/>
      <c r="Q399" s="515"/>
      <c r="R399" s="515"/>
      <c r="S399" s="515"/>
      <c r="T399" s="515"/>
      <c r="U399" s="515"/>
      <c r="V399" s="515"/>
      <c r="W399" s="515"/>
      <c r="X399" s="515"/>
      <c r="Y399" s="515"/>
      <c r="Z399" s="515"/>
      <c r="AA399" s="515"/>
      <c r="AB399" s="515"/>
      <c r="AC399" s="515"/>
      <c r="AD399" s="515"/>
      <c r="AE399" s="515"/>
      <c r="AF399" s="515"/>
      <c r="AG399" s="515"/>
      <c r="AH399" s="515"/>
      <c r="AI399" s="515"/>
      <c r="AJ399" s="515"/>
      <c r="AK399" s="515"/>
      <c r="AL399" s="515"/>
    </row>
    <row r="400" spans="1:42" ht="20.149999999999999" customHeight="1" x14ac:dyDescent="0.35">
      <c r="A400" s="507">
        <v>18</v>
      </c>
      <c r="B400" s="507">
        <f>PETUNJUK!B26</f>
        <v>0</v>
      </c>
      <c r="C400" s="507">
        <f t="shared" ref="C400:E400" si="293">C366</f>
        <v>0</v>
      </c>
      <c r="D400" s="507">
        <f t="shared" si="293"/>
        <v>0</v>
      </c>
      <c r="E400" s="507">
        <f t="shared" si="293"/>
        <v>0</v>
      </c>
      <c r="F400" s="515"/>
      <c r="G400" s="515"/>
      <c r="H400" s="515"/>
      <c r="I400" s="515"/>
      <c r="J400" s="515"/>
      <c r="K400" s="515"/>
      <c r="L400" s="515"/>
      <c r="M400" s="515"/>
      <c r="N400" s="673"/>
      <c r="O400" s="673"/>
      <c r="P400" s="515"/>
      <c r="Q400" s="515"/>
      <c r="R400" s="515"/>
      <c r="S400" s="515"/>
      <c r="T400" s="515"/>
      <c r="U400" s="515"/>
      <c r="V400" s="515"/>
      <c r="W400" s="515"/>
      <c r="X400" s="515"/>
      <c r="Y400" s="515"/>
      <c r="Z400" s="515"/>
      <c r="AA400" s="515"/>
      <c r="AB400" s="515"/>
      <c r="AC400" s="515"/>
      <c r="AD400" s="515"/>
      <c r="AE400" s="515"/>
      <c r="AF400" s="515"/>
      <c r="AG400" s="515"/>
      <c r="AH400" s="515"/>
      <c r="AI400" s="515"/>
      <c r="AJ400" s="515"/>
      <c r="AK400" s="515"/>
      <c r="AL400" s="515"/>
    </row>
    <row r="401" spans="1:38" ht="20.149999999999999" customHeight="1" x14ac:dyDescent="0.35">
      <c r="A401" s="507">
        <v>19</v>
      </c>
      <c r="B401" s="507">
        <f>PETUNJUK!B27</f>
        <v>0</v>
      </c>
      <c r="C401" s="507">
        <f t="shared" ref="C401:E401" si="294">C367</f>
        <v>0</v>
      </c>
      <c r="D401" s="507">
        <f t="shared" si="294"/>
        <v>0</v>
      </c>
      <c r="E401" s="507">
        <f t="shared" si="294"/>
        <v>0</v>
      </c>
      <c r="F401" s="515"/>
      <c r="G401" s="515"/>
      <c r="H401" s="515"/>
      <c r="I401" s="515"/>
      <c r="J401" s="515"/>
      <c r="K401" s="515"/>
      <c r="L401" s="515"/>
      <c r="M401" s="515"/>
      <c r="N401" s="673"/>
      <c r="O401" s="673"/>
      <c r="P401" s="515"/>
      <c r="Q401" s="515"/>
      <c r="R401" s="515"/>
      <c r="S401" s="515"/>
      <c r="T401" s="515"/>
      <c r="U401" s="515"/>
      <c r="V401" s="515"/>
      <c r="W401" s="515"/>
      <c r="X401" s="515"/>
      <c r="Y401" s="515"/>
      <c r="Z401" s="515"/>
      <c r="AA401" s="515"/>
      <c r="AB401" s="515"/>
      <c r="AC401" s="515"/>
      <c r="AD401" s="515"/>
      <c r="AE401" s="515"/>
      <c r="AF401" s="515"/>
      <c r="AG401" s="515"/>
      <c r="AH401" s="515"/>
      <c r="AI401" s="515"/>
      <c r="AJ401" s="515"/>
      <c r="AK401" s="515"/>
      <c r="AL401" s="515"/>
    </row>
    <row r="402" spans="1:38" ht="20.149999999999999" customHeight="1" x14ac:dyDescent="0.35">
      <c r="A402" s="507">
        <v>20</v>
      </c>
      <c r="B402" s="507">
        <f>PETUNJUK!B28</f>
        <v>0</v>
      </c>
      <c r="C402" s="507">
        <f t="shared" ref="C402:E402" si="295">C368</f>
        <v>0</v>
      </c>
      <c r="D402" s="507">
        <f t="shared" si="295"/>
        <v>0</v>
      </c>
      <c r="E402" s="507">
        <f t="shared" si="295"/>
        <v>0</v>
      </c>
      <c r="F402" s="515"/>
      <c r="G402" s="515"/>
      <c r="H402" s="515"/>
      <c r="I402" s="515"/>
      <c r="J402" s="515"/>
      <c r="K402" s="515"/>
      <c r="L402" s="515"/>
      <c r="M402" s="515"/>
      <c r="N402" s="673"/>
      <c r="O402" s="673"/>
      <c r="P402" s="515"/>
      <c r="Q402" s="515"/>
      <c r="R402" s="515"/>
      <c r="S402" s="515"/>
      <c r="T402" s="515"/>
      <c r="U402" s="515"/>
      <c r="V402" s="515"/>
      <c r="W402" s="515"/>
      <c r="X402" s="515"/>
      <c r="Y402" s="515"/>
      <c r="Z402" s="515"/>
      <c r="AA402" s="515"/>
      <c r="AB402" s="515"/>
      <c r="AC402" s="515"/>
      <c r="AD402" s="515"/>
      <c r="AE402" s="515"/>
      <c r="AF402" s="515"/>
      <c r="AG402" s="515"/>
      <c r="AH402" s="515"/>
      <c r="AI402" s="515"/>
      <c r="AJ402" s="515"/>
      <c r="AK402" s="515"/>
      <c r="AL402" s="515"/>
    </row>
    <row r="403" spans="1:38" ht="20.149999999999999" customHeight="1" x14ac:dyDescent="0.35">
      <c r="A403" s="507">
        <v>21</v>
      </c>
      <c r="B403" s="507">
        <f>PETUNJUK!B29</f>
        <v>0</v>
      </c>
      <c r="C403" s="507">
        <f t="shared" ref="C403:E403" si="296">C369</f>
        <v>0</v>
      </c>
      <c r="D403" s="507">
        <f t="shared" si="296"/>
        <v>0</v>
      </c>
      <c r="E403" s="507">
        <f t="shared" si="296"/>
        <v>0</v>
      </c>
      <c r="F403" s="515"/>
      <c r="G403" s="515"/>
      <c r="H403" s="515"/>
      <c r="I403" s="515"/>
      <c r="J403" s="515"/>
      <c r="K403" s="515"/>
      <c r="L403" s="515"/>
      <c r="M403" s="515"/>
      <c r="N403" s="673"/>
      <c r="O403" s="673"/>
      <c r="P403" s="515"/>
      <c r="Q403" s="515"/>
      <c r="R403" s="515"/>
      <c r="S403" s="515"/>
      <c r="T403" s="515"/>
      <c r="U403" s="515"/>
      <c r="V403" s="515"/>
      <c r="W403" s="515"/>
      <c r="X403" s="515"/>
      <c r="Y403" s="515"/>
      <c r="Z403" s="515"/>
      <c r="AA403" s="515"/>
      <c r="AB403" s="515"/>
      <c r="AC403" s="515"/>
      <c r="AD403" s="515"/>
      <c r="AE403" s="515"/>
      <c r="AF403" s="515"/>
      <c r="AG403" s="515"/>
      <c r="AH403" s="515"/>
      <c r="AI403" s="515"/>
      <c r="AJ403" s="515"/>
      <c r="AK403" s="515"/>
      <c r="AL403" s="515"/>
    </row>
    <row r="404" spans="1:38" ht="20.149999999999999" customHeight="1" thickBot="1" x14ac:dyDescent="0.4">
      <c r="A404" s="512">
        <v>22</v>
      </c>
      <c r="B404" s="512">
        <f>PETUNJUK!B30</f>
        <v>0</v>
      </c>
      <c r="C404" s="507">
        <f t="shared" ref="C404:E404" si="297">C370</f>
        <v>0</v>
      </c>
      <c r="D404" s="507">
        <f t="shared" si="297"/>
        <v>0</v>
      </c>
      <c r="E404" s="507">
        <f t="shared" si="297"/>
        <v>0</v>
      </c>
      <c r="F404" s="509"/>
      <c r="G404" s="509"/>
      <c r="H404" s="509"/>
      <c r="I404" s="509"/>
      <c r="J404" s="509"/>
      <c r="K404" s="509"/>
      <c r="L404" s="509"/>
      <c r="M404" s="509"/>
      <c r="N404" s="675"/>
      <c r="O404" s="675"/>
      <c r="P404" s="509"/>
      <c r="Q404" s="509"/>
      <c r="R404" s="509"/>
      <c r="S404" s="509"/>
      <c r="T404" s="509"/>
      <c r="U404" s="509"/>
      <c r="V404" s="509"/>
      <c r="W404" s="509"/>
      <c r="X404" s="509"/>
      <c r="Y404" s="509"/>
      <c r="Z404" s="509"/>
      <c r="AA404" s="509"/>
      <c r="AB404" s="509"/>
      <c r="AC404" s="509"/>
      <c r="AD404" s="509"/>
      <c r="AE404" s="509"/>
      <c r="AF404" s="509"/>
      <c r="AG404" s="509"/>
      <c r="AH404" s="509"/>
      <c r="AI404" s="509"/>
      <c r="AJ404" s="509"/>
      <c r="AK404" s="509"/>
      <c r="AL404" s="509"/>
    </row>
    <row r="405" spans="1:38" ht="20.149999999999999" customHeight="1" thickBot="1" x14ac:dyDescent="0.4">
      <c r="A405" s="744" t="s">
        <v>18</v>
      </c>
      <c r="B405" s="745"/>
      <c r="C405" s="513">
        <f t="shared" ref="C405:AL405" si="298">SUM(C383:C404)</f>
        <v>1067</v>
      </c>
      <c r="D405" s="513">
        <f t="shared" si="298"/>
        <v>1018.5</v>
      </c>
      <c r="E405" s="513">
        <f t="shared" si="298"/>
        <v>213.40000000000003</v>
      </c>
      <c r="F405" s="513">
        <f t="shared" si="298"/>
        <v>0</v>
      </c>
      <c r="G405" s="513">
        <f t="shared" si="298"/>
        <v>0</v>
      </c>
      <c r="H405" s="513">
        <f t="shared" si="298"/>
        <v>0</v>
      </c>
      <c r="I405" s="513">
        <f t="shared" si="298"/>
        <v>0</v>
      </c>
      <c r="J405" s="513">
        <f t="shared" si="298"/>
        <v>0</v>
      </c>
      <c r="K405" s="513">
        <f t="shared" si="298"/>
        <v>0</v>
      </c>
      <c r="L405" s="513">
        <f t="shared" si="298"/>
        <v>0</v>
      </c>
      <c r="M405" s="513">
        <f t="shared" si="298"/>
        <v>0</v>
      </c>
      <c r="N405" s="513"/>
      <c r="O405" s="513"/>
      <c r="P405" s="513">
        <f t="shared" si="298"/>
        <v>0</v>
      </c>
      <c r="Q405" s="513">
        <f t="shared" si="298"/>
        <v>0</v>
      </c>
      <c r="R405" s="513">
        <f t="shared" si="298"/>
        <v>0</v>
      </c>
      <c r="S405" s="513">
        <f t="shared" si="298"/>
        <v>0</v>
      </c>
      <c r="T405" s="513">
        <f t="shared" si="298"/>
        <v>0</v>
      </c>
      <c r="U405" s="513">
        <f t="shared" si="298"/>
        <v>0</v>
      </c>
      <c r="V405" s="513">
        <f t="shared" si="298"/>
        <v>0</v>
      </c>
      <c r="W405" s="513">
        <f t="shared" si="298"/>
        <v>0</v>
      </c>
      <c r="X405" s="513">
        <f t="shared" si="298"/>
        <v>0</v>
      </c>
      <c r="Y405" s="513">
        <f t="shared" si="298"/>
        <v>0</v>
      </c>
      <c r="Z405" s="513">
        <f t="shared" si="298"/>
        <v>0</v>
      </c>
      <c r="AA405" s="513">
        <f t="shared" si="298"/>
        <v>0</v>
      </c>
      <c r="AB405" s="513">
        <f t="shared" si="298"/>
        <v>0</v>
      </c>
      <c r="AC405" s="513">
        <f t="shared" si="298"/>
        <v>0</v>
      </c>
      <c r="AD405" s="513">
        <f t="shared" si="298"/>
        <v>0</v>
      </c>
      <c r="AE405" s="513">
        <f t="shared" si="298"/>
        <v>0</v>
      </c>
      <c r="AF405" s="513">
        <f t="shared" si="298"/>
        <v>0</v>
      </c>
      <c r="AG405" s="513">
        <f t="shared" si="298"/>
        <v>0</v>
      </c>
      <c r="AH405" s="513">
        <f t="shared" si="298"/>
        <v>0</v>
      </c>
      <c r="AI405" s="513">
        <f t="shared" si="298"/>
        <v>0</v>
      </c>
      <c r="AJ405" s="513">
        <f t="shared" si="298"/>
        <v>0</v>
      </c>
      <c r="AK405" s="513">
        <f t="shared" si="298"/>
        <v>0</v>
      </c>
      <c r="AL405" s="518">
        <f t="shared" si="298"/>
        <v>0</v>
      </c>
    </row>
    <row r="406" spans="1:38" ht="15.5" x14ac:dyDescent="0.35">
      <c r="A406" s="514"/>
      <c r="B406" s="514"/>
      <c r="C406" s="514"/>
      <c r="D406" s="514"/>
      <c r="E406" s="514"/>
      <c r="F406" s="514"/>
      <c r="G406" s="514"/>
      <c r="H406" s="514"/>
      <c r="I406" s="514"/>
      <c r="J406" s="514"/>
      <c r="K406" s="514"/>
      <c r="L406" s="514"/>
      <c r="M406" s="514"/>
      <c r="N406" s="514"/>
      <c r="O406" s="514"/>
      <c r="P406" s="514"/>
      <c r="Q406" s="514"/>
      <c r="R406" s="514"/>
      <c r="S406" s="514"/>
      <c r="T406" s="514"/>
      <c r="U406" s="514"/>
      <c r="V406" s="514"/>
      <c r="W406" s="514"/>
      <c r="X406" s="514"/>
      <c r="Y406" s="514"/>
      <c r="Z406" s="514"/>
      <c r="AA406" s="514"/>
      <c r="AB406" s="514"/>
      <c r="AC406" s="514"/>
      <c r="AD406" s="514"/>
      <c r="AE406" s="514"/>
      <c r="AF406" s="514"/>
      <c r="AG406" s="514"/>
      <c r="AH406" s="514"/>
      <c r="AI406" s="514"/>
      <c r="AJ406" s="514"/>
      <c r="AK406" s="514"/>
      <c r="AL406" s="514"/>
    </row>
    <row r="407" spans="1:38" ht="15.5" x14ac:dyDescent="0.35">
      <c r="A407" s="514"/>
      <c r="B407" s="514"/>
      <c r="C407" s="514"/>
      <c r="D407" s="514"/>
      <c r="E407" s="514"/>
      <c r="F407" s="514"/>
      <c r="G407" s="514"/>
      <c r="H407" s="514"/>
      <c r="I407" s="514"/>
      <c r="J407" s="514"/>
      <c r="K407" s="514"/>
      <c r="L407" s="514"/>
      <c r="M407" s="514"/>
      <c r="N407" s="514"/>
      <c r="O407" s="514"/>
      <c r="P407" s="514"/>
      <c r="Q407" s="514"/>
      <c r="R407" s="514"/>
      <c r="S407" s="514"/>
      <c r="T407" s="514"/>
      <c r="U407" s="514"/>
      <c r="V407" s="514"/>
      <c r="W407" s="514"/>
      <c r="X407" s="514"/>
      <c r="Y407" s="514"/>
      <c r="Z407" s="514"/>
      <c r="AA407" s="514"/>
      <c r="AB407" s="514"/>
      <c r="AC407" s="514"/>
      <c r="AD407" s="514"/>
      <c r="AE407" s="514"/>
      <c r="AF407" s="514"/>
      <c r="AG407" s="514"/>
      <c r="AH407" s="514"/>
      <c r="AI407" s="514"/>
      <c r="AJ407" s="514"/>
      <c r="AK407" s="514"/>
      <c r="AL407" s="514"/>
    </row>
    <row r="408" spans="1:38" ht="15.5" x14ac:dyDescent="0.35">
      <c r="A408" s="514"/>
      <c r="B408" s="514"/>
      <c r="C408" s="514"/>
      <c r="D408" s="514"/>
      <c r="E408" s="514"/>
      <c r="F408" s="514"/>
      <c r="G408" s="514"/>
      <c r="H408" s="514"/>
      <c r="I408" s="514"/>
      <c r="J408" s="514"/>
      <c r="K408" s="514"/>
      <c r="L408" s="514"/>
      <c r="M408" s="514"/>
      <c r="N408" s="514"/>
      <c r="O408" s="514"/>
      <c r="P408" s="514"/>
      <c r="Q408" s="514"/>
      <c r="R408" s="514"/>
      <c r="S408" s="514"/>
      <c r="T408" s="514"/>
      <c r="U408" s="514"/>
      <c r="V408" s="514"/>
      <c r="W408" s="514"/>
      <c r="X408" s="514"/>
      <c r="Y408" s="514"/>
      <c r="Z408" s="514"/>
      <c r="AA408" s="514"/>
      <c r="AB408" s="514"/>
      <c r="AC408" s="514"/>
      <c r="AD408" s="514"/>
      <c r="AE408" s="514"/>
      <c r="AF408" s="514"/>
      <c r="AG408" s="514"/>
      <c r="AH408" s="514"/>
      <c r="AI408" s="514"/>
      <c r="AJ408" s="514"/>
      <c r="AK408" s="514"/>
      <c r="AL408" s="514"/>
    </row>
    <row r="409" spans="1:38" ht="15.5" x14ac:dyDescent="0.35">
      <c r="A409" s="731" t="s">
        <v>239</v>
      </c>
      <c r="B409" s="731"/>
      <c r="C409" s="731"/>
      <c r="D409" s="731"/>
      <c r="E409" s="731"/>
      <c r="F409" s="731"/>
      <c r="G409" s="731"/>
      <c r="H409" s="731"/>
      <c r="I409" s="731"/>
      <c r="J409" s="731"/>
      <c r="K409" s="731"/>
      <c r="L409" s="731"/>
      <c r="M409" s="731"/>
      <c r="N409" s="731"/>
      <c r="O409" s="731"/>
      <c r="P409" s="731"/>
      <c r="Q409" s="731"/>
      <c r="R409" s="731"/>
      <c r="S409" s="731"/>
      <c r="T409" s="731"/>
      <c r="U409" s="731"/>
      <c r="V409" s="731"/>
      <c r="W409" s="731"/>
      <c r="X409" s="731"/>
      <c r="Y409" s="731"/>
      <c r="Z409" s="731"/>
      <c r="AA409" s="731"/>
      <c r="AB409" s="731"/>
      <c r="AC409" s="731"/>
      <c r="AD409" s="731"/>
      <c r="AE409" s="731"/>
      <c r="AF409" s="731"/>
      <c r="AG409" s="731"/>
      <c r="AH409" s="731"/>
      <c r="AI409" s="505"/>
      <c r="AJ409" s="505"/>
      <c r="AK409" s="505"/>
      <c r="AL409" s="505"/>
    </row>
    <row r="410" spans="1:38" ht="15.5" x14ac:dyDescent="0.35">
      <c r="A410" s="505"/>
      <c r="B410" s="505"/>
      <c r="C410" s="505"/>
      <c r="D410" s="505"/>
      <c r="E410" s="505"/>
      <c r="F410" s="505"/>
      <c r="G410" s="505"/>
      <c r="H410" s="505"/>
      <c r="I410" s="505"/>
      <c r="J410" s="505"/>
      <c r="K410" s="505"/>
      <c r="L410" s="505"/>
      <c r="M410" s="505"/>
      <c r="N410" s="505"/>
      <c r="O410" s="505"/>
      <c r="P410" s="505"/>
      <c r="Q410" s="505"/>
      <c r="R410" s="505"/>
      <c r="S410" s="505"/>
      <c r="T410" s="505"/>
      <c r="U410" s="505"/>
      <c r="V410" s="505"/>
      <c r="W410" s="505"/>
      <c r="X410" s="505"/>
      <c r="Y410" s="505"/>
      <c r="Z410" s="505"/>
      <c r="AA410" s="505"/>
      <c r="AB410" s="505"/>
      <c r="AC410" s="505"/>
      <c r="AD410" s="505"/>
      <c r="AE410" s="505"/>
      <c r="AF410" s="505"/>
      <c r="AG410" s="505"/>
      <c r="AH410" s="505"/>
      <c r="AI410" s="505"/>
      <c r="AJ410" s="505"/>
      <c r="AK410" s="505"/>
      <c r="AL410" s="505"/>
    </row>
    <row r="411" spans="1:38" ht="20.149999999999999" customHeight="1" x14ac:dyDescent="0.35">
      <c r="A411" s="504" t="s">
        <v>168</v>
      </c>
      <c r="B411" s="504"/>
      <c r="C411" s="679" t="str">
        <f>PETUNJUK!C5</f>
        <v>PECANGAAN</v>
      </c>
      <c r="D411" s="504"/>
      <c r="E411" s="504"/>
      <c r="F411" s="504"/>
      <c r="G411" s="504"/>
      <c r="H411" s="504"/>
      <c r="I411" s="504"/>
      <c r="J411" s="504"/>
      <c r="K411" s="504"/>
      <c r="L411" s="504"/>
      <c r="M411" s="504"/>
      <c r="N411" s="504"/>
      <c r="O411" s="504"/>
      <c r="P411" s="504"/>
      <c r="Q411" s="504"/>
      <c r="R411" s="504"/>
      <c r="S411" s="504"/>
      <c r="T411" s="504"/>
      <c r="U411" s="504"/>
      <c r="V411" s="504"/>
      <c r="W411" s="504"/>
      <c r="X411" s="504"/>
      <c r="Y411" s="504"/>
      <c r="Z411" s="504"/>
      <c r="AA411" s="504"/>
      <c r="AB411" s="504"/>
      <c r="AC411" s="504"/>
      <c r="AD411" s="504"/>
      <c r="AE411" s="504"/>
      <c r="AF411" s="504"/>
      <c r="AG411" s="504"/>
      <c r="AH411" s="504"/>
      <c r="AI411" s="505"/>
      <c r="AJ411" s="505"/>
      <c r="AK411" s="505"/>
      <c r="AL411" s="505"/>
    </row>
    <row r="412" spans="1:38" ht="20.149999999999999" customHeight="1" x14ac:dyDescent="0.35">
      <c r="A412" s="504" t="s">
        <v>169</v>
      </c>
      <c r="B412" s="504"/>
      <c r="C412" s="504" t="s">
        <v>392</v>
      </c>
      <c r="D412" s="504"/>
      <c r="E412" s="504"/>
      <c r="F412" s="504"/>
      <c r="G412" s="504"/>
      <c r="H412" s="504"/>
      <c r="I412" s="504"/>
      <c r="J412" s="504"/>
      <c r="K412" s="504"/>
      <c r="L412" s="504"/>
      <c r="M412" s="504"/>
      <c r="N412" s="504"/>
      <c r="O412" s="504"/>
      <c r="P412" s="504"/>
      <c r="Q412" s="504"/>
      <c r="R412" s="504"/>
      <c r="S412" s="504"/>
      <c r="T412" s="504"/>
      <c r="U412" s="504"/>
      <c r="V412" s="504"/>
      <c r="W412" s="504"/>
      <c r="X412" s="504"/>
      <c r="Y412" s="504"/>
      <c r="Z412" s="504"/>
      <c r="AA412" s="504"/>
      <c r="AB412" s="504"/>
      <c r="AC412" s="504"/>
      <c r="AD412" s="504"/>
      <c r="AE412" s="504"/>
      <c r="AF412" s="504"/>
      <c r="AG412" s="504"/>
      <c r="AH412" s="504"/>
      <c r="AI412" s="505"/>
      <c r="AJ412" s="505"/>
      <c r="AK412" s="505"/>
      <c r="AL412" s="505"/>
    </row>
    <row r="413" spans="1:38" ht="15.5" x14ac:dyDescent="0.35">
      <c r="A413" s="505"/>
      <c r="B413" s="505"/>
      <c r="C413" s="505"/>
      <c r="D413" s="505"/>
      <c r="E413" s="505"/>
      <c r="F413" s="505"/>
      <c r="G413" s="505"/>
      <c r="H413" s="505"/>
      <c r="I413" s="505"/>
      <c r="J413" s="505"/>
      <c r="K413" s="505"/>
      <c r="L413" s="505"/>
      <c r="M413" s="505"/>
      <c r="N413" s="505"/>
      <c r="O413" s="505"/>
      <c r="P413" s="505"/>
      <c r="Q413" s="505"/>
      <c r="R413" s="505"/>
      <c r="S413" s="505"/>
      <c r="T413" s="505"/>
      <c r="U413" s="505"/>
      <c r="V413" s="505"/>
      <c r="W413" s="505"/>
      <c r="X413" s="505"/>
      <c r="Y413" s="505"/>
      <c r="Z413" s="505"/>
      <c r="AA413" s="505"/>
      <c r="AB413" s="505"/>
      <c r="AC413" s="505"/>
      <c r="AD413" s="505"/>
      <c r="AE413" s="505"/>
      <c r="AF413" s="505"/>
      <c r="AG413" s="505"/>
      <c r="AH413" s="505"/>
      <c r="AI413" s="505"/>
      <c r="AJ413" s="505"/>
      <c r="AK413" s="505"/>
      <c r="AL413" s="505"/>
    </row>
    <row r="414" spans="1:38" s="15" customFormat="1" ht="27.65" customHeight="1" x14ac:dyDescent="0.35">
      <c r="A414" s="754" t="s">
        <v>1</v>
      </c>
      <c r="B414" s="754" t="s">
        <v>2</v>
      </c>
      <c r="C414" s="754" t="s">
        <v>174</v>
      </c>
      <c r="D414" s="754"/>
      <c r="E414" s="754"/>
      <c r="F414" s="755" t="s">
        <v>8</v>
      </c>
      <c r="G414" s="759" t="s">
        <v>295</v>
      </c>
      <c r="H414" s="759" t="s">
        <v>296</v>
      </c>
      <c r="I414" s="759" t="s">
        <v>297</v>
      </c>
      <c r="J414" s="739" t="s">
        <v>9</v>
      </c>
      <c r="K414" s="759" t="s">
        <v>298</v>
      </c>
      <c r="L414" s="760" t="s">
        <v>299</v>
      </c>
      <c r="M414" s="758" t="s">
        <v>289</v>
      </c>
      <c r="N414" s="758" t="s">
        <v>422</v>
      </c>
      <c r="O414" s="758" t="s">
        <v>423</v>
      </c>
      <c r="P414" s="739" t="s">
        <v>290</v>
      </c>
      <c r="Q414" s="752" t="s">
        <v>230</v>
      </c>
      <c r="R414" s="753"/>
      <c r="S414" s="753"/>
      <c r="T414" s="753"/>
      <c r="U414" s="753"/>
      <c r="V414" s="753"/>
      <c r="W414" s="755" t="s">
        <v>15</v>
      </c>
      <c r="X414" s="739" t="s">
        <v>16</v>
      </c>
      <c r="Y414" s="735" t="s">
        <v>231</v>
      </c>
      <c r="Z414" s="735"/>
      <c r="AA414" s="736" t="s">
        <v>240</v>
      </c>
      <c r="AB414" s="735" t="s">
        <v>4</v>
      </c>
      <c r="AC414" s="735"/>
      <c r="AD414" s="735"/>
      <c r="AE414" s="735"/>
      <c r="AF414" s="728" t="s">
        <v>237</v>
      </c>
      <c r="AG414" s="736" t="s">
        <v>23</v>
      </c>
      <c r="AH414" s="755" t="s">
        <v>3</v>
      </c>
      <c r="AI414" s="763" t="s">
        <v>238</v>
      </c>
      <c r="AJ414" s="764"/>
      <c r="AK414" s="764"/>
      <c r="AL414" s="765"/>
    </row>
    <row r="415" spans="1:38" s="15" customFormat="1" ht="18" customHeight="1" x14ac:dyDescent="0.35">
      <c r="A415" s="754"/>
      <c r="B415" s="754"/>
      <c r="C415" s="732" t="s">
        <v>5</v>
      </c>
      <c r="D415" s="732" t="s">
        <v>6</v>
      </c>
      <c r="E415" s="732" t="s">
        <v>133</v>
      </c>
      <c r="F415" s="756"/>
      <c r="G415" s="756"/>
      <c r="H415" s="756"/>
      <c r="I415" s="756"/>
      <c r="J415" s="740"/>
      <c r="K415" s="756"/>
      <c r="L415" s="761"/>
      <c r="M415" s="758"/>
      <c r="N415" s="758"/>
      <c r="O415" s="758"/>
      <c r="P415" s="740"/>
      <c r="Q415" s="732" t="s">
        <v>10</v>
      </c>
      <c r="R415" s="732" t="s">
        <v>11</v>
      </c>
      <c r="S415" s="732" t="s">
        <v>12</v>
      </c>
      <c r="T415" s="732" t="s">
        <v>13</v>
      </c>
      <c r="U415" s="732" t="s">
        <v>14</v>
      </c>
      <c r="V415" s="746" t="s">
        <v>227</v>
      </c>
      <c r="W415" s="756"/>
      <c r="X415" s="740"/>
      <c r="Y415" s="748" t="s">
        <v>228</v>
      </c>
      <c r="Z415" s="748" t="s">
        <v>229</v>
      </c>
      <c r="AA415" s="737"/>
      <c r="AB415" s="749" t="s">
        <v>232</v>
      </c>
      <c r="AC415" s="750"/>
      <c r="AD415" s="751"/>
      <c r="AE415" s="733" t="s">
        <v>236</v>
      </c>
      <c r="AF415" s="729"/>
      <c r="AG415" s="737"/>
      <c r="AH415" s="756"/>
      <c r="AI415" s="742" t="s">
        <v>166</v>
      </c>
      <c r="AJ415" s="742" t="s">
        <v>167</v>
      </c>
      <c r="AK415" s="742" t="s">
        <v>134</v>
      </c>
      <c r="AL415" s="742" t="s">
        <v>291</v>
      </c>
    </row>
    <row r="416" spans="1:38" s="15" customFormat="1" ht="79" customHeight="1" x14ac:dyDescent="0.35">
      <c r="A416" s="754"/>
      <c r="B416" s="754"/>
      <c r="C416" s="732"/>
      <c r="D416" s="732"/>
      <c r="E416" s="732"/>
      <c r="F416" s="757"/>
      <c r="G416" s="757"/>
      <c r="H416" s="757"/>
      <c r="I416" s="757"/>
      <c r="J416" s="741"/>
      <c r="K416" s="757"/>
      <c r="L416" s="762"/>
      <c r="M416" s="758"/>
      <c r="N416" s="758"/>
      <c r="O416" s="758"/>
      <c r="P416" s="741"/>
      <c r="Q416" s="732"/>
      <c r="R416" s="732"/>
      <c r="S416" s="732"/>
      <c r="T416" s="732"/>
      <c r="U416" s="732"/>
      <c r="V416" s="747"/>
      <c r="W416" s="757"/>
      <c r="X416" s="741"/>
      <c r="Y416" s="748"/>
      <c r="Z416" s="748"/>
      <c r="AA416" s="738"/>
      <c r="AB416" s="506" t="s">
        <v>233</v>
      </c>
      <c r="AC416" s="681" t="s">
        <v>234</v>
      </c>
      <c r="AD416" s="681" t="s">
        <v>235</v>
      </c>
      <c r="AE416" s="734"/>
      <c r="AF416" s="730"/>
      <c r="AG416" s="738"/>
      <c r="AH416" s="757"/>
      <c r="AI416" s="743"/>
      <c r="AJ416" s="743"/>
      <c r="AK416" s="743"/>
      <c r="AL416" s="743"/>
    </row>
    <row r="417" spans="1:38" ht="25" customHeight="1" x14ac:dyDescent="0.35">
      <c r="A417" s="521">
        <v>1</v>
      </c>
      <c r="B417" s="682" t="s">
        <v>137</v>
      </c>
      <c r="C417" s="521">
        <f>C31</f>
        <v>1067</v>
      </c>
      <c r="D417" s="521">
        <f>D31</f>
        <v>1018.5</v>
      </c>
      <c r="E417" s="507">
        <f>20%*C417</f>
        <v>213.4</v>
      </c>
      <c r="F417" s="521">
        <f>F31</f>
        <v>101</v>
      </c>
      <c r="G417" s="521">
        <f t="shared" ref="G417:L417" si="299">G31</f>
        <v>17</v>
      </c>
      <c r="H417" s="521">
        <f t="shared" si="299"/>
        <v>90</v>
      </c>
      <c r="I417" s="521">
        <f t="shared" si="299"/>
        <v>90</v>
      </c>
      <c r="J417" s="521">
        <f t="shared" si="299"/>
        <v>72</v>
      </c>
      <c r="K417" s="521">
        <f t="shared" si="299"/>
        <v>78</v>
      </c>
      <c r="L417" s="521">
        <f t="shared" si="299"/>
        <v>76</v>
      </c>
      <c r="M417" s="521">
        <f t="shared" ref="M417:AB417" si="300">M31</f>
        <v>88</v>
      </c>
      <c r="N417" s="521"/>
      <c r="O417" s="521"/>
      <c r="P417" s="521">
        <f t="shared" si="300"/>
        <v>84</v>
      </c>
      <c r="Q417" s="521">
        <f t="shared" si="300"/>
        <v>0</v>
      </c>
      <c r="R417" s="521">
        <f t="shared" si="300"/>
        <v>0</v>
      </c>
      <c r="S417" s="521">
        <f t="shared" si="300"/>
        <v>21</v>
      </c>
      <c r="T417" s="521">
        <f t="shared" si="300"/>
        <v>36</v>
      </c>
      <c r="U417" s="521">
        <f t="shared" si="300"/>
        <v>44</v>
      </c>
      <c r="V417" s="521">
        <f t="shared" si="300"/>
        <v>101</v>
      </c>
      <c r="W417" s="521">
        <f t="shared" si="300"/>
        <v>101</v>
      </c>
      <c r="X417" s="521">
        <f t="shared" si="300"/>
        <v>72</v>
      </c>
      <c r="Y417" s="521">
        <f t="shared" si="300"/>
        <v>18</v>
      </c>
      <c r="Z417" s="521">
        <f t="shared" si="300"/>
        <v>11</v>
      </c>
      <c r="AA417" s="521">
        <f t="shared" si="300"/>
        <v>18</v>
      </c>
      <c r="AB417" s="521">
        <f t="shared" si="300"/>
        <v>90</v>
      </c>
      <c r="AC417" s="522">
        <f>AC31</f>
        <v>90</v>
      </c>
      <c r="AD417" s="521">
        <f t="shared" ref="AD417:AL417" si="301">AD31</f>
        <v>0</v>
      </c>
      <c r="AE417" s="521">
        <f t="shared" si="301"/>
        <v>0</v>
      </c>
      <c r="AF417" s="521">
        <f t="shared" si="301"/>
        <v>16</v>
      </c>
      <c r="AG417" s="521">
        <f t="shared" si="301"/>
        <v>90</v>
      </c>
      <c r="AH417" s="521">
        <f t="shared" si="301"/>
        <v>90</v>
      </c>
      <c r="AI417" s="521">
        <f t="shared" si="301"/>
        <v>90</v>
      </c>
      <c r="AJ417" s="521">
        <f t="shared" si="301"/>
        <v>90</v>
      </c>
      <c r="AK417" s="521">
        <f t="shared" si="301"/>
        <v>90</v>
      </c>
      <c r="AL417" s="521">
        <f t="shared" si="301"/>
        <v>90</v>
      </c>
    </row>
    <row r="418" spans="1:38" ht="25" customHeight="1" x14ac:dyDescent="0.35">
      <c r="A418" s="507">
        <v>2</v>
      </c>
      <c r="B418" s="683" t="s">
        <v>172</v>
      </c>
      <c r="C418" s="507">
        <f>C65</f>
        <v>1067</v>
      </c>
      <c r="D418" s="507">
        <f>D65</f>
        <v>1018.5</v>
      </c>
      <c r="E418" s="507">
        <f t="shared" ref="E418:E429" si="302">20%*C418</f>
        <v>213.4</v>
      </c>
      <c r="F418" s="507">
        <f>F65</f>
        <v>85</v>
      </c>
      <c r="G418" s="507">
        <f t="shared" ref="G418:AL418" si="303">G65</f>
        <v>7</v>
      </c>
      <c r="H418" s="507">
        <f t="shared" si="303"/>
        <v>90</v>
      </c>
      <c r="I418" s="507">
        <f t="shared" si="303"/>
        <v>90</v>
      </c>
      <c r="J418" s="507">
        <f t="shared" si="303"/>
        <v>70</v>
      </c>
      <c r="K418" s="507">
        <f t="shared" si="303"/>
        <v>75</v>
      </c>
      <c r="L418" s="507">
        <f t="shared" si="303"/>
        <v>75</v>
      </c>
      <c r="M418" s="507">
        <f t="shared" si="303"/>
        <v>79</v>
      </c>
      <c r="N418" s="676"/>
      <c r="O418" s="676"/>
      <c r="P418" s="507">
        <f t="shared" si="303"/>
        <v>76</v>
      </c>
      <c r="Q418" s="507">
        <f t="shared" si="303"/>
        <v>0</v>
      </c>
      <c r="R418" s="507">
        <f t="shared" si="303"/>
        <v>0</v>
      </c>
      <c r="S418" s="507">
        <f t="shared" si="303"/>
        <v>10</v>
      </c>
      <c r="T418" s="507">
        <f t="shared" si="303"/>
        <v>35</v>
      </c>
      <c r="U418" s="507">
        <f t="shared" si="303"/>
        <v>40</v>
      </c>
      <c r="V418" s="507">
        <f t="shared" si="303"/>
        <v>85</v>
      </c>
      <c r="W418" s="507">
        <f t="shared" si="303"/>
        <v>85</v>
      </c>
      <c r="X418" s="507">
        <f t="shared" si="303"/>
        <v>70</v>
      </c>
      <c r="Y418" s="507">
        <f t="shared" si="303"/>
        <v>19</v>
      </c>
      <c r="Z418" s="507">
        <f t="shared" si="303"/>
        <v>15</v>
      </c>
      <c r="AA418" s="507">
        <f t="shared" si="303"/>
        <v>19</v>
      </c>
      <c r="AB418" s="507">
        <f t="shared" si="303"/>
        <v>68</v>
      </c>
      <c r="AC418" s="507">
        <f t="shared" si="303"/>
        <v>68</v>
      </c>
      <c r="AD418" s="507">
        <f t="shared" si="303"/>
        <v>0</v>
      </c>
      <c r="AE418" s="507">
        <f t="shared" si="303"/>
        <v>0</v>
      </c>
      <c r="AF418" s="507">
        <f t="shared" si="303"/>
        <v>19</v>
      </c>
      <c r="AG418" s="507">
        <f t="shared" si="303"/>
        <v>67</v>
      </c>
      <c r="AH418" s="507">
        <f t="shared" si="303"/>
        <v>68</v>
      </c>
      <c r="AI418" s="507">
        <f t="shared" si="303"/>
        <v>68</v>
      </c>
      <c r="AJ418" s="507">
        <f t="shared" si="303"/>
        <v>68</v>
      </c>
      <c r="AK418" s="507">
        <f t="shared" si="303"/>
        <v>68</v>
      </c>
      <c r="AL418" s="507">
        <f t="shared" si="303"/>
        <v>68</v>
      </c>
    </row>
    <row r="419" spans="1:38" ht="25" customHeight="1" x14ac:dyDescent="0.35">
      <c r="A419" s="507">
        <v>3</v>
      </c>
      <c r="B419" s="683" t="s">
        <v>138</v>
      </c>
      <c r="C419" s="507">
        <f>C99</f>
        <v>1067</v>
      </c>
      <c r="D419" s="507">
        <f>D99</f>
        <v>1018.5</v>
      </c>
      <c r="E419" s="507">
        <f t="shared" si="302"/>
        <v>213.4</v>
      </c>
      <c r="F419" s="507">
        <f>F99</f>
        <v>78</v>
      </c>
      <c r="G419" s="507">
        <f t="shared" ref="G419:AL419" si="304">G99</f>
        <v>10</v>
      </c>
      <c r="H419" s="507">
        <f t="shared" si="304"/>
        <v>77</v>
      </c>
      <c r="I419" s="507">
        <f t="shared" si="304"/>
        <v>77</v>
      </c>
      <c r="J419" s="507">
        <f t="shared" si="304"/>
        <v>65</v>
      </c>
      <c r="K419" s="507">
        <f t="shared" si="304"/>
        <v>71</v>
      </c>
      <c r="L419" s="507">
        <f t="shared" si="304"/>
        <v>71</v>
      </c>
      <c r="M419" s="507">
        <f t="shared" si="304"/>
        <v>64</v>
      </c>
      <c r="N419" s="676"/>
      <c r="O419" s="676"/>
      <c r="P419" s="507">
        <f t="shared" si="304"/>
        <v>63</v>
      </c>
      <c r="Q419" s="507">
        <f t="shared" si="304"/>
        <v>0</v>
      </c>
      <c r="R419" s="507">
        <f t="shared" si="304"/>
        <v>0</v>
      </c>
      <c r="S419" s="507">
        <f t="shared" si="304"/>
        <v>0</v>
      </c>
      <c r="T419" s="507">
        <f t="shared" si="304"/>
        <v>28</v>
      </c>
      <c r="U419" s="507">
        <f t="shared" si="304"/>
        <v>49</v>
      </c>
      <c r="V419" s="507">
        <f t="shared" si="304"/>
        <v>77</v>
      </c>
      <c r="W419" s="507">
        <f t="shared" si="304"/>
        <v>78</v>
      </c>
      <c r="X419" s="507">
        <f t="shared" si="304"/>
        <v>65</v>
      </c>
      <c r="Y419" s="507">
        <f t="shared" si="304"/>
        <v>21</v>
      </c>
      <c r="Z419" s="507">
        <f t="shared" si="304"/>
        <v>13</v>
      </c>
      <c r="AA419" s="507">
        <f t="shared" si="304"/>
        <v>21</v>
      </c>
      <c r="AB419" s="507">
        <f t="shared" si="304"/>
        <v>58</v>
      </c>
      <c r="AC419" s="507">
        <f t="shared" si="304"/>
        <v>58</v>
      </c>
      <c r="AD419" s="507">
        <f t="shared" si="304"/>
        <v>0</v>
      </c>
      <c r="AE419" s="507">
        <f t="shared" si="304"/>
        <v>0</v>
      </c>
      <c r="AF419" s="507">
        <f t="shared" si="304"/>
        <v>11</v>
      </c>
      <c r="AG419" s="507">
        <f t="shared" si="304"/>
        <v>59</v>
      </c>
      <c r="AH419" s="507">
        <f t="shared" si="304"/>
        <v>58</v>
      </c>
      <c r="AI419" s="507">
        <f t="shared" si="304"/>
        <v>58</v>
      </c>
      <c r="AJ419" s="507">
        <f t="shared" si="304"/>
        <v>58</v>
      </c>
      <c r="AK419" s="507">
        <f t="shared" si="304"/>
        <v>58</v>
      </c>
      <c r="AL419" s="507">
        <f t="shared" si="304"/>
        <v>58</v>
      </c>
    </row>
    <row r="420" spans="1:38" ht="25" customHeight="1" x14ac:dyDescent="0.35">
      <c r="A420" s="507">
        <v>4</v>
      </c>
      <c r="B420" s="683" t="s">
        <v>139</v>
      </c>
      <c r="C420" s="507">
        <f>C133</f>
        <v>1067</v>
      </c>
      <c r="D420" s="507">
        <f>D133</f>
        <v>1018.5</v>
      </c>
      <c r="E420" s="507">
        <f t="shared" si="302"/>
        <v>213.4</v>
      </c>
      <c r="F420" s="507">
        <f>F133</f>
        <v>110</v>
      </c>
      <c r="G420" s="507">
        <f t="shared" ref="G420:AL420" si="305">G133</f>
        <v>9</v>
      </c>
      <c r="H420" s="507">
        <f t="shared" si="305"/>
        <v>109</v>
      </c>
      <c r="I420" s="507">
        <f t="shared" si="305"/>
        <v>109</v>
      </c>
      <c r="J420" s="507">
        <f t="shared" si="305"/>
        <v>76</v>
      </c>
      <c r="K420" s="507">
        <f t="shared" si="305"/>
        <v>72</v>
      </c>
      <c r="L420" s="507">
        <f t="shared" si="305"/>
        <v>74</v>
      </c>
      <c r="M420" s="507">
        <f t="shared" si="305"/>
        <v>78</v>
      </c>
      <c r="N420" s="676"/>
      <c r="O420" s="676"/>
      <c r="P420" s="507">
        <f t="shared" si="305"/>
        <v>94</v>
      </c>
      <c r="Q420" s="507">
        <f t="shared" si="305"/>
        <v>0</v>
      </c>
      <c r="R420" s="507">
        <f t="shared" si="305"/>
        <v>0</v>
      </c>
      <c r="S420" s="507">
        <f t="shared" si="305"/>
        <v>0</v>
      </c>
      <c r="T420" s="507">
        <f t="shared" si="305"/>
        <v>46</v>
      </c>
      <c r="U420" s="507">
        <f t="shared" si="305"/>
        <v>64</v>
      </c>
      <c r="V420" s="507">
        <f t="shared" si="305"/>
        <v>110</v>
      </c>
      <c r="W420" s="507">
        <f t="shared" si="305"/>
        <v>110</v>
      </c>
      <c r="X420" s="507">
        <f t="shared" si="305"/>
        <v>76</v>
      </c>
      <c r="Y420" s="507">
        <f t="shared" si="305"/>
        <v>34</v>
      </c>
      <c r="Z420" s="507">
        <f t="shared" si="305"/>
        <v>8</v>
      </c>
      <c r="AA420" s="507">
        <f t="shared" si="305"/>
        <v>34</v>
      </c>
      <c r="AB420" s="507">
        <f t="shared" si="305"/>
        <v>82</v>
      </c>
      <c r="AC420" s="507">
        <f t="shared" si="305"/>
        <v>82</v>
      </c>
      <c r="AD420" s="507">
        <f t="shared" si="305"/>
        <v>0</v>
      </c>
      <c r="AE420" s="507">
        <f t="shared" si="305"/>
        <v>0</v>
      </c>
      <c r="AF420" s="507">
        <f t="shared" si="305"/>
        <v>23</v>
      </c>
      <c r="AG420" s="507">
        <f t="shared" si="305"/>
        <v>82</v>
      </c>
      <c r="AH420" s="507">
        <f t="shared" si="305"/>
        <v>82</v>
      </c>
      <c r="AI420" s="507">
        <f t="shared" si="305"/>
        <v>82</v>
      </c>
      <c r="AJ420" s="507">
        <f t="shared" si="305"/>
        <v>82</v>
      </c>
      <c r="AK420" s="507">
        <f t="shared" si="305"/>
        <v>82</v>
      </c>
      <c r="AL420" s="507">
        <f t="shared" si="305"/>
        <v>82</v>
      </c>
    </row>
    <row r="421" spans="1:38" ht="25" customHeight="1" x14ac:dyDescent="0.35">
      <c r="A421" s="507">
        <v>5</v>
      </c>
      <c r="B421" s="683" t="s">
        <v>140</v>
      </c>
      <c r="C421" s="507">
        <f>C167</f>
        <v>1067</v>
      </c>
      <c r="D421" s="507">
        <f>D167</f>
        <v>1018.5</v>
      </c>
      <c r="E421" s="507">
        <f t="shared" si="302"/>
        <v>213.4</v>
      </c>
      <c r="F421" s="507">
        <f>F167</f>
        <v>0</v>
      </c>
      <c r="G421" s="507">
        <f t="shared" ref="G421:AL421" si="306">G167</f>
        <v>0</v>
      </c>
      <c r="H421" s="507">
        <f t="shared" si="306"/>
        <v>0</v>
      </c>
      <c r="I421" s="507">
        <f t="shared" si="306"/>
        <v>0</v>
      </c>
      <c r="J421" s="507">
        <f t="shared" si="306"/>
        <v>0</v>
      </c>
      <c r="K421" s="507">
        <f t="shared" si="306"/>
        <v>0</v>
      </c>
      <c r="L421" s="507">
        <f t="shared" si="306"/>
        <v>0</v>
      </c>
      <c r="M421" s="507">
        <f t="shared" si="306"/>
        <v>0</v>
      </c>
      <c r="N421" s="676"/>
      <c r="O421" s="676"/>
      <c r="P421" s="507">
        <f t="shared" si="306"/>
        <v>0</v>
      </c>
      <c r="Q421" s="507">
        <f t="shared" si="306"/>
        <v>0</v>
      </c>
      <c r="R421" s="507">
        <f t="shared" si="306"/>
        <v>0</v>
      </c>
      <c r="S421" s="507">
        <f t="shared" si="306"/>
        <v>0</v>
      </c>
      <c r="T421" s="507">
        <f t="shared" si="306"/>
        <v>0</v>
      </c>
      <c r="U421" s="507">
        <f t="shared" si="306"/>
        <v>0</v>
      </c>
      <c r="V421" s="507">
        <f t="shared" si="306"/>
        <v>0</v>
      </c>
      <c r="W421" s="507">
        <f t="shared" si="306"/>
        <v>0</v>
      </c>
      <c r="X421" s="507">
        <f t="shared" si="306"/>
        <v>0</v>
      </c>
      <c r="Y421" s="507">
        <f t="shared" si="306"/>
        <v>0</v>
      </c>
      <c r="Z421" s="507">
        <f t="shared" si="306"/>
        <v>0</v>
      </c>
      <c r="AA421" s="507">
        <f t="shared" si="306"/>
        <v>0</v>
      </c>
      <c r="AB421" s="507">
        <f t="shared" si="306"/>
        <v>0</v>
      </c>
      <c r="AC421" s="507">
        <f t="shared" si="306"/>
        <v>0</v>
      </c>
      <c r="AD421" s="507">
        <f t="shared" si="306"/>
        <v>0</v>
      </c>
      <c r="AE421" s="507">
        <f t="shared" si="306"/>
        <v>0</v>
      </c>
      <c r="AF421" s="507">
        <f t="shared" si="306"/>
        <v>0</v>
      </c>
      <c r="AG421" s="507">
        <f t="shared" si="306"/>
        <v>0</v>
      </c>
      <c r="AH421" s="507">
        <f t="shared" si="306"/>
        <v>0</v>
      </c>
      <c r="AI421" s="507">
        <f t="shared" si="306"/>
        <v>0</v>
      </c>
      <c r="AJ421" s="507">
        <f t="shared" si="306"/>
        <v>0</v>
      </c>
      <c r="AK421" s="507">
        <f t="shared" si="306"/>
        <v>0</v>
      </c>
      <c r="AL421" s="507">
        <f t="shared" si="306"/>
        <v>0</v>
      </c>
    </row>
    <row r="422" spans="1:38" ht="25" customHeight="1" x14ac:dyDescent="0.35">
      <c r="A422" s="507">
        <v>6</v>
      </c>
      <c r="B422" s="683" t="s">
        <v>141</v>
      </c>
      <c r="C422" s="507">
        <f>C201</f>
        <v>1067</v>
      </c>
      <c r="D422" s="507">
        <f>D201</f>
        <v>1018.5</v>
      </c>
      <c r="E422" s="507">
        <f t="shared" si="302"/>
        <v>213.4</v>
      </c>
      <c r="F422" s="507">
        <f>F201</f>
        <v>0</v>
      </c>
      <c r="G422" s="507">
        <f t="shared" ref="G422:AL422" si="307">G201</f>
        <v>0</v>
      </c>
      <c r="H422" s="507">
        <f t="shared" si="307"/>
        <v>0</v>
      </c>
      <c r="I422" s="507">
        <f t="shared" si="307"/>
        <v>0</v>
      </c>
      <c r="J422" s="507">
        <f t="shared" si="307"/>
        <v>0</v>
      </c>
      <c r="K422" s="507">
        <f t="shared" si="307"/>
        <v>0</v>
      </c>
      <c r="L422" s="507">
        <f t="shared" si="307"/>
        <v>0</v>
      </c>
      <c r="M422" s="507">
        <f t="shared" si="307"/>
        <v>0</v>
      </c>
      <c r="N422" s="676"/>
      <c r="O422" s="676"/>
      <c r="P422" s="507">
        <f t="shared" si="307"/>
        <v>0</v>
      </c>
      <c r="Q422" s="507">
        <f t="shared" si="307"/>
        <v>0</v>
      </c>
      <c r="R422" s="507">
        <f t="shared" si="307"/>
        <v>0</v>
      </c>
      <c r="S422" s="507">
        <f t="shared" si="307"/>
        <v>0</v>
      </c>
      <c r="T422" s="507">
        <f t="shared" si="307"/>
        <v>0</v>
      </c>
      <c r="U422" s="507">
        <f t="shared" si="307"/>
        <v>0</v>
      </c>
      <c r="V422" s="507">
        <f t="shared" si="307"/>
        <v>0</v>
      </c>
      <c r="W422" s="507">
        <f t="shared" si="307"/>
        <v>0</v>
      </c>
      <c r="X422" s="507">
        <f t="shared" si="307"/>
        <v>0</v>
      </c>
      <c r="Y422" s="507">
        <f t="shared" si="307"/>
        <v>0</v>
      </c>
      <c r="Z422" s="507">
        <f t="shared" si="307"/>
        <v>0</v>
      </c>
      <c r="AA422" s="507">
        <f t="shared" si="307"/>
        <v>0</v>
      </c>
      <c r="AB422" s="507">
        <f t="shared" si="307"/>
        <v>0</v>
      </c>
      <c r="AC422" s="507">
        <f t="shared" si="307"/>
        <v>0</v>
      </c>
      <c r="AD422" s="507">
        <f t="shared" si="307"/>
        <v>0</v>
      </c>
      <c r="AE422" s="507">
        <f t="shared" si="307"/>
        <v>0</v>
      </c>
      <c r="AF422" s="507">
        <f t="shared" si="307"/>
        <v>0</v>
      </c>
      <c r="AG422" s="507">
        <f t="shared" si="307"/>
        <v>0</v>
      </c>
      <c r="AH422" s="507">
        <f t="shared" si="307"/>
        <v>0</v>
      </c>
      <c r="AI422" s="507">
        <f t="shared" si="307"/>
        <v>0</v>
      </c>
      <c r="AJ422" s="507">
        <f t="shared" si="307"/>
        <v>0</v>
      </c>
      <c r="AK422" s="507">
        <f t="shared" si="307"/>
        <v>0</v>
      </c>
      <c r="AL422" s="507">
        <f t="shared" si="307"/>
        <v>0</v>
      </c>
    </row>
    <row r="423" spans="1:38" ht="25" customHeight="1" x14ac:dyDescent="0.35">
      <c r="A423" s="507">
        <v>7</v>
      </c>
      <c r="B423" s="683" t="s">
        <v>142</v>
      </c>
      <c r="C423" s="507">
        <f>C235</f>
        <v>1067</v>
      </c>
      <c r="D423" s="507">
        <f>D235</f>
        <v>1018.5</v>
      </c>
      <c r="E423" s="507">
        <f t="shared" si="302"/>
        <v>213.4</v>
      </c>
      <c r="F423" s="507">
        <f>F235</f>
        <v>0</v>
      </c>
      <c r="G423" s="507">
        <f t="shared" ref="G423:AL423" si="308">G235</f>
        <v>0</v>
      </c>
      <c r="H423" s="507">
        <f t="shared" si="308"/>
        <v>0</v>
      </c>
      <c r="I423" s="507">
        <f t="shared" si="308"/>
        <v>0</v>
      </c>
      <c r="J423" s="507">
        <f t="shared" si="308"/>
        <v>0</v>
      </c>
      <c r="K423" s="507">
        <f t="shared" si="308"/>
        <v>0</v>
      </c>
      <c r="L423" s="507">
        <f t="shared" si="308"/>
        <v>0</v>
      </c>
      <c r="M423" s="507">
        <f t="shared" si="308"/>
        <v>0</v>
      </c>
      <c r="N423" s="676"/>
      <c r="O423" s="676"/>
      <c r="P423" s="507">
        <f t="shared" si="308"/>
        <v>0</v>
      </c>
      <c r="Q423" s="507">
        <f t="shared" si="308"/>
        <v>0</v>
      </c>
      <c r="R423" s="507">
        <f t="shared" si="308"/>
        <v>0</v>
      </c>
      <c r="S423" s="507">
        <f t="shared" si="308"/>
        <v>0</v>
      </c>
      <c r="T423" s="507">
        <f t="shared" si="308"/>
        <v>0</v>
      </c>
      <c r="U423" s="507">
        <f t="shared" si="308"/>
        <v>0</v>
      </c>
      <c r="V423" s="507">
        <f t="shared" si="308"/>
        <v>0</v>
      </c>
      <c r="W423" s="507">
        <f>W235</f>
        <v>0</v>
      </c>
      <c r="X423" s="507">
        <f t="shared" si="308"/>
        <v>0</v>
      </c>
      <c r="Y423" s="507">
        <f t="shared" si="308"/>
        <v>0</v>
      </c>
      <c r="Z423" s="507">
        <f t="shared" si="308"/>
        <v>0</v>
      </c>
      <c r="AA423" s="507">
        <f t="shared" si="308"/>
        <v>0</v>
      </c>
      <c r="AB423" s="507">
        <f t="shared" si="308"/>
        <v>0</v>
      </c>
      <c r="AC423" s="507">
        <f t="shared" si="308"/>
        <v>0</v>
      </c>
      <c r="AD423" s="507">
        <f t="shared" si="308"/>
        <v>0</v>
      </c>
      <c r="AE423" s="507">
        <f t="shared" si="308"/>
        <v>0</v>
      </c>
      <c r="AF423" s="507">
        <f t="shared" si="308"/>
        <v>0</v>
      </c>
      <c r="AG423" s="507">
        <f t="shared" si="308"/>
        <v>0</v>
      </c>
      <c r="AH423" s="507">
        <f t="shared" si="308"/>
        <v>0</v>
      </c>
      <c r="AI423" s="507">
        <f t="shared" si="308"/>
        <v>0</v>
      </c>
      <c r="AJ423" s="507">
        <f t="shared" si="308"/>
        <v>0</v>
      </c>
      <c r="AK423" s="507">
        <f t="shared" si="308"/>
        <v>0</v>
      </c>
      <c r="AL423" s="507">
        <f t="shared" si="308"/>
        <v>0</v>
      </c>
    </row>
    <row r="424" spans="1:38" ht="25" customHeight="1" x14ac:dyDescent="0.35">
      <c r="A424" s="507">
        <v>8</v>
      </c>
      <c r="B424" s="683" t="s">
        <v>143</v>
      </c>
      <c r="C424" s="507">
        <f>C269</f>
        <v>1067</v>
      </c>
      <c r="D424" s="507">
        <f>D269</f>
        <v>1018.5</v>
      </c>
      <c r="E424" s="507">
        <f t="shared" si="302"/>
        <v>213.4</v>
      </c>
      <c r="F424" s="507">
        <f>F269</f>
        <v>0</v>
      </c>
      <c r="G424" s="507">
        <f t="shared" ref="G424:AL424" si="309">G269</f>
        <v>0</v>
      </c>
      <c r="H424" s="507">
        <f t="shared" si="309"/>
        <v>0</v>
      </c>
      <c r="I424" s="507">
        <f t="shared" si="309"/>
        <v>0</v>
      </c>
      <c r="J424" s="507">
        <f t="shared" si="309"/>
        <v>0</v>
      </c>
      <c r="K424" s="507">
        <f t="shared" si="309"/>
        <v>0</v>
      </c>
      <c r="L424" s="507">
        <f t="shared" si="309"/>
        <v>0</v>
      </c>
      <c r="M424" s="507">
        <f t="shared" si="309"/>
        <v>0</v>
      </c>
      <c r="N424" s="676"/>
      <c r="O424" s="676"/>
      <c r="P424" s="507">
        <f t="shared" si="309"/>
        <v>0</v>
      </c>
      <c r="Q424" s="507">
        <f t="shared" si="309"/>
        <v>0</v>
      </c>
      <c r="R424" s="507">
        <f t="shared" si="309"/>
        <v>0</v>
      </c>
      <c r="S424" s="507">
        <f t="shared" si="309"/>
        <v>0</v>
      </c>
      <c r="T424" s="507">
        <f t="shared" si="309"/>
        <v>0</v>
      </c>
      <c r="U424" s="507">
        <f t="shared" si="309"/>
        <v>0</v>
      </c>
      <c r="V424" s="507">
        <f t="shared" si="309"/>
        <v>0</v>
      </c>
      <c r="W424" s="507">
        <f t="shared" si="309"/>
        <v>0</v>
      </c>
      <c r="X424" s="507">
        <f t="shared" si="309"/>
        <v>0</v>
      </c>
      <c r="Y424" s="507">
        <f t="shared" si="309"/>
        <v>0</v>
      </c>
      <c r="Z424" s="507">
        <f t="shared" si="309"/>
        <v>0</v>
      </c>
      <c r="AA424" s="507">
        <f t="shared" si="309"/>
        <v>0</v>
      </c>
      <c r="AB424" s="507">
        <f t="shared" si="309"/>
        <v>0</v>
      </c>
      <c r="AC424" s="507">
        <f t="shared" si="309"/>
        <v>0</v>
      </c>
      <c r="AD424" s="507">
        <f t="shared" si="309"/>
        <v>0</v>
      </c>
      <c r="AE424" s="507">
        <f t="shared" si="309"/>
        <v>0</v>
      </c>
      <c r="AF424" s="507">
        <f t="shared" si="309"/>
        <v>0</v>
      </c>
      <c r="AG424" s="507">
        <f t="shared" si="309"/>
        <v>0</v>
      </c>
      <c r="AH424" s="507">
        <f t="shared" si="309"/>
        <v>0</v>
      </c>
      <c r="AI424" s="507">
        <f t="shared" si="309"/>
        <v>0</v>
      </c>
      <c r="AJ424" s="507">
        <f t="shared" si="309"/>
        <v>0</v>
      </c>
      <c r="AK424" s="507">
        <f t="shared" si="309"/>
        <v>0</v>
      </c>
      <c r="AL424" s="507">
        <f t="shared" si="309"/>
        <v>0</v>
      </c>
    </row>
    <row r="425" spans="1:38" ht="25" customHeight="1" x14ac:dyDescent="0.35">
      <c r="A425" s="507">
        <v>9</v>
      </c>
      <c r="B425" s="683" t="s">
        <v>144</v>
      </c>
      <c r="C425" s="507">
        <f>C303</f>
        <v>1067</v>
      </c>
      <c r="D425" s="507">
        <f>D303</f>
        <v>1018.5</v>
      </c>
      <c r="E425" s="507">
        <f t="shared" si="302"/>
        <v>213.4</v>
      </c>
      <c r="F425" s="507">
        <f>F303</f>
        <v>0</v>
      </c>
      <c r="G425" s="507">
        <f t="shared" ref="G425:AL425" si="310">G303</f>
        <v>0</v>
      </c>
      <c r="H425" s="507">
        <f t="shared" si="310"/>
        <v>0</v>
      </c>
      <c r="I425" s="507">
        <f t="shared" si="310"/>
        <v>0</v>
      </c>
      <c r="J425" s="507">
        <f t="shared" si="310"/>
        <v>0</v>
      </c>
      <c r="K425" s="507">
        <f t="shared" si="310"/>
        <v>0</v>
      </c>
      <c r="L425" s="507">
        <f t="shared" si="310"/>
        <v>0</v>
      </c>
      <c r="M425" s="507">
        <f t="shared" si="310"/>
        <v>0</v>
      </c>
      <c r="N425" s="676"/>
      <c r="O425" s="676"/>
      <c r="P425" s="507">
        <f t="shared" si="310"/>
        <v>0</v>
      </c>
      <c r="Q425" s="507">
        <f t="shared" si="310"/>
        <v>0</v>
      </c>
      <c r="R425" s="507">
        <f t="shared" si="310"/>
        <v>0</v>
      </c>
      <c r="S425" s="507">
        <f t="shared" si="310"/>
        <v>0</v>
      </c>
      <c r="T425" s="507">
        <f t="shared" si="310"/>
        <v>0</v>
      </c>
      <c r="U425" s="507">
        <f t="shared" si="310"/>
        <v>0</v>
      </c>
      <c r="V425" s="507">
        <f t="shared" si="310"/>
        <v>0</v>
      </c>
      <c r="W425" s="507">
        <f t="shared" si="310"/>
        <v>0</v>
      </c>
      <c r="X425" s="507">
        <f t="shared" si="310"/>
        <v>0</v>
      </c>
      <c r="Y425" s="507">
        <f t="shared" si="310"/>
        <v>0</v>
      </c>
      <c r="Z425" s="507">
        <f t="shared" si="310"/>
        <v>0</v>
      </c>
      <c r="AA425" s="507">
        <f t="shared" si="310"/>
        <v>0</v>
      </c>
      <c r="AB425" s="507">
        <f t="shared" si="310"/>
        <v>0</v>
      </c>
      <c r="AC425" s="507">
        <f t="shared" si="310"/>
        <v>0</v>
      </c>
      <c r="AD425" s="507">
        <f t="shared" si="310"/>
        <v>0</v>
      </c>
      <c r="AE425" s="507">
        <f t="shared" si="310"/>
        <v>0</v>
      </c>
      <c r="AF425" s="507">
        <f t="shared" si="310"/>
        <v>0</v>
      </c>
      <c r="AG425" s="507">
        <f t="shared" si="310"/>
        <v>0</v>
      </c>
      <c r="AH425" s="507">
        <f t="shared" si="310"/>
        <v>0</v>
      </c>
      <c r="AI425" s="507">
        <f t="shared" si="310"/>
        <v>0</v>
      </c>
      <c r="AJ425" s="507">
        <f t="shared" si="310"/>
        <v>0</v>
      </c>
      <c r="AK425" s="507">
        <f t="shared" si="310"/>
        <v>0</v>
      </c>
      <c r="AL425" s="507">
        <f t="shared" si="310"/>
        <v>0</v>
      </c>
    </row>
    <row r="426" spans="1:38" ht="25" customHeight="1" x14ac:dyDescent="0.35">
      <c r="A426" s="507">
        <v>6</v>
      </c>
      <c r="B426" s="683" t="s">
        <v>146</v>
      </c>
      <c r="C426" s="507">
        <f>C337</f>
        <v>1067</v>
      </c>
      <c r="D426" s="507">
        <f>D337</f>
        <v>1018.5</v>
      </c>
      <c r="E426" s="507">
        <f t="shared" si="302"/>
        <v>213.4</v>
      </c>
      <c r="F426" s="507">
        <f>F337</f>
        <v>0</v>
      </c>
      <c r="G426" s="507">
        <f t="shared" ref="G426:AL426" si="311">G337</f>
        <v>0</v>
      </c>
      <c r="H426" s="507">
        <f t="shared" si="311"/>
        <v>0</v>
      </c>
      <c r="I426" s="507">
        <f t="shared" si="311"/>
        <v>0</v>
      </c>
      <c r="J426" s="507">
        <f t="shared" si="311"/>
        <v>0</v>
      </c>
      <c r="K426" s="507">
        <f t="shared" si="311"/>
        <v>0</v>
      </c>
      <c r="L426" s="507">
        <f t="shared" si="311"/>
        <v>0</v>
      </c>
      <c r="M426" s="507">
        <f t="shared" si="311"/>
        <v>0</v>
      </c>
      <c r="N426" s="676"/>
      <c r="O426" s="676"/>
      <c r="P426" s="507">
        <f t="shared" si="311"/>
        <v>0</v>
      </c>
      <c r="Q426" s="507">
        <f t="shared" si="311"/>
        <v>0</v>
      </c>
      <c r="R426" s="507">
        <f t="shared" si="311"/>
        <v>0</v>
      </c>
      <c r="S426" s="507">
        <f t="shared" si="311"/>
        <v>0</v>
      </c>
      <c r="T426" s="507">
        <f t="shared" si="311"/>
        <v>0</v>
      </c>
      <c r="U426" s="507">
        <f t="shared" si="311"/>
        <v>0</v>
      </c>
      <c r="V426" s="507">
        <f t="shared" si="311"/>
        <v>0</v>
      </c>
      <c r="W426" s="507">
        <f t="shared" si="311"/>
        <v>0</v>
      </c>
      <c r="X426" s="507">
        <f t="shared" si="311"/>
        <v>0</v>
      </c>
      <c r="Y426" s="507">
        <f t="shared" si="311"/>
        <v>0</v>
      </c>
      <c r="Z426" s="507">
        <f t="shared" si="311"/>
        <v>0</v>
      </c>
      <c r="AA426" s="507">
        <f t="shared" si="311"/>
        <v>0</v>
      </c>
      <c r="AB426" s="507">
        <f t="shared" si="311"/>
        <v>0</v>
      </c>
      <c r="AC426" s="507">
        <f t="shared" si="311"/>
        <v>0</v>
      </c>
      <c r="AD426" s="507">
        <f t="shared" si="311"/>
        <v>0</v>
      </c>
      <c r="AE426" s="507">
        <f t="shared" si="311"/>
        <v>0</v>
      </c>
      <c r="AF426" s="507">
        <f t="shared" si="311"/>
        <v>0</v>
      </c>
      <c r="AG426" s="507">
        <f t="shared" si="311"/>
        <v>0</v>
      </c>
      <c r="AH426" s="507">
        <f t="shared" si="311"/>
        <v>0</v>
      </c>
      <c r="AI426" s="507">
        <f t="shared" si="311"/>
        <v>0</v>
      </c>
      <c r="AJ426" s="507">
        <f t="shared" si="311"/>
        <v>0</v>
      </c>
      <c r="AK426" s="507">
        <f t="shared" si="311"/>
        <v>0</v>
      </c>
      <c r="AL426" s="507">
        <f t="shared" si="311"/>
        <v>0</v>
      </c>
    </row>
    <row r="427" spans="1:38" ht="25" customHeight="1" x14ac:dyDescent="0.35">
      <c r="A427" s="507">
        <v>11</v>
      </c>
      <c r="B427" s="683" t="s">
        <v>173</v>
      </c>
      <c r="C427" s="507">
        <f>C371</f>
        <v>1067</v>
      </c>
      <c r="D427" s="507">
        <f>D371</f>
        <v>1018.5</v>
      </c>
      <c r="E427" s="507">
        <f t="shared" si="302"/>
        <v>213.4</v>
      </c>
      <c r="F427" s="507">
        <f>F371</f>
        <v>0</v>
      </c>
      <c r="G427" s="507">
        <f t="shared" ref="G427:AL427" si="312">G371</f>
        <v>0</v>
      </c>
      <c r="H427" s="507">
        <f t="shared" si="312"/>
        <v>0</v>
      </c>
      <c r="I427" s="507">
        <f t="shared" si="312"/>
        <v>0</v>
      </c>
      <c r="J427" s="507">
        <f t="shared" si="312"/>
        <v>0</v>
      </c>
      <c r="K427" s="507">
        <f t="shared" si="312"/>
        <v>0</v>
      </c>
      <c r="L427" s="507">
        <f t="shared" si="312"/>
        <v>0</v>
      </c>
      <c r="M427" s="507">
        <f t="shared" si="312"/>
        <v>0</v>
      </c>
      <c r="N427" s="676"/>
      <c r="O427" s="676"/>
      <c r="P427" s="507">
        <f t="shared" si="312"/>
        <v>0</v>
      </c>
      <c r="Q427" s="507">
        <f t="shared" si="312"/>
        <v>0</v>
      </c>
      <c r="R427" s="507">
        <f t="shared" si="312"/>
        <v>0</v>
      </c>
      <c r="S427" s="507">
        <f t="shared" si="312"/>
        <v>0</v>
      </c>
      <c r="T427" s="507">
        <f t="shared" si="312"/>
        <v>0</v>
      </c>
      <c r="U427" s="507">
        <f t="shared" si="312"/>
        <v>0</v>
      </c>
      <c r="V427" s="507">
        <f t="shared" si="312"/>
        <v>0</v>
      </c>
      <c r="W427" s="507">
        <f t="shared" si="312"/>
        <v>0</v>
      </c>
      <c r="X427" s="507">
        <f t="shared" si="312"/>
        <v>0</v>
      </c>
      <c r="Y427" s="507">
        <f t="shared" si="312"/>
        <v>0</v>
      </c>
      <c r="Z427" s="507">
        <f t="shared" si="312"/>
        <v>0</v>
      </c>
      <c r="AA427" s="507">
        <f t="shared" si="312"/>
        <v>0</v>
      </c>
      <c r="AB427" s="507">
        <f t="shared" si="312"/>
        <v>0</v>
      </c>
      <c r="AC427" s="507">
        <f t="shared" si="312"/>
        <v>0</v>
      </c>
      <c r="AD427" s="507">
        <f t="shared" si="312"/>
        <v>0</v>
      </c>
      <c r="AE427" s="507">
        <f t="shared" si="312"/>
        <v>0</v>
      </c>
      <c r="AF427" s="507">
        <f t="shared" si="312"/>
        <v>0</v>
      </c>
      <c r="AG427" s="507">
        <f t="shared" si="312"/>
        <v>0</v>
      </c>
      <c r="AH427" s="507">
        <f t="shared" si="312"/>
        <v>0</v>
      </c>
      <c r="AI427" s="507">
        <f t="shared" si="312"/>
        <v>0</v>
      </c>
      <c r="AJ427" s="507">
        <f t="shared" si="312"/>
        <v>0</v>
      </c>
      <c r="AK427" s="507">
        <f t="shared" si="312"/>
        <v>0</v>
      </c>
      <c r="AL427" s="507">
        <f t="shared" si="312"/>
        <v>0</v>
      </c>
    </row>
    <row r="428" spans="1:38" ht="25" customHeight="1" thickBot="1" x14ac:dyDescent="0.4">
      <c r="A428" s="523">
        <v>12</v>
      </c>
      <c r="B428" s="684" t="s">
        <v>145</v>
      </c>
      <c r="C428" s="523">
        <f>C405</f>
        <v>1067</v>
      </c>
      <c r="D428" s="523">
        <f>D405</f>
        <v>1018.5</v>
      </c>
      <c r="E428" s="512">
        <f t="shared" si="302"/>
        <v>213.4</v>
      </c>
      <c r="F428" s="523">
        <f>F405</f>
        <v>0</v>
      </c>
      <c r="G428" s="523">
        <f t="shared" ref="G428:AL428" si="313">G405</f>
        <v>0</v>
      </c>
      <c r="H428" s="523">
        <f t="shared" si="313"/>
        <v>0</v>
      </c>
      <c r="I428" s="523">
        <f t="shared" si="313"/>
        <v>0</v>
      </c>
      <c r="J428" s="523">
        <f t="shared" si="313"/>
        <v>0</v>
      </c>
      <c r="K428" s="523">
        <f t="shared" si="313"/>
        <v>0</v>
      </c>
      <c r="L428" s="523">
        <f t="shared" si="313"/>
        <v>0</v>
      </c>
      <c r="M428" s="523">
        <f t="shared" si="313"/>
        <v>0</v>
      </c>
      <c r="N428" s="523"/>
      <c r="O428" s="523"/>
      <c r="P428" s="523">
        <f t="shared" si="313"/>
        <v>0</v>
      </c>
      <c r="Q428" s="523">
        <f t="shared" si="313"/>
        <v>0</v>
      </c>
      <c r="R428" s="523">
        <f t="shared" si="313"/>
        <v>0</v>
      </c>
      <c r="S428" s="523">
        <f t="shared" si="313"/>
        <v>0</v>
      </c>
      <c r="T428" s="523">
        <f t="shared" si="313"/>
        <v>0</v>
      </c>
      <c r="U428" s="523">
        <f t="shared" si="313"/>
        <v>0</v>
      </c>
      <c r="V428" s="523">
        <f t="shared" si="313"/>
        <v>0</v>
      </c>
      <c r="W428" s="523">
        <f t="shared" si="313"/>
        <v>0</v>
      </c>
      <c r="X428" s="523">
        <f t="shared" si="313"/>
        <v>0</v>
      </c>
      <c r="Y428" s="523">
        <f t="shared" si="313"/>
        <v>0</v>
      </c>
      <c r="Z428" s="523">
        <f t="shared" si="313"/>
        <v>0</v>
      </c>
      <c r="AA428" s="523">
        <f t="shared" si="313"/>
        <v>0</v>
      </c>
      <c r="AB428" s="523">
        <f t="shared" si="313"/>
        <v>0</v>
      </c>
      <c r="AC428" s="523">
        <f t="shared" si="313"/>
        <v>0</v>
      </c>
      <c r="AD428" s="523">
        <f t="shared" si="313"/>
        <v>0</v>
      </c>
      <c r="AE428" s="523">
        <f t="shared" si="313"/>
        <v>0</v>
      </c>
      <c r="AF428" s="523">
        <f t="shared" si="313"/>
        <v>0</v>
      </c>
      <c r="AG428" s="523">
        <f t="shared" si="313"/>
        <v>0</v>
      </c>
      <c r="AH428" s="523">
        <f t="shared" si="313"/>
        <v>0</v>
      </c>
      <c r="AI428" s="523">
        <f t="shared" si="313"/>
        <v>0</v>
      </c>
      <c r="AJ428" s="523">
        <f t="shared" si="313"/>
        <v>0</v>
      </c>
      <c r="AK428" s="523">
        <f t="shared" si="313"/>
        <v>0</v>
      </c>
      <c r="AL428" s="523">
        <f t="shared" si="313"/>
        <v>0</v>
      </c>
    </row>
    <row r="429" spans="1:38" ht="25" customHeight="1" thickBot="1" x14ac:dyDescent="0.4">
      <c r="A429" s="744" t="s">
        <v>18</v>
      </c>
      <c r="B429" s="745"/>
      <c r="C429" s="513">
        <f>SUM(C417:C428)</f>
        <v>12804</v>
      </c>
      <c r="D429" s="513">
        <f>SUM(D417:D428)</f>
        <v>12222</v>
      </c>
      <c r="E429" s="513">
        <f t="shared" si="302"/>
        <v>2560.8000000000002</v>
      </c>
      <c r="F429" s="513">
        <f>SUM(F417:F428)</f>
        <v>374</v>
      </c>
      <c r="G429" s="513">
        <f t="shared" ref="G429:AL429" si="314">SUM(G417:G428)</f>
        <v>43</v>
      </c>
      <c r="H429" s="513">
        <f t="shared" si="314"/>
        <v>366</v>
      </c>
      <c r="I429" s="513">
        <f t="shared" si="314"/>
        <v>366</v>
      </c>
      <c r="J429" s="513">
        <f t="shared" si="314"/>
        <v>283</v>
      </c>
      <c r="K429" s="513">
        <f t="shared" si="314"/>
        <v>296</v>
      </c>
      <c r="L429" s="513">
        <f t="shared" si="314"/>
        <v>296</v>
      </c>
      <c r="M429" s="513">
        <f t="shared" si="314"/>
        <v>309</v>
      </c>
      <c r="N429" s="513"/>
      <c r="O429" s="513"/>
      <c r="P429" s="513">
        <f t="shared" si="314"/>
        <v>317</v>
      </c>
      <c r="Q429" s="513">
        <f t="shared" si="314"/>
        <v>0</v>
      </c>
      <c r="R429" s="513">
        <f t="shared" si="314"/>
        <v>0</v>
      </c>
      <c r="S429" s="513">
        <f t="shared" si="314"/>
        <v>31</v>
      </c>
      <c r="T429" s="513">
        <f t="shared" si="314"/>
        <v>145</v>
      </c>
      <c r="U429" s="513">
        <f t="shared" si="314"/>
        <v>197</v>
      </c>
      <c r="V429" s="513">
        <f t="shared" si="314"/>
        <v>373</v>
      </c>
      <c r="W429" s="513">
        <f t="shared" si="314"/>
        <v>374</v>
      </c>
      <c r="X429" s="513">
        <f t="shared" si="314"/>
        <v>283</v>
      </c>
      <c r="Y429" s="513">
        <f t="shared" si="314"/>
        <v>92</v>
      </c>
      <c r="Z429" s="513">
        <f t="shared" si="314"/>
        <v>47</v>
      </c>
      <c r="AA429" s="513">
        <f t="shared" si="314"/>
        <v>92</v>
      </c>
      <c r="AB429" s="513">
        <f t="shared" si="314"/>
        <v>298</v>
      </c>
      <c r="AC429" s="513">
        <f t="shared" si="314"/>
        <v>298</v>
      </c>
      <c r="AD429" s="513">
        <f t="shared" si="314"/>
        <v>0</v>
      </c>
      <c r="AE429" s="513">
        <f t="shared" si="314"/>
        <v>0</v>
      </c>
      <c r="AF429" s="513">
        <f t="shared" si="314"/>
        <v>69</v>
      </c>
      <c r="AG429" s="513">
        <f t="shared" si="314"/>
        <v>298</v>
      </c>
      <c r="AH429" s="513">
        <f t="shared" si="314"/>
        <v>298</v>
      </c>
      <c r="AI429" s="513">
        <f t="shared" si="314"/>
        <v>298</v>
      </c>
      <c r="AJ429" s="513">
        <f t="shared" si="314"/>
        <v>298</v>
      </c>
      <c r="AK429" s="513">
        <f t="shared" si="314"/>
        <v>298</v>
      </c>
      <c r="AL429" s="518">
        <f t="shared" si="314"/>
        <v>298</v>
      </c>
    </row>
    <row r="430" spans="1:38" ht="15.5" x14ac:dyDescent="0.35">
      <c r="A430" s="514"/>
      <c r="B430" s="514"/>
      <c r="C430" s="514"/>
      <c r="D430" s="514"/>
      <c r="E430" s="514"/>
      <c r="F430" s="514"/>
      <c r="G430" s="514"/>
      <c r="H430" s="514"/>
      <c r="I430" s="514"/>
      <c r="J430" s="514"/>
      <c r="K430" s="514"/>
      <c r="L430" s="514"/>
      <c r="M430" s="514"/>
      <c r="N430" s="514"/>
      <c r="O430" s="514"/>
      <c r="P430" s="514"/>
      <c r="Q430" s="514"/>
      <c r="R430" s="514"/>
      <c r="S430" s="514"/>
      <c r="T430" s="514"/>
      <c r="U430" s="514"/>
      <c r="V430" s="514"/>
      <c r="W430" s="514"/>
      <c r="X430" s="514"/>
      <c r="Y430" s="514"/>
      <c r="Z430" s="514"/>
      <c r="AA430" s="514"/>
      <c r="AB430" s="514"/>
      <c r="AC430" s="514"/>
      <c r="AD430" s="514"/>
      <c r="AE430" s="514"/>
      <c r="AF430" s="514"/>
      <c r="AG430" s="514"/>
      <c r="AH430" s="514"/>
      <c r="AI430" s="514"/>
      <c r="AJ430" s="514"/>
      <c r="AK430" s="514"/>
      <c r="AL430" s="514"/>
    </row>
    <row r="431" spans="1:38" ht="15.5" x14ac:dyDescent="0.35">
      <c r="A431" s="514"/>
      <c r="B431" s="514"/>
      <c r="C431" s="514"/>
      <c r="D431" s="514"/>
      <c r="E431" s="514"/>
      <c r="F431" s="514"/>
      <c r="G431" s="685"/>
      <c r="H431" s="514"/>
      <c r="I431" s="514"/>
      <c r="J431" s="514"/>
      <c r="K431" s="514"/>
      <c r="L431" s="514"/>
      <c r="M431" s="514"/>
      <c r="N431" s="514"/>
      <c r="O431" s="514"/>
      <c r="P431" s="514"/>
      <c r="Q431" s="514"/>
      <c r="R431" s="514"/>
      <c r="S431" s="514"/>
      <c r="T431" s="514"/>
      <c r="U431" s="514"/>
      <c r="V431" s="514"/>
      <c r="W431" s="514"/>
      <c r="X431" s="514"/>
      <c r="Y431" s="514"/>
      <c r="Z431" s="514"/>
      <c r="AA431" s="514"/>
      <c r="AB431" s="514"/>
      <c r="AC431" s="514"/>
      <c r="AD431" s="514"/>
      <c r="AE431" s="514"/>
      <c r="AF431" s="514"/>
      <c r="AG431" s="514"/>
      <c r="AH431" s="514"/>
      <c r="AI431" s="514"/>
      <c r="AJ431" s="514"/>
      <c r="AK431" s="514"/>
      <c r="AL431" s="514"/>
    </row>
    <row r="432" spans="1:38" ht="15.5" x14ac:dyDescent="0.35">
      <c r="A432" s="514"/>
      <c r="B432" s="514"/>
      <c r="C432" s="514"/>
      <c r="D432" s="514"/>
      <c r="E432" s="514"/>
      <c r="F432" s="514"/>
      <c r="G432" s="514"/>
      <c r="H432" s="514"/>
      <c r="I432" s="514"/>
      <c r="J432" s="514"/>
      <c r="K432" s="514"/>
      <c r="L432" s="514"/>
      <c r="M432" s="514"/>
      <c r="N432" s="514"/>
      <c r="O432" s="514"/>
      <c r="P432" s="514"/>
      <c r="Q432" s="514"/>
      <c r="R432" s="514"/>
      <c r="S432" s="514"/>
      <c r="T432" s="514"/>
      <c r="U432" s="514"/>
      <c r="V432" s="514"/>
      <c r="W432" s="514"/>
      <c r="X432" s="514"/>
      <c r="Y432" s="514"/>
      <c r="Z432" s="514"/>
      <c r="AA432" s="514"/>
      <c r="AB432" s="514"/>
      <c r="AC432" s="514"/>
      <c r="AD432" s="514"/>
      <c r="AE432" s="514"/>
      <c r="AF432" s="514"/>
      <c r="AG432" s="514"/>
      <c r="AH432" s="514"/>
      <c r="AI432" s="514"/>
      <c r="AJ432" s="514"/>
      <c r="AK432" s="514"/>
      <c r="AL432" s="514"/>
    </row>
    <row r="433" spans="1:38" ht="15.5" x14ac:dyDescent="0.35">
      <c r="A433" s="766" t="s">
        <v>239</v>
      </c>
      <c r="B433" s="766"/>
      <c r="C433" s="766"/>
      <c r="D433" s="766"/>
      <c r="E433" s="766"/>
      <c r="F433" s="766"/>
      <c r="G433" s="766"/>
      <c r="H433" s="766"/>
      <c r="I433" s="766"/>
      <c r="J433" s="766"/>
      <c r="K433" s="766"/>
      <c r="L433" s="766"/>
      <c r="M433" s="766"/>
      <c r="N433" s="766"/>
      <c r="O433" s="766"/>
      <c r="P433" s="766"/>
      <c r="Q433" s="766"/>
      <c r="R433" s="766"/>
      <c r="S433" s="766"/>
      <c r="T433" s="766"/>
      <c r="U433" s="766"/>
      <c r="V433" s="766"/>
      <c r="W433" s="766"/>
      <c r="X433" s="766"/>
      <c r="Y433" s="766"/>
      <c r="Z433" s="766"/>
      <c r="AA433" s="766"/>
      <c r="AB433" s="766"/>
      <c r="AC433" s="766"/>
      <c r="AD433" s="766"/>
      <c r="AE433" s="766"/>
      <c r="AF433" s="766"/>
      <c r="AG433" s="766"/>
      <c r="AH433" s="766"/>
      <c r="AI433" s="514"/>
      <c r="AJ433" s="514"/>
      <c r="AK433" s="514"/>
      <c r="AL433" s="514"/>
    </row>
    <row r="434" spans="1:38" ht="15.5" x14ac:dyDescent="0.35">
      <c r="A434" s="514"/>
      <c r="B434" s="514"/>
      <c r="C434" s="514"/>
      <c r="D434" s="514"/>
      <c r="E434" s="514"/>
      <c r="F434" s="514"/>
      <c r="G434" s="514"/>
      <c r="H434" s="514"/>
      <c r="I434" s="514"/>
      <c r="J434" s="514"/>
      <c r="K434" s="514"/>
      <c r="L434" s="514"/>
      <c r="M434" s="514"/>
      <c r="N434" s="514"/>
      <c r="O434" s="514"/>
      <c r="P434" s="514"/>
      <c r="Q434" s="514"/>
      <c r="R434" s="514"/>
      <c r="S434" s="514"/>
      <c r="T434" s="514"/>
      <c r="U434" s="514"/>
      <c r="V434" s="514"/>
      <c r="W434" s="514"/>
      <c r="X434" s="514"/>
      <c r="Y434" s="514"/>
      <c r="Z434" s="514"/>
      <c r="AA434" s="514"/>
      <c r="AB434" s="514"/>
      <c r="AC434" s="514"/>
      <c r="AD434" s="514"/>
      <c r="AE434" s="514"/>
      <c r="AF434" s="514"/>
      <c r="AG434" s="514"/>
      <c r="AH434" s="514"/>
      <c r="AI434" s="514"/>
      <c r="AJ434" s="514"/>
      <c r="AK434" s="514"/>
      <c r="AL434" s="514"/>
    </row>
    <row r="435" spans="1:38" ht="15.5" x14ac:dyDescent="0.35">
      <c r="A435" s="524" t="s">
        <v>168</v>
      </c>
      <c r="B435" s="524"/>
      <c r="C435" s="686">
        <f>PETUNJUK!C61</f>
        <v>0</v>
      </c>
      <c r="D435" s="524"/>
      <c r="E435" s="524"/>
      <c r="F435" s="524"/>
      <c r="G435" s="524"/>
      <c r="H435" s="524"/>
      <c r="I435" s="524"/>
      <c r="J435" s="524"/>
      <c r="K435" s="524"/>
      <c r="L435" s="524"/>
      <c r="M435" s="524"/>
      <c r="N435" s="524"/>
      <c r="O435" s="524"/>
      <c r="P435" s="524"/>
      <c r="Q435" s="524"/>
      <c r="R435" s="524"/>
      <c r="S435" s="524"/>
      <c r="T435" s="524"/>
      <c r="U435" s="524"/>
      <c r="V435" s="524"/>
      <c r="W435" s="524"/>
      <c r="X435" s="524"/>
      <c r="Y435" s="524"/>
      <c r="Z435" s="524"/>
      <c r="AA435" s="524"/>
      <c r="AB435" s="524"/>
      <c r="AC435" s="524"/>
      <c r="AD435" s="524"/>
      <c r="AE435" s="524"/>
      <c r="AF435" s="524"/>
      <c r="AG435" s="524"/>
      <c r="AH435" s="524"/>
      <c r="AI435" s="514"/>
      <c r="AJ435" s="514"/>
      <c r="AK435" s="514"/>
      <c r="AL435" s="514"/>
    </row>
    <row r="436" spans="1:38" ht="15.5" x14ac:dyDescent="0.35">
      <c r="A436" s="524" t="s">
        <v>169</v>
      </c>
      <c r="B436" s="524"/>
      <c r="C436" s="687" t="s">
        <v>391</v>
      </c>
      <c r="D436" s="524"/>
      <c r="E436" s="524"/>
      <c r="F436" s="524"/>
      <c r="G436" s="524"/>
      <c r="H436" s="524"/>
      <c r="I436" s="524"/>
      <c r="J436" s="524"/>
      <c r="K436" s="524"/>
      <c r="L436" s="524"/>
      <c r="M436" s="524"/>
      <c r="N436" s="524"/>
      <c r="O436" s="524"/>
      <c r="P436" s="524"/>
      <c r="Q436" s="524"/>
      <c r="R436" s="524"/>
      <c r="S436" s="524"/>
      <c r="T436" s="524"/>
      <c r="U436" s="524"/>
      <c r="V436" s="524"/>
      <c r="W436" s="524"/>
      <c r="X436" s="524"/>
      <c r="Y436" s="524"/>
      <c r="Z436" s="524"/>
      <c r="AA436" s="524"/>
      <c r="AB436" s="524"/>
      <c r="AC436" s="524"/>
      <c r="AD436" s="524"/>
      <c r="AE436" s="524"/>
      <c r="AF436" s="524"/>
      <c r="AG436" s="524"/>
      <c r="AH436" s="524"/>
      <c r="AI436" s="514"/>
      <c r="AJ436" s="514"/>
      <c r="AK436" s="514"/>
      <c r="AL436" s="514"/>
    </row>
    <row r="437" spans="1:38" ht="15.5" x14ac:dyDescent="0.35">
      <c r="A437" s="514"/>
      <c r="B437" s="514"/>
      <c r="C437" s="514"/>
      <c r="D437" s="514"/>
      <c r="E437" s="514"/>
      <c r="F437" s="514"/>
      <c r="G437" s="514"/>
      <c r="H437" s="514"/>
      <c r="I437" s="514"/>
      <c r="J437" s="514"/>
      <c r="K437" s="514"/>
      <c r="L437" s="514"/>
      <c r="M437" s="514"/>
      <c r="N437" s="514"/>
      <c r="O437" s="514"/>
      <c r="P437" s="514"/>
      <c r="Q437" s="514"/>
      <c r="R437" s="514"/>
      <c r="S437" s="514"/>
      <c r="T437" s="514"/>
      <c r="U437" s="514"/>
      <c r="V437" s="514"/>
      <c r="W437" s="514"/>
      <c r="X437" s="514"/>
      <c r="Y437" s="514"/>
      <c r="Z437" s="514"/>
      <c r="AA437" s="514"/>
      <c r="AB437" s="514"/>
      <c r="AC437" s="514"/>
      <c r="AD437" s="514"/>
      <c r="AE437" s="514"/>
      <c r="AF437" s="514"/>
      <c r="AG437" s="514"/>
      <c r="AH437" s="514"/>
      <c r="AI437" s="514"/>
      <c r="AJ437" s="514"/>
      <c r="AK437" s="514"/>
      <c r="AL437" s="514"/>
    </row>
    <row r="438" spans="1:38" s="15" customFormat="1" ht="19.5" customHeight="1" x14ac:dyDescent="0.35">
      <c r="A438" s="754" t="s">
        <v>1</v>
      </c>
      <c r="B438" s="754" t="s">
        <v>2</v>
      </c>
      <c r="C438" s="754" t="s">
        <v>174</v>
      </c>
      <c r="D438" s="754"/>
      <c r="E438" s="754"/>
      <c r="F438" s="755" t="s">
        <v>8</v>
      </c>
      <c r="G438" s="759" t="s">
        <v>295</v>
      </c>
      <c r="H438" s="759" t="s">
        <v>296</v>
      </c>
      <c r="I438" s="759" t="s">
        <v>297</v>
      </c>
      <c r="J438" s="739" t="s">
        <v>9</v>
      </c>
      <c r="K438" s="759" t="s">
        <v>298</v>
      </c>
      <c r="L438" s="760" t="s">
        <v>299</v>
      </c>
      <c r="M438" s="758" t="s">
        <v>289</v>
      </c>
      <c r="N438" s="758" t="s">
        <v>422</v>
      </c>
      <c r="O438" s="758" t="s">
        <v>423</v>
      </c>
      <c r="P438" s="739" t="s">
        <v>290</v>
      </c>
      <c r="Q438" s="752" t="s">
        <v>230</v>
      </c>
      <c r="R438" s="753"/>
      <c r="S438" s="753"/>
      <c r="T438" s="753"/>
      <c r="U438" s="753"/>
      <c r="V438" s="753"/>
      <c r="W438" s="755" t="s">
        <v>15</v>
      </c>
      <c r="X438" s="739" t="s">
        <v>16</v>
      </c>
      <c r="Y438" s="735" t="s">
        <v>231</v>
      </c>
      <c r="Z438" s="735"/>
      <c r="AA438" s="736" t="s">
        <v>240</v>
      </c>
      <c r="AB438" s="735" t="s">
        <v>4</v>
      </c>
      <c r="AC438" s="735"/>
      <c r="AD438" s="735"/>
      <c r="AE438" s="735"/>
      <c r="AF438" s="728" t="s">
        <v>237</v>
      </c>
      <c r="AG438" s="736" t="s">
        <v>23</v>
      </c>
      <c r="AH438" s="755" t="s">
        <v>3</v>
      </c>
      <c r="AI438" s="763" t="s">
        <v>238</v>
      </c>
      <c r="AJ438" s="764"/>
      <c r="AK438" s="764"/>
      <c r="AL438" s="765"/>
    </row>
    <row r="439" spans="1:38" s="15" customFormat="1" ht="19.5" customHeight="1" x14ac:dyDescent="0.35">
      <c r="A439" s="754"/>
      <c r="B439" s="754"/>
      <c r="C439" s="732" t="s">
        <v>5</v>
      </c>
      <c r="D439" s="732" t="s">
        <v>6</v>
      </c>
      <c r="E439" s="732" t="s">
        <v>133</v>
      </c>
      <c r="F439" s="756"/>
      <c r="G439" s="756"/>
      <c r="H439" s="756"/>
      <c r="I439" s="756"/>
      <c r="J439" s="740"/>
      <c r="K439" s="756"/>
      <c r="L439" s="761"/>
      <c r="M439" s="758"/>
      <c r="N439" s="758"/>
      <c r="O439" s="758"/>
      <c r="P439" s="740"/>
      <c r="Q439" s="732" t="s">
        <v>10</v>
      </c>
      <c r="R439" s="732" t="s">
        <v>11</v>
      </c>
      <c r="S439" s="732" t="s">
        <v>12</v>
      </c>
      <c r="T439" s="732" t="s">
        <v>13</v>
      </c>
      <c r="U439" s="732" t="s">
        <v>14</v>
      </c>
      <c r="V439" s="746" t="s">
        <v>227</v>
      </c>
      <c r="W439" s="756"/>
      <c r="X439" s="740"/>
      <c r="Y439" s="748" t="s">
        <v>228</v>
      </c>
      <c r="Z439" s="748" t="s">
        <v>229</v>
      </c>
      <c r="AA439" s="737"/>
      <c r="AB439" s="749" t="s">
        <v>232</v>
      </c>
      <c r="AC439" s="750"/>
      <c r="AD439" s="751"/>
      <c r="AE439" s="733" t="s">
        <v>236</v>
      </c>
      <c r="AF439" s="729"/>
      <c r="AG439" s="737"/>
      <c r="AH439" s="756"/>
      <c r="AI439" s="742" t="s">
        <v>166</v>
      </c>
      <c r="AJ439" s="742" t="s">
        <v>167</v>
      </c>
      <c r="AK439" s="742" t="s">
        <v>134</v>
      </c>
      <c r="AL439" s="742" t="s">
        <v>291</v>
      </c>
    </row>
    <row r="440" spans="1:38" s="15" customFormat="1" ht="70" customHeight="1" x14ac:dyDescent="0.35">
      <c r="A440" s="754"/>
      <c r="B440" s="754"/>
      <c r="C440" s="732"/>
      <c r="D440" s="732"/>
      <c r="E440" s="732"/>
      <c r="F440" s="757"/>
      <c r="G440" s="757"/>
      <c r="H440" s="757"/>
      <c r="I440" s="757"/>
      <c r="J440" s="741"/>
      <c r="K440" s="757"/>
      <c r="L440" s="762"/>
      <c r="M440" s="758"/>
      <c r="N440" s="758"/>
      <c r="O440" s="758"/>
      <c r="P440" s="741"/>
      <c r="Q440" s="732"/>
      <c r="R440" s="732"/>
      <c r="S440" s="732"/>
      <c r="T440" s="732"/>
      <c r="U440" s="732"/>
      <c r="V440" s="747"/>
      <c r="W440" s="757"/>
      <c r="X440" s="741"/>
      <c r="Y440" s="748"/>
      <c r="Z440" s="748"/>
      <c r="AA440" s="738"/>
      <c r="AB440" s="506" t="s">
        <v>233</v>
      </c>
      <c r="AC440" s="681" t="s">
        <v>234</v>
      </c>
      <c r="AD440" s="681" t="s">
        <v>235</v>
      </c>
      <c r="AE440" s="734"/>
      <c r="AF440" s="730"/>
      <c r="AG440" s="738"/>
      <c r="AH440" s="757"/>
      <c r="AI440" s="743"/>
      <c r="AJ440" s="743"/>
      <c r="AK440" s="743"/>
      <c r="AL440" s="743"/>
    </row>
    <row r="441" spans="1:38" ht="20.149999999999999" customHeight="1" x14ac:dyDescent="0.35">
      <c r="A441" s="507">
        <v>1</v>
      </c>
      <c r="B441" s="507" t="str">
        <f>PETUNJUK!B9</f>
        <v>Pecangaan Kulon</v>
      </c>
      <c r="C441" s="507">
        <f>C9</f>
        <v>101.2</v>
      </c>
      <c r="D441" s="507">
        <f t="shared" ref="D441:E441" si="315">D9</f>
        <v>96.600000000000009</v>
      </c>
      <c r="E441" s="507">
        <f t="shared" si="315"/>
        <v>20.240000000000002</v>
      </c>
      <c r="F441" s="507">
        <f>F9+F43+F77+F111+F145+F179+F213+F247+F281+F315+F349+F383</f>
        <v>30</v>
      </c>
      <c r="G441" s="507">
        <f t="shared" ref="G441:AL441" si="316">G9+G43+G77+G111+G145+G179+G213+G247+G281+G315+G349+G383</f>
        <v>2</v>
      </c>
      <c r="H441" s="507">
        <f t="shared" si="316"/>
        <v>30</v>
      </c>
      <c r="I441" s="507">
        <f t="shared" si="316"/>
        <v>30</v>
      </c>
      <c r="J441" s="507">
        <f t="shared" si="316"/>
        <v>28</v>
      </c>
      <c r="K441" s="507">
        <f t="shared" si="316"/>
        <v>28</v>
      </c>
      <c r="L441" s="507">
        <f t="shared" si="316"/>
        <v>28</v>
      </c>
      <c r="M441" s="507">
        <f t="shared" si="316"/>
        <v>29</v>
      </c>
      <c r="N441" s="676"/>
      <c r="O441" s="676"/>
      <c r="P441" s="507">
        <f t="shared" si="316"/>
        <v>16</v>
      </c>
      <c r="Q441" s="507">
        <f t="shared" si="316"/>
        <v>0</v>
      </c>
      <c r="R441" s="507">
        <f t="shared" si="316"/>
        <v>0</v>
      </c>
      <c r="S441" s="507">
        <f t="shared" si="316"/>
        <v>0</v>
      </c>
      <c r="T441" s="507">
        <f t="shared" si="316"/>
        <v>18</v>
      </c>
      <c r="U441" s="507">
        <f t="shared" si="316"/>
        <v>12</v>
      </c>
      <c r="V441" s="507">
        <f t="shared" si="316"/>
        <v>30</v>
      </c>
      <c r="W441" s="507">
        <f t="shared" si="316"/>
        <v>30</v>
      </c>
      <c r="X441" s="507">
        <f t="shared" si="316"/>
        <v>28</v>
      </c>
      <c r="Y441" s="507">
        <f t="shared" si="316"/>
        <v>10</v>
      </c>
      <c r="Z441" s="507">
        <f t="shared" si="316"/>
        <v>6</v>
      </c>
      <c r="AA441" s="507">
        <f t="shared" si="316"/>
        <v>10</v>
      </c>
      <c r="AB441" s="507">
        <f t="shared" si="316"/>
        <v>29</v>
      </c>
      <c r="AC441" s="507">
        <f t="shared" si="316"/>
        <v>29</v>
      </c>
      <c r="AD441" s="507">
        <f t="shared" si="316"/>
        <v>0</v>
      </c>
      <c r="AE441" s="507">
        <f t="shared" si="316"/>
        <v>0</v>
      </c>
      <c r="AF441" s="507">
        <f t="shared" si="316"/>
        <v>10</v>
      </c>
      <c r="AG441" s="507">
        <f t="shared" si="316"/>
        <v>29</v>
      </c>
      <c r="AH441" s="507">
        <f t="shared" si="316"/>
        <v>29</v>
      </c>
      <c r="AI441" s="507">
        <f t="shared" si="316"/>
        <v>29</v>
      </c>
      <c r="AJ441" s="507">
        <f t="shared" si="316"/>
        <v>29</v>
      </c>
      <c r="AK441" s="507">
        <f t="shared" si="316"/>
        <v>29</v>
      </c>
      <c r="AL441" s="507">
        <f t="shared" si="316"/>
        <v>29</v>
      </c>
    </row>
    <row r="442" spans="1:38" ht="20.149999999999999" customHeight="1" x14ac:dyDescent="0.35">
      <c r="A442" s="507">
        <v>2</v>
      </c>
      <c r="B442" s="507" t="str">
        <f>PETUNJUK!B10</f>
        <v>Rengging</v>
      </c>
      <c r="C442" s="507">
        <f t="shared" ref="C442:E462" si="317">C10</f>
        <v>111.10000000000001</v>
      </c>
      <c r="D442" s="507">
        <f t="shared" si="317"/>
        <v>106.05000000000001</v>
      </c>
      <c r="E442" s="507">
        <f t="shared" si="317"/>
        <v>22.220000000000002</v>
      </c>
      <c r="F442" s="507">
        <f t="shared" ref="F442:AL442" si="318">F10+F44+F78+F112+F146+F180+F214+F248+F282+F316+F350+F384</f>
        <v>54</v>
      </c>
      <c r="G442" s="507">
        <f t="shared" si="318"/>
        <v>7</v>
      </c>
      <c r="H442" s="507">
        <f t="shared" si="318"/>
        <v>53</v>
      </c>
      <c r="I442" s="507">
        <f t="shared" si="318"/>
        <v>53</v>
      </c>
      <c r="J442" s="507">
        <f t="shared" si="318"/>
        <v>21</v>
      </c>
      <c r="K442" s="507">
        <f t="shared" si="318"/>
        <v>23</v>
      </c>
      <c r="L442" s="507">
        <f t="shared" si="318"/>
        <v>23</v>
      </c>
      <c r="M442" s="507">
        <f t="shared" si="318"/>
        <v>32</v>
      </c>
      <c r="N442" s="676"/>
      <c r="O442" s="676"/>
      <c r="P442" s="507">
        <f t="shared" si="318"/>
        <v>46</v>
      </c>
      <c r="Q442" s="507">
        <f t="shared" si="318"/>
        <v>0</v>
      </c>
      <c r="R442" s="507">
        <f t="shared" si="318"/>
        <v>0</v>
      </c>
      <c r="S442" s="507">
        <f t="shared" si="318"/>
        <v>13</v>
      </c>
      <c r="T442" s="507">
        <f t="shared" si="318"/>
        <v>24</v>
      </c>
      <c r="U442" s="507">
        <f t="shared" si="318"/>
        <v>12</v>
      </c>
      <c r="V442" s="507">
        <f t="shared" si="318"/>
        <v>49</v>
      </c>
      <c r="W442" s="507">
        <f t="shared" si="318"/>
        <v>54</v>
      </c>
      <c r="X442" s="507">
        <f t="shared" si="318"/>
        <v>21</v>
      </c>
      <c r="Y442" s="507">
        <f t="shared" si="318"/>
        <v>8</v>
      </c>
      <c r="Z442" s="507">
        <f t="shared" si="318"/>
        <v>5</v>
      </c>
      <c r="AA442" s="507">
        <f t="shared" si="318"/>
        <v>8</v>
      </c>
      <c r="AB442" s="507">
        <f t="shared" si="318"/>
        <v>34</v>
      </c>
      <c r="AC442" s="507">
        <f t="shared" si="318"/>
        <v>34</v>
      </c>
      <c r="AD442" s="507">
        <f t="shared" si="318"/>
        <v>0</v>
      </c>
      <c r="AE442" s="507">
        <f t="shared" si="318"/>
        <v>0</v>
      </c>
      <c r="AF442" s="507">
        <f t="shared" si="318"/>
        <v>4</v>
      </c>
      <c r="AG442" s="507">
        <f t="shared" si="318"/>
        <v>35</v>
      </c>
      <c r="AH442" s="507">
        <f t="shared" si="318"/>
        <v>34</v>
      </c>
      <c r="AI442" s="507">
        <f t="shared" si="318"/>
        <v>34</v>
      </c>
      <c r="AJ442" s="507">
        <f t="shared" si="318"/>
        <v>34</v>
      </c>
      <c r="AK442" s="507">
        <f t="shared" si="318"/>
        <v>34</v>
      </c>
      <c r="AL442" s="507">
        <f t="shared" si="318"/>
        <v>34</v>
      </c>
    </row>
    <row r="443" spans="1:38" ht="20.149999999999999" customHeight="1" x14ac:dyDescent="0.35">
      <c r="A443" s="507">
        <v>3</v>
      </c>
      <c r="B443" s="507" t="str">
        <f>PETUNJUK!B11</f>
        <v>Troso</v>
      </c>
      <c r="C443" s="507">
        <f t="shared" si="317"/>
        <v>205.70000000000002</v>
      </c>
      <c r="D443" s="507">
        <f t="shared" si="317"/>
        <v>196.35</v>
      </c>
      <c r="E443" s="507">
        <f t="shared" si="317"/>
        <v>41.140000000000008</v>
      </c>
      <c r="F443" s="507">
        <f t="shared" ref="F443:AL443" si="319">F11+F45+F79+F113+F147+F181+F215+F249+F283+F317+F351+F385</f>
        <v>78</v>
      </c>
      <c r="G443" s="507">
        <f t="shared" si="319"/>
        <v>11</v>
      </c>
      <c r="H443" s="507">
        <f t="shared" si="319"/>
        <v>78</v>
      </c>
      <c r="I443" s="507">
        <f t="shared" si="319"/>
        <v>78</v>
      </c>
      <c r="J443" s="507">
        <f t="shared" si="319"/>
        <v>64</v>
      </c>
      <c r="K443" s="507">
        <f t="shared" si="319"/>
        <v>79</v>
      </c>
      <c r="L443" s="507">
        <f t="shared" si="319"/>
        <v>77</v>
      </c>
      <c r="M443" s="507">
        <f t="shared" si="319"/>
        <v>78</v>
      </c>
      <c r="N443" s="676"/>
      <c r="O443" s="676"/>
      <c r="P443" s="507">
        <f t="shared" si="319"/>
        <v>69</v>
      </c>
      <c r="Q443" s="507">
        <f t="shared" si="319"/>
        <v>0</v>
      </c>
      <c r="R443" s="507">
        <f t="shared" si="319"/>
        <v>0</v>
      </c>
      <c r="S443" s="507">
        <f t="shared" si="319"/>
        <v>18</v>
      </c>
      <c r="T443" s="507">
        <f t="shared" si="319"/>
        <v>34</v>
      </c>
      <c r="U443" s="507">
        <f t="shared" si="319"/>
        <v>31</v>
      </c>
      <c r="V443" s="507">
        <f t="shared" si="319"/>
        <v>83</v>
      </c>
      <c r="W443" s="507">
        <f t="shared" si="319"/>
        <v>78</v>
      </c>
      <c r="X443" s="507">
        <f t="shared" si="319"/>
        <v>64</v>
      </c>
      <c r="Y443" s="507">
        <f t="shared" si="319"/>
        <v>23</v>
      </c>
      <c r="Z443" s="507">
        <f t="shared" si="319"/>
        <v>11</v>
      </c>
      <c r="AA443" s="507">
        <f t="shared" si="319"/>
        <v>23</v>
      </c>
      <c r="AB443" s="507">
        <f t="shared" si="319"/>
        <v>60</v>
      </c>
      <c r="AC443" s="507">
        <f t="shared" si="319"/>
        <v>60</v>
      </c>
      <c r="AD443" s="507">
        <f t="shared" si="319"/>
        <v>0</v>
      </c>
      <c r="AE443" s="507">
        <f t="shared" si="319"/>
        <v>0</v>
      </c>
      <c r="AF443" s="507">
        <f t="shared" si="319"/>
        <v>13</v>
      </c>
      <c r="AG443" s="507">
        <f t="shared" si="319"/>
        <v>60</v>
      </c>
      <c r="AH443" s="507">
        <f t="shared" si="319"/>
        <v>60</v>
      </c>
      <c r="AI443" s="507">
        <f t="shared" si="319"/>
        <v>60</v>
      </c>
      <c r="AJ443" s="507">
        <f t="shared" si="319"/>
        <v>60</v>
      </c>
      <c r="AK443" s="507">
        <f t="shared" si="319"/>
        <v>60</v>
      </c>
      <c r="AL443" s="507">
        <f t="shared" si="319"/>
        <v>60</v>
      </c>
    </row>
    <row r="444" spans="1:38" ht="20.149999999999999" customHeight="1" x14ac:dyDescent="0.35">
      <c r="A444" s="507">
        <v>4</v>
      </c>
      <c r="B444" s="507" t="str">
        <f>PETUNJUK!B12</f>
        <v>Ngeling</v>
      </c>
      <c r="C444" s="507">
        <f t="shared" si="317"/>
        <v>95.7</v>
      </c>
      <c r="D444" s="507">
        <f t="shared" si="317"/>
        <v>91.350000000000009</v>
      </c>
      <c r="E444" s="507">
        <f t="shared" si="317"/>
        <v>19.14</v>
      </c>
      <c r="F444" s="507">
        <f t="shared" ref="F444:AL444" si="320">F12+F46+F80+F114+F148+F182+F216+F250+F284+F318+F352+F386</f>
        <v>30</v>
      </c>
      <c r="G444" s="507">
        <f t="shared" si="320"/>
        <v>1</v>
      </c>
      <c r="H444" s="507">
        <f t="shared" si="320"/>
        <v>35</v>
      </c>
      <c r="I444" s="507">
        <f t="shared" si="320"/>
        <v>35</v>
      </c>
      <c r="J444" s="507">
        <f t="shared" si="320"/>
        <v>28</v>
      </c>
      <c r="K444" s="507">
        <f t="shared" si="320"/>
        <v>23</v>
      </c>
      <c r="L444" s="507">
        <f t="shared" si="320"/>
        <v>23</v>
      </c>
      <c r="M444" s="507">
        <f t="shared" si="320"/>
        <v>26</v>
      </c>
      <c r="N444" s="676"/>
      <c r="O444" s="676"/>
      <c r="P444" s="507">
        <f t="shared" si="320"/>
        <v>8</v>
      </c>
      <c r="Q444" s="507">
        <f t="shared" si="320"/>
        <v>0</v>
      </c>
      <c r="R444" s="507">
        <f t="shared" si="320"/>
        <v>0</v>
      </c>
      <c r="S444" s="507">
        <f t="shared" si="320"/>
        <v>0</v>
      </c>
      <c r="T444" s="507">
        <f t="shared" si="320"/>
        <v>9</v>
      </c>
      <c r="U444" s="507">
        <f t="shared" si="320"/>
        <v>21</v>
      </c>
      <c r="V444" s="507">
        <f t="shared" si="320"/>
        <v>30</v>
      </c>
      <c r="W444" s="507">
        <f t="shared" si="320"/>
        <v>30</v>
      </c>
      <c r="X444" s="507">
        <f t="shared" si="320"/>
        <v>28</v>
      </c>
      <c r="Y444" s="507">
        <f t="shared" si="320"/>
        <v>7</v>
      </c>
      <c r="Z444" s="507">
        <f t="shared" si="320"/>
        <v>5</v>
      </c>
      <c r="AA444" s="507">
        <f t="shared" si="320"/>
        <v>7</v>
      </c>
      <c r="AB444" s="507">
        <f t="shared" si="320"/>
        <v>28</v>
      </c>
      <c r="AC444" s="507">
        <f t="shared" si="320"/>
        <v>28</v>
      </c>
      <c r="AD444" s="507">
        <f t="shared" si="320"/>
        <v>0</v>
      </c>
      <c r="AE444" s="507">
        <f t="shared" si="320"/>
        <v>0</v>
      </c>
      <c r="AF444" s="507">
        <f t="shared" si="320"/>
        <v>10</v>
      </c>
      <c r="AG444" s="507">
        <f t="shared" si="320"/>
        <v>28</v>
      </c>
      <c r="AH444" s="507">
        <f t="shared" si="320"/>
        <v>28</v>
      </c>
      <c r="AI444" s="507">
        <f t="shared" si="320"/>
        <v>28</v>
      </c>
      <c r="AJ444" s="507">
        <f t="shared" si="320"/>
        <v>28</v>
      </c>
      <c r="AK444" s="507">
        <f t="shared" si="320"/>
        <v>28</v>
      </c>
      <c r="AL444" s="507">
        <f t="shared" si="320"/>
        <v>28</v>
      </c>
    </row>
    <row r="445" spans="1:38" ht="20.149999999999999" customHeight="1" x14ac:dyDescent="0.35">
      <c r="A445" s="507">
        <v>5</v>
      </c>
      <c r="B445" s="507" t="str">
        <f>PETUNJUK!B13</f>
        <v>Lebuawu</v>
      </c>
      <c r="C445" s="507">
        <f t="shared" si="317"/>
        <v>85.800000000000011</v>
      </c>
      <c r="D445" s="507">
        <f t="shared" si="317"/>
        <v>81.900000000000006</v>
      </c>
      <c r="E445" s="507">
        <f t="shared" si="317"/>
        <v>17.160000000000004</v>
      </c>
      <c r="F445" s="507">
        <f t="shared" ref="F445:AC445" si="321">F13+F47+F81+F115+F149+F183+F217+F251+F285+F319+F353+F387</f>
        <v>33</v>
      </c>
      <c r="G445" s="507">
        <f t="shared" si="321"/>
        <v>2</v>
      </c>
      <c r="H445" s="507">
        <f t="shared" si="321"/>
        <v>34</v>
      </c>
      <c r="I445" s="507">
        <f t="shared" si="321"/>
        <v>34</v>
      </c>
      <c r="J445" s="507">
        <f t="shared" si="321"/>
        <v>25</v>
      </c>
      <c r="K445" s="507">
        <f t="shared" si="321"/>
        <v>21</v>
      </c>
      <c r="L445" s="507">
        <f t="shared" si="321"/>
        <v>21</v>
      </c>
      <c r="M445" s="507">
        <f t="shared" si="321"/>
        <v>19</v>
      </c>
      <c r="N445" s="676"/>
      <c r="O445" s="676"/>
      <c r="P445" s="507">
        <f t="shared" si="321"/>
        <v>30</v>
      </c>
      <c r="Q445" s="507">
        <f t="shared" si="321"/>
        <v>0</v>
      </c>
      <c r="R445" s="507">
        <f t="shared" si="321"/>
        <v>0</v>
      </c>
      <c r="S445" s="507">
        <f t="shared" si="321"/>
        <v>0</v>
      </c>
      <c r="T445" s="507">
        <f t="shared" si="321"/>
        <v>7</v>
      </c>
      <c r="U445" s="507">
        <f t="shared" si="321"/>
        <v>27</v>
      </c>
      <c r="V445" s="507">
        <f t="shared" si="321"/>
        <v>34</v>
      </c>
      <c r="W445" s="507">
        <f t="shared" si="321"/>
        <v>33</v>
      </c>
      <c r="X445" s="507">
        <f t="shared" si="321"/>
        <v>25</v>
      </c>
      <c r="Y445" s="507">
        <f t="shared" si="321"/>
        <v>5</v>
      </c>
      <c r="Z445" s="507">
        <f t="shared" si="321"/>
        <v>3</v>
      </c>
      <c r="AA445" s="507">
        <f t="shared" si="321"/>
        <v>5</v>
      </c>
      <c r="AB445" s="507">
        <f t="shared" si="321"/>
        <v>23</v>
      </c>
      <c r="AC445" s="507">
        <f t="shared" si="321"/>
        <v>23</v>
      </c>
      <c r="AD445" s="507">
        <f t="shared" ref="AD445:AL445" si="322">AD13+AD47+AD81+AD115+AD149+AD183+AD217+AD251+AD285+AD319+AD353+AD387</f>
        <v>0</v>
      </c>
      <c r="AE445" s="507">
        <f t="shared" si="322"/>
        <v>0</v>
      </c>
      <c r="AF445" s="507">
        <f t="shared" si="322"/>
        <v>1</v>
      </c>
      <c r="AG445" s="507">
        <f t="shared" si="322"/>
        <v>23</v>
      </c>
      <c r="AH445" s="507">
        <f t="shared" si="322"/>
        <v>23</v>
      </c>
      <c r="AI445" s="507">
        <f t="shared" si="322"/>
        <v>23</v>
      </c>
      <c r="AJ445" s="507">
        <f t="shared" si="322"/>
        <v>23</v>
      </c>
      <c r="AK445" s="507">
        <f t="shared" si="322"/>
        <v>23</v>
      </c>
      <c r="AL445" s="507">
        <f t="shared" si="322"/>
        <v>23</v>
      </c>
    </row>
    <row r="446" spans="1:38" ht="20.149999999999999" customHeight="1" x14ac:dyDescent="0.35">
      <c r="A446" s="507">
        <v>6</v>
      </c>
      <c r="B446" s="507" t="str">
        <f>PETUNJUK!B14</f>
        <v>Pulodarat</v>
      </c>
      <c r="C446" s="507">
        <f t="shared" si="317"/>
        <v>82.5</v>
      </c>
      <c r="D446" s="507">
        <f t="shared" si="317"/>
        <v>78.75</v>
      </c>
      <c r="E446" s="507">
        <f t="shared" si="317"/>
        <v>16.5</v>
      </c>
      <c r="F446" s="507">
        <f t="shared" ref="F446:AC446" si="323">F14+F48+F82+F116+F150+F184+F218+F252+F286+F320+F354+F388</f>
        <v>18</v>
      </c>
      <c r="G446" s="507">
        <f t="shared" si="323"/>
        <v>2</v>
      </c>
      <c r="H446" s="507">
        <f t="shared" si="323"/>
        <v>18</v>
      </c>
      <c r="I446" s="507">
        <f t="shared" si="323"/>
        <v>18</v>
      </c>
      <c r="J446" s="507">
        <f t="shared" si="323"/>
        <v>19</v>
      </c>
      <c r="K446" s="507">
        <f t="shared" si="323"/>
        <v>19</v>
      </c>
      <c r="L446" s="507">
        <f t="shared" si="323"/>
        <v>19</v>
      </c>
      <c r="M446" s="507">
        <f t="shared" si="323"/>
        <v>19</v>
      </c>
      <c r="N446" s="676"/>
      <c r="O446" s="676"/>
      <c r="P446" s="507">
        <f t="shared" si="323"/>
        <v>17</v>
      </c>
      <c r="Q446" s="507">
        <f t="shared" si="323"/>
        <v>0</v>
      </c>
      <c r="R446" s="507">
        <f t="shared" si="323"/>
        <v>0</v>
      </c>
      <c r="S446" s="507">
        <f t="shared" si="323"/>
        <v>0</v>
      </c>
      <c r="T446" s="507">
        <f t="shared" si="323"/>
        <v>12</v>
      </c>
      <c r="U446" s="507">
        <f t="shared" si="323"/>
        <v>6</v>
      </c>
      <c r="V446" s="507">
        <f t="shared" si="323"/>
        <v>18</v>
      </c>
      <c r="W446" s="507">
        <f t="shared" si="323"/>
        <v>18</v>
      </c>
      <c r="X446" s="507">
        <f t="shared" si="323"/>
        <v>19</v>
      </c>
      <c r="Y446" s="507">
        <f t="shared" si="323"/>
        <v>4</v>
      </c>
      <c r="Z446" s="507">
        <f t="shared" si="323"/>
        <v>2</v>
      </c>
      <c r="AA446" s="507">
        <f t="shared" si="323"/>
        <v>4</v>
      </c>
      <c r="AB446" s="507">
        <f t="shared" si="323"/>
        <v>17</v>
      </c>
      <c r="AC446" s="507">
        <f t="shared" si="323"/>
        <v>17</v>
      </c>
      <c r="AD446" s="507">
        <f t="shared" ref="AD446:AL446" si="324">AD14+AD48+AD82+AD116+AD150+AD184+AD218+AD252+AD286+AD320+AD354+AD388</f>
        <v>0</v>
      </c>
      <c r="AE446" s="507">
        <f t="shared" si="324"/>
        <v>0</v>
      </c>
      <c r="AF446" s="507">
        <f t="shared" si="324"/>
        <v>4</v>
      </c>
      <c r="AG446" s="507">
        <f t="shared" si="324"/>
        <v>17</v>
      </c>
      <c r="AH446" s="507">
        <f t="shared" si="324"/>
        <v>17</v>
      </c>
      <c r="AI446" s="507">
        <f t="shared" si="324"/>
        <v>17</v>
      </c>
      <c r="AJ446" s="507">
        <f t="shared" si="324"/>
        <v>17</v>
      </c>
      <c r="AK446" s="507">
        <f t="shared" si="324"/>
        <v>17</v>
      </c>
      <c r="AL446" s="507">
        <f t="shared" si="324"/>
        <v>17</v>
      </c>
    </row>
    <row r="447" spans="1:38" ht="20.149999999999999" customHeight="1" x14ac:dyDescent="0.35">
      <c r="A447" s="507">
        <v>7</v>
      </c>
      <c r="B447" s="507" t="str">
        <f>PETUNJUK!B15</f>
        <v>Karangrandu</v>
      </c>
      <c r="C447" s="507">
        <f t="shared" si="317"/>
        <v>93.500000000000014</v>
      </c>
      <c r="D447" s="507">
        <f t="shared" si="317"/>
        <v>89.25</v>
      </c>
      <c r="E447" s="507">
        <f t="shared" si="317"/>
        <v>18.700000000000003</v>
      </c>
      <c r="F447" s="507">
        <f t="shared" ref="F447:AL447" si="325">F15+F49+F83+F117+F151+F185+F219+F253+F287+F321+F355+F389</f>
        <v>31</v>
      </c>
      <c r="G447" s="507">
        <f t="shared" si="325"/>
        <v>6</v>
      </c>
      <c r="H447" s="507">
        <f t="shared" si="325"/>
        <v>30</v>
      </c>
      <c r="I447" s="507">
        <f t="shared" si="325"/>
        <v>30</v>
      </c>
      <c r="J447" s="507">
        <f t="shared" si="325"/>
        <v>24</v>
      </c>
      <c r="K447" s="507">
        <f t="shared" si="325"/>
        <v>26</v>
      </c>
      <c r="L447" s="507">
        <f t="shared" si="325"/>
        <v>26</v>
      </c>
      <c r="M447" s="507">
        <f t="shared" si="325"/>
        <v>27</v>
      </c>
      <c r="N447" s="676"/>
      <c r="O447" s="676"/>
      <c r="P447" s="507">
        <f t="shared" si="325"/>
        <v>35</v>
      </c>
      <c r="Q447" s="507">
        <f t="shared" si="325"/>
        <v>0</v>
      </c>
      <c r="R447" s="507">
        <f t="shared" si="325"/>
        <v>0</v>
      </c>
      <c r="S447" s="507">
        <f t="shared" si="325"/>
        <v>0</v>
      </c>
      <c r="T447" s="507">
        <f t="shared" si="325"/>
        <v>11</v>
      </c>
      <c r="U447" s="507">
        <f t="shared" si="325"/>
        <v>20</v>
      </c>
      <c r="V447" s="507">
        <f t="shared" si="325"/>
        <v>31</v>
      </c>
      <c r="W447" s="507">
        <f t="shared" si="325"/>
        <v>31</v>
      </c>
      <c r="X447" s="507">
        <f t="shared" si="325"/>
        <v>24</v>
      </c>
      <c r="Y447" s="507">
        <f t="shared" si="325"/>
        <v>14</v>
      </c>
      <c r="Z447" s="507">
        <f t="shared" si="325"/>
        <v>5</v>
      </c>
      <c r="AA447" s="507">
        <f t="shared" si="325"/>
        <v>14</v>
      </c>
      <c r="AB447" s="507">
        <f t="shared" si="325"/>
        <v>27</v>
      </c>
      <c r="AC447" s="507">
        <f t="shared" si="325"/>
        <v>27</v>
      </c>
      <c r="AD447" s="507">
        <f t="shared" si="325"/>
        <v>0</v>
      </c>
      <c r="AE447" s="507">
        <f t="shared" si="325"/>
        <v>0</v>
      </c>
      <c r="AF447" s="507">
        <f t="shared" si="325"/>
        <v>4</v>
      </c>
      <c r="AG447" s="507">
        <f t="shared" si="325"/>
        <v>26</v>
      </c>
      <c r="AH447" s="507">
        <f t="shared" si="325"/>
        <v>27</v>
      </c>
      <c r="AI447" s="507">
        <f t="shared" si="325"/>
        <v>27</v>
      </c>
      <c r="AJ447" s="507">
        <f t="shared" si="325"/>
        <v>27</v>
      </c>
      <c r="AK447" s="507">
        <f t="shared" si="325"/>
        <v>27</v>
      </c>
      <c r="AL447" s="507">
        <f t="shared" si="325"/>
        <v>27</v>
      </c>
    </row>
    <row r="448" spans="1:38" ht="20.149999999999999" customHeight="1" x14ac:dyDescent="0.35">
      <c r="A448" s="507">
        <v>8</v>
      </c>
      <c r="B448" s="507" t="str">
        <f>PETUNJUK!B16</f>
        <v>Kaliombo</v>
      </c>
      <c r="C448" s="507">
        <f t="shared" si="317"/>
        <v>46.2</v>
      </c>
      <c r="D448" s="507">
        <f t="shared" si="317"/>
        <v>44.1</v>
      </c>
      <c r="E448" s="507">
        <f t="shared" si="317"/>
        <v>9.24</v>
      </c>
      <c r="F448" s="507">
        <f t="shared" ref="F448:AL448" si="326">F16+F50+F84+F118+F152+F186+F220+F254+F288+F322+F356+F390</f>
        <v>13</v>
      </c>
      <c r="G448" s="507">
        <f t="shared" si="326"/>
        <v>4</v>
      </c>
      <c r="H448" s="507">
        <f t="shared" si="326"/>
        <v>13</v>
      </c>
      <c r="I448" s="507">
        <f t="shared" si="326"/>
        <v>13</v>
      </c>
      <c r="J448" s="507">
        <f t="shared" si="326"/>
        <v>13</v>
      </c>
      <c r="K448" s="507">
        <f t="shared" si="326"/>
        <v>13</v>
      </c>
      <c r="L448" s="507">
        <f t="shared" si="326"/>
        <v>13</v>
      </c>
      <c r="M448" s="507">
        <f t="shared" si="326"/>
        <v>13</v>
      </c>
      <c r="N448" s="676"/>
      <c r="O448" s="676"/>
      <c r="P448" s="507">
        <f t="shared" si="326"/>
        <v>13</v>
      </c>
      <c r="Q448" s="507">
        <f t="shared" si="326"/>
        <v>0</v>
      </c>
      <c r="R448" s="507">
        <f t="shared" si="326"/>
        <v>0</v>
      </c>
      <c r="S448" s="507">
        <f t="shared" si="326"/>
        <v>0</v>
      </c>
      <c r="T448" s="507">
        <f t="shared" si="326"/>
        <v>0</v>
      </c>
      <c r="U448" s="507">
        <f t="shared" si="326"/>
        <v>13</v>
      </c>
      <c r="V448" s="507">
        <f t="shared" si="326"/>
        <v>13</v>
      </c>
      <c r="W448" s="507">
        <f t="shared" si="326"/>
        <v>13</v>
      </c>
      <c r="X448" s="507">
        <f t="shared" si="326"/>
        <v>13</v>
      </c>
      <c r="Y448" s="507">
        <f t="shared" si="326"/>
        <v>7</v>
      </c>
      <c r="Z448" s="507">
        <f t="shared" si="326"/>
        <v>2</v>
      </c>
      <c r="AA448" s="507">
        <f t="shared" si="326"/>
        <v>7</v>
      </c>
      <c r="AB448" s="507">
        <f t="shared" si="326"/>
        <v>13</v>
      </c>
      <c r="AC448" s="507">
        <f t="shared" si="326"/>
        <v>13</v>
      </c>
      <c r="AD448" s="507">
        <f t="shared" si="326"/>
        <v>0</v>
      </c>
      <c r="AE448" s="507">
        <f t="shared" si="326"/>
        <v>0</v>
      </c>
      <c r="AF448" s="507">
        <f t="shared" si="326"/>
        <v>5</v>
      </c>
      <c r="AG448" s="507">
        <f t="shared" si="326"/>
        <v>13</v>
      </c>
      <c r="AH448" s="507">
        <f t="shared" si="326"/>
        <v>13</v>
      </c>
      <c r="AI448" s="507">
        <f t="shared" si="326"/>
        <v>13</v>
      </c>
      <c r="AJ448" s="507">
        <f t="shared" si="326"/>
        <v>13</v>
      </c>
      <c r="AK448" s="507">
        <f t="shared" si="326"/>
        <v>13</v>
      </c>
      <c r="AL448" s="507">
        <f t="shared" si="326"/>
        <v>13</v>
      </c>
    </row>
    <row r="449" spans="1:38" ht="20.149999999999999" customHeight="1" x14ac:dyDescent="0.35">
      <c r="A449" s="507">
        <v>9</v>
      </c>
      <c r="B449" s="507" t="str">
        <f>PETUNJUK!B17</f>
        <v>Gemulung</v>
      </c>
      <c r="C449" s="507">
        <f t="shared" si="317"/>
        <v>53.900000000000006</v>
      </c>
      <c r="D449" s="507">
        <f t="shared" si="317"/>
        <v>51.45</v>
      </c>
      <c r="E449" s="507">
        <f t="shared" si="317"/>
        <v>10.780000000000001</v>
      </c>
      <c r="F449" s="507">
        <f t="shared" ref="F449:AL449" si="327">F17+F51+F85+F119+F153+F187+F221+F255+F289+F323+F357+F391</f>
        <v>19</v>
      </c>
      <c r="G449" s="507">
        <f t="shared" si="327"/>
        <v>2</v>
      </c>
      <c r="H449" s="507">
        <f t="shared" si="327"/>
        <v>17</v>
      </c>
      <c r="I449" s="507">
        <f t="shared" si="327"/>
        <v>17</v>
      </c>
      <c r="J449" s="507">
        <f t="shared" si="327"/>
        <v>19</v>
      </c>
      <c r="K449" s="507">
        <f t="shared" si="327"/>
        <v>19</v>
      </c>
      <c r="L449" s="507">
        <f t="shared" si="327"/>
        <v>19</v>
      </c>
      <c r="M449" s="507">
        <f t="shared" si="327"/>
        <v>19</v>
      </c>
      <c r="N449" s="676"/>
      <c r="O449" s="676"/>
      <c r="P449" s="507">
        <f t="shared" si="327"/>
        <v>18</v>
      </c>
      <c r="Q449" s="507">
        <f t="shared" si="327"/>
        <v>0</v>
      </c>
      <c r="R449" s="507">
        <f t="shared" si="327"/>
        <v>0</v>
      </c>
      <c r="S449" s="507">
        <f t="shared" si="327"/>
        <v>0</v>
      </c>
      <c r="T449" s="507">
        <f t="shared" si="327"/>
        <v>8</v>
      </c>
      <c r="U449" s="507">
        <f t="shared" si="327"/>
        <v>11</v>
      </c>
      <c r="V449" s="507">
        <f t="shared" si="327"/>
        <v>19</v>
      </c>
      <c r="W449" s="507">
        <f t="shared" si="327"/>
        <v>19</v>
      </c>
      <c r="X449" s="507">
        <f t="shared" si="327"/>
        <v>19</v>
      </c>
      <c r="Y449" s="507">
        <f t="shared" si="327"/>
        <v>3</v>
      </c>
      <c r="Z449" s="507">
        <f t="shared" si="327"/>
        <v>1</v>
      </c>
      <c r="AA449" s="507">
        <f t="shared" si="327"/>
        <v>3</v>
      </c>
      <c r="AB449" s="507">
        <f t="shared" si="327"/>
        <v>20</v>
      </c>
      <c r="AC449" s="507">
        <f t="shared" si="327"/>
        <v>20</v>
      </c>
      <c r="AD449" s="507">
        <f t="shared" si="327"/>
        <v>0</v>
      </c>
      <c r="AE449" s="507">
        <f t="shared" si="327"/>
        <v>0</v>
      </c>
      <c r="AF449" s="507">
        <f t="shared" si="327"/>
        <v>8</v>
      </c>
      <c r="AG449" s="507">
        <f t="shared" si="327"/>
        <v>20</v>
      </c>
      <c r="AH449" s="507">
        <f t="shared" si="327"/>
        <v>20</v>
      </c>
      <c r="AI449" s="507">
        <f t="shared" si="327"/>
        <v>20</v>
      </c>
      <c r="AJ449" s="507">
        <f t="shared" si="327"/>
        <v>20</v>
      </c>
      <c r="AK449" s="507">
        <f t="shared" si="327"/>
        <v>20</v>
      </c>
      <c r="AL449" s="507">
        <f t="shared" si="327"/>
        <v>20</v>
      </c>
    </row>
    <row r="450" spans="1:38" ht="20.149999999999999" customHeight="1" x14ac:dyDescent="0.35">
      <c r="A450" s="507">
        <v>6</v>
      </c>
      <c r="B450" s="507" t="str">
        <f>PETUNJUK!B18</f>
        <v>Pecangaan Wetan</v>
      </c>
      <c r="C450" s="507">
        <f t="shared" si="317"/>
        <v>50.6</v>
      </c>
      <c r="D450" s="507">
        <f t="shared" si="317"/>
        <v>48.300000000000004</v>
      </c>
      <c r="E450" s="507">
        <f t="shared" si="317"/>
        <v>10.120000000000001</v>
      </c>
      <c r="F450" s="507">
        <f t="shared" ref="F450:AL450" si="328">F18+F52+F86+F120+F154+F188+F222+F256+F290+F324+F358+F392</f>
        <v>15</v>
      </c>
      <c r="G450" s="507">
        <f t="shared" si="328"/>
        <v>0</v>
      </c>
      <c r="H450" s="507">
        <f t="shared" si="328"/>
        <v>15</v>
      </c>
      <c r="I450" s="507">
        <f t="shared" si="328"/>
        <v>15</v>
      </c>
      <c r="J450" s="507">
        <f t="shared" si="328"/>
        <v>12</v>
      </c>
      <c r="K450" s="507">
        <f t="shared" si="328"/>
        <v>11</v>
      </c>
      <c r="L450" s="507">
        <f t="shared" si="328"/>
        <v>11</v>
      </c>
      <c r="M450" s="507">
        <f t="shared" si="328"/>
        <v>10</v>
      </c>
      <c r="N450" s="676"/>
      <c r="O450" s="676"/>
      <c r="P450" s="507">
        <f t="shared" si="328"/>
        <v>21</v>
      </c>
      <c r="Q450" s="507">
        <f t="shared" si="328"/>
        <v>0</v>
      </c>
      <c r="R450" s="507">
        <f t="shared" si="328"/>
        <v>0</v>
      </c>
      <c r="S450" s="507">
        <f t="shared" si="328"/>
        <v>0</v>
      </c>
      <c r="T450" s="507">
        <f t="shared" si="328"/>
        <v>4</v>
      </c>
      <c r="U450" s="507">
        <f t="shared" si="328"/>
        <v>11</v>
      </c>
      <c r="V450" s="507">
        <f t="shared" si="328"/>
        <v>15</v>
      </c>
      <c r="W450" s="507">
        <f t="shared" si="328"/>
        <v>15</v>
      </c>
      <c r="X450" s="507">
        <f t="shared" si="328"/>
        <v>12</v>
      </c>
      <c r="Y450" s="507">
        <f t="shared" si="328"/>
        <v>4</v>
      </c>
      <c r="Z450" s="507">
        <f t="shared" si="328"/>
        <v>0</v>
      </c>
      <c r="AA450" s="507">
        <f t="shared" si="328"/>
        <v>4</v>
      </c>
      <c r="AB450" s="507">
        <f t="shared" si="328"/>
        <v>13</v>
      </c>
      <c r="AC450" s="507">
        <f t="shared" si="328"/>
        <v>13</v>
      </c>
      <c r="AD450" s="507">
        <f t="shared" si="328"/>
        <v>0</v>
      </c>
      <c r="AE450" s="507">
        <f t="shared" si="328"/>
        <v>0</v>
      </c>
      <c r="AF450" s="507">
        <f t="shared" si="328"/>
        <v>1</v>
      </c>
      <c r="AG450" s="507">
        <f t="shared" si="328"/>
        <v>13</v>
      </c>
      <c r="AH450" s="507">
        <f t="shared" si="328"/>
        <v>13</v>
      </c>
      <c r="AI450" s="507">
        <f t="shared" si="328"/>
        <v>13</v>
      </c>
      <c r="AJ450" s="507">
        <f t="shared" si="328"/>
        <v>13</v>
      </c>
      <c r="AK450" s="507">
        <f t="shared" si="328"/>
        <v>13</v>
      </c>
      <c r="AL450" s="507">
        <f t="shared" si="328"/>
        <v>13</v>
      </c>
    </row>
    <row r="451" spans="1:38" ht="20.149999999999999" customHeight="1" x14ac:dyDescent="0.35">
      <c r="A451" s="507">
        <v>11</v>
      </c>
      <c r="B451" s="507" t="str">
        <f>PETUNJUK!B19</f>
        <v>Krasak</v>
      </c>
      <c r="C451" s="507">
        <f t="shared" si="317"/>
        <v>117.7</v>
      </c>
      <c r="D451" s="507">
        <f t="shared" si="317"/>
        <v>112.35000000000001</v>
      </c>
      <c r="E451" s="507">
        <f t="shared" si="317"/>
        <v>23.540000000000003</v>
      </c>
      <c r="F451" s="507">
        <f t="shared" ref="F451:AL451" si="329">F19+F53+F87+F121+F155+F189+F223+F257+F291+F325+F359+F393</f>
        <v>45</v>
      </c>
      <c r="G451" s="507">
        <f t="shared" si="329"/>
        <v>4</v>
      </c>
      <c r="H451" s="507">
        <f t="shared" si="329"/>
        <v>35</v>
      </c>
      <c r="I451" s="507">
        <f t="shared" si="329"/>
        <v>35</v>
      </c>
      <c r="J451" s="507">
        <f t="shared" si="329"/>
        <v>22</v>
      </c>
      <c r="K451" s="507">
        <f t="shared" si="329"/>
        <v>26</v>
      </c>
      <c r="L451" s="507">
        <f t="shared" si="329"/>
        <v>28</v>
      </c>
      <c r="M451" s="507">
        <f t="shared" si="329"/>
        <v>29</v>
      </c>
      <c r="N451" s="676"/>
      <c r="O451" s="676"/>
      <c r="P451" s="507">
        <f t="shared" si="329"/>
        <v>37</v>
      </c>
      <c r="Q451" s="507">
        <f t="shared" si="329"/>
        <v>0</v>
      </c>
      <c r="R451" s="507">
        <f t="shared" si="329"/>
        <v>0</v>
      </c>
      <c r="S451" s="507">
        <f t="shared" si="329"/>
        <v>0</v>
      </c>
      <c r="T451" s="507">
        <f t="shared" si="329"/>
        <v>16</v>
      </c>
      <c r="U451" s="507">
        <f t="shared" si="329"/>
        <v>27</v>
      </c>
      <c r="V451" s="507">
        <f t="shared" si="329"/>
        <v>43</v>
      </c>
      <c r="W451" s="507">
        <f t="shared" si="329"/>
        <v>45</v>
      </c>
      <c r="X451" s="507">
        <f t="shared" si="329"/>
        <v>22</v>
      </c>
      <c r="Y451" s="507">
        <f t="shared" si="329"/>
        <v>5</v>
      </c>
      <c r="Z451" s="507">
        <f t="shared" si="329"/>
        <v>6</v>
      </c>
      <c r="AA451" s="507">
        <f t="shared" si="329"/>
        <v>5</v>
      </c>
      <c r="AB451" s="507">
        <f t="shared" si="329"/>
        <v>29</v>
      </c>
      <c r="AC451" s="507">
        <f t="shared" si="329"/>
        <v>29</v>
      </c>
      <c r="AD451" s="507">
        <f t="shared" si="329"/>
        <v>0</v>
      </c>
      <c r="AE451" s="507">
        <f t="shared" si="329"/>
        <v>0</v>
      </c>
      <c r="AF451" s="507">
        <f t="shared" si="329"/>
        <v>7</v>
      </c>
      <c r="AG451" s="507">
        <f t="shared" si="329"/>
        <v>29</v>
      </c>
      <c r="AH451" s="507">
        <f t="shared" si="329"/>
        <v>29</v>
      </c>
      <c r="AI451" s="507">
        <f t="shared" si="329"/>
        <v>29</v>
      </c>
      <c r="AJ451" s="507">
        <f t="shared" si="329"/>
        <v>29</v>
      </c>
      <c r="AK451" s="507">
        <f t="shared" si="329"/>
        <v>29</v>
      </c>
      <c r="AL451" s="507">
        <f t="shared" si="329"/>
        <v>29</v>
      </c>
    </row>
    <row r="452" spans="1:38" ht="20.149999999999999" customHeight="1" x14ac:dyDescent="0.35">
      <c r="A452" s="507">
        <v>12</v>
      </c>
      <c r="B452" s="507" t="str">
        <f>PETUNJUK!B20</f>
        <v>Gerdu</v>
      </c>
      <c r="C452" s="507">
        <f t="shared" si="317"/>
        <v>23.1</v>
      </c>
      <c r="D452" s="507">
        <f t="shared" si="317"/>
        <v>22.05</v>
      </c>
      <c r="E452" s="507">
        <f t="shared" si="317"/>
        <v>4.62</v>
      </c>
      <c r="F452" s="507">
        <f t="shared" ref="F452:AL452" si="330">F20+F54+F88+F122+F156+F190+F224+F258+F292+F326+F360+F394</f>
        <v>8</v>
      </c>
      <c r="G452" s="507">
        <f t="shared" si="330"/>
        <v>2</v>
      </c>
      <c r="H452" s="507">
        <f t="shared" si="330"/>
        <v>8</v>
      </c>
      <c r="I452" s="507">
        <f t="shared" si="330"/>
        <v>8</v>
      </c>
      <c r="J452" s="507">
        <f t="shared" si="330"/>
        <v>8</v>
      </c>
      <c r="K452" s="507">
        <f t="shared" si="330"/>
        <v>8</v>
      </c>
      <c r="L452" s="507">
        <f t="shared" si="330"/>
        <v>8</v>
      </c>
      <c r="M452" s="507">
        <f t="shared" si="330"/>
        <v>8</v>
      </c>
      <c r="N452" s="676"/>
      <c r="O452" s="676"/>
      <c r="P452" s="507">
        <f t="shared" si="330"/>
        <v>7</v>
      </c>
      <c r="Q452" s="507">
        <f t="shared" si="330"/>
        <v>0</v>
      </c>
      <c r="R452" s="507">
        <f t="shared" si="330"/>
        <v>0</v>
      </c>
      <c r="S452" s="507">
        <f t="shared" si="330"/>
        <v>0</v>
      </c>
      <c r="T452" s="507">
        <f t="shared" si="330"/>
        <v>2</v>
      </c>
      <c r="U452" s="507">
        <f t="shared" si="330"/>
        <v>6</v>
      </c>
      <c r="V452" s="507">
        <f t="shared" si="330"/>
        <v>8</v>
      </c>
      <c r="W452" s="507">
        <f t="shared" si="330"/>
        <v>8</v>
      </c>
      <c r="X452" s="507">
        <f t="shared" si="330"/>
        <v>8</v>
      </c>
      <c r="Y452" s="507">
        <f t="shared" si="330"/>
        <v>2</v>
      </c>
      <c r="Z452" s="507">
        <f t="shared" si="330"/>
        <v>1</v>
      </c>
      <c r="AA452" s="507">
        <f t="shared" si="330"/>
        <v>2</v>
      </c>
      <c r="AB452" s="507">
        <f t="shared" si="330"/>
        <v>5</v>
      </c>
      <c r="AC452" s="507">
        <f t="shared" si="330"/>
        <v>5</v>
      </c>
      <c r="AD452" s="507">
        <f t="shared" si="330"/>
        <v>0</v>
      </c>
      <c r="AE452" s="507">
        <f t="shared" si="330"/>
        <v>0</v>
      </c>
      <c r="AF452" s="507">
        <f t="shared" si="330"/>
        <v>2</v>
      </c>
      <c r="AG452" s="507">
        <f t="shared" si="330"/>
        <v>5</v>
      </c>
      <c r="AH452" s="507">
        <f t="shared" si="330"/>
        <v>5</v>
      </c>
      <c r="AI452" s="507">
        <f t="shared" si="330"/>
        <v>5</v>
      </c>
      <c r="AJ452" s="507">
        <f t="shared" si="330"/>
        <v>5</v>
      </c>
      <c r="AK452" s="507">
        <f t="shared" si="330"/>
        <v>5</v>
      </c>
      <c r="AL452" s="507">
        <f t="shared" si="330"/>
        <v>5</v>
      </c>
    </row>
    <row r="453" spans="1:38" ht="20.149999999999999" customHeight="1" x14ac:dyDescent="0.35">
      <c r="A453" s="507">
        <v>13</v>
      </c>
      <c r="B453" s="507">
        <f>PETUNJUK!B21</f>
        <v>0</v>
      </c>
      <c r="C453" s="507">
        <f t="shared" si="317"/>
        <v>0</v>
      </c>
      <c r="D453" s="507">
        <f t="shared" si="317"/>
        <v>0</v>
      </c>
      <c r="E453" s="507">
        <f t="shared" si="317"/>
        <v>0</v>
      </c>
      <c r="F453" s="507">
        <f t="shared" ref="F453:AL453" si="331">F21+F55+F89+F123+F157+F191+F225+F259+F293+F327+F361+F395</f>
        <v>0</v>
      </c>
      <c r="G453" s="507">
        <f t="shared" si="331"/>
        <v>0</v>
      </c>
      <c r="H453" s="507">
        <f t="shared" si="331"/>
        <v>0</v>
      </c>
      <c r="I453" s="507">
        <f t="shared" si="331"/>
        <v>0</v>
      </c>
      <c r="J453" s="507">
        <f t="shared" si="331"/>
        <v>0</v>
      </c>
      <c r="K453" s="507">
        <f t="shared" si="331"/>
        <v>0</v>
      </c>
      <c r="L453" s="507">
        <f t="shared" si="331"/>
        <v>0</v>
      </c>
      <c r="M453" s="507">
        <f t="shared" si="331"/>
        <v>0</v>
      </c>
      <c r="N453" s="676"/>
      <c r="O453" s="676"/>
      <c r="P453" s="507">
        <f t="shared" si="331"/>
        <v>0</v>
      </c>
      <c r="Q453" s="507">
        <f t="shared" si="331"/>
        <v>0</v>
      </c>
      <c r="R453" s="507">
        <f t="shared" si="331"/>
        <v>0</v>
      </c>
      <c r="S453" s="507">
        <f t="shared" si="331"/>
        <v>0</v>
      </c>
      <c r="T453" s="507">
        <f t="shared" si="331"/>
        <v>0</v>
      </c>
      <c r="U453" s="507">
        <f t="shared" si="331"/>
        <v>0</v>
      </c>
      <c r="V453" s="507">
        <f t="shared" si="331"/>
        <v>0</v>
      </c>
      <c r="W453" s="507">
        <f t="shared" si="331"/>
        <v>0</v>
      </c>
      <c r="X453" s="507">
        <f t="shared" si="331"/>
        <v>0</v>
      </c>
      <c r="Y453" s="507">
        <f t="shared" si="331"/>
        <v>0</v>
      </c>
      <c r="Z453" s="507">
        <f t="shared" si="331"/>
        <v>0</v>
      </c>
      <c r="AA453" s="507">
        <f t="shared" si="331"/>
        <v>0</v>
      </c>
      <c r="AB453" s="507">
        <f t="shared" si="331"/>
        <v>0</v>
      </c>
      <c r="AC453" s="507">
        <f t="shared" si="331"/>
        <v>0</v>
      </c>
      <c r="AD453" s="507">
        <f t="shared" si="331"/>
        <v>0</v>
      </c>
      <c r="AE453" s="507">
        <f t="shared" si="331"/>
        <v>0</v>
      </c>
      <c r="AF453" s="507">
        <f t="shared" si="331"/>
        <v>0</v>
      </c>
      <c r="AG453" s="507">
        <f t="shared" si="331"/>
        <v>0</v>
      </c>
      <c r="AH453" s="507">
        <f t="shared" si="331"/>
        <v>0</v>
      </c>
      <c r="AI453" s="507">
        <f t="shared" si="331"/>
        <v>0</v>
      </c>
      <c r="AJ453" s="507">
        <f t="shared" si="331"/>
        <v>0</v>
      </c>
      <c r="AK453" s="507">
        <f t="shared" si="331"/>
        <v>0</v>
      </c>
      <c r="AL453" s="507">
        <f t="shared" si="331"/>
        <v>0</v>
      </c>
    </row>
    <row r="454" spans="1:38" ht="20.149999999999999" customHeight="1" x14ac:dyDescent="0.35">
      <c r="A454" s="507">
        <v>14</v>
      </c>
      <c r="B454" s="507">
        <f>PETUNJUK!B22</f>
        <v>0</v>
      </c>
      <c r="C454" s="507">
        <f t="shared" si="317"/>
        <v>0</v>
      </c>
      <c r="D454" s="507">
        <f t="shared" si="317"/>
        <v>0</v>
      </c>
      <c r="E454" s="507">
        <f t="shared" si="317"/>
        <v>0</v>
      </c>
      <c r="F454" s="507">
        <f t="shared" ref="F454:AL454" si="332">F22+F56+F90+F124+F158+F192+F226+F260+F294+F328+F362+F396</f>
        <v>0</v>
      </c>
      <c r="G454" s="507">
        <f t="shared" si="332"/>
        <v>0</v>
      </c>
      <c r="H454" s="507">
        <f t="shared" si="332"/>
        <v>0</v>
      </c>
      <c r="I454" s="507">
        <f t="shared" si="332"/>
        <v>0</v>
      </c>
      <c r="J454" s="507">
        <f t="shared" si="332"/>
        <v>0</v>
      </c>
      <c r="K454" s="507">
        <f t="shared" si="332"/>
        <v>0</v>
      </c>
      <c r="L454" s="507">
        <f t="shared" si="332"/>
        <v>0</v>
      </c>
      <c r="M454" s="507">
        <f t="shared" si="332"/>
        <v>0</v>
      </c>
      <c r="N454" s="676"/>
      <c r="O454" s="676"/>
      <c r="P454" s="507">
        <f t="shared" si="332"/>
        <v>0</v>
      </c>
      <c r="Q454" s="507">
        <f t="shared" si="332"/>
        <v>0</v>
      </c>
      <c r="R454" s="507">
        <f t="shared" si="332"/>
        <v>0</v>
      </c>
      <c r="S454" s="507">
        <f t="shared" si="332"/>
        <v>0</v>
      </c>
      <c r="T454" s="507">
        <f t="shared" si="332"/>
        <v>0</v>
      </c>
      <c r="U454" s="507">
        <f t="shared" si="332"/>
        <v>0</v>
      </c>
      <c r="V454" s="507">
        <f t="shared" si="332"/>
        <v>0</v>
      </c>
      <c r="W454" s="507">
        <f t="shared" si="332"/>
        <v>0</v>
      </c>
      <c r="X454" s="507">
        <f t="shared" si="332"/>
        <v>0</v>
      </c>
      <c r="Y454" s="507">
        <f t="shared" si="332"/>
        <v>0</v>
      </c>
      <c r="Z454" s="507">
        <f t="shared" si="332"/>
        <v>0</v>
      </c>
      <c r="AA454" s="507">
        <f t="shared" si="332"/>
        <v>0</v>
      </c>
      <c r="AB454" s="507">
        <f t="shared" si="332"/>
        <v>0</v>
      </c>
      <c r="AC454" s="507">
        <f t="shared" si="332"/>
        <v>0</v>
      </c>
      <c r="AD454" s="507">
        <f t="shared" si="332"/>
        <v>0</v>
      </c>
      <c r="AE454" s="507">
        <f t="shared" si="332"/>
        <v>0</v>
      </c>
      <c r="AF454" s="507">
        <f t="shared" si="332"/>
        <v>0</v>
      </c>
      <c r="AG454" s="507">
        <f t="shared" si="332"/>
        <v>0</v>
      </c>
      <c r="AH454" s="507">
        <f t="shared" si="332"/>
        <v>0</v>
      </c>
      <c r="AI454" s="507">
        <f t="shared" si="332"/>
        <v>0</v>
      </c>
      <c r="AJ454" s="507">
        <f t="shared" si="332"/>
        <v>0</v>
      </c>
      <c r="AK454" s="507">
        <f t="shared" si="332"/>
        <v>0</v>
      </c>
      <c r="AL454" s="507">
        <f t="shared" si="332"/>
        <v>0</v>
      </c>
    </row>
    <row r="455" spans="1:38" ht="20.149999999999999" customHeight="1" x14ac:dyDescent="0.35">
      <c r="A455" s="507">
        <v>15</v>
      </c>
      <c r="B455" s="507">
        <f>PETUNJUK!B23</f>
        <v>0</v>
      </c>
      <c r="C455" s="507">
        <f t="shared" si="317"/>
        <v>0</v>
      </c>
      <c r="D455" s="507">
        <f t="shared" si="317"/>
        <v>0</v>
      </c>
      <c r="E455" s="507">
        <f t="shared" si="317"/>
        <v>0</v>
      </c>
      <c r="F455" s="507">
        <f t="shared" ref="F455:AL455" si="333">F23+F57+F91+F125+F159+F193+F227+F261+F295+F329+F363+F397</f>
        <v>0</v>
      </c>
      <c r="G455" s="507">
        <f t="shared" si="333"/>
        <v>0</v>
      </c>
      <c r="H455" s="507">
        <f t="shared" si="333"/>
        <v>0</v>
      </c>
      <c r="I455" s="507">
        <f t="shared" si="333"/>
        <v>0</v>
      </c>
      <c r="J455" s="507">
        <f t="shared" si="333"/>
        <v>0</v>
      </c>
      <c r="K455" s="507">
        <f t="shared" si="333"/>
        <v>0</v>
      </c>
      <c r="L455" s="507">
        <f t="shared" si="333"/>
        <v>0</v>
      </c>
      <c r="M455" s="507">
        <f t="shared" si="333"/>
        <v>0</v>
      </c>
      <c r="N455" s="676"/>
      <c r="O455" s="676"/>
      <c r="P455" s="507">
        <f t="shared" si="333"/>
        <v>0</v>
      </c>
      <c r="Q455" s="507">
        <f t="shared" si="333"/>
        <v>0</v>
      </c>
      <c r="R455" s="507">
        <f t="shared" si="333"/>
        <v>0</v>
      </c>
      <c r="S455" s="507">
        <f t="shared" si="333"/>
        <v>0</v>
      </c>
      <c r="T455" s="507">
        <f t="shared" si="333"/>
        <v>0</v>
      </c>
      <c r="U455" s="507">
        <f t="shared" si="333"/>
        <v>0</v>
      </c>
      <c r="V455" s="507">
        <f t="shared" si="333"/>
        <v>0</v>
      </c>
      <c r="W455" s="507">
        <f t="shared" si="333"/>
        <v>0</v>
      </c>
      <c r="X455" s="507">
        <f t="shared" si="333"/>
        <v>0</v>
      </c>
      <c r="Y455" s="507">
        <f t="shared" si="333"/>
        <v>0</v>
      </c>
      <c r="Z455" s="507">
        <f t="shared" si="333"/>
        <v>0</v>
      </c>
      <c r="AA455" s="507">
        <f t="shared" si="333"/>
        <v>0</v>
      </c>
      <c r="AB455" s="507">
        <f t="shared" si="333"/>
        <v>0</v>
      </c>
      <c r="AC455" s="507">
        <f t="shared" si="333"/>
        <v>0</v>
      </c>
      <c r="AD455" s="507">
        <f t="shared" si="333"/>
        <v>0</v>
      </c>
      <c r="AE455" s="507">
        <f t="shared" si="333"/>
        <v>0</v>
      </c>
      <c r="AF455" s="507">
        <f t="shared" si="333"/>
        <v>0</v>
      </c>
      <c r="AG455" s="507">
        <f t="shared" si="333"/>
        <v>0</v>
      </c>
      <c r="AH455" s="507">
        <f t="shared" si="333"/>
        <v>0</v>
      </c>
      <c r="AI455" s="507">
        <f t="shared" si="333"/>
        <v>0</v>
      </c>
      <c r="AJ455" s="507">
        <f t="shared" si="333"/>
        <v>0</v>
      </c>
      <c r="AK455" s="507">
        <f t="shared" si="333"/>
        <v>0</v>
      </c>
      <c r="AL455" s="507">
        <f t="shared" si="333"/>
        <v>0</v>
      </c>
    </row>
    <row r="456" spans="1:38" ht="20.149999999999999" customHeight="1" x14ac:dyDescent="0.35">
      <c r="A456" s="507">
        <v>16</v>
      </c>
      <c r="B456" s="507">
        <f>PETUNJUK!B24</f>
        <v>0</v>
      </c>
      <c r="C456" s="507">
        <f t="shared" si="317"/>
        <v>0</v>
      </c>
      <c r="D456" s="507">
        <f t="shared" si="317"/>
        <v>0</v>
      </c>
      <c r="E456" s="507">
        <f t="shared" si="317"/>
        <v>0</v>
      </c>
      <c r="F456" s="507">
        <f t="shared" ref="F456:AL456" si="334">F24+F58+F92+F126+F160+F194+F228+F262+F296+F330+F364+F398</f>
        <v>0</v>
      </c>
      <c r="G456" s="507">
        <f t="shared" si="334"/>
        <v>0</v>
      </c>
      <c r="H456" s="507">
        <f t="shared" si="334"/>
        <v>0</v>
      </c>
      <c r="I456" s="507">
        <f t="shared" si="334"/>
        <v>0</v>
      </c>
      <c r="J456" s="507">
        <f t="shared" si="334"/>
        <v>0</v>
      </c>
      <c r="K456" s="507">
        <f t="shared" si="334"/>
        <v>0</v>
      </c>
      <c r="L456" s="507">
        <f t="shared" si="334"/>
        <v>0</v>
      </c>
      <c r="M456" s="507">
        <f t="shared" si="334"/>
        <v>0</v>
      </c>
      <c r="N456" s="676"/>
      <c r="O456" s="676"/>
      <c r="P456" s="507">
        <f t="shared" si="334"/>
        <v>0</v>
      </c>
      <c r="Q456" s="507">
        <f t="shared" si="334"/>
        <v>0</v>
      </c>
      <c r="R456" s="507">
        <f t="shared" si="334"/>
        <v>0</v>
      </c>
      <c r="S456" s="507">
        <f t="shared" si="334"/>
        <v>0</v>
      </c>
      <c r="T456" s="507">
        <f t="shared" si="334"/>
        <v>0</v>
      </c>
      <c r="U456" s="507">
        <f t="shared" si="334"/>
        <v>0</v>
      </c>
      <c r="V456" s="507">
        <f t="shared" si="334"/>
        <v>0</v>
      </c>
      <c r="W456" s="507">
        <f t="shared" si="334"/>
        <v>0</v>
      </c>
      <c r="X456" s="507">
        <f t="shared" si="334"/>
        <v>0</v>
      </c>
      <c r="Y456" s="507">
        <f t="shared" si="334"/>
        <v>0</v>
      </c>
      <c r="Z456" s="507">
        <f t="shared" si="334"/>
        <v>0</v>
      </c>
      <c r="AA456" s="507">
        <f t="shared" si="334"/>
        <v>0</v>
      </c>
      <c r="AB456" s="507">
        <f t="shared" si="334"/>
        <v>0</v>
      </c>
      <c r="AC456" s="507">
        <f t="shared" si="334"/>
        <v>0</v>
      </c>
      <c r="AD456" s="507">
        <f t="shared" si="334"/>
        <v>0</v>
      </c>
      <c r="AE456" s="507">
        <f t="shared" si="334"/>
        <v>0</v>
      </c>
      <c r="AF456" s="507">
        <f t="shared" si="334"/>
        <v>0</v>
      </c>
      <c r="AG456" s="507">
        <f t="shared" si="334"/>
        <v>0</v>
      </c>
      <c r="AH456" s="507">
        <f t="shared" si="334"/>
        <v>0</v>
      </c>
      <c r="AI456" s="507">
        <f t="shared" si="334"/>
        <v>0</v>
      </c>
      <c r="AJ456" s="507">
        <f t="shared" si="334"/>
        <v>0</v>
      </c>
      <c r="AK456" s="507">
        <f t="shared" si="334"/>
        <v>0</v>
      </c>
      <c r="AL456" s="507">
        <f t="shared" si="334"/>
        <v>0</v>
      </c>
    </row>
    <row r="457" spans="1:38" ht="20.149999999999999" customHeight="1" x14ac:dyDescent="0.35">
      <c r="A457" s="507">
        <v>17</v>
      </c>
      <c r="B457" s="507">
        <f>PETUNJUK!B25</f>
        <v>0</v>
      </c>
      <c r="C457" s="507">
        <f t="shared" si="317"/>
        <v>0</v>
      </c>
      <c r="D457" s="507">
        <f t="shared" si="317"/>
        <v>0</v>
      </c>
      <c r="E457" s="507">
        <f t="shared" si="317"/>
        <v>0</v>
      </c>
      <c r="F457" s="507">
        <f t="shared" ref="F457:AL457" si="335">F25+F59+F93+F127+F161+F195+F229+F263+F297+F331+F365+F399</f>
        <v>0</v>
      </c>
      <c r="G457" s="507">
        <f t="shared" si="335"/>
        <v>0</v>
      </c>
      <c r="H457" s="507">
        <f t="shared" si="335"/>
        <v>0</v>
      </c>
      <c r="I457" s="507">
        <f t="shared" si="335"/>
        <v>0</v>
      </c>
      <c r="J457" s="507">
        <f t="shared" si="335"/>
        <v>0</v>
      </c>
      <c r="K457" s="507">
        <f t="shared" si="335"/>
        <v>0</v>
      </c>
      <c r="L457" s="507">
        <f t="shared" si="335"/>
        <v>0</v>
      </c>
      <c r="M457" s="507">
        <f t="shared" si="335"/>
        <v>0</v>
      </c>
      <c r="N457" s="676"/>
      <c r="O457" s="676"/>
      <c r="P457" s="507">
        <f t="shared" si="335"/>
        <v>0</v>
      </c>
      <c r="Q457" s="507">
        <f t="shared" si="335"/>
        <v>0</v>
      </c>
      <c r="R457" s="507">
        <f t="shared" si="335"/>
        <v>0</v>
      </c>
      <c r="S457" s="507">
        <f t="shared" si="335"/>
        <v>0</v>
      </c>
      <c r="T457" s="507">
        <f t="shared" si="335"/>
        <v>0</v>
      </c>
      <c r="U457" s="507">
        <f t="shared" si="335"/>
        <v>0</v>
      </c>
      <c r="V457" s="507">
        <f t="shared" si="335"/>
        <v>0</v>
      </c>
      <c r="W457" s="507">
        <f t="shared" si="335"/>
        <v>0</v>
      </c>
      <c r="X457" s="507">
        <f t="shared" si="335"/>
        <v>0</v>
      </c>
      <c r="Y457" s="507">
        <f t="shared" si="335"/>
        <v>0</v>
      </c>
      <c r="Z457" s="507">
        <f t="shared" si="335"/>
        <v>0</v>
      </c>
      <c r="AA457" s="507">
        <f t="shared" si="335"/>
        <v>0</v>
      </c>
      <c r="AB457" s="507">
        <f t="shared" si="335"/>
        <v>0</v>
      </c>
      <c r="AC457" s="507">
        <f t="shared" si="335"/>
        <v>0</v>
      </c>
      <c r="AD457" s="507">
        <f t="shared" si="335"/>
        <v>0</v>
      </c>
      <c r="AE457" s="507">
        <f t="shared" si="335"/>
        <v>0</v>
      </c>
      <c r="AF457" s="507">
        <f t="shared" si="335"/>
        <v>0</v>
      </c>
      <c r="AG457" s="507">
        <f t="shared" si="335"/>
        <v>0</v>
      </c>
      <c r="AH457" s="507">
        <f t="shared" si="335"/>
        <v>0</v>
      </c>
      <c r="AI457" s="507">
        <f t="shared" si="335"/>
        <v>0</v>
      </c>
      <c r="AJ457" s="507">
        <f t="shared" si="335"/>
        <v>0</v>
      </c>
      <c r="AK457" s="507">
        <f t="shared" si="335"/>
        <v>0</v>
      </c>
      <c r="AL457" s="507">
        <f t="shared" si="335"/>
        <v>0</v>
      </c>
    </row>
    <row r="458" spans="1:38" ht="20.149999999999999" customHeight="1" x14ac:dyDescent="0.35">
      <c r="A458" s="507">
        <v>18</v>
      </c>
      <c r="B458" s="507">
        <f>PETUNJUK!B26</f>
        <v>0</v>
      </c>
      <c r="C458" s="507">
        <f t="shared" si="317"/>
        <v>0</v>
      </c>
      <c r="D458" s="507">
        <f t="shared" si="317"/>
        <v>0</v>
      </c>
      <c r="E458" s="507">
        <f t="shared" si="317"/>
        <v>0</v>
      </c>
      <c r="F458" s="507">
        <f t="shared" ref="F458:AL458" si="336">F26+F60+F94+F128+F162+F196+F230+F264+F298+F332+F366+F400</f>
        <v>0</v>
      </c>
      <c r="G458" s="507">
        <f t="shared" si="336"/>
        <v>0</v>
      </c>
      <c r="H458" s="507">
        <f t="shared" si="336"/>
        <v>0</v>
      </c>
      <c r="I458" s="507">
        <f t="shared" si="336"/>
        <v>0</v>
      </c>
      <c r="J458" s="507">
        <f t="shared" si="336"/>
        <v>0</v>
      </c>
      <c r="K458" s="507">
        <f t="shared" si="336"/>
        <v>0</v>
      </c>
      <c r="L458" s="507">
        <f t="shared" si="336"/>
        <v>0</v>
      </c>
      <c r="M458" s="507">
        <f t="shared" si="336"/>
        <v>0</v>
      </c>
      <c r="N458" s="676"/>
      <c r="O458" s="676"/>
      <c r="P458" s="507">
        <f t="shared" si="336"/>
        <v>0</v>
      </c>
      <c r="Q458" s="507">
        <f t="shared" si="336"/>
        <v>0</v>
      </c>
      <c r="R458" s="507">
        <f t="shared" si="336"/>
        <v>0</v>
      </c>
      <c r="S458" s="507">
        <f t="shared" si="336"/>
        <v>0</v>
      </c>
      <c r="T458" s="507">
        <f t="shared" si="336"/>
        <v>0</v>
      </c>
      <c r="U458" s="507">
        <f t="shared" si="336"/>
        <v>0</v>
      </c>
      <c r="V458" s="507">
        <f t="shared" si="336"/>
        <v>0</v>
      </c>
      <c r="W458" s="507">
        <f t="shared" si="336"/>
        <v>0</v>
      </c>
      <c r="X458" s="507">
        <f t="shared" si="336"/>
        <v>0</v>
      </c>
      <c r="Y458" s="507">
        <f t="shared" si="336"/>
        <v>0</v>
      </c>
      <c r="Z458" s="507">
        <f t="shared" si="336"/>
        <v>0</v>
      </c>
      <c r="AA458" s="507">
        <f t="shared" si="336"/>
        <v>0</v>
      </c>
      <c r="AB458" s="507">
        <f t="shared" si="336"/>
        <v>0</v>
      </c>
      <c r="AC458" s="507">
        <f t="shared" si="336"/>
        <v>0</v>
      </c>
      <c r="AD458" s="507">
        <f t="shared" si="336"/>
        <v>0</v>
      </c>
      <c r="AE458" s="507">
        <f t="shared" si="336"/>
        <v>0</v>
      </c>
      <c r="AF458" s="507">
        <f t="shared" si="336"/>
        <v>0</v>
      </c>
      <c r="AG458" s="507">
        <f t="shared" si="336"/>
        <v>0</v>
      </c>
      <c r="AH458" s="507">
        <f t="shared" si="336"/>
        <v>0</v>
      </c>
      <c r="AI458" s="507">
        <f t="shared" si="336"/>
        <v>0</v>
      </c>
      <c r="AJ458" s="507">
        <f t="shared" si="336"/>
        <v>0</v>
      </c>
      <c r="AK458" s="507">
        <f t="shared" si="336"/>
        <v>0</v>
      </c>
      <c r="AL458" s="507">
        <f t="shared" si="336"/>
        <v>0</v>
      </c>
    </row>
    <row r="459" spans="1:38" ht="20.149999999999999" customHeight="1" x14ac:dyDescent="0.35">
      <c r="A459" s="507">
        <v>19</v>
      </c>
      <c r="B459" s="507">
        <f>PETUNJUK!B27</f>
        <v>0</v>
      </c>
      <c r="C459" s="507">
        <f t="shared" si="317"/>
        <v>0</v>
      </c>
      <c r="D459" s="507">
        <f t="shared" si="317"/>
        <v>0</v>
      </c>
      <c r="E459" s="507">
        <f t="shared" si="317"/>
        <v>0</v>
      </c>
      <c r="F459" s="507">
        <f t="shared" ref="F459:AL460" si="337">F27+F61+F95+F129+F163+F197+F231+F265+F299+F333+F367+F401</f>
        <v>0</v>
      </c>
      <c r="G459" s="507">
        <f t="shared" si="337"/>
        <v>0</v>
      </c>
      <c r="H459" s="507">
        <f t="shared" si="337"/>
        <v>0</v>
      </c>
      <c r="I459" s="507">
        <f t="shared" si="337"/>
        <v>0</v>
      </c>
      <c r="J459" s="507">
        <f t="shared" si="337"/>
        <v>0</v>
      </c>
      <c r="K459" s="507">
        <f t="shared" si="337"/>
        <v>0</v>
      </c>
      <c r="L459" s="507">
        <f t="shared" si="337"/>
        <v>0</v>
      </c>
      <c r="M459" s="507">
        <f t="shared" si="337"/>
        <v>0</v>
      </c>
      <c r="N459" s="676"/>
      <c r="O459" s="676"/>
      <c r="P459" s="507">
        <f t="shared" si="337"/>
        <v>0</v>
      </c>
      <c r="Q459" s="507">
        <f t="shared" si="337"/>
        <v>0</v>
      </c>
      <c r="R459" s="507">
        <f t="shared" si="337"/>
        <v>0</v>
      </c>
      <c r="S459" s="507">
        <f t="shared" si="337"/>
        <v>0</v>
      </c>
      <c r="T459" s="507">
        <f t="shared" si="337"/>
        <v>0</v>
      </c>
      <c r="U459" s="507">
        <f t="shared" si="337"/>
        <v>0</v>
      </c>
      <c r="V459" s="507">
        <f t="shared" si="337"/>
        <v>0</v>
      </c>
      <c r="W459" s="507">
        <f t="shared" si="337"/>
        <v>0</v>
      </c>
      <c r="X459" s="507">
        <f t="shared" si="337"/>
        <v>0</v>
      </c>
      <c r="Y459" s="507">
        <f t="shared" si="337"/>
        <v>0</v>
      </c>
      <c r="Z459" s="507">
        <f t="shared" si="337"/>
        <v>0</v>
      </c>
      <c r="AA459" s="507">
        <f t="shared" si="337"/>
        <v>0</v>
      </c>
      <c r="AB459" s="507">
        <f t="shared" si="337"/>
        <v>0</v>
      </c>
      <c r="AC459" s="507">
        <f t="shared" si="337"/>
        <v>0</v>
      </c>
      <c r="AD459" s="507">
        <f t="shared" si="337"/>
        <v>0</v>
      </c>
      <c r="AE459" s="507">
        <f t="shared" si="337"/>
        <v>0</v>
      </c>
      <c r="AF459" s="507">
        <f t="shared" si="337"/>
        <v>0</v>
      </c>
      <c r="AG459" s="507">
        <f t="shared" si="337"/>
        <v>0</v>
      </c>
      <c r="AH459" s="507">
        <f t="shared" si="337"/>
        <v>0</v>
      </c>
      <c r="AI459" s="507">
        <f t="shared" si="337"/>
        <v>0</v>
      </c>
      <c r="AJ459" s="507">
        <f t="shared" si="337"/>
        <v>0</v>
      </c>
      <c r="AK459" s="507">
        <f t="shared" si="337"/>
        <v>0</v>
      </c>
      <c r="AL459" s="507">
        <f t="shared" si="337"/>
        <v>0</v>
      </c>
    </row>
    <row r="460" spans="1:38" ht="20.149999999999999" customHeight="1" x14ac:dyDescent="0.35">
      <c r="A460" s="507">
        <v>20</v>
      </c>
      <c r="B460" s="507">
        <f>PETUNJUK!B28</f>
        <v>0</v>
      </c>
      <c r="C460" s="507">
        <f t="shared" si="317"/>
        <v>0</v>
      </c>
      <c r="D460" s="507">
        <f t="shared" si="317"/>
        <v>0</v>
      </c>
      <c r="E460" s="507">
        <f t="shared" si="317"/>
        <v>0</v>
      </c>
      <c r="F460" s="507">
        <f t="shared" ref="F460:AL460" si="338">F28+F62+F96+F130+F164+F198+F232+F266+F300+F334+F368+F402</f>
        <v>0</v>
      </c>
      <c r="G460" s="507">
        <f t="shared" si="338"/>
        <v>0</v>
      </c>
      <c r="H460" s="507">
        <f t="shared" si="338"/>
        <v>0</v>
      </c>
      <c r="I460" s="507">
        <f t="shared" si="338"/>
        <v>0</v>
      </c>
      <c r="J460" s="507">
        <f t="shared" si="338"/>
        <v>0</v>
      </c>
      <c r="K460" s="507">
        <f t="shared" si="338"/>
        <v>0</v>
      </c>
      <c r="L460" s="507">
        <f t="shared" si="338"/>
        <v>0</v>
      </c>
      <c r="M460" s="507">
        <f t="shared" si="338"/>
        <v>0</v>
      </c>
      <c r="N460" s="676"/>
      <c r="O460" s="676"/>
      <c r="P460" s="507">
        <f t="shared" si="338"/>
        <v>0</v>
      </c>
      <c r="Q460" s="507">
        <f t="shared" si="338"/>
        <v>0</v>
      </c>
      <c r="R460" s="507">
        <f t="shared" si="338"/>
        <v>0</v>
      </c>
      <c r="S460" s="507">
        <f t="shared" si="338"/>
        <v>0</v>
      </c>
      <c r="T460" s="507">
        <f t="shared" si="338"/>
        <v>0</v>
      </c>
      <c r="U460" s="507">
        <f t="shared" si="338"/>
        <v>0</v>
      </c>
      <c r="V460" s="507">
        <f t="shared" si="338"/>
        <v>0</v>
      </c>
      <c r="W460" s="507">
        <f t="shared" si="338"/>
        <v>0</v>
      </c>
      <c r="X460" s="507">
        <f t="shared" si="338"/>
        <v>0</v>
      </c>
      <c r="Y460" s="507">
        <f t="shared" si="338"/>
        <v>0</v>
      </c>
      <c r="Z460" s="507">
        <f t="shared" si="338"/>
        <v>0</v>
      </c>
      <c r="AA460" s="507">
        <f t="shared" si="337"/>
        <v>0</v>
      </c>
      <c r="AB460" s="507">
        <f t="shared" si="338"/>
        <v>0</v>
      </c>
      <c r="AC460" s="507">
        <f t="shared" si="338"/>
        <v>0</v>
      </c>
      <c r="AD460" s="507">
        <f t="shared" si="338"/>
        <v>0</v>
      </c>
      <c r="AE460" s="507">
        <f t="shared" si="338"/>
        <v>0</v>
      </c>
      <c r="AF460" s="507">
        <f t="shared" si="338"/>
        <v>0</v>
      </c>
      <c r="AG460" s="507">
        <f t="shared" si="338"/>
        <v>0</v>
      </c>
      <c r="AH460" s="507">
        <f t="shared" si="338"/>
        <v>0</v>
      </c>
      <c r="AI460" s="507">
        <f t="shared" si="338"/>
        <v>0</v>
      </c>
      <c r="AJ460" s="507">
        <f t="shared" si="338"/>
        <v>0</v>
      </c>
      <c r="AK460" s="507">
        <f t="shared" si="338"/>
        <v>0</v>
      </c>
      <c r="AL460" s="507">
        <f t="shared" si="338"/>
        <v>0</v>
      </c>
    </row>
    <row r="461" spans="1:38" ht="20.149999999999999" customHeight="1" x14ac:dyDescent="0.35">
      <c r="A461" s="507">
        <v>21</v>
      </c>
      <c r="B461" s="507">
        <f>PETUNJUK!B29</f>
        <v>0</v>
      </c>
      <c r="C461" s="507">
        <f t="shared" si="317"/>
        <v>0</v>
      </c>
      <c r="D461" s="507">
        <f t="shared" si="317"/>
        <v>0</v>
      </c>
      <c r="E461" s="507">
        <f t="shared" si="317"/>
        <v>0</v>
      </c>
      <c r="F461" s="507">
        <f t="shared" ref="F461:AL461" si="339">F29+F63+F97+F131+F165+F199+F233+F267+F301+F335+F369+F403</f>
        <v>0</v>
      </c>
      <c r="G461" s="507">
        <f t="shared" si="339"/>
        <v>0</v>
      </c>
      <c r="H461" s="507">
        <f t="shared" si="339"/>
        <v>0</v>
      </c>
      <c r="I461" s="507">
        <f t="shared" si="339"/>
        <v>0</v>
      </c>
      <c r="J461" s="507">
        <f t="shared" si="339"/>
        <v>0</v>
      </c>
      <c r="K461" s="507">
        <f t="shared" si="339"/>
        <v>0</v>
      </c>
      <c r="L461" s="507">
        <f t="shared" si="339"/>
        <v>0</v>
      </c>
      <c r="M461" s="507">
        <f t="shared" si="339"/>
        <v>0</v>
      </c>
      <c r="N461" s="676"/>
      <c r="O461" s="676"/>
      <c r="P461" s="507">
        <f t="shared" si="339"/>
        <v>0</v>
      </c>
      <c r="Q461" s="507">
        <f t="shared" si="339"/>
        <v>0</v>
      </c>
      <c r="R461" s="507">
        <f t="shared" si="339"/>
        <v>0</v>
      </c>
      <c r="S461" s="507">
        <f t="shared" si="339"/>
        <v>0</v>
      </c>
      <c r="T461" s="507">
        <f t="shared" si="339"/>
        <v>0</v>
      </c>
      <c r="U461" s="507">
        <f t="shared" si="339"/>
        <v>0</v>
      </c>
      <c r="V461" s="507">
        <f t="shared" si="339"/>
        <v>0</v>
      </c>
      <c r="W461" s="507">
        <f t="shared" si="339"/>
        <v>0</v>
      </c>
      <c r="X461" s="507">
        <f t="shared" si="339"/>
        <v>0</v>
      </c>
      <c r="Y461" s="507">
        <f t="shared" si="339"/>
        <v>0</v>
      </c>
      <c r="Z461" s="507">
        <f t="shared" si="339"/>
        <v>0</v>
      </c>
      <c r="AA461" s="507">
        <f t="shared" si="339"/>
        <v>0</v>
      </c>
      <c r="AB461" s="507">
        <f t="shared" si="339"/>
        <v>0</v>
      </c>
      <c r="AC461" s="507">
        <f t="shared" si="339"/>
        <v>0</v>
      </c>
      <c r="AD461" s="507">
        <f t="shared" si="339"/>
        <v>0</v>
      </c>
      <c r="AE461" s="507">
        <f t="shared" si="339"/>
        <v>0</v>
      </c>
      <c r="AF461" s="507">
        <f t="shared" si="339"/>
        <v>0</v>
      </c>
      <c r="AG461" s="507">
        <f t="shared" si="339"/>
        <v>0</v>
      </c>
      <c r="AH461" s="507">
        <f t="shared" si="339"/>
        <v>0</v>
      </c>
      <c r="AI461" s="507">
        <f t="shared" si="339"/>
        <v>0</v>
      </c>
      <c r="AJ461" s="507">
        <f t="shared" si="339"/>
        <v>0</v>
      </c>
      <c r="AK461" s="507">
        <f t="shared" si="339"/>
        <v>0</v>
      </c>
      <c r="AL461" s="507">
        <f t="shared" si="339"/>
        <v>0</v>
      </c>
    </row>
    <row r="462" spans="1:38" ht="20.149999999999999" customHeight="1" thickBot="1" x14ac:dyDescent="0.4">
      <c r="A462" s="512">
        <v>22</v>
      </c>
      <c r="B462" s="512">
        <f>PETUNJUK!B30</f>
        <v>0</v>
      </c>
      <c r="C462" s="507">
        <f t="shared" si="317"/>
        <v>0</v>
      </c>
      <c r="D462" s="507">
        <f t="shared" si="317"/>
        <v>0</v>
      </c>
      <c r="E462" s="507">
        <f t="shared" si="317"/>
        <v>0</v>
      </c>
      <c r="F462" s="507">
        <f t="shared" ref="F462:AL462" si="340">F30+F64+F98+F132+F166+F200+F234+F268+F302+F336+F370+F404</f>
        <v>0</v>
      </c>
      <c r="G462" s="507">
        <f t="shared" si="340"/>
        <v>0</v>
      </c>
      <c r="H462" s="507">
        <f t="shared" si="340"/>
        <v>0</v>
      </c>
      <c r="I462" s="507">
        <f t="shared" si="340"/>
        <v>0</v>
      </c>
      <c r="J462" s="507">
        <f t="shared" si="340"/>
        <v>0</v>
      </c>
      <c r="K462" s="507">
        <f t="shared" si="340"/>
        <v>0</v>
      </c>
      <c r="L462" s="507">
        <f t="shared" si="340"/>
        <v>0</v>
      </c>
      <c r="M462" s="507">
        <f t="shared" si="340"/>
        <v>0</v>
      </c>
      <c r="N462" s="676"/>
      <c r="O462" s="676"/>
      <c r="P462" s="507">
        <f t="shared" si="340"/>
        <v>0</v>
      </c>
      <c r="Q462" s="507">
        <f t="shared" si="340"/>
        <v>0</v>
      </c>
      <c r="R462" s="507">
        <f t="shared" si="340"/>
        <v>0</v>
      </c>
      <c r="S462" s="507">
        <f t="shared" si="340"/>
        <v>0</v>
      </c>
      <c r="T462" s="507">
        <f t="shared" si="340"/>
        <v>0</v>
      </c>
      <c r="U462" s="507">
        <f t="shared" si="340"/>
        <v>0</v>
      </c>
      <c r="V462" s="507">
        <f t="shared" si="340"/>
        <v>0</v>
      </c>
      <c r="W462" s="507">
        <f t="shared" si="340"/>
        <v>0</v>
      </c>
      <c r="X462" s="507">
        <f t="shared" si="340"/>
        <v>0</v>
      </c>
      <c r="Y462" s="507">
        <f t="shared" si="340"/>
        <v>0</v>
      </c>
      <c r="Z462" s="507">
        <f t="shared" si="340"/>
        <v>0</v>
      </c>
      <c r="AA462" s="507">
        <f t="shared" si="340"/>
        <v>0</v>
      </c>
      <c r="AB462" s="507">
        <f t="shared" si="340"/>
        <v>0</v>
      </c>
      <c r="AC462" s="507">
        <f t="shared" si="340"/>
        <v>0</v>
      </c>
      <c r="AD462" s="507">
        <f t="shared" si="340"/>
        <v>0</v>
      </c>
      <c r="AE462" s="507">
        <f t="shared" si="340"/>
        <v>0</v>
      </c>
      <c r="AF462" s="507">
        <f t="shared" si="340"/>
        <v>0</v>
      </c>
      <c r="AG462" s="507">
        <f t="shared" si="340"/>
        <v>0</v>
      </c>
      <c r="AH462" s="507">
        <f t="shared" si="340"/>
        <v>0</v>
      </c>
      <c r="AI462" s="507">
        <f t="shared" si="340"/>
        <v>0</v>
      </c>
      <c r="AJ462" s="507">
        <f t="shared" si="340"/>
        <v>0</v>
      </c>
      <c r="AK462" s="507">
        <f t="shared" si="340"/>
        <v>0</v>
      </c>
      <c r="AL462" s="507">
        <f t="shared" si="340"/>
        <v>0</v>
      </c>
    </row>
    <row r="463" spans="1:38" ht="20.149999999999999" customHeight="1" thickBot="1" x14ac:dyDescent="0.4">
      <c r="A463" s="744" t="s">
        <v>18</v>
      </c>
      <c r="B463" s="745"/>
      <c r="C463" s="513">
        <f>SUM(C441:C462)</f>
        <v>1067</v>
      </c>
      <c r="D463" s="513">
        <f>SUM(D441:D462)</f>
        <v>1018.5</v>
      </c>
      <c r="E463" s="513">
        <f>SUM(E441:E462)</f>
        <v>213.40000000000003</v>
      </c>
      <c r="F463" s="513">
        <f>SUM(F441:F462)</f>
        <v>374</v>
      </c>
      <c r="G463" s="513">
        <f t="shared" ref="G463" si="341">SUM(G441:G462)</f>
        <v>43</v>
      </c>
      <c r="H463" s="513">
        <f t="shared" ref="H463" si="342">SUM(H441:H462)</f>
        <v>366</v>
      </c>
      <c r="I463" s="513">
        <f t="shared" ref="I463" si="343">SUM(I441:I462)</f>
        <v>366</v>
      </c>
      <c r="J463" s="513">
        <f t="shared" ref="J463" si="344">SUM(J441:J462)</f>
        <v>283</v>
      </c>
      <c r="K463" s="513">
        <f t="shared" ref="K463" si="345">SUM(K441:K462)</f>
        <v>296</v>
      </c>
      <c r="L463" s="513">
        <f t="shared" ref="L463" si="346">SUM(L441:L462)</f>
        <v>296</v>
      </c>
      <c r="M463" s="513">
        <f t="shared" ref="M463" si="347">SUM(M441:M462)</f>
        <v>309</v>
      </c>
      <c r="N463" s="513"/>
      <c r="O463" s="513"/>
      <c r="P463" s="513">
        <f t="shared" ref="P463" si="348">SUM(P441:P462)</f>
        <v>317</v>
      </c>
      <c r="Q463" s="513">
        <f t="shared" ref="Q463" si="349">SUM(Q441:Q462)</f>
        <v>0</v>
      </c>
      <c r="R463" s="513">
        <f t="shared" ref="R463" si="350">SUM(R441:R462)</f>
        <v>0</v>
      </c>
      <c r="S463" s="513">
        <f t="shared" ref="S463" si="351">SUM(S441:S462)</f>
        <v>31</v>
      </c>
      <c r="T463" s="513">
        <f t="shared" ref="T463" si="352">SUM(T441:T462)</f>
        <v>145</v>
      </c>
      <c r="U463" s="513">
        <f t="shared" ref="U463" si="353">SUM(U441:U462)</f>
        <v>197</v>
      </c>
      <c r="V463" s="513">
        <f t="shared" ref="V463" si="354">SUM(V441:V462)</f>
        <v>373</v>
      </c>
      <c r="W463" s="513">
        <f t="shared" ref="W463" si="355">SUM(W441:W462)</f>
        <v>374</v>
      </c>
      <c r="X463" s="513">
        <f t="shared" ref="X463" si="356">SUM(X441:X462)</f>
        <v>283</v>
      </c>
      <c r="Y463" s="513">
        <f t="shared" ref="Y463" si="357">SUM(Y441:Y462)</f>
        <v>92</v>
      </c>
      <c r="Z463" s="513">
        <f t="shared" ref="Z463" si="358">SUM(Z441:Z462)</f>
        <v>47</v>
      </c>
      <c r="AA463" s="513">
        <f t="shared" ref="AA463" si="359">SUM(AA441:AA462)</f>
        <v>92</v>
      </c>
      <c r="AB463" s="513">
        <f t="shared" ref="AB463" si="360">SUM(AB441:AB462)</f>
        <v>298</v>
      </c>
      <c r="AC463" s="513">
        <f t="shared" ref="AC463" si="361">SUM(AC441:AC462)</f>
        <v>298</v>
      </c>
      <c r="AD463" s="513">
        <f t="shared" ref="AD463" si="362">SUM(AD441:AD462)</f>
        <v>0</v>
      </c>
      <c r="AE463" s="513">
        <f t="shared" ref="AE463" si="363">SUM(AE441:AE462)</f>
        <v>0</v>
      </c>
      <c r="AF463" s="513">
        <f t="shared" ref="AF463" si="364">SUM(AF441:AF462)</f>
        <v>69</v>
      </c>
      <c r="AG463" s="513">
        <f t="shared" ref="AG463" si="365">SUM(AG441:AG462)</f>
        <v>298</v>
      </c>
      <c r="AH463" s="513">
        <f t="shared" ref="AH463" si="366">SUM(AH441:AH462)</f>
        <v>298</v>
      </c>
      <c r="AI463" s="513">
        <f t="shared" ref="AI463" si="367">SUM(AI441:AI462)</f>
        <v>298</v>
      </c>
      <c r="AJ463" s="513">
        <f t="shared" ref="AJ463" si="368">SUM(AJ441:AJ462)</f>
        <v>298</v>
      </c>
      <c r="AK463" s="513">
        <f t="shared" ref="AK463" si="369">SUM(AK441:AK462)</f>
        <v>298</v>
      </c>
      <c r="AL463" s="518">
        <f t="shared" ref="AL463" si="370">SUM(AL441:AL462)</f>
        <v>298</v>
      </c>
    </row>
    <row r="464" spans="1:38" ht="15.5" x14ac:dyDescent="0.35">
      <c r="A464" s="514"/>
      <c r="B464" s="514"/>
      <c r="C464" s="514"/>
      <c r="D464" s="514"/>
      <c r="E464" s="514"/>
      <c r="F464" s="514"/>
      <c r="G464" s="514"/>
      <c r="H464" s="514"/>
      <c r="I464" s="514"/>
      <c r="J464" s="514"/>
      <c r="K464" s="514"/>
      <c r="L464" s="514"/>
      <c r="M464" s="514"/>
      <c r="N464" s="514"/>
      <c r="O464" s="514"/>
      <c r="P464" s="514"/>
      <c r="Q464" s="514"/>
      <c r="R464" s="514"/>
      <c r="S464" s="514"/>
      <c r="T464" s="514"/>
      <c r="U464" s="514"/>
      <c r="V464" s="514"/>
      <c r="W464" s="514"/>
      <c r="X464" s="514"/>
      <c r="Y464" s="514"/>
      <c r="Z464" s="514"/>
      <c r="AA464" s="514"/>
      <c r="AB464" s="514"/>
      <c r="AC464" s="514"/>
      <c r="AD464" s="514"/>
      <c r="AE464" s="514"/>
      <c r="AF464" s="514"/>
      <c r="AG464" s="514"/>
      <c r="AH464" s="514"/>
      <c r="AI464" s="514"/>
      <c r="AJ464" s="514"/>
      <c r="AK464" s="514"/>
      <c r="AL464" s="514"/>
    </row>
    <row r="465" spans="1:38" ht="15.5" x14ac:dyDescent="0.35">
      <c r="A465" s="514"/>
      <c r="B465" s="514"/>
      <c r="C465" s="514"/>
      <c r="D465" s="514"/>
      <c r="E465" s="514"/>
      <c r="F465" s="514"/>
      <c r="G465" s="514"/>
      <c r="H465" s="514"/>
      <c r="I465" s="514"/>
      <c r="J465" s="514"/>
      <c r="K465" s="514"/>
      <c r="L465" s="514"/>
      <c r="M465" s="514"/>
      <c r="N465" s="514"/>
      <c r="O465" s="514"/>
      <c r="P465" s="514"/>
      <c r="Q465" s="514"/>
      <c r="R465" s="514"/>
      <c r="S465" s="514"/>
      <c r="T465" s="514"/>
      <c r="U465" s="514"/>
      <c r="V465" s="514"/>
      <c r="W465" s="514"/>
      <c r="X465" s="514"/>
      <c r="Y465" s="514"/>
      <c r="Z465" s="514"/>
      <c r="AA465" s="514"/>
      <c r="AB465" s="514"/>
      <c r="AC465" s="514"/>
      <c r="AD465" s="514"/>
      <c r="AE465" s="514"/>
      <c r="AF465" s="514"/>
      <c r="AG465" s="514"/>
      <c r="AH465" s="514"/>
      <c r="AI465" s="514"/>
      <c r="AJ465" s="514"/>
      <c r="AK465" s="514"/>
      <c r="AL465" s="514"/>
    </row>
    <row r="475" spans="1:38" ht="35.5" customHeight="1" x14ac:dyDescent="0.35"/>
  </sheetData>
  <mergeCells count="602">
    <mergeCell ref="N414:N416"/>
    <mergeCell ref="O414:O416"/>
    <mergeCell ref="N438:N440"/>
    <mergeCell ref="O438:O440"/>
    <mergeCell ref="N244:N246"/>
    <mergeCell ref="O244:O246"/>
    <mergeCell ref="N278:N280"/>
    <mergeCell ref="O278:O280"/>
    <mergeCell ref="N312:N314"/>
    <mergeCell ref="O312:O314"/>
    <mergeCell ref="N346:N348"/>
    <mergeCell ref="O346:O348"/>
    <mergeCell ref="N380:N382"/>
    <mergeCell ref="O380:O382"/>
    <mergeCell ref="N6:N8"/>
    <mergeCell ref="O6:O8"/>
    <mergeCell ref="N40:N42"/>
    <mergeCell ref="O40:O42"/>
    <mergeCell ref="N74:N76"/>
    <mergeCell ref="O74:O76"/>
    <mergeCell ref="N108:N110"/>
    <mergeCell ref="O108:O110"/>
    <mergeCell ref="G414:G416"/>
    <mergeCell ref="H414:H416"/>
    <mergeCell ref="I414:I416"/>
    <mergeCell ref="K414:K416"/>
    <mergeCell ref="L414:L416"/>
    <mergeCell ref="G244:G246"/>
    <mergeCell ref="H244:H246"/>
    <mergeCell ref="I244:I246"/>
    <mergeCell ref="K244:K246"/>
    <mergeCell ref="L244:L246"/>
    <mergeCell ref="G278:G280"/>
    <mergeCell ref="H278:H280"/>
    <mergeCell ref="I278:I280"/>
    <mergeCell ref="K278:K280"/>
    <mergeCell ref="L278:L280"/>
    <mergeCell ref="G108:G110"/>
    <mergeCell ref="G438:G440"/>
    <mergeCell ref="H438:H440"/>
    <mergeCell ref="I438:I440"/>
    <mergeCell ref="K438:K440"/>
    <mergeCell ref="L438:L440"/>
    <mergeCell ref="G346:G348"/>
    <mergeCell ref="H346:H348"/>
    <mergeCell ref="I346:I348"/>
    <mergeCell ref="K346:K348"/>
    <mergeCell ref="L346:L348"/>
    <mergeCell ref="G380:G382"/>
    <mergeCell ref="H380:H382"/>
    <mergeCell ref="I380:I382"/>
    <mergeCell ref="K380:K382"/>
    <mergeCell ref="L380:L382"/>
    <mergeCell ref="H108:H110"/>
    <mergeCell ref="I108:I110"/>
    <mergeCell ref="K108:K110"/>
    <mergeCell ref="L108:L110"/>
    <mergeCell ref="G142:G144"/>
    <mergeCell ref="H142:H144"/>
    <mergeCell ref="I142:I144"/>
    <mergeCell ref="K142:K144"/>
    <mergeCell ref="L142:L144"/>
    <mergeCell ref="G40:G42"/>
    <mergeCell ref="H40:H42"/>
    <mergeCell ref="I40:I42"/>
    <mergeCell ref="K40:K42"/>
    <mergeCell ref="L40:L42"/>
    <mergeCell ref="G74:G76"/>
    <mergeCell ref="H74:H76"/>
    <mergeCell ref="I74:I76"/>
    <mergeCell ref="K74:K76"/>
    <mergeCell ref="L74:L76"/>
    <mergeCell ref="H6:H8"/>
    <mergeCell ref="I6:I8"/>
    <mergeCell ref="K6:K8"/>
    <mergeCell ref="L6:L8"/>
    <mergeCell ref="S279:S280"/>
    <mergeCell ref="T279:T280"/>
    <mergeCell ref="U279:U280"/>
    <mergeCell ref="W244:W246"/>
    <mergeCell ref="Y381:Y382"/>
    <mergeCell ref="Y278:Z278"/>
    <mergeCell ref="A205:AH205"/>
    <mergeCell ref="S177:S178"/>
    <mergeCell ref="U177:U178"/>
    <mergeCell ref="F176:F178"/>
    <mergeCell ref="J176:J178"/>
    <mergeCell ref="Q176:V176"/>
    <mergeCell ref="W176:W178"/>
    <mergeCell ref="X176:X178"/>
    <mergeCell ref="Y176:Z176"/>
    <mergeCell ref="AA176:AA178"/>
    <mergeCell ref="AH176:AH178"/>
    <mergeCell ref="V177:V178"/>
    <mergeCell ref="Y177:Y178"/>
    <mergeCell ref="Z177:Z178"/>
    <mergeCell ref="Z381:Z382"/>
    <mergeCell ref="AB381:AD381"/>
    <mergeCell ref="X346:X348"/>
    <mergeCell ref="Y346:Z346"/>
    <mergeCell ref="AA346:AA348"/>
    <mergeCell ref="A273:AH273"/>
    <mergeCell ref="A278:A280"/>
    <mergeCell ref="F244:F246"/>
    <mergeCell ref="J244:J246"/>
    <mergeCell ref="V313:V314"/>
    <mergeCell ref="T245:T246"/>
    <mergeCell ref="AB244:AE244"/>
    <mergeCell ref="E279:E280"/>
    <mergeCell ref="F278:F280"/>
    <mergeCell ref="J278:J280"/>
    <mergeCell ref="A337:B337"/>
    <mergeCell ref="Y313:Y314"/>
    <mergeCell ref="Z313:Z314"/>
    <mergeCell ref="AB313:AD313"/>
    <mergeCell ref="A307:AH307"/>
    <mergeCell ref="C313:C314"/>
    <mergeCell ref="D313:D314"/>
    <mergeCell ref="E313:E314"/>
    <mergeCell ref="Q313:Q314"/>
    <mergeCell ref="AK415:AK416"/>
    <mergeCell ref="AK439:AK440"/>
    <mergeCell ref="M40:M42"/>
    <mergeCell ref="P40:P42"/>
    <mergeCell ref="M74:M76"/>
    <mergeCell ref="P74:P76"/>
    <mergeCell ref="M108:M110"/>
    <mergeCell ref="P108:P110"/>
    <mergeCell ref="M142:M144"/>
    <mergeCell ref="P142:P144"/>
    <mergeCell ref="M176:M178"/>
    <mergeCell ref="P176:P178"/>
    <mergeCell ref="M210:M212"/>
    <mergeCell ref="P210:P212"/>
    <mergeCell ref="M244:M246"/>
    <mergeCell ref="P244:P246"/>
    <mergeCell ref="M278:M280"/>
    <mergeCell ref="P278:P280"/>
    <mergeCell ref="AH74:AH76"/>
    <mergeCell ref="A433:AH433"/>
    <mergeCell ref="J438:J440"/>
    <mergeCell ref="Q438:V438"/>
    <mergeCell ref="W438:W440"/>
    <mergeCell ref="X438:X440"/>
    <mergeCell ref="A463:B463"/>
    <mergeCell ref="AI438:AL438"/>
    <mergeCell ref="C439:C440"/>
    <mergeCell ref="D439:D440"/>
    <mergeCell ref="E439:E440"/>
    <mergeCell ref="Q439:Q440"/>
    <mergeCell ref="R439:R440"/>
    <mergeCell ref="S439:S440"/>
    <mergeCell ref="T439:T440"/>
    <mergeCell ref="U439:U440"/>
    <mergeCell ref="V439:V440"/>
    <mergeCell ref="Y439:Y440"/>
    <mergeCell ref="Z439:Z440"/>
    <mergeCell ref="AB439:AD439"/>
    <mergeCell ref="AE439:AE440"/>
    <mergeCell ref="AI439:AI440"/>
    <mergeCell ref="AJ439:AJ440"/>
    <mergeCell ref="AL439:AL440"/>
    <mergeCell ref="M438:M440"/>
    <mergeCell ref="P438:P440"/>
    <mergeCell ref="A438:A440"/>
    <mergeCell ref="B438:B440"/>
    <mergeCell ref="C438:E438"/>
    <mergeCell ref="F438:F440"/>
    <mergeCell ref="Y438:Z438"/>
    <mergeCell ref="AA438:AA440"/>
    <mergeCell ref="AB438:AE438"/>
    <mergeCell ref="AF438:AF440"/>
    <mergeCell ref="AG438:AG440"/>
    <mergeCell ref="AH438:AH440"/>
    <mergeCell ref="AH346:AH348"/>
    <mergeCell ref="V347:V348"/>
    <mergeCell ref="Y347:Y348"/>
    <mergeCell ref="Z347:Z348"/>
    <mergeCell ref="AB347:AD347"/>
    <mergeCell ref="AG346:AG348"/>
    <mergeCell ref="AH414:AH416"/>
    <mergeCell ref="V415:V416"/>
    <mergeCell ref="Y415:Y416"/>
    <mergeCell ref="Z415:Z416"/>
    <mergeCell ref="AB415:AD415"/>
    <mergeCell ref="W380:W382"/>
    <mergeCell ref="X380:X382"/>
    <mergeCell ref="AF414:AF416"/>
    <mergeCell ref="Y414:Z414"/>
    <mergeCell ref="AA414:AA416"/>
    <mergeCell ref="AA380:AA382"/>
    <mergeCell ref="AH380:AH382"/>
    <mergeCell ref="M414:M416"/>
    <mergeCell ref="P414:P416"/>
    <mergeCell ref="AG380:AG382"/>
    <mergeCell ref="AG414:AG416"/>
    <mergeCell ref="Y380:Z380"/>
    <mergeCell ref="W278:W280"/>
    <mergeCell ref="F414:F416"/>
    <mergeCell ref="J414:J416"/>
    <mergeCell ref="Q414:V414"/>
    <mergeCell ref="W414:W416"/>
    <mergeCell ref="X414:X416"/>
    <mergeCell ref="R347:R348"/>
    <mergeCell ref="S347:S348"/>
    <mergeCell ref="T347:T348"/>
    <mergeCell ref="J346:J348"/>
    <mergeCell ref="Q346:V346"/>
    <mergeCell ref="W346:W348"/>
    <mergeCell ref="Q347:Q348"/>
    <mergeCell ref="A341:AH341"/>
    <mergeCell ref="B278:B280"/>
    <mergeCell ref="C278:E278"/>
    <mergeCell ref="AB278:AE278"/>
    <mergeCell ref="C279:C280"/>
    <mergeCell ref="D279:D280"/>
    <mergeCell ref="A167:B167"/>
    <mergeCell ref="A142:A144"/>
    <mergeCell ref="AE143:AE144"/>
    <mergeCell ref="AB142:AE142"/>
    <mergeCell ref="F142:F144"/>
    <mergeCell ref="J142:J144"/>
    <mergeCell ref="Q142:V142"/>
    <mergeCell ref="W142:W144"/>
    <mergeCell ref="X142:X144"/>
    <mergeCell ref="Y142:Z142"/>
    <mergeCell ref="AA142:AA144"/>
    <mergeCell ref="V143:V144"/>
    <mergeCell ref="B142:B144"/>
    <mergeCell ref="C142:E142"/>
    <mergeCell ref="R143:R144"/>
    <mergeCell ref="N142:N144"/>
    <mergeCell ref="O142:O144"/>
    <mergeCell ref="AA278:AA280"/>
    <mergeCell ref="AH278:AH280"/>
    <mergeCell ref="T313:T314"/>
    <mergeCell ref="U313:U314"/>
    <mergeCell ref="B312:B314"/>
    <mergeCell ref="C312:E312"/>
    <mergeCell ref="W312:W314"/>
    <mergeCell ref="X312:X314"/>
    <mergeCell ref="Y312:Z312"/>
    <mergeCell ref="AA312:AA314"/>
    <mergeCell ref="AH312:AH314"/>
    <mergeCell ref="AE313:AE314"/>
    <mergeCell ref="A303:B303"/>
    <mergeCell ref="AE279:AE280"/>
    <mergeCell ref="R279:R280"/>
    <mergeCell ref="G312:G314"/>
    <mergeCell ref="H312:H314"/>
    <mergeCell ref="I312:I314"/>
    <mergeCell ref="K312:K314"/>
    <mergeCell ref="L312:L314"/>
    <mergeCell ref="AG74:AG76"/>
    <mergeCell ref="AG108:AG110"/>
    <mergeCell ref="Q109:Q110"/>
    <mergeCell ref="AF6:AF8"/>
    <mergeCell ref="AA6:AA8"/>
    <mergeCell ref="AE41:AE42"/>
    <mergeCell ref="Q41:Q42"/>
    <mergeCell ref="R41:R42"/>
    <mergeCell ref="T41:T42"/>
    <mergeCell ref="X6:X8"/>
    <mergeCell ref="Z7:Z8"/>
    <mergeCell ref="V75:V76"/>
    <mergeCell ref="Y75:Y76"/>
    <mergeCell ref="Z75:Z76"/>
    <mergeCell ref="AB75:AD75"/>
    <mergeCell ref="U109:U110"/>
    <mergeCell ref="Y74:Z74"/>
    <mergeCell ref="AA74:AA76"/>
    <mergeCell ref="A103:AH103"/>
    <mergeCell ref="F108:F110"/>
    <mergeCell ref="J108:J110"/>
    <mergeCell ref="Q108:V108"/>
    <mergeCell ref="W108:W110"/>
    <mergeCell ref="X108:X110"/>
    <mergeCell ref="A1:AL1"/>
    <mergeCell ref="F40:F42"/>
    <mergeCell ref="J40:J42"/>
    <mergeCell ref="Q40:V40"/>
    <mergeCell ref="W40:W42"/>
    <mergeCell ref="X40:X42"/>
    <mergeCell ref="Y40:Z40"/>
    <mergeCell ref="AA40:AA42"/>
    <mergeCell ref="AH40:AH42"/>
    <mergeCell ref="V41:V42"/>
    <mergeCell ref="Y41:Y42"/>
    <mergeCell ref="Z41:Z42"/>
    <mergeCell ref="AB41:AD41"/>
    <mergeCell ref="AG6:AG8"/>
    <mergeCell ref="AG40:AG42"/>
    <mergeCell ref="F6:F8"/>
    <mergeCell ref="J6:J8"/>
    <mergeCell ref="Q6:V6"/>
    <mergeCell ref="W6:W8"/>
    <mergeCell ref="AK7:AK8"/>
    <mergeCell ref="AK41:AK42"/>
    <mergeCell ref="AI6:AL6"/>
    <mergeCell ref="AI7:AI8"/>
    <mergeCell ref="AJ7:AJ8"/>
    <mergeCell ref="AI40:AL40"/>
    <mergeCell ref="AI41:AI42"/>
    <mergeCell ref="AJ41:AJ42"/>
    <mergeCell ref="AL41:AL42"/>
    <mergeCell ref="AL7:AL8"/>
    <mergeCell ref="AI176:AL176"/>
    <mergeCell ref="AK177:AK178"/>
    <mergeCell ref="AI414:AL414"/>
    <mergeCell ref="AI278:AL278"/>
    <mergeCell ref="AI279:AI280"/>
    <mergeCell ref="AJ279:AJ280"/>
    <mergeCell ref="AL279:AL280"/>
    <mergeCell ref="AI312:AL312"/>
    <mergeCell ref="AI313:AI314"/>
    <mergeCell ref="AJ313:AJ314"/>
    <mergeCell ref="AL313:AL314"/>
    <mergeCell ref="AK381:AK382"/>
    <mergeCell ref="AI177:AI178"/>
    <mergeCell ref="AJ177:AJ178"/>
    <mergeCell ref="AL177:AL178"/>
    <mergeCell ref="AK347:AK348"/>
    <mergeCell ref="AK279:AK280"/>
    <mergeCell ref="AI210:AL210"/>
    <mergeCell ref="AI211:AI212"/>
    <mergeCell ref="AJ211:AJ212"/>
    <mergeCell ref="AL211:AL212"/>
    <mergeCell ref="AI244:AL244"/>
    <mergeCell ref="AI245:AI246"/>
    <mergeCell ref="AJ245:AJ246"/>
    <mergeCell ref="AL245:AL246"/>
    <mergeCell ref="AK313:AK314"/>
    <mergeCell ref="AK211:AK212"/>
    <mergeCell ref="AK245:AK246"/>
    <mergeCell ref="A429:B429"/>
    <mergeCell ref="AI346:AL346"/>
    <mergeCell ref="AI347:AI348"/>
    <mergeCell ref="AJ347:AJ348"/>
    <mergeCell ref="AL347:AL348"/>
    <mergeCell ref="AI380:AL380"/>
    <mergeCell ref="AI381:AI382"/>
    <mergeCell ref="AJ381:AJ382"/>
    <mergeCell ref="AL381:AL382"/>
    <mergeCell ref="R415:R416"/>
    <mergeCell ref="S415:S416"/>
    <mergeCell ref="T415:T416"/>
    <mergeCell ref="U415:U416"/>
    <mergeCell ref="C415:C416"/>
    <mergeCell ref="A346:A348"/>
    <mergeCell ref="B346:B348"/>
    <mergeCell ref="C346:E346"/>
    <mergeCell ref="AB346:AE346"/>
    <mergeCell ref="C347:C348"/>
    <mergeCell ref="D347:D348"/>
    <mergeCell ref="T381:T382"/>
    <mergeCell ref="U381:U382"/>
    <mergeCell ref="A375:AH375"/>
    <mergeCell ref="AB380:AE380"/>
    <mergeCell ref="AH244:AH246"/>
    <mergeCell ref="AG244:AG246"/>
    <mergeCell ref="Z211:Z212"/>
    <mergeCell ref="AB211:AD211"/>
    <mergeCell ref="AG210:AG212"/>
    <mergeCell ref="AE211:AE212"/>
    <mergeCell ref="AE245:AE246"/>
    <mergeCell ref="Y245:Y246"/>
    <mergeCell ref="Z245:Z246"/>
    <mergeCell ref="AB245:AD245"/>
    <mergeCell ref="AH210:AH212"/>
    <mergeCell ref="AB210:AE210"/>
    <mergeCell ref="AA210:AA212"/>
    <mergeCell ref="AI75:AI76"/>
    <mergeCell ref="AJ75:AJ76"/>
    <mergeCell ref="AL75:AL76"/>
    <mergeCell ref="AI108:AL108"/>
    <mergeCell ref="AI109:AI110"/>
    <mergeCell ref="AJ109:AJ110"/>
    <mergeCell ref="AL109:AL110"/>
    <mergeCell ref="AK109:AK110"/>
    <mergeCell ref="AK143:AK144"/>
    <mergeCell ref="AK75:AK76"/>
    <mergeCell ref="AI142:AL142"/>
    <mergeCell ref="AI143:AI144"/>
    <mergeCell ref="AJ143:AJ144"/>
    <mergeCell ref="AL143:AL144"/>
    <mergeCell ref="AI74:AL74"/>
    <mergeCell ref="AE415:AE416"/>
    <mergeCell ref="AB414:AE414"/>
    <mergeCell ref="A69:AH69"/>
    <mergeCell ref="A65:B65"/>
    <mergeCell ref="D415:D416"/>
    <mergeCell ref="E415:E416"/>
    <mergeCell ref="Q415:Q416"/>
    <mergeCell ref="Q74:V74"/>
    <mergeCell ref="W74:W76"/>
    <mergeCell ref="X74:X76"/>
    <mergeCell ref="A108:A110"/>
    <mergeCell ref="B108:B110"/>
    <mergeCell ref="C108:E108"/>
    <mergeCell ref="AB108:AE108"/>
    <mergeCell ref="C109:C110"/>
    <mergeCell ref="D109:D110"/>
    <mergeCell ref="E109:E110"/>
    <mergeCell ref="A133:B133"/>
    <mergeCell ref="AE109:AE110"/>
    <mergeCell ref="R109:R110"/>
    <mergeCell ref="S109:S110"/>
    <mergeCell ref="T109:T110"/>
    <mergeCell ref="A409:AH409"/>
    <mergeCell ref="A414:A416"/>
    <mergeCell ref="B414:B416"/>
    <mergeCell ref="C414:E414"/>
    <mergeCell ref="A74:A76"/>
    <mergeCell ref="B74:B76"/>
    <mergeCell ref="AB74:AE74"/>
    <mergeCell ref="C74:E74"/>
    <mergeCell ref="S75:S76"/>
    <mergeCell ref="T75:T76"/>
    <mergeCell ref="A99:B99"/>
    <mergeCell ref="AE75:AE76"/>
    <mergeCell ref="U75:U76"/>
    <mergeCell ref="C75:C76"/>
    <mergeCell ref="D75:D76"/>
    <mergeCell ref="E75:E76"/>
    <mergeCell ref="Q75:Q76"/>
    <mergeCell ref="R75:R76"/>
    <mergeCell ref="F74:F76"/>
    <mergeCell ref="J74:J76"/>
    <mergeCell ref="Y143:Y144"/>
    <mergeCell ref="Z143:Z144"/>
    <mergeCell ref="AB143:AD143"/>
    <mergeCell ref="C143:C144"/>
    <mergeCell ref="D143:D144"/>
    <mergeCell ref="A6:A8"/>
    <mergeCell ref="B6:B8"/>
    <mergeCell ref="C6:E6"/>
    <mergeCell ref="A40:A42"/>
    <mergeCell ref="B40:B42"/>
    <mergeCell ref="C40:E40"/>
    <mergeCell ref="Y7:Y8"/>
    <mergeCell ref="C41:C42"/>
    <mergeCell ref="D41:D42"/>
    <mergeCell ref="C7:C8"/>
    <mergeCell ref="D7:D8"/>
    <mergeCell ref="V7:V8"/>
    <mergeCell ref="A31:B31"/>
    <mergeCell ref="A35:AH35"/>
    <mergeCell ref="AF40:AF42"/>
    <mergeCell ref="AH6:AH8"/>
    <mergeCell ref="AB6:AE6"/>
    <mergeCell ref="Y6:Z6"/>
    <mergeCell ref="E41:E42"/>
    <mergeCell ref="S41:S42"/>
    <mergeCell ref="AB40:AE40"/>
    <mergeCell ref="AE7:AE8"/>
    <mergeCell ref="M6:M8"/>
    <mergeCell ref="P6:P8"/>
    <mergeCell ref="E7:E8"/>
    <mergeCell ref="Q7:Q8"/>
    <mergeCell ref="R7:R8"/>
    <mergeCell ref="S7:S8"/>
    <mergeCell ref="T7:T8"/>
    <mergeCell ref="U7:U8"/>
    <mergeCell ref="U41:U42"/>
    <mergeCell ref="AB7:AD7"/>
    <mergeCell ref="E143:E144"/>
    <mergeCell ref="Q143:Q144"/>
    <mergeCell ref="T143:T144"/>
    <mergeCell ref="U143:U144"/>
    <mergeCell ref="V109:V110"/>
    <mergeCell ref="Y109:Y110"/>
    <mergeCell ref="Z109:Z110"/>
    <mergeCell ref="AB109:AD109"/>
    <mergeCell ref="S143:S144"/>
    <mergeCell ref="A137:AH137"/>
    <mergeCell ref="AH108:AH110"/>
    <mergeCell ref="AH142:AH144"/>
    <mergeCell ref="AG142:AG144"/>
    <mergeCell ref="Y108:Z108"/>
    <mergeCell ref="AA108:AA110"/>
    <mergeCell ref="G6:G8"/>
    <mergeCell ref="AB177:AD177"/>
    <mergeCell ref="AG176:AG178"/>
    <mergeCell ref="A201:B201"/>
    <mergeCell ref="A176:A178"/>
    <mergeCell ref="B176:B178"/>
    <mergeCell ref="C176:E176"/>
    <mergeCell ref="AB176:AE176"/>
    <mergeCell ref="C177:C178"/>
    <mergeCell ref="D177:D178"/>
    <mergeCell ref="E177:E178"/>
    <mergeCell ref="G176:G178"/>
    <mergeCell ref="H176:H178"/>
    <mergeCell ref="I176:I178"/>
    <mergeCell ref="K176:K178"/>
    <mergeCell ref="L176:L178"/>
    <mergeCell ref="N176:N178"/>
    <mergeCell ref="O176:O178"/>
    <mergeCell ref="A235:B235"/>
    <mergeCell ref="Q211:Q212"/>
    <mergeCell ref="U211:U212"/>
    <mergeCell ref="R211:R212"/>
    <mergeCell ref="Y211:Y212"/>
    <mergeCell ref="T211:T212"/>
    <mergeCell ref="A210:A212"/>
    <mergeCell ref="B210:B212"/>
    <mergeCell ref="C210:E210"/>
    <mergeCell ref="F210:F212"/>
    <mergeCell ref="J210:J212"/>
    <mergeCell ref="Q210:V210"/>
    <mergeCell ref="W210:W212"/>
    <mergeCell ref="X210:X212"/>
    <mergeCell ref="Y210:Z210"/>
    <mergeCell ref="V211:V212"/>
    <mergeCell ref="G210:G212"/>
    <mergeCell ref="H210:H212"/>
    <mergeCell ref="I210:I212"/>
    <mergeCell ref="K210:K212"/>
    <mergeCell ref="L210:L212"/>
    <mergeCell ref="N210:N212"/>
    <mergeCell ref="O210:O212"/>
    <mergeCell ref="A380:A382"/>
    <mergeCell ref="V381:V382"/>
    <mergeCell ref="M380:M382"/>
    <mergeCell ref="P380:P382"/>
    <mergeCell ref="U347:U348"/>
    <mergeCell ref="M346:M348"/>
    <mergeCell ref="P346:P348"/>
    <mergeCell ref="F346:F348"/>
    <mergeCell ref="A244:A246"/>
    <mergeCell ref="B244:B246"/>
    <mergeCell ref="C244:E244"/>
    <mergeCell ref="A269:B269"/>
    <mergeCell ref="P312:P314"/>
    <mergeCell ref="A312:A314"/>
    <mergeCell ref="F312:F314"/>
    <mergeCell ref="J312:J314"/>
    <mergeCell ref="M312:M314"/>
    <mergeCell ref="Q312:V312"/>
    <mergeCell ref="Q244:V244"/>
    <mergeCell ref="V245:V246"/>
    <mergeCell ref="U245:U246"/>
    <mergeCell ref="Q245:Q246"/>
    <mergeCell ref="R245:R246"/>
    <mergeCell ref="S245:S246"/>
    <mergeCell ref="C381:C382"/>
    <mergeCell ref="D381:D382"/>
    <mergeCell ref="E381:E382"/>
    <mergeCell ref="B380:B382"/>
    <mergeCell ref="C380:E380"/>
    <mergeCell ref="Q381:Q382"/>
    <mergeCell ref="F380:F382"/>
    <mergeCell ref="J380:J382"/>
    <mergeCell ref="Q380:V380"/>
    <mergeCell ref="AI415:AI416"/>
    <mergeCell ref="AJ415:AJ416"/>
    <mergeCell ref="AL415:AL416"/>
    <mergeCell ref="D245:D246"/>
    <mergeCell ref="E347:E348"/>
    <mergeCell ref="AE381:AE382"/>
    <mergeCell ref="A371:B371"/>
    <mergeCell ref="AE347:AE348"/>
    <mergeCell ref="AF380:AF382"/>
    <mergeCell ref="V279:V280"/>
    <mergeCell ref="Y279:Y280"/>
    <mergeCell ref="Z279:Z280"/>
    <mergeCell ref="AB279:AD279"/>
    <mergeCell ref="R313:R314"/>
    <mergeCell ref="X244:X246"/>
    <mergeCell ref="Y244:Z244"/>
    <mergeCell ref="AA244:AA246"/>
    <mergeCell ref="Q278:V278"/>
    <mergeCell ref="S313:S314"/>
    <mergeCell ref="Q279:Q280"/>
    <mergeCell ref="C245:C246"/>
    <mergeCell ref="A405:B405"/>
    <mergeCell ref="R381:R382"/>
    <mergeCell ref="S381:S382"/>
    <mergeCell ref="AF74:AF76"/>
    <mergeCell ref="AF108:AF110"/>
    <mergeCell ref="AF142:AF144"/>
    <mergeCell ref="AF176:AF178"/>
    <mergeCell ref="AF210:AF212"/>
    <mergeCell ref="AF244:AF246"/>
    <mergeCell ref="AF278:AF280"/>
    <mergeCell ref="AF312:AF314"/>
    <mergeCell ref="AF346:AF348"/>
    <mergeCell ref="A171:AH171"/>
    <mergeCell ref="Q177:Q178"/>
    <mergeCell ref="R177:R178"/>
    <mergeCell ref="AE177:AE178"/>
    <mergeCell ref="T177:T178"/>
    <mergeCell ref="E245:E246"/>
    <mergeCell ref="AB312:AE312"/>
    <mergeCell ref="AG278:AG280"/>
    <mergeCell ref="AG312:AG314"/>
    <mergeCell ref="X278:X280"/>
    <mergeCell ref="A239:AH239"/>
    <mergeCell ref="C211:C212"/>
    <mergeCell ref="D211:D212"/>
    <mergeCell ref="E211:E212"/>
    <mergeCell ref="S211:S212"/>
  </mergeCells>
  <phoneticPr fontId="0" type="noConversion"/>
  <printOptions horizontalCentered="1"/>
  <pageMargins left="0.25" right="0.25" top="0.75" bottom="0.75" header="0.3" footer="0.3"/>
  <pageSetup scale="47" orientation="landscape" horizontalDpi="4294967293" r:id="rId1"/>
  <rowBreaks count="2" manualBreakCount="2">
    <brk id="33" max="16383" man="1"/>
    <brk id="68" max="1638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0C0"/>
  </sheetPr>
  <dimension ref="A1:BB425"/>
  <sheetViews>
    <sheetView view="pageBreakPreview" topLeftCell="A318" zoomScale="50" zoomScaleNormal="70" zoomScaleSheetLayoutView="50" workbookViewId="0">
      <selection activeCell="N209" sqref="N209"/>
    </sheetView>
  </sheetViews>
  <sheetFormatPr defaultColWidth="9.1796875" defaultRowHeight="15.5" x14ac:dyDescent="0.35"/>
  <cols>
    <col min="1" max="1" width="3.453125" style="29" customWidth="1"/>
    <col min="2" max="2" width="17.453125" style="29" customWidth="1"/>
    <col min="3" max="3" width="10.26953125" style="29" customWidth="1"/>
    <col min="4" max="4" width="10.1796875" style="29" customWidth="1"/>
    <col min="5" max="5" width="9.453125" style="29" customWidth="1"/>
    <col min="6" max="6" width="8.26953125" style="29" customWidth="1"/>
    <col min="7" max="7" width="8.54296875" style="29" customWidth="1"/>
    <col min="8" max="8" width="11.1796875" style="29" customWidth="1"/>
    <col min="9" max="9" width="9.54296875" style="29" customWidth="1"/>
    <col min="10" max="10" width="3.7265625" style="29" customWidth="1"/>
    <col min="11" max="12" width="8.453125" style="29" customWidth="1"/>
    <col min="13" max="13" width="9.81640625" style="29" customWidth="1"/>
    <col min="14" max="14" width="9.54296875" style="29" customWidth="1"/>
    <col min="15" max="15" width="3.7265625" style="29" customWidth="1"/>
    <col min="16" max="16" width="9.453125" style="29" customWidth="1"/>
    <col min="17" max="17" width="10.7265625" style="29" customWidth="1"/>
    <col min="18" max="18" width="11" style="29" customWidth="1"/>
    <col min="19" max="19" width="9.54296875" style="29" customWidth="1"/>
    <col min="20" max="20" width="3.7265625" style="29" customWidth="1"/>
    <col min="21" max="21" width="8.1796875" style="29" customWidth="1"/>
    <col min="22" max="22" width="7.81640625" style="29" customWidth="1"/>
    <col min="23" max="23" width="9.81640625" style="29" customWidth="1"/>
    <col min="24" max="24" width="9.453125" style="29" customWidth="1"/>
    <col min="25" max="25" width="3.7265625" style="29" customWidth="1"/>
    <col min="26" max="26" width="9" style="29" customWidth="1"/>
    <col min="27" max="27" width="8.1796875" style="29" customWidth="1"/>
    <col min="28" max="28" width="8" style="29" customWidth="1"/>
    <col min="29" max="29" width="9.7265625" style="29" customWidth="1"/>
    <col min="30" max="30" width="3.7265625" style="29" customWidth="1"/>
    <col min="31" max="31" width="8.54296875" style="29" customWidth="1"/>
    <col min="32" max="32" width="6.1796875" style="29" customWidth="1"/>
    <col min="33" max="33" width="8.1796875" style="29" customWidth="1"/>
    <col min="34" max="34" width="9.81640625" style="29" customWidth="1"/>
    <col min="35" max="35" width="7.81640625" style="29" customWidth="1"/>
    <col min="36" max="36" width="5.1796875" style="29" customWidth="1"/>
    <col min="37" max="37" width="9.81640625" style="29" customWidth="1"/>
    <col min="38" max="38" width="10.54296875" style="29" customWidth="1"/>
    <col min="39" max="39" width="8.81640625" style="29" customWidth="1"/>
    <col min="40" max="40" width="8.26953125" style="29" customWidth="1"/>
    <col min="41" max="41" width="7.26953125" style="29" customWidth="1"/>
    <col min="42" max="42" width="13" style="29" customWidth="1"/>
    <col min="43" max="43" width="3.7265625" style="29" customWidth="1"/>
    <col min="44" max="44" width="11.54296875" style="29" customWidth="1"/>
    <col min="45" max="45" width="8" style="29" customWidth="1"/>
    <col min="46" max="46" width="9.1796875" style="29" customWidth="1"/>
    <col min="47" max="47" width="9.453125" style="29" customWidth="1"/>
    <col min="48" max="48" width="3.7265625" style="29" customWidth="1"/>
    <col min="49" max="49" width="8.453125" style="29" customWidth="1"/>
    <col min="50" max="50" width="4.81640625" style="29" customWidth="1"/>
    <col min="51" max="51" width="6.1796875" style="29" customWidth="1"/>
    <col min="52" max="52" width="9.453125" style="29" customWidth="1"/>
    <col min="53" max="53" width="5.1796875" style="29" customWidth="1"/>
    <col min="54" max="54" width="9.1796875" style="348"/>
    <col min="55" max="16384" width="9.1796875" style="1"/>
  </cols>
  <sheetData>
    <row r="1" spans="1:54" s="279" customFormat="1" ht="17.5" x14ac:dyDescent="0.35">
      <c r="A1" s="770" t="s">
        <v>19</v>
      </c>
      <c r="B1" s="770"/>
      <c r="C1" s="770"/>
      <c r="D1" s="770"/>
      <c r="E1" s="770"/>
      <c r="F1" s="770"/>
      <c r="G1" s="770"/>
      <c r="H1" s="770"/>
      <c r="I1" s="770"/>
      <c r="J1" s="770"/>
      <c r="K1" s="770"/>
      <c r="L1" s="770"/>
      <c r="M1" s="770"/>
      <c r="N1" s="770"/>
      <c r="O1" s="770"/>
      <c r="P1" s="770"/>
      <c r="Q1" s="770"/>
      <c r="R1" s="770"/>
      <c r="S1" s="770"/>
      <c r="T1" s="770"/>
      <c r="U1" s="770"/>
      <c r="V1" s="770"/>
      <c r="W1" s="770"/>
      <c r="X1" s="770"/>
      <c r="Y1" s="770"/>
      <c r="Z1" s="770"/>
      <c r="AA1" s="770"/>
      <c r="AB1" s="770"/>
      <c r="AC1" s="770"/>
      <c r="AD1" s="770"/>
      <c r="AE1" s="770"/>
      <c r="AF1" s="770"/>
      <c r="AG1" s="770"/>
      <c r="AH1" s="770"/>
      <c r="AI1" s="770"/>
      <c r="AJ1" s="770"/>
      <c r="AK1" s="770"/>
      <c r="AL1" s="770"/>
      <c r="AM1" s="770"/>
      <c r="AN1" s="770"/>
      <c r="AO1" s="770"/>
      <c r="AP1" s="770"/>
      <c r="AQ1" s="770"/>
      <c r="AR1" s="770"/>
      <c r="AS1" s="770"/>
      <c r="AT1" s="770"/>
      <c r="AU1" s="770"/>
      <c r="AV1" s="770"/>
      <c r="AW1" s="770"/>
      <c r="AX1" s="770"/>
      <c r="AY1" s="770"/>
      <c r="AZ1" s="770"/>
      <c r="BA1" s="770"/>
      <c r="BB1" s="348"/>
    </row>
    <row r="2" spans="1:54" ht="20.149999999999999" customHeight="1" x14ac:dyDescent="0.35">
      <c r="A2" s="30"/>
      <c r="B2" s="31" t="s">
        <v>175</v>
      </c>
      <c r="C2" s="345" t="str">
        <f>PETUNJUK!C5</f>
        <v>PECANGAAN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49"/>
    </row>
    <row r="3" spans="1:54" ht="20.149999999999999" customHeight="1" x14ac:dyDescent="0.35">
      <c r="A3" s="30"/>
      <c r="B3" s="31" t="s">
        <v>170</v>
      </c>
      <c r="C3" s="32" t="str">
        <f>'1.DATA KIA'!C4</f>
        <v xml:space="preserve">JANUARI 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</row>
    <row r="4" spans="1:54" x14ac:dyDescent="0.3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</row>
    <row r="5" spans="1:54" s="45" customFormat="1" ht="21" customHeight="1" x14ac:dyDescent="0.35">
      <c r="A5" s="774" t="s">
        <v>1</v>
      </c>
      <c r="B5" s="774" t="s">
        <v>2</v>
      </c>
      <c r="C5" s="777" t="s">
        <v>20</v>
      </c>
      <c r="D5" s="778"/>
      <c r="E5" s="778"/>
      <c r="F5" s="777" t="s">
        <v>21</v>
      </c>
      <c r="G5" s="778"/>
      <c r="H5" s="778"/>
      <c r="I5" s="778"/>
      <c r="J5" s="791"/>
      <c r="K5" s="777" t="s">
        <v>9</v>
      </c>
      <c r="L5" s="778"/>
      <c r="M5" s="778"/>
      <c r="N5" s="778"/>
      <c r="O5" s="791"/>
      <c r="P5" s="777" t="s">
        <v>289</v>
      </c>
      <c r="Q5" s="778"/>
      <c r="R5" s="778"/>
      <c r="S5" s="778"/>
      <c r="T5" s="791"/>
      <c r="U5" s="771" t="s">
        <v>22</v>
      </c>
      <c r="V5" s="772"/>
      <c r="W5" s="772"/>
      <c r="X5" s="772"/>
      <c r="Y5" s="772"/>
      <c r="Z5" s="772"/>
      <c r="AA5" s="772"/>
      <c r="AB5" s="772"/>
      <c r="AC5" s="772"/>
      <c r="AD5" s="773"/>
      <c r="AE5" s="771" t="s">
        <v>5</v>
      </c>
      <c r="AF5" s="772"/>
      <c r="AG5" s="772"/>
      <c r="AH5" s="772"/>
      <c r="AI5" s="772"/>
      <c r="AJ5" s="772"/>
      <c r="AK5" s="772"/>
      <c r="AL5" s="773"/>
      <c r="AM5" s="771" t="s">
        <v>23</v>
      </c>
      <c r="AN5" s="772"/>
      <c r="AO5" s="772"/>
      <c r="AP5" s="772"/>
      <c r="AQ5" s="773"/>
      <c r="AR5" s="779" t="s">
        <v>24</v>
      </c>
      <c r="AS5" s="780"/>
      <c r="AT5" s="780"/>
      <c r="AU5" s="780"/>
      <c r="AV5" s="781"/>
      <c r="AW5" s="779" t="s">
        <v>241</v>
      </c>
      <c r="AX5" s="780"/>
      <c r="AY5" s="780"/>
      <c r="AZ5" s="780"/>
      <c r="BA5" s="781"/>
      <c r="BB5" s="348"/>
    </row>
    <row r="6" spans="1:54" s="45" customFormat="1" ht="17.25" customHeight="1" x14ac:dyDescent="0.35">
      <c r="A6" s="775"/>
      <c r="B6" s="775"/>
      <c r="C6" s="767" t="s">
        <v>5</v>
      </c>
      <c r="D6" s="767" t="s">
        <v>6</v>
      </c>
      <c r="E6" s="767" t="s">
        <v>7</v>
      </c>
      <c r="F6" s="767" t="s">
        <v>26</v>
      </c>
      <c r="G6" s="767" t="s">
        <v>27</v>
      </c>
      <c r="H6" s="771" t="s">
        <v>28</v>
      </c>
      <c r="I6" s="773"/>
      <c r="J6" s="785" t="s">
        <v>29</v>
      </c>
      <c r="K6" s="785" t="s">
        <v>26</v>
      </c>
      <c r="L6" s="785" t="s">
        <v>27</v>
      </c>
      <c r="M6" s="771" t="s">
        <v>28</v>
      </c>
      <c r="N6" s="773"/>
      <c r="O6" s="785" t="s">
        <v>29</v>
      </c>
      <c r="P6" s="785" t="s">
        <v>26</v>
      </c>
      <c r="Q6" s="785" t="s">
        <v>27</v>
      </c>
      <c r="R6" s="771" t="s">
        <v>28</v>
      </c>
      <c r="S6" s="773"/>
      <c r="T6" s="785" t="s">
        <v>29</v>
      </c>
      <c r="U6" s="771" t="s">
        <v>30</v>
      </c>
      <c r="V6" s="772"/>
      <c r="W6" s="772"/>
      <c r="X6" s="772"/>
      <c r="Y6" s="773"/>
      <c r="Z6" s="771" t="s">
        <v>31</v>
      </c>
      <c r="AA6" s="772"/>
      <c r="AB6" s="772"/>
      <c r="AC6" s="772"/>
      <c r="AD6" s="773"/>
      <c r="AE6" s="771" t="s">
        <v>32</v>
      </c>
      <c r="AF6" s="772"/>
      <c r="AG6" s="772"/>
      <c r="AH6" s="773"/>
      <c r="AI6" s="771" t="s">
        <v>33</v>
      </c>
      <c r="AJ6" s="772"/>
      <c r="AK6" s="772"/>
      <c r="AL6" s="773"/>
      <c r="AM6" s="785" t="s">
        <v>34</v>
      </c>
      <c r="AN6" s="785" t="s">
        <v>35</v>
      </c>
      <c r="AO6" s="788" t="s">
        <v>36</v>
      </c>
      <c r="AP6" s="782" t="s">
        <v>37</v>
      </c>
      <c r="AQ6" s="785" t="s">
        <v>29</v>
      </c>
      <c r="AR6" s="785" t="s">
        <v>34</v>
      </c>
      <c r="AS6" s="785" t="s">
        <v>35</v>
      </c>
      <c r="AT6" s="788" t="s">
        <v>36</v>
      </c>
      <c r="AU6" s="782" t="s">
        <v>37</v>
      </c>
      <c r="AV6" s="785" t="s">
        <v>29</v>
      </c>
      <c r="AW6" s="785" t="s">
        <v>34</v>
      </c>
      <c r="AX6" s="785" t="s">
        <v>35</v>
      </c>
      <c r="AY6" s="788" t="s">
        <v>36</v>
      </c>
      <c r="AZ6" s="782" t="s">
        <v>37</v>
      </c>
      <c r="BA6" s="785" t="s">
        <v>29</v>
      </c>
      <c r="BB6" s="348"/>
    </row>
    <row r="7" spans="1:54" s="45" customFormat="1" ht="15.75" customHeight="1" x14ac:dyDescent="0.35">
      <c r="A7" s="775"/>
      <c r="B7" s="775"/>
      <c r="C7" s="768"/>
      <c r="D7" s="768"/>
      <c r="E7" s="768"/>
      <c r="F7" s="768"/>
      <c r="G7" s="768"/>
      <c r="H7" s="785" t="s">
        <v>36</v>
      </c>
      <c r="I7" s="782" t="s">
        <v>37</v>
      </c>
      <c r="J7" s="786"/>
      <c r="K7" s="786"/>
      <c r="L7" s="786"/>
      <c r="M7" s="785" t="s">
        <v>36</v>
      </c>
      <c r="N7" s="785" t="s">
        <v>37</v>
      </c>
      <c r="O7" s="786"/>
      <c r="P7" s="786"/>
      <c r="Q7" s="786"/>
      <c r="R7" s="785" t="s">
        <v>36</v>
      </c>
      <c r="S7" s="785" t="s">
        <v>37</v>
      </c>
      <c r="T7" s="786"/>
      <c r="U7" s="785" t="s">
        <v>26</v>
      </c>
      <c r="V7" s="785" t="s">
        <v>27</v>
      </c>
      <c r="W7" s="779" t="s">
        <v>28</v>
      </c>
      <c r="X7" s="781"/>
      <c r="Y7" s="785" t="s">
        <v>29</v>
      </c>
      <c r="Z7" s="785" t="s">
        <v>26</v>
      </c>
      <c r="AA7" s="785" t="s">
        <v>27</v>
      </c>
      <c r="AB7" s="779" t="s">
        <v>28</v>
      </c>
      <c r="AC7" s="781"/>
      <c r="AD7" s="785" t="s">
        <v>29</v>
      </c>
      <c r="AE7" s="771" t="s">
        <v>38</v>
      </c>
      <c r="AF7" s="772"/>
      <c r="AG7" s="772"/>
      <c r="AH7" s="773"/>
      <c r="AI7" s="771" t="s">
        <v>39</v>
      </c>
      <c r="AJ7" s="772"/>
      <c r="AK7" s="772"/>
      <c r="AL7" s="773"/>
      <c r="AM7" s="786"/>
      <c r="AN7" s="786"/>
      <c r="AO7" s="789"/>
      <c r="AP7" s="783"/>
      <c r="AQ7" s="786"/>
      <c r="AR7" s="786"/>
      <c r="AS7" s="786"/>
      <c r="AT7" s="789"/>
      <c r="AU7" s="783"/>
      <c r="AV7" s="786"/>
      <c r="AW7" s="786"/>
      <c r="AX7" s="786"/>
      <c r="AY7" s="789"/>
      <c r="AZ7" s="783"/>
      <c r="BA7" s="786"/>
      <c r="BB7" s="348"/>
    </row>
    <row r="8" spans="1:54" s="45" customFormat="1" ht="67" customHeight="1" x14ac:dyDescent="0.35">
      <c r="A8" s="776"/>
      <c r="B8" s="776"/>
      <c r="C8" s="769"/>
      <c r="D8" s="769"/>
      <c r="E8" s="769"/>
      <c r="F8" s="769"/>
      <c r="G8" s="769"/>
      <c r="H8" s="787"/>
      <c r="I8" s="784"/>
      <c r="J8" s="787"/>
      <c r="K8" s="787"/>
      <c r="L8" s="787"/>
      <c r="M8" s="787"/>
      <c r="N8" s="787"/>
      <c r="O8" s="787"/>
      <c r="P8" s="787"/>
      <c r="Q8" s="787"/>
      <c r="R8" s="787"/>
      <c r="S8" s="787"/>
      <c r="T8" s="787"/>
      <c r="U8" s="787"/>
      <c r="V8" s="787"/>
      <c r="W8" s="352" t="s">
        <v>36</v>
      </c>
      <c r="X8" s="353" t="s">
        <v>37</v>
      </c>
      <c r="Y8" s="787"/>
      <c r="Z8" s="787"/>
      <c r="AA8" s="787"/>
      <c r="AB8" s="352" t="s">
        <v>36</v>
      </c>
      <c r="AC8" s="353" t="s">
        <v>37</v>
      </c>
      <c r="AD8" s="787"/>
      <c r="AE8" s="352" t="s">
        <v>26</v>
      </c>
      <c r="AF8" s="352" t="s">
        <v>27</v>
      </c>
      <c r="AG8" s="352" t="s">
        <v>36</v>
      </c>
      <c r="AH8" s="353" t="s">
        <v>37</v>
      </c>
      <c r="AI8" s="352" t="s">
        <v>26</v>
      </c>
      <c r="AJ8" s="352" t="s">
        <v>27</v>
      </c>
      <c r="AK8" s="352" t="s">
        <v>36</v>
      </c>
      <c r="AL8" s="353" t="s">
        <v>37</v>
      </c>
      <c r="AM8" s="787"/>
      <c r="AN8" s="787"/>
      <c r="AO8" s="790"/>
      <c r="AP8" s="784"/>
      <c r="AQ8" s="787"/>
      <c r="AR8" s="787"/>
      <c r="AS8" s="787"/>
      <c r="AT8" s="790"/>
      <c r="AU8" s="784"/>
      <c r="AV8" s="787"/>
      <c r="AW8" s="787"/>
      <c r="AX8" s="787"/>
      <c r="AY8" s="790"/>
      <c r="AZ8" s="784"/>
      <c r="BA8" s="787"/>
      <c r="BB8" s="348"/>
    </row>
    <row r="9" spans="1:54" ht="30" customHeight="1" x14ac:dyDescent="0.35">
      <c r="A9" s="33">
        <v>1</v>
      </c>
      <c r="B9" s="34" t="str">
        <f>PETUNJUK!B9</f>
        <v>Pecangaan Kulon</v>
      </c>
      <c r="C9" s="35">
        <f>'1.DATA KIA'!C9</f>
        <v>101.2</v>
      </c>
      <c r="D9" s="35">
        <f>'1.DATA KIA'!D9</f>
        <v>96.600000000000009</v>
      </c>
      <c r="E9" s="35"/>
      <c r="F9" s="36">
        <v>0</v>
      </c>
      <c r="G9" s="36">
        <f>'1.DATA KIA'!F9</f>
        <v>7</v>
      </c>
      <c r="H9" s="36">
        <f>G9+F9</f>
        <v>7</v>
      </c>
      <c r="I9" s="37">
        <f t="shared" ref="I9:I30" si="0">H9/C9*100</f>
        <v>6.9169960474308301</v>
      </c>
      <c r="J9" s="38"/>
      <c r="K9" s="33">
        <v>0</v>
      </c>
      <c r="L9" s="36">
        <f>'1.DATA KIA'!J9</f>
        <v>6</v>
      </c>
      <c r="M9" s="33">
        <f>L9+K9</f>
        <v>6</v>
      </c>
      <c r="N9" s="37">
        <f>M9/D9*100</f>
        <v>6.2111801242236018</v>
      </c>
      <c r="O9" s="38"/>
      <c r="P9" s="33">
        <v>0</v>
      </c>
      <c r="Q9" s="36">
        <f>'1.DATA KIA'!M9</f>
        <v>8</v>
      </c>
      <c r="R9" s="33">
        <f>Q9+P9</f>
        <v>8</v>
      </c>
      <c r="S9" s="37">
        <f>R9/D9*100</f>
        <v>8.2815734989648035</v>
      </c>
      <c r="T9" s="38"/>
      <c r="U9" s="33">
        <v>0</v>
      </c>
      <c r="V9" s="36">
        <f>'1.DATA KIA'!Y9</f>
        <v>3</v>
      </c>
      <c r="W9" s="33">
        <f>V9+U9</f>
        <v>3</v>
      </c>
      <c r="X9" s="37">
        <f>W9/(20%*C9)*100</f>
        <v>14.822134387351776</v>
      </c>
      <c r="Y9" s="38"/>
      <c r="Z9" s="33">
        <v>0</v>
      </c>
      <c r="AA9" s="36">
        <f>'1.DATA KIA'!Z9</f>
        <v>2</v>
      </c>
      <c r="AB9" s="33">
        <f>AA9+Z9</f>
        <v>2</v>
      </c>
      <c r="AC9" s="37">
        <f>AB9/(20%*C9)*100</f>
        <v>9.8814229249011838</v>
      </c>
      <c r="AD9" s="38"/>
      <c r="AE9" s="33">
        <v>0</v>
      </c>
      <c r="AF9" s="33">
        <f>'8.ANCTEPADU'!D11+'8.ANCTEPADU'!E11</f>
        <v>2</v>
      </c>
      <c r="AG9" s="46">
        <f t="shared" ref="AG9:AG29" si="1">AF9+AE9</f>
        <v>2</v>
      </c>
      <c r="AH9" s="37">
        <f t="shared" ref="AH9:AH25" si="2">AG9/C9*100</f>
        <v>1.9762845849802373</v>
      </c>
      <c r="AI9" s="33">
        <v>0</v>
      </c>
      <c r="AJ9" s="33">
        <f>'8.ANCTEPADU'!J11</f>
        <v>0</v>
      </c>
      <c r="AK9" s="33">
        <f>AJ9+AI9</f>
        <v>0</v>
      </c>
      <c r="AL9" s="37">
        <f t="shared" ref="AL9:AL25" si="3">AK9/C9*100</f>
        <v>0</v>
      </c>
      <c r="AM9" s="33">
        <v>0</v>
      </c>
      <c r="AN9" s="49">
        <f>'1.DATA KIA'!AG9</f>
        <v>10</v>
      </c>
      <c r="AO9" s="33">
        <f>AN9+AM9</f>
        <v>10</v>
      </c>
      <c r="AP9" s="37" t="e">
        <f>AO9/E9*100</f>
        <v>#DIV/0!</v>
      </c>
      <c r="AQ9" s="38"/>
      <c r="AR9" s="33">
        <v>0</v>
      </c>
      <c r="AS9" s="36">
        <f>'1.DATA KIA'!AB9</f>
        <v>10</v>
      </c>
      <c r="AT9" s="36">
        <f>AS9+AR9</f>
        <v>10</v>
      </c>
      <c r="AU9" s="37">
        <f>AT9/D9*100</f>
        <v>10.351966873706003</v>
      </c>
      <c r="AV9" s="38"/>
      <c r="AW9" s="33">
        <v>0</v>
      </c>
      <c r="AX9" s="49">
        <f>'1.DATA KIA'!AF9</f>
        <v>1</v>
      </c>
      <c r="AY9" s="36">
        <f>AX9+AW9</f>
        <v>1</v>
      </c>
      <c r="AZ9" s="37">
        <f>AY9/(20%*C9)*100</f>
        <v>4.9407114624505919</v>
      </c>
      <c r="BA9" s="38"/>
    </row>
    <row r="10" spans="1:54" ht="30" customHeight="1" x14ac:dyDescent="0.35">
      <c r="A10" s="33">
        <v>2</v>
      </c>
      <c r="B10" s="34" t="str">
        <f>PETUNJUK!B10</f>
        <v>Rengging</v>
      </c>
      <c r="C10" s="35">
        <f>'1.DATA KIA'!C10</f>
        <v>111.10000000000001</v>
      </c>
      <c r="D10" s="35">
        <f>'1.DATA KIA'!D10</f>
        <v>106.05000000000001</v>
      </c>
      <c r="E10" s="35"/>
      <c r="F10" s="36">
        <v>0</v>
      </c>
      <c r="G10" s="36">
        <f>'1.DATA KIA'!F10</f>
        <v>23</v>
      </c>
      <c r="H10" s="36">
        <f t="shared" ref="H10:H30" si="4">G10+F10</f>
        <v>23</v>
      </c>
      <c r="I10" s="37">
        <f t="shared" si="0"/>
        <v>20.7020702070207</v>
      </c>
      <c r="J10" s="38"/>
      <c r="K10" s="33">
        <v>0</v>
      </c>
      <c r="L10" s="36">
        <f>'1.DATA KIA'!J10</f>
        <v>9</v>
      </c>
      <c r="M10" s="33">
        <f t="shared" ref="M10:M30" si="5">L10+K10</f>
        <v>9</v>
      </c>
      <c r="N10" s="37">
        <f t="shared" ref="N10:N30" si="6">M10/D10*100</f>
        <v>8.4865629420084847</v>
      </c>
      <c r="O10" s="38"/>
      <c r="P10" s="33">
        <v>0</v>
      </c>
      <c r="Q10" s="36">
        <f>'1.DATA KIA'!M10</f>
        <v>20</v>
      </c>
      <c r="R10" s="33">
        <f t="shared" ref="R10:R30" si="7">Q10+P10</f>
        <v>20</v>
      </c>
      <c r="S10" s="37">
        <f t="shared" ref="S10:S29" si="8">R10/D10*100</f>
        <v>18.859028760018855</v>
      </c>
      <c r="T10" s="38"/>
      <c r="U10" s="33">
        <v>0</v>
      </c>
      <c r="V10" s="36">
        <f>'1.DATA KIA'!Y10</f>
        <v>3</v>
      </c>
      <c r="W10" s="33">
        <f t="shared" ref="W10:W19" si="9">V10+U10</f>
        <v>3</v>
      </c>
      <c r="X10" s="37">
        <f t="shared" ref="X10:X25" si="10">W10/(20%*C10)*100</f>
        <v>13.501350135013501</v>
      </c>
      <c r="Y10" s="38"/>
      <c r="Z10" s="33">
        <v>0</v>
      </c>
      <c r="AA10" s="36">
        <f>'1.DATA KIA'!Z10</f>
        <v>2</v>
      </c>
      <c r="AB10" s="33">
        <f t="shared" ref="AB10:AB30" si="11">AA10+Z10</f>
        <v>2</v>
      </c>
      <c r="AC10" s="37">
        <f t="shared" ref="AC10:AC25" si="12">AB10/(20%*C10)*100</f>
        <v>9.000900090008999</v>
      </c>
      <c r="AD10" s="38"/>
      <c r="AE10" s="33">
        <v>0</v>
      </c>
      <c r="AF10" s="33">
        <f>'8.ANCTEPADU'!D12+'8.ANCTEPADU'!E12</f>
        <v>2</v>
      </c>
      <c r="AG10" s="46">
        <f t="shared" si="1"/>
        <v>2</v>
      </c>
      <c r="AH10" s="37">
        <f t="shared" si="2"/>
        <v>1.8001800180017999</v>
      </c>
      <c r="AI10" s="33">
        <v>0</v>
      </c>
      <c r="AJ10" s="33">
        <f>'8.ANCTEPADU'!J12</f>
        <v>3</v>
      </c>
      <c r="AK10" s="33">
        <f t="shared" ref="AK10:AK19" si="13">AJ10+AI10</f>
        <v>3</v>
      </c>
      <c r="AL10" s="37">
        <f t="shared" si="3"/>
        <v>2.7002700270027002</v>
      </c>
      <c r="AM10" s="33">
        <v>0</v>
      </c>
      <c r="AN10" s="49">
        <f>'1.DATA KIA'!AG10</f>
        <v>14</v>
      </c>
      <c r="AO10" s="33">
        <f t="shared" ref="AO10:AO19" si="14">AN10+AM10</f>
        <v>14</v>
      </c>
      <c r="AP10" s="37" t="e">
        <f t="shared" ref="AP10:AP18" si="15">AO10/E10*100</f>
        <v>#DIV/0!</v>
      </c>
      <c r="AQ10" s="38"/>
      <c r="AR10" s="33">
        <v>0</v>
      </c>
      <c r="AS10" s="36">
        <f>'1.DATA KIA'!AB10</f>
        <v>14</v>
      </c>
      <c r="AT10" s="33">
        <f t="shared" ref="AT10:AT19" si="16">AS10+AR10</f>
        <v>14</v>
      </c>
      <c r="AU10" s="37">
        <f t="shared" ref="AU10:AU25" si="17">AT10/D10*100</f>
        <v>13.201320132013199</v>
      </c>
      <c r="AV10" s="38"/>
      <c r="AW10" s="33">
        <v>0</v>
      </c>
      <c r="AX10" s="49">
        <f>'1.DATA KIA'!AF10</f>
        <v>2</v>
      </c>
      <c r="AY10" s="33">
        <f t="shared" ref="AY10:AY19" si="18">AX10+AW10</f>
        <v>2</v>
      </c>
      <c r="AZ10" s="37">
        <f t="shared" ref="AZ10:AZ25" si="19">AY10/(20%*C10)*100</f>
        <v>9.000900090008999</v>
      </c>
      <c r="BA10" s="38"/>
    </row>
    <row r="11" spans="1:54" ht="30" customHeight="1" x14ac:dyDescent="0.35">
      <c r="A11" s="33">
        <v>3</v>
      </c>
      <c r="B11" s="34" t="str">
        <f>PETUNJUK!B11</f>
        <v>Troso</v>
      </c>
      <c r="C11" s="35">
        <f>'1.DATA KIA'!C11</f>
        <v>205.70000000000002</v>
      </c>
      <c r="D11" s="35">
        <f>'1.DATA KIA'!D11</f>
        <v>196.35</v>
      </c>
      <c r="E11" s="35"/>
      <c r="F11" s="36">
        <v>0</v>
      </c>
      <c r="G11" s="36">
        <f>'1.DATA KIA'!F11</f>
        <v>18</v>
      </c>
      <c r="H11" s="36">
        <f t="shared" si="4"/>
        <v>18</v>
      </c>
      <c r="I11" s="37">
        <f t="shared" si="0"/>
        <v>8.7506076810889635</v>
      </c>
      <c r="J11" s="38"/>
      <c r="K11" s="33">
        <v>0</v>
      </c>
      <c r="L11" s="36">
        <f>'1.DATA KIA'!J11</f>
        <v>15</v>
      </c>
      <c r="M11" s="33">
        <f t="shared" si="5"/>
        <v>15</v>
      </c>
      <c r="N11" s="37">
        <f t="shared" si="6"/>
        <v>7.6394194041252863</v>
      </c>
      <c r="O11" s="38"/>
      <c r="P11" s="33">
        <v>0</v>
      </c>
      <c r="Q11" s="36">
        <f>'1.DATA KIA'!M11</f>
        <v>19</v>
      </c>
      <c r="R11" s="33">
        <f t="shared" si="7"/>
        <v>19</v>
      </c>
      <c r="S11" s="37">
        <f t="shared" si="8"/>
        <v>9.6765979118920296</v>
      </c>
      <c r="T11" s="38"/>
      <c r="U11" s="33">
        <v>0</v>
      </c>
      <c r="V11" s="36">
        <f>'1.DATA KIA'!Y11</f>
        <v>3</v>
      </c>
      <c r="W11" s="33">
        <f t="shared" si="9"/>
        <v>3</v>
      </c>
      <c r="X11" s="37">
        <f t="shared" si="10"/>
        <v>7.2921730675741356</v>
      </c>
      <c r="Y11" s="38"/>
      <c r="Z11" s="33">
        <v>0</v>
      </c>
      <c r="AA11" s="36">
        <f>'1.DATA KIA'!Z11</f>
        <v>2</v>
      </c>
      <c r="AB11" s="33">
        <f t="shared" si="11"/>
        <v>2</v>
      </c>
      <c r="AC11" s="37">
        <f t="shared" si="12"/>
        <v>4.8614487117160907</v>
      </c>
      <c r="AD11" s="38"/>
      <c r="AE11" s="33">
        <v>0</v>
      </c>
      <c r="AF11" s="33">
        <f>'8.ANCTEPADU'!D13+'8.ANCTEPADU'!E13</f>
        <v>1</v>
      </c>
      <c r="AG11" s="46">
        <f t="shared" si="1"/>
        <v>1</v>
      </c>
      <c r="AH11" s="37">
        <f t="shared" si="2"/>
        <v>0.48614487117160904</v>
      </c>
      <c r="AI11" s="33">
        <v>0</v>
      </c>
      <c r="AJ11" s="33">
        <f>'8.ANCTEPADU'!J13</f>
        <v>3</v>
      </c>
      <c r="AK11" s="33">
        <f t="shared" si="13"/>
        <v>3</v>
      </c>
      <c r="AL11" s="37">
        <f t="shared" si="3"/>
        <v>1.4584346135148272</v>
      </c>
      <c r="AM11" s="33">
        <v>0</v>
      </c>
      <c r="AN11" s="49">
        <f>'1.DATA KIA'!AG11</f>
        <v>17</v>
      </c>
      <c r="AO11" s="33">
        <f t="shared" si="14"/>
        <v>17</v>
      </c>
      <c r="AP11" s="37" t="e">
        <f t="shared" si="15"/>
        <v>#DIV/0!</v>
      </c>
      <c r="AQ11" s="38"/>
      <c r="AR11" s="33">
        <v>0</v>
      </c>
      <c r="AS11" s="36">
        <f>'1.DATA KIA'!AB11</f>
        <v>17</v>
      </c>
      <c r="AT11" s="33">
        <f t="shared" si="16"/>
        <v>17</v>
      </c>
      <c r="AU11" s="37">
        <f t="shared" si="17"/>
        <v>8.6580086580086579</v>
      </c>
      <c r="AV11" s="38"/>
      <c r="AW11" s="33">
        <v>0</v>
      </c>
      <c r="AX11" s="49">
        <f>'1.DATA KIA'!AF11</f>
        <v>4</v>
      </c>
      <c r="AY11" s="33">
        <f t="shared" si="18"/>
        <v>4</v>
      </c>
      <c r="AZ11" s="37">
        <f t="shared" si="19"/>
        <v>9.7228974234321814</v>
      </c>
      <c r="BA11" s="38"/>
    </row>
    <row r="12" spans="1:54" ht="30" customHeight="1" x14ac:dyDescent="0.35">
      <c r="A12" s="33">
        <v>4</v>
      </c>
      <c r="B12" s="34" t="str">
        <f>PETUNJUK!B12</f>
        <v>Ngeling</v>
      </c>
      <c r="C12" s="35">
        <f>'1.DATA KIA'!C12</f>
        <v>95.7</v>
      </c>
      <c r="D12" s="35">
        <f>'1.DATA KIA'!D12</f>
        <v>91.350000000000009</v>
      </c>
      <c r="E12" s="35"/>
      <c r="F12" s="36">
        <v>0</v>
      </c>
      <c r="G12" s="36">
        <f>'1.DATA KIA'!F12</f>
        <v>7</v>
      </c>
      <c r="H12" s="36">
        <f t="shared" si="4"/>
        <v>7</v>
      </c>
      <c r="I12" s="37">
        <f t="shared" si="0"/>
        <v>7.3145245559038656</v>
      </c>
      <c r="J12" s="38"/>
      <c r="K12" s="33">
        <v>0</v>
      </c>
      <c r="L12" s="36">
        <f>'1.DATA KIA'!J12</f>
        <v>8</v>
      </c>
      <c r="M12" s="33">
        <f t="shared" si="5"/>
        <v>8</v>
      </c>
      <c r="N12" s="37">
        <f t="shared" si="6"/>
        <v>8.757525998905308</v>
      </c>
      <c r="O12" s="38"/>
      <c r="P12" s="33">
        <v>0</v>
      </c>
      <c r="Q12" s="36">
        <f>'1.DATA KIA'!M12</f>
        <v>6</v>
      </c>
      <c r="R12" s="33">
        <f t="shared" si="7"/>
        <v>6</v>
      </c>
      <c r="S12" s="37">
        <f t="shared" si="8"/>
        <v>6.568144499178981</v>
      </c>
      <c r="T12" s="38"/>
      <c r="U12" s="33">
        <v>0</v>
      </c>
      <c r="V12" s="36">
        <f>'1.DATA KIA'!Y12</f>
        <v>2</v>
      </c>
      <c r="W12" s="33">
        <f t="shared" si="9"/>
        <v>2</v>
      </c>
      <c r="X12" s="37">
        <f t="shared" si="10"/>
        <v>10.449320794148379</v>
      </c>
      <c r="Y12" s="38"/>
      <c r="Z12" s="33">
        <v>0</v>
      </c>
      <c r="AA12" s="36">
        <f>'1.DATA KIA'!Z12</f>
        <v>2</v>
      </c>
      <c r="AB12" s="33">
        <f t="shared" si="11"/>
        <v>2</v>
      </c>
      <c r="AC12" s="37">
        <f t="shared" si="12"/>
        <v>10.449320794148379</v>
      </c>
      <c r="AD12" s="38"/>
      <c r="AE12" s="33">
        <v>0</v>
      </c>
      <c r="AF12" s="33">
        <f>'8.ANCTEPADU'!D14+'8.ANCTEPADU'!E14</f>
        <v>0</v>
      </c>
      <c r="AG12" s="46">
        <f t="shared" si="1"/>
        <v>0</v>
      </c>
      <c r="AH12" s="37">
        <f t="shared" si="2"/>
        <v>0</v>
      </c>
      <c r="AI12" s="33">
        <v>0</v>
      </c>
      <c r="AJ12" s="33">
        <f>'8.ANCTEPADU'!J14</f>
        <v>2</v>
      </c>
      <c r="AK12" s="33">
        <f t="shared" si="13"/>
        <v>2</v>
      </c>
      <c r="AL12" s="37">
        <f t="shared" si="3"/>
        <v>2.089864158829676</v>
      </c>
      <c r="AM12" s="33">
        <v>0</v>
      </c>
      <c r="AN12" s="49">
        <f>'1.DATA KIA'!AG12</f>
        <v>9</v>
      </c>
      <c r="AO12" s="33">
        <f t="shared" si="14"/>
        <v>9</v>
      </c>
      <c r="AP12" s="37" t="e">
        <f t="shared" si="15"/>
        <v>#DIV/0!</v>
      </c>
      <c r="AQ12" s="38"/>
      <c r="AR12" s="33">
        <v>0</v>
      </c>
      <c r="AS12" s="36">
        <f>'1.DATA KIA'!AB12</f>
        <v>9</v>
      </c>
      <c r="AT12" s="33">
        <f t="shared" si="16"/>
        <v>9</v>
      </c>
      <c r="AU12" s="37">
        <f t="shared" si="17"/>
        <v>9.8522167487684715</v>
      </c>
      <c r="AV12" s="38"/>
      <c r="AW12" s="33">
        <v>0</v>
      </c>
      <c r="AX12" s="49">
        <f>'1.DATA KIA'!AF12</f>
        <v>3</v>
      </c>
      <c r="AY12" s="33">
        <f t="shared" si="18"/>
        <v>3</v>
      </c>
      <c r="AZ12" s="37">
        <f t="shared" si="19"/>
        <v>15.67398119122257</v>
      </c>
      <c r="BA12" s="38"/>
    </row>
    <row r="13" spans="1:54" ht="30" customHeight="1" x14ac:dyDescent="0.35">
      <c r="A13" s="33">
        <v>5</v>
      </c>
      <c r="B13" s="34" t="str">
        <f>PETUNJUK!B13</f>
        <v>Lebuawu</v>
      </c>
      <c r="C13" s="35">
        <f>'1.DATA KIA'!C13</f>
        <v>85.800000000000011</v>
      </c>
      <c r="D13" s="35">
        <f>'1.DATA KIA'!D13</f>
        <v>81.900000000000006</v>
      </c>
      <c r="E13" s="35"/>
      <c r="F13" s="36">
        <v>0</v>
      </c>
      <c r="G13" s="36">
        <f>'1.DATA KIA'!F13</f>
        <v>9</v>
      </c>
      <c r="H13" s="36">
        <f t="shared" si="4"/>
        <v>9</v>
      </c>
      <c r="I13" s="37">
        <f t="shared" si="0"/>
        <v>10.489510489510488</v>
      </c>
      <c r="J13" s="38"/>
      <c r="K13" s="33">
        <v>0</v>
      </c>
      <c r="L13" s="36">
        <f>'1.DATA KIA'!J13</f>
        <v>7</v>
      </c>
      <c r="M13" s="33">
        <f t="shared" si="5"/>
        <v>7</v>
      </c>
      <c r="N13" s="37">
        <f t="shared" si="6"/>
        <v>8.5470085470085451</v>
      </c>
      <c r="O13" s="38"/>
      <c r="P13" s="33">
        <v>0</v>
      </c>
      <c r="Q13" s="36">
        <f>'1.DATA KIA'!M13</f>
        <v>6</v>
      </c>
      <c r="R13" s="33">
        <f t="shared" si="7"/>
        <v>6</v>
      </c>
      <c r="S13" s="37">
        <f t="shared" si="8"/>
        <v>7.3260073260073248</v>
      </c>
      <c r="T13" s="38"/>
      <c r="U13" s="33">
        <v>0</v>
      </c>
      <c r="V13" s="36">
        <f>'1.DATA KIA'!Y13</f>
        <v>1</v>
      </c>
      <c r="W13" s="33">
        <f t="shared" si="9"/>
        <v>1</v>
      </c>
      <c r="X13" s="37">
        <f t="shared" si="10"/>
        <v>5.8275058275058269</v>
      </c>
      <c r="Y13" s="38"/>
      <c r="Z13" s="33">
        <v>0</v>
      </c>
      <c r="AA13" s="36">
        <f>'1.DATA KIA'!Z13</f>
        <v>1</v>
      </c>
      <c r="AB13" s="33">
        <f t="shared" si="11"/>
        <v>1</v>
      </c>
      <c r="AC13" s="37">
        <f t="shared" si="12"/>
        <v>5.8275058275058269</v>
      </c>
      <c r="AD13" s="38"/>
      <c r="AE13" s="33">
        <v>0</v>
      </c>
      <c r="AF13" s="33">
        <f>'8.ANCTEPADU'!D15+'8.ANCTEPADU'!E15</f>
        <v>2</v>
      </c>
      <c r="AG13" s="46">
        <f t="shared" si="1"/>
        <v>2</v>
      </c>
      <c r="AH13" s="37">
        <f t="shared" si="2"/>
        <v>2.3310023310023307</v>
      </c>
      <c r="AI13" s="33">
        <v>0</v>
      </c>
      <c r="AJ13" s="33">
        <f>'8.ANCTEPADU'!J15</f>
        <v>1</v>
      </c>
      <c r="AK13" s="33">
        <f t="shared" si="13"/>
        <v>1</v>
      </c>
      <c r="AL13" s="37">
        <f t="shared" si="3"/>
        <v>1.1655011655011653</v>
      </c>
      <c r="AM13" s="33">
        <v>0</v>
      </c>
      <c r="AN13" s="49">
        <f>'1.DATA KIA'!AG13</f>
        <v>7</v>
      </c>
      <c r="AO13" s="33">
        <f t="shared" si="14"/>
        <v>7</v>
      </c>
      <c r="AP13" s="37" t="e">
        <f t="shared" si="15"/>
        <v>#DIV/0!</v>
      </c>
      <c r="AQ13" s="38"/>
      <c r="AR13" s="33">
        <v>0</v>
      </c>
      <c r="AS13" s="36">
        <f>'1.DATA KIA'!AB13</f>
        <v>7</v>
      </c>
      <c r="AT13" s="33">
        <f t="shared" si="16"/>
        <v>7</v>
      </c>
      <c r="AU13" s="37">
        <f t="shared" si="17"/>
        <v>8.5470085470085451</v>
      </c>
      <c r="AV13" s="38"/>
      <c r="AW13" s="33">
        <v>0</v>
      </c>
      <c r="AX13" s="49">
        <f>'1.DATA KIA'!AF13</f>
        <v>0</v>
      </c>
      <c r="AY13" s="33">
        <f t="shared" si="18"/>
        <v>0</v>
      </c>
      <c r="AZ13" s="37">
        <f t="shared" si="19"/>
        <v>0</v>
      </c>
      <c r="BA13" s="38"/>
    </row>
    <row r="14" spans="1:54" ht="30" customHeight="1" x14ac:dyDescent="0.35">
      <c r="A14" s="33">
        <v>6</v>
      </c>
      <c r="B14" s="34" t="str">
        <f>PETUNJUK!B14</f>
        <v>Pulodarat</v>
      </c>
      <c r="C14" s="35">
        <f>'1.DATA KIA'!C14</f>
        <v>82.5</v>
      </c>
      <c r="D14" s="35">
        <f>'1.DATA KIA'!D14</f>
        <v>78.75</v>
      </c>
      <c r="E14" s="35"/>
      <c r="F14" s="36">
        <v>0</v>
      </c>
      <c r="G14" s="36">
        <f>'1.DATA KIA'!F14</f>
        <v>5</v>
      </c>
      <c r="H14" s="36">
        <f t="shared" si="4"/>
        <v>5</v>
      </c>
      <c r="I14" s="37">
        <f t="shared" si="0"/>
        <v>6.0606060606060606</v>
      </c>
      <c r="J14" s="38"/>
      <c r="K14" s="33">
        <v>0</v>
      </c>
      <c r="L14" s="36">
        <f>'1.DATA KIA'!J14</f>
        <v>6</v>
      </c>
      <c r="M14" s="33">
        <f t="shared" si="5"/>
        <v>6</v>
      </c>
      <c r="N14" s="37">
        <f t="shared" si="6"/>
        <v>7.6190476190476195</v>
      </c>
      <c r="O14" s="38"/>
      <c r="P14" s="33">
        <v>0</v>
      </c>
      <c r="Q14" s="36">
        <f>'1.DATA KIA'!M14</f>
        <v>6</v>
      </c>
      <c r="R14" s="33">
        <f t="shared" si="7"/>
        <v>6</v>
      </c>
      <c r="S14" s="37">
        <f t="shared" si="8"/>
        <v>7.6190476190476195</v>
      </c>
      <c r="T14" s="38"/>
      <c r="U14" s="33">
        <v>0</v>
      </c>
      <c r="V14" s="36">
        <f>'1.DATA KIA'!Y14</f>
        <v>0</v>
      </c>
      <c r="W14" s="33">
        <f t="shared" si="9"/>
        <v>0</v>
      </c>
      <c r="X14" s="37">
        <f t="shared" si="10"/>
        <v>0</v>
      </c>
      <c r="Y14" s="38"/>
      <c r="Z14" s="33">
        <v>0</v>
      </c>
      <c r="AA14" s="36">
        <f>'1.DATA KIA'!Z14</f>
        <v>0</v>
      </c>
      <c r="AB14" s="33">
        <f t="shared" si="11"/>
        <v>0</v>
      </c>
      <c r="AC14" s="37">
        <f t="shared" si="12"/>
        <v>0</v>
      </c>
      <c r="AD14" s="38"/>
      <c r="AE14" s="33">
        <v>0</v>
      </c>
      <c r="AF14" s="33">
        <f>'8.ANCTEPADU'!D16+'8.ANCTEPADU'!E16</f>
        <v>1</v>
      </c>
      <c r="AG14" s="46">
        <f t="shared" si="1"/>
        <v>1</v>
      </c>
      <c r="AH14" s="37">
        <f t="shared" si="2"/>
        <v>1.2121212121212122</v>
      </c>
      <c r="AI14" s="33">
        <v>0</v>
      </c>
      <c r="AJ14" s="33">
        <f>'8.ANCTEPADU'!J16</f>
        <v>0</v>
      </c>
      <c r="AK14" s="33">
        <f t="shared" si="13"/>
        <v>0</v>
      </c>
      <c r="AL14" s="37">
        <f t="shared" si="3"/>
        <v>0</v>
      </c>
      <c r="AM14" s="33">
        <v>0</v>
      </c>
      <c r="AN14" s="49">
        <f>'1.DATA KIA'!AG14</f>
        <v>7</v>
      </c>
      <c r="AO14" s="33">
        <f t="shared" si="14"/>
        <v>7</v>
      </c>
      <c r="AP14" s="37" t="e">
        <f t="shared" si="15"/>
        <v>#DIV/0!</v>
      </c>
      <c r="AQ14" s="38"/>
      <c r="AR14" s="33">
        <v>0</v>
      </c>
      <c r="AS14" s="36">
        <f>'1.DATA KIA'!AB14</f>
        <v>7</v>
      </c>
      <c r="AT14" s="33">
        <f t="shared" si="16"/>
        <v>7</v>
      </c>
      <c r="AU14" s="37">
        <f t="shared" si="17"/>
        <v>8.8888888888888893</v>
      </c>
      <c r="AV14" s="38"/>
      <c r="AW14" s="33">
        <v>0</v>
      </c>
      <c r="AX14" s="49">
        <f>'1.DATA KIA'!AF14</f>
        <v>0</v>
      </c>
      <c r="AY14" s="33">
        <f t="shared" si="18"/>
        <v>0</v>
      </c>
      <c r="AZ14" s="37">
        <f t="shared" si="19"/>
        <v>0</v>
      </c>
      <c r="BA14" s="38"/>
    </row>
    <row r="15" spans="1:54" ht="30" customHeight="1" x14ac:dyDescent="0.35">
      <c r="A15" s="33">
        <v>7</v>
      </c>
      <c r="B15" s="34" t="str">
        <f>PETUNJUK!B15</f>
        <v>Karangrandu</v>
      </c>
      <c r="C15" s="35">
        <f>'1.DATA KIA'!C15</f>
        <v>93.500000000000014</v>
      </c>
      <c r="D15" s="35">
        <f>'1.DATA KIA'!D15</f>
        <v>89.25</v>
      </c>
      <c r="E15" s="35"/>
      <c r="F15" s="36">
        <v>0</v>
      </c>
      <c r="G15" s="36">
        <f>'1.DATA KIA'!F15</f>
        <v>7</v>
      </c>
      <c r="H15" s="36">
        <f t="shared" si="4"/>
        <v>7</v>
      </c>
      <c r="I15" s="37">
        <f t="shared" si="0"/>
        <v>7.4866310160427805</v>
      </c>
      <c r="J15" s="38"/>
      <c r="K15" s="33">
        <v>0</v>
      </c>
      <c r="L15" s="36">
        <f>'1.DATA KIA'!J15</f>
        <v>5</v>
      </c>
      <c r="M15" s="33">
        <f t="shared" si="5"/>
        <v>5</v>
      </c>
      <c r="N15" s="37">
        <f t="shared" si="6"/>
        <v>5.6022408963585439</v>
      </c>
      <c r="O15" s="38"/>
      <c r="P15" s="33">
        <v>0</v>
      </c>
      <c r="Q15" s="36">
        <f>'1.DATA KIA'!M15</f>
        <v>5</v>
      </c>
      <c r="R15" s="33">
        <f t="shared" si="7"/>
        <v>5</v>
      </c>
      <c r="S15" s="37">
        <f t="shared" si="8"/>
        <v>5.6022408963585439</v>
      </c>
      <c r="T15" s="38"/>
      <c r="U15" s="33">
        <v>0</v>
      </c>
      <c r="V15" s="36">
        <f>'1.DATA KIA'!Y15</f>
        <v>3</v>
      </c>
      <c r="W15" s="33">
        <f t="shared" si="9"/>
        <v>3</v>
      </c>
      <c r="X15" s="37">
        <f t="shared" si="10"/>
        <v>16.042780748663098</v>
      </c>
      <c r="Y15" s="38"/>
      <c r="Z15" s="33">
        <v>0</v>
      </c>
      <c r="AA15" s="36">
        <f>'1.DATA KIA'!Z15</f>
        <v>1</v>
      </c>
      <c r="AB15" s="33">
        <f t="shared" si="11"/>
        <v>1</v>
      </c>
      <c r="AC15" s="37">
        <f t="shared" si="12"/>
        <v>5.3475935828876997</v>
      </c>
      <c r="AD15" s="38"/>
      <c r="AE15" s="33">
        <v>0</v>
      </c>
      <c r="AF15" s="33">
        <f>'8.ANCTEPADU'!D17+'8.ANCTEPADU'!E17</f>
        <v>0</v>
      </c>
      <c r="AG15" s="46">
        <f t="shared" si="1"/>
        <v>0</v>
      </c>
      <c r="AH15" s="37">
        <f t="shared" si="2"/>
        <v>0</v>
      </c>
      <c r="AI15" s="33">
        <v>0</v>
      </c>
      <c r="AJ15" s="33">
        <f>'8.ANCTEPADU'!J17</f>
        <v>0</v>
      </c>
      <c r="AK15" s="33">
        <f t="shared" si="13"/>
        <v>0</v>
      </c>
      <c r="AL15" s="37">
        <f t="shared" si="3"/>
        <v>0</v>
      </c>
      <c r="AM15" s="33">
        <v>0</v>
      </c>
      <c r="AN15" s="49">
        <f>'1.DATA KIA'!AG15</f>
        <v>5</v>
      </c>
      <c r="AO15" s="33">
        <f t="shared" si="14"/>
        <v>5</v>
      </c>
      <c r="AP15" s="37" t="e">
        <f t="shared" si="15"/>
        <v>#DIV/0!</v>
      </c>
      <c r="AQ15" s="38"/>
      <c r="AR15" s="33">
        <v>0</v>
      </c>
      <c r="AS15" s="36">
        <f>'1.DATA KIA'!AB15</f>
        <v>5</v>
      </c>
      <c r="AT15" s="33">
        <f t="shared" si="16"/>
        <v>5</v>
      </c>
      <c r="AU15" s="37">
        <f t="shared" si="17"/>
        <v>5.6022408963585439</v>
      </c>
      <c r="AV15" s="38"/>
      <c r="AW15" s="33">
        <v>0</v>
      </c>
      <c r="AX15" s="49">
        <f>'1.DATA KIA'!AF15</f>
        <v>0</v>
      </c>
      <c r="AY15" s="33">
        <f t="shared" si="18"/>
        <v>0</v>
      </c>
      <c r="AZ15" s="37">
        <f t="shared" si="19"/>
        <v>0</v>
      </c>
      <c r="BA15" s="38"/>
    </row>
    <row r="16" spans="1:54" ht="30" customHeight="1" x14ac:dyDescent="0.35">
      <c r="A16" s="33">
        <v>8</v>
      </c>
      <c r="B16" s="34" t="str">
        <f>PETUNJUK!B16</f>
        <v>Kaliombo</v>
      </c>
      <c r="C16" s="35">
        <f>'1.DATA KIA'!C16</f>
        <v>46.2</v>
      </c>
      <c r="D16" s="35">
        <f>'1.DATA KIA'!D16</f>
        <v>44.1</v>
      </c>
      <c r="E16" s="35"/>
      <c r="F16" s="36">
        <v>0</v>
      </c>
      <c r="G16" s="36">
        <f>'1.DATA KIA'!F16</f>
        <v>1</v>
      </c>
      <c r="H16" s="36">
        <f t="shared" si="4"/>
        <v>1</v>
      </c>
      <c r="I16" s="37">
        <f t="shared" si="0"/>
        <v>2.1645021645021645</v>
      </c>
      <c r="J16" s="38"/>
      <c r="K16" s="33">
        <v>0</v>
      </c>
      <c r="L16" s="36">
        <f>'1.DATA KIA'!J16</f>
        <v>1</v>
      </c>
      <c r="M16" s="33">
        <f t="shared" si="5"/>
        <v>1</v>
      </c>
      <c r="N16" s="37">
        <f t="shared" si="6"/>
        <v>2.2675736961451247</v>
      </c>
      <c r="O16" s="38"/>
      <c r="P16" s="33">
        <v>0</v>
      </c>
      <c r="Q16" s="36">
        <f>'1.DATA KIA'!M16</f>
        <v>1</v>
      </c>
      <c r="R16" s="33">
        <f t="shared" si="7"/>
        <v>1</v>
      </c>
      <c r="S16" s="37">
        <f t="shared" si="8"/>
        <v>2.2675736961451247</v>
      </c>
      <c r="T16" s="38"/>
      <c r="U16" s="33">
        <v>0</v>
      </c>
      <c r="V16" s="36">
        <f>'1.DATA KIA'!Y16</f>
        <v>1</v>
      </c>
      <c r="W16" s="33">
        <f t="shared" si="9"/>
        <v>1</v>
      </c>
      <c r="X16" s="37">
        <f t="shared" si="10"/>
        <v>10.822510822510822</v>
      </c>
      <c r="Y16" s="38"/>
      <c r="Z16" s="33">
        <v>0</v>
      </c>
      <c r="AA16" s="36">
        <f>'1.DATA KIA'!Z16</f>
        <v>0</v>
      </c>
      <c r="AB16" s="33">
        <f t="shared" si="11"/>
        <v>0</v>
      </c>
      <c r="AC16" s="37">
        <f t="shared" si="12"/>
        <v>0</v>
      </c>
      <c r="AD16" s="38"/>
      <c r="AE16" s="33">
        <v>0</v>
      </c>
      <c r="AF16" s="33">
        <f>'8.ANCTEPADU'!D18+'8.ANCTEPADU'!E18</f>
        <v>0</v>
      </c>
      <c r="AG16" s="46">
        <f t="shared" si="1"/>
        <v>0</v>
      </c>
      <c r="AH16" s="37">
        <f t="shared" si="2"/>
        <v>0</v>
      </c>
      <c r="AI16" s="33">
        <v>0</v>
      </c>
      <c r="AJ16" s="33">
        <f>'8.ANCTEPADU'!J18</f>
        <v>0</v>
      </c>
      <c r="AK16" s="33">
        <f t="shared" si="13"/>
        <v>0</v>
      </c>
      <c r="AL16" s="37">
        <f t="shared" si="3"/>
        <v>0</v>
      </c>
      <c r="AM16" s="33">
        <v>0</v>
      </c>
      <c r="AN16" s="49">
        <f>'1.DATA KIA'!AG16</f>
        <v>1</v>
      </c>
      <c r="AO16" s="33">
        <f t="shared" si="14"/>
        <v>1</v>
      </c>
      <c r="AP16" s="37" t="e">
        <f t="shared" si="15"/>
        <v>#DIV/0!</v>
      </c>
      <c r="AQ16" s="38"/>
      <c r="AR16" s="33">
        <v>0</v>
      </c>
      <c r="AS16" s="36">
        <f>'1.DATA KIA'!AB16</f>
        <v>1</v>
      </c>
      <c r="AT16" s="33">
        <f t="shared" si="16"/>
        <v>1</v>
      </c>
      <c r="AU16" s="37">
        <f t="shared" si="17"/>
        <v>2.2675736961451247</v>
      </c>
      <c r="AV16" s="38"/>
      <c r="AW16" s="33">
        <v>0</v>
      </c>
      <c r="AX16" s="49">
        <f>'1.DATA KIA'!AF16</f>
        <v>0</v>
      </c>
      <c r="AY16" s="33">
        <f t="shared" si="18"/>
        <v>0</v>
      </c>
      <c r="AZ16" s="37">
        <f t="shared" si="19"/>
        <v>0</v>
      </c>
      <c r="BA16" s="38"/>
    </row>
    <row r="17" spans="1:53" ht="30" customHeight="1" x14ac:dyDescent="0.35">
      <c r="A17" s="33">
        <v>9</v>
      </c>
      <c r="B17" s="34" t="str">
        <f>PETUNJUK!B17</f>
        <v>Gemulung</v>
      </c>
      <c r="C17" s="35">
        <f>'1.DATA KIA'!C17</f>
        <v>53.900000000000006</v>
      </c>
      <c r="D17" s="35">
        <f>'1.DATA KIA'!D17</f>
        <v>51.45</v>
      </c>
      <c r="E17" s="35"/>
      <c r="F17" s="36">
        <v>0</v>
      </c>
      <c r="G17" s="36">
        <f>'1.DATA KIA'!F17</f>
        <v>4</v>
      </c>
      <c r="H17" s="36">
        <f t="shared" si="4"/>
        <v>4</v>
      </c>
      <c r="I17" s="37">
        <f t="shared" si="0"/>
        <v>7.4211502782931342</v>
      </c>
      <c r="J17" s="38"/>
      <c r="K17" s="33">
        <v>0</v>
      </c>
      <c r="L17" s="36">
        <f>'1.DATA KIA'!J17</f>
        <v>5</v>
      </c>
      <c r="M17" s="33">
        <f t="shared" si="5"/>
        <v>5</v>
      </c>
      <c r="N17" s="37">
        <f t="shared" si="6"/>
        <v>9.7181729834791053</v>
      </c>
      <c r="O17" s="38"/>
      <c r="P17" s="33">
        <v>0</v>
      </c>
      <c r="Q17" s="36">
        <f>'1.DATA KIA'!M17</f>
        <v>5</v>
      </c>
      <c r="R17" s="33">
        <f t="shared" si="7"/>
        <v>5</v>
      </c>
      <c r="S17" s="37">
        <f t="shared" si="8"/>
        <v>9.7181729834791053</v>
      </c>
      <c r="T17" s="38"/>
      <c r="U17" s="33">
        <v>0</v>
      </c>
      <c r="V17" s="36">
        <f>'1.DATA KIA'!Y17</f>
        <v>0</v>
      </c>
      <c r="W17" s="33">
        <f t="shared" si="9"/>
        <v>0</v>
      </c>
      <c r="X17" s="37">
        <f t="shared" si="10"/>
        <v>0</v>
      </c>
      <c r="Y17" s="38"/>
      <c r="Z17" s="33">
        <v>0</v>
      </c>
      <c r="AA17" s="36">
        <f>'1.DATA KIA'!Z17</f>
        <v>0</v>
      </c>
      <c r="AB17" s="33">
        <f t="shared" si="11"/>
        <v>0</v>
      </c>
      <c r="AC17" s="37">
        <f t="shared" si="12"/>
        <v>0</v>
      </c>
      <c r="AD17" s="38"/>
      <c r="AE17" s="33">
        <v>0</v>
      </c>
      <c r="AF17" s="33">
        <f>'8.ANCTEPADU'!D19+'8.ANCTEPADU'!E19</f>
        <v>2</v>
      </c>
      <c r="AG17" s="46">
        <f t="shared" si="1"/>
        <v>2</v>
      </c>
      <c r="AH17" s="37">
        <f t="shared" si="2"/>
        <v>3.7105751391465671</v>
      </c>
      <c r="AI17" s="33">
        <v>0</v>
      </c>
      <c r="AJ17" s="33">
        <f>'8.ANCTEPADU'!J19</f>
        <v>0</v>
      </c>
      <c r="AK17" s="33">
        <f t="shared" si="13"/>
        <v>0</v>
      </c>
      <c r="AL17" s="37">
        <f t="shared" si="3"/>
        <v>0</v>
      </c>
      <c r="AM17" s="33">
        <v>0</v>
      </c>
      <c r="AN17" s="49">
        <f>'1.DATA KIA'!AG17</f>
        <v>3</v>
      </c>
      <c r="AO17" s="33">
        <f t="shared" si="14"/>
        <v>3</v>
      </c>
      <c r="AP17" s="37" t="e">
        <f t="shared" si="15"/>
        <v>#DIV/0!</v>
      </c>
      <c r="AQ17" s="38"/>
      <c r="AR17" s="33">
        <v>0</v>
      </c>
      <c r="AS17" s="36">
        <f>'1.DATA KIA'!AB17</f>
        <v>3</v>
      </c>
      <c r="AT17" s="33">
        <f t="shared" si="16"/>
        <v>3</v>
      </c>
      <c r="AU17" s="37">
        <f t="shared" si="17"/>
        <v>5.8309037900874632</v>
      </c>
      <c r="AV17" s="38"/>
      <c r="AW17" s="33">
        <v>0</v>
      </c>
      <c r="AX17" s="49">
        <f>'1.DATA KIA'!AF17</f>
        <v>1</v>
      </c>
      <c r="AY17" s="33">
        <f t="shared" si="18"/>
        <v>1</v>
      </c>
      <c r="AZ17" s="37">
        <f t="shared" si="19"/>
        <v>9.2764378478664185</v>
      </c>
      <c r="BA17" s="38"/>
    </row>
    <row r="18" spans="1:53" ht="30" customHeight="1" x14ac:dyDescent="0.35">
      <c r="A18" s="33">
        <v>10</v>
      </c>
      <c r="B18" s="34" t="str">
        <f>PETUNJUK!B18</f>
        <v>Pecangaan Wetan</v>
      </c>
      <c r="C18" s="35">
        <f>'1.DATA KIA'!C18</f>
        <v>50.6</v>
      </c>
      <c r="D18" s="35">
        <f>'1.DATA KIA'!D18</f>
        <v>48.300000000000004</v>
      </c>
      <c r="E18" s="35"/>
      <c r="F18" s="36">
        <v>0</v>
      </c>
      <c r="G18" s="36">
        <f>'1.DATA KIA'!F18</f>
        <v>4</v>
      </c>
      <c r="H18" s="36">
        <f t="shared" si="4"/>
        <v>4</v>
      </c>
      <c r="I18" s="37">
        <f t="shared" si="0"/>
        <v>7.9051383399209492</v>
      </c>
      <c r="J18" s="38"/>
      <c r="K18" s="33">
        <v>0</v>
      </c>
      <c r="L18" s="36">
        <f>'1.DATA KIA'!J18</f>
        <v>3</v>
      </c>
      <c r="M18" s="33">
        <f t="shared" si="5"/>
        <v>3</v>
      </c>
      <c r="N18" s="37">
        <f t="shared" si="6"/>
        <v>6.2111801242236018</v>
      </c>
      <c r="O18" s="38"/>
      <c r="P18" s="33">
        <v>0</v>
      </c>
      <c r="Q18" s="36">
        <f>'1.DATA KIA'!M18</f>
        <v>2</v>
      </c>
      <c r="R18" s="33">
        <f t="shared" si="7"/>
        <v>2</v>
      </c>
      <c r="S18" s="37">
        <f t="shared" si="8"/>
        <v>4.1407867494824018</v>
      </c>
      <c r="T18" s="38"/>
      <c r="U18" s="33">
        <v>0</v>
      </c>
      <c r="V18" s="36">
        <f>'1.DATA KIA'!Y18</f>
        <v>1</v>
      </c>
      <c r="W18" s="33">
        <f t="shared" si="9"/>
        <v>1</v>
      </c>
      <c r="X18" s="37">
        <f t="shared" si="10"/>
        <v>9.8814229249011838</v>
      </c>
      <c r="Y18" s="38"/>
      <c r="Z18" s="33">
        <v>0</v>
      </c>
      <c r="AA18" s="36">
        <f>'1.DATA KIA'!Z18</f>
        <v>0</v>
      </c>
      <c r="AB18" s="33">
        <f t="shared" si="11"/>
        <v>0</v>
      </c>
      <c r="AC18" s="37">
        <f t="shared" si="12"/>
        <v>0</v>
      </c>
      <c r="AD18" s="38"/>
      <c r="AE18" s="33">
        <v>0</v>
      </c>
      <c r="AF18" s="33">
        <f>'8.ANCTEPADU'!D20+'8.ANCTEPADU'!E20</f>
        <v>0</v>
      </c>
      <c r="AG18" s="46">
        <f t="shared" si="1"/>
        <v>0</v>
      </c>
      <c r="AH18" s="37">
        <f t="shared" si="2"/>
        <v>0</v>
      </c>
      <c r="AI18" s="33">
        <v>0</v>
      </c>
      <c r="AJ18" s="33">
        <f>'8.ANCTEPADU'!J20</f>
        <v>2</v>
      </c>
      <c r="AK18" s="33">
        <f t="shared" si="13"/>
        <v>2</v>
      </c>
      <c r="AL18" s="37">
        <f t="shared" si="3"/>
        <v>3.9525691699604746</v>
      </c>
      <c r="AM18" s="33">
        <v>0</v>
      </c>
      <c r="AN18" s="49">
        <f>'1.DATA KIA'!AG18</f>
        <v>7</v>
      </c>
      <c r="AO18" s="33">
        <f t="shared" si="14"/>
        <v>7</v>
      </c>
      <c r="AP18" s="37" t="e">
        <f t="shared" si="15"/>
        <v>#DIV/0!</v>
      </c>
      <c r="AQ18" s="38"/>
      <c r="AR18" s="33">
        <v>0</v>
      </c>
      <c r="AS18" s="36">
        <f>'1.DATA KIA'!AB18</f>
        <v>7</v>
      </c>
      <c r="AT18" s="33">
        <f t="shared" si="16"/>
        <v>7</v>
      </c>
      <c r="AU18" s="37">
        <f t="shared" si="17"/>
        <v>14.492753623188403</v>
      </c>
      <c r="AV18" s="38"/>
      <c r="AW18" s="33">
        <v>0</v>
      </c>
      <c r="AX18" s="49">
        <f>'1.DATA KIA'!AF18</f>
        <v>0</v>
      </c>
      <c r="AY18" s="33">
        <f t="shared" si="18"/>
        <v>0</v>
      </c>
      <c r="AZ18" s="37">
        <f t="shared" si="19"/>
        <v>0</v>
      </c>
      <c r="BA18" s="38"/>
    </row>
    <row r="19" spans="1:53" ht="30" customHeight="1" x14ac:dyDescent="0.35">
      <c r="A19" s="33">
        <v>11</v>
      </c>
      <c r="B19" s="34" t="str">
        <f>PETUNJUK!B19</f>
        <v>Krasak</v>
      </c>
      <c r="C19" s="35">
        <f>'1.DATA KIA'!C19</f>
        <v>117.7</v>
      </c>
      <c r="D19" s="35">
        <f>'1.DATA KIA'!D19</f>
        <v>112.35000000000001</v>
      </c>
      <c r="E19" s="35"/>
      <c r="F19" s="36">
        <v>0</v>
      </c>
      <c r="G19" s="36">
        <f>'1.DATA KIA'!F19</f>
        <v>15</v>
      </c>
      <c r="H19" s="36">
        <f t="shared" si="4"/>
        <v>15</v>
      </c>
      <c r="I19" s="37">
        <f t="shared" si="0"/>
        <v>12.74426508071368</v>
      </c>
      <c r="J19" s="38"/>
      <c r="K19" s="33">
        <v>0</v>
      </c>
      <c r="L19" s="36">
        <f>'1.DATA KIA'!J19</f>
        <v>4</v>
      </c>
      <c r="M19" s="33">
        <f t="shared" si="5"/>
        <v>4</v>
      </c>
      <c r="N19" s="37">
        <f t="shared" si="6"/>
        <v>3.5603026257231862</v>
      </c>
      <c r="O19" s="38"/>
      <c r="P19" s="33">
        <v>0</v>
      </c>
      <c r="Q19" s="36">
        <f>'1.DATA KIA'!M19</f>
        <v>8</v>
      </c>
      <c r="R19" s="33">
        <f t="shared" si="7"/>
        <v>8</v>
      </c>
      <c r="S19" s="37">
        <f t="shared" si="8"/>
        <v>7.1206052514463725</v>
      </c>
      <c r="T19" s="38"/>
      <c r="U19" s="33">
        <v>0</v>
      </c>
      <c r="V19" s="36">
        <f>'1.DATA KIA'!Y19</f>
        <v>1</v>
      </c>
      <c r="W19" s="33">
        <f t="shared" si="9"/>
        <v>1</v>
      </c>
      <c r="X19" s="37">
        <f t="shared" si="10"/>
        <v>4.248088360237892</v>
      </c>
      <c r="Y19" s="38"/>
      <c r="Z19" s="33">
        <v>0</v>
      </c>
      <c r="AA19" s="36">
        <f>'1.DATA KIA'!Z19</f>
        <v>1</v>
      </c>
      <c r="AB19" s="33">
        <f t="shared" si="11"/>
        <v>1</v>
      </c>
      <c r="AC19" s="37">
        <f t="shared" si="12"/>
        <v>4.248088360237892</v>
      </c>
      <c r="AD19" s="38"/>
      <c r="AE19" s="33">
        <v>0</v>
      </c>
      <c r="AF19" s="33">
        <f>'8.ANCTEPADU'!D21+'8.ANCTEPADU'!E21</f>
        <v>0</v>
      </c>
      <c r="AG19" s="46">
        <f t="shared" si="1"/>
        <v>0</v>
      </c>
      <c r="AH19" s="37">
        <f t="shared" si="2"/>
        <v>0</v>
      </c>
      <c r="AI19" s="33">
        <v>0</v>
      </c>
      <c r="AJ19" s="33">
        <f>'8.ANCTEPADU'!J21</f>
        <v>1</v>
      </c>
      <c r="AK19" s="33">
        <f t="shared" si="13"/>
        <v>1</v>
      </c>
      <c r="AL19" s="37">
        <f t="shared" si="3"/>
        <v>0.84961767204757865</v>
      </c>
      <c r="AM19" s="33">
        <v>0</v>
      </c>
      <c r="AN19" s="49">
        <f>'1.DATA KIA'!AG19</f>
        <v>8</v>
      </c>
      <c r="AO19" s="33">
        <f t="shared" si="14"/>
        <v>8</v>
      </c>
      <c r="AP19" s="37" t="e">
        <f t="shared" ref="AP19:AP25" si="20">AO19/E19*100</f>
        <v>#DIV/0!</v>
      </c>
      <c r="AQ19" s="38"/>
      <c r="AR19" s="33">
        <v>0</v>
      </c>
      <c r="AS19" s="36">
        <f>'1.DATA KIA'!AB19</f>
        <v>8</v>
      </c>
      <c r="AT19" s="33">
        <f t="shared" si="16"/>
        <v>8</v>
      </c>
      <c r="AU19" s="37">
        <f t="shared" si="17"/>
        <v>7.1206052514463725</v>
      </c>
      <c r="AV19" s="38"/>
      <c r="AW19" s="33">
        <v>0</v>
      </c>
      <c r="AX19" s="49">
        <f>'1.DATA KIA'!AF19</f>
        <v>4</v>
      </c>
      <c r="AY19" s="33">
        <f t="shared" si="18"/>
        <v>4</v>
      </c>
      <c r="AZ19" s="37">
        <f t="shared" si="19"/>
        <v>16.992353440951568</v>
      </c>
      <c r="BA19" s="38"/>
    </row>
    <row r="20" spans="1:53" ht="30" customHeight="1" x14ac:dyDescent="0.35">
      <c r="A20" s="33">
        <v>12</v>
      </c>
      <c r="B20" s="34" t="str">
        <f>PETUNJUK!B20</f>
        <v>Gerdu</v>
      </c>
      <c r="C20" s="35">
        <f>'1.DATA KIA'!C20</f>
        <v>23.1</v>
      </c>
      <c r="D20" s="35">
        <f>'1.DATA KIA'!D20</f>
        <v>22.05</v>
      </c>
      <c r="E20" s="35"/>
      <c r="F20" s="36">
        <v>0</v>
      </c>
      <c r="G20" s="36">
        <f>'1.DATA KIA'!F20</f>
        <v>1</v>
      </c>
      <c r="H20" s="36">
        <f t="shared" si="4"/>
        <v>1</v>
      </c>
      <c r="I20" s="37">
        <f t="shared" si="0"/>
        <v>4.329004329004329</v>
      </c>
      <c r="J20" s="38"/>
      <c r="K20" s="33">
        <v>0</v>
      </c>
      <c r="L20" s="36">
        <f>'1.DATA KIA'!J20</f>
        <v>3</v>
      </c>
      <c r="M20" s="33">
        <f t="shared" si="5"/>
        <v>3</v>
      </c>
      <c r="N20" s="37">
        <f t="shared" si="6"/>
        <v>13.605442176870747</v>
      </c>
      <c r="O20" s="38"/>
      <c r="P20" s="33">
        <v>0</v>
      </c>
      <c r="Q20" s="36">
        <f>'1.DATA KIA'!M20</f>
        <v>2</v>
      </c>
      <c r="R20" s="33">
        <f t="shared" si="7"/>
        <v>2</v>
      </c>
      <c r="S20" s="37">
        <f t="shared" si="8"/>
        <v>9.0702947845804989</v>
      </c>
      <c r="T20" s="38"/>
      <c r="U20" s="33">
        <v>0</v>
      </c>
      <c r="V20" s="36">
        <f>'1.DATA KIA'!Y20</f>
        <v>0</v>
      </c>
      <c r="W20" s="33">
        <f t="shared" ref="W20:W30" si="21">V20+U20</f>
        <v>0</v>
      </c>
      <c r="X20" s="37">
        <f t="shared" si="10"/>
        <v>0</v>
      </c>
      <c r="Y20" s="38"/>
      <c r="Z20" s="33">
        <v>0</v>
      </c>
      <c r="AA20" s="36">
        <f>'1.DATA KIA'!Z20</f>
        <v>0</v>
      </c>
      <c r="AB20" s="33">
        <f t="shared" si="11"/>
        <v>0</v>
      </c>
      <c r="AC20" s="37">
        <f t="shared" si="12"/>
        <v>0</v>
      </c>
      <c r="AD20" s="38"/>
      <c r="AE20" s="33">
        <v>0</v>
      </c>
      <c r="AF20" s="33">
        <f>'8.ANCTEPADU'!D22+'8.ANCTEPADU'!E22</f>
        <v>0</v>
      </c>
      <c r="AG20" s="46">
        <f t="shared" si="1"/>
        <v>0</v>
      </c>
      <c r="AH20" s="37">
        <f t="shared" si="2"/>
        <v>0</v>
      </c>
      <c r="AI20" s="33">
        <v>0</v>
      </c>
      <c r="AJ20" s="33">
        <f>'8.ANCTEPADU'!J22</f>
        <v>0</v>
      </c>
      <c r="AK20" s="33">
        <f t="shared" ref="AK20:AK30" si="22">AJ20+AI20</f>
        <v>0</v>
      </c>
      <c r="AL20" s="37">
        <f t="shared" si="3"/>
        <v>0</v>
      </c>
      <c r="AM20" s="33">
        <v>0</v>
      </c>
      <c r="AN20" s="49">
        <f>'1.DATA KIA'!AG20</f>
        <v>2</v>
      </c>
      <c r="AO20" s="33">
        <f t="shared" ref="AO20:AO30" si="23">AN20+AM20</f>
        <v>2</v>
      </c>
      <c r="AP20" s="37" t="e">
        <f t="shared" si="20"/>
        <v>#DIV/0!</v>
      </c>
      <c r="AQ20" s="38"/>
      <c r="AR20" s="33">
        <v>0</v>
      </c>
      <c r="AS20" s="36">
        <f>'1.DATA KIA'!AB20</f>
        <v>2</v>
      </c>
      <c r="AT20" s="33">
        <f t="shared" ref="AT20:AT30" si="24">AS20+AR20</f>
        <v>2</v>
      </c>
      <c r="AU20" s="37">
        <f t="shared" si="17"/>
        <v>9.0702947845804989</v>
      </c>
      <c r="AV20" s="38"/>
      <c r="AW20" s="33">
        <v>0</v>
      </c>
      <c r="AX20" s="49">
        <f>'1.DATA KIA'!AF20</f>
        <v>1</v>
      </c>
      <c r="AY20" s="33">
        <f t="shared" ref="AY20:AY30" si="25">AX20+AW20</f>
        <v>1</v>
      </c>
      <c r="AZ20" s="37">
        <f t="shared" si="19"/>
        <v>21.645021645021643</v>
      </c>
      <c r="BA20" s="38"/>
    </row>
    <row r="21" spans="1:53" ht="30" customHeight="1" x14ac:dyDescent="0.35">
      <c r="A21" s="33">
        <v>13</v>
      </c>
      <c r="B21" s="34">
        <f>PETUNJUK!B21</f>
        <v>0</v>
      </c>
      <c r="C21" s="35">
        <f>'1.DATA KIA'!C21</f>
        <v>0</v>
      </c>
      <c r="D21" s="35">
        <f>'1.DATA KIA'!D21</f>
        <v>0</v>
      </c>
      <c r="E21" s="35"/>
      <c r="F21" s="36">
        <v>0</v>
      </c>
      <c r="G21" s="36">
        <f>'1.DATA KIA'!F21</f>
        <v>0</v>
      </c>
      <c r="H21" s="36">
        <f t="shared" si="4"/>
        <v>0</v>
      </c>
      <c r="I21" s="37" t="e">
        <f t="shared" si="0"/>
        <v>#DIV/0!</v>
      </c>
      <c r="J21" s="38"/>
      <c r="K21" s="33">
        <v>0</v>
      </c>
      <c r="L21" s="36">
        <f>'1.DATA KIA'!J21</f>
        <v>0</v>
      </c>
      <c r="M21" s="33">
        <f t="shared" si="5"/>
        <v>0</v>
      </c>
      <c r="N21" s="37" t="e">
        <f t="shared" si="6"/>
        <v>#DIV/0!</v>
      </c>
      <c r="O21" s="38"/>
      <c r="P21" s="33">
        <v>0</v>
      </c>
      <c r="Q21" s="36">
        <f>'1.DATA KIA'!M21</f>
        <v>0</v>
      </c>
      <c r="R21" s="33">
        <f t="shared" si="7"/>
        <v>0</v>
      </c>
      <c r="S21" s="37" t="e">
        <f t="shared" si="8"/>
        <v>#DIV/0!</v>
      </c>
      <c r="T21" s="38"/>
      <c r="U21" s="33">
        <v>0</v>
      </c>
      <c r="V21" s="36">
        <f>'1.DATA KIA'!Y21</f>
        <v>0</v>
      </c>
      <c r="W21" s="33">
        <f t="shared" si="21"/>
        <v>0</v>
      </c>
      <c r="X21" s="37" t="e">
        <f t="shared" si="10"/>
        <v>#DIV/0!</v>
      </c>
      <c r="Y21" s="38"/>
      <c r="Z21" s="33">
        <v>0</v>
      </c>
      <c r="AA21" s="36">
        <f>'1.DATA KIA'!Z21</f>
        <v>0</v>
      </c>
      <c r="AB21" s="33">
        <f t="shared" si="11"/>
        <v>0</v>
      </c>
      <c r="AC21" s="37" t="e">
        <f t="shared" si="12"/>
        <v>#DIV/0!</v>
      </c>
      <c r="AD21" s="38"/>
      <c r="AE21" s="33">
        <v>0</v>
      </c>
      <c r="AF21" s="33">
        <f>'8.ANCTEPADU'!D23+'8.ANCTEPADU'!E23</f>
        <v>0</v>
      </c>
      <c r="AG21" s="46">
        <f t="shared" si="1"/>
        <v>0</v>
      </c>
      <c r="AH21" s="37" t="e">
        <f t="shared" si="2"/>
        <v>#DIV/0!</v>
      </c>
      <c r="AI21" s="33">
        <v>0</v>
      </c>
      <c r="AJ21" s="33">
        <f>'8.ANCTEPADU'!J23</f>
        <v>0</v>
      </c>
      <c r="AK21" s="33">
        <f t="shared" si="22"/>
        <v>0</v>
      </c>
      <c r="AL21" s="37" t="e">
        <f t="shared" si="3"/>
        <v>#DIV/0!</v>
      </c>
      <c r="AM21" s="33">
        <v>0</v>
      </c>
      <c r="AN21" s="49">
        <f>'1.DATA KIA'!AG21</f>
        <v>0</v>
      </c>
      <c r="AO21" s="33">
        <f t="shared" si="23"/>
        <v>0</v>
      </c>
      <c r="AP21" s="37" t="e">
        <f t="shared" si="20"/>
        <v>#DIV/0!</v>
      </c>
      <c r="AQ21" s="38"/>
      <c r="AR21" s="33">
        <v>0</v>
      </c>
      <c r="AS21" s="36">
        <f>'1.DATA KIA'!AB21</f>
        <v>0</v>
      </c>
      <c r="AT21" s="33">
        <f t="shared" si="24"/>
        <v>0</v>
      </c>
      <c r="AU21" s="37" t="e">
        <f t="shared" si="17"/>
        <v>#DIV/0!</v>
      </c>
      <c r="AV21" s="38"/>
      <c r="AW21" s="33">
        <v>0</v>
      </c>
      <c r="AX21" s="49">
        <f>'1.DATA KIA'!AF21</f>
        <v>0</v>
      </c>
      <c r="AY21" s="33">
        <f t="shared" si="25"/>
        <v>0</v>
      </c>
      <c r="AZ21" s="37" t="e">
        <f t="shared" si="19"/>
        <v>#DIV/0!</v>
      </c>
      <c r="BA21" s="38"/>
    </row>
    <row r="22" spans="1:53" ht="30" customHeight="1" x14ac:dyDescent="0.35">
      <c r="A22" s="33">
        <v>14</v>
      </c>
      <c r="B22" s="34">
        <f>PETUNJUK!B22</f>
        <v>0</v>
      </c>
      <c r="C22" s="35">
        <f>'1.DATA KIA'!C22</f>
        <v>0</v>
      </c>
      <c r="D22" s="35">
        <f>'1.DATA KIA'!D22</f>
        <v>0</v>
      </c>
      <c r="E22" s="35"/>
      <c r="F22" s="36">
        <v>0</v>
      </c>
      <c r="G22" s="36">
        <f>'1.DATA KIA'!F22</f>
        <v>0</v>
      </c>
      <c r="H22" s="36">
        <f t="shared" si="4"/>
        <v>0</v>
      </c>
      <c r="I22" s="37" t="e">
        <f t="shared" si="0"/>
        <v>#DIV/0!</v>
      </c>
      <c r="J22" s="38"/>
      <c r="K22" s="33">
        <v>0</v>
      </c>
      <c r="L22" s="36">
        <f>'1.DATA KIA'!J22</f>
        <v>0</v>
      </c>
      <c r="M22" s="33">
        <f t="shared" si="5"/>
        <v>0</v>
      </c>
      <c r="N22" s="37" t="e">
        <f t="shared" si="6"/>
        <v>#DIV/0!</v>
      </c>
      <c r="O22" s="38"/>
      <c r="P22" s="33">
        <v>0</v>
      </c>
      <c r="Q22" s="36">
        <f>'1.DATA KIA'!M22</f>
        <v>0</v>
      </c>
      <c r="R22" s="33">
        <f t="shared" si="7"/>
        <v>0</v>
      </c>
      <c r="S22" s="37" t="e">
        <f t="shared" si="8"/>
        <v>#DIV/0!</v>
      </c>
      <c r="T22" s="38"/>
      <c r="U22" s="33">
        <v>0</v>
      </c>
      <c r="V22" s="36">
        <f>'1.DATA KIA'!Y22</f>
        <v>0</v>
      </c>
      <c r="W22" s="33">
        <f t="shared" si="21"/>
        <v>0</v>
      </c>
      <c r="X22" s="37" t="e">
        <f t="shared" si="10"/>
        <v>#DIV/0!</v>
      </c>
      <c r="Y22" s="38"/>
      <c r="Z22" s="33">
        <v>0</v>
      </c>
      <c r="AA22" s="36">
        <f>'1.DATA KIA'!Z22</f>
        <v>0</v>
      </c>
      <c r="AB22" s="33">
        <f t="shared" si="11"/>
        <v>0</v>
      </c>
      <c r="AC22" s="37" t="e">
        <f t="shared" si="12"/>
        <v>#DIV/0!</v>
      </c>
      <c r="AD22" s="38"/>
      <c r="AE22" s="33">
        <v>0</v>
      </c>
      <c r="AF22" s="33">
        <f>'8.ANCTEPADU'!D24+'8.ANCTEPADU'!E24</f>
        <v>0</v>
      </c>
      <c r="AG22" s="46">
        <f t="shared" si="1"/>
        <v>0</v>
      </c>
      <c r="AH22" s="37" t="e">
        <f t="shared" si="2"/>
        <v>#DIV/0!</v>
      </c>
      <c r="AI22" s="33">
        <v>0</v>
      </c>
      <c r="AJ22" s="33">
        <f>'8.ANCTEPADU'!J24</f>
        <v>0</v>
      </c>
      <c r="AK22" s="33">
        <f t="shared" si="22"/>
        <v>0</v>
      </c>
      <c r="AL22" s="37" t="e">
        <f t="shared" si="3"/>
        <v>#DIV/0!</v>
      </c>
      <c r="AM22" s="33">
        <v>0</v>
      </c>
      <c r="AN22" s="49">
        <f>'1.DATA KIA'!AG22</f>
        <v>0</v>
      </c>
      <c r="AO22" s="33">
        <f t="shared" si="23"/>
        <v>0</v>
      </c>
      <c r="AP22" s="37" t="e">
        <f t="shared" si="20"/>
        <v>#DIV/0!</v>
      </c>
      <c r="AQ22" s="38"/>
      <c r="AR22" s="33">
        <v>0</v>
      </c>
      <c r="AS22" s="36">
        <f>'1.DATA KIA'!AB22</f>
        <v>0</v>
      </c>
      <c r="AT22" s="33">
        <f t="shared" si="24"/>
        <v>0</v>
      </c>
      <c r="AU22" s="37" t="e">
        <f t="shared" si="17"/>
        <v>#DIV/0!</v>
      </c>
      <c r="AV22" s="38"/>
      <c r="AW22" s="33">
        <v>0</v>
      </c>
      <c r="AX22" s="49">
        <f>'1.DATA KIA'!AF22</f>
        <v>0</v>
      </c>
      <c r="AY22" s="33">
        <f t="shared" si="25"/>
        <v>0</v>
      </c>
      <c r="AZ22" s="37" t="e">
        <f t="shared" si="19"/>
        <v>#DIV/0!</v>
      </c>
      <c r="BA22" s="38"/>
    </row>
    <row r="23" spans="1:53" ht="30" customHeight="1" x14ac:dyDescent="0.35">
      <c r="A23" s="33">
        <v>15</v>
      </c>
      <c r="B23" s="34">
        <f>PETUNJUK!B23</f>
        <v>0</v>
      </c>
      <c r="C23" s="35">
        <f>'1.DATA KIA'!C23</f>
        <v>0</v>
      </c>
      <c r="D23" s="35">
        <f>'1.DATA KIA'!D23</f>
        <v>0</v>
      </c>
      <c r="E23" s="35"/>
      <c r="F23" s="36">
        <v>0</v>
      </c>
      <c r="G23" s="36">
        <f>'1.DATA KIA'!F23</f>
        <v>0</v>
      </c>
      <c r="H23" s="36">
        <f t="shared" si="4"/>
        <v>0</v>
      </c>
      <c r="I23" s="37" t="e">
        <f t="shared" si="0"/>
        <v>#DIV/0!</v>
      </c>
      <c r="J23" s="38"/>
      <c r="K23" s="33">
        <v>0</v>
      </c>
      <c r="L23" s="36">
        <f>'1.DATA KIA'!J23</f>
        <v>0</v>
      </c>
      <c r="M23" s="33">
        <f t="shared" si="5"/>
        <v>0</v>
      </c>
      <c r="N23" s="37" t="e">
        <f t="shared" si="6"/>
        <v>#DIV/0!</v>
      </c>
      <c r="O23" s="38"/>
      <c r="P23" s="33">
        <v>0</v>
      </c>
      <c r="Q23" s="36">
        <f>'1.DATA KIA'!M23</f>
        <v>0</v>
      </c>
      <c r="R23" s="33">
        <f t="shared" si="7"/>
        <v>0</v>
      </c>
      <c r="S23" s="37" t="e">
        <f t="shared" si="8"/>
        <v>#DIV/0!</v>
      </c>
      <c r="T23" s="38"/>
      <c r="U23" s="33">
        <v>0</v>
      </c>
      <c r="V23" s="36">
        <f>'1.DATA KIA'!Y23</f>
        <v>0</v>
      </c>
      <c r="W23" s="33">
        <f t="shared" si="21"/>
        <v>0</v>
      </c>
      <c r="X23" s="37" t="e">
        <f t="shared" si="10"/>
        <v>#DIV/0!</v>
      </c>
      <c r="Y23" s="38"/>
      <c r="Z23" s="33">
        <v>0</v>
      </c>
      <c r="AA23" s="36">
        <f>'1.DATA KIA'!Z23</f>
        <v>0</v>
      </c>
      <c r="AB23" s="33">
        <f t="shared" si="11"/>
        <v>0</v>
      </c>
      <c r="AC23" s="37" t="e">
        <f t="shared" si="12"/>
        <v>#DIV/0!</v>
      </c>
      <c r="AD23" s="38"/>
      <c r="AE23" s="33">
        <v>0</v>
      </c>
      <c r="AF23" s="33">
        <f>'8.ANCTEPADU'!D25+'8.ANCTEPADU'!E25</f>
        <v>0</v>
      </c>
      <c r="AG23" s="46">
        <f t="shared" si="1"/>
        <v>0</v>
      </c>
      <c r="AH23" s="37" t="e">
        <f t="shared" si="2"/>
        <v>#DIV/0!</v>
      </c>
      <c r="AI23" s="33">
        <v>0</v>
      </c>
      <c r="AJ23" s="33">
        <f>'8.ANCTEPADU'!J25</f>
        <v>0</v>
      </c>
      <c r="AK23" s="33">
        <f t="shared" si="22"/>
        <v>0</v>
      </c>
      <c r="AL23" s="37" t="e">
        <f t="shared" si="3"/>
        <v>#DIV/0!</v>
      </c>
      <c r="AM23" s="33">
        <v>0</v>
      </c>
      <c r="AN23" s="49">
        <f>'1.DATA KIA'!AG23</f>
        <v>0</v>
      </c>
      <c r="AO23" s="33">
        <f t="shared" si="23"/>
        <v>0</v>
      </c>
      <c r="AP23" s="37" t="e">
        <f t="shared" si="20"/>
        <v>#DIV/0!</v>
      </c>
      <c r="AQ23" s="38"/>
      <c r="AR23" s="33">
        <v>0</v>
      </c>
      <c r="AS23" s="36">
        <f>'1.DATA KIA'!AB23</f>
        <v>0</v>
      </c>
      <c r="AT23" s="33">
        <f t="shared" si="24"/>
        <v>0</v>
      </c>
      <c r="AU23" s="37" t="e">
        <f t="shared" si="17"/>
        <v>#DIV/0!</v>
      </c>
      <c r="AV23" s="38"/>
      <c r="AW23" s="33">
        <v>0</v>
      </c>
      <c r="AX23" s="49">
        <f>'1.DATA KIA'!AF23</f>
        <v>0</v>
      </c>
      <c r="AY23" s="33">
        <f t="shared" si="25"/>
        <v>0</v>
      </c>
      <c r="AZ23" s="37" t="e">
        <f t="shared" si="19"/>
        <v>#DIV/0!</v>
      </c>
      <c r="BA23" s="38"/>
    </row>
    <row r="24" spans="1:53" ht="30" customHeight="1" x14ac:dyDescent="0.35">
      <c r="A24" s="33">
        <v>16</v>
      </c>
      <c r="B24" s="34">
        <f>PETUNJUK!B24</f>
        <v>0</v>
      </c>
      <c r="C24" s="35">
        <f>'1.DATA KIA'!C24</f>
        <v>0</v>
      </c>
      <c r="D24" s="35">
        <f>'1.DATA KIA'!D24</f>
        <v>0</v>
      </c>
      <c r="E24" s="35"/>
      <c r="F24" s="36">
        <v>0</v>
      </c>
      <c r="G24" s="36">
        <f>'1.DATA KIA'!F24</f>
        <v>0</v>
      </c>
      <c r="H24" s="36">
        <f t="shared" si="4"/>
        <v>0</v>
      </c>
      <c r="I24" s="37" t="e">
        <f t="shared" si="0"/>
        <v>#DIV/0!</v>
      </c>
      <c r="J24" s="38"/>
      <c r="K24" s="33">
        <v>0</v>
      </c>
      <c r="L24" s="36">
        <f>'1.DATA KIA'!J24</f>
        <v>0</v>
      </c>
      <c r="M24" s="33">
        <f t="shared" si="5"/>
        <v>0</v>
      </c>
      <c r="N24" s="37" t="e">
        <f t="shared" si="6"/>
        <v>#DIV/0!</v>
      </c>
      <c r="O24" s="38"/>
      <c r="P24" s="33">
        <v>0</v>
      </c>
      <c r="Q24" s="36">
        <f>'1.DATA KIA'!M24</f>
        <v>0</v>
      </c>
      <c r="R24" s="33">
        <f t="shared" si="7"/>
        <v>0</v>
      </c>
      <c r="S24" s="37" t="e">
        <f t="shared" si="8"/>
        <v>#DIV/0!</v>
      </c>
      <c r="T24" s="38"/>
      <c r="U24" s="33">
        <v>0</v>
      </c>
      <c r="V24" s="36">
        <f>'1.DATA KIA'!Y24</f>
        <v>0</v>
      </c>
      <c r="W24" s="33">
        <f t="shared" si="21"/>
        <v>0</v>
      </c>
      <c r="X24" s="37" t="e">
        <f t="shared" si="10"/>
        <v>#DIV/0!</v>
      </c>
      <c r="Y24" s="38"/>
      <c r="Z24" s="33">
        <v>0</v>
      </c>
      <c r="AA24" s="36">
        <f>'1.DATA KIA'!Z24</f>
        <v>0</v>
      </c>
      <c r="AB24" s="33">
        <f t="shared" si="11"/>
        <v>0</v>
      </c>
      <c r="AC24" s="37" t="e">
        <f t="shared" si="12"/>
        <v>#DIV/0!</v>
      </c>
      <c r="AD24" s="38"/>
      <c r="AE24" s="33">
        <v>0</v>
      </c>
      <c r="AF24" s="33">
        <f>'8.ANCTEPADU'!D26+'8.ANCTEPADU'!E26</f>
        <v>0</v>
      </c>
      <c r="AG24" s="46">
        <f t="shared" si="1"/>
        <v>0</v>
      </c>
      <c r="AH24" s="37" t="e">
        <f t="shared" si="2"/>
        <v>#DIV/0!</v>
      </c>
      <c r="AI24" s="33">
        <v>0</v>
      </c>
      <c r="AJ24" s="33">
        <f>'8.ANCTEPADU'!J26</f>
        <v>0</v>
      </c>
      <c r="AK24" s="33">
        <f t="shared" si="22"/>
        <v>0</v>
      </c>
      <c r="AL24" s="37" t="e">
        <f t="shared" si="3"/>
        <v>#DIV/0!</v>
      </c>
      <c r="AM24" s="33">
        <v>0</v>
      </c>
      <c r="AN24" s="49">
        <f>'1.DATA KIA'!AG24</f>
        <v>0</v>
      </c>
      <c r="AO24" s="33">
        <f t="shared" si="23"/>
        <v>0</v>
      </c>
      <c r="AP24" s="37" t="e">
        <f t="shared" si="20"/>
        <v>#DIV/0!</v>
      </c>
      <c r="AQ24" s="38"/>
      <c r="AR24" s="33">
        <v>0</v>
      </c>
      <c r="AS24" s="36">
        <f>'1.DATA KIA'!AB24</f>
        <v>0</v>
      </c>
      <c r="AT24" s="33">
        <f t="shared" si="24"/>
        <v>0</v>
      </c>
      <c r="AU24" s="37" t="e">
        <f t="shared" si="17"/>
        <v>#DIV/0!</v>
      </c>
      <c r="AV24" s="38"/>
      <c r="AW24" s="33">
        <v>0</v>
      </c>
      <c r="AX24" s="49">
        <f>'1.DATA KIA'!AF24</f>
        <v>0</v>
      </c>
      <c r="AY24" s="33">
        <f t="shared" si="25"/>
        <v>0</v>
      </c>
      <c r="AZ24" s="37" t="e">
        <f t="shared" si="19"/>
        <v>#DIV/0!</v>
      </c>
      <c r="BA24" s="38"/>
    </row>
    <row r="25" spans="1:53" ht="30" customHeight="1" x14ac:dyDescent="0.35">
      <c r="A25" s="33">
        <v>17</v>
      </c>
      <c r="B25" s="34">
        <f>PETUNJUK!B25</f>
        <v>0</v>
      </c>
      <c r="C25" s="35">
        <f>'1.DATA KIA'!C25</f>
        <v>0</v>
      </c>
      <c r="D25" s="35">
        <f>'1.DATA KIA'!D25</f>
        <v>0</v>
      </c>
      <c r="E25" s="35"/>
      <c r="F25" s="36">
        <v>0</v>
      </c>
      <c r="G25" s="36">
        <f>'1.DATA KIA'!F25</f>
        <v>0</v>
      </c>
      <c r="H25" s="36">
        <f t="shared" si="4"/>
        <v>0</v>
      </c>
      <c r="I25" s="37" t="e">
        <f t="shared" si="0"/>
        <v>#DIV/0!</v>
      </c>
      <c r="J25" s="38"/>
      <c r="K25" s="33">
        <v>0</v>
      </c>
      <c r="L25" s="36">
        <f>'1.DATA KIA'!J25</f>
        <v>0</v>
      </c>
      <c r="M25" s="33">
        <f t="shared" si="5"/>
        <v>0</v>
      </c>
      <c r="N25" s="37" t="e">
        <f t="shared" si="6"/>
        <v>#DIV/0!</v>
      </c>
      <c r="O25" s="38"/>
      <c r="P25" s="33">
        <v>0</v>
      </c>
      <c r="Q25" s="36">
        <f>'1.DATA KIA'!M25</f>
        <v>0</v>
      </c>
      <c r="R25" s="33">
        <f t="shared" si="7"/>
        <v>0</v>
      </c>
      <c r="S25" s="37" t="e">
        <f t="shared" si="8"/>
        <v>#DIV/0!</v>
      </c>
      <c r="T25" s="38"/>
      <c r="U25" s="33">
        <v>0</v>
      </c>
      <c r="V25" s="36">
        <f>'1.DATA KIA'!Y25</f>
        <v>0</v>
      </c>
      <c r="W25" s="33">
        <f t="shared" si="21"/>
        <v>0</v>
      </c>
      <c r="X25" s="37" t="e">
        <f t="shared" si="10"/>
        <v>#DIV/0!</v>
      </c>
      <c r="Y25" s="38"/>
      <c r="Z25" s="33">
        <v>0</v>
      </c>
      <c r="AA25" s="36">
        <f>'1.DATA KIA'!Z25</f>
        <v>0</v>
      </c>
      <c r="AB25" s="33">
        <f t="shared" si="11"/>
        <v>0</v>
      </c>
      <c r="AC25" s="37" t="e">
        <f t="shared" si="12"/>
        <v>#DIV/0!</v>
      </c>
      <c r="AD25" s="38"/>
      <c r="AE25" s="33">
        <v>0</v>
      </c>
      <c r="AF25" s="33">
        <f>'8.ANCTEPADU'!D27+'8.ANCTEPADU'!E27</f>
        <v>0</v>
      </c>
      <c r="AG25" s="46">
        <f t="shared" si="1"/>
        <v>0</v>
      </c>
      <c r="AH25" s="37" t="e">
        <f t="shared" si="2"/>
        <v>#DIV/0!</v>
      </c>
      <c r="AI25" s="33">
        <v>0</v>
      </c>
      <c r="AJ25" s="33">
        <f>'8.ANCTEPADU'!J27</f>
        <v>0</v>
      </c>
      <c r="AK25" s="33">
        <f t="shared" si="22"/>
        <v>0</v>
      </c>
      <c r="AL25" s="37" t="e">
        <f t="shared" si="3"/>
        <v>#DIV/0!</v>
      </c>
      <c r="AM25" s="33">
        <v>0</v>
      </c>
      <c r="AN25" s="49">
        <f>'1.DATA KIA'!AG25</f>
        <v>0</v>
      </c>
      <c r="AO25" s="33">
        <f t="shared" si="23"/>
        <v>0</v>
      </c>
      <c r="AP25" s="37" t="e">
        <f t="shared" si="20"/>
        <v>#DIV/0!</v>
      </c>
      <c r="AQ25" s="38"/>
      <c r="AR25" s="33">
        <v>0</v>
      </c>
      <c r="AS25" s="36">
        <f>'1.DATA KIA'!AB25</f>
        <v>0</v>
      </c>
      <c r="AT25" s="33">
        <f t="shared" si="24"/>
        <v>0</v>
      </c>
      <c r="AU25" s="37" t="e">
        <f t="shared" si="17"/>
        <v>#DIV/0!</v>
      </c>
      <c r="AV25" s="38"/>
      <c r="AW25" s="33">
        <v>0</v>
      </c>
      <c r="AX25" s="49">
        <f>'1.DATA KIA'!AF25</f>
        <v>0</v>
      </c>
      <c r="AY25" s="33">
        <f t="shared" si="25"/>
        <v>0</v>
      </c>
      <c r="AZ25" s="37" t="e">
        <f t="shared" si="19"/>
        <v>#DIV/0!</v>
      </c>
      <c r="BA25" s="38"/>
    </row>
    <row r="26" spans="1:53" ht="30" customHeight="1" x14ac:dyDescent="0.35">
      <c r="A26" s="33">
        <v>18</v>
      </c>
      <c r="B26" s="34">
        <f>PETUNJUK!B26</f>
        <v>0</v>
      </c>
      <c r="C26" s="35">
        <f>'1.DATA KIA'!C26</f>
        <v>0</v>
      </c>
      <c r="D26" s="35">
        <f>'1.DATA KIA'!D26</f>
        <v>0</v>
      </c>
      <c r="E26" s="35"/>
      <c r="F26" s="36">
        <v>0</v>
      </c>
      <c r="G26" s="36">
        <f>'1.DATA KIA'!F26</f>
        <v>0</v>
      </c>
      <c r="H26" s="36">
        <f t="shared" si="4"/>
        <v>0</v>
      </c>
      <c r="I26" s="37" t="e">
        <f t="shared" si="0"/>
        <v>#DIV/0!</v>
      </c>
      <c r="J26" s="38"/>
      <c r="K26" s="33">
        <v>0</v>
      </c>
      <c r="L26" s="36">
        <f>'1.DATA KIA'!J26</f>
        <v>0</v>
      </c>
      <c r="M26" s="33">
        <f t="shared" si="5"/>
        <v>0</v>
      </c>
      <c r="N26" s="37" t="e">
        <f t="shared" si="6"/>
        <v>#DIV/0!</v>
      </c>
      <c r="O26" s="38"/>
      <c r="P26" s="33">
        <v>0</v>
      </c>
      <c r="Q26" s="36">
        <f>'1.DATA KIA'!M26</f>
        <v>0</v>
      </c>
      <c r="R26" s="33">
        <f t="shared" si="7"/>
        <v>0</v>
      </c>
      <c r="S26" s="37" t="e">
        <f t="shared" si="8"/>
        <v>#DIV/0!</v>
      </c>
      <c r="T26" s="38"/>
      <c r="U26" s="33">
        <v>0</v>
      </c>
      <c r="V26" s="36">
        <f>'1.DATA KIA'!Y26</f>
        <v>0</v>
      </c>
      <c r="W26" s="33">
        <f t="shared" si="21"/>
        <v>0</v>
      </c>
      <c r="X26" s="37" t="e">
        <f t="shared" ref="X26:X31" si="26">W26/(20%*C26)*100</f>
        <v>#DIV/0!</v>
      </c>
      <c r="Y26" s="38"/>
      <c r="Z26" s="33">
        <v>0</v>
      </c>
      <c r="AA26" s="36">
        <f>'1.DATA KIA'!Z26</f>
        <v>0</v>
      </c>
      <c r="AB26" s="33">
        <f t="shared" si="11"/>
        <v>0</v>
      </c>
      <c r="AC26" s="37" t="e">
        <f t="shared" ref="AC26:AC31" si="27">AB26/(20%*C26)*100</f>
        <v>#DIV/0!</v>
      </c>
      <c r="AD26" s="38"/>
      <c r="AE26" s="33">
        <v>0</v>
      </c>
      <c r="AF26" s="33">
        <f>'8.ANCTEPADU'!D28+'8.ANCTEPADU'!E28</f>
        <v>0</v>
      </c>
      <c r="AG26" s="46">
        <f t="shared" si="1"/>
        <v>0</v>
      </c>
      <c r="AH26" s="37" t="e">
        <f t="shared" ref="AH26:AH31" si="28">AG26/C26*100</f>
        <v>#DIV/0!</v>
      </c>
      <c r="AI26" s="33">
        <v>0</v>
      </c>
      <c r="AJ26" s="33">
        <f>'8.ANCTEPADU'!J28</f>
        <v>0</v>
      </c>
      <c r="AK26" s="33">
        <f t="shared" si="22"/>
        <v>0</v>
      </c>
      <c r="AL26" s="37" t="e">
        <f t="shared" ref="AL26:AL30" si="29">AK26/C26*100</f>
        <v>#DIV/0!</v>
      </c>
      <c r="AM26" s="33">
        <v>0</v>
      </c>
      <c r="AN26" s="49">
        <f>'1.DATA KIA'!AG26</f>
        <v>0</v>
      </c>
      <c r="AO26" s="33">
        <f t="shared" si="23"/>
        <v>0</v>
      </c>
      <c r="AP26" s="37" t="e">
        <f t="shared" ref="AP26:AP31" si="30">AO26/E26*100</f>
        <v>#DIV/0!</v>
      </c>
      <c r="AQ26" s="38"/>
      <c r="AR26" s="33">
        <v>0</v>
      </c>
      <c r="AS26" s="36">
        <f>'1.DATA KIA'!AB26</f>
        <v>0</v>
      </c>
      <c r="AT26" s="33">
        <f t="shared" si="24"/>
        <v>0</v>
      </c>
      <c r="AU26" s="37" t="e">
        <f>AT26/D26*100</f>
        <v>#DIV/0!</v>
      </c>
      <c r="AV26" s="38"/>
      <c r="AW26" s="33">
        <v>0</v>
      </c>
      <c r="AX26" s="49">
        <f>'1.DATA KIA'!AF26</f>
        <v>0</v>
      </c>
      <c r="AY26" s="33">
        <f t="shared" si="25"/>
        <v>0</v>
      </c>
      <c r="AZ26" s="37" t="e">
        <f t="shared" ref="AZ26:AZ31" si="31">AY26/(20%*C26)*100</f>
        <v>#DIV/0!</v>
      </c>
      <c r="BA26" s="38"/>
    </row>
    <row r="27" spans="1:53" ht="30" customHeight="1" x14ac:dyDescent="0.35">
      <c r="A27" s="33">
        <v>19</v>
      </c>
      <c r="B27" s="34">
        <f>PETUNJUK!B27</f>
        <v>0</v>
      </c>
      <c r="C27" s="35">
        <f>'1.DATA KIA'!C27</f>
        <v>0</v>
      </c>
      <c r="D27" s="35">
        <f>'1.DATA KIA'!D27</f>
        <v>0</v>
      </c>
      <c r="E27" s="35"/>
      <c r="F27" s="36">
        <v>0</v>
      </c>
      <c r="G27" s="36">
        <f>'1.DATA KIA'!F27</f>
        <v>0</v>
      </c>
      <c r="H27" s="36">
        <f t="shared" si="4"/>
        <v>0</v>
      </c>
      <c r="I27" s="37" t="e">
        <f t="shared" si="0"/>
        <v>#DIV/0!</v>
      </c>
      <c r="J27" s="38"/>
      <c r="K27" s="33">
        <v>0</v>
      </c>
      <c r="L27" s="36">
        <f>'1.DATA KIA'!J27</f>
        <v>0</v>
      </c>
      <c r="M27" s="33">
        <f t="shared" si="5"/>
        <v>0</v>
      </c>
      <c r="N27" s="37" t="e">
        <f t="shared" si="6"/>
        <v>#DIV/0!</v>
      </c>
      <c r="O27" s="38"/>
      <c r="P27" s="33">
        <v>0</v>
      </c>
      <c r="Q27" s="36">
        <f>'1.DATA KIA'!M27</f>
        <v>0</v>
      </c>
      <c r="R27" s="33">
        <f t="shared" si="7"/>
        <v>0</v>
      </c>
      <c r="S27" s="37" t="e">
        <f t="shared" si="8"/>
        <v>#DIV/0!</v>
      </c>
      <c r="T27" s="38"/>
      <c r="U27" s="33">
        <v>0</v>
      </c>
      <c r="V27" s="36">
        <f>'1.DATA KIA'!Y27</f>
        <v>0</v>
      </c>
      <c r="W27" s="33">
        <f t="shared" si="21"/>
        <v>0</v>
      </c>
      <c r="X27" s="37" t="e">
        <f t="shared" si="26"/>
        <v>#DIV/0!</v>
      </c>
      <c r="Y27" s="38"/>
      <c r="Z27" s="33">
        <v>0</v>
      </c>
      <c r="AA27" s="36">
        <f>'1.DATA KIA'!Z27</f>
        <v>0</v>
      </c>
      <c r="AB27" s="33">
        <f t="shared" si="11"/>
        <v>0</v>
      </c>
      <c r="AC27" s="37" t="e">
        <f t="shared" si="27"/>
        <v>#DIV/0!</v>
      </c>
      <c r="AD27" s="38"/>
      <c r="AE27" s="33">
        <v>0</v>
      </c>
      <c r="AF27" s="33">
        <f>'8.ANCTEPADU'!D29+'8.ANCTEPADU'!E29</f>
        <v>0</v>
      </c>
      <c r="AG27" s="46">
        <f t="shared" si="1"/>
        <v>0</v>
      </c>
      <c r="AH27" s="37" t="e">
        <f t="shared" si="28"/>
        <v>#DIV/0!</v>
      </c>
      <c r="AI27" s="33">
        <v>0</v>
      </c>
      <c r="AJ27" s="33">
        <f>'8.ANCTEPADU'!J29</f>
        <v>0</v>
      </c>
      <c r="AK27" s="33">
        <f t="shared" si="22"/>
        <v>0</v>
      </c>
      <c r="AL27" s="37" t="e">
        <f t="shared" si="29"/>
        <v>#DIV/0!</v>
      </c>
      <c r="AM27" s="33">
        <v>0</v>
      </c>
      <c r="AN27" s="49">
        <f>'1.DATA KIA'!AG27</f>
        <v>0</v>
      </c>
      <c r="AO27" s="33">
        <f t="shared" si="23"/>
        <v>0</v>
      </c>
      <c r="AP27" s="37" t="e">
        <f t="shared" si="30"/>
        <v>#DIV/0!</v>
      </c>
      <c r="AQ27" s="38"/>
      <c r="AR27" s="33">
        <v>0</v>
      </c>
      <c r="AS27" s="36">
        <f>'1.DATA KIA'!AB27</f>
        <v>0</v>
      </c>
      <c r="AT27" s="33">
        <f t="shared" si="24"/>
        <v>0</v>
      </c>
      <c r="AU27" s="37" t="e">
        <f>AT27/D27*100</f>
        <v>#DIV/0!</v>
      </c>
      <c r="AV27" s="38"/>
      <c r="AW27" s="33">
        <v>0</v>
      </c>
      <c r="AX27" s="49">
        <f>'1.DATA KIA'!AF27</f>
        <v>0</v>
      </c>
      <c r="AY27" s="33">
        <f t="shared" si="25"/>
        <v>0</v>
      </c>
      <c r="AZ27" s="37" t="e">
        <f t="shared" si="31"/>
        <v>#DIV/0!</v>
      </c>
      <c r="BA27" s="38"/>
    </row>
    <row r="28" spans="1:53" ht="30" customHeight="1" x14ac:dyDescent="0.35">
      <c r="A28" s="33">
        <v>20</v>
      </c>
      <c r="B28" s="34">
        <f>PETUNJUK!B28</f>
        <v>0</v>
      </c>
      <c r="C28" s="35">
        <f>'1.DATA KIA'!C28</f>
        <v>0</v>
      </c>
      <c r="D28" s="35">
        <f>'1.DATA KIA'!D28</f>
        <v>0</v>
      </c>
      <c r="E28" s="35"/>
      <c r="F28" s="36">
        <v>0</v>
      </c>
      <c r="G28" s="36">
        <f>'1.DATA KIA'!F28</f>
        <v>0</v>
      </c>
      <c r="H28" s="36">
        <f t="shared" si="4"/>
        <v>0</v>
      </c>
      <c r="I28" s="37" t="e">
        <f t="shared" si="0"/>
        <v>#DIV/0!</v>
      </c>
      <c r="J28" s="38"/>
      <c r="K28" s="33">
        <v>0</v>
      </c>
      <c r="L28" s="36">
        <f>'1.DATA KIA'!J28</f>
        <v>0</v>
      </c>
      <c r="M28" s="33">
        <f t="shared" si="5"/>
        <v>0</v>
      </c>
      <c r="N28" s="37" t="e">
        <f t="shared" si="6"/>
        <v>#DIV/0!</v>
      </c>
      <c r="O28" s="38"/>
      <c r="P28" s="33">
        <v>0</v>
      </c>
      <c r="Q28" s="36">
        <f>'1.DATA KIA'!M28</f>
        <v>0</v>
      </c>
      <c r="R28" s="33">
        <f t="shared" si="7"/>
        <v>0</v>
      </c>
      <c r="S28" s="37" t="e">
        <f t="shared" si="8"/>
        <v>#DIV/0!</v>
      </c>
      <c r="T28" s="38"/>
      <c r="U28" s="33">
        <v>0</v>
      </c>
      <c r="V28" s="36">
        <f>'1.DATA KIA'!Y28</f>
        <v>0</v>
      </c>
      <c r="W28" s="33">
        <f t="shared" si="21"/>
        <v>0</v>
      </c>
      <c r="X28" s="37" t="e">
        <f t="shared" si="26"/>
        <v>#DIV/0!</v>
      </c>
      <c r="Y28" s="38"/>
      <c r="Z28" s="33">
        <v>0</v>
      </c>
      <c r="AA28" s="36">
        <f>'1.DATA KIA'!Z28</f>
        <v>0</v>
      </c>
      <c r="AB28" s="33">
        <f t="shared" si="11"/>
        <v>0</v>
      </c>
      <c r="AC28" s="37" t="e">
        <f t="shared" si="27"/>
        <v>#DIV/0!</v>
      </c>
      <c r="AD28" s="38"/>
      <c r="AE28" s="33">
        <v>0</v>
      </c>
      <c r="AF28" s="33">
        <f>'8.ANCTEPADU'!D30+'8.ANCTEPADU'!E30</f>
        <v>0</v>
      </c>
      <c r="AG28" s="46">
        <f t="shared" si="1"/>
        <v>0</v>
      </c>
      <c r="AH28" s="37" t="e">
        <f t="shared" si="28"/>
        <v>#DIV/0!</v>
      </c>
      <c r="AI28" s="33">
        <v>0</v>
      </c>
      <c r="AJ28" s="33">
        <f>'8.ANCTEPADU'!J30</f>
        <v>0</v>
      </c>
      <c r="AK28" s="33">
        <f t="shared" si="22"/>
        <v>0</v>
      </c>
      <c r="AL28" s="37" t="e">
        <f t="shared" si="29"/>
        <v>#DIV/0!</v>
      </c>
      <c r="AM28" s="33">
        <v>0</v>
      </c>
      <c r="AN28" s="49">
        <f>'1.DATA KIA'!AG28</f>
        <v>0</v>
      </c>
      <c r="AO28" s="33">
        <f t="shared" si="23"/>
        <v>0</v>
      </c>
      <c r="AP28" s="37" t="e">
        <f t="shared" si="30"/>
        <v>#DIV/0!</v>
      </c>
      <c r="AQ28" s="38"/>
      <c r="AR28" s="33">
        <v>0</v>
      </c>
      <c r="AS28" s="36">
        <f>'1.DATA KIA'!AB28</f>
        <v>0</v>
      </c>
      <c r="AT28" s="33">
        <f t="shared" si="24"/>
        <v>0</v>
      </c>
      <c r="AU28" s="37" t="e">
        <f>AT28/D28*100</f>
        <v>#DIV/0!</v>
      </c>
      <c r="AV28" s="38"/>
      <c r="AW28" s="33">
        <v>0</v>
      </c>
      <c r="AX28" s="49">
        <f>'1.DATA KIA'!AF28</f>
        <v>0</v>
      </c>
      <c r="AY28" s="33">
        <f t="shared" si="25"/>
        <v>0</v>
      </c>
      <c r="AZ28" s="37" t="e">
        <f t="shared" si="31"/>
        <v>#DIV/0!</v>
      </c>
      <c r="BA28" s="38"/>
    </row>
    <row r="29" spans="1:53" ht="30" customHeight="1" x14ac:dyDescent="0.35">
      <c r="A29" s="33">
        <v>21</v>
      </c>
      <c r="B29" s="34">
        <f>PETUNJUK!B29</f>
        <v>0</v>
      </c>
      <c r="C29" s="35">
        <f>'1.DATA KIA'!C29</f>
        <v>0</v>
      </c>
      <c r="D29" s="35">
        <f>'1.DATA KIA'!D29</f>
        <v>0</v>
      </c>
      <c r="E29" s="35"/>
      <c r="F29" s="36">
        <v>0</v>
      </c>
      <c r="G29" s="36">
        <f>'1.DATA KIA'!F29</f>
        <v>0</v>
      </c>
      <c r="H29" s="36">
        <f t="shared" si="4"/>
        <v>0</v>
      </c>
      <c r="I29" s="37" t="e">
        <f t="shared" si="0"/>
        <v>#DIV/0!</v>
      </c>
      <c r="J29" s="38"/>
      <c r="K29" s="33">
        <v>0</v>
      </c>
      <c r="L29" s="36">
        <f>'1.DATA KIA'!J29</f>
        <v>0</v>
      </c>
      <c r="M29" s="33">
        <f t="shared" si="5"/>
        <v>0</v>
      </c>
      <c r="N29" s="37" t="e">
        <f>M29/D29*100</f>
        <v>#DIV/0!</v>
      </c>
      <c r="O29" s="38"/>
      <c r="P29" s="33">
        <v>0</v>
      </c>
      <c r="Q29" s="36">
        <f>'1.DATA KIA'!M29</f>
        <v>0</v>
      </c>
      <c r="R29" s="33">
        <f t="shared" si="7"/>
        <v>0</v>
      </c>
      <c r="S29" s="37" t="e">
        <f t="shared" si="8"/>
        <v>#DIV/0!</v>
      </c>
      <c r="T29" s="38"/>
      <c r="U29" s="33">
        <v>0</v>
      </c>
      <c r="V29" s="36">
        <f>'1.DATA KIA'!Y29</f>
        <v>0</v>
      </c>
      <c r="W29" s="33">
        <f t="shared" si="21"/>
        <v>0</v>
      </c>
      <c r="X29" s="37" t="e">
        <f t="shared" si="26"/>
        <v>#DIV/0!</v>
      </c>
      <c r="Y29" s="38"/>
      <c r="Z29" s="33">
        <v>0</v>
      </c>
      <c r="AA29" s="36">
        <f>'1.DATA KIA'!Z29</f>
        <v>0</v>
      </c>
      <c r="AB29" s="33">
        <f t="shared" si="11"/>
        <v>0</v>
      </c>
      <c r="AC29" s="37" t="e">
        <f t="shared" si="27"/>
        <v>#DIV/0!</v>
      </c>
      <c r="AD29" s="38"/>
      <c r="AE29" s="33">
        <v>0</v>
      </c>
      <c r="AF29" s="33">
        <f>'8.ANCTEPADU'!D31+'8.ANCTEPADU'!E31</f>
        <v>0</v>
      </c>
      <c r="AG29" s="46">
        <f t="shared" si="1"/>
        <v>0</v>
      </c>
      <c r="AH29" s="37" t="e">
        <f t="shared" si="28"/>
        <v>#DIV/0!</v>
      </c>
      <c r="AI29" s="33">
        <v>0</v>
      </c>
      <c r="AJ29" s="33">
        <f>'8.ANCTEPADU'!J31</f>
        <v>0</v>
      </c>
      <c r="AK29" s="33">
        <f t="shared" si="22"/>
        <v>0</v>
      </c>
      <c r="AL29" s="37" t="e">
        <f t="shared" si="29"/>
        <v>#DIV/0!</v>
      </c>
      <c r="AM29" s="33">
        <v>0</v>
      </c>
      <c r="AN29" s="49">
        <f>'1.DATA KIA'!AG29</f>
        <v>0</v>
      </c>
      <c r="AO29" s="33">
        <f t="shared" si="23"/>
        <v>0</v>
      </c>
      <c r="AP29" s="37" t="e">
        <f t="shared" si="30"/>
        <v>#DIV/0!</v>
      </c>
      <c r="AQ29" s="38"/>
      <c r="AR29" s="33">
        <v>0</v>
      </c>
      <c r="AS29" s="36">
        <f>'1.DATA KIA'!AB29</f>
        <v>0</v>
      </c>
      <c r="AT29" s="33">
        <f t="shared" si="24"/>
        <v>0</v>
      </c>
      <c r="AU29" s="37" t="e">
        <f>AT29/D29*100</f>
        <v>#DIV/0!</v>
      </c>
      <c r="AV29" s="38"/>
      <c r="AW29" s="33">
        <v>0</v>
      </c>
      <c r="AX29" s="49">
        <f>'1.DATA KIA'!AF29</f>
        <v>0</v>
      </c>
      <c r="AY29" s="33">
        <f t="shared" si="25"/>
        <v>0</v>
      </c>
      <c r="AZ29" s="37" t="e">
        <f t="shared" si="31"/>
        <v>#DIV/0!</v>
      </c>
      <c r="BA29" s="38"/>
    </row>
    <row r="30" spans="1:53" ht="30" customHeight="1" thickBot="1" x14ac:dyDescent="0.4">
      <c r="A30" s="46">
        <v>22</v>
      </c>
      <c r="B30" s="47">
        <f>PETUNJUK!B30</f>
        <v>0</v>
      </c>
      <c r="C30" s="48">
        <f>'1.DATA KIA'!C30</f>
        <v>0</v>
      </c>
      <c r="D30" s="48">
        <f>'1.DATA KIA'!D30</f>
        <v>0</v>
      </c>
      <c r="E30" s="48"/>
      <c r="F30" s="49">
        <v>0</v>
      </c>
      <c r="G30" s="36">
        <f>'1.DATA KIA'!F30</f>
        <v>0</v>
      </c>
      <c r="H30" s="36">
        <f t="shared" si="4"/>
        <v>0</v>
      </c>
      <c r="I30" s="37" t="e">
        <f t="shared" si="0"/>
        <v>#DIV/0!</v>
      </c>
      <c r="J30" s="51"/>
      <c r="K30" s="46">
        <v>0</v>
      </c>
      <c r="L30" s="36">
        <f>'1.DATA KIA'!J30</f>
        <v>0</v>
      </c>
      <c r="M30" s="33">
        <f t="shared" si="5"/>
        <v>0</v>
      </c>
      <c r="N30" s="37" t="e">
        <f t="shared" si="6"/>
        <v>#DIV/0!</v>
      </c>
      <c r="O30" s="51"/>
      <c r="P30" s="46">
        <v>0</v>
      </c>
      <c r="Q30" s="36">
        <f>'1.DATA KIA'!M30</f>
        <v>0</v>
      </c>
      <c r="R30" s="33">
        <f t="shared" si="7"/>
        <v>0</v>
      </c>
      <c r="S30" s="37" t="e">
        <f>R30/D30*100</f>
        <v>#DIV/0!</v>
      </c>
      <c r="T30" s="51"/>
      <c r="U30" s="46">
        <v>0</v>
      </c>
      <c r="V30" s="36">
        <f>'1.DATA KIA'!Y30</f>
        <v>0</v>
      </c>
      <c r="W30" s="46">
        <f t="shared" si="21"/>
        <v>0</v>
      </c>
      <c r="X30" s="50" t="e">
        <f t="shared" si="26"/>
        <v>#DIV/0!</v>
      </c>
      <c r="Y30" s="51"/>
      <c r="Z30" s="46">
        <v>0</v>
      </c>
      <c r="AA30" s="36">
        <f>'1.DATA KIA'!Z30</f>
        <v>0</v>
      </c>
      <c r="AB30" s="33">
        <f t="shared" si="11"/>
        <v>0</v>
      </c>
      <c r="AC30" s="50" t="e">
        <f t="shared" si="27"/>
        <v>#DIV/0!</v>
      </c>
      <c r="AD30" s="51"/>
      <c r="AE30" s="46">
        <v>0</v>
      </c>
      <c r="AF30" s="33">
        <f>'8.ANCTEPADU'!D32+'8.ANCTEPADU'!E32</f>
        <v>0</v>
      </c>
      <c r="AG30" s="46">
        <f>AF30+AE30</f>
        <v>0</v>
      </c>
      <c r="AH30" s="50" t="e">
        <f t="shared" si="28"/>
        <v>#DIV/0!</v>
      </c>
      <c r="AI30" s="46">
        <v>0</v>
      </c>
      <c r="AJ30" s="33">
        <f>'8.ANCTEPADU'!J32</f>
        <v>0</v>
      </c>
      <c r="AK30" s="46">
        <f t="shared" si="22"/>
        <v>0</v>
      </c>
      <c r="AL30" s="50" t="e">
        <f t="shared" si="29"/>
        <v>#DIV/0!</v>
      </c>
      <c r="AM30" s="46">
        <v>0</v>
      </c>
      <c r="AN30" s="49">
        <f>'1.DATA KIA'!AG30</f>
        <v>0</v>
      </c>
      <c r="AO30" s="46">
        <f t="shared" si="23"/>
        <v>0</v>
      </c>
      <c r="AP30" s="50" t="e">
        <f t="shared" si="30"/>
        <v>#DIV/0!</v>
      </c>
      <c r="AQ30" s="51"/>
      <c r="AR30" s="46">
        <v>0</v>
      </c>
      <c r="AS30" s="36">
        <f>'1.DATA KIA'!AB30</f>
        <v>0</v>
      </c>
      <c r="AT30" s="46">
        <f t="shared" si="24"/>
        <v>0</v>
      </c>
      <c r="AU30" s="50" t="e">
        <f>AT30/D30*100</f>
        <v>#DIV/0!</v>
      </c>
      <c r="AV30" s="51"/>
      <c r="AW30" s="46">
        <v>0</v>
      </c>
      <c r="AX30" s="49">
        <f>'1.DATA KIA'!AF30</f>
        <v>0</v>
      </c>
      <c r="AY30" s="46">
        <f t="shared" si="25"/>
        <v>0</v>
      </c>
      <c r="AZ30" s="50" t="e">
        <f t="shared" si="31"/>
        <v>#DIV/0!</v>
      </c>
      <c r="BA30" s="51"/>
    </row>
    <row r="31" spans="1:53" ht="30" customHeight="1" thickBot="1" x14ac:dyDescent="0.4">
      <c r="A31" s="354"/>
      <c r="B31" s="355" t="s">
        <v>18</v>
      </c>
      <c r="C31" s="347">
        <f>SUM(C9:C30)</f>
        <v>1067</v>
      </c>
      <c r="D31" s="347">
        <f t="shared" ref="D31:AY31" si="32">SUM(D9:D30)</f>
        <v>1018.5</v>
      </c>
      <c r="E31" s="347">
        <f t="shared" si="32"/>
        <v>0</v>
      </c>
      <c r="F31" s="347">
        <f t="shared" si="32"/>
        <v>0</v>
      </c>
      <c r="G31" s="347">
        <f t="shared" si="32"/>
        <v>101</v>
      </c>
      <c r="H31" s="347">
        <f t="shared" si="32"/>
        <v>101</v>
      </c>
      <c r="I31" s="356">
        <f t="shared" ref="I31" si="33">H31/C31*100</f>
        <v>9.4657919400187449</v>
      </c>
      <c r="J31" s="347">
        <f t="shared" si="32"/>
        <v>0</v>
      </c>
      <c r="K31" s="347">
        <f t="shared" si="32"/>
        <v>0</v>
      </c>
      <c r="L31" s="347">
        <f t="shared" si="32"/>
        <v>72</v>
      </c>
      <c r="M31" s="347">
        <f t="shared" si="32"/>
        <v>72</v>
      </c>
      <c r="N31" s="356">
        <f>M31/D31*100</f>
        <v>7.0692194403534607</v>
      </c>
      <c r="O31" s="347">
        <f t="shared" si="32"/>
        <v>0</v>
      </c>
      <c r="P31" s="347">
        <f t="shared" ref="P31:T31" si="34">SUM(P9:P30)</f>
        <v>0</v>
      </c>
      <c r="Q31" s="347">
        <f t="shared" si="34"/>
        <v>88</v>
      </c>
      <c r="R31" s="347">
        <f t="shared" si="34"/>
        <v>88</v>
      </c>
      <c r="S31" s="357">
        <f>R31/D31*100</f>
        <v>8.6401570937653407</v>
      </c>
      <c r="T31" s="347">
        <f t="shared" si="34"/>
        <v>0</v>
      </c>
      <c r="U31" s="347">
        <f t="shared" si="32"/>
        <v>0</v>
      </c>
      <c r="V31" s="347">
        <f t="shared" si="32"/>
        <v>18</v>
      </c>
      <c r="W31" s="347">
        <f t="shared" si="32"/>
        <v>18</v>
      </c>
      <c r="X31" s="358">
        <f t="shared" si="26"/>
        <v>8.4348641049671969</v>
      </c>
      <c r="Y31" s="347">
        <f t="shared" si="32"/>
        <v>0</v>
      </c>
      <c r="Z31" s="347">
        <f t="shared" si="32"/>
        <v>0</v>
      </c>
      <c r="AA31" s="347">
        <f t="shared" si="32"/>
        <v>11</v>
      </c>
      <c r="AB31" s="347">
        <f t="shared" si="32"/>
        <v>11</v>
      </c>
      <c r="AC31" s="356">
        <f t="shared" si="27"/>
        <v>5.1546391752577314</v>
      </c>
      <c r="AD31" s="347">
        <f t="shared" si="32"/>
        <v>0</v>
      </c>
      <c r="AE31" s="347">
        <f t="shared" si="32"/>
        <v>0</v>
      </c>
      <c r="AF31" s="347">
        <f t="shared" si="32"/>
        <v>10</v>
      </c>
      <c r="AG31" s="347">
        <f t="shared" si="32"/>
        <v>10</v>
      </c>
      <c r="AH31" s="358">
        <f t="shared" si="28"/>
        <v>0.93720712277413298</v>
      </c>
      <c r="AI31" s="347">
        <f t="shared" si="32"/>
        <v>0</v>
      </c>
      <c r="AJ31" s="347">
        <f t="shared" si="32"/>
        <v>12</v>
      </c>
      <c r="AK31" s="347">
        <f t="shared" si="32"/>
        <v>12</v>
      </c>
      <c r="AL31" s="358">
        <f>AK31/C31*100</f>
        <v>1.1246485473289598</v>
      </c>
      <c r="AM31" s="347">
        <f t="shared" si="32"/>
        <v>0</v>
      </c>
      <c r="AN31" s="347">
        <f t="shared" si="32"/>
        <v>90</v>
      </c>
      <c r="AO31" s="347">
        <f t="shared" si="32"/>
        <v>90</v>
      </c>
      <c r="AP31" s="356" t="e">
        <f t="shared" si="30"/>
        <v>#DIV/0!</v>
      </c>
      <c r="AQ31" s="347">
        <f t="shared" si="32"/>
        <v>0</v>
      </c>
      <c r="AR31" s="347">
        <f t="shared" si="32"/>
        <v>0</v>
      </c>
      <c r="AS31" s="347">
        <f t="shared" si="32"/>
        <v>90</v>
      </c>
      <c r="AT31" s="347">
        <f t="shared" si="32"/>
        <v>90</v>
      </c>
      <c r="AU31" s="356">
        <f>AT31/C31*100</f>
        <v>8.4348641049671969</v>
      </c>
      <c r="AV31" s="347">
        <f t="shared" si="32"/>
        <v>0</v>
      </c>
      <c r="AW31" s="347">
        <f t="shared" si="32"/>
        <v>0</v>
      </c>
      <c r="AX31" s="347">
        <f t="shared" si="32"/>
        <v>16</v>
      </c>
      <c r="AY31" s="347">
        <f t="shared" si="32"/>
        <v>16</v>
      </c>
      <c r="AZ31" s="359">
        <f t="shared" si="31"/>
        <v>7.4976569821930639</v>
      </c>
      <c r="BA31" s="360"/>
    </row>
    <row r="32" spans="1:53" ht="12.75" customHeight="1" x14ac:dyDescent="0.35"/>
    <row r="33" spans="1:54" ht="12.75" customHeight="1" x14ac:dyDescent="0.35"/>
    <row r="34" spans="1:54" ht="12.75" customHeight="1" x14ac:dyDescent="0.35"/>
    <row r="35" spans="1:54" x14ac:dyDescent="0.35">
      <c r="A35" s="770" t="s">
        <v>19</v>
      </c>
      <c r="B35" s="770"/>
      <c r="C35" s="770"/>
      <c r="D35" s="770"/>
      <c r="E35" s="770"/>
      <c r="F35" s="770"/>
      <c r="G35" s="770"/>
      <c r="H35" s="770"/>
      <c r="I35" s="770"/>
      <c r="J35" s="770"/>
      <c r="K35" s="770"/>
      <c r="L35" s="770"/>
      <c r="M35" s="770"/>
      <c r="N35" s="770"/>
      <c r="O35" s="770"/>
      <c r="P35" s="770"/>
      <c r="Q35" s="770"/>
      <c r="R35" s="770"/>
      <c r="S35" s="770"/>
      <c r="T35" s="770"/>
      <c r="U35" s="770"/>
      <c r="V35" s="770"/>
      <c r="W35" s="770"/>
      <c r="X35" s="770"/>
      <c r="Y35" s="770"/>
      <c r="Z35" s="770"/>
      <c r="AA35" s="770"/>
      <c r="AB35" s="770"/>
      <c r="AC35" s="770"/>
      <c r="AD35" s="770"/>
      <c r="AE35" s="770"/>
      <c r="AF35" s="770"/>
      <c r="AG35" s="770"/>
      <c r="AH35" s="770"/>
      <c r="AI35" s="770"/>
      <c r="AJ35" s="770"/>
      <c r="AK35" s="770"/>
      <c r="AL35" s="770"/>
      <c r="AM35" s="770"/>
      <c r="AN35" s="770"/>
      <c r="AO35" s="770"/>
      <c r="AP35" s="770"/>
      <c r="AQ35" s="770"/>
      <c r="AR35" s="770"/>
      <c r="AS35" s="770"/>
      <c r="AT35" s="770"/>
      <c r="AU35" s="770"/>
      <c r="AV35" s="770"/>
      <c r="AW35" s="770"/>
      <c r="AX35" s="770"/>
      <c r="AY35" s="770"/>
      <c r="AZ35" s="770"/>
      <c r="BA35" s="770"/>
    </row>
    <row r="36" spans="1:54" ht="20.149999999999999" customHeight="1" x14ac:dyDescent="0.35">
      <c r="A36" s="31"/>
      <c r="B36" s="31" t="s">
        <v>175</v>
      </c>
      <c r="C36" s="345" t="str">
        <f>PETUNJUK!C5</f>
        <v>PECANGAAN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</row>
    <row r="37" spans="1:54" ht="20.149999999999999" customHeight="1" x14ac:dyDescent="0.35">
      <c r="A37" s="30"/>
      <c r="B37" s="31" t="s">
        <v>170</v>
      </c>
      <c r="C37" s="39" t="str">
        <f>'1.DATA KIA'!C38</f>
        <v xml:space="preserve">PEBRUARI 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</row>
    <row r="38" spans="1:54" x14ac:dyDescent="0.35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</row>
    <row r="39" spans="1:54" s="45" customFormat="1" ht="23.25" customHeight="1" x14ac:dyDescent="0.35">
      <c r="A39" s="774" t="s">
        <v>1</v>
      </c>
      <c r="B39" s="774" t="s">
        <v>2</v>
      </c>
      <c r="C39" s="777" t="s">
        <v>20</v>
      </c>
      <c r="D39" s="778"/>
      <c r="E39" s="778"/>
      <c r="F39" s="777" t="s">
        <v>21</v>
      </c>
      <c r="G39" s="778"/>
      <c r="H39" s="778"/>
      <c r="I39" s="778"/>
      <c r="J39" s="791"/>
      <c r="K39" s="777" t="s">
        <v>9</v>
      </c>
      <c r="L39" s="778"/>
      <c r="M39" s="778"/>
      <c r="N39" s="778"/>
      <c r="O39" s="791"/>
      <c r="P39" s="777" t="s">
        <v>289</v>
      </c>
      <c r="Q39" s="778"/>
      <c r="R39" s="778"/>
      <c r="S39" s="778"/>
      <c r="T39" s="791"/>
      <c r="U39" s="771" t="s">
        <v>22</v>
      </c>
      <c r="V39" s="772"/>
      <c r="W39" s="772"/>
      <c r="X39" s="772"/>
      <c r="Y39" s="772"/>
      <c r="Z39" s="772"/>
      <c r="AA39" s="772"/>
      <c r="AB39" s="772"/>
      <c r="AC39" s="772"/>
      <c r="AD39" s="773"/>
      <c r="AE39" s="771" t="s">
        <v>5</v>
      </c>
      <c r="AF39" s="772"/>
      <c r="AG39" s="772"/>
      <c r="AH39" s="772"/>
      <c r="AI39" s="772"/>
      <c r="AJ39" s="772"/>
      <c r="AK39" s="772"/>
      <c r="AL39" s="773"/>
      <c r="AM39" s="771" t="s">
        <v>23</v>
      </c>
      <c r="AN39" s="772"/>
      <c r="AO39" s="772"/>
      <c r="AP39" s="772"/>
      <c r="AQ39" s="773"/>
      <c r="AR39" s="779" t="s">
        <v>24</v>
      </c>
      <c r="AS39" s="780"/>
      <c r="AT39" s="780"/>
      <c r="AU39" s="780"/>
      <c r="AV39" s="781"/>
      <c r="AW39" s="779" t="s">
        <v>241</v>
      </c>
      <c r="AX39" s="780"/>
      <c r="AY39" s="780"/>
      <c r="AZ39" s="780"/>
      <c r="BA39" s="781"/>
      <c r="BB39" s="348"/>
    </row>
    <row r="40" spans="1:54" s="45" customFormat="1" ht="15" customHeight="1" x14ac:dyDescent="0.35">
      <c r="A40" s="775"/>
      <c r="B40" s="775"/>
      <c r="C40" s="767" t="s">
        <v>5</v>
      </c>
      <c r="D40" s="767" t="s">
        <v>6</v>
      </c>
      <c r="E40" s="767" t="s">
        <v>7</v>
      </c>
      <c r="F40" s="767" t="s">
        <v>26</v>
      </c>
      <c r="G40" s="767" t="s">
        <v>27</v>
      </c>
      <c r="H40" s="771" t="s">
        <v>28</v>
      </c>
      <c r="I40" s="773"/>
      <c r="J40" s="785" t="s">
        <v>29</v>
      </c>
      <c r="K40" s="785" t="s">
        <v>26</v>
      </c>
      <c r="L40" s="785" t="s">
        <v>27</v>
      </c>
      <c r="M40" s="771" t="s">
        <v>28</v>
      </c>
      <c r="N40" s="773"/>
      <c r="O40" s="785" t="s">
        <v>29</v>
      </c>
      <c r="P40" s="785" t="s">
        <v>26</v>
      </c>
      <c r="Q40" s="785" t="s">
        <v>27</v>
      </c>
      <c r="R40" s="771" t="s">
        <v>28</v>
      </c>
      <c r="S40" s="773"/>
      <c r="T40" s="785" t="s">
        <v>29</v>
      </c>
      <c r="U40" s="771" t="s">
        <v>30</v>
      </c>
      <c r="V40" s="772"/>
      <c r="W40" s="772"/>
      <c r="X40" s="772"/>
      <c r="Y40" s="773"/>
      <c r="Z40" s="771" t="s">
        <v>31</v>
      </c>
      <c r="AA40" s="772"/>
      <c r="AB40" s="772"/>
      <c r="AC40" s="772"/>
      <c r="AD40" s="773"/>
      <c r="AE40" s="771" t="s">
        <v>32</v>
      </c>
      <c r="AF40" s="772"/>
      <c r="AG40" s="772"/>
      <c r="AH40" s="773"/>
      <c r="AI40" s="771" t="s">
        <v>33</v>
      </c>
      <c r="AJ40" s="772"/>
      <c r="AK40" s="772"/>
      <c r="AL40" s="773"/>
      <c r="AM40" s="785" t="s">
        <v>34</v>
      </c>
      <c r="AN40" s="785" t="s">
        <v>35</v>
      </c>
      <c r="AO40" s="788" t="s">
        <v>36</v>
      </c>
      <c r="AP40" s="782" t="s">
        <v>37</v>
      </c>
      <c r="AQ40" s="785" t="s">
        <v>29</v>
      </c>
      <c r="AR40" s="785" t="s">
        <v>34</v>
      </c>
      <c r="AS40" s="785" t="s">
        <v>35</v>
      </c>
      <c r="AT40" s="788" t="s">
        <v>36</v>
      </c>
      <c r="AU40" s="782" t="s">
        <v>37</v>
      </c>
      <c r="AV40" s="785" t="s">
        <v>29</v>
      </c>
      <c r="AW40" s="785" t="s">
        <v>34</v>
      </c>
      <c r="AX40" s="785" t="s">
        <v>35</v>
      </c>
      <c r="AY40" s="788" t="s">
        <v>36</v>
      </c>
      <c r="AZ40" s="782" t="s">
        <v>37</v>
      </c>
      <c r="BA40" s="785" t="s">
        <v>29</v>
      </c>
      <c r="BB40" s="348"/>
    </row>
    <row r="41" spans="1:54" s="45" customFormat="1" ht="15" customHeight="1" x14ac:dyDescent="0.35">
      <c r="A41" s="775"/>
      <c r="B41" s="775"/>
      <c r="C41" s="768"/>
      <c r="D41" s="768"/>
      <c r="E41" s="768"/>
      <c r="F41" s="768"/>
      <c r="G41" s="768"/>
      <c r="H41" s="785" t="s">
        <v>36</v>
      </c>
      <c r="I41" s="782" t="s">
        <v>37</v>
      </c>
      <c r="J41" s="786"/>
      <c r="K41" s="786"/>
      <c r="L41" s="786"/>
      <c r="M41" s="785" t="s">
        <v>36</v>
      </c>
      <c r="N41" s="785" t="s">
        <v>37</v>
      </c>
      <c r="O41" s="786"/>
      <c r="P41" s="786"/>
      <c r="Q41" s="786"/>
      <c r="R41" s="785" t="s">
        <v>36</v>
      </c>
      <c r="S41" s="785" t="s">
        <v>37</v>
      </c>
      <c r="T41" s="786"/>
      <c r="U41" s="785" t="s">
        <v>26</v>
      </c>
      <c r="V41" s="785" t="s">
        <v>27</v>
      </c>
      <c r="W41" s="779" t="s">
        <v>28</v>
      </c>
      <c r="X41" s="781"/>
      <c r="Y41" s="785" t="s">
        <v>29</v>
      </c>
      <c r="Z41" s="785" t="s">
        <v>26</v>
      </c>
      <c r="AA41" s="785" t="s">
        <v>27</v>
      </c>
      <c r="AB41" s="779" t="s">
        <v>28</v>
      </c>
      <c r="AC41" s="781"/>
      <c r="AD41" s="785" t="s">
        <v>29</v>
      </c>
      <c r="AE41" s="771" t="s">
        <v>38</v>
      </c>
      <c r="AF41" s="772"/>
      <c r="AG41" s="772"/>
      <c r="AH41" s="773"/>
      <c r="AI41" s="771" t="s">
        <v>39</v>
      </c>
      <c r="AJ41" s="772"/>
      <c r="AK41" s="772"/>
      <c r="AL41" s="773"/>
      <c r="AM41" s="786"/>
      <c r="AN41" s="786"/>
      <c r="AO41" s="789"/>
      <c r="AP41" s="783"/>
      <c r="AQ41" s="786"/>
      <c r="AR41" s="786"/>
      <c r="AS41" s="786"/>
      <c r="AT41" s="789"/>
      <c r="AU41" s="783"/>
      <c r="AV41" s="786"/>
      <c r="AW41" s="786"/>
      <c r="AX41" s="786"/>
      <c r="AY41" s="789"/>
      <c r="AZ41" s="783"/>
      <c r="BA41" s="786"/>
      <c r="BB41" s="348"/>
    </row>
    <row r="42" spans="1:54" s="45" customFormat="1" ht="48" customHeight="1" x14ac:dyDescent="0.35">
      <c r="A42" s="776"/>
      <c r="B42" s="776"/>
      <c r="C42" s="769"/>
      <c r="D42" s="769"/>
      <c r="E42" s="769"/>
      <c r="F42" s="769"/>
      <c r="G42" s="769"/>
      <c r="H42" s="787"/>
      <c r="I42" s="784"/>
      <c r="J42" s="787"/>
      <c r="K42" s="787"/>
      <c r="L42" s="787"/>
      <c r="M42" s="787"/>
      <c r="N42" s="787"/>
      <c r="O42" s="787"/>
      <c r="P42" s="787"/>
      <c r="Q42" s="787"/>
      <c r="R42" s="787"/>
      <c r="S42" s="787"/>
      <c r="T42" s="787"/>
      <c r="U42" s="787"/>
      <c r="V42" s="787"/>
      <c r="W42" s="352" t="s">
        <v>36</v>
      </c>
      <c r="X42" s="353" t="s">
        <v>37</v>
      </c>
      <c r="Y42" s="787"/>
      <c r="Z42" s="787"/>
      <c r="AA42" s="787"/>
      <c r="AB42" s="352" t="s">
        <v>36</v>
      </c>
      <c r="AC42" s="353" t="s">
        <v>37</v>
      </c>
      <c r="AD42" s="787"/>
      <c r="AE42" s="352" t="s">
        <v>26</v>
      </c>
      <c r="AF42" s="352" t="s">
        <v>27</v>
      </c>
      <c r="AG42" s="352" t="s">
        <v>36</v>
      </c>
      <c r="AH42" s="353" t="s">
        <v>37</v>
      </c>
      <c r="AI42" s="352" t="s">
        <v>26</v>
      </c>
      <c r="AJ42" s="352" t="s">
        <v>27</v>
      </c>
      <c r="AK42" s="352" t="s">
        <v>36</v>
      </c>
      <c r="AL42" s="353" t="s">
        <v>37</v>
      </c>
      <c r="AM42" s="787"/>
      <c r="AN42" s="787"/>
      <c r="AO42" s="790"/>
      <c r="AP42" s="784"/>
      <c r="AQ42" s="787"/>
      <c r="AR42" s="787"/>
      <c r="AS42" s="787"/>
      <c r="AT42" s="790"/>
      <c r="AU42" s="784"/>
      <c r="AV42" s="787"/>
      <c r="AW42" s="787"/>
      <c r="AX42" s="787"/>
      <c r="AY42" s="790"/>
      <c r="AZ42" s="784"/>
      <c r="BA42" s="787"/>
      <c r="BB42" s="348"/>
    </row>
    <row r="43" spans="1:54" ht="30" customHeight="1" x14ac:dyDescent="0.35">
      <c r="A43" s="33">
        <v>1</v>
      </c>
      <c r="B43" s="34" t="str">
        <f>PETUNJUK!B9</f>
        <v>Pecangaan Kulon</v>
      </c>
      <c r="C43" s="35">
        <f>'1.DATA KIA'!C43</f>
        <v>101.2</v>
      </c>
      <c r="D43" s="35">
        <f>'1.DATA KIA'!D43</f>
        <v>96.600000000000009</v>
      </c>
      <c r="E43" s="35">
        <f t="shared" ref="E43:E64" si="35">E9</f>
        <v>0</v>
      </c>
      <c r="F43" s="36">
        <f t="shared" ref="F43:F64" si="36">H9</f>
        <v>7</v>
      </c>
      <c r="G43" s="36">
        <f>'1.DATA KIA'!F43</f>
        <v>8</v>
      </c>
      <c r="H43" s="36">
        <f>F43+G43</f>
        <v>15</v>
      </c>
      <c r="I43" s="37">
        <f t="shared" ref="I43:I60" si="37">H43/C43*100</f>
        <v>14.822134387351779</v>
      </c>
      <c r="J43" s="38"/>
      <c r="K43" s="36">
        <f t="shared" ref="K43:K57" si="38">M9</f>
        <v>6</v>
      </c>
      <c r="L43" s="36">
        <f>'1.DATA KIA'!J43</f>
        <v>7</v>
      </c>
      <c r="M43" s="36">
        <f>K43+L43</f>
        <v>13</v>
      </c>
      <c r="N43" s="37">
        <f>M43/D43*100</f>
        <v>13.457556935817806</v>
      </c>
      <c r="O43" s="38"/>
      <c r="P43" s="36">
        <f t="shared" ref="P43:P57" si="39">R9</f>
        <v>8</v>
      </c>
      <c r="Q43" s="36">
        <f>'1.DATA KIA'!M43</f>
        <v>8</v>
      </c>
      <c r="R43" s="36">
        <f>P43+Q43</f>
        <v>16</v>
      </c>
      <c r="S43" s="37">
        <f>R43/D43*100</f>
        <v>16.563146997929607</v>
      </c>
      <c r="T43" s="38"/>
      <c r="U43" s="33">
        <f t="shared" ref="U43:U60" si="40">W9</f>
        <v>3</v>
      </c>
      <c r="V43" s="36">
        <f>'1.DATA KIA'!Y43</f>
        <v>3</v>
      </c>
      <c r="W43" s="33">
        <f>U43+V43</f>
        <v>6</v>
      </c>
      <c r="X43" s="37">
        <f t="shared" ref="X43:X60" si="41">W43/(20%*C43)*100</f>
        <v>29.644268774703551</v>
      </c>
      <c r="Y43" s="40"/>
      <c r="Z43" s="33">
        <f t="shared" ref="Z43:Z60" si="42">AB9</f>
        <v>2</v>
      </c>
      <c r="AA43" s="36">
        <f>'1.DATA KIA'!Z43</f>
        <v>1</v>
      </c>
      <c r="AB43" s="33">
        <f>Z43+AA43</f>
        <v>3</v>
      </c>
      <c r="AC43" s="37">
        <f t="shared" ref="AC43:AC60" si="43">AB43/(20%*C43)*100</f>
        <v>14.822134387351776</v>
      </c>
      <c r="AD43" s="40"/>
      <c r="AE43" s="33">
        <f t="shared" ref="AE43:AE60" si="44">AG9</f>
        <v>2</v>
      </c>
      <c r="AF43" s="41">
        <f>'8.ANCTEPADU'!D45+'8.ANCTEPADU'!E45</f>
        <v>1</v>
      </c>
      <c r="AG43" s="33">
        <f>AE43+AF43</f>
        <v>3</v>
      </c>
      <c r="AH43" s="37">
        <f t="shared" ref="AH43:AH60" si="45">AG43/C43*100</f>
        <v>2.9644268774703555</v>
      </c>
      <c r="AI43" s="33">
        <f t="shared" ref="AI43:AI60" si="46">AK9</f>
        <v>0</v>
      </c>
      <c r="AJ43" s="41">
        <f>'8.ANCTEPADU'!J45</f>
        <v>0</v>
      </c>
      <c r="AK43" s="33">
        <f>AI43+AJ43</f>
        <v>0</v>
      </c>
      <c r="AL43" s="37">
        <f t="shared" ref="AL43:AL60" si="47">AK43/C43*100</f>
        <v>0</v>
      </c>
      <c r="AM43" s="33">
        <f t="shared" ref="AM43:AM60" si="48">AO9</f>
        <v>10</v>
      </c>
      <c r="AN43" s="36">
        <f>'1.DATA KIA'!AG43</f>
        <v>7</v>
      </c>
      <c r="AO43" s="33">
        <f>AN43+AM43</f>
        <v>17</v>
      </c>
      <c r="AP43" s="37" t="e">
        <f>AO43/E43*100</f>
        <v>#DIV/0!</v>
      </c>
      <c r="AQ43" s="40"/>
      <c r="AR43" s="42">
        <f t="shared" ref="AR43:AR60" si="49">AT9</f>
        <v>10</v>
      </c>
      <c r="AS43" s="36">
        <f>'1.DATA KIA'!AB43</f>
        <v>7</v>
      </c>
      <c r="AT43" s="36">
        <f>AS43+AR43</f>
        <v>17</v>
      </c>
      <c r="AU43" s="37">
        <f>AT43/D43*100</f>
        <v>17.598343685300204</v>
      </c>
      <c r="AV43" s="40"/>
      <c r="AW43" s="36">
        <f t="shared" ref="AW43:AW64" si="50">AY9</f>
        <v>1</v>
      </c>
      <c r="AX43" s="36">
        <f>'1.DATA KIA'!AF43</f>
        <v>4</v>
      </c>
      <c r="AY43" s="36">
        <f>AW43+AX43</f>
        <v>5</v>
      </c>
      <c r="AZ43" s="37">
        <f>AY43/(20%*C43)*100</f>
        <v>24.703557312252965</v>
      </c>
      <c r="BA43" s="40"/>
    </row>
    <row r="44" spans="1:54" ht="30" customHeight="1" x14ac:dyDescent="0.35">
      <c r="A44" s="33">
        <v>2</v>
      </c>
      <c r="B44" s="34" t="str">
        <f>PETUNJUK!B10</f>
        <v>Rengging</v>
      </c>
      <c r="C44" s="35">
        <f>'1.DATA KIA'!C44</f>
        <v>111.10000000000001</v>
      </c>
      <c r="D44" s="35">
        <f>'1.DATA KIA'!D44</f>
        <v>106.05000000000001</v>
      </c>
      <c r="E44" s="35">
        <f t="shared" si="35"/>
        <v>0</v>
      </c>
      <c r="F44" s="36">
        <f t="shared" si="36"/>
        <v>23</v>
      </c>
      <c r="G44" s="36">
        <f>'1.DATA KIA'!F44</f>
        <v>6</v>
      </c>
      <c r="H44" s="36">
        <f t="shared" ref="H44:H60" si="51">F44+G44</f>
        <v>29</v>
      </c>
      <c r="I44" s="37">
        <f t="shared" si="37"/>
        <v>26.102610261026101</v>
      </c>
      <c r="J44" s="38"/>
      <c r="K44" s="36">
        <f t="shared" si="38"/>
        <v>9</v>
      </c>
      <c r="L44" s="36">
        <f>'1.DATA KIA'!J44</f>
        <v>4</v>
      </c>
      <c r="M44" s="36">
        <f t="shared" ref="M44:M57" si="52">K44+L44</f>
        <v>13</v>
      </c>
      <c r="N44" s="37">
        <f t="shared" ref="N44:N64" si="53">M44/D44*100</f>
        <v>12.258368694012258</v>
      </c>
      <c r="O44" s="38"/>
      <c r="P44" s="36">
        <f t="shared" si="39"/>
        <v>20</v>
      </c>
      <c r="Q44" s="36">
        <f>'1.DATA KIA'!M44</f>
        <v>6</v>
      </c>
      <c r="R44" s="36">
        <f t="shared" ref="R44:R57" si="54">P44+Q44</f>
        <v>26</v>
      </c>
      <c r="S44" s="37">
        <f t="shared" ref="S44:S64" si="55">R44/D44*100</f>
        <v>24.516737388024517</v>
      </c>
      <c r="T44" s="38"/>
      <c r="U44" s="33">
        <f t="shared" si="40"/>
        <v>3</v>
      </c>
      <c r="V44" s="36">
        <f>'1.DATA KIA'!Y44</f>
        <v>2</v>
      </c>
      <c r="W44" s="33">
        <f t="shared" ref="W44:W60" si="56">U44+V44</f>
        <v>5</v>
      </c>
      <c r="X44" s="37">
        <f t="shared" si="41"/>
        <v>22.5022502250225</v>
      </c>
      <c r="Y44" s="40"/>
      <c r="Z44" s="33">
        <f t="shared" si="42"/>
        <v>2</v>
      </c>
      <c r="AA44" s="36">
        <f>'1.DATA KIA'!Z44</f>
        <v>1</v>
      </c>
      <c r="AB44" s="33">
        <f t="shared" ref="AB44:AB60" si="57">Z44+AA44</f>
        <v>3</v>
      </c>
      <c r="AC44" s="37">
        <f t="shared" si="43"/>
        <v>13.501350135013501</v>
      </c>
      <c r="AD44" s="40"/>
      <c r="AE44" s="33">
        <f t="shared" si="44"/>
        <v>2</v>
      </c>
      <c r="AF44" s="41">
        <f>'8.ANCTEPADU'!D46+'8.ANCTEPADU'!E46</f>
        <v>1</v>
      </c>
      <c r="AG44" s="33">
        <f t="shared" ref="AG44:AG60" si="58">AE44+AF44</f>
        <v>3</v>
      </c>
      <c r="AH44" s="37">
        <f t="shared" si="45"/>
        <v>2.7002700270027002</v>
      </c>
      <c r="AI44" s="33">
        <f t="shared" si="46"/>
        <v>3</v>
      </c>
      <c r="AJ44" s="41">
        <f>'8.ANCTEPADU'!J46</f>
        <v>3</v>
      </c>
      <c r="AK44" s="33">
        <f t="shared" ref="AK44:AK60" si="59">AI44+AJ44</f>
        <v>6</v>
      </c>
      <c r="AL44" s="37">
        <f t="shared" si="47"/>
        <v>5.4005400540054005</v>
      </c>
      <c r="AM44" s="33">
        <f t="shared" si="48"/>
        <v>14</v>
      </c>
      <c r="AN44" s="36">
        <f>'1.DATA KIA'!AG44</f>
        <v>4</v>
      </c>
      <c r="AO44" s="33">
        <f t="shared" ref="AO44:AO53" si="60">AN44+AM44</f>
        <v>18</v>
      </c>
      <c r="AP44" s="37" t="e">
        <f t="shared" ref="AP44:AP60" si="61">AO44/E44*100</f>
        <v>#DIV/0!</v>
      </c>
      <c r="AQ44" s="40"/>
      <c r="AR44" s="42">
        <f t="shared" si="49"/>
        <v>14</v>
      </c>
      <c r="AS44" s="36">
        <f>'1.DATA KIA'!AB44</f>
        <v>4</v>
      </c>
      <c r="AT44" s="33">
        <f t="shared" ref="AT44:AT53" si="62">AS44+AR44</f>
        <v>18</v>
      </c>
      <c r="AU44" s="37">
        <f t="shared" ref="AU44:AU60" si="63">AT44/D44*100</f>
        <v>16.973125884016969</v>
      </c>
      <c r="AV44" s="40"/>
      <c r="AW44" s="36">
        <f t="shared" si="50"/>
        <v>2</v>
      </c>
      <c r="AX44" s="36">
        <f>'1.DATA KIA'!AF44</f>
        <v>0</v>
      </c>
      <c r="AY44" s="36">
        <f t="shared" ref="AY44:AY60" si="64">AW44+AX44</f>
        <v>2</v>
      </c>
      <c r="AZ44" s="37">
        <f t="shared" ref="AZ44:AZ64" si="65">AY44/(20%*C44)*100</f>
        <v>9.000900090008999</v>
      </c>
      <c r="BA44" s="40"/>
    </row>
    <row r="45" spans="1:54" ht="30" customHeight="1" x14ac:dyDescent="0.35">
      <c r="A45" s="33">
        <v>3</v>
      </c>
      <c r="B45" s="34" t="str">
        <f>PETUNJUK!B11</f>
        <v>Troso</v>
      </c>
      <c r="C45" s="35">
        <f>'1.DATA KIA'!C45</f>
        <v>205.70000000000002</v>
      </c>
      <c r="D45" s="35">
        <f>'1.DATA KIA'!D45</f>
        <v>196.35</v>
      </c>
      <c r="E45" s="35">
        <f t="shared" si="35"/>
        <v>0</v>
      </c>
      <c r="F45" s="36">
        <f t="shared" si="36"/>
        <v>18</v>
      </c>
      <c r="G45" s="36">
        <f>'1.DATA KIA'!F45</f>
        <v>17</v>
      </c>
      <c r="H45" s="36">
        <f t="shared" si="51"/>
        <v>35</v>
      </c>
      <c r="I45" s="37">
        <f t="shared" si="37"/>
        <v>17.015070491006316</v>
      </c>
      <c r="J45" s="38"/>
      <c r="K45" s="36">
        <f t="shared" si="38"/>
        <v>15</v>
      </c>
      <c r="L45" s="36">
        <f>'1.DATA KIA'!J45</f>
        <v>13</v>
      </c>
      <c r="M45" s="36">
        <f t="shared" si="52"/>
        <v>28</v>
      </c>
      <c r="N45" s="37">
        <f t="shared" si="53"/>
        <v>14.260249554367203</v>
      </c>
      <c r="O45" s="38"/>
      <c r="P45" s="36">
        <f t="shared" si="39"/>
        <v>19</v>
      </c>
      <c r="Q45" s="36">
        <f>'1.DATA KIA'!M45</f>
        <v>20</v>
      </c>
      <c r="R45" s="36">
        <f t="shared" si="54"/>
        <v>39</v>
      </c>
      <c r="S45" s="37">
        <f t="shared" si="55"/>
        <v>19.862490450725744</v>
      </c>
      <c r="T45" s="38"/>
      <c r="U45" s="33">
        <f t="shared" si="40"/>
        <v>3</v>
      </c>
      <c r="V45" s="36">
        <f>'1.DATA KIA'!Y45</f>
        <v>4</v>
      </c>
      <c r="W45" s="33">
        <f t="shared" si="56"/>
        <v>7</v>
      </c>
      <c r="X45" s="37">
        <f t="shared" si="41"/>
        <v>17.015070491006316</v>
      </c>
      <c r="Y45" s="40"/>
      <c r="Z45" s="33">
        <f t="shared" si="42"/>
        <v>2</v>
      </c>
      <c r="AA45" s="36">
        <f>'1.DATA KIA'!Z45</f>
        <v>5</v>
      </c>
      <c r="AB45" s="33">
        <f t="shared" si="57"/>
        <v>7</v>
      </c>
      <c r="AC45" s="37">
        <f t="shared" si="43"/>
        <v>17.015070491006316</v>
      </c>
      <c r="AD45" s="40"/>
      <c r="AE45" s="33">
        <f t="shared" si="44"/>
        <v>1</v>
      </c>
      <c r="AF45" s="41">
        <f>'8.ANCTEPADU'!D47+'8.ANCTEPADU'!E47</f>
        <v>1</v>
      </c>
      <c r="AG45" s="33">
        <f t="shared" si="58"/>
        <v>2</v>
      </c>
      <c r="AH45" s="37">
        <f t="shared" si="45"/>
        <v>0.97228974234321808</v>
      </c>
      <c r="AI45" s="33">
        <f t="shared" si="46"/>
        <v>3</v>
      </c>
      <c r="AJ45" s="41">
        <f>'8.ANCTEPADU'!J47</f>
        <v>3</v>
      </c>
      <c r="AK45" s="33">
        <f t="shared" si="59"/>
        <v>6</v>
      </c>
      <c r="AL45" s="37">
        <f t="shared" si="47"/>
        <v>2.9168692270296543</v>
      </c>
      <c r="AM45" s="33">
        <f t="shared" si="48"/>
        <v>17</v>
      </c>
      <c r="AN45" s="36">
        <f>'1.DATA KIA'!AG45</f>
        <v>17</v>
      </c>
      <c r="AO45" s="33">
        <f t="shared" si="60"/>
        <v>34</v>
      </c>
      <c r="AP45" s="37" t="e">
        <f t="shared" si="61"/>
        <v>#DIV/0!</v>
      </c>
      <c r="AQ45" s="40"/>
      <c r="AR45" s="42">
        <f t="shared" si="49"/>
        <v>17</v>
      </c>
      <c r="AS45" s="36">
        <f>'1.DATA KIA'!AB45</f>
        <v>17</v>
      </c>
      <c r="AT45" s="33">
        <f t="shared" si="62"/>
        <v>34</v>
      </c>
      <c r="AU45" s="37">
        <f t="shared" si="63"/>
        <v>17.316017316017316</v>
      </c>
      <c r="AV45" s="40"/>
      <c r="AW45" s="36">
        <f t="shared" si="50"/>
        <v>4</v>
      </c>
      <c r="AX45" s="36">
        <f>'1.DATA KIA'!AF45</f>
        <v>2</v>
      </c>
      <c r="AY45" s="36">
        <f t="shared" si="64"/>
        <v>6</v>
      </c>
      <c r="AZ45" s="37">
        <f t="shared" si="65"/>
        <v>14.584346135148271</v>
      </c>
      <c r="BA45" s="40"/>
    </row>
    <row r="46" spans="1:54" ht="30" customHeight="1" x14ac:dyDescent="0.35">
      <c r="A46" s="33">
        <v>4</v>
      </c>
      <c r="B46" s="34" t="str">
        <f>PETUNJUK!B12</f>
        <v>Ngeling</v>
      </c>
      <c r="C46" s="35">
        <f>'1.DATA KIA'!C46</f>
        <v>95.7</v>
      </c>
      <c r="D46" s="35">
        <f>'1.DATA KIA'!D46</f>
        <v>91.350000000000009</v>
      </c>
      <c r="E46" s="35">
        <f t="shared" si="35"/>
        <v>0</v>
      </c>
      <c r="F46" s="36">
        <f t="shared" si="36"/>
        <v>7</v>
      </c>
      <c r="G46" s="36">
        <f>'1.DATA KIA'!F46</f>
        <v>4</v>
      </c>
      <c r="H46" s="36">
        <f t="shared" si="51"/>
        <v>11</v>
      </c>
      <c r="I46" s="37">
        <f t="shared" si="37"/>
        <v>11.494252873563218</v>
      </c>
      <c r="J46" s="38"/>
      <c r="K46" s="36">
        <f t="shared" si="38"/>
        <v>8</v>
      </c>
      <c r="L46" s="36">
        <f>'1.DATA KIA'!J46</f>
        <v>6</v>
      </c>
      <c r="M46" s="36">
        <f t="shared" si="52"/>
        <v>14</v>
      </c>
      <c r="N46" s="37">
        <f t="shared" si="53"/>
        <v>15.325670498084291</v>
      </c>
      <c r="O46" s="38"/>
      <c r="P46" s="36">
        <f t="shared" si="39"/>
        <v>6</v>
      </c>
      <c r="Q46" s="36">
        <f>'1.DATA KIA'!M46</f>
        <v>5</v>
      </c>
      <c r="R46" s="36">
        <f t="shared" si="54"/>
        <v>11</v>
      </c>
      <c r="S46" s="37">
        <f t="shared" si="55"/>
        <v>12.041598248494799</v>
      </c>
      <c r="T46" s="38"/>
      <c r="U46" s="33">
        <f t="shared" si="40"/>
        <v>2</v>
      </c>
      <c r="V46" s="36">
        <f>'1.DATA KIA'!Y46</f>
        <v>3</v>
      </c>
      <c r="W46" s="33">
        <f t="shared" si="56"/>
        <v>5</v>
      </c>
      <c r="X46" s="37">
        <f t="shared" si="41"/>
        <v>26.123301985370951</v>
      </c>
      <c r="Y46" s="40"/>
      <c r="Z46" s="33">
        <f t="shared" si="42"/>
        <v>2</v>
      </c>
      <c r="AA46" s="36">
        <f>'1.DATA KIA'!Z46</f>
        <v>3</v>
      </c>
      <c r="AB46" s="33">
        <f t="shared" si="57"/>
        <v>5</v>
      </c>
      <c r="AC46" s="37">
        <f t="shared" si="43"/>
        <v>26.123301985370951</v>
      </c>
      <c r="AD46" s="40"/>
      <c r="AE46" s="33">
        <f t="shared" si="44"/>
        <v>0</v>
      </c>
      <c r="AF46" s="41">
        <f>'8.ANCTEPADU'!D48+'8.ANCTEPADU'!E48</f>
        <v>2</v>
      </c>
      <c r="AG46" s="33">
        <f t="shared" si="58"/>
        <v>2</v>
      </c>
      <c r="AH46" s="37">
        <f t="shared" si="45"/>
        <v>2.089864158829676</v>
      </c>
      <c r="AI46" s="33">
        <f t="shared" si="46"/>
        <v>2</v>
      </c>
      <c r="AJ46" s="41">
        <f>'8.ANCTEPADU'!J48</f>
        <v>2</v>
      </c>
      <c r="AK46" s="33">
        <f t="shared" si="59"/>
        <v>4</v>
      </c>
      <c r="AL46" s="37">
        <f t="shared" si="47"/>
        <v>4.179728317659352</v>
      </c>
      <c r="AM46" s="33">
        <f t="shared" si="48"/>
        <v>9</v>
      </c>
      <c r="AN46" s="36">
        <f>'1.DATA KIA'!AG46</f>
        <v>7</v>
      </c>
      <c r="AO46" s="33">
        <f t="shared" si="60"/>
        <v>16</v>
      </c>
      <c r="AP46" s="37" t="e">
        <f t="shared" si="61"/>
        <v>#DIV/0!</v>
      </c>
      <c r="AQ46" s="40"/>
      <c r="AR46" s="42">
        <f t="shared" si="49"/>
        <v>9</v>
      </c>
      <c r="AS46" s="36">
        <f>'1.DATA KIA'!AB46</f>
        <v>7</v>
      </c>
      <c r="AT46" s="33">
        <f t="shared" si="62"/>
        <v>16</v>
      </c>
      <c r="AU46" s="37">
        <f t="shared" si="63"/>
        <v>17.515051997810616</v>
      </c>
      <c r="AV46" s="40"/>
      <c r="AW46" s="36">
        <f t="shared" si="50"/>
        <v>3</v>
      </c>
      <c r="AX46" s="36">
        <f>'1.DATA KIA'!AF46</f>
        <v>3</v>
      </c>
      <c r="AY46" s="36">
        <f t="shared" si="64"/>
        <v>6</v>
      </c>
      <c r="AZ46" s="37">
        <f t="shared" si="65"/>
        <v>31.347962382445139</v>
      </c>
      <c r="BA46" s="40"/>
    </row>
    <row r="47" spans="1:54" ht="30" customHeight="1" x14ac:dyDescent="0.35">
      <c r="A47" s="33">
        <v>5</v>
      </c>
      <c r="B47" s="34" t="str">
        <f>PETUNJUK!B13</f>
        <v>Lebuawu</v>
      </c>
      <c r="C47" s="35">
        <f>'1.DATA KIA'!C47</f>
        <v>85.800000000000011</v>
      </c>
      <c r="D47" s="35">
        <f>'1.DATA KIA'!D47</f>
        <v>81.900000000000006</v>
      </c>
      <c r="E47" s="35">
        <f t="shared" si="35"/>
        <v>0</v>
      </c>
      <c r="F47" s="36">
        <f t="shared" si="36"/>
        <v>9</v>
      </c>
      <c r="G47" s="36">
        <f>'1.DATA KIA'!F47</f>
        <v>11</v>
      </c>
      <c r="H47" s="36">
        <f t="shared" si="51"/>
        <v>20</v>
      </c>
      <c r="I47" s="37">
        <f t="shared" si="37"/>
        <v>23.310023310023308</v>
      </c>
      <c r="J47" s="38"/>
      <c r="K47" s="36">
        <f t="shared" si="38"/>
        <v>7</v>
      </c>
      <c r="L47" s="36">
        <f>'1.DATA KIA'!J47</f>
        <v>5</v>
      </c>
      <c r="M47" s="36">
        <f t="shared" si="52"/>
        <v>12</v>
      </c>
      <c r="N47" s="37">
        <f t="shared" si="53"/>
        <v>14.65201465201465</v>
      </c>
      <c r="O47" s="38"/>
      <c r="P47" s="36">
        <f t="shared" si="39"/>
        <v>6</v>
      </c>
      <c r="Q47" s="36">
        <f>'1.DATA KIA'!M47</f>
        <v>4</v>
      </c>
      <c r="R47" s="36">
        <f t="shared" si="54"/>
        <v>10</v>
      </c>
      <c r="S47" s="37">
        <f t="shared" si="55"/>
        <v>12.210012210012209</v>
      </c>
      <c r="T47" s="38"/>
      <c r="U47" s="33">
        <f t="shared" si="40"/>
        <v>1</v>
      </c>
      <c r="V47" s="36">
        <f>'1.DATA KIA'!Y47</f>
        <v>2</v>
      </c>
      <c r="W47" s="33">
        <f t="shared" si="56"/>
        <v>3</v>
      </c>
      <c r="X47" s="37">
        <f t="shared" si="41"/>
        <v>17.48251748251748</v>
      </c>
      <c r="Y47" s="40"/>
      <c r="Z47" s="33">
        <f t="shared" si="42"/>
        <v>1</v>
      </c>
      <c r="AA47" s="36">
        <f>'1.DATA KIA'!Z47</f>
        <v>2</v>
      </c>
      <c r="AB47" s="33">
        <f t="shared" si="57"/>
        <v>3</v>
      </c>
      <c r="AC47" s="37">
        <f t="shared" si="43"/>
        <v>17.48251748251748</v>
      </c>
      <c r="AD47" s="40"/>
      <c r="AE47" s="33">
        <f t="shared" si="44"/>
        <v>2</v>
      </c>
      <c r="AF47" s="41">
        <f>'8.ANCTEPADU'!D49+'8.ANCTEPADU'!E49</f>
        <v>0</v>
      </c>
      <c r="AG47" s="33">
        <f t="shared" si="58"/>
        <v>2</v>
      </c>
      <c r="AH47" s="37">
        <f t="shared" si="45"/>
        <v>2.3310023310023307</v>
      </c>
      <c r="AI47" s="33">
        <f t="shared" si="46"/>
        <v>1</v>
      </c>
      <c r="AJ47" s="41">
        <f>'8.ANCTEPADU'!J49</f>
        <v>2</v>
      </c>
      <c r="AK47" s="33">
        <f t="shared" si="59"/>
        <v>3</v>
      </c>
      <c r="AL47" s="37">
        <f t="shared" si="47"/>
        <v>3.4965034965034962</v>
      </c>
      <c r="AM47" s="33">
        <f t="shared" si="48"/>
        <v>7</v>
      </c>
      <c r="AN47" s="36">
        <f>'1.DATA KIA'!AG47</f>
        <v>4</v>
      </c>
      <c r="AO47" s="33">
        <f t="shared" si="60"/>
        <v>11</v>
      </c>
      <c r="AP47" s="37" t="e">
        <f t="shared" si="61"/>
        <v>#DIV/0!</v>
      </c>
      <c r="AQ47" s="40"/>
      <c r="AR47" s="42">
        <f t="shared" si="49"/>
        <v>7</v>
      </c>
      <c r="AS47" s="36">
        <f>'1.DATA KIA'!AB47</f>
        <v>4</v>
      </c>
      <c r="AT47" s="33">
        <f t="shared" si="62"/>
        <v>11</v>
      </c>
      <c r="AU47" s="37">
        <f t="shared" si="63"/>
        <v>13.431013431013431</v>
      </c>
      <c r="AV47" s="40"/>
      <c r="AW47" s="36">
        <f t="shared" si="50"/>
        <v>0</v>
      </c>
      <c r="AX47" s="36">
        <f>'1.DATA KIA'!AF47</f>
        <v>0</v>
      </c>
      <c r="AY47" s="36">
        <f t="shared" si="64"/>
        <v>0</v>
      </c>
      <c r="AZ47" s="37">
        <f t="shared" si="65"/>
        <v>0</v>
      </c>
      <c r="BA47" s="40"/>
    </row>
    <row r="48" spans="1:54" ht="30" customHeight="1" x14ac:dyDescent="0.35">
      <c r="A48" s="33">
        <v>6</v>
      </c>
      <c r="B48" s="34" t="str">
        <f>PETUNJUK!B14</f>
        <v>Pulodarat</v>
      </c>
      <c r="C48" s="35">
        <f>'1.DATA KIA'!C48</f>
        <v>82.5</v>
      </c>
      <c r="D48" s="35">
        <f>'1.DATA KIA'!D48</f>
        <v>78.75</v>
      </c>
      <c r="E48" s="35">
        <f t="shared" si="35"/>
        <v>0</v>
      </c>
      <c r="F48" s="36">
        <f t="shared" si="36"/>
        <v>5</v>
      </c>
      <c r="G48" s="36">
        <f>'1.DATA KIA'!F48</f>
        <v>4</v>
      </c>
      <c r="H48" s="36">
        <f t="shared" si="51"/>
        <v>9</v>
      </c>
      <c r="I48" s="37">
        <f t="shared" si="37"/>
        <v>10.909090909090908</v>
      </c>
      <c r="J48" s="38"/>
      <c r="K48" s="36">
        <f t="shared" si="38"/>
        <v>6</v>
      </c>
      <c r="L48" s="36">
        <f>'1.DATA KIA'!J48</f>
        <v>5</v>
      </c>
      <c r="M48" s="36">
        <f t="shared" si="52"/>
        <v>11</v>
      </c>
      <c r="N48" s="37">
        <f t="shared" si="53"/>
        <v>13.968253968253968</v>
      </c>
      <c r="O48" s="38"/>
      <c r="P48" s="36">
        <f t="shared" si="39"/>
        <v>6</v>
      </c>
      <c r="Q48" s="36">
        <f>'1.DATA KIA'!M48</f>
        <v>5</v>
      </c>
      <c r="R48" s="36">
        <f t="shared" si="54"/>
        <v>11</v>
      </c>
      <c r="S48" s="37">
        <f t="shared" si="55"/>
        <v>13.968253968253968</v>
      </c>
      <c r="T48" s="38"/>
      <c r="U48" s="33">
        <f t="shared" si="40"/>
        <v>0</v>
      </c>
      <c r="V48" s="36">
        <f>'1.DATA KIA'!Y48</f>
        <v>0</v>
      </c>
      <c r="W48" s="33">
        <f t="shared" si="56"/>
        <v>0</v>
      </c>
      <c r="X48" s="37">
        <f t="shared" si="41"/>
        <v>0</v>
      </c>
      <c r="Y48" s="40"/>
      <c r="Z48" s="33">
        <f t="shared" si="42"/>
        <v>0</v>
      </c>
      <c r="AA48" s="36">
        <f>'1.DATA KIA'!Z48</f>
        <v>0</v>
      </c>
      <c r="AB48" s="33">
        <f t="shared" si="57"/>
        <v>0</v>
      </c>
      <c r="AC48" s="37">
        <f t="shared" si="43"/>
        <v>0</v>
      </c>
      <c r="AD48" s="40"/>
      <c r="AE48" s="33">
        <f t="shared" si="44"/>
        <v>1</v>
      </c>
      <c r="AF48" s="41">
        <f>'8.ANCTEPADU'!D50+'8.ANCTEPADU'!E50</f>
        <v>1</v>
      </c>
      <c r="AG48" s="33">
        <f t="shared" si="58"/>
        <v>2</v>
      </c>
      <c r="AH48" s="37">
        <f t="shared" si="45"/>
        <v>2.4242424242424243</v>
      </c>
      <c r="AI48" s="33">
        <f t="shared" si="46"/>
        <v>0</v>
      </c>
      <c r="AJ48" s="41">
        <f>'8.ANCTEPADU'!J50</f>
        <v>0</v>
      </c>
      <c r="AK48" s="33">
        <f t="shared" si="59"/>
        <v>0</v>
      </c>
      <c r="AL48" s="37">
        <f t="shared" si="47"/>
        <v>0</v>
      </c>
      <c r="AM48" s="33">
        <f t="shared" si="48"/>
        <v>7</v>
      </c>
      <c r="AN48" s="36">
        <f>'1.DATA KIA'!AG48</f>
        <v>4</v>
      </c>
      <c r="AO48" s="33">
        <f t="shared" si="60"/>
        <v>11</v>
      </c>
      <c r="AP48" s="37" t="e">
        <f t="shared" si="61"/>
        <v>#DIV/0!</v>
      </c>
      <c r="AQ48" s="40"/>
      <c r="AR48" s="42">
        <f t="shared" si="49"/>
        <v>7</v>
      </c>
      <c r="AS48" s="36">
        <f>'1.DATA KIA'!AB48</f>
        <v>4</v>
      </c>
      <c r="AT48" s="33">
        <f t="shared" si="62"/>
        <v>11</v>
      </c>
      <c r="AU48" s="37">
        <f t="shared" si="63"/>
        <v>13.968253968253968</v>
      </c>
      <c r="AV48" s="40"/>
      <c r="AW48" s="36">
        <f t="shared" si="50"/>
        <v>0</v>
      </c>
      <c r="AX48" s="36">
        <f>'1.DATA KIA'!AF48</f>
        <v>2</v>
      </c>
      <c r="AY48" s="36">
        <f t="shared" si="64"/>
        <v>2</v>
      </c>
      <c r="AZ48" s="37">
        <f t="shared" si="65"/>
        <v>12.121212121212121</v>
      </c>
      <c r="BA48" s="40"/>
    </row>
    <row r="49" spans="1:53" ht="30" customHeight="1" x14ac:dyDescent="0.35">
      <c r="A49" s="33">
        <v>7</v>
      </c>
      <c r="B49" s="34" t="str">
        <f>PETUNJUK!B15</f>
        <v>Karangrandu</v>
      </c>
      <c r="C49" s="35">
        <f>'1.DATA KIA'!C49</f>
        <v>93.500000000000014</v>
      </c>
      <c r="D49" s="35">
        <f>'1.DATA KIA'!D49</f>
        <v>89.25</v>
      </c>
      <c r="E49" s="35">
        <f t="shared" si="35"/>
        <v>0</v>
      </c>
      <c r="F49" s="36">
        <f t="shared" si="36"/>
        <v>7</v>
      </c>
      <c r="G49" s="36">
        <f>'1.DATA KIA'!F49</f>
        <v>8</v>
      </c>
      <c r="H49" s="36">
        <f t="shared" si="51"/>
        <v>15</v>
      </c>
      <c r="I49" s="37">
        <f t="shared" si="37"/>
        <v>16.042780748663098</v>
      </c>
      <c r="J49" s="38"/>
      <c r="K49" s="36">
        <f t="shared" si="38"/>
        <v>5</v>
      </c>
      <c r="L49" s="36">
        <f>'1.DATA KIA'!J49</f>
        <v>8</v>
      </c>
      <c r="M49" s="36">
        <f t="shared" si="52"/>
        <v>13</v>
      </c>
      <c r="N49" s="37">
        <f t="shared" si="53"/>
        <v>14.565826330532214</v>
      </c>
      <c r="O49" s="38"/>
      <c r="P49" s="36">
        <f t="shared" si="39"/>
        <v>5</v>
      </c>
      <c r="Q49" s="36">
        <f>'1.DATA KIA'!M49</f>
        <v>7</v>
      </c>
      <c r="R49" s="36">
        <f t="shared" si="54"/>
        <v>12</v>
      </c>
      <c r="S49" s="37">
        <f t="shared" si="55"/>
        <v>13.445378151260504</v>
      </c>
      <c r="T49" s="38"/>
      <c r="U49" s="33">
        <f t="shared" si="40"/>
        <v>3</v>
      </c>
      <c r="V49" s="36">
        <f>'1.DATA KIA'!Y49</f>
        <v>2</v>
      </c>
      <c r="W49" s="33">
        <f t="shared" si="56"/>
        <v>5</v>
      </c>
      <c r="X49" s="37">
        <f t="shared" si="41"/>
        <v>26.737967914438499</v>
      </c>
      <c r="Y49" s="40"/>
      <c r="Z49" s="33">
        <f t="shared" si="42"/>
        <v>1</v>
      </c>
      <c r="AA49" s="36">
        <f>'1.DATA KIA'!Z49</f>
        <v>1</v>
      </c>
      <c r="AB49" s="33">
        <f t="shared" si="57"/>
        <v>2</v>
      </c>
      <c r="AC49" s="37">
        <f t="shared" si="43"/>
        <v>10.695187165775399</v>
      </c>
      <c r="AD49" s="40"/>
      <c r="AE49" s="33">
        <f t="shared" si="44"/>
        <v>0</v>
      </c>
      <c r="AF49" s="41">
        <f>'8.ANCTEPADU'!D51+'8.ANCTEPADU'!E51</f>
        <v>1</v>
      </c>
      <c r="AG49" s="33">
        <f t="shared" si="58"/>
        <v>1</v>
      </c>
      <c r="AH49" s="37">
        <f t="shared" si="45"/>
        <v>1.0695187165775399</v>
      </c>
      <c r="AI49" s="33">
        <f t="shared" si="46"/>
        <v>0</v>
      </c>
      <c r="AJ49" s="41">
        <f>'8.ANCTEPADU'!J51</f>
        <v>1</v>
      </c>
      <c r="AK49" s="33">
        <f t="shared" si="59"/>
        <v>1</v>
      </c>
      <c r="AL49" s="37">
        <f t="shared" si="47"/>
        <v>1.0695187165775399</v>
      </c>
      <c r="AM49" s="33">
        <f t="shared" si="48"/>
        <v>5</v>
      </c>
      <c r="AN49" s="36">
        <f>'1.DATA KIA'!AG49</f>
        <v>4</v>
      </c>
      <c r="AO49" s="33">
        <f t="shared" si="60"/>
        <v>9</v>
      </c>
      <c r="AP49" s="37" t="e">
        <f t="shared" si="61"/>
        <v>#DIV/0!</v>
      </c>
      <c r="AQ49" s="40"/>
      <c r="AR49" s="42">
        <f t="shared" si="49"/>
        <v>5</v>
      </c>
      <c r="AS49" s="36">
        <f>'1.DATA KIA'!AB49</f>
        <v>5</v>
      </c>
      <c r="AT49" s="33">
        <f t="shared" si="62"/>
        <v>10</v>
      </c>
      <c r="AU49" s="37">
        <f t="shared" si="63"/>
        <v>11.204481792717088</v>
      </c>
      <c r="AV49" s="40"/>
      <c r="AW49" s="36">
        <f t="shared" si="50"/>
        <v>0</v>
      </c>
      <c r="AX49" s="36">
        <f>'1.DATA KIA'!AF49</f>
        <v>2</v>
      </c>
      <c r="AY49" s="36">
        <f t="shared" si="64"/>
        <v>2</v>
      </c>
      <c r="AZ49" s="37">
        <f t="shared" si="65"/>
        <v>10.695187165775399</v>
      </c>
      <c r="BA49" s="40"/>
    </row>
    <row r="50" spans="1:53" ht="30" customHeight="1" x14ac:dyDescent="0.35">
      <c r="A50" s="33">
        <v>8</v>
      </c>
      <c r="B50" s="34" t="str">
        <f>PETUNJUK!B16</f>
        <v>Kaliombo</v>
      </c>
      <c r="C50" s="35">
        <f>'1.DATA KIA'!C50</f>
        <v>46.2</v>
      </c>
      <c r="D50" s="35">
        <f>'1.DATA KIA'!D50</f>
        <v>44.1</v>
      </c>
      <c r="E50" s="35">
        <f t="shared" si="35"/>
        <v>0</v>
      </c>
      <c r="F50" s="36">
        <f t="shared" si="36"/>
        <v>1</v>
      </c>
      <c r="G50" s="36">
        <f>'1.DATA KIA'!F50</f>
        <v>5</v>
      </c>
      <c r="H50" s="36">
        <f t="shared" si="51"/>
        <v>6</v>
      </c>
      <c r="I50" s="37">
        <f t="shared" si="37"/>
        <v>12.987012987012985</v>
      </c>
      <c r="J50" s="38"/>
      <c r="K50" s="36">
        <f t="shared" si="38"/>
        <v>1</v>
      </c>
      <c r="L50" s="36">
        <f>'1.DATA KIA'!J50</f>
        <v>5</v>
      </c>
      <c r="M50" s="36">
        <f t="shared" si="52"/>
        <v>6</v>
      </c>
      <c r="N50" s="37">
        <f t="shared" si="53"/>
        <v>13.605442176870747</v>
      </c>
      <c r="O50" s="38"/>
      <c r="P50" s="36">
        <f t="shared" si="39"/>
        <v>1</v>
      </c>
      <c r="Q50" s="36">
        <f>'1.DATA KIA'!M50</f>
        <v>5</v>
      </c>
      <c r="R50" s="36">
        <f t="shared" si="54"/>
        <v>6</v>
      </c>
      <c r="S50" s="37">
        <f t="shared" si="55"/>
        <v>13.605442176870747</v>
      </c>
      <c r="T50" s="38"/>
      <c r="U50" s="33">
        <f t="shared" si="40"/>
        <v>1</v>
      </c>
      <c r="V50" s="36">
        <f>'1.DATA KIA'!Y50</f>
        <v>1</v>
      </c>
      <c r="W50" s="33">
        <f t="shared" si="56"/>
        <v>2</v>
      </c>
      <c r="X50" s="37">
        <f t="shared" si="41"/>
        <v>21.645021645021643</v>
      </c>
      <c r="Y50" s="40"/>
      <c r="Z50" s="33">
        <f t="shared" si="42"/>
        <v>0</v>
      </c>
      <c r="AA50" s="36">
        <f>'1.DATA KIA'!Z50</f>
        <v>0</v>
      </c>
      <c r="AB50" s="33">
        <f t="shared" si="57"/>
        <v>0</v>
      </c>
      <c r="AC50" s="37">
        <f t="shared" si="43"/>
        <v>0</v>
      </c>
      <c r="AD50" s="40"/>
      <c r="AE50" s="33">
        <f t="shared" si="44"/>
        <v>0</v>
      </c>
      <c r="AF50" s="41">
        <f>'8.ANCTEPADU'!D52+'8.ANCTEPADU'!E52</f>
        <v>0</v>
      </c>
      <c r="AG50" s="33">
        <f t="shared" si="58"/>
        <v>0</v>
      </c>
      <c r="AH50" s="37">
        <f t="shared" si="45"/>
        <v>0</v>
      </c>
      <c r="AI50" s="33">
        <f t="shared" si="46"/>
        <v>0</v>
      </c>
      <c r="AJ50" s="41">
        <f>'8.ANCTEPADU'!J52</f>
        <v>0</v>
      </c>
      <c r="AK50" s="33">
        <f t="shared" si="59"/>
        <v>0</v>
      </c>
      <c r="AL50" s="37">
        <f t="shared" si="47"/>
        <v>0</v>
      </c>
      <c r="AM50" s="33">
        <f t="shared" si="48"/>
        <v>1</v>
      </c>
      <c r="AN50" s="36">
        <f>'1.DATA KIA'!AG50</f>
        <v>5</v>
      </c>
      <c r="AO50" s="33">
        <f t="shared" si="60"/>
        <v>6</v>
      </c>
      <c r="AP50" s="37" t="e">
        <f t="shared" si="61"/>
        <v>#DIV/0!</v>
      </c>
      <c r="AQ50" s="40"/>
      <c r="AR50" s="42">
        <f t="shared" si="49"/>
        <v>1</v>
      </c>
      <c r="AS50" s="36">
        <f>'1.DATA KIA'!AB50</f>
        <v>5</v>
      </c>
      <c r="AT50" s="33">
        <f t="shared" si="62"/>
        <v>6</v>
      </c>
      <c r="AU50" s="37">
        <f t="shared" si="63"/>
        <v>13.605442176870747</v>
      </c>
      <c r="AV50" s="40"/>
      <c r="AW50" s="36">
        <f t="shared" si="50"/>
        <v>0</v>
      </c>
      <c r="AX50" s="36">
        <f>'1.DATA KIA'!AF50</f>
        <v>3</v>
      </c>
      <c r="AY50" s="36">
        <f t="shared" si="64"/>
        <v>3</v>
      </c>
      <c r="AZ50" s="37">
        <f t="shared" si="65"/>
        <v>32.467532467532465</v>
      </c>
      <c r="BA50" s="40"/>
    </row>
    <row r="51" spans="1:53" ht="30" customHeight="1" x14ac:dyDescent="0.35">
      <c r="A51" s="33">
        <v>9</v>
      </c>
      <c r="B51" s="34" t="str">
        <f>PETUNJUK!B17</f>
        <v>Gemulung</v>
      </c>
      <c r="C51" s="35">
        <f>'1.DATA KIA'!C51</f>
        <v>53.900000000000006</v>
      </c>
      <c r="D51" s="35">
        <f>'1.DATA KIA'!D51</f>
        <v>51.45</v>
      </c>
      <c r="E51" s="35">
        <f t="shared" si="35"/>
        <v>0</v>
      </c>
      <c r="F51" s="36">
        <f t="shared" si="36"/>
        <v>4</v>
      </c>
      <c r="G51" s="36">
        <f>'1.DATA KIA'!F51</f>
        <v>5</v>
      </c>
      <c r="H51" s="36">
        <f t="shared" si="51"/>
        <v>9</v>
      </c>
      <c r="I51" s="37">
        <f t="shared" si="37"/>
        <v>16.697588126159555</v>
      </c>
      <c r="J51" s="38"/>
      <c r="K51" s="36">
        <f t="shared" si="38"/>
        <v>5</v>
      </c>
      <c r="L51" s="36">
        <f>'1.DATA KIA'!J51</f>
        <v>4</v>
      </c>
      <c r="M51" s="36">
        <f t="shared" si="52"/>
        <v>9</v>
      </c>
      <c r="N51" s="37">
        <f t="shared" si="53"/>
        <v>17.492711370262391</v>
      </c>
      <c r="O51" s="38"/>
      <c r="P51" s="36">
        <f t="shared" si="39"/>
        <v>5</v>
      </c>
      <c r="Q51" s="36">
        <f>'1.DATA KIA'!M51</f>
        <v>5</v>
      </c>
      <c r="R51" s="36">
        <f t="shared" si="54"/>
        <v>10</v>
      </c>
      <c r="S51" s="37">
        <f t="shared" si="55"/>
        <v>19.436345966958211</v>
      </c>
      <c r="T51" s="38"/>
      <c r="U51" s="33">
        <f t="shared" si="40"/>
        <v>0</v>
      </c>
      <c r="V51" s="36">
        <f>'1.DATA KIA'!Y51</f>
        <v>0</v>
      </c>
      <c r="W51" s="33">
        <f t="shared" si="56"/>
        <v>0</v>
      </c>
      <c r="X51" s="37">
        <f t="shared" si="41"/>
        <v>0</v>
      </c>
      <c r="Y51" s="40"/>
      <c r="Z51" s="33">
        <f t="shared" si="42"/>
        <v>0</v>
      </c>
      <c r="AA51" s="36">
        <f>'1.DATA KIA'!Z51</f>
        <v>0</v>
      </c>
      <c r="AB51" s="33">
        <f t="shared" si="57"/>
        <v>0</v>
      </c>
      <c r="AC51" s="37">
        <f t="shared" si="43"/>
        <v>0</v>
      </c>
      <c r="AD51" s="40"/>
      <c r="AE51" s="33">
        <f t="shared" si="44"/>
        <v>2</v>
      </c>
      <c r="AF51" s="41">
        <f>'8.ANCTEPADU'!D53+'8.ANCTEPADU'!E53</f>
        <v>1</v>
      </c>
      <c r="AG51" s="33">
        <f t="shared" si="58"/>
        <v>3</v>
      </c>
      <c r="AH51" s="37">
        <f t="shared" si="45"/>
        <v>5.5658627087198509</v>
      </c>
      <c r="AI51" s="33">
        <f t="shared" si="46"/>
        <v>0</v>
      </c>
      <c r="AJ51" s="41">
        <f>'8.ANCTEPADU'!J53</f>
        <v>0</v>
      </c>
      <c r="AK51" s="33">
        <f t="shared" si="59"/>
        <v>0</v>
      </c>
      <c r="AL51" s="37">
        <f t="shared" si="47"/>
        <v>0</v>
      </c>
      <c r="AM51" s="33">
        <f t="shared" si="48"/>
        <v>3</v>
      </c>
      <c r="AN51" s="36">
        <f>'1.DATA KIA'!AG51</f>
        <v>5</v>
      </c>
      <c r="AO51" s="33">
        <f t="shared" si="60"/>
        <v>8</v>
      </c>
      <c r="AP51" s="37" t="e">
        <f t="shared" si="61"/>
        <v>#DIV/0!</v>
      </c>
      <c r="AQ51" s="40"/>
      <c r="AR51" s="42">
        <f t="shared" si="49"/>
        <v>3</v>
      </c>
      <c r="AS51" s="36">
        <f>'1.DATA KIA'!AB51</f>
        <v>5</v>
      </c>
      <c r="AT51" s="33">
        <f t="shared" si="62"/>
        <v>8</v>
      </c>
      <c r="AU51" s="37">
        <f t="shared" si="63"/>
        <v>15.54907677356657</v>
      </c>
      <c r="AV51" s="40"/>
      <c r="AW51" s="36">
        <f t="shared" si="50"/>
        <v>1</v>
      </c>
      <c r="AX51" s="36">
        <f>'1.DATA KIA'!AF51</f>
        <v>1</v>
      </c>
      <c r="AY51" s="36">
        <f t="shared" si="64"/>
        <v>2</v>
      </c>
      <c r="AZ51" s="37">
        <f t="shared" si="65"/>
        <v>18.552875695732837</v>
      </c>
      <c r="BA51" s="40"/>
    </row>
    <row r="52" spans="1:53" ht="30" customHeight="1" x14ac:dyDescent="0.35">
      <c r="A52" s="33">
        <v>10</v>
      </c>
      <c r="B52" s="34" t="str">
        <f>PETUNJUK!B18</f>
        <v>Pecangaan Wetan</v>
      </c>
      <c r="C52" s="35">
        <f>'1.DATA KIA'!C52</f>
        <v>50.6</v>
      </c>
      <c r="D52" s="35">
        <f>'1.DATA KIA'!D52</f>
        <v>48.300000000000004</v>
      </c>
      <c r="E52" s="35">
        <f t="shared" si="35"/>
        <v>0</v>
      </c>
      <c r="F52" s="36">
        <f t="shared" si="36"/>
        <v>4</v>
      </c>
      <c r="G52" s="36">
        <f>'1.DATA KIA'!F52</f>
        <v>6</v>
      </c>
      <c r="H52" s="36">
        <f t="shared" si="51"/>
        <v>10</v>
      </c>
      <c r="I52" s="37">
        <f t="shared" si="37"/>
        <v>19.762845849802371</v>
      </c>
      <c r="J52" s="38"/>
      <c r="K52" s="36">
        <f t="shared" si="38"/>
        <v>3</v>
      </c>
      <c r="L52" s="36">
        <f>'1.DATA KIA'!J52</f>
        <v>4</v>
      </c>
      <c r="M52" s="36">
        <f t="shared" si="52"/>
        <v>7</v>
      </c>
      <c r="N52" s="37">
        <f t="shared" si="53"/>
        <v>14.492753623188403</v>
      </c>
      <c r="O52" s="38"/>
      <c r="P52" s="36">
        <f t="shared" si="39"/>
        <v>2</v>
      </c>
      <c r="Q52" s="36">
        <f>'1.DATA KIA'!M52</f>
        <v>3</v>
      </c>
      <c r="R52" s="36">
        <f t="shared" si="54"/>
        <v>5</v>
      </c>
      <c r="S52" s="37">
        <f t="shared" si="55"/>
        <v>10.351966873706003</v>
      </c>
      <c r="T52" s="38"/>
      <c r="U52" s="33">
        <f t="shared" si="40"/>
        <v>1</v>
      </c>
      <c r="V52" s="36">
        <f>'1.DATA KIA'!Y52</f>
        <v>1</v>
      </c>
      <c r="W52" s="33">
        <f t="shared" si="56"/>
        <v>2</v>
      </c>
      <c r="X52" s="37">
        <f t="shared" si="41"/>
        <v>19.762845849802368</v>
      </c>
      <c r="Y52" s="40"/>
      <c r="Z52" s="33">
        <f t="shared" si="42"/>
        <v>0</v>
      </c>
      <c r="AA52" s="36">
        <f>'1.DATA KIA'!Z52</f>
        <v>0</v>
      </c>
      <c r="AB52" s="33">
        <f t="shared" si="57"/>
        <v>0</v>
      </c>
      <c r="AC52" s="37">
        <f t="shared" si="43"/>
        <v>0</v>
      </c>
      <c r="AD52" s="40"/>
      <c r="AE52" s="33">
        <f t="shared" si="44"/>
        <v>0</v>
      </c>
      <c r="AF52" s="41">
        <f>'8.ANCTEPADU'!D54+'8.ANCTEPADU'!E54</f>
        <v>0</v>
      </c>
      <c r="AG52" s="33">
        <f t="shared" si="58"/>
        <v>0</v>
      </c>
      <c r="AH52" s="37">
        <f t="shared" si="45"/>
        <v>0</v>
      </c>
      <c r="AI52" s="33">
        <f t="shared" si="46"/>
        <v>2</v>
      </c>
      <c r="AJ52" s="41">
        <f>'8.ANCTEPADU'!J54</f>
        <v>1</v>
      </c>
      <c r="AK52" s="33">
        <f t="shared" si="59"/>
        <v>3</v>
      </c>
      <c r="AL52" s="37">
        <f t="shared" si="47"/>
        <v>5.928853754940711</v>
      </c>
      <c r="AM52" s="33">
        <f t="shared" si="48"/>
        <v>7</v>
      </c>
      <c r="AN52" s="36">
        <f>'1.DATA KIA'!AG52</f>
        <v>3</v>
      </c>
      <c r="AO52" s="33">
        <f t="shared" si="60"/>
        <v>10</v>
      </c>
      <c r="AP52" s="37" t="e">
        <f t="shared" si="61"/>
        <v>#DIV/0!</v>
      </c>
      <c r="AQ52" s="40"/>
      <c r="AR52" s="42">
        <f t="shared" si="49"/>
        <v>7</v>
      </c>
      <c r="AS52" s="36">
        <f>'1.DATA KIA'!AB52</f>
        <v>3</v>
      </c>
      <c r="AT52" s="33">
        <f t="shared" si="62"/>
        <v>10</v>
      </c>
      <c r="AU52" s="37">
        <f t="shared" si="63"/>
        <v>20.703933747412005</v>
      </c>
      <c r="AV52" s="40"/>
      <c r="AW52" s="36">
        <f t="shared" si="50"/>
        <v>0</v>
      </c>
      <c r="AX52" s="36">
        <f>'1.DATA KIA'!AF52</f>
        <v>1</v>
      </c>
      <c r="AY52" s="36">
        <f t="shared" si="64"/>
        <v>1</v>
      </c>
      <c r="AZ52" s="37">
        <f t="shared" si="65"/>
        <v>9.8814229249011838</v>
      </c>
      <c r="BA52" s="40"/>
    </row>
    <row r="53" spans="1:53" ht="30" customHeight="1" x14ac:dyDescent="0.35">
      <c r="A53" s="33">
        <v>11</v>
      </c>
      <c r="B53" s="34" t="str">
        <f>PETUNJUK!B19</f>
        <v>Krasak</v>
      </c>
      <c r="C53" s="35">
        <f>'1.DATA KIA'!C53</f>
        <v>117.7</v>
      </c>
      <c r="D53" s="35">
        <f>'1.DATA KIA'!D53</f>
        <v>112.35000000000001</v>
      </c>
      <c r="E53" s="35">
        <f t="shared" si="35"/>
        <v>0</v>
      </c>
      <c r="F53" s="36">
        <f t="shared" si="36"/>
        <v>15</v>
      </c>
      <c r="G53" s="36">
        <f>'1.DATA KIA'!F53</f>
        <v>10</v>
      </c>
      <c r="H53" s="36">
        <f t="shared" si="51"/>
        <v>25</v>
      </c>
      <c r="I53" s="37">
        <f t="shared" si="37"/>
        <v>21.240441801189462</v>
      </c>
      <c r="J53" s="38"/>
      <c r="K53" s="36">
        <f t="shared" si="38"/>
        <v>4</v>
      </c>
      <c r="L53" s="36">
        <f>'1.DATA KIA'!J53</f>
        <v>7</v>
      </c>
      <c r="M53" s="36">
        <f t="shared" si="52"/>
        <v>11</v>
      </c>
      <c r="N53" s="37">
        <f t="shared" si="53"/>
        <v>9.7908322207387624</v>
      </c>
      <c r="O53" s="38"/>
      <c r="P53" s="36">
        <f t="shared" si="39"/>
        <v>8</v>
      </c>
      <c r="Q53" s="36">
        <f>'1.DATA KIA'!M53</f>
        <v>10</v>
      </c>
      <c r="R53" s="36">
        <f t="shared" si="54"/>
        <v>18</v>
      </c>
      <c r="S53" s="37">
        <f t="shared" si="55"/>
        <v>16.021361815754336</v>
      </c>
      <c r="T53" s="38"/>
      <c r="U53" s="33">
        <f t="shared" si="40"/>
        <v>1</v>
      </c>
      <c r="V53" s="36">
        <f>'1.DATA KIA'!Y53</f>
        <v>1</v>
      </c>
      <c r="W53" s="33">
        <f t="shared" si="56"/>
        <v>2</v>
      </c>
      <c r="X53" s="37">
        <f t="shared" si="41"/>
        <v>8.4961767204757841</v>
      </c>
      <c r="Y53" s="40"/>
      <c r="Z53" s="33">
        <f t="shared" si="42"/>
        <v>1</v>
      </c>
      <c r="AA53" s="36">
        <f>'1.DATA KIA'!Z53</f>
        <v>1</v>
      </c>
      <c r="AB53" s="33">
        <f t="shared" si="57"/>
        <v>2</v>
      </c>
      <c r="AC53" s="37">
        <f t="shared" si="43"/>
        <v>8.4961767204757841</v>
      </c>
      <c r="AD53" s="40"/>
      <c r="AE53" s="33">
        <f t="shared" si="44"/>
        <v>0</v>
      </c>
      <c r="AF53" s="41">
        <f>'8.ANCTEPADU'!D55+'8.ANCTEPADU'!E55</f>
        <v>2</v>
      </c>
      <c r="AG53" s="33">
        <f t="shared" si="58"/>
        <v>2</v>
      </c>
      <c r="AH53" s="37">
        <f t="shared" si="45"/>
        <v>1.6992353440951573</v>
      </c>
      <c r="AI53" s="33">
        <f t="shared" si="46"/>
        <v>1</v>
      </c>
      <c r="AJ53" s="41">
        <f>'8.ANCTEPADU'!J55</f>
        <v>1</v>
      </c>
      <c r="AK53" s="33">
        <f t="shared" si="59"/>
        <v>2</v>
      </c>
      <c r="AL53" s="37">
        <f t="shared" si="47"/>
        <v>1.6992353440951573</v>
      </c>
      <c r="AM53" s="33">
        <f t="shared" si="48"/>
        <v>8</v>
      </c>
      <c r="AN53" s="36">
        <f>'1.DATA KIA'!AG53</f>
        <v>6</v>
      </c>
      <c r="AO53" s="33">
        <f t="shared" si="60"/>
        <v>14</v>
      </c>
      <c r="AP53" s="37" t="e">
        <f t="shared" si="61"/>
        <v>#DIV/0!</v>
      </c>
      <c r="AQ53" s="40"/>
      <c r="AR53" s="42">
        <f t="shared" si="49"/>
        <v>8</v>
      </c>
      <c r="AS53" s="36">
        <f>'1.DATA KIA'!AB53</f>
        <v>6</v>
      </c>
      <c r="AT53" s="33">
        <f t="shared" si="62"/>
        <v>14</v>
      </c>
      <c r="AU53" s="37">
        <f t="shared" si="63"/>
        <v>12.46105919003115</v>
      </c>
      <c r="AV53" s="40"/>
      <c r="AW53" s="36">
        <f t="shared" si="50"/>
        <v>4</v>
      </c>
      <c r="AX53" s="36">
        <f>'1.DATA KIA'!AF53</f>
        <v>1</v>
      </c>
      <c r="AY53" s="36">
        <f t="shared" si="64"/>
        <v>5</v>
      </c>
      <c r="AZ53" s="37">
        <f t="shared" si="65"/>
        <v>21.240441801189462</v>
      </c>
      <c r="BA53" s="40"/>
    </row>
    <row r="54" spans="1:53" ht="30" customHeight="1" x14ac:dyDescent="0.35">
      <c r="A54" s="33">
        <v>12</v>
      </c>
      <c r="B54" s="34" t="str">
        <f>PETUNJUK!B20</f>
        <v>Gerdu</v>
      </c>
      <c r="C54" s="35">
        <f>'1.DATA KIA'!C54</f>
        <v>23.1</v>
      </c>
      <c r="D54" s="35">
        <f>'1.DATA KIA'!D54</f>
        <v>22.05</v>
      </c>
      <c r="E54" s="35">
        <f t="shared" si="35"/>
        <v>0</v>
      </c>
      <c r="F54" s="36">
        <f t="shared" si="36"/>
        <v>1</v>
      </c>
      <c r="G54" s="36">
        <f>'1.DATA KIA'!F54</f>
        <v>1</v>
      </c>
      <c r="H54" s="36">
        <f t="shared" si="51"/>
        <v>2</v>
      </c>
      <c r="I54" s="37">
        <f t="shared" si="37"/>
        <v>8.6580086580086579</v>
      </c>
      <c r="J54" s="38"/>
      <c r="K54" s="36">
        <f t="shared" si="38"/>
        <v>3</v>
      </c>
      <c r="L54" s="36">
        <f>'1.DATA KIA'!J54</f>
        <v>2</v>
      </c>
      <c r="M54" s="36">
        <f t="shared" si="52"/>
        <v>5</v>
      </c>
      <c r="N54" s="37">
        <f t="shared" si="53"/>
        <v>22.675736961451246</v>
      </c>
      <c r="O54" s="38"/>
      <c r="P54" s="36">
        <f t="shared" si="39"/>
        <v>2</v>
      </c>
      <c r="Q54" s="36">
        <f>'1.DATA KIA'!M54</f>
        <v>1</v>
      </c>
      <c r="R54" s="36">
        <f t="shared" si="54"/>
        <v>3</v>
      </c>
      <c r="S54" s="37">
        <f t="shared" si="55"/>
        <v>13.605442176870747</v>
      </c>
      <c r="T54" s="38"/>
      <c r="U54" s="33">
        <f t="shared" si="40"/>
        <v>0</v>
      </c>
      <c r="V54" s="36">
        <f>'1.DATA KIA'!Y54</f>
        <v>0</v>
      </c>
      <c r="W54" s="33">
        <f t="shared" si="56"/>
        <v>0</v>
      </c>
      <c r="X54" s="37">
        <f t="shared" si="41"/>
        <v>0</v>
      </c>
      <c r="Y54" s="40"/>
      <c r="Z54" s="33">
        <f t="shared" si="42"/>
        <v>0</v>
      </c>
      <c r="AA54" s="36">
        <f>'1.DATA KIA'!Z54</f>
        <v>1</v>
      </c>
      <c r="AB54" s="33">
        <f t="shared" si="57"/>
        <v>1</v>
      </c>
      <c r="AC54" s="37">
        <f t="shared" si="43"/>
        <v>21.645021645021643</v>
      </c>
      <c r="AD54" s="40"/>
      <c r="AE54" s="33">
        <f t="shared" si="44"/>
        <v>0</v>
      </c>
      <c r="AF54" s="41">
        <f>'8.ANCTEPADU'!D56+'8.ANCTEPADU'!E56</f>
        <v>0</v>
      </c>
      <c r="AG54" s="33">
        <f t="shared" si="58"/>
        <v>0</v>
      </c>
      <c r="AH54" s="37">
        <f t="shared" si="45"/>
        <v>0</v>
      </c>
      <c r="AI54" s="33">
        <f t="shared" si="46"/>
        <v>0</v>
      </c>
      <c r="AJ54" s="41">
        <f>'8.ANCTEPADU'!J56</f>
        <v>0</v>
      </c>
      <c r="AK54" s="33">
        <f t="shared" si="59"/>
        <v>0</v>
      </c>
      <c r="AL54" s="37">
        <f t="shared" si="47"/>
        <v>0</v>
      </c>
      <c r="AM54" s="33">
        <f t="shared" si="48"/>
        <v>2</v>
      </c>
      <c r="AN54" s="36">
        <f>'1.DATA KIA'!AG54</f>
        <v>1</v>
      </c>
      <c r="AO54" s="33">
        <f>AN54+AM54</f>
        <v>3</v>
      </c>
      <c r="AP54" s="37" t="e">
        <f t="shared" si="61"/>
        <v>#DIV/0!</v>
      </c>
      <c r="AQ54" s="40"/>
      <c r="AR54" s="42">
        <f t="shared" si="49"/>
        <v>2</v>
      </c>
      <c r="AS54" s="36">
        <f>'1.DATA KIA'!AB54</f>
        <v>1</v>
      </c>
      <c r="AT54" s="33">
        <f>AS54+AR54</f>
        <v>3</v>
      </c>
      <c r="AU54" s="37">
        <f t="shared" si="63"/>
        <v>13.605442176870747</v>
      </c>
      <c r="AV54" s="40"/>
      <c r="AW54" s="36">
        <f t="shared" si="50"/>
        <v>1</v>
      </c>
      <c r="AX54" s="36">
        <f>'1.DATA KIA'!AF54</f>
        <v>0</v>
      </c>
      <c r="AY54" s="36">
        <f t="shared" si="64"/>
        <v>1</v>
      </c>
      <c r="AZ54" s="37">
        <f t="shared" si="65"/>
        <v>21.645021645021643</v>
      </c>
      <c r="BA54" s="40"/>
    </row>
    <row r="55" spans="1:53" ht="30" customHeight="1" x14ac:dyDescent="0.35">
      <c r="A55" s="33">
        <v>13</v>
      </c>
      <c r="B55" s="34">
        <f>PETUNJUK!B21</f>
        <v>0</v>
      </c>
      <c r="C55" s="35">
        <f>'1.DATA KIA'!C55</f>
        <v>0</v>
      </c>
      <c r="D55" s="35">
        <f>'1.DATA KIA'!D55</f>
        <v>0</v>
      </c>
      <c r="E55" s="35">
        <f t="shared" si="35"/>
        <v>0</v>
      </c>
      <c r="F55" s="36">
        <f t="shared" si="36"/>
        <v>0</v>
      </c>
      <c r="G55" s="36">
        <f>'1.DATA KIA'!F55</f>
        <v>0</v>
      </c>
      <c r="H55" s="36">
        <f t="shared" si="51"/>
        <v>0</v>
      </c>
      <c r="I55" s="37" t="e">
        <f t="shared" si="37"/>
        <v>#DIV/0!</v>
      </c>
      <c r="J55" s="38"/>
      <c r="K55" s="36">
        <f t="shared" si="38"/>
        <v>0</v>
      </c>
      <c r="L55" s="36">
        <f>'1.DATA KIA'!J55</f>
        <v>0</v>
      </c>
      <c r="M55" s="36">
        <f t="shared" si="52"/>
        <v>0</v>
      </c>
      <c r="N55" s="37" t="e">
        <f t="shared" si="53"/>
        <v>#DIV/0!</v>
      </c>
      <c r="O55" s="38"/>
      <c r="P55" s="36">
        <f t="shared" si="39"/>
        <v>0</v>
      </c>
      <c r="Q55" s="36">
        <f>'1.DATA KIA'!M55</f>
        <v>0</v>
      </c>
      <c r="R55" s="36">
        <f t="shared" si="54"/>
        <v>0</v>
      </c>
      <c r="S55" s="37" t="e">
        <f t="shared" si="55"/>
        <v>#DIV/0!</v>
      </c>
      <c r="T55" s="38"/>
      <c r="U55" s="33">
        <f t="shared" si="40"/>
        <v>0</v>
      </c>
      <c r="V55" s="36">
        <f>'1.DATA KIA'!Y55</f>
        <v>0</v>
      </c>
      <c r="W55" s="33">
        <f t="shared" si="56"/>
        <v>0</v>
      </c>
      <c r="X55" s="37" t="e">
        <f t="shared" si="41"/>
        <v>#DIV/0!</v>
      </c>
      <c r="Y55" s="40"/>
      <c r="Z55" s="33">
        <f t="shared" si="42"/>
        <v>0</v>
      </c>
      <c r="AA55" s="36">
        <f>'1.DATA KIA'!Z55</f>
        <v>0</v>
      </c>
      <c r="AB55" s="33">
        <f t="shared" si="57"/>
        <v>0</v>
      </c>
      <c r="AC55" s="37" t="e">
        <f t="shared" si="43"/>
        <v>#DIV/0!</v>
      </c>
      <c r="AD55" s="40"/>
      <c r="AE55" s="33">
        <f t="shared" si="44"/>
        <v>0</v>
      </c>
      <c r="AF55" s="41">
        <f>'8.ANCTEPADU'!D57+'8.ANCTEPADU'!E57</f>
        <v>0</v>
      </c>
      <c r="AG55" s="33">
        <f t="shared" si="58"/>
        <v>0</v>
      </c>
      <c r="AH55" s="37" t="e">
        <f t="shared" si="45"/>
        <v>#DIV/0!</v>
      </c>
      <c r="AI55" s="33">
        <f t="shared" si="46"/>
        <v>0</v>
      </c>
      <c r="AJ55" s="41">
        <f>'8.ANCTEPADU'!J57</f>
        <v>0</v>
      </c>
      <c r="AK55" s="33">
        <f t="shared" si="59"/>
        <v>0</v>
      </c>
      <c r="AL55" s="37" t="e">
        <f t="shared" si="47"/>
        <v>#DIV/0!</v>
      </c>
      <c r="AM55" s="33">
        <f t="shared" si="48"/>
        <v>0</v>
      </c>
      <c r="AN55" s="36">
        <f>'1.DATA KIA'!AG55</f>
        <v>0</v>
      </c>
      <c r="AO55" s="33">
        <f t="shared" ref="AO55:AO60" si="66">AN55+AM55</f>
        <v>0</v>
      </c>
      <c r="AP55" s="37" t="e">
        <f t="shared" si="61"/>
        <v>#DIV/0!</v>
      </c>
      <c r="AQ55" s="40"/>
      <c r="AR55" s="42">
        <f t="shared" si="49"/>
        <v>0</v>
      </c>
      <c r="AS55" s="36">
        <f>'1.DATA KIA'!AB55</f>
        <v>0</v>
      </c>
      <c r="AT55" s="33">
        <f t="shared" ref="AT55:AT60" si="67">AS55+AR55</f>
        <v>0</v>
      </c>
      <c r="AU55" s="37" t="e">
        <f t="shared" si="63"/>
        <v>#DIV/0!</v>
      </c>
      <c r="AV55" s="40"/>
      <c r="AW55" s="36">
        <f t="shared" si="50"/>
        <v>0</v>
      </c>
      <c r="AX55" s="36">
        <f>'1.DATA KIA'!AF55</f>
        <v>0</v>
      </c>
      <c r="AY55" s="36">
        <f t="shared" si="64"/>
        <v>0</v>
      </c>
      <c r="AZ55" s="37" t="e">
        <f t="shared" si="65"/>
        <v>#DIV/0!</v>
      </c>
      <c r="BA55" s="40"/>
    </row>
    <row r="56" spans="1:53" ht="30" customHeight="1" x14ac:dyDescent="0.35">
      <c r="A56" s="33">
        <v>14</v>
      </c>
      <c r="B56" s="34">
        <f>PETUNJUK!B22</f>
        <v>0</v>
      </c>
      <c r="C56" s="35">
        <f>'1.DATA KIA'!C56</f>
        <v>0</v>
      </c>
      <c r="D56" s="35">
        <f>'1.DATA KIA'!D56</f>
        <v>0</v>
      </c>
      <c r="E56" s="35">
        <f t="shared" si="35"/>
        <v>0</v>
      </c>
      <c r="F56" s="36">
        <f t="shared" si="36"/>
        <v>0</v>
      </c>
      <c r="G56" s="36">
        <f>'1.DATA KIA'!F56</f>
        <v>0</v>
      </c>
      <c r="H56" s="36">
        <f t="shared" si="51"/>
        <v>0</v>
      </c>
      <c r="I56" s="37" t="e">
        <f t="shared" si="37"/>
        <v>#DIV/0!</v>
      </c>
      <c r="J56" s="38"/>
      <c r="K56" s="36">
        <f t="shared" si="38"/>
        <v>0</v>
      </c>
      <c r="L56" s="36">
        <f>'1.DATA KIA'!J56</f>
        <v>0</v>
      </c>
      <c r="M56" s="36">
        <f t="shared" si="52"/>
        <v>0</v>
      </c>
      <c r="N56" s="37" t="e">
        <f t="shared" si="53"/>
        <v>#DIV/0!</v>
      </c>
      <c r="O56" s="38"/>
      <c r="P56" s="36">
        <f t="shared" si="39"/>
        <v>0</v>
      </c>
      <c r="Q56" s="36">
        <f>'1.DATA KIA'!M56</f>
        <v>0</v>
      </c>
      <c r="R56" s="36">
        <f t="shared" si="54"/>
        <v>0</v>
      </c>
      <c r="S56" s="37" t="e">
        <f t="shared" si="55"/>
        <v>#DIV/0!</v>
      </c>
      <c r="T56" s="38"/>
      <c r="U56" s="33">
        <f t="shared" si="40"/>
        <v>0</v>
      </c>
      <c r="V56" s="36">
        <f>'1.DATA KIA'!Y56</f>
        <v>0</v>
      </c>
      <c r="W56" s="33">
        <f t="shared" si="56"/>
        <v>0</v>
      </c>
      <c r="X56" s="37" t="e">
        <f t="shared" si="41"/>
        <v>#DIV/0!</v>
      </c>
      <c r="Y56" s="40"/>
      <c r="Z56" s="33">
        <f t="shared" si="42"/>
        <v>0</v>
      </c>
      <c r="AA56" s="36">
        <f>'1.DATA KIA'!Z56</f>
        <v>0</v>
      </c>
      <c r="AB56" s="33">
        <f t="shared" si="57"/>
        <v>0</v>
      </c>
      <c r="AC56" s="37" t="e">
        <f t="shared" si="43"/>
        <v>#DIV/0!</v>
      </c>
      <c r="AD56" s="40"/>
      <c r="AE56" s="33">
        <f t="shared" si="44"/>
        <v>0</v>
      </c>
      <c r="AF56" s="41">
        <f>'8.ANCTEPADU'!D58+'8.ANCTEPADU'!E58</f>
        <v>0</v>
      </c>
      <c r="AG56" s="33">
        <f t="shared" si="58"/>
        <v>0</v>
      </c>
      <c r="AH56" s="37" t="e">
        <f t="shared" si="45"/>
        <v>#DIV/0!</v>
      </c>
      <c r="AI56" s="33">
        <f t="shared" si="46"/>
        <v>0</v>
      </c>
      <c r="AJ56" s="41">
        <f>'8.ANCTEPADU'!J58</f>
        <v>0</v>
      </c>
      <c r="AK56" s="33">
        <f t="shared" si="59"/>
        <v>0</v>
      </c>
      <c r="AL56" s="37" t="e">
        <f t="shared" si="47"/>
        <v>#DIV/0!</v>
      </c>
      <c r="AM56" s="33">
        <f t="shared" si="48"/>
        <v>0</v>
      </c>
      <c r="AN56" s="36">
        <f>'1.DATA KIA'!AG56</f>
        <v>0</v>
      </c>
      <c r="AO56" s="33">
        <f t="shared" si="66"/>
        <v>0</v>
      </c>
      <c r="AP56" s="37" t="e">
        <f t="shared" si="61"/>
        <v>#DIV/0!</v>
      </c>
      <c r="AQ56" s="40"/>
      <c r="AR56" s="42">
        <f t="shared" si="49"/>
        <v>0</v>
      </c>
      <c r="AS56" s="36">
        <f>'1.DATA KIA'!AB56</f>
        <v>0</v>
      </c>
      <c r="AT56" s="33">
        <f t="shared" si="67"/>
        <v>0</v>
      </c>
      <c r="AU56" s="37" t="e">
        <f t="shared" si="63"/>
        <v>#DIV/0!</v>
      </c>
      <c r="AV56" s="40"/>
      <c r="AW56" s="36">
        <f t="shared" si="50"/>
        <v>0</v>
      </c>
      <c r="AX56" s="36">
        <f>'1.DATA KIA'!AF56</f>
        <v>0</v>
      </c>
      <c r="AY56" s="36">
        <f t="shared" si="64"/>
        <v>0</v>
      </c>
      <c r="AZ56" s="37" t="e">
        <f t="shared" si="65"/>
        <v>#DIV/0!</v>
      </c>
      <c r="BA56" s="40"/>
    </row>
    <row r="57" spans="1:53" ht="30" customHeight="1" x14ac:dyDescent="0.35">
      <c r="A57" s="33">
        <v>15</v>
      </c>
      <c r="B57" s="34">
        <f>PETUNJUK!B23</f>
        <v>0</v>
      </c>
      <c r="C57" s="35">
        <f>'1.DATA KIA'!C57</f>
        <v>0</v>
      </c>
      <c r="D57" s="35">
        <f>'1.DATA KIA'!D57</f>
        <v>0</v>
      </c>
      <c r="E57" s="35">
        <f t="shared" si="35"/>
        <v>0</v>
      </c>
      <c r="F57" s="36">
        <f t="shared" si="36"/>
        <v>0</v>
      </c>
      <c r="G57" s="36">
        <f>'1.DATA KIA'!F57</f>
        <v>0</v>
      </c>
      <c r="H57" s="36">
        <f t="shared" si="51"/>
        <v>0</v>
      </c>
      <c r="I57" s="37" t="e">
        <f t="shared" si="37"/>
        <v>#DIV/0!</v>
      </c>
      <c r="J57" s="38"/>
      <c r="K57" s="36">
        <f t="shared" si="38"/>
        <v>0</v>
      </c>
      <c r="L57" s="36">
        <f>'1.DATA KIA'!J57</f>
        <v>0</v>
      </c>
      <c r="M57" s="36">
        <f t="shared" si="52"/>
        <v>0</v>
      </c>
      <c r="N57" s="37" t="e">
        <f t="shared" si="53"/>
        <v>#DIV/0!</v>
      </c>
      <c r="O57" s="38"/>
      <c r="P57" s="36">
        <f t="shared" si="39"/>
        <v>0</v>
      </c>
      <c r="Q57" s="36">
        <f>'1.DATA KIA'!M57</f>
        <v>0</v>
      </c>
      <c r="R57" s="36">
        <f t="shared" si="54"/>
        <v>0</v>
      </c>
      <c r="S57" s="37" t="e">
        <f t="shared" si="55"/>
        <v>#DIV/0!</v>
      </c>
      <c r="T57" s="38"/>
      <c r="U57" s="33">
        <f t="shared" si="40"/>
        <v>0</v>
      </c>
      <c r="V57" s="36">
        <f>'1.DATA KIA'!Y57</f>
        <v>0</v>
      </c>
      <c r="W57" s="33">
        <f t="shared" si="56"/>
        <v>0</v>
      </c>
      <c r="X57" s="37" t="e">
        <f t="shared" si="41"/>
        <v>#DIV/0!</v>
      </c>
      <c r="Y57" s="40"/>
      <c r="Z57" s="33">
        <f t="shared" si="42"/>
        <v>0</v>
      </c>
      <c r="AA57" s="36">
        <f>'1.DATA KIA'!Z57</f>
        <v>0</v>
      </c>
      <c r="AB57" s="33">
        <f t="shared" si="57"/>
        <v>0</v>
      </c>
      <c r="AC57" s="37" t="e">
        <f t="shared" si="43"/>
        <v>#DIV/0!</v>
      </c>
      <c r="AD57" s="40"/>
      <c r="AE57" s="33">
        <f t="shared" si="44"/>
        <v>0</v>
      </c>
      <c r="AF57" s="41">
        <f>'8.ANCTEPADU'!D59+'8.ANCTEPADU'!E59</f>
        <v>0</v>
      </c>
      <c r="AG57" s="33">
        <f t="shared" si="58"/>
        <v>0</v>
      </c>
      <c r="AH57" s="37" t="e">
        <f t="shared" si="45"/>
        <v>#DIV/0!</v>
      </c>
      <c r="AI57" s="33">
        <f t="shared" si="46"/>
        <v>0</v>
      </c>
      <c r="AJ57" s="41">
        <f>'8.ANCTEPADU'!J59</f>
        <v>0</v>
      </c>
      <c r="AK57" s="33">
        <f t="shared" si="59"/>
        <v>0</v>
      </c>
      <c r="AL57" s="37" t="e">
        <f t="shared" si="47"/>
        <v>#DIV/0!</v>
      </c>
      <c r="AM57" s="33">
        <f t="shared" si="48"/>
        <v>0</v>
      </c>
      <c r="AN57" s="36">
        <f>'1.DATA KIA'!AG57</f>
        <v>0</v>
      </c>
      <c r="AO57" s="33">
        <f t="shared" si="66"/>
        <v>0</v>
      </c>
      <c r="AP57" s="37" t="e">
        <f t="shared" si="61"/>
        <v>#DIV/0!</v>
      </c>
      <c r="AQ57" s="40"/>
      <c r="AR57" s="42">
        <f t="shared" si="49"/>
        <v>0</v>
      </c>
      <c r="AS57" s="36">
        <f>'1.DATA KIA'!AB57</f>
        <v>0</v>
      </c>
      <c r="AT57" s="33">
        <f t="shared" si="67"/>
        <v>0</v>
      </c>
      <c r="AU57" s="37" t="e">
        <f t="shared" si="63"/>
        <v>#DIV/0!</v>
      </c>
      <c r="AV57" s="40"/>
      <c r="AW57" s="36">
        <f t="shared" si="50"/>
        <v>0</v>
      </c>
      <c r="AX57" s="36">
        <f>'1.DATA KIA'!AF57</f>
        <v>0</v>
      </c>
      <c r="AY57" s="36">
        <f t="shared" si="64"/>
        <v>0</v>
      </c>
      <c r="AZ57" s="37" t="e">
        <f t="shared" si="65"/>
        <v>#DIV/0!</v>
      </c>
      <c r="BA57" s="40"/>
    </row>
    <row r="58" spans="1:53" ht="30" customHeight="1" x14ac:dyDescent="0.35">
      <c r="A58" s="33">
        <v>16</v>
      </c>
      <c r="B58" s="34">
        <f>PETUNJUK!B24</f>
        <v>0</v>
      </c>
      <c r="C58" s="35">
        <f>'1.DATA KIA'!C58</f>
        <v>0</v>
      </c>
      <c r="D58" s="35">
        <f>'1.DATA KIA'!D58</f>
        <v>0</v>
      </c>
      <c r="E58" s="35">
        <f t="shared" si="35"/>
        <v>0</v>
      </c>
      <c r="F58" s="36">
        <f t="shared" si="36"/>
        <v>0</v>
      </c>
      <c r="G58" s="36">
        <f>'1.DATA KIA'!F58</f>
        <v>0</v>
      </c>
      <c r="H58" s="36">
        <f t="shared" si="51"/>
        <v>0</v>
      </c>
      <c r="I58" s="37" t="e">
        <f t="shared" si="37"/>
        <v>#DIV/0!</v>
      </c>
      <c r="J58" s="38"/>
      <c r="K58" s="36">
        <f t="shared" ref="K58:K64" si="68">L24</f>
        <v>0</v>
      </c>
      <c r="L58" s="36">
        <f>'1.DATA KIA'!J58</f>
        <v>0</v>
      </c>
      <c r="M58" s="36">
        <f t="shared" ref="M58:M64" si="69">M24+L58</f>
        <v>0</v>
      </c>
      <c r="N58" s="37" t="e">
        <f t="shared" si="53"/>
        <v>#DIV/0!</v>
      </c>
      <c r="O58" s="38"/>
      <c r="P58" s="36">
        <f t="shared" ref="P58:P64" si="70">Q24</f>
        <v>0</v>
      </c>
      <c r="Q58" s="36">
        <f>'1.DATA KIA'!M58</f>
        <v>0</v>
      </c>
      <c r="R58" s="36">
        <f t="shared" ref="R58:R64" si="71">R24+Q58</f>
        <v>0</v>
      </c>
      <c r="S58" s="37" t="e">
        <f t="shared" si="55"/>
        <v>#DIV/0!</v>
      </c>
      <c r="T58" s="38"/>
      <c r="U58" s="33">
        <f t="shared" si="40"/>
        <v>0</v>
      </c>
      <c r="V58" s="36">
        <f>'1.DATA KIA'!Y58</f>
        <v>0</v>
      </c>
      <c r="W58" s="33">
        <f t="shared" si="56"/>
        <v>0</v>
      </c>
      <c r="X58" s="37" t="e">
        <f t="shared" si="41"/>
        <v>#DIV/0!</v>
      </c>
      <c r="Y58" s="40"/>
      <c r="Z58" s="33">
        <f t="shared" si="42"/>
        <v>0</v>
      </c>
      <c r="AA58" s="36">
        <f>'1.DATA KIA'!Z58</f>
        <v>0</v>
      </c>
      <c r="AB58" s="33">
        <f t="shared" si="57"/>
        <v>0</v>
      </c>
      <c r="AC58" s="37" t="e">
        <f t="shared" si="43"/>
        <v>#DIV/0!</v>
      </c>
      <c r="AD58" s="40"/>
      <c r="AE58" s="33">
        <f t="shared" si="44"/>
        <v>0</v>
      </c>
      <c r="AF58" s="41">
        <f>'8.ANCTEPADU'!D60+'8.ANCTEPADU'!E60</f>
        <v>0</v>
      </c>
      <c r="AG58" s="33">
        <f t="shared" si="58"/>
        <v>0</v>
      </c>
      <c r="AH58" s="37" t="e">
        <f t="shared" si="45"/>
        <v>#DIV/0!</v>
      </c>
      <c r="AI58" s="33">
        <f t="shared" si="46"/>
        <v>0</v>
      </c>
      <c r="AJ58" s="41">
        <f>'8.ANCTEPADU'!J60</f>
        <v>0</v>
      </c>
      <c r="AK58" s="33">
        <f t="shared" si="59"/>
        <v>0</v>
      </c>
      <c r="AL58" s="37" t="e">
        <f t="shared" si="47"/>
        <v>#DIV/0!</v>
      </c>
      <c r="AM58" s="33">
        <f t="shared" si="48"/>
        <v>0</v>
      </c>
      <c r="AN58" s="36">
        <f>'1.DATA KIA'!AG58</f>
        <v>0</v>
      </c>
      <c r="AO58" s="33">
        <f t="shared" si="66"/>
        <v>0</v>
      </c>
      <c r="AP58" s="37" t="e">
        <f t="shared" si="61"/>
        <v>#DIV/0!</v>
      </c>
      <c r="AQ58" s="40"/>
      <c r="AR58" s="42">
        <f t="shared" si="49"/>
        <v>0</v>
      </c>
      <c r="AS58" s="36">
        <f>'1.DATA KIA'!AB58</f>
        <v>0</v>
      </c>
      <c r="AT58" s="33">
        <f t="shared" si="67"/>
        <v>0</v>
      </c>
      <c r="AU58" s="37" t="e">
        <f t="shared" si="63"/>
        <v>#DIV/0!</v>
      </c>
      <c r="AV58" s="40"/>
      <c r="AW58" s="36">
        <f t="shared" si="50"/>
        <v>0</v>
      </c>
      <c r="AX58" s="36">
        <f>'1.DATA KIA'!AF58</f>
        <v>0</v>
      </c>
      <c r="AY58" s="36">
        <f t="shared" si="64"/>
        <v>0</v>
      </c>
      <c r="AZ58" s="37" t="e">
        <f t="shared" si="65"/>
        <v>#DIV/0!</v>
      </c>
      <c r="BA58" s="40"/>
    </row>
    <row r="59" spans="1:53" ht="30" customHeight="1" x14ac:dyDescent="0.35">
      <c r="A59" s="33">
        <v>17</v>
      </c>
      <c r="B59" s="34">
        <f>PETUNJUK!B25</f>
        <v>0</v>
      </c>
      <c r="C59" s="35">
        <f>'1.DATA KIA'!C59</f>
        <v>0</v>
      </c>
      <c r="D59" s="35">
        <f>'1.DATA KIA'!D59</f>
        <v>0</v>
      </c>
      <c r="E59" s="35">
        <f t="shared" si="35"/>
        <v>0</v>
      </c>
      <c r="F59" s="36">
        <f t="shared" si="36"/>
        <v>0</v>
      </c>
      <c r="G59" s="36">
        <f>'1.DATA KIA'!F59</f>
        <v>0</v>
      </c>
      <c r="H59" s="36">
        <f t="shared" si="51"/>
        <v>0</v>
      </c>
      <c r="I59" s="37" t="e">
        <f t="shared" si="37"/>
        <v>#DIV/0!</v>
      </c>
      <c r="J59" s="38"/>
      <c r="K59" s="36">
        <f t="shared" si="68"/>
        <v>0</v>
      </c>
      <c r="L59" s="36">
        <f>'1.DATA KIA'!J59</f>
        <v>0</v>
      </c>
      <c r="M59" s="36">
        <f t="shared" si="69"/>
        <v>0</v>
      </c>
      <c r="N59" s="37" t="e">
        <f t="shared" si="53"/>
        <v>#DIV/0!</v>
      </c>
      <c r="O59" s="38"/>
      <c r="P59" s="36">
        <f t="shared" si="70"/>
        <v>0</v>
      </c>
      <c r="Q59" s="36">
        <f>'1.DATA KIA'!M59</f>
        <v>0</v>
      </c>
      <c r="R59" s="36">
        <f t="shared" si="71"/>
        <v>0</v>
      </c>
      <c r="S59" s="37" t="e">
        <f t="shared" si="55"/>
        <v>#DIV/0!</v>
      </c>
      <c r="T59" s="38"/>
      <c r="U59" s="33">
        <f t="shared" si="40"/>
        <v>0</v>
      </c>
      <c r="V59" s="36">
        <f>'1.DATA KIA'!Y59</f>
        <v>0</v>
      </c>
      <c r="W59" s="33">
        <f t="shared" si="56"/>
        <v>0</v>
      </c>
      <c r="X59" s="37" t="e">
        <f t="shared" si="41"/>
        <v>#DIV/0!</v>
      </c>
      <c r="Y59" s="40"/>
      <c r="Z59" s="33">
        <f t="shared" si="42"/>
        <v>0</v>
      </c>
      <c r="AA59" s="36">
        <f>'1.DATA KIA'!Z59</f>
        <v>0</v>
      </c>
      <c r="AB59" s="33">
        <f t="shared" si="57"/>
        <v>0</v>
      </c>
      <c r="AC59" s="37" t="e">
        <f t="shared" si="43"/>
        <v>#DIV/0!</v>
      </c>
      <c r="AD59" s="40"/>
      <c r="AE59" s="33">
        <f t="shared" si="44"/>
        <v>0</v>
      </c>
      <c r="AF59" s="41">
        <f>'8.ANCTEPADU'!D61+'8.ANCTEPADU'!E61</f>
        <v>0</v>
      </c>
      <c r="AG59" s="33">
        <f t="shared" si="58"/>
        <v>0</v>
      </c>
      <c r="AH59" s="37" t="e">
        <f t="shared" si="45"/>
        <v>#DIV/0!</v>
      </c>
      <c r="AI59" s="33">
        <f t="shared" si="46"/>
        <v>0</v>
      </c>
      <c r="AJ59" s="41">
        <f>'8.ANCTEPADU'!J61</f>
        <v>0</v>
      </c>
      <c r="AK59" s="33">
        <f t="shared" si="59"/>
        <v>0</v>
      </c>
      <c r="AL59" s="37" t="e">
        <f t="shared" si="47"/>
        <v>#DIV/0!</v>
      </c>
      <c r="AM59" s="33">
        <f t="shared" si="48"/>
        <v>0</v>
      </c>
      <c r="AN59" s="36">
        <f>'1.DATA KIA'!AG59</f>
        <v>0</v>
      </c>
      <c r="AO59" s="33">
        <f t="shared" si="66"/>
        <v>0</v>
      </c>
      <c r="AP59" s="37" t="e">
        <f t="shared" si="61"/>
        <v>#DIV/0!</v>
      </c>
      <c r="AQ59" s="40"/>
      <c r="AR59" s="42">
        <f t="shared" si="49"/>
        <v>0</v>
      </c>
      <c r="AS59" s="36">
        <f>'1.DATA KIA'!AB59</f>
        <v>0</v>
      </c>
      <c r="AT59" s="33">
        <f t="shared" si="67"/>
        <v>0</v>
      </c>
      <c r="AU59" s="37" t="e">
        <f t="shared" si="63"/>
        <v>#DIV/0!</v>
      </c>
      <c r="AV59" s="40"/>
      <c r="AW59" s="36">
        <f t="shared" si="50"/>
        <v>0</v>
      </c>
      <c r="AX59" s="36">
        <f>'1.DATA KIA'!AF59</f>
        <v>0</v>
      </c>
      <c r="AY59" s="36">
        <f t="shared" si="64"/>
        <v>0</v>
      </c>
      <c r="AZ59" s="37" t="e">
        <f t="shared" si="65"/>
        <v>#DIV/0!</v>
      </c>
      <c r="BA59" s="40"/>
    </row>
    <row r="60" spans="1:53" ht="30" customHeight="1" x14ac:dyDescent="0.35">
      <c r="A60" s="33">
        <v>18</v>
      </c>
      <c r="B60" s="34">
        <f>PETUNJUK!B26</f>
        <v>0</v>
      </c>
      <c r="C60" s="35">
        <f>'1.DATA KIA'!C60</f>
        <v>0</v>
      </c>
      <c r="D60" s="35">
        <f>'1.DATA KIA'!D60</f>
        <v>0</v>
      </c>
      <c r="E60" s="35">
        <f t="shared" si="35"/>
        <v>0</v>
      </c>
      <c r="F60" s="36">
        <f t="shared" si="36"/>
        <v>0</v>
      </c>
      <c r="G60" s="36">
        <f>'1.DATA KIA'!F60</f>
        <v>0</v>
      </c>
      <c r="H60" s="36">
        <f t="shared" si="51"/>
        <v>0</v>
      </c>
      <c r="I60" s="37" t="e">
        <f t="shared" si="37"/>
        <v>#DIV/0!</v>
      </c>
      <c r="J60" s="38"/>
      <c r="K60" s="36">
        <f t="shared" si="68"/>
        <v>0</v>
      </c>
      <c r="L60" s="36">
        <f>'1.DATA KIA'!J60</f>
        <v>0</v>
      </c>
      <c r="M60" s="36">
        <f t="shared" si="69"/>
        <v>0</v>
      </c>
      <c r="N60" s="37" t="e">
        <f t="shared" si="53"/>
        <v>#DIV/0!</v>
      </c>
      <c r="O60" s="38"/>
      <c r="P60" s="36">
        <f t="shared" si="70"/>
        <v>0</v>
      </c>
      <c r="Q60" s="36">
        <f>'1.DATA KIA'!M60</f>
        <v>0</v>
      </c>
      <c r="R60" s="36">
        <f t="shared" si="71"/>
        <v>0</v>
      </c>
      <c r="S60" s="37" t="e">
        <f t="shared" si="55"/>
        <v>#DIV/0!</v>
      </c>
      <c r="T60" s="38"/>
      <c r="U60" s="33">
        <f t="shared" si="40"/>
        <v>0</v>
      </c>
      <c r="V60" s="36">
        <f>'1.DATA KIA'!Y60</f>
        <v>0</v>
      </c>
      <c r="W60" s="33">
        <f t="shared" si="56"/>
        <v>0</v>
      </c>
      <c r="X60" s="37" t="e">
        <f t="shared" si="41"/>
        <v>#DIV/0!</v>
      </c>
      <c r="Y60" s="40"/>
      <c r="Z60" s="33">
        <f t="shared" si="42"/>
        <v>0</v>
      </c>
      <c r="AA60" s="36">
        <f>'1.DATA KIA'!Z60</f>
        <v>0</v>
      </c>
      <c r="AB60" s="33">
        <f t="shared" si="57"/>
        <v>0</v>
      </c>
      <c r="AC60" s="37" t="e">
        <f t="shared" si="43"/>
        <v>#DIV/0!</v>
      </c>
      <c r="AD60" s="40"/>
      <c r="AE60" s="33">
        <f t="shared" si="44"/>
        <v>0</v>
      </c>
      <c r="AF60" s="41">
        <f>'8.ANCTEPADU'!D62+'8.ANCTEPADU'!E62</f>
        <v>0</v>
      </c>
      <c r="AG60" s="33">
        <f t="shared" si="58"/>
        <v>0</v>
      </c>
      <c r="AH60" s="37" t="e">
        <f t="shared" si="45"/>
        <v>#DIV/0!</v>
      </c>
      <c r="AI60" s="33">
        <f t="shared" si="46"/>
        <v>0</v>
      </c>
      <c r="AJ60" s="41">
        <f>'8.ANCTEPADU'!J62</f>
        <v>0</v>
      </c>
      <c r="AK60" s="33">
        <f t="shared" si="59"/>
        <v>0</v>
      </c>
      <c r="AL60" s="37" t="e">
        <f t="shared" si="47"/>
        <v>#DIV/0!</v>
      </c>
      <c r="AM60" s="33">
        <f t="shared" si="48"/>
        <v>0</v>
      </c>
      <c r="AN60" s="36">
        <f>'1.DATA KIA'!AG60</f>
        <v>0</v>
      </c>
      <c r="AO60" s="33">
        <f t="shared" si="66"/>
        <v>0</v>
      </c>
      <c r="AP60" s="37" t="e">
        <f t="shared" si="61"/>
        <v>#DIV/0!</v>
      </c>
      <c r="AQ60" s="40"/>
      <c r="AR60" s="42">
        <f t="shared" si="49"/>
        <v>0</v>
      </c>
      <c r="AS60" s="36">
        <f>'1.DATA KIA'!AB60</f>
        <v>0</v>
      </c>
      <c r="AT60" s="33">
        <f t="shared" si="67"/>
        <v>0</v>
      </c>
      <c r="AU60" s="37" t="e">
        <f t="shared" si="63"/>
        <v>#DIV/0!</v>
      </c>
      <c r="AV60" s="40"/>
      <c r="AW60" s="36">
        <f t="shared" si="50"/>
        <v>0</v>
      </c>
      <c r="AX60" s="36">
        <f>'1.DATA KIA'!AF60</f>
        <v>0</v>
      </c>
      <c r="AY60" s="36">
        <f t="shared" si="64"/>
        <v>0</v>
      </c>
      <c r="AZ60" s="37" t="e">
        <f t="shared" si="65"/>
        <v>#DIV/0!</v>
      </c>
      <c r="BA60" s="40"/>
    </row>
    <row r="61" spans="1:53" ht="30" customHeight="1" x14ac:dyDescent="0.35">
      <c r="A61" s="33">
        <v>19</v>
      </c>
      <c r="B61" s="34">
        <f>PETUNJUK!B27</f>
        <v>0</v>
      </c>
      <c r="C61" s="35">
        <f>'1.DATA KIA'!C61</f>
        <v>0</v>
      </c>
      <c r="D61" s="35">
        <f>'1.DATA KIA'!D61</f>
        <v>0</v>
      </c>
      <c r="E61" s="35">
        <f t="shared" si="35"/>
        <v>0</v>
      </c>
      <c r="F61" s="36">
        <f t="shared" si="36"/>
        <v>0</v>
      </c>
      <c r="G61" s="36">
        <f>'1.DATA KIA'!F61</f>
        <v>0</v>
      </c>
      <c r="H61" s="36">
        <f>F61+G61</f>
        <v>0</v>
      </c>
      <c r="I61" s="37" t="e">
        <f>H61/C61*100</f>
        <v>#DIV/0!</v>
      </c>
      <c r="J61" s="38"/>
      <c r="K61" s="36">
        <f t="shared" si="68"/>
        <v>0</v>
      </c>
      <c r="L61" s="36">
        <f>'1.DATA KIA'!J61</f>
        <v>0</v>
      </c>
      <c r="M61" s="36">
        <f t="shared" si="69"/>
        <v>0</v>
      </c>
      <c r="N61" s="37" t="e">
        <f t="shared" si="53"/>
        <v>#DIV/0!</v>
      </c>
      <c r="O61" s="38"/>
      <c r="P61" s="36">
        <f t="shared" si="70"/>
        <v>0</v>
      </c>
      <c r="Q61" s="36">
        <f>'1.DATA KIA'!M61</f>
        <v>0</v>
      </c>
      <c r="R61" s="36">
        <f t="shared" si="71"/>
        <v>0</v>
      </c>
      <c r="S61" s="37" t="e">
        <f t="shared" si="55"/>
        <v>#DIV/0!</v>
      </c>
      <c r="T61" s="38"/>
      <c r="U61" s="33">
        <f>W27</f>
        <v>0</v>
      </c>
      <c r="V61" s="36">
        <f>'1.DATA KIA'!Y61</f>
        <v>0</v>
      </c>
      <c r="W61" s="33">
        <f>U61+V61</f>
        <v>0</v>
      </c>
      <c r="X61" s="37" t="e">
        <f>W61/(20%*C61)*100</f>
        <v>#DIV/0!</v>
      </c>
      <c r="Y61" s="40"/>
      <c r="Z61" s="33">
        <f>AB27</f>
        <v>0</v>
      </c>
      <c r="AA61" s="36">
        <f>'1.DATA KIA'!Z61</f>
        <v>0</v>
      </c>
      <c r="AB61" s="33">
        <f>Z61+AA61</f>
        <v>0</v>
      </c>
      <c r="AC61" s="37" t="e">
        <f>AB61/(20%*C61)*100</f>
        <v>#DIV/0!</v>
      </c>
      <c r="AD61" s="40"/>
      <c r="AE61" s="33">
        <f>AG27</f>
        <v>0</v>
      </c>
      <c r="AF61" s="41">
        <f>'8.ANCTEPADU'!D63+'8.ANCTEPADU'!E63</f>
        <v>0</v>
      </c>
      <c r="AG61" s="33">
        <f>AE61+AF61</f>
        <v>0</v>
      </c>
      <c r="AH61" s="37" t="e">
        <f>AG61/C61*100</f>
        <v>#DIV/0!</v>
      </c>
      <c r="AI61" s="33">
        <f>AK27</f>
        <v>0</v>
      </c>
      <c r="AJ61" s="41">
        <f>'8.ANCTEPADU'!J63</f>
        <v>0</v>
      </c>
      <c r="AK61" s="33">
        <f>AI61+AJ61</f>
        <v>0</v>
      </c>
      <c r="AL61" s="37" t="e">
        <f>AK61/C61*100</f>
        <v>#DIV/0!</v>
      </c>
      <c r="AM61" s="33">
        <f>AO27</f>
        <v>0</v>
      </c>
      <c r="AN61" s="36">
        <f>'1.DATA KIA'!AG61</f>
        <v>0</v>
      </c>
      <c r="AO61" s="33">
        <f>AN61+AM61</f>
        <v>0</v>
      </c>
      <c r="AP61" s="37" t="e">
        <f>AO61/E61*100</f>
        <v>#DIV/0!</v>
      </c>
      <c r="AQ61" s="40"/>
      <c r="AR61" s="42">
        <f>AT27</f>
        <v>0</v>
      </c>
      <c r="AS61" s="36">
        <f>'1.DATA KIA'!AB61</f>
        <v>0</v>
      </c>
      <c r="AT61" s="33">
        <f>AS61+AR61</f>
        <v>0</v>
      </c>
      <c r="AU61" s="37" t="e">
        <f>AT61/D61*100</f>
        <v>#DIV/0!</v>
      </c>
      <c r="AV61" s="40"/>
      <c r="AW61" s="36">
        <f t="shared" si="50"/>
        <v>0</v>
      </c>
      <c r="AX61" s="36">
        <f>'1.DATA KIA'!AF61</f>
        <v>0</v>
      </c>
      <c r="AY61" s="36">
        <f>AW61+AX61</f>
        <v>0</v>
      </c>
      <c r="AZ61" s="37" t="e">
        <f t="shared" si="65"/>
        <v>#DIV/0!</v>
      </c>
      <c r="BA61" s="40"/>
    </row>
    <row r="62" spans="1:53" ht="30" customHeight="1" x14ac:dyDescent="0.35">
      <c r="A62" s="33">
        <v>20</v>
      </c>
      <c r="B62" s="34">
        <f>PETUNJUK!B28</f>
        <v>0</v>
      </c>
      <c r="C62" s="35">
        <f>'1.DATA KIA'!C62</f>
        <v>0</v>
      </c>
      <c r="D62" s="35">
        <f>'1.DATA KIA'!D62</f>
        <v>0</v>
      </c>
      <c r="E62" s="35">
        <f t="shared" si="35"/>
        <v>0</v>
      </c>
      <c r="F62" s="36">
        <f t="shared" si="36"/>
        <v>0</v>
      </c>
      <c r="G62" s="36">
        <f>'1.DATA KIA'!F62</f>
        <v>0</v>
      </c>
      <c r="H62" s="36">
        <f>F62+G62</f>
        <v>0</v>
      </c>
      <c r="I62" s="37" t="e">
        <f>H62/C62*100</f>
        <v>#DIV/0!</v>
      </c>
      <c r="J62" s="38"/>
      <c r="K62" s="36">
        <f t="shared" si="68"/>
        <v>0</v>
      </c>
      <c r="L62" s="36">
        <f>'1.DATA KIA'!J62</f>
        <v>0</v>
      </c>
      <c r="M62" s="36">
        <f t="shared" si="69"/>
        <v>0</v>
      </c>
      <c r="N62" s="37" t="e">
        <f t="shared" si="53"/>
        <v>#DIV/0!</v>
      </c>
      <c r="O62" s="38"/>
      <c r="P62" s="36">
        <f t="shared" si="70"/>
        <v>0</v>
      </c>
      <c r="Q62" s="36">
        <f>'1.DATA KIA'!M62</f>
        <v>0</v>
      </c>
      <c r="R62" s="36">
        <f t="shared" si="71"/>
        <v>0</v>
      </c>
      <c r="S62" s="37" t="e">
        <f t="shared" si="55"/>
        <v>#DIV/0!</v>
      </c>
      <c r="T62" s="38"/>
      <c r="U62" s="33">
        <f>W28</f>
        <v>0</v>
      </c>
      <c r="V62" s="36">
        <f>'1.DATA KIA'!Y62</f>
        <v>0</v>
      </c>
      <c r="W62" s="33">
        <f>U62+V62</f>
        <v>0</v>
      </c>
      <c r="X62" s="37" t="e">
        <f>W62/(20%*C62)*100</f>
        <v>#DIV/0!</v>
      </c>
      <c r="Y62" s="40"/>
      <c r="Z62" s="33">
        <f>AB28</f>
        <v>0</v>
      </c>
      <c r="AA62" s="36">
        <f>'1.DATA KIA'!Z62</f>
        <v>0</v>
      </c>
      <c r="AB62" s="33">
        <f>Z62+AA62</f>
        <v>0</v>
      </c>
      <c r="AC62" s="37" t="e">
        <f>AB62/(20%*C62)*100</f>
        <v>#DIV/0!</v>
      </c>
      <c r="AD62" s="40"/>
      <c r="AE62" s="33">
        <f>AG28</f>
        <v>0</v>
      </c>
      <c r="AF62" s="41">
        <f>'8.ANCTEPADU'!D64+'8.ANCTEPADU'!E64</f>
        <v>0</v>
      </c>
      <c r="AG62" s="33">
        <f>AE62+AF62</f>
        <v>0</v>
      </c>
      <c r="AH62" s="37" t="e">
        <f>AG62/C62*100</f>
        <v>#DIV/0!</v>
      </c>
      <c r="AI62" s="33">
        <f>AK28</f>
        <v>0</v>
      </c>
      <c r="AJ62" s="41">
        <f>'8.ANCTEPADU'!J64</f>
        <v>0</v>
      </c>
      <c r="AK62" s="33">
        <f>AI62+AJ62</f>
        <v>0</v>
      </c>
      <c r="AL62" s="37" t="e">
        <f>AK62/C62*100</f>
        <v>#DIV/0!</v>
      </c>
      <c r="AM62" s="33">
        <f>AO28</f>
        <v>0</v>
      </c>
      <c r="AN62" s="36">
        <f>'1.DATA KIA'!AG62</f>
        <v>0</v>
      </c>
      <c r="AO62" s="33">
        <f>AN62+AM62</f>
        <v>0</v>
      </c>
      <c r="AP62" s="37" t="e">
        <f>AO62/E62*100</f>
        <v>#DIV/0!</v>
      </c>
      <c r="AQ62" s="40"/>
      <c r="AR62" s="42">
        <f>AT28</f>
        <v>0</v>
      </c>
      <c r="AS62" s="36">
        <f>'1.DATA KIA'!AB62</f>
        <v>0</v>
      </c>
      <c r="AT62" s="33">
        <f>AS62+AR62</f>
        <v>0</v>
      </c>
      <c r="AU62" s="37" t="e">
        <f>AT62/D62*100</f>
        <v>#DIV/0!</v>
      </c>
      <c r="AV62" s="40"/>
      <c r="AW62" s="36">
        <f t="shared" si="50"/>
        <v>0</v>
      </c>
      <c r="AX62" s="36">
        <f>'1.DATA KIA'!AF62</f>
        <v>0</v>
      </c>
      <c r="AY62" s="36">
        <f>AW62+AX62</f>
        <v>0</v>
      </c>
      <c r="AZ62" s="37" t="e">
        <f t="shared" si="65"/>
        <v>#DIV/0!</v>
      </c>
      <c r="BA62" s="40"/>
    </row>
    <row r="63" spans="1:53" ht="30" customHeight="1" x14ac:dyDescent="0.35">
      <c r="A63" s="33">
        <v>21</v>
      </c>
      <c r="B63" s="34">
        <f>PETUNJUK!B29</f>
        <v>0</v>
      </c>
      <c r="C63" s="35">
        <f>'1.DATA KIA'!C63</f>
        <v>0</v>
      </c>
      <c r="D63" s="35">
        <f>'1.DATA KIA'!D63</f>
        <v>0</v>
      </c>
      <c r="E63" s="35">
        <f t="shared" si="35"/>
        <v>0</v>
      </c>
      <c r="F63" s="36">
        <f t="shared" si="36"/>
        <v>0</v>
      </c>
      <c r="G63" s="36">
        <f>'1.DATA KIA'!F63</f>
        <v>0</v>
      </c>
      <c r="H63" s="36">
        <f>F63+G63</f>
        <v>0</v>
      </c>
      <c r="I63" s="37" t="e">
        <f>H63/C63*100</f>
        <v>#DIV/0!</v>
      </c>
      <c r="J63" s="38"/>
      <c r="K63" s="36">
        <f t="shared" si="68"/>
        <v>0</v>
      </c>
      <c r="L63" s="36">
        <f>'1.DATA KIA'!J63</f>
        <v>0</v>
      </c>
      <c r="M63" s="36">
        <f t="shared" si="69"/>
        <v>0</v>
      </c>
      <c r="N63" s="37" t="e">
        <f t="shared" si="53"/>
        <v>#DIV/0!</v>
      </c>
      <c r="O63" s="38"/>
      <c r="P63" s="36">
        <f t="shared" si="70"/>
        <v>0</v>
      </c>
      <c r="Q63" s="36">
        <f>'1.DATA KIA'!M63</f>
        <v>0</v>
      </c>
      <c r="R63" s="36">
        <f t="shared" si="71"/>
        <v>0</v>
      </c>
      <c r="S63" s="37" t="e">
        <f t="shared" si="55"/>
        <v>#DIV/0!</v>
      </c>
      <c r="T63" s="38"/>
      <c r="U63" s="33">
        <f>W29</f>
        <v>0</v>
      </c>
      <c r="V63" s="36">
        <f>'1.DATA KIA'!Y67</f>
        <v>0</v>
      </c>
      <c r="W63" s="33">
        <f>U63+V63</f>
        <v>0</v>
      </c>
      <c r="X63" s="37" t="e">
        <f>W63/(20%*C63)*100</f>
        <v>#DIV/0!</v>
      </c>
      <c r="Y63" s="40"/>
      <c r="Z63" s="33">
        <f>AB29</f>
        <v>0</v>
      </c>
      <c r="AA63" s="36">
        <f>'1.DATA KIA'!Z67</f>
        <v>0</v>
      </c>
      <c r="AB63" s="33">
        <f>Z63+AA63</f>
        <v>0</v>
      </c>
      <c r="AC63" s="37" t="e">
        <f>AB63/(20%*C63)*100</f>
        <v>#DIV/0!</v>
      </c>
      <c r="AD63" s="40"/>
      <c r="AE63" s="33">
        <f>AG29</f>
        <v>0</v>
      </c>
      <c r="AF63" s="41">
        <f>'8.ANCTEPADU'!D65+'8.ANCTEPADU'!E65</f>
        <v>0</v>
      </c>
      <c r="AG63" s="33">
        <f>AE63+AF63</f>
        <v>0</v>
      </c>
      <c r="AH63" s="37" t="e">
        <f>AG63/C63*100</f>
        <v>#DIV/0!</v>
      </c>
      <c r="AI63" s="33">
        <f>AK29</f>
        <v>0</v>
      </c>
      <c r="AJ63" s="41">
        <f>'8.ANCTEPADU'!J65</f>
        <v>0</v>
      </c>
      <c r="AK63" s="33">
        <f>AI63+AJ63</f>
        <v>0</v>
      </c>
      <c r="AL63" s="37" t="e">
        <f>AK63/C63*100</f>
        <v>#DIV/0!</v>
      </c>
      <c r="AM63" s="33">
        <f>AO29</f>
        <v>0</v>
      </c>
      <c r="AN63" s="36">
        <f>'1.DATA KIA'!AG63</f>
        <v>0</v>
      </c>
      <c r="AO63" s="33">
        <f>AN63+AM63</f>
        <v>0</v>
      </c>
      <c r="AP63" s="37" t="e">
        <f>AO63/E63*100</f>
        <v>#DIV/0!</v>
      </c>
      <c r="AQ63" s="40"/>
      <c r="AR63" s="42">
        <f>AT29</f>
        <v>0</v>
      </c>
      <c r="AS63" s="36">
        <f>'1.DATA KIA'!AB63</f>
        <v>0</v>
      </c>
      <c r="AT63" s="33">
        <f>AS63+AR63</f>
        <v>0</v>
      </c>
      <c r="AU63" s="37" t="e">
        <f>AT63/D63*100</f>
        <v>#DIV/0!</v>
      </c>
      <c r="AV63" s="40"/>
      <c r="AW63" s="36">
        <f t="shared" si="50"/>
        <v>0</v>
      </c>
      <c r="AX63" s="36">
        <f>'1.DATA KIA'!AF63</f>
        <v>0</v>
      </c>
      <c r="AY63" s="36">
        <f>AW63+AX63</f>
        <v>0</v>
      </c>
      <c r="AZ63" s="37" t="e">
        <f t="shared" si="65"/>
        <v>#DIV/0!</v>
      </c>
      <c r="BA63" s="40"/>
    </row>
    <row r="64" spans="1:53" ht="30" customHeight="1" thickBot="1" x14ac:dyDescent="0.4">
      <c r="A64" s="46">
        <v>22</v>
      </c>
      <c r="B64" s="47">
        <f>PETUNJUK!B30</f>
        <v>0</v>
      </c>
      <c r="C64" s="48">
        <f>'1.DATA KIA'!C64</f>
        <v>0</v>
      </c>
      <c r="D64" s="48">
        <f>'1.DATA KIA'!D64</f>
        <v>0</v>
      </c>
      <c r="E64" s="48">
        <f t="shared" si="35"/>
        <v>0</v>
      </c>
      <c r="F64" s="49">
        <f t="shared" si="36"/>
        <v>0</v>
      </c>
      <c r="G64" s="36">
        <f>'1.DATA KIA'!F64</f>
        <v>0</v>
      </c>
      <c r="H64" s="49">
        <f>F64+G64</f>
        <v>0</v>
      </c>
      <c r="I64" s="50" t="e">
        <f>H64/C64*100</f>
        <v>#DIV/0!</v>
      </c>
      <c r="J64" s="51"/>
      <c r="K64" s="49">
        <f t="shared" si="68"/>
        <v>0</v>
      </c>
      <c r="L64" s="36">
        <f>'1.DATA KIA'!J64</f>
        <v>0</v>
      </c>
      <c r="M64" s="49">
        <f t="shared" si="69"/>
        <v>0</v>
      </c>
      <c r="N64" s="37" t="e">
        <f t="shared" si="53"/>
        <v>#DIV/0!</v>
      </c>
      <c r="O64" s="51"/>
      <c r="P64" s="49">
        <f t="shared" si="70"/>
        <v>0</v>
      </c>
      <c r="Q64" s="36">
        <f>'1.DATA KIA'!M64</f>
        <v>0</v>
      </c>
      <c r="R64" s="49">
        <f t="shared" si="71"/>
        <v>0</v>
      </c>
      <c r="S64" s="37" t="e">
        <f t="shared" si="55"/>
        <v>#DIV/0!</v>
      </c>
      <c r="T64" s="51"/>
      <c r="U64" s="46">
        <f>W30</f>
        <v>0</v>
      </c>
      <c r="V64" s="49">
        <f>'1.DATA KIA'!Y64</f>
        <v>0</v>
      </c>
      <c r="W64" s="46">
        <f>U64+V64</f>
        <v>0</v>
      </c>
      <c r="X64" s="50" t="e">
        <f>W64/(20%*C64)*100</f>
        <v>#DIV/0!</v>
      </c>
      <c r="Y64" s="53"/>
      <c r="Z64" s="46">
        <f>AB30</f>
        <v>0</v>
      </c>
      <c r="AA64" s="49">
        <f>'1.DATA KIA'!Z64</f>
        <v>0</v>
      </c>
      <c r="AB64" s="46">
        <f>Z64+AA64</f>
        <v>0</v>
      </c>
      <c r="AC64" s="50" t="e">
        <f>AB64/(20%*C64)*100</f>
        <v>#DIV/0!</v>
      </c>
      <c r="AD64" s="53"/>
      <c r="AE64" s="46">
        <f>AG30</f>
        <v>0</v>
      </c>
      <c r="AF64" s="41">
        <f>'8.ANCTEPADU'!D66+'8.ANCTEPADU'!E66</f>
        <v>0</v>
      </c>
      <c r="AG64" s="46">
        <f>AE64+AF64</f>
        <v>0</v>
      </c>
      <c r="AH64" s="50" t="e">
        <f>AG64/C64*100</f>
        <v>#DIV/0!</v>
      </c>
      <c r="AI64" s="46">
        <f>AK30</f>
        <v>0</v>
      </c>
      <c r="AJ64" s="41">
        <f>'8.ANCTEPADU'!J66</f>
        <v>0</v>
      </c>
      <c r="AK64" s="46">
        <f>AI64+AJ64</f>
        <v>0</v>
      </c>
      <c r="AL64" s="50" t="e">
        <f>AK64/C64*100</f>
        <v>#DIV/0!</v>
      </c>
      <c r="AM64" s="46">
        <f>AO30</f>
        <v>0</v>
      </c>
      <c r="AN64" s="36">
        <f>'1.DATA KIA'!AG64</f>
        <v>0</v>
      </c>
      <c r="AO64" s="46">
        <f>AN64+AM64</f>
        <v>0</v>
      </c>
      <c r="AP64" s="50" t="e">
        <f>AO64/E64*100</f>
        <v>#DIV/0!</v>
      </c>
      <c r="AQ64" s="53"/>
      <c r="AR64" s="55">
        <f>AT30</f>
        <v>0</v>
      </c>
      <c r="AS64" s="36">
        <f>'1.DATA KIA'!AB64</f>
        <v>0</v>
      </c>
      <c r="AT64" s="46">
        <f>AS64+AR64</f>
        <v>0</v>
      </c>
      <c r="AU64" s="50" t="e">
        <f>AT64/D64*100</f>
        <v>#DIV/0!</v>
      </c>
      <c r="AV64" s="53"/>
      <c r="AW64" s="36">
        <f t="shared" si="50"/>
        <v>0</v>
      </c>
      <c r="AX64" s="36">
        <f>'1.DATA KIA'!AF64</f>
        <v>0</v>
      </c>
      <c r="AY64" s="49">
        <f>AW64+AX64</f>
        <v>0</v>
      </c>
      <c r="AZ64" s="37" t="e">
        <f t="shared" si="65"/>
        <v>#DIV/0!</v>
      </c>
      <c r="BA64" s="53"/>
    </row>
    <row r="65" spans="1:54" s="52" customFormat="1" ht="30" customHeight="1" thickBot="1" x14ac:dyDescent="0.4">
      <c r="A65" s="354"/>
      <c r="B65" s="355" t="s">
        <v>18</v>
      </c>
      <c r="C65" s="347">
        <f>SUM(C43:C64)</f>
        <v>1067</v>
      </c>
      <c r="D65" s="347">
        <f t="shared" ref="D65:AY65" si="72">SUM(D43:D64)</f>
        <v>1018.5</v>
      </c>
      <c r="E65" s="347">
        <f t="shared" si="72"/>
        <v>0</v>
      </c>
      <c r="F65" s="347">
        <f t="shared" si="72"/>
        <v>101</v>
      </c>
      <c r="G65" s="347">
        <f t="shared" si="72"/>
        <v>85</v>
      </c>
      <c r="H65" s="347">
        <f t="shared" si="72"/>
        <v>186</v>
      </c>
      <c r="I65" s="357">
        <f>H65/C65*100</f>
        <v>17.432052483598877</v>
      </c>
      <c r="J65" s="347">
        <f t="shared" si="72"/>
        <v>0</v>
      </c>
      <c r="K65" s="347">
        <f>SUM(K43:K64)</f>
        <v>72</v>
      </c>
      <c r="L65" s="347">
        <f t="shared" si="72"/>
        <v>70</v>
      </c>
      <c r="M65" s="347">
        <f t="shared" si="72"/>
        <v>142</v>
      </c>
      <c r="N65" s="357">
        <f>M65/D65*100</f>
        <v>13.942071674030437</v>
      </c>
      <c r="O65" s="347">
        <f t="shared" si="72"/>
        <v>0</v>
      </c>
      <c r="P65" s="347">
        <f>SUM(P43:P64)</f>
        <v>88</v>
      </c>
      <c r="Q65" s="347">
        <f t="shared" ref="Q65:R65" si="73">SUM(Q43:Q64)</f>
        <v>79</v>
      </c>
      <c r="R65" s="347">
        <f t="shared" si="73"/>
        <v>167</v>
      </c>
      <c r="S65" s="357">
        <f>R65/D65*100</f>
        <v>16.396661757486498</v>
      </c>
      <c r="T65" s="347">
        <f t="shared" ref="T65" si="74">SUM(T43:T64)</f>
        <v>0</v>
      </c>
      <c r="U65" s="347">
        <f t="shared" si="72"/>
        <v>18</v>
      </c>
      <c r="V65" s="347">
        <f t="shared" si="72"/>
        <v>19</v>
      </c>
      <c r="W65" s="347">
        <f t="shared" si="72"/>
        <v>37</v>
      </c>
      <c r="X65" s="357">
        <f>W65/(20%*C65)*100</f>
        <v>17.33833177132146</v>
      </c>
      <c r="Y65" s="347">
        <f t="shared" si="72"/>
        <v>0</v>
      </c>
      <c r="Z65" s="347">
        <f t="shared" si="72"/>
        <v>11</v>
      </c>
      <c r="AA65" s="347">
        <f t="shared" si="72"/>
        <v>15</v>
      </c>
      <c r="AB65" s="347">
        <f t="shared" si="72"/>
        <v>26</v>
      </c>
      <c r="AC65" s="357">
        <f>AB65/(20%*C65)*100</f>
        <v>12.183692596063731</v>
      </c>
      <c r="AD65" s="347">
        <f t="shared" si="72"/>
        <v>0</v>
      </c>
      <c r="AE65" s="347">
        <f t="shared" si="72"/>
        <v>10</v>
      </c>
      <c r="AF65" s="347">
        <f t="shared" si="72"/>
        <v>10</v>
      </c>
      <c r="AG65" s="347">
        <f t="shared" si="72"/>
        <v>20</v>
      </c>
      <c r="AH65" s="357">
        <f>AG65/C65*100</f>
        <v>1.874414245548266</v>
      </c>
      <c r="AI65" s="347">
        <f t="shared" si="72"/>
        <v>12</v>
      </c>
      <c r="AJ65" s="347">
        <f t="shared" si="72"/>
        <v>13</v>
      </c>
      <c r="AK65" s="347">
        <f t="shared" si="72"/>
        <v>25</v>
      </c>
      <c r="AL65" s="357">
        <f>AK65/C65*100</f>
        <v>2.3430178069353329</v>
      </c>
      <c r="AM65" s="347">
        <f t="shared" si="72"/>
        <v>90</v>
      </c>
      <c r="AN65" s="347">
        <f t="shared" si="72"/>
        <v>67</v>
      </c>
      <c r="AO65" s="347">
        <f t="shared" si="72"/>
        <v>157</v>
      </c>
      <c r="AP65" s="357" t="e">
        <f>AO65/E65*100</f>
        <v>#DIV/0!</v>
      </c>
      <c r="AQ65" s="347">
        <f t="shared" si="72"/>
        <v>0</v>
      </c>
      <c r="AR65" s="347">
        <f t="shared" si="72"/>
        <v>90</v>
      </c>
      <c r="AS65" s="347">
        <f t="shared" si="72"/>
        <v>68</v>
      </c>
      <c r="AT65" s="347">
        <f t="shared" si="72"/>
        <v>158</v>
      </c>
      <c r="AU65" s="357">
        <f>AT65/D65*100</f>
        <v>15.513009327442317</v>
      </c>
      <c r="AV65" s="347">
        <f t="shared" si="72"/>
        <v>0</v>
      </c>
      <c r="AW65" s="347">
        <f t="shared" si="72"/>
        <v>16</v>
      </c>
      <c r="AX65" s="347">
        <f t="shared" si="72"/>
        <v>19</v>
      </c>
      <c r="AY65" s="347">
        <f t="shared" si="72"/>
        <v>35</v>
      </c>
      <c r="AZ65" s="357">
        <f>AY65/(20%*C65)*100</f>
        <v>16.401124648547327</v>
      </c>
      <c r="BA65" s="361"/>
      <c r="BB65" s="348"/>
    </row>
    <row r="66" spans="1:54" ht="12.75" customHeight="1" x14ac:dyDescent="0.35"/>
    <row r="67" spans="1:54" ht="12.75" customHeight="1" x14ac:dyDescent="0.35"/>
    <row r="68" spans="1:54" ht="12.75" customHeight="1" x14ac:dyDescent="0.35"/>
    <row r="69" spans="1:54" ht="12.75" customHeight="1" x14ac:dyDescent="0.35"/>
    <row r="70" spans="1:54" ht="12.75" customHeight="1" x14ac:dyDescent="0.35"/>
    <row r="71" spans="1:54" x14ac:dyDescent="0.35">
      <c r="A71" s="770" t="s">
        <v>19</v>
      </c>
      <c r="B71" s="770"/>
      <c r="C71" s="770"/>
      <c r="D71" s="770"/>
      <c r="E71" s="770"/>
      <c r="F71" s="770"/>
      <c r="G71" s="770"/>
      <c r="H71" s="770"/>
      <c r="I71" s="770"/>
      <c r="J71" s="770"/>
      <c r="K71" s="770"/>
      <c r="L71" s="770"/>
      <c r="M71" s="770"/>
      <c r="N71" s="770"/>
      <c r="O71" s="770"/>
      <c r="P71" s="770"/>
      <c r="Q71" s="770"/>
      <c r="R71" s="770"/>
      <c r="S71" s="770"/>
      <c r="T71" s="770"/>
      <c r="U71" s="770"/>
      <c r="V71" s="770"/>
      <c r="W71" s="770"/>
      <c r="X71" s="770"/>
      <c r="Y71" s="770"/>
      <c r="Z71" s="770"/>
      <c r="AA71" s="770"/>
      <c r="AB71" s="770"/>
      <c r="AC71" s="770"/>
      <c r="AD71" s="770"/>
      <c r="AE71" s="770"/>
      <c r="AF71" s="770"/>
      <c r="AG71" s="770"/>
      <c r="AH71" s="770"/>
      <c r="AI71" s="770"/>
      <c r="AJ71" s="770"/>
      <c r="AK71" s="770"/>
      <c r="AL71" s="770"/>
      <c r="AM71" s="770"/>
      <c r="AN71" s="770"/>
      <c r="AO71" s="770"/>
      <c r="AP71" s="770"/>
      <c r="AQ71" s="770"/>
      <c r="AR71" s="770"/>
      <c r="AS71" s="770"/>
      <c r="AT71" s="770"/>
      <c r="AU71" s="770"/>
      <c r="AV71" s="770"/>
      <c r="AW71" s="770"/>
      <c r="AX71" s="770"/>
      <c r="AY71" s="770"/>
      <c r="AZ71" s="770"/>
      <c r="BA71" s="770"/>
    </row>
    <row r="72" spans="1:54" ht="20.149999999999999" customHeight="1" x14ac:dyDescent="0.35">
      <c r="A72" s="31"/>
      <c r="B72" s="31" t="s">
        <v>175</v>
      </c>
      <c r="C72" s="345" t="str">
        <f>PETUNJUK!C5</f>
        <v>PECANGAAN</v>
      </c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</row>
    <row r="73" spans="1:54" ht="20.149999999999999" customHeight="1" x14ac:dyDescent="0.35">
      <c r="A73" s="30"/>
      <c r="B73" s="31" t="s">
        <v>170</v>
      </c>
      <c r="C73" s="32" t="str">
        <f>'1.DATA KIA'!C72</f>
        <v xml:space="preserve">MARET </v>
      </c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</row>
    <row r="74" spans="1:54" x14ac:dyDescent="0.35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</row>
    <row r="75" spans="1:54" s="45" customFormat="1" ht="25.5" customHeight="1" x14ac:dyDescent="0.35">
      <c r="A75" s="774" t="s">
        <v>1</v>
      </c>
      <c r="B75" s="774" t="s">
        <v>2</v>
      </c>
      <c r="C75" s="777" t="s">
        <v>20</v>
      </c>
      <c r="D75" s="778"/>
      <c r="E75" s="778"/>
      <c r="F75" s="777" t="s">
        <v>21</v>
      </c>
      <c r="G75" s="778"/>
      <c r="H75" s="778"/>
      <c r="I75" s="778"/>
      <c r="J75" s="791"/>
      <c r="K75" s="777" t="s">
        <v>9</v>
      </c>
      <c r="L75" s="778"/>
      <c r="M75" s="778"/>
      <c r="N75" s="778"/>
      <c r="O75" s="791"/>
      <c r="P75" s="777" t="s">
        <v>289</v>
      </c>
      <c r="Q75" s="778"/>
      <c r="R75" s="778"/>
      <c r="S75" s="778"/>
      <c r="T75" s="791"/>
      <c r="U75" s="771" t="s">
        <v>22</v>
      </c>
      <c r="V75" s="772"/>
      <c r="W75" s="772"/>
      <c r="X75" s="772"/>
      <c r="Y75" s="772"/>
      <c r="Z75" s="772"/>
      <c r="AA75" s="772"/>
      <c r="AB75" s="772"/>
      <c r="AC75" s="772"/>
      <c r="AD75" s="773"/>
      <c r="AE75" s="771" t="s">
        <v>5</v>
      </c>
      <c r="AF75" s="772"/>
      <c r="AG75" s="772"/>
      <c r="AH75" s="772"/>
      <c r="AI75" s="772"/>
      <c r="AJ75" s="772"/>
      <c r="AK75" s="772"/>
      <c r="AL75" s="773"/>
      <c r="AM75" s="771" t="s">
        <v>23</v>
      </c>
      <c r="AN75" s="772"/>
      <c r="AO75" s="772"/>
      <c r="AP75" s="772"/>
      <c r="AQ75" s="773"/>
      <c r="AR75" s="779" t="s">
        <v>24</v>
      </c>
      <c r="AS75" s="780"/>
      <c r="AT75" s="780"/>
      <c r="AU75" s="780"/>
      <c r="AV75" s="781"/>
      <c r="AW75" s="779" t="s">
        <v>241</v>
      </c>
      <c r="AX75" s="780"/>
      <c r="AY75" s="780"/>
      <c r="AZ75" s="780"/>
      <c r="BA75" s="781"/>
      <c r="BB75" s="348"/>
    </row>
    <row r="76" spans="1:54" s="45" customFormat="1" ht="15" customHeight="1" x14ac:dyDescent="0.35">
      <c r="A76" s="775"/>
      <c r="B76" s="775"/>
      <c r="C76" s="767" t="s">
        <v>5</v>
      </c>
      <c r="D76" s="767" t="s">
        <v>6</v>
      </c>
      <c r="E76" s="767" t="s">
        <v>7</v>
      </c>
      <c r="F76" s="767" t="s">
        <v>26</v>
      </c>
      <c r="G76" s="767" t="s">
        <v>27</v>
      </c>
      <c r="H76" s="771" t="s">
        <v>28</v>
      </c>
      <c r="I76" s="773"/>
      <c r="J76" s="785" t="s">
        <v>29</v>
      </c>
      <c r="K76" s="785" t="s">
        <v>26</v>
      </c>
      <c r="L76" s="785" t="s">
        <v>27</v>
      </c>
      <c r="M76" s="771" t="s">
        <v>28</v>
      </c>
      <c r="N76" s="773"/>
      <c r="O76" s="785" t="s">
        <v>29</v>
      </c>
      <c r="P76" s="785" t="s">
        <v>26</v>
      </c>
      <c r="Q76" s="785" t="s">
        <v>27</v>
      </c>
      <c r="R76" s="771" t="s">
        <v>28</v>
      </c>
      <c r="S76" s="773"/>
      <c r="T76" s="785" t="s">
        <v>29</v>
      </c>
      <c r="U76" s="771" t="s">
        <v>30</v>
      </c>
      <c r="V76" s="772"/>
      <c r="W76" s="772"/>
      <c r="X76" s="772"/>
      <c r="Y76" s="773"/>
      <c r="Z76" s="771" t="s">
        <v>31</v>
      </c>
      <c r="AA76" s="772"/>
      <c r="AB76" s="772"/>
      <c r="AC76" s="772"/>
      <c r="AD76" s="773"/>
      <c r="AE76" s="771" t="s">
        <v>32</v>
      </c>
      <c r="AF76" s="772"/>
      <c r="AG76" s="772"/>
      <c r="AH76" s="773"/>
      <c r="AI76" s="771" t="s">
        <v>33</v>
      </c>
      <c r="AJ76" s="772"/>
      <c r="AK76" s="772"/>
      <c r="AL76" s="773"/>
      <c r="AM76" s="785" t="s">
        <v>34</v>
      </c>
      <c r="AN76" s="785" t="s">
        <v>35</v>
      </c>
      <c r="AO76" s="788" t="s">
        <v>36</v>
      </c>
      <c r="AP76" s="782" t="s">
        <v>37</v>
      </c>
      <c r="AQ76" s="785" t="s">
        <v>29</v>
      </c>
      <c r="AR76" s="785" t="s">
        <v>34</v>
      </c>
      <c r="AS76" s="785" t="s">
        <v>35</v>
      </c>
      <c r="AT76" s="788" t="s">
        <v>36</v>
      </c>
      <c r="AU76" s="782" t="s">
        <v>37</v>
      </c>
      <c r="AV76" s="785" t="s">
        <v>29</v>
      </c>
      <c r="AW76" s="785" t="s">
        <v>34</v>
      </c>
      <c r="AX76" s="785" t="s">
        <v>35</v>
      </c>
      <c r="AY76" s="788" t="s">
        <v>36</v>
      </c>
      <c r="AZ76" s="782" t="s">
        <v>37</v>
      </c>
      <c r="BA76" s="785" t="s">
        <v>29</v>
      </c>
      <c r="BB76" s="348"/>
    </row>
    <row r="77" spans="1:54" s="45" customFormat="1" ht="15" customHeight="1" x14ac:dyDescent="0.35">
      <c r="A77" s="775"/>
      <c r="B77" s="775"/>
      <c r="C77" s="768"/>
      <c r="D77" s="768"/>
      <c r="E77" s="768"/>
      <c r="F77" s="768"/>
      <c r="G77" s="768"/>
      <c r="H77" s="785" t="s">
        <v>36</v>
      </c>
      <c r="I77" s="782" t="s">
        <v>37</v>
      </c>
      <c r="J77" s="786"/>
      <c r="K77" s="786"/>
      <c r="L77" s="786"/>
      <c r="M77" s="785" t="s">
        <v>36</v>
      </c>
      <c r="N77" s="785" t="s">
        <v>37</v>
      </c>
      <c r="O77" s="786"/>
      <c r="P77" s="786"/>
      <c r="Q77" s="786"/>
      <c r="R77" s="785" t="s">
        <v>36</v>
      </c>
      <c r="S77" s="785" t="s">
        <v>37</v>
      </c>
      <c r="T77" s="786"/>
      <c r="U77" s="785" t="s">
        <v>26</v>
      </c>
      <c r="V77" s="785" t="s">
        <v>27</v>
      </c>
      <c r="W77" s="779" t="s">
        <v>28</v>
      </c>
      <c r="X77" s="781"/>
      <c r="Y77" s="785" t="s">
        <v>29</v>
      </c>
      <c r="Z77" s="785" t="s">
        <v>26</v>
      </c>
      <c r="AA77" s="785" t="s">
        <v>27</v>
      </c>
      <c r="AB77" s="779" t="s">
        <v>28</v>
      </c>
      <c r="AC77" s="781"/>
      <c r="AD77" s="785" t="s">
        <v>29</v>
      </c>
      <c r="AE77" s="771" t="s">
        <v>38</v>
      </c>
      <c r="AF77" s="772"/>
      <c r="AG77" s="772"/>
      <c r="AH77" s="773"/>
      <c r="AI77" s="771" t="s">
        <v>39</v>
      </c>
      <c r="AJ77" s="772"/>
      <c r="AK77" s="772"/>
      <c r="AL77" s="773"/>
      <c r="AM77" s="786"/>
      <c r="AN77" s="786"/>
      <c r="AO77" s="789"/>
      <c r="AP77" s="783"/>
      <c r="AQ77" s="786"/>
      <c r="AR77" s="786"/>
      <c r="AS77" s="786"/>
      <c r="AT77" s="789"/>
      <c r="AU77" s="783"/>
      <c r="AV77" s="786"/>
      <c r="AW77" s="786"/>
      <c r="AX77" s="786"/>
      <c r="AY77" s="789"/>
      <c r="AZ77" s="783"/>
      <c r="BA77" s="786"/>
      <c r="BB77" s="348"/>
    </row>
    <row r="78" spans="1:54" s="45" customFormat="1" ht="48.75" customHeight="1" x14ac:dyDescent="0.35">
      <c r="A78" s="776"/>
      <c r="B78" s="776"/>
      <c r="C78" s="769"/>
      <c r="D78" s="769"/>
      <c r="E78" s="769"/>
      <c r="F78" s="769"/>
      <c r="G78" s="769"/>
      <c r="H78" s="787"/>
      <c r="I78" s="784"/>
      <c r="J78" s="787"/>
      <c r="K78" s="787"/>
      <c r="L78" s="787"/>
      <c r="M78" s="787"/>
      <c r="N78" s="787"/>
      <c r="O78" s="787"/>
      <c r="P78" s="787"/>
      <c r="Q78" s="787"/>
      <c r="R78" s="787"/>
      <c r="S78" s="787"/>
      <c r="T78" s="787"/>
      <c r="U78" s="787"/>
      <c r="V78" s="787"/>
      <c r="W78" s="352" t="s">
        <v>36</v>
      </c>
      <c r="X78" s="353" t="s">
        <v>37</v>
      </c>
      <c r="Y78" s="787"/>
      <c r="Z78" s="787"/>
      <c r="AA78" s="787"/>
      <c r="AB78" s="352" t="s">
        <v>36</v>
      </c>
      <c r="AC78" s="353" t="s">
        <v>37</v>
      </c>
      <c r="AD78" s="787"/>
      <c r="AE78" s="352" t="s">
        <v>26</v>
      </c>
      <c r="AF78" s="352" t="s">
        <v>27</v>
      </c>
      <c r="AG78" s="352" t="s">
        <v>36</v>
      </c>
      <c r="AH78" s="353" t="s">
        <v>37</v>
      </c>
      <c r="AI78" s="352" t="s">
        <v>26</v>
      </c>
      <c r="AJ78" s="352" t="s">
        <v>27</v>
      </c>
      <c r="AK78" s="352" t="s">
        <v>36</v>
      </c>
      <c r="AL78" s="353" t="s">
        <v>37</v>
      </c>
      <c r="AM78" s="787"/>
      <c r="AN78" s="787"/>
      <c r="AO78" s="790"/>
      <c r="AP78" s="784"/>
      <c r="AQ78" s="787"/>
      <c r="AR78" s="787"/>
      <c r="AS78" s="787"/>
      <c r="AT78" s="790"/>
      <c r="AU78" s="784"/>
      <c r="AV78" s="787"/>
      <c r="AW78" s="787"/>
      <c r="AX78" s="787"/>
      <c r="AY78" s="790"/>
      <c r="AZ78" s="784"/>
      <c r="BA78" s="787"/>
      <c r="BB78" s="348"/>
    </row>
    <row r="79" spans="1:54" ht="30" customHeight="1" x14ac:dyDescent="0.35">
      <c r="A79" s="33">
        <v>1</v>
      </c>
      <c r="B79" s="34" t="str">
        <f>PETUNJUK!B9</f>
        <v>Pecangaan Kulon</v>
      </c>
      <c r="C79" s="35">
        <f>'1.DATA KIA'!C77</f>
        <v>101.2</v>
      </c>
      <c r="D79" s="35">
        <f>'1.DATA KIA'!D77</f>
        <v>96.600000000000009</v>
      </c>
      <c r="E79" s="35">
        <f t="shared" ref="E79:E100" si="75">E9</f>
        <v>0</v>
      </c>
      <c r="F79" s="36">
        <f t="shared" ref="F79:F96" si="76">H43</f>
        <v>15</v>
      </c>
      <c r="G79" s="36">
        <f>'1.DATA KIA'!F77</f>
        <v>7</v>
      </c>
      <c r="H79" s="36">
        <f>F79+G79</f>
        <v>22</v>
      </c>
      <c r="I79" s="37">
        <f t="shared" ref="I79:I101" si="77">H79/C79*100</f>
        <v>21.739130434782609</v>
      </c>
      <c r="J79" s="40"/>
      <c r="K79" s="36">
        <f t="shared" ref="K79:K96" si="78">M43</f>
        <v>13</v>
      </c>
      <c r="L79" s="33">
        <f>'1.DATA KIA'!J77</f>
        <v>8</v>
      </c>
      <c r="M79" s="36">
        <f>K79+L79</f>
        <v>21</v>
      </c>
      <c r="N79" s="37">
        <f>M79/D79*100</f>
        <v>21.739130434782609</v>
      </c>
      <c r="O79" s="40"/>
      <c r="P79" s="36">
        <f t="shared" ref="P79:P96" si="79">R43</f>
        <v>16</v>
      </c>
      <c r="Q79" s="36">
        <f>'1.DATA KIA'!M77</f>
        <v>6</v>
      </c>
      <c r="R79" s="36">
        <f>P79+Q79</f>
        <v>22</v>
      </c>
      <c r="S79" s="37">
        <f>R79/D79*100</f>
        <v>22.774327122153206</v>
      </c>
      <c r="T79" s="40"/>
      <c r="U79" s="33">
        <f t="shared" ref="U79:U96" si="80">W43</f>
        <v>6</v>
      </c>
      <c r="V79" s="36">
        <f>'1.DATA KIA'!Y77</f>
        <v>2</v>
      </c>
      <c r="W79" s="33">
        <f>U79+V79</f>
        <v>8</v>
      </c>
      <c r="X79" s="37">
        <f t="shared" ref="X79:X101" si="81">W79/(20%*C79)*100</f>
        <v>39.525691699604735</v>
      </c>
      <c r="Y79" s="40"/>
      <c r="Z79" s="33">
        <f t="shared" ref="Z79:Z96" si="82">AB43</f>
        <v>3</v>
      </c>
      <c r="AA79" s="36">
        <f>'1.DATA KIA'!Z77</f>
        <v>2</v>
      </c>
      <c r="AB79" s="33">
        <f>Z79+AA79</f>
        <v>5</v>
      </c>
      <c r="AC79" s="37">
        <f t="shared" ref="AC79:AC101" si="83">AB79/(20%*C79)*100</f>
        <v>24.703557312252965</v>
      </c>
      <c r="AD79" s="40"/>
      <c r="AE79" s="33">
        <f t="shared" ref="AE79:AE96" si="84">AG43</f>
        <v>3</v>
      </c>
      <c r="AF79" s="41">
        <f>'8.ANCTEPADU'!D80+'8.ANCTEPADU'!E80</f>
        <v>0</v>
      </c>
      <c r="AG79" s="33">
        <f>AE79+AF79</f>
        <v>3</v>
      </c>
      <c r="AH79" s="37">
        <f t="shared" ref="AH79:AH101" si="85">AG79/C79*100</f>
        <v>2.9644268774703555</v>
      </c>
      <c r="AI79" s="33">
        <f t="shared" ref="AI79:AI96" si="86">AK43</f>
        <v>0</v>
      </c>
      <c r="AJ79" s="41">
        <f>'8.ANCTEPADU'!J80</f>
        <v>1</v>
      </c>
      <c r="AK79" s="33">
        <f>AI79+AJ79</f>
        <v>1</v>
      </c>
      <c r="AL79" s="37">
        <f t="shared" ref="AL79:AL101" si="87">AK79/C79*100</f>
        <v>0.98814229249011865</v>
      </c>
      <c r="AM79" s="36">
        <f t="shared" ref="AM79:AM96" si="88">AO43</f>
        <v>17</v>
      </c>
      <c r="AN79" s="36">
        <f>'1.DATA KIA'!AG77</f>
        <v>6</v>
      </c>
      <c r="AO79" s="33">
        <f>AN79+AM79</f>
        <v>23</v>
      </c>
      <c r="AP79" s="37" t="e">
        <f>AO79/E79*100</f>
        <v>#DIV/0!</v>
      </c>
      <c r="AQ79" s="40"/>
      <c r="AR79" s="42">
        <f t="shared" ref="AR79:AR96" si="89">AT43</f>
        <v>17</v>
      </c>
      <c r="AS79" s="36">
        <f>'1.DATA KIA'!AB77</f>
        <v>6</v>
      </c>
      <c r="AT79" s="36">
        <f>AS79+AR79</f>
        <v>23</v>
      </c>
      <c r="AU79" s="37">
        <f>AT79/D79*100</f>
        <v>23.809523809523807</v>
      </c>
      <c r="AV79" s="40"/>
      <c r="AW79" s="36">
        <f t="shared" ref="AW79:AW96" si="90">AY43</f>
        <v>5</v>
      </c>
      <c r="AX79" s="33">
        <f>'1.DATA KIA'!AF77</f>
        <v>1</v>
      </c>
      <c r="AY79" s="36">
        <f>AW79+AX79</f>
        <v>6</v>
      </c>
      <c r="AZ79" s="37">
        <f>AY79/(20%*C79)*100</f>
        <v>29.644268774703551</v>
      </c>
      <c r="BA79" s="40"/>
    </row>
    <row r="80" spans="1:54" ht="30" customHeight="1" x14ac:dyDescent="0.35">
      <c r="A80" s="33">
        <v>2</v>
      </c>
      <c r="B80" s="34" t="str">
        <f>PETUNJUK!B10</f>
        <v>Rengging</v>
      </c>
      <c r="C80" s="35">
        <f>'1.DATA KIA'!C78</f>
        <v>111.10000000000001</v>
      </c>
      <c r="D80" s="35">
        <f>'1.DATA KIA'!D78</f>
        <v>106.05000000000001</v>
      </c>
      <c r="E80" s="35">
        <f t="shared" si="75"/>
        <v>0</v>
      </c>
      <c r="F80" s="36">
        <f t="shared" si="76"/>
        <v>29</v>
      </c>
      <c r="G80" s="36">
        <f>'1.DATA KIA'!F78</f>
        <v>6</v>
      </c>
      <c r="H80" s="36">
        <f t="shared" ref="H80:H96" si="91">F80+G80</f>
        <v>35</v>
      </c>
      <c r="I80" s="37">
        <f t="shared" si="77"/>
        <v>31.503150315031505</v>
      </c>
      <c r="J80" s="40"/>
      <c r="K80" s="36">
        <f t="shared" si="78"/>
        <v>13</v>
      </c>
      <c r="L80" s="33">
        <f>'1.DATA KIA'!J78</f>
        <v>3</v>
      </c>
      <c r="M80" s="36">
        <f t="shared" ref="M80:M96" si="92">K80+L80</f>
        <v>16</v>
      </c>
      <c r="N80" s="37">
        <f t="shared" ref="N80:N100" si="93">M80/D80*100</f>
        <v>15.087223008015085</v>
      </c>
      <c r="O80" s="40"/>
      <c r="P80" s="36">
        <f t="shared" si="79"/>
        <v>26</v>
      </c>
      <c r="Q80" s="36">
        <f>'1.DATA KIA'!M78</f>
        <v>2</v>
      </c>
      <c r="R80" s="36">
        <f t="shared" ref="R80:R96" si="94">P80+Q80</f>
        <v>28</v>
      </c>
      <c r="S80" s="37">
        <f t="shared" ref="S80:S100" si="95">R80/D80*100</f>
        <v>26.402640264026399</v>
      </c>
      <c r="T80" s="40"/>
      <c r="U80" s="33">
        <f t="shared" si="80"/>
        <v>5</v>
      </c>
      <c r="V80" s="36">
        <f>'1.DATA KIA'!Y78</f>
        <v>2</v>
      </c>
      <c r="W80" s="33">
        <f t="shared" ref="W80:W96" si="96">U80+V80</f>
        <v>7</v>
      </c>
      <c r="X80" s="37">
        <f t="shared" si="81"/>
        <v>31.503150315031498</v>
      </c>
      <c r="Y80" s="40"/>
      <c r="Z80" s="33">
        <f t="shared" si="82"/>
        <v>3</v>
      </c>
      <c r="AA80" s="36">
        <f>'1.DATA KIA'!Z78</f>
        <v>1</v>
      </c>
      <c r="AB80" s="33">
        <f t="shared" ref="AB80:AB96" si="97">Z80+AA80</f>
        <v>4</v>
      </c>
      <c r="AC80" s="37">
        <f t="shared" si="83"/>
        <v>18.001800180017998</v>
      </c>
      <c r="AD80" s="40"/>
      <c r="AE80" s="33">
        <f t="shared" si="84"/>
        <v>3</v>
      </c>
      <c r="AF80" s="41">
        <f>'8.ANCTEPADU'!D81+'8.ANCTEPADU'!E81</f>
        <v>3</v>
      </c>
      <c r="AG80" s="33">
        <f t="shared" ref="AG80:AG96" si="98">AE80+AF80</f>
        <v>6</v>
      </c>
      <c r="AH80" s="37">
        <f t="shared" si="85"/>
        <v>5.4005400540054005</v>
      </c>
      <c r="AI80" s="33">
        <f t="shared" si="86"/>
        <v>6</v>
      </c>
      <c r="AJ80" s="41">
        <f>'8.ANCTEPADU'!J81</f>
        <v>0</v>
      </c>
      <c r="AK80" s="33">
        <f t="shared" ref="AK80:AK96" si="99">AI80+AJ80</f>
        <v>6</v>
      </c>
      <c r="AL80" s="37">
        <f t="shared" si="87"/>
        <v>5.4005400540054005</v>
      </c>
      <c r="AM80" s="36">
        <f t="shared" si="88"/>
        <v>18</v>
      </c>
      <c r="AN80" s="36">
        <f>'1.DATA KIA'!AG78</f>
        <v>8</v>
      </c>
      <c r="AO80" s="33">
        <f t="shared" ref="AO80:AO89" si="100">AN80+AM80</f>
        <v>26</v>
      </c>
      <c r="AP80" s="37" t="e">
        <f t="shared" ref="AP80:AP101" si="101">AO80/E80*100</f>
        <v>#DIV/0!</v>
      </c>
      <c r="AQ80" s="40"/>
      <c r="AR80" s="42">
        <f t="shared" si="89"/>
        <v>18</v>
      </c>
      <c r="AS80" s="36">
        <f>'1.DATA KIA'!AB78</f>
        <v>7</v>
      </c>
      <c r="AT80" s="33">
        <f t="shared" ref="AT80:AT89" si="102">AS80+AR80</f>
        <v>25</v>
      </c>
      <c r="AU80" s="37">
        <f t="shared" ref="AU80:AU101" si="103">AT80/D80*100</f>
        <v>23.57378595002357</v>
      </c>
      <c r="AV80" s="40"/>
      <c r="AW80" s="36">
        <f t="shared" si="90"/>
        <v>2</v>
      </c>
      <c r="AX80" s="33">
        <f>'1.DATA KIA'!AF78</f>
        <v>1</v>
      </c>
      <c r="AY80" s="36">
        <f t="shared" ref="AY80:AY96" si="104">AW80+AX80</f>
        <v>3</v>
      </c>
      <c r="AZ80" s="37">
        <f t="shared" ref="AZ80:AZ101" si="105">AY80/(20%*C80)*100</f>
        <v>13.501350135013501</v>
      </c>
      <c r="BA80" s="40"/>
    </row>
    <row r="81" spans="1:53" ht="30" customHeight="1" x14ac:dyDescent="0.35">
      <c r="A81" s="33">
        <v>3</v>
      </c>
      <c r="B81" s="34" t="str">
        <f>PETUNJUK!B11</f>
        <v>Troso</v>
      </c>
      <c r="C81" s="35">
        <f>'1.DATA KIA'!C79</f>
        <v>205.70000000000002</v>
      </c>
      <c r="D81" s="35">
        <f>'1.DATA KIA'!D79</f>
        <v>196.35</v>
      </c>
      <c r="E81" s="35">
        <f t="shared" si="75"/>
        <v>0</v>
      </c>
      <c r="F81" s="36">
        <f t="shared" si="76"/>
        <v>35</v>
      </c>
      <c r="G81" s="36">
        <f>'1.DATA KIA'!F79</f>
        <v>17</v>
      </c>
      <c r="H81" s="36">
        <f t="shared" si="91"/>
        <v>52</v>
      </c>
      <c r="I81" s="37">
        <f t="shared" si="77"/>
        <v>25.279533300923674</v>
      </c>
      <c r="J81" s="40"/>
      <c r="K81" s="36">
        <f t="shared" si="78"/>
        <v>28</v>
      </c>
      <c r="L81" s="33">
        <f>'1.DATA KIA'!J79</f>
        <v>17</v>
      </c>
      <c r="M81" s="36">
        <f t="shared" si="92"/>
        <v>45</v>
      </c>
      <c r="N81" s="37">
        <f t="shared" si="93"/>
        <v>22.918258212375861</v>
      </c>
      <c r="O81" s="40"/>
      <c r="P81" s="36">
        <f t="shared" si="79"/>
        <v>39</v>
      </c>
      <c r="Q81" s="36">
        <f>'1.DATA KIA'!M79</f>
        <v>18</v>
      </c>
      <c r="R81" s="36">
        <f t="shared" si="94"/>
        <v>57</v>
      </c>
      <c r="S81" s="37">
        <f t="shared" si="95"/>
        <v>29.02979373567609</v>
      </c>
      <c r="T81" s="40"/>
      <c r="U81" s="33">
        <f t="shared" si="80"/>
        <v>7</v>
      </c>
      <c r="V81" s="36">
        <f>'1.DATA KIA'!Y79</f>
        <v>6</v>
      </c>
      <c r="W81" s="33">
        <f t="shared" si="96"/>
        <v>13</v>
      </c>
      <c r="X81" s="37">
        <f t="shared" si="81"/>
        <v>31.599416626154586</v>
      </c>
      <c r="Y81" s="40"/>
      <c r="Z81" s="33">
        <f t="shared" si="82"/>
        <v>7</v>
      </c>
      <c r="AA81" s="36">
        <f>'1.DATA KIA'!Z79</f>
        <v>4</v>
      </c>
      <c r="AB81" s="33">
        <f t="shared" si="97"/>
        <v>11</v>
      </c>
      <c r="AC81" s="37">
        <f t="shared" si="83"/>
        <v>26.737967914438499</v>
      </c>
      <c r="AD81" s="40"/>
      <c r="AE81" s="33">
        <f t="shared" si="84"/>
        <v>2</v>
      </c>
      <c r="AF81" s="41">
        <f>'8.ANCTEPADU'!D82+'8.ANCTEPADU'!E82</f>
        <v>1</v>
      </c>
      <c r="AG81" s="33">
        <f t="shared" si="98"/>
        <v>3</v>
      </c>
      <c r="AH81" s="37">
        <f t="shared" si="85"/>
        <v>1.4584346135148272</v>
      </c>
      <c r="AI81" s="33">
        <f t="shared" si="86"/>
        <v>6</v>
      </c>
      <c r="AJ81" s="41">
        <f>'8.ANCTEPADU'!J82</f>
        <v>2</v>
      </c>
      <c r="AK81" s="33">
        <f t="shared" si="99"/>
        <v>8</v>
      </c>
      <c r="AL81" s="37">
        <f t="shared" si="87"/>
        <v>3.8891589693728723</v>
      </c>
      <c r="AM81" s="36">
        <f t="shared" si="88"/>
        <v>34</v>
      </c>
      <c r="AN81" s="36">
        <f>'1.DATA KIA'!AG79</f>
        <v>12</v>
      </c>
      <c r="AO81" s="33">
        <f t="shared" si="100"/>
        <v>46</v>
      </c>
      <c r="AP81" s="37" t="e">
        <f t="shared" si="101"/>
        <v>#DIV/0!</v>
      </c>
      <c r="AQ81" s="40"/>
      <c r="AR81" s="42">
        <f t="shared" si="89"/>
        <v>34</v>
      </c>
      <c r="AS81" s="36">
        <f>'1.DATA KIA'!AB79</f>
        <v>12</v>
      </c>
      <c r="AT81" s="33">
        <f t="shared" si="102"/>
        <v>46</v>
      </c>
      <c r="AU81" s="37">
        <f t="shared" si="103"/>
        <v>23.427552839317546</v>
      </c>
      <c r="AV81" s="40"/>
      <c r="AW81" s="36">
        <f t="shared" si="90"/>
        <v>6</v>
      </c>
      <c r="AX81" s="33">
        <f>'1.DATA KIA'!AF79</f>
        <v>2</v>
      </c>
      <c r="AY81" s="36">
        <f t="shared" si="104"/>
        <v>8</v>
      </c>
      <c r="AZ81" s="37">
        <f t="shared" si="105"/>
        <v>19.445794846864363</v>
      </c>
      <c r="BA81" s="40"/>
    </row>
    <row r="82" spans="1:53" ht="30" customHeight="1" x14ac:dyDescent="0.35">
      <c r="A82" s="33">
        <v>4</v>
      </c>
      <c r="B82" s="34" t="str">
        <f>PETUNJUK!B12</f>
        <v>Ngeling</v>
      </c>
      <c r="C82" s="35">
        <f>'1.DATA KIA'!C80</f>
        <v>95.7</v>
      </c>
      <c r="D82" s="35">
        <f>'1.DATA KIA'!D80</f>
        <v>91.350000000000009</v>
      </c>
      <c r="E82" s="35">
        <f t="shared" si="75"/>
        <v>0</v>
      </c>
      <c r="F82" s="36">
        <f t="shared" si="76"/>
        <v>11</v>
      </c>
      <c r="G82" s="36">
        <f>'1.DATA KIA'!F80</f>
        <v>10</v>
      </c>
      <c r="H82" s="36">
        <f t="shared" si="91"/>
        <v>21</v>
      </c>
      <c r="I82" s="37">
        <f t="shared" si="77"/>
        <v>21.9435736677116</v>
      </c>
      <c r="J82" s="40"/>
      <c r="K82" s="36">
        <f t="shared" si="78"/>
        <v>14</v>
      </c>
      <c r="L82" s="33">
        <f>'1.DATA KIA'!J80</f>
        <v>7</v>
      </c>
      <c r="M82" s="36">
        <f t="shared" si="92"/>
        <v>21</v>
      </c>
      <c r="N82" s="37">
        <f t="shared" si="93"/>
        <v>22.988505747126435</v>
      </c>
      <c r="O82" s="40"/>
      <c r="P82" s="36">
        <f t="shared" si="79"/>
        <v>11</v>
      </c>
      <c r="Q82" s="36">
        <f>'1.DATA KIA'!M80</f>
        <v>7</v>
      </c>
      <c r="R82" s="36">
        <f t="shared" si="94"/>
        <v>18</v>
      </c>
      <c r="S82" s="37">
        <f t="shared" si="95"/>
        <v>19.704433497536943</v>
      </c>
      <c r="T82" s="40"/>
      <c r="U82" s="33">
        <f t="shared" si="80"/>
        <v>5</v>
      </c>
      <c r="V82" s="36">
        <f>'1.DATA KIA'!Y80</f>
        <v>1</v>
      </c>
      <c r="W82" s="33">
        <f t="shared" si="96"/>
        <v>6</v>
      </c>
      <c r="X82" s="37">
        <f t="shared" si="81"/>
        <v>31.347962382445139</v>
      </c>
      <c r="Y82" s="40"/>
      <c r="Z82" s="33">
        <f t="shared" si="82"/>
        <v>5</v>
      </c>
      <c r="AA82" s="36">
        <f>'1.DATA KIA'!Z80</f>
        <v>0</v>
      </c>
      <c r="AB82" s="33">
        <f t="shared" si="97"/>
        <v>5</v>
      </c>
      <c r="AC82" s="37">
        <f t="shared" si="83"/>
        <v>26.123301985370951</v>
      </c>
      <c r="AD82" s="40"/>
      <c r="AE82" s="33">
        <f t="shared" si="84"/>
        <v>2</v>
      </c>
      <c r="AF82" s="41">
        <f>'8.ANCTEPADU'!D83+'8.ANCTEPADU'!E83</f>
        <v>3</v>
      </c>
      <c r="AG82" s="33">
        <f t="shared" si="98"/>
        <v>5</v>
      </c>
      <c r="AH82" s="37">
        <f t="shared" si="85"/>
        <v>5.2246603970741896</v>
      </c>
      <c r="AI82" s="33">
        <f t="shared" si="86"/>
        <v>4</v>
      </c>
      <c r="AJ82" s="41">
        <f>'8.ANCTEPADU'!J83</f>
        <v>0</v>
      </c>
      <c r="AK82" s="33">
        <f t="shared" si="99"/>
        <v>4</v>
      </c>
      <c r="AL82" s="37">
        <f t="shared" si="87"/>
        <v>4.179728317659352</v>
      </c>
      <c r="AM82" s="36">
        <f t="shared" si="88"/>
        <v>16</v>
      </c>
      <c r="AN82" s="36">
        <f>'1.DATA KIA'!AG80</f>
        <v>1</v>
      </c>
      <c r="AO82" s="33">
        <f t="shared" si="100"/>
        <v>17</v>
      </c>
      <c r="AP82" s="37" t="e">
        <f t="shared" si="101"/>
        <v>#DIV/0!</v>
      </c>
      <c r="AQ82" s="40"/>
      <c r="AR82" s="42">
        <f t="shared" si="89"/>
        <v>16</v>
      </c>
      <c r="AS82" s="36">
        <f>'1.DATA KIA'!AB80</f>
        <v>1</v>
      </c>
      <c r="AT82" s="33">
        <f t="shared" si="102"/>
        <v>17</v>
      </c>
      <c r="AU82" s="37">
        <f t="shared" si="103"/>
        <v>18.609742747673781</v>
      </c>
      <c r="AV82" s="40"/>
      <c r="AW82" s="36">
        <f t="shared" si="90"/>
        <v>6</v>
      </c>
      <c r="AX82" s="33">
        <f>'1.DATA KIA'!AF80</f>
        <v>0</v>
      </c>
      <c r="AY82" s="36">
        <f t="shared" si="104"/>
        <v>6</v>
      </c>
      <c r="AZ82" s="37">
        <f t="shared" si="105"/>
        <v>31.347962382445139</v>
      </c>
      <c r="BA82" s="40"/>
    </row>
    <row r="83" spans="1:53" ht="30" customHeight="1" x14ac:dyDescent="0.35">
      <c r="A83" s="33">
        <v>5</v>
      </c>
      <c r="B83" s="34" t="str">
        <f>PETUNJUK!B13</f>
        <v>Lebuawu</v>
      </c>
      <c r="C83" s="35">
        <f>'1.DATA KIA'!C81</f>
        <v>85.800000000000011</v>
      </c>
      <c r="D83" s="35">
        <f>'1.DATA KIA'!D81</f>
        <v>81.900000000000006</v>
      </c>
      <c r="E83" s="35">
        <f t="shared" si="75"/>
        <v>0</v>
      </c>
      <c r="F83" s="36">
        <f t="shared" si="76"/>
        <v>20</v>
      </c>
      <c r="G83" s="36">
        <f>'1.DATA KIA'!F81</f>
        <v>5</v>
      </c>
      <c r="H83" s="36">
        <f t="shared" si="91"/>
        <v>25</v>
      </c>
      <c r="I83" s="37">
        <f t="shared" si="77"/>
        <v>29.137529137529132</v>
      </c>
      <c r="J83" s="40"/>
      <c r="K83" s="36">
        <f t="shared" si="78"/>
        <v>12</v>
      </c>
      <c r="L83" s="33">
        <f>'1.DATA KIA'!J81</f>
        <v>6</v>
      </c>
      <c r="M83" s="36">
        <f t="shared" si="92"/>
        <v>18</v>
      </c>
      <c r="N83" s="37">
        <f t="shared" si="93"/>
        <v>21.978021978021978</v>
      </c>
      <c r="O83" s="40"/>
      <c r="P83" s="36">
        <f t="shared" si="79"/>
        <v>10</v>
      </c>
      <c r="Q83" s="36">
        <f>'1.DATA KIA'!M81</f>
        <v>4</v>
      </c>
      <c r="R83" s="36">
        <f t="shared" si="94"/>
        <v>14</v>
      </c>
      <c r="S83" s="37">
        <f t="shared" si="95"/>
        <v>17.09401709401709</v>
      </c>
      <c r="T83" s="40"/>
      <c r="U83" s="33">
        <f t="shared" si="80"/>
        <v>3</v>
      </c>
      <c r="V83" s="36">
        <f>'1.DATA KIA'!Y81</f>
        <v>0</v>
      </c>
      <c r="W83" s="33">
        <f t="shared" si="96"/>
        <v>3</v>
      </c>
      <c r="X83" s="37">
        <f t="shared" si="81"/>
        <v>17.48251748251748</v>
      </c>
      <c r="Y83" s="40"/>
      <c r="Z83" s="33">
        <f t="shared" si="82"/>
        <v>3</v>
      </c>
      <c r="AA83" s="36">
        <f>'1.DATA KIA'!Z81</f>
        <v>0</v>
      </c>
      <c r="AB83" s="33">
        <f t="shared" si="97"/>
        <v>3</v>
      </c>
      <c r="AC83" s="37">
        <f t="shared" si="83"/>
        <v>17.48251748251748</v>
      </c>
      <c r="AD83" s="40"/>
      <c r="AE83" s="33">
        <f t="shared" si="84"/>
        <v>2</v>
      </c>
      <c r="AF83" s="41">
        <f>'8.ANCTEPADU'!D84+'8.ANCTEPADU'!E84</f>
        <v>0</v>
      </c>
      <c r="AG83" s="33">
        <f t="shared" si="98"/>
        <v>2</v>
      </c>
      <c r="AH83" s="37">
        <f t="shared" si="85"/>
        <v>2.3310023310023307</v>
      </c>
      <c r="AI83" s="33">
        <f t="shared" si="86"/>
        <v>3</v>
      </c>
      <c r="AJ83" s="41">
        <f>'8.ANCTEPADU'!J84</f>
        <v>0</v>
      </c>
      <c r="AK83" s="33">
        <f t="shared" si="99"/>
        <v>3</v>
      </c>
      <c r="AL83" s="37">
        <f t="shared" si="87"/>
        <v>3.4965034965034962</v>
      </c>
      <c r="AM83" s="36">
        <f t="shared" si="88"/>
        <v>11</v>
      </c>
      <c r="AN83" s="36">
        <f>'1.DATA KIA'!AG81</f>
        <v>4</v>
      </c>
      <c r="AO83" s="33">
        <f t="shared" si="100"/>
        <v>15</v>
      </c>
      <c r="AP83" s="37" t="e">
        <f t="shared" si="101"/>
        <v>#DIV/0!</v>
      </c>
      <c r="AQ83" s="40"/>
      <c r="AR83" s="42">
        <f t="shared" si="89"/>
        <v>11</v>
      </c>
      <c r="AS83" s="36">
        <f>'1.DATA KIA'!AB81</f>
        <v>4</v>
      </c>
      <c r="AT83" s="33">
        <f t="shared" si="102"/>
        <v>15</v>
      </c>
      <c r="AU83" s="37">
        <f t="shared" si="103"/>
        <v>18.315018315018314</v>
      </c>
      <c r="AV83" s="40"/>
      <c r="AW83" s="36">
        <f t="shared" si="90"/>
        <v>0</v>
      </c>
      <c r="AX83" s="33">
        <f>'1.DATA KIA'!AF81</f>
        <v>0</v>
      </c>
      <c r="AY83" s="36">
        <f t="shared" si="104"/>
        <v>0</v>
      </c>
      <c r="AZ83" s="37">
        <f t="shared" si="105"/>
        <v>0</v>
      </c>
      <c r="BA83" s="40"/>
    </row>
    <row r="84" spans="1:53" ht="30" customHeight="1" x14ac:dyDescent="0.35">
      <c r="A84" s="33">
        <v>6</v>
      </c>
      <c r="B84" s="34" t="str">
        <f>PETUNJUK!B14</f>
        <v>Pulodarat</v>
      </c>
      <c r="C84" s="35">
        <f>'1.DATA KIA'!C82</f>
        <v>82.5</v>
      </c>
      <c r="D84" s="35">
        <f>'1.DATA KIA'!D82</f>
        <v>78.75</v>
      </c>
      <c r="E84" s="35">
        <f t="shared" si="75"/>
        <v>0</v>
      </c>
      <c r="F84" s="36">
        <f t="shared" si="76"/>
        <v>9</v>
      </c>
      <c r="G84" s="36">
        <f>'1.DATA KIA'!F82</f>
        <v>5</v>
      </c>
      <c r="H84" s="36">
        <f t="shared" si="91"/>
        <v>14</v>
      </c>
      <c r="I84" s="37">
        <f t="shared" si="77"/>
        <v>16.969696969696972</v>
      </c>
      <c r="J84" s="40"/>
      <c r="K84" s="36">
        <f t="shared" si="78"/>
        <v>11</v>
      </c>
      <c r="L84" s="33">
        <f>'1.DATA KIA'!J82</f>
        <v>4</v>
      </c>
      <c r="M84" s="36">
        <f t="shared" si="92"/>
        <v>15</v>
      </c>
      <c r="N84" s="37">
        <f t="shared" si="93"/>
        <v>19.047619047619047</v>
      </c>
      <c r="O84" s="40"/>
      <c r="P84" s="36">
        <f t="shared" si="79"/>
        <v>11</v>
      </c>
      <c r="Q84" s="36">
        <f>'1.DATA KIA'!M82</f>
        <v>3</v>
      </c>
      <c r="R84" s="36">
        <f t="shared" si="94"/>
        <v>14</v>
      </c>
      <c r="S84" s="37">
        <f t="shared" si="95"/>
        <v>17.777777777777779</v>
      </c>
      <c r="T84" s="40"/>
      <c r="U84" s="33">
        <f t="shared" si="80"/>
        <v>0</v>
      </c>
      <c r="V84" s="36">
        <f>'1.DATA KIA'!Y82</f>
        <v>1</v>
      </c>
      <c r="W84" s="33">
        <f t="shared" si="96"/>
        <v>1</v>
      </c>
      <c r="X84" s="37">
        <f t="shared" si="81"/>
        <v>6.0606060606060606</v>
      </c>
      <c r="Y84" s="40"/>
      <c r="Z84" s="33">
        <f t="shared" si="82"/>
        <v>0</v>
      </c>
      <c r="AA84" s="36">
        <f>'1.DATA KIA'!Z82</f>
        <v>1</v>
      </c>
      <c r="AB84" s="33">
        <f t="shared" si="97"/>
        <v>1</v>
      </c>
      <c r="AC84" s="37">
        <f t="shared" si="83"/>
        <v>6.0606060606060606</v>
      </c>
      <c r="AD84" s="40"/>
      <c r="AE84" s="33">
        <f t="shared" si="84"/>
        <v>2</v>
      </c>
      <c r="AF84" s="41">
        <f>'8.ANCTEPADU'!D85+'8.ANCTEPADU'!E85</f>
        <v>0</v>
      </c>
      <c r="AG84" s="33">
        <f t="shared" si="98"/>
        <v>2</v>
      </c>
      <c r="AH84" s="37">
        <f t="shared" si="85"/>
        <v>2.4242424242424243</v>
      </c>
      <c r="AI84" s="33">
        <f t="shared" si="86"/>
        <v>0</v>
      </c>
      <c r="AJ84" s="41">
        <f>'8.ANCTEPADU'!J85</f>
        <v>0</v>
      </c>
      <c r="AK84" s="33">
        <f t="shared" si="99"/>
        <v>0</v>
      </c>
      <c r="AL84" s="37">
        <f t="shared" si="87"/>
        <v>0</v>
      </c>
      <c r="AM84" s="36">
        <f t="shared" si="88"/>
        <v>11</v>
      </c>
      <c r="AN84" s="36">
        <f>'1.DATA KIA'!AG82</f>
        <v>2</v>
      </c>
      <c r="AO84" s="33">
        <f t="shared" si="100"/>
        <v>13</v>
      </c>
      <c r="AP84" s="37" t="e">
        <f t="shared" si="101"/>
        <v>#DIV/0!</v>
      </c>
      <c r="AQ84" s="40"/>
      <c r="AR84" s="42">
        <f t="shared" si="89"/>
        <v>11</v>
      </c>
      <c r="AS84" s="36">
        <f>'1.DATA KIA'!AB82</f>
        <v>2</v>
      </c>
      <c r="AT84" s="33">
        <f t="shared" si="102"/>
        <v>13</v>
      </c>
      <c r="AU84" s="37">
        <f t="shared" si="103"/>
        <v>16.507936507936506</v>
      </c>
      <c r="AV84" s="40"/>
      <c r="AW84" s="36">
        <f t="shared" si="90"/>
        <v>2</v>
      </c>
      <c r="AX84" s="33">
        <f>'1.DATA KIA'!AF82</f>
        <v>1</v>
      </c>
      <c r="AY84" s="36">
        <f t="shared" si="104"/>
        <v>3</v>
      </c>
      <c r="AZ84" s="37">
        <f t="shared" si="105"/>
        <v>18.181818181818183</v>
      </c>
      <c r="BA84" s="40"/>
    </row>
    <row r="85" spans="1:53" ht="30" customHeight="1" x14ac:dyDescent="0.35">
      <c r="A85" s="33">
        <v>7</v>
      </c>
      <c r="B85" s="34" t="str">
        <f>PETUNJUK!B15</f>
        <v>Karangrandu</v>
      </c>
      <c r="C85" s="35">
        <f>'1.DATA KIA'!C83</f>
        <v>93.500000000000014</v>
      </c>
      <c r="D85" s="35">
        <f>'1.DATA KIA'!D83</f>
        <v>89.25</v>
      </c>
      <c r="E85" s="35">
        <f t="shared" si="75"/>
        <v>0</v>
      </c>
      <c r="F85" s="36">
        <f t="shared" si="76"/>
        <v>15</v>
      </c>
      <c r="G85" s="36">
        <f>'1.DATA KIA'!F83</f>
        <v>7</v>
      </c>
      <c r="H85" s="36">
        <f t="shared" si="91"/>
        <v>22</v>
      </c>
      <c r="I85" s="37">
        <f t="shared" si="77"/>
        <v>23.52941176470588</v>
      </c>
      <c r="J85" s="40"/>
      <c r="K85" s="36">
        <f t="shared" si="78"/>
        <v>13</v>
      </c>
      <c r="L85" s="33">
        <f>'1.DATA KIA'!J83</f>
        <v>5</v>
      </c>
      <c r="M85" s="36">
        <f t="shared" si="92"/>
        <v>18</v>
      </c>
      <c r="N85" s="37">
        <f t="shared" si="93"/>
        <v>20.168067226890756</v>
      </c>
      <c r="O85" s="40"/>
      <c r="P85" s="36">
        <f t="shared" si="79"/>
        <v>12</v>
      </c>
      <c r="Q85" s="36">
        <f>'1.DATA KIA'!M83</f>
        <v>7</v>
      </c>
      <c r="R85" s="36">
        <f t="shared" si="94"/>
        <v>19</v>
      </c>
      <c r="S85" s="37">
        <f t="shared" si="95"/>
        <v>21.288515406162464</v>
      </c>
      <c r="T85" s="40"/>
      <c r="U85" s="33">
        <f t="shared" si="80"/>
        <v>5</v>
      </c>
      <c r="V85" s="36">
        <f>'1.DATA KIA'!Y83</f>
        <v>3</v>
      </c>
      <c r="W85" s="33">
        <f t="shared" si="96"/>
        <v>8</v>
      </c>
      <c r="X85" s="37">
        <f t="shared" si="81"/>
        <v>42.780748663101598</v>
      </c>
      <c r="Y85" s="40"/>
      <c r="Z85" s="33">
        <f t="shared" si="82"/>
        <v>2</v>
      </c>
      <c r="AA85" s="36">
        <f>'1.DATA KIA'!Z83</f>
        <v>2</v>
      </c>
      <c r="AB85" s="33">
        <f t="shared" si="97"/>
        <v>4</v>
      </c>
      <c r="AC85" s="37">
        <f t="shared" si="83"/>
        <v>21.390374331550799</v>
      </c>
      <c r="AD85" s="40"/>
      <c r="AE85" s="33">
        <f t="shared" si="84"/>
        <v>1</v>
      </c>
      <c r="AF85" s="41">
        <f>'8.ANCTEPADU'!D86+'8.ANCTEPADU'!E86</f>
        <v>1</v>
      </c>
      <c r="AG85" s="33">
        <f t="shared" si="98"/>
        <v>2</v>
      </c>
      <c r="AH85" s="37">
        <f t="shared" si="85"/>
        <v>2.1390374331550799</v>
      </c>
      <c r="AI85" s="33">
        <f t="shared" si="86"/>
        <v>1</v>
      </c>
      <c r="AJ85" s="41">
        <f>'8.ANCTEPADU'!J86</f>
        <v>1</v>
      </c>
      <c r="AK85" s="33">
        <f t="shared" si="99"/>
        <v>2</v>
      </c>
      <c r="AL85" s="37">
        <f t="shared" si="87"/>
        <v>2.1390374331550799</v>
      </c>
      <c r="AM85" s="36">
        <f t="shared" si="88"/>
        <v>9</v>
      </c>
      <c r="AN85" s="36">
        <f>'1.DATA KIA'!AG83</f>
        <v>9</v>
      </c>
      <c r="AO85" s="33">
        <f t="shared" si="100"/>
        <v>18</v>
      </c>
      <c r="AP85" s="37" t="e">
        <f t="shared" si="101"/>
        <v>#DIV/0!</v>
      </c>
      <c r="AQ85" s="40"/>
      <c r="AR85" s="42">
        <f t="shared" si="89"/>
        <v>10</v>
      </c>
      <c r="AS85" s="36">
        <f>'1.DATA KIA'!AB83</f>
        <v>9</v>
      </c>
      <c r="AT85" s="33">
        <f t="shared" si="102"/>
        <v>19</v>
      </c>
      <c r="AU85" s="37">
        <f t="shared" si="103"/>
        <v>21.288515406162464</v>
      </c>
      <c r="AV85" s="40"/>
      <c r="AW85" s="36">
        <f t="shared" si="90"/>
        <v>2</v>
      </c>
      <c r="AX85" s="33">
        <f>'1.DATA KIA'!AF83</f>
        <v>1</v>
      </c>
      <c r="AY85" s="36">
        <f t="shared" si="104"/>
        <v>3</v>
      </c>
      <c r="AZ85" s="37">
        <f t="shared" si="105"/>
        <v>16.042780748663098</v>
      </c>
      <c r="BA85" s="40"/>
    </row>
    <row r="86" spans="1:53" ht="30" customHeight="1" x14ac:dyDescent="0.35">
      <c r="A86" s="33">
        <v>8</v>
      </c>
      <c r="B86" s="34" t="str">
        <f>PETUNJUK!B16</f>
        <v>Kaliombo</v>
      </c>
      <c r="C86" s="35">
        <f>'1.DATA KIA'!C84</f>
        <v>46.2</v>
      </c>
      <c r="D86" s="35">
        <f>'1.DATA KIA'!D84</f>
        <v>44.1</v>
      </c>
      <c r="E86" s="35">
        <f t="shared" si="75"/>
        <v>0</v>
      </c>
      <c r="F86" s="36">
        <f t="shared" si="76"/>
        <v>6</v>
      </c>
      <c r="G86" s="36">
        <f>'1.DATA KIA'!F84</f>
        <v>2</v>
      </c>
      <c r="H86" s="36">
        <f t="shared" si="91"/>
        <v>8</v>
      </c>
      <c r="I86" s="37">
        <f t="shared" si="77"/>
        <v>17.316017316017316</v>
      </c>
      <c r="J86" s="40"/>
      <c r="K86" s="36">
        <f t="shared" si="78"/>
        <v>6</v>
      </c>
      <c r="L86" s="33">
        <f>'1.DATA KIA'!J84</f>
        <v>2</v>
      </c>
      <c r="M86" s="36">
        <f t="shared" si="92"/>
        <v>8</v>
      </c>
      <c r="N86" s="37">
        <f t="shared" si="93"/>
        <v>18.140589569160998</v>
      </c>
      <c r="O86" s="40"/>
      <c r="P86" s="36">
        <f t="shared" si="79"/>
        <v>6</v>
      </c>
      <c r="Q86" s="36">
        <f>'1.DATA KIA'!M84</f>
        <v>2</v>
      </c>
      <c r="R86" s="36">
        <f t="shared" si="94"/>
        <v>8</v>
      </c>
      <c r="S86" s="37">
        <f t="shared" si="95"/>
        <v>18.140589569160998</v>
      </c>
      <c r="T86" s="40"/>
      <c r="U86" s="33">
        <f t="shared" si="80"/>
        <v>2</v>
      </c>
      <c r="V86" s="36">
        <f>'1.DATA KIA'!Y84</f>
        <v>2</v>
      </c>
      <c r="W86" s="33">
        <f t="shared" si="96"/>
        <v>4</v>
      </c>
      <c r="X86" s="37">
        <f t="shared" si="81"/>
        <v>43.290043290043286</v>
      </c>
      <c r="Y86" s="40"/>
      <c r="Z86" s="33">
        <f t="shared" si="82"/>
        <v>0</v>
      </c>
      <c r="AA86" s="36">
        <f>'1.DATA KIA'!Z84</f>
        <v>2</v>
      </c>
      <c r="AB86" s="33">
        <f t="shared" si="97"/>
        <v>2</v>
      </c>
      <c r="AC86" s="37">
        <f t="shared" si="83"/>
        <v>21.645021645021643</v>
      </c>
      <c r="AD86" s="40"/>
      <c r="AE86" s="33">
        <f t="shared" si="84"/>
        <v>0</v>
      </c>
      <c r="AF86" s="41">
        <f>'8.ANCTEPADU'!D87+'8.ANCTEPADU'!E87</f>
        <v>0</v>
      </c>
      <c r="AG86" s="33">
        <f t="shared" si="98"/>
        <v>0</v>
      </c>
      <c r="AH86" s="37">
        <f t="shared" si="85"/>
        <v>0</v>
      </c>
      <c r="AI86" s="33">
        <f t="shared" si="86"/>
        <v>0</v>
      </c>
      <c r="AJ86" s="41">
        <f>'8.ANCTEPADU'!J87</f>
        <v>0</v>
      </c>
      <c r="AK86" s="33">
        <f t="shared" si="99"/>
        <v>0</v>
      </c>
      <c r="AL86" s="37">
        <f t="shared" si="87"/>
        <v>0</v>
      </c>
      <c r="AM86" s="36">
        <f t="shared" si="88"/>
        <v>6</v>
      </c>
      <c r="AN86" s="36">
        <f>'1.DATA KIA'!AG84</f>
        <v>2</v>
      </c>
      <c r="AO86" s="33">
        <f t="shared" si="100"/>
        <v>8</v>
      </c>
      <c r="AP86" s="37" t="e">
        <f t="shared" si="101"/>
        <v>#DIV/0!</v>
      </c>
      <c r="AQ86" s="40"/>
      <c r="AR86" s="42">
        <f t="shared" si="89"/>
        <v>6</v>
      </c>
      <c r="AS86" s="36">
        <f>'1.DATA KIA'!AB84</f>
        <v>2</v>
      </c>
      <c r="AT86" s="33">
        <f t="shared" si="102"/>
        <v>8</v>
      </c>
      <c r="AU86" s="37">
        <f t="shared" si="103"/>
        <v>18.140589569160998</v>
      </c>
      <c r="AV86" s="40"/>
      <c r="AW86" s="36">
        <f t="shared" si="90"/>
        <v>3</v>
      </c>
      <c r="AX86" s="33">
        <f>'1.DATA KIA'!AF84</f>
        <v>1</v>
      </c>
      <c r="AY86" s="36">
        <f t="shared" si="104"/>
        <v>4</v>
      </c>
      <c r="AZ86" s="37">
        <f t="shared" si="105"/>
        <v>43.290043290043286</v>
      </c>
      <c r="BA86" s="40"/>
    </row>
    <row r="87" spans="1:53" ht="30" customHeight="1" x14ac:dyDescent="0.35">
      <c r="A87" s="33">
        <v>9</v>
      </c>
      <c r="B87" s="34" t="str">
        <f>PETUNJUK!B17</f>
        <v>Gemulung</v>
      </c>
      <c r="C87" s="35">
        <f>'1.DATA KIA'!C85</f>
        <v>53.900000000000006</v>
      </c>
      <c r="D87" s="35">
        <f>'1.DATA KIA'!D85</f>
        <v>51.45</v>
      </c>
      <c r="E87" s="35">
        <f t="shared" si="75"/>
        <v>0</v>
      </c>
      <c r="F87" s="36">
        <f t="shared" si="76"/>
        <v>9</v>
      </c>
      <c r="G87" s="36">
        <f>'1.DATA KIA'!F85</f>
        <v>5</v>
      </c>
      <c r="H87" s="36">
        <f t="shared" si="91"/>
        <v>14</v>
      </c>
      <c r="I87" s="37">
        <f t="shared" si="77"/>
        <v>25.97402597402597</v>
      </c>
      <c r="J87" s="40"/>
      <c r="K87" s="36">
        <f t="shared" si="78"/>
        <v>9</v>
      </c>
      <c r="L87" s="33">
        <f>'1.DATA KIA'!J85</f>
        <v>5</v>
      </c>
      <c r="M87" s="36">
        <f t="shared" si="92"/>
        <v>14</v>
      </c>
      <c r="N87" s="37">
        <f t="shared" si="93"/>
        <v>27.210884353741495</v>
      </c>
      <c r="O87" s="40"/>
      <c r="P87" s="36">
        <f t="shared" si="79"/>
        <v>10</v>
      </c>
      <c r="Q87" s="36">
        <f>'1.DATA KIA'!M85</f>
        <v>5</v>
      </c>
      <c r="R87" s="36">
        <f t="shared" si="94"/>
        <v>15</v>
      </c>
      <c r="S87" s="37">
        <f t="shared" si="95"/>
        <v>29.154518950437314</v>
      </c>
      <c r="T87" s="40"/>
      <c r="U87" s="33">
        <f t="shared" si="80"/>
        <v>0</v>
      </c>
      <c r="V87" s="36">
        <f>'1.DATA KIA'!Y85</f>
        <v>0</v>
      </c>
      <c r="W87" s="33">
        <f t="shared" si="96"/>
        <v>0</v>
      </c>
      <c r="X87" s="37">
        <f t="shared" si="81"/>
        <v>0</v>
      </c>
      <c r="Y87" s="40"/>
      <c r="Z87" s="33">
        <f t="shared" si="82"/>
        <v>0</v>
      </c>
      <c r="AA87" s="36">
        <f>'1.DATA KIA'!Z85</f>
        <v>0</v>
      </c>
      <c r="AB87" s="33">
        <f t="shared" si="97"/>
        <v>0</v>
      </c>
      <c r="AC87" s="37">
        <f t="shared" si="83"/>
        <v>0</v>
      </c>
      <c r="AD87" s="40"/>
      <c r="AE87" s="33">
        <f t="shared" si="84"/>
        <v>3</v>
      </c>
      <c r="AF87" s="41">
        <f>'8.ANCTEPADU'!D88+'8.ANCTEPADU'!E88</f>
        <v>0</v>
      </c>
      <c r="AG87" s="33">
        <f t="shared" si="98"/>
        <v>3</v>
      </c>
      <c r="AH87" s="37">
        <f t="shared" si="85"/>
        <v>5.5658627087198509</v>
      </c>
      <c r="AI87" s="33">
        <f t="shared" si="86"/>
        <v>0</v>
      </c>
      <c r="AJ87" s="41">
        <f>'8.ANCTEPADU'!J88</f>
        <v>0</v>
      </c>
      <c r="AK87" s="33">
        <f t="shared" si="99"/>
        <v>0</v>
      </c>
      <c r="AL87" s="37">
        <f t="shared" si="87"/>
        <v>0</v>
      </c>
      <c r="AM87" s="36">
        <f t="shared" si="88"/>
        <v>8</v>
      </c>
      <c r="AN87" s="36">
        <f>'1.DATA KIA'!AG85</f>
        <v>8</v>
      </c>
      <c r="AO87" s="33">
        <f t="shared" si="100"/>
        <v>16</v>
      </c>
      <c r="AP87" s="37" t="e">
        <f t="shared" si="101"/>
        <v>#DIV/0!</v>
      </c>
      <c r="AQ87" s="40"/>
      <c r="AR87" s="42">
        <f t="shared" si="89"/>
        <v>8</v>
      </c>
      <c r="AS87" s="36">
        <f>'1.DATA KIA'!AB85</f>
        <v>8</v>
      </c>
      <c r="AT87" s="33">
        <f t="shared" si="102"/>
        <v>16</v>
      </c>
      <c r="AU87" s="37">
        <f t="shared" si="103"/>
        <v>31.098153547133141</v>
      </c>
      <c r="AV87" s="40"/>
      <c r="AW87" s="36">
        <f t="shared" si="90"/>
        <v>2</v>
      </c>
      <c r="AX87" s="33">
        <f>'1.DATA KIA'!AF85</f>
        <v>4</v>
      </c>
      <c r="AY87" s="36">
        <f t="shared" si="104"/>
        <v>6</v>
      </c>
      <c r="AZ87" s="37">
        <f t="shared" si="105"/>
        <v>55.658627087198511</v>
      </c>
      <c r="BA87" s="40"/>
    </row>
    <row r="88" spans="1:53" ht="30" customHeight="1" x14ac:dyDescent="0.35">
      <c r="A88" s="33">
        <v>10</v>
      </c>
      <c r="B88" s="34" t="str">
        <f>PETUNJUK!B18</f>
        <v>Pecangaan Wetan</v>
      </c>
      <c r="C88" s="35">
        <f>'1.DATA KIA'!C86</f>
        <v>50.6</v>
      </c>
      <c r="D88" s="35">
        <f>'1.DATA KIA'!D86</f>
        <v>48.300000000000004</v>
      </c>
      <c r="E88" s="35">
        <f t="shared" si="75"/>
        <v>0</v>
      </c>
      <c r="F88" s="36">
        <f t="shared" si="76"/>
        <v>10</v>
      </c>
      <c r="G88" s="36">
        <f>'1.DATA KIA'!F86</f>
        <v>2</v>
      </c>
      <c r="H88" s="36">
        <f t="shared" si="91"/>
        <v>12</v>
      </c>
      <c r="I88" s="37">
        <f t="shared" si="77"/>
        <v>23.715415019762844</v>
      </c>
      <c r="J88" s="40"/>
      <c r="K88" s="36">
        <f t="shared" si="78"/>
        <v>7</v>
      </c>
      <c r="L88" s="33">
        <f>'1.DATA KIA'!J86</f>
        <v>3</v>
      </c>
      <c r="M88" s="36">
        <f t="shared" si="92"/>
        <v>10</v>
      </c>
      <c r="N88" s="37">
        <f t="shared" si="93"/>
        <v>20.703933747412005</v>
      </c>
      <c r="O88" s="40"/>
      <c r="P88" s="36">
        <f t="shared" si="79"/>
        <v>5</v>
      </c>
      <c r="Q88" s="36">
        <f>'1.DATA KIA'!M86</f>
        <v>3</v>
      </c>
      <c r="R88" s="36">
        <f t="shared" si="94"/>
        <v>8</v>
      </c>
      <c r="S88" s="37">
        <f t="shared" si="95"/>
        <v>16.563146997929607</v>
      </c>
      <c r="T88" s="40"/>
      <c r="U88" s="33">
        <f t="shared" si="80"/>
        <v>2</v>
      </c>
      <c r="V88" s="36">
        <f>'1.DATA KIA'!Y86</f>
        <v>1</v>
      </c>
      <c r="W88" s="33">
        <f t="shared" si="96"/>
        <v>3</v>
      </c>
      <c r="X88" s="37">
        <f t="shared" si="81"/>
        <v>29.644268774703551</v>
      </c>
      <c r="Y88" s="40"/>
      <c r="Z88" s="33">
        <f t="shared" si="82"/>
        <v>0</v>
      </c>
      <c r="AA88" s="36">
        <f>'1.DATA KIA'!Z86</f>
        <v>0</v>
      </c>
      <c r="AB88" s="33">
        <f t="shared" si="97"/>
        <v>0</v>
      </c>
      <c r="AC88" s="37">
        <f t="shared" si="83"/>
        <v>0</v>
      </c>
      <c r="AD88" s="40"/>
      <c r="AE88" s="33">
        <f t="shared" si="84"/>
        <v>0</v>
      </c>
      <c r="AF88" s="41">
        <f>'8.ANCTEPADU'!D89+'8.ANCTEPADU'!E89</f>
        <v>0</v>
      </c>
      <c r="AG88" s="33">
        <f t="shared" si="98"/>
        <v>0</v>
      </c>
      <c r="AH88" s="37">
        <f t="shared" si="85"/>
        <v>0</v>
      </c>
      <c r="AI88" s="33">
        <f t="shared" si="86"/>
        <v>3</v>
      </c>
      <c r="AJ88" s="41">
        <f>'8.ANCTEPADU'!J89</f>
        <v>2</v>
      </c>
      <c r="AK88" s="33">
        <f t="shared" si="99"/>
        <v>5</v>
      </c>
      <c r="AL88" s="37">
        <f t="shared" si="87"/>
        <v>9.8814229249011856</v>
      </c>
      <c r="AM88" s="36">
        <f t="shared" si="88"/>
        <v>10</v>
      </c>
      <c r="AN88" s="36">
        <f>'1.DATA KIA'!AG86</f>
        <v>1</v>
      </c>
      <c r="AO88" s="33">
        <f t="shared" si="100"/>
        <v>11</v>
      </c>
      <c r="AP88" s="37" t="e">
        <f t="shared" si="101"/>
        <v>#DIV/0!</v>
      </c>
      <c r="AQ88" s="40"/>
      <c r="AR88" s="42">
        <f t="shared" si="89"/>
        <v>10</v>
      </c>
      <c r="AS88" s="36">
        <f>'1.DATA KIA'!AB86</f>
        <v>1</v>
      </c>
      <c r="AT88" s="33">
        <f t="shared" si="102"/>
        <v>11</v>
      </c>
      <c r="AU88" s="37">
        <f t="shared" si="103"/>
        <v>22.774327122153206</v>
      </c>
      <c r="AV88" s="40"/>
      <c r="AW88" s="36">
        <f t="shared" si="90"/>
        <v>1</v>
      </c>
      <c r="AX88" s="33">
        <f>'1.DATA KIA'!AF86</f>
        <v>0</v>
      </c>
      <c r="AY88" s="36">
        <f t="shared" si="104"/>
        <v>1</v>
      </c>
      <c r="AZ88" s="37">
        <f t="shared" si="105"/>
        <v>9.8814229249011838</v>
      </c>
      <c r="BA88" s="40"/>
    </row>
    <row r="89" spans="1:53" ht="30" customHeight="1" x14ac:dyDescent="0.35">
      <c r="A89" s="33">
        <v>11</v>
      </c>
      <c r="B89" s="34" t="str">
        <f>PETUNJUK!B19</f>
        <v>Krasak</v>
      </c>
      <c r="C89" s="35">
        <f>'1.DATA KIA'!C87</f>
        <v>117.7</v>
      </c>
      <c r="D89" s="35">
        <f>'1.DATA KIA'!D87</f>
        <v>112.35000000000001</v>
      </c>
      <c r="E89" s="35">
        <f t="shared" si="75"/>
        <v>0</v>
      </c>
      <c r="F89" s="36">
        <f t="shared" si="76"/>
        <v>25</v>
      </c>
      <c r="G89" s="36">
        <f>'1.DATA KIA'!F87</f>
        <v>9</v>
      </c>
      <c r="H89" s="36">
        <f t="shared" si="91"/>
        <v>34</v>
      </c>
      <c r="I89" s="37">
        <f t="shared" si="77"/>
        <v>28.887000849617671</v>
      </c>
      <c r="J89" s="40"/>
      <c r="K89" s="36">
        <f t="shared" si="78"/>
        <v>11</v>
      </c>
      <c r="L89" s="33">
        <f>'1.DATA KIA'!J87</f>
        <v>5</v>
      </c>
      <c r="M89" s="36">
        <f t="shared" si="92"/>
        <v>16</v>
      </c>
      <c r="N89" s="37">
        <f t="shared" si="93"/>
        <v>14.241210502892745</v>
      </c>
      <c r="O89" s="40"/>
      <c r="P89" s="36">
        <f t="shared" si="79"/>
        <v>18</v>
      </c>
      <c r="Q89" s="36">
        <f>'1.DATA KIA'!M87</f>
        <v>4</v>
      </c>
      <c r="R89" s="36">
        <f t="shared" si="94"/>
        <v>22</v>
      </c>
      <c r="S89" s="37">
        <f t="shared" si="95"/>
        <v>19.581664441477525</v>
      </c>
      <c r="T89" s="40"/>
      <c r="U89" s="33">
        <f t="shared" si="80"/>
        <v>2</v>
      </c>
      <c r="V89" s="36">
        <f>'1.DATA KIA'!Y87</f>
        <v>1</v>
      </c>
      <c r="W89" s="33">
        <f t="shared" si="96"/>
        <v>3</v>
      </c>
      <c r="X89" s="37">
        <f t="shared" si="81"/>
        <v>12.744265080713676</v>
      </c>
      <c r="Y89" s="40"/>
      <c r="Z89" s="33">
        <f t="shared" si="82"/>
        <v>2</v>
      </c>
      <c r="AA89" s="36">
        <f>'1.DATA KIA'!Z87</f>
        <v>1</v>
      </c>
      <c r="AB89" s="33">
        <f t="shared" si="97"/>
        <v>3</v>
      </c>
      <c r="AC89" s="37">
        <f t="shared" si="83"/>
        <v>12.744265080713676</v>
      </c>
      <c r="AD89" s="40"/>
      <c r="AE89" s="33">
        <f t="shared" si="84"/>
        <v>2</v>
      </c>
      <c r="AF89" s="41">
        <f>'8.ANCTEPADU'!D90+'8.ANCTEPADU'!E90</f>
        <v>1</v>
      </c>
      <c r="AG89" s="33">
        <f t="shared" si="98"/>
        <v>3</v>
      </c>
      <c r="AH89" s="37">
        <f t="shared" si="85"/>
        <v>2.5488530161427359</v>
      </c>
      <c r="AI89" s="33">
        <f t="shared" si="86"/>
        <v>2</v>
      </c>
      <c r="AJ89" s="41">
        <f>'8.ANCTEPADU'!J90</f>
        <v>0</v>
      </c>
      <c r="AK89" s="33">
        <f t="shared" si="99"/>
        <v>2</v>
      </c>
      <c r="AL89" s="37">
        <f t="shared" si="87"/>
        <v>1.6992353440951573</v>
      </c>
      <c r="AM89" s="36">
        <f t="shared" si="88"/>
        <v>14</v>
      </c>
      <c r="AN89" s="36">
        <f>'1.DATA KIA'!AG87</f>
        <v>6</v>
      </c>
      <c r="AO89" s="33">
        <f t="shared" si="100"/>
        <v>20</v>
      </c>
      <c r="AP89" s="37" t="e">
        <f t="shared" si="101"/>
        <v>#DIV/0!</v>
      </c>
      <c r="AQ89" s="40"/>
      <c r="AR89" s="42">
        <f t="shared" si="89"/>
        <v>14</v>
      </c>
      <c r="AS89" s="36">
        <f>'1.DATA KIA'!AB87</f>
        <v>6</v>
      </c>
      <c r="AT89" s="33">
        <f t="shared" si="102"/>
        <v>20</v>
      </c>
      <c r="AU89" s="37">
        <f t="shared" si="103"/>
        <v>17.80151312861593</v>
      </c>
      <c r="AV89" s="40"/>
      <c r="AW89" s="36">
        <f t="shared" si="90"/>
        <v>5</v>
      </c>
      <c r="AX89" s="33">
        <f>'1.DATA KIA'!AF87</f>
        <v>0</v>
      </c>
      <c r="AY89" s="36">
        <f t="shared" si="104"/>
        <v>5</v>
      </c>
      <c r="AZ89" s="37">
        <f t="shared" si="105"/>
        <v>21.240441801189462</v>
      </c>
      <c r="BA89" s="40"/>
    </row>
    <row r="90" spans="1:53" ht="30" customHeight="1" x14ac:dyDescent="0.35">
      <c r="A90" s="33">
        <v>12</v>
      </c>
      <c r="B90" s="34" t="str">
        <f>PETUNJUK!B20</f>
        <v>Gerdu</v>
      </c>
      <c r="C90" s="35">
        <f>'1.DATA KIA'!C88</f>
        <v>23.1</v>
      </c>
      <c r="D90" s="35">
        <f>'1.DATA KIA'!D88</f>
        <v>22.05</v>
      </c>
      <c r="E90" s="35">
        <f t="shared" si="75"/>
        <v>0</v>
      </c>
      <c r="F90" s="36">
        <f t="shared" si="76"/>
        <v>2</v>
      </c>
      <c r="G90" s="36">
        <f>'1.DATA KIA'!F88</f>
        <v>3</v>
      </c>
      <c r="H90" s="36">
        <f t="shared" si="91"/>
        <v>5</v>
      </c>
      <c r="I90" s="37">
        <f t="shared" si="77"/>
        <v>21.645021645021643</v>
      </c>
      <c r="J90" s="40"/>
      <c r="K90" s="36">
        <f t="shared" si="78"/>
        <v>5</v>
      </c>
      <c r="L90" s="33">
        <f>'1.DATA KIA'!J88</f>
        <v>0</v>
      </c>
      <c r="M90" s="36">
        <f t="shared" si="92"/>
        <v>5</v>
      </c>
      <c r="N90" s="37">
        <f t="shared" si="93"/>
        <v>22.675736961451246</v>
      </c>
      <c r="O90" s="40"/>
      <c r="P90" s="36">
        <f t="shared" si="79"/>
        <v>3</v>
      </c>
      <c r="Q90" s="36">
        <f>'1.DATA KIA'!M88</f>
        <v>3</v>
      </c>
      <c r="R90" s="36">
        <f t="shared" si="94"/>
        <v>6</v>
      </c>
      <c r="S90" s="37">
        <f t="shared" si="95"/>
        <v>27.210884353741495</v>
      </c>
      <c r="T90" s="40"/>
      <c r="U90" s="33">
        <f t="shared" si="80"/>
        <v>0</v>
      </c>
      <c r="V90" s="36">
        <f>'1.DATA KIA'!Y88</f>
        <v>2</v>
      </c>
      <c r="W90" s="33">
        <f t="shared" si="96"/>
        <v>2</v>
      </c>
      <c r="X90" s="37">
        <f t="shared" si="81"/>
        <v>43.290043290043286</v>
      </c>
      <c r="Y90" s="40"/>
      <c r="Z90" s="33">
        <f t="shared" si="82"/>
        <v>1</v>
      </c>
      <c r="AA90" s="36">
        <f>'1.DATA KIA'!Z88</f>
        <v>0</v>
      </c>
      <c r="AB90" s="33">
        <f t="shared" si="97"/>
        <v>1</v>
      </c>
      <c r="AC90" s="37">
        <f t="shared" si="83"/>
        <v>21.645021645021643</v>
      </c>
      <c r="AD90" s="40"/>
      <c r="AE90" s="33">
        <f t="shared" si="84"/>
        <v>0</v>
      </c>
      <c r="AF90" s="41">
        <f>'8.ANCTEPADU'!D91+'8.ANCTEPADU'!E91</f>
        <v>0</v>
      </c>
      <c r="AG90" s="33">
        <f t="shared" si="98"/>
        <v>0</v>
      </c>
      <c r="AH90" s="37">
        <f t="shared" si="85"/>
        <v>0</v>
      </c>
      <c r="AI90" s="33">
        <f t="shared" si="86"/>
        <v>0</v>
      </c>
      <c r="AJ90" s="41">
        <f>'8.ANCTEPADU'!J91</f>
        <v>1</v>
      </c>
      <c r="AK90" s="33">
        <f t="shared" si="99"/>
        <v>1</v>
      </c>
      <c r="AL90" s="37">
        <f t="shared" si="87"/>
        <v>4.329004329004329</v>
      </c>
      <c r="AM90" s="36">
        <f t="shared" si="88"/>
        <v>3</v>
      </c>
      <c r="AN90" s="36">
        <f>'1.DATA KIA'!AG88</f>
        <v>0</v>
      </c>
      <c r="AO90" s="33">
        <f>AN90+AM90</f>
        <v>3</v>
      </c>
      <c r="AP90" s="37" t="e">
        <f t="shared" si="101"/>
        <v>#DIV/0!</v>
      </c>
      <c r="AQ90" s="40"/>
      <c r="AR90" s="42">
        <f t="shared" si="89"/>
        <v>3</v>
      </c>
      <c r="AS90" s="36">
        <f>'1.DATA KIA'!AB88</f>
        <v>0</v>
      </c>
      <c r="AT90" s="33">
        <f>AS90+AR90</f>
        <v>3</v>
      </c>
      <c r="AU90" s="37">
        <f t="shared" si="103"/>
        <v>13.605442176870747</v>
      </c>
      <c r="AV90" s="40"/>
      <c r="AW90" s="36">
        <f t="shared" si="90"/>
        <v>1</v>
      </c>
      <c r="AX90" s="33">
        <f>'1.DATA KIA'!AF88</f>
        <v>0</v>
      </c>
      <c r="AY90" s="36">
        <f t="shared" si="104"/>
        <v>1</v>
      </c>
      <c r="AZ90" s="37">
        <f t="shared" si="105"/>
        <v>21.645021645021643</v>
      </c>
      <c r="BA90" s="40"/>
    </row>
    <row r="91" spans="1:53" ht="30" customHeight="1" x14ac:dyDescent="0.35">
      <c r="A91" s="33">
        <v>13</v>
      </c>
      <c r="B91" s="34">
        <f>PETUNJUK!B21</f>
        <v>0</v>
      </c>
      <c r="C91" s="35">
        <f>'1.DATA KIA'!C89</f>
        <v>0</v>
      </c>
      <c r="D91" s="35">
        <f>'1.DATA KIA'!D89</f>
        <v>0</v>
      </c>
      <c r="E91" s="35">
        <f t="shared" si="75"/>
        <v>0</v>
      </c>
      <c r="F91" s="36">
        <f t="shared" si="76"/>
        <v>0</v>
      </c>
      <c r="G91" s="36">
        <f>'1.DATA KIA'!F89</f>
        <v>0</v>
      </c>
      <c r="H91" s="36">
        <f t="shared" si="91"/>
        <v>0</v>
      </c>
      <c r="I91" s="37" t="e">
        <f t="shared" si="77"/>
        <v>#DIV/0!</v>
      </c>
      <c r="J91" s="40"/>
      <c r="K91" s="36">
        <f t="shared" si="78"/>
        <v>0</v>
      </c>
      <c r="L91" s="33">
        <f>'1.DATA KIA'!J89</f>
        <v>0</v>
      </c>
      <c r="M91" s="36">
        <f t="shared" si="92"/>
        <v>0</v>
      </c>
      <c r="N91" s="37" t="e">
        <f t="shared" si="93"/>
        <v>#DIV/0!</v>
      </c>
      <c r="O91" s="40"/>
      <c r="P91" s="36">
        <f t="shared" si="79"/>
        <v>0</v>
      </c>
      <c r="Q91" s="36">
        <f>'1.DATA KIA'!M89</f>
        <v>0</v>
      </c>
      <c r="R91" s="36">
        <f t="shared" si="94"/>
        <v>0</v>
      </c>
      <c r="S91" s="37" t="e">
        <f t="shared" si="95"/>
        <v>#DIV/0!</v>
      </c>
      <c r="T91" s="40"/>
      <c r="U91" s="33">
        <f t="shared" si="80"/>
        <v>0</v>
      </c>
      <c r="V91" s="36">
        <f>'1.DATA KIA'!Y89</f>
        <v>0</v>
      </c>
      <c r="W91" s="33">
        <f t="shared" si="96"/>
        <v>0</v>
      </c>
      <c r="X91" s="37" t="e">
        <f t="shared" si="81"/>
        <v>#DIV/0!</v>
      </c>
      <c r="Y91" s="40"/>
      <c r="Z91" s="33">
        <f t="shared" si="82"/>
        <v>0</v>
      </c>
      <c r="AA91" s="36">
        <f>'1.DATA KIA'!Z89</f>
        <v>0</v>
      </c>
      <c r="AB91" s="33">
        <f t="shared" si="97"/>
        <v>0</v>
      </c>
      <c r="AC91" s="37" t="e">
        <f t="shared" si="83"/>
        <v>#DIV/0!</v>
      </c>
      <c r="AD91" s="40"/>
      <c r="AE91" s="33">
        <f t="shared" si="84"/>
        <v>0</v>
      </c>
      <c r="AF91" s="41">
        <f>'8.ANCTEPADU'!D92+'8.ANCTEPADU'!E92</f>
        <v>0</v>
      </c>
      <c r="AG91" s="33">
        <f t="shared" si="98"/>
        <v>0</v>
      </c>
      <c r="AH91" s="37" t="e">
        <f t="shared" si="85"/>
        <v>#DIV/0!</v>
      </c>
      <c r="AI91" s="33">
        <f t="shared" si="86"/>
        <v>0</v>
      </c>
      <c r="AJ91" s="41">
        <f>'8.ANCTEPADU'!J92</f>
        <v>0</v>
      </c>
      <c r="AK91" s="33">
        <f t="shared" si="99"/>
        <v>0</v>
      </c>
      <c r="AL91" s="37" t="e">
        <f t="shared" si="87"/>
        <v>#DIV/0!</v>
      </c>
      <c r="AM91" s="36">
        <f t="shared" si="88"/>
        <v>0</v>
      </c>
      <c r="AN91" s="36">
        <f>'1.DATA KIA'!AG89</f>
        <v>0</v>
      </c>
      <c r="AO91" s="33">
        <f t="shared" ref="AO91:AO96" si="106">AN91+AM91</f>
        <v>0</v>
      </c>
      <c r="AP91" s="37" t="e">
        <f t="shared" si="101"/>
        <v>#DIV/0!</v>
      </c>
      <c r="AQ91" s="40"/>
      <c r="AR91" s="42">
        <f t="shared" si="89"/>
        <v>0</v>
      </c>
      <c r="AS91" s="36">
        <f>'1.DATA KIA'!AB89</f>
        <v>0</v>
      </c>
      <c r="AT91" s="33">
        <f t="shared" ref="AT91:AT96" si="107">AS91+AR91</f>
        <v>0</v>
      </c>
      <c r="AU91" s="37" t="e">
        <f t="shared" si="103"/>
        <v>#DIV/0!</v>
      </c>
      <c r="AV91" s="40"/>
      <c r="AW91" s="36">
        <f t="shared" si="90"/>
        <v>0</v>
      </c>
      <c r="AX91" s="33">
        <f>'1.DATA KIA'!AF89</f>
        <v>0</v>
      </c>
      <c r="AY91" s="36">
        <f t="shared" si="104"/>
        <v>0</v>
      </c>
      <c r="AZ91" s="37" t="e">
        <f t="shared" si="105"/>
        <v>#DIV/0!</v>
      </c>
      <c r="BA91" s="40"/>
    </row>
    <row r="92" spans="1:53" ht="30" customHeight="1" x14ac:dyDescent="0.35">
      <c r="A92" s="33">
        <v>14</v>
      </c>
      <c r="B92" s="34">
        <f>PETUNJUK!B22</f>
        <v>0</v>
      </c>
      <c r="C92" s="35">
        <f>'1.DATA KIA'!C90</f>
        <v>0</v>
      </c>
      <c r="D92" s="35">
        <f>'1.DATA KIA'!D90</f>
        <v>0</v>
      </c>
      <c r="E92" s="35">
        <f t="shared" si="75"/>
        <v>0</v>
      </c>
      <c r="F92" s="36">
        <f t="shared" si="76"/>
        <v>0</v>
      </c>
      <c r="G92" s="36">
        <f>'1.DATA KIA'!F90</f>
        <v>0</v>
      </c>
      <c r="H92" s="36">
        <f t="shared" si="91"/>
        <v>0</v>
      </c>
      <c r="I92" s="37" t="e">
        <f t="shared" si="77"/>
        <v>#DIV/0!</v>
      </c>
      <c r="J92" s="40"/>
      <c r="K92" s="36">
        <f t="shared" si="78"/>
        <v>0</v>
      </c>
      <c r="L92" s="33">
        <f>'1.DATA KIA'!J90</f>
        <v>0</v>
      </c>
      <c r="M92" s="36">
        <f t="shared" si="92"/>
        <v>0</v>
      </c>
      <c r="N92" s="37" t="e">
        <f t="shared" si="93"/>
        <v>#DIV/0!</v>
      </c>
      <c r="O92" s="40"/>
      <c r="P92" s="36">
        <f t="shared" si="79"/>
        <v>0</v>
      </c>
      <c r="Q92" s="36">
        <f>'1.DATA KIA'!M90</f>
        <v>0</v>
      </c>
      <c r="R92" s="36">
        <f t="shared" si="94"/>
        <v>0</v>
      </c>
      <c r="S92" s="37" t="e">
        <f t="shared" si="95"/>
        <v>#DIV/0!</v>
      </c>
      <c r="T92" s="40"/>
      <c r="U92" s="33">
        <f t="shared" si="80"/>
        <v>0</v>
      </c>
      <c r="V92" s="36">
        <f>'1.DATA KIA'!Y90</f>
        <v>0</v>
      </c>
      <c r="W92" s="33">
        <f t="shared" si="96"/>
        <v>0</v>
      </c>
      <c r="X92" s="37" t="e">
        <f t="shared" si="81"/>
        <v>#DIV/0!</v>
      </c>
      <c r="Y92" s="40"/>
      <c r="Z92" s="33">
        <f t="shared" si="82"/>
        <v>0</v>
      </c>
      <c r="AA92" s="36">
        <f>'1.DATA KIA'!Z90</f>
        <v>0</v>
      </c>
      <c r="AB92" s="33">
        <f t="shared" si="97"/>
        <v>0</v>
      </c>
      <c r="AC92" s="37" t="e">
        <f t="shared" si="83"/>
        <v>#DIV/0!</v>
      </c>
      <c r="AD92" s="40"/>
      <c r="AE92" s="33">
        <f t="shared" si="84"/>
        <v>0</v>
      </c>
      <c r="AF92" s="41">
        <f>'8.ANCTEPADU'!D93+'8.ANCTEPADU'!E93</f>
        <v>0</v>
      </c>
      <c r="AG92" s="33">
        <f t="shared" si="98"/>
        <v>0</v>
      </c>
      <c r="AH92" s="37" t="e">
        <f t="shared" si="85"/>
        <v>#DIV/0!</v>
      </c>
      <c r="AI92" s="33">
        <f t="shared" si="86"/>
        <v>0</v>
      </c>
      <c r="AJ92" s="41">
        <f>'8.ANCTEPADU'!J93</f>
        <v>0</v>
      </c>
      <c r="AK92" s="33">
        <f t="shared" si="99"/>
        <v>0</v>
      </c>
      <c r="AL92" s="37" t="e">
        <f t="shared" si="87"/>
        <v>#DIV/0!</v>
      </c>
      <c r="AM92" s="36">
        <f t="shared" si="88"/>
        <v>0</v>
      </c>
      <c r="AN92" s="36">
        <f>'1.DATA KIA'!AG90</f>
        <v>0</v>
      </c>
      <c r="AO92" s="33">
        <f t="shared" si="106"/>
        <v>0</v>
      </c>
      <c r="AP92" s="37" t="e">
        <f t="shared" si="101"/>
        <v>#DIV/0!</v>
      </c>
      <c r="AQ92" s="40"/>
      <c r="AR92" s="42">
        <f t="shared" si="89"/>
        <v>0</v>
      </c>
      <c r="AS92" s="36">
        <f>'1.DATA KIA'!AB90</f>
        <v>0</v>
      </c>
      <c r="AT92" s="33">
        <f t="shared" si="107"/>
        <v>0</v>
      </c>
      <c r="AU92" s="37" t="e">
        <f t="shared" si="103"/>
        <v>#DIV/0!</v>
      </c>
      <c r="AV92" s="40"/>
      <c r="AW92" s="36">
        <f t="shared" si="90"/>
        <v>0</v>
      </c>
      <c r="AX92" s="33">
        <f>'1.DATA KIA'!AF90</f>
        <v>0</v>
      </c>
      <c r="AY92" s="36">
        <f t="shared" si="104"/>
        <v>0</v>
      </c>
      <c r="AZ92" s="37" t="e">
        <f t="shared" si="105"/>
        <v>#DIV/0!</v>
      </c>
      <c r="BA92" s="40"/>
    </row>
    <row r="93" spans="1:53" ht="30" customHeight="1" x14ac:dyDescent="0.35">
      <c r="A93" s="33">
        <v>15</v>
      </c>
      <c r="B93" s="34">
        <f>PETUNJUK!B23</f>
        <v>0</v>
      </c>
      <c r="C93" s="35">
        <f>'1.DATA KIA'!C91</f>
        <v>0</v>
      </c>
      <c r="D93" s="35">
        <f>'1.DATA KIA'!D91</f>
        <v>0</v>
      </c>
      <c r="E93" s="35">
        <f t="shared" si="75"/>
        <v>0</v>
      </c>
      <c r="F93" s="36">
        <f t="shared" si="76"/>
        <v>0</v>
      </c>
      <c r="G93" s="36">
        <f>'1.DATA KIA'!F91</f>
        <v>0</v>
      </c>
      <c r="H93" s="36">
        <f t="shared" si="91"/>
        <v>0</v>
      </c>
      <c r="I93" s="37" t="e">
        <f t="shared" si="77"/>
        <v>#DIV/0!</v>
      </c>
      <c r="J93" s="40"/>
      <c r="K93" s="36">
        <f t="shared" si="78"/>
        <v>0</v>
      </c>
      <c r="L93" s="33">
        <f>'1.DATA KIA'!J91</f>
        <v>0</v>
      </c>
      <c r="M93" s="36">
        <f t="shared" si="92"/>
        <v>0</v>
      </c>
      <c r="N93" s="37" t="e">
        <f t="shared" si="93"/>
        <v>#DIV/0!</v>
      </c>
      <c r="O93" s="40"/>
      <c r="P93" s="36">
        <f t="shared" si="79"/>
        <v>0</v>
      </c>
      <c r="Q93" s="36">
        <f>'1.DATA KIA'!M91</f>
        <v>0</v>
      </c>
      <c r="R93" s="36">
        <f t="shared" si="94"/>
        <v>0</v>
      </c>
      <c r="S93" s="37" t="e">
        <f t="shared" si="95"/>
        <v>#DIV/0!</v>
      </c>
      <c r="T93" s="40"/>
      <c r="U93" s="33">
        <f t="shared" si="80"/>
        <v>0</v>
      </c>
      <c r="V93" s="36">
        <f>'1.DATA KIA'!Y91</f>
        <v>0</v>
      </c>
      <c r="W93" s="33">
        <f t="shared" si="96"/>
        <v>0</v>
      </c>
      <c r="X93" s="37" t="e">
        <f t="shared" si="81"/>
        <v>#DIV/0!</v>
      </c>
      <c r="Y93" s="40"/>
      <c r="Z93" s="33">
        <f t="shared" si="82"/>
        <v>0</v>
      </c>
      <c r="AA93" s="36">
        <f>'1.DATA KIA'!Z91</f>
        <v>0</v>
      </c>
      <c r="AB93" s="33">
        <f t="shared" si="97"/>
        <v>0</v>
      </c>
      <c r="AC93" s="37" t="e">
        <f t="shared" si="83"/>
        <v>#DIV/0!</v>
      </c>
      <c r="AD93" s="40"/>
      <c r="AE93" s="33">
        <f t="shared" si="84"/>
        <v>0</v>
      </c>
      <c r="AF93" s="41">
        <f>'8.ANCTEPADU'!D94+'8.ANCTEPADU'!E94</f>
        <v>0</v>
      </c>
      <c r="AG93" s="33">
        <f t="shared" si="98"/>
        <v>0</v>
      </c>
      <c r="AH93" s="37" t="e">
        <f t="shared" si="85"/>
        <v>#DIV/0!</v>
      </c>
      <c r="AI93" s="33">
        <f t="shared" si="86"/>
        <v>0</v>
      </c>
      <c r="AJ93" s="41">
        <f>'8.ANCTEPADU'!J94</f>
        <v>0</v>
      </c>
      <c r="AK93" s="33">
        <f t="shared" si="99"/>
        <v>0</v>
      </c>
      <c r="AL93" s="37" t="e">
        <f t="shared" si="87"/>
        <v>#DIV/0!</v>
      </c>
      <c r="AM93" s="36">
        <f t="shared" si="88"/>
        <v>0</v>
      </c>
      <c r="AN93" s="36">
        <f>'1.DATA KIA'!AG91</f>
        <v>0</v>
      </c>
      <c r="AO93" s="33">
        <f t="shared" si="106"/>
        <v>0</v>
      </c>
      <c r="AP93" s="37" t="e">
        <f t="shared" si="101"/>
        <v>#DIV/0!</v>
      </c>
      <c r="AQ93" s="40"/>
      <c r="AR93" s="42">
        <f t="shared" si="89"/>
        <v>0</v>
      </c>
      <c r="AS93" s="36">
        <f>'1.DATA KIA'!AB91</f>
        <v>0</v>
      </c>
      <c r="AT93" s="33">
        <f t="shared" si="107"/>
        <v>0</v>
      </c>
      <c r="AU93" s="37" t="e">
        <f t="shared" si="103"/>
        <v>#DIV/0!</v>
      </c>
      <c r="AV93" s="40"/>
      <c r="AW93" s="36">
        <f t="shared" si="90"/>
        <v>0</v>
      </c>
      <c r="AX93" s="33">
        <f>'1.DATA KIA'!AF91</f>
        <v>0</v>
      </c>
      <c r="AY93" s="36">
        <f t="shared" si="104"/>
        <v>0</v>
      </c>
      <c r="AZ93" s="37" t="e">
        <f t="shared" si="105"/>
        <v>#DIV/0!</v>
      </c>
      <c r="BA93" s="40"/>
    </row>
    <row r="94" spans="1:53" ht="30" customHeight="1" x14ac:dyDescent="0.35">
      <c r="A94" s="33">
        <v>16</v>
      </c>
      <c r="B94" s="34">
        <f>PETUNJUK!B24</f>
        <v>0</v>
      </c>
      <c r="C94" s="35">
        <f>'1.DATA KIA'!C92</f>
        <v>0</v>
      </c>
      <c r="D94" s="35">
        <f>'1.DATA KIA'!D92</f>
        <v>0</v>
      </c>
      <c r="E94" s="35">
        <f t="shared" si="75"/>
        <v>0</v>
      </c>
      <c r="F94" s="36">
        <f t="shared" si="76"/>
        <v>0</v>
      </c>
      <c r="G94" s="36">
        <f>'1.DATA KIA'!F92</f>
        <v>0</v>
      </c>
      <c r="H94" s="36">
        <f t="shared" si="91"/>
        <v>0</v>
      </c>
      <c r="I94" s="37" t="e">
        <f t="shared" si="77"/>
        <v>#DIV/0!</v>
      </c>
      <c r="J94" s="40"/>
      <c r="K94" s="36">
        <f t="shared" si="78"/>
        <v>0</v>
      </c>
      <c r="L94" s="33">
        <f>'1.DATA KIA'!J92</f>
        <v>0</v>
      </c>
      <c r="M94" s="36">
        <f t="shared" si="92"/>
        <v>0</v>
      </c>
      <c r="N94" s="37" t="e">
        <f t="shared" si="93"/>
        <v>#DIV/0!</v>
      </c>
      <c r="O94" s="40"/>
      <c r="P94" s="36">
        <f t="shared" si="79"/>
        <v>0</v>
      </c>
      <c r="Q94" s="36">
        <f>'1.DATA KIA'!M92</f>
        <v>0</v>
      </c>
      <c r="R94" s="36">
        <f t="shared" si="94"/>
        <v>0</v>
      </c>
      <c r="S94" s="37" t="e">
        <f t="shared" si="95"/>
        <v>#DIV/0!</v>
      </c>
      <c r="T94" s="40"/>
      <c r="U94" s="33">
        <f t="shared" si="80"/>
        <v>0</v>
      </c>
      <c r="V94" s="36">
        <f>'1.DATA KIA'!Y92</f>
        <v>0</v>
      </c>
      <c r="W94" s="33">
        <f t="shared" si="96"/>
        <v>0</v>
      </c>
      <c r="X94" s="37" t="e">
        <f t="shared" si="81"/>
        <v>#DIV/0!</v>
      </c>
      <c r="Y94" s="40"/>
      <c r="Z94" s="33">
        <f t="shared" si="82"/>
        <v>0</v>
      </c>
      <c r="AA94" s="36">
        <f>'1.DATA KIA'!Z92</f>
        <v>0</v>
      </c>
      <c r="AB94" s="33">
        <f t="shared" si="97"/>
        <v>0</v>
      </c>
      <c r="AC94" s="37" t="e">
        <f t="shared" si="83"/>
        <v>#DIV/0!</v>
      </c>
      <c r="AD94" s="40"/>
      <c r="AE94" s="33">
        <f t="shared" si="84"/>
        <v>0</v>
      </c>
      <c r="AF94" s="41">
        <f>'8.ANCTEPADU'!D95+'8.ANCTEPADU'!E95</f>
        <v>0</v>
      </c>
      <c r="AG94" s="33">
        <f t="shared" si="98"/>
        <v>0</v>
      </c>
      <c r="AH94" s="37" t="e">
        <f t="shared" si="85"/>
        <v>#DIV/0!</v>
      </c>
      <c r="AI94" s="33">
        <f t="shared" si="86"/>
        <v>0</v>
      </c>
      <c r="AJ94" s="41">
        <f>'8.ANCTEPADU'!J95</f>
        <v>0</v>
      </c>
      <c r="AK94" s="33">
        <f t="shared" si="99"/>
        <v>0</v>
      </c>
      <c r="AL94" s="37" t="e">
        <f t="shared" si="87"/>
        <v>#DIV/0!</v>
      </c>
      <c r="AM94" s="36">
        <f t="shared" si="88"/>
        <v>0</v>
      </c>
      <c r="AN94" s="36">
        <f>'1.DATA KIA'!AG92</f>
        <v>0</v>
      </c>
      <c r="AO94" s="33">
        <f t="shared" si="106"/>
        <v>0</v>
      </c>
      <c r="AP94" s="37" t="e">
        <f t="shared" si="101"/>
        <v>#DIV/0!</v>
      </c>
      <c r="AQ94" s="40"/>
      <c r="AR94" s="42">
        <f t="shared" si="89"/>
        <v>0</v>
      </c>
      <c r="AS94" s="36">
        <f>'1.DATA KIA'!AB92</f>
        <v>0</v>
      </c>
      <c r="AT94" s="33">
        <f t="shared" si="107"/>
        <v>0</v>
      </c>
      <c r="AU94" s="37" t="e">
        <f t="shared" si="103"/>
        <v>#DIV/0!</v>
      </c>
      <c r="AV94" s="40"/>
      <c r="AW94" s="36">
        <f t="shared" si="90"/>
        <v>0</v>
      </c>
      <c r="AX94" s="33">
        <f>'1.DATA KIA'!AF92</f>
        <v>0</v>
      </c>
      <c r="AY94" s="36">
        <f t="shared" si="104"/>
        <v>0</v>
      </c>
      <c r="AZ94" s="37" t="e">
        <f t="shared" si="105"/>
        <v>#DIV/0!</v>
      </c>
      <c r="BA94" s="40"/>
    </row>
    <row r="95" spans="1:53" ht="30" customHeight="1" x14ac:dyDescent="0.35">
      <c r="A95" s="33">
        <v>17</v>
      </c>
      <c r="B95" s="34">
        <f>PETUNJUK!B25</f>
        <v>0</v>
      </c>
      <c r="C95" s="35">
        <f>'1.DATA KIA'!C93</f>
        <v>0</v>
      </c>
      <c r="D95" s="35">
        <f>'1.DATA KIA'!D93</f>
        <v>0</v>
      </c>
      <c r="E95" s="35">
        <f t="shared" si="75"/>
        <v>0</v>
      </c>
      <c r="F95" s="36">
        <f t="shared" si="76"/>
        <v>0</v>
      </c>
      <c r="G95" s="36">
        <f>'1.DATA KIA'!F93</f>
        <v>0</v>
      </c>
      <c r="H95" s="36">
        <f t="shared" si="91"/>
        <v>0</v>
      </c>
      <c r="I95" s="37" t="e">
        <f t="shared" si="77"/>
        <v>#DIV/0!</v>
      </c>
      <c r="J95" s="40"/>
      <c r="K95" s="36">
        <f t="shared" si="78"/>
        <v>0</v>
      </c>
      <c r="L95" s="33">
        <f>'1.DATA KIA'!J93</f>
        <v>0</v>
      </c>
      <c r="M95" s="36">
        <f t="shared" si="92"/>
        <v>0</v>
      </c>
      <c r="N95" s="37" t="e">
        <f t="shared" si="93"/>
        <v>#DIV/0!</v>
      </c>
      <c r="O95" s="40"/>
      <c r="P95" s="36">
        <f t="shared" si="79"/>
        <v>0</v>
      </c>
      <c r="Q95" s="36">
        <f>'1.DATA KIA'!M93</f>
        <v>0</v>
      </c>
      <c r="R95" s="36">
        <f t="shared" si="94"/>
        <v>0</v>
      </c>
      <c r="S95" s="37" t="e">
        <f t="shared" si="95"/>
        <v>#DIV/0!</v>
      </c>
      <c r="T95" s="40"/>
      <c r="U95" s="33">
        <f t="shared" si="80"/>
        <v>0</v>
      </c>
      <c r="V95" s="36">
        <f>'1.DATA KIA'!Y93</f>
        <v>0</v>
      </c>
      <c r="W95" s="33">
        <f t="shared" si="96"/>
        <v>0</v>
      </c>
      <c r="X95" s="37" t="e">
        <f t="shared" si="81"/>
        <v>#DIV/0!</v>
      </c>
      <c r="Y95" s="40"/>
      <c r="Z95" s="33">
        <f t="shared" si="82"/>
        <v>0</v>
      </c>
      <c r="AA95" s="36">
        <f>'1.DATA KIA'!Z93</f>
        <v>0</v>
      </c>
      <c r="AB95" s="33">
        <f t="shared" si="97"/>
        <v>0</v>
      </c>
      <c r="AC95" s="37" t="e">
        <f t="shared" si="83"/>
        <v>#DIV/0!</v>
      </c>
      <c r="AD95" s="40"/>
      <c r="AE95" s="33">
        <f t="shared" si="84"/>
        <v>0</v>
      </c>
      <c r="AF95" s="41">
        <f>'8.ANCTEPADU'!D96+'8.ANCTEPADU'!E96</f>
        <v>0</v>
      </c>
      <c r="AG95" s="33">
        <f t="shared" si="98"/>
        <v>0</v>
      </c>
      <c r="AH95" s="37" t="e">
        <f t="shared" si="85"/>
        <v>#DIV/0!</v>
      </c>
      <c r="AI95" s="33">
        <f t="shared" si="86"/>
        <v>0</v>
      </c>
      <c r="AJ95" s="41">
        <f>'8.ANCTEPADU'!J96</f>
        <v>0</v>
      </c>
      <c r="AK95" s="33">
        <f t="shared" si="99"/>
        <v>0</v>
      </c>
      <c r="AL95" s="37" t="e">
        <f t="shared" si="87"/>
        <v>#DIV/0!</v>
      </c>
      <c r="AM95" s="36">
        <f t="shared" si="88"/>
        <v>0</v>
      </c>
      <c r="AN95" s="36">
        <f>'1.DATA KIA'!AG93</f>
        <v>0</v>
      </c>
      <c r="AO95" s="33">
        <f t="shared" si="106"/>
        <v>0</v>
      </c>
      <c r="AP95" s="37" t="e">
        <f t="shared" si="101"/>
        <v>#DIV/0!</v>
      </c>
      <c r="AQ95" s="40"/>
      <c r="AR95" s="42">
        <f t="shared" si="89"/>
        <v>0</v>
      </c>
      <c r="AS95" s="36">
        <f>'1.DATA KIA'!AB93</f>
        <v>0</v>
      </c>
      <c r="AT95" s="33">
        <f t="shared" si="107"/>
        <v>0</v>
      </c>
      <c r="AU95" s="37" t="e">
        <f t="shared" si="103"/>
        <v>#DIV/0!</v>
      </c>
      <c r="AV95" s="40"/>
      <c r="AW95" s="36">
        <f t="shared" si="90"/>
        <v>0</v>
      </c>
      <c r="AX95" s="33">
        <f>'1.DATA KIA'!AF93</f>
        <v>0</v>
      </c>
      <c r="AY95" s="36">
        <f t="shared" si="104"/>
        <v>0</v>
      </c>
      <c r="AZ95" s="37" t="e">
        <f t="shared" si="105"/>
        <v>#DIV/0!</v>
      </c>
      <c r="BA95" s="40"/>
    </row>
    <row r="96" spans="1:53" ht="30" customHeight="1" x14ac:dyDescent="0.35">
      <c r="A96" s="33">
        <v>18</v>
      </c>
      <c r="B96" s="34">
        <f>PETUNJUK!B26</f>
        <v>0</v>
      </c>
      <c r="C96" s="35">
        <f>'1.DATA KIA'!C94</f>
        <v>0</v>
      </c>
      <c r="D96" s="35">
        <f>'1.DATA KIA'!D94</f>
        <v>0</v>
      </c>
      <c r="E96" s="35">
        <f t="shared" si="75"/>
        <v>0</v>
      </c>
      <c r="F96" s="36">
        <f t="shared" si="76"/>
        <v>0</v>
      </c>
      <c r="G96" s="36">
        <f>'1.DATA KIA'!F94</f>
        <v>0</v>
      </c>
      <c r="H96" s="36">
        <f t="shared" si="91"/>
        <v>0</v>
      </c>
      <c r="I96" s="37" t="e">
        <f t="shared" si="77"/>
        <v>#DIV/0!</v>
      </c>
      <c r="J96" s="40"/>
      <c r="K96" s="36">
        <f t="shared" si="78"/>
        <v>0</v>
      </c>
      <c r="L96" s="33">
        <f>'1.DATA KIA'!J94</f>
        <v>0</v>
      </c>
      <c r="M96" s="36">
        <f t="shared" si="92"/>
        <v>0</v>
      </c>
      <c r="N96" s="37" t="e">
        <f t="shared" si="93"/>
        <v>#DIV/0!</v>
      </c>
      <c r="O96" s="40"/>
      <c r="P96" s="36">
        <f t="shared" si="79"/>
        <v>0</v>
      </c>
      <c r="Q96" s="36">
        <f>'1.DATA KIA'!M94</f>
        <v>0</v>
      </c>
      <c r="R96" s="36">
        <f t="shared" si="94"/>
        <v>0</v>
      </c>
      <c r="S96" s="37" t="e">
        <f t="shared" si="95"/>
        <v>#DIV/0!</v>
      </c>
      <c r="T96" s="40"/>
      <c r="U96" s="33">
        <f t="shared" si="80"/>
        <v>0</v>
      </c>
      <c r="V96" s="36">
        <f>'1.DATA KIA'!Y94</f>
        <v>0</v>
      </c>
      <c r="W96" s="33">
        <f t="shared" si="96"/>
        <v>0</v>
      </c>
      <c r="X96" s="37" t="e">
        <f t="shared" si="81"/>
        <v>#DIV/0!</v>
      </c>
      <c r="Y96" s="40"/>
      <c r="Z96" s="33">
        <f t="shared" si="82"/>
        <v>0</v>
      </c>
      <c r="AA96" s="36">
        <f>'1.DATA KIA'!Z94</f>
        <v>0</v>
      </c>
      <c r="AB96" s="33">
        <f t="shared" si="97"/>
        <v>0</v>
      </c>
      <c r="AC96" s="37" t="e">
        <f t="shared" si="83"/>
        <v>#DIV/0!</v>
      </c>
      <c r="AD96" s="40"/>
      <c r="AE96" s="33">
        <f t="shared" si="84"/>
        <v>0</v>
      </c>
      <c r="AF96" s="41">
        <f>'8.ANCTEPADU'!D97+'8.ANCTEPADU'!E97</f>
        <v>0</v>
      </c>
      <c r="AG96" s="33">
        <f t="shared" si="98"/>
        <v>0</v>
      </c>
      <c r="AH96" s="37" t="e">
        <f t="shared" si="85"/>
        <v>#DIV/0!</v>
      </c>
      <c r="AI96" s="33">
        <f t="shared" si="86"/>
        <v>0</v>
      </c>
      <c r="AJ96" s="41">
        <f>'8.ANCTEPADU'!J97</f>
        <v>0</v>
      </c>
      <c r="AK96" s="33">
        <f t="shared" si="99"/>
        <v>0</v>
      </c>
      <c r="AL96" s="37" t="e">
        <f t="shared" si="87"/>
        <v>#DIV/0!</v>
      </c>
      <c r="AM96" s="36">
        <f t="shared" si="88"/>
        <v>0</v>
      </c>
      <c r="AN96" s="36">
        <f>'1.DATA KIA'!AG94</f>
        <v>0</v>
      </c>
      <c r="AO96" s="33">
        <f t="shared" si="106"/>
        <v>0</v>
      </c>
      <c r="AP96" s="37" t="e">
        <f t="shared" si="101"/>
        <v>#DIV/0!</v>
      </c>
      <c r="AQ96" s="40"/>
      <c r="AR96" s="42">
        <f t="shared" si="89"/>
        <v>0</v>
      </c>
      <c r="AS96" s="36">
        <f>'1.DATA KIA'!AB94</f>
        <v>0</v>
      </c>
      <c r="AT96" s="33">
        <f t="shared" si="107"/>
        <v>0</v>
      </c>
      <c r="AU96" s="37" t="e">
        <f t="shared" si="103"/>
        <v>#DIV/0!</v>
      </c>
      <c r="AV96" s="40"/>
      <c r="AW96" s="36">
        <f t="shared" si="90"/>
        <v>0</v>
      </c>
      <c r="AX96" s="33">
        <f>'1.DATA KIA'!AF94</f>
        <v>0</v>
      </c>
      <c r="AY96" s="36">
        <f t="shared" si="104"/>
        <v>0</v>
      </c>
      <c r="AZ96" s="37" t="e">
        <f t="shared" si="105"/>
        <v>#DIV/0!</v>
      </c>
      <c r="BA96" s="40"/>
    </row>
    <row r="97" spans="1:54" ht="30" customHeight="1" x14ac:dyDescent="0.35">
      <c r="A97" s="33">
        <v>19</v>
      </c>
      <c r="B97" s="34">
        <f>PETUNJUK!B27</f>
        <v>0</v>
      </c>
      <c r="C97" s="35">
        <f>'1.DATA KIA'!C95</f>
        <v>0</v>
      </c>
      <c r="D97" s="35">
        <f>'1.DATA KIA'!D95</f>
        <v>0</v>
      </c>
      <c r="E97" s="35">
        <f t="shared" si="75"/>
        <v>0</v>
      </c>
      <c r="F97" s="36">
        <f>H61</f>
        <v>0</v>
      </c>
      <c r="G97" s="36">
        <f>'1.DATA KIA'!F95</f>
        <v>0</v>
      </c>
      <c r="H97" s="36">
        <f>F97+G97</f>
        <v>0</v>
      </c>
      <c r="I97" s="37" t="e">
        <f>H97/C97*100</f>
        <v>#DIV/0!</v>
      </c>
      <c r="J97" s="40"/>
      <c r="K97" s="36">
        <f>M61</f>
        <v>0</v>
      </c>
      <c r="L97" s="33">
        <f>'1.DATA KIA'!J95</f>
        <v>0</v>
      </c>
      <c r="M97" s="36">
        <f>K97+L97</f>
        <v>0</v>
      </c>
      <c r="N97" s="37" t="e">
        <f t="shared" si="93"/>
        <v>#DIV/0!</v>
      </c>
      <c r="O97" s="40"/>
      <c r="P97" s="36">
        <f>R61</f>
        <v>0</v>
      </c>
      <c r="Q97" s="36">
        <f>'1.DATA KIA'!M95</f>
        <v>0</v>
      </c>
      <c r="R97" s="36">
        <f>P97+Q97</f>
        <v>0</v>
      </c>
      <c r="S97" s="37" t="e">
        <f t="shared" si="95"/>
        <v>#DIV/0!</v>
      </c>
      <c r="T97" s="40"/>
      <c r="U97" s="33">
        <f>W61</f>
        <v>0</v>
      </c>
      <c r="V97" s="36">
        <f>'1.DATA KIA'!Y95</f>
        <v>0</v>
      </c>
      <c r="W97" s="33">
        <f>U97+V97</f>
        <v>0</v>
      </c>
      <c r="X97" s="37" t="e">
        <f>W97/(20%*C97)*100</f>
        <v>#DIV/0!</v>
      </c>
      <c r="Y97" s="40"/>
      <c r="Z97" s="33">
        <f>AB61</f>
        <v>0</v>
      </c>
      <c r="AA97" s="36">
        <f>'1.DATA KIA'!Z95</f>
        <v>0</v>
      </c>
      <c r="AB97" s="33">
        <f>Z97+AA97</f>
        <v>0</v>
      </c>
      <c r="AC97" s="37" t="e">
        <f>AB97/(20%*C97)*100</f>
        <v>#DIV/0!</v>
      </c>
      <c r="AD97" s="40"/>
      <c r="AE97" s="33">
        <f>AG61</f>
        <v>0</v>
      </c>
      <c r="AF97" s="41">
        <f>'8.ANCTEPADU'!D98+'8.ANCTEPADU'!E98</f>
        <v>0</v>
      </c>
      <c r="AG97" s="33">
        <f>AE97+AF97</f>
        <v>0</v>
      </c>
      <c r="AH97" s="37" t="e">
        <f>AG97/C97*100</f>
        <v>#DIV/0!</v>
      </c>
      <c r="AI97" s="33">
        <f>AK61</f>
        <v>0</v>
      </c>
      <c r="AJ97" s="41">
        <f>'8.ANCTEPADU'!J98</f>
        <v>0</v>
      </c>
      <c r="AK97" s="33">
        <f>AI97+AJ97</f>
        <v>0</v>
      </c>
      <c r="AL97" s="37" t="e">
        <f>AK97/C97*100</f>
        <v>#DIV/0!</v>
      </c>
      <c r="AM97" s="36">
        <f>AO61</f>
        <v>0</v>
      </c>
      <c r="AN97" s="36">
        <f>'1.DATA KIA'!AG95</f>
        <v>0</v>
      </c>
      <c r="AO97" s="33">
        <f>AN97+AM97</f>
        <v>0</v>
      </c>
      <c r="AP97" s="37" t="e">
        <f>AO97/E97*100</f>
        <v>#DIV/0!</v>
      </c>
      <c r="AQ97" s="40"/>
      <c r="AR97" s="42">
        <f>AT61</f>
        <v>0</v>
      </c>
      <c r="AS97" s="36">
        <f>'1.DATA KIA'!AB95</f>
        <v>0</v>
      </c>
      <c r="AT97" s="33">
        <f>AS97+AR97</f>
        <v>0</v>
      </c>
      <c r="AU97" s="37" t="e">
        <f>AT97/D97*100</f>
        <v>#DIV/0!</v>
      </c>
      <c r="AV97" s="40"/>
      <c r="AW97" s="36">
        <f>AY61</f>
        <v>0</v>
      </c>
      <c r="AX97" s="33">
        <f>'1.DATA KIA'!AF95</f>
        <v>0</v>
      </c>
      <c r="AY97" s="36">
        <f>AW97+AX97</f>
        <v>0</v>
      </c>
      <c r="AZ97" s="37" t="e">
        <f>AY97/(20%*C97)*100</f>
        <v>#DIV/0!</v>
      </c>
      <c r="BA97" s="40"/>
    </row>
    <row r="98" spans="1:54" ht="30" customHeight="1" x14ac:dyDescent="0.35">
      <c r="A98" s="33">
        <v>20</v>
      </c>
      <c r="B98" s="34">
        <f>PETUNJUK!B28</f>
        <v>0</v>
      </c>
      <c r="C98" s="35">
        <f>'1.DATA KIA'!C96</f>
        <v>0</v>
      </c>
      <c r="D98" s="35">
        <f>'1.DATA KIA'!D96</f>
        <v>0</v>
      </c>
      <c r="E98" s="35">
        <f t="shared" si="75"/>
        <v>0</v>
      </c>
      <c r="F98" s="36">
        <f>H62</f>
        <v>0</v>
      </c>
      <c r="G98" s="36">
        <f>'1.DATA KIA'!F96</f>
        <v>0</v>
      </c>
      <c r="H98" s="36">
        <f>F98+G98</f>
        <v>0</v>
      </c>
      <c r="I98" s="37" t="e">
        <f>H98/C98*100</f>
        <v>#DIV/0!</v>
      </c>
      <c r="J98" s="40"/>
      <c r="K98" s="36">
        <f>M62</f>
        <v>0</v>
      </c>
      <c r="L98" s="33">
        <f>'1.DATA KIA'!J96</f>
        <v>0</v>
      </c>
      <c r="M98" s="36">
        <f>K98+L98</f>
        <v>0</v>
      </c>
      <c r="N98" s="37" t="e">
        <f t="shared" si="93"/>
        <v>#DIV/0!</v>
      </c>
      <c r="O98" s="40"/>
      <c r="P98" s="36">
        <f>R62</f>
        <v>0</v>
      </c>
      <c r="Q98" s="36">
        <f>'1.DATA KIA'!M96</f>
        <v>0</v>
      </c>
      <c r="R98" s="36">
        <f>P98+Q98</f>
        <v>0</v>
      </c>
      <c r="S98" s="37" t="e">
        <f t="shared" si="95"/>
        <v>#DIV/0!</v>
      </c>
      <c r="T98" s="40"/>
      <c r="U98" s="33">
        <f>W62</f>
        <v>0</v>
      </c>
      <c r="V98" s="36">
        <f>'1.DATA KIA'!Y96</f>
        <v>0</v>
      </c>
      <c r="W98" s="33">
        <f>U98+V98</f>
        <v>0</v>
      </c>
      <c r="X98" s="37" t="e">
        <f>W98/(20%*C98)*100</f>
        <v>#DIV/0!</v>
      </c>
      <c r="Y98" s="40"/>
      <c r="Z98" s="33">
        <f>AB62</f>
        <v>0</v>
      </c>
      <c r="AA98" s="36">
        <f>'1.DATA KIA'!Z96</f>
        <v>0</v>
      </c>
      <c r="AB98" s="33">
        <f>Z98+AA98</f>
        <v>0</v>
      </c>
      <c r="AC98" s="37" t="e">
        <f>AB98/(20%*C98)*100</f>
        <v>#DIV/0!</v>
      </c>
      <c r="AD98" s="40"/>
      <c r="AE98" s="33">
        <f>AG62</f>
        <v>0</v>
      </c>
      <c r="AF98" s="41">
        <f>'8.ANCTEPADU'!D99+'8.ANCTEPADU'!E99</f>
        <v>0</v>
      </c>
      <c r="AG98" s="33">
        <f>AE98+AF98</f>
        <v>0</v>
      </c>
      <c r="AH98" s="37" t="e">
        <f>AG98/C98*100</f>
        <v>#DIV/0!</v>
      </c>
      <c r="AI98" s="33">
        <f>AK62</f>
        <v>0</v>
      </c>
      <c r="AJ98" s="41">
        <f>'8.ANCTEPADU'!J99</f>
        <v>0</v>
      </c>
      <c r="AK98" s="33">
        <f>AI98+AJ98</f>
        <v>0</v>
      </c>
      <c r="AL98" s="37" t="e">
        <f>AK98/C98*100</f>
        <v>#DIV/0!</v>
      </c>
      <c r="AM98" s="36">
        <f>AO62</f>
        <v>0</v>
      </c>
      <c r="AN98" s="36">
        <f>'1.DATA KIA'!AG96</f>
        <v>0</v>
      </c>
      <c r="AO98" s="33">
        <f>AN98+AM98</f>
        <v>0</v>
      </c>
      <c r="AP98" s="37" t="e">
        <f>AO98/E98*100</f>
        <v>#DIV/0!</v>
      </c>
      <c r="AQ98" s="40"/>
      <c r="AR98" s="42">
        <f>AT62</f>
        <v>0</v>
      </c>
      <c r="AS98" s="36">
        <f>'1.DATA KIA'!AB96</f>
        <v>0</v>
      </c>
      <c r="AT98" s="33">
        <f>AS98+AR98</f>
        <v>0</v>
      </c>
      <c r="AU98" s="37" t="e">
        <f>AT98/D98*100</f>
        <v>#DIV/0!</v>
      </c>
      <c r="AV98" s="40"/>
      <c r="AW98" s="36">
        <f>AY62</f>
        <v>0</v>
      </c>
      <c r="AX98" s="33">
        <f>'1.DATA KIA'!AF96</f>
        <v>0</v>
      </c>
      <c r="AY98" s="36">
        <f>AW98+AX98</f>
        <v>0</v>
      </c>
      <c r="AZ98" s="37" t="e">
        <f>AY98/(20%*C98)*100</f>
        <v>#DIV/0!</v>
      </c>
      <c r="BA98" s="40"/>
    </row>
    <row r="99" spans="1:54" ht="30" customHeight="1" x14ac:dyDescent="0.35">
      <c r="A99" s="33">
        <v>21</v>
      </c>
      <c r="B99" s="34">
        <f>PETUNJUK!B29</f>
        <v>0</v>
      </c>
      <c r="C99" s="35">
        <f>'1.DATA KIA'!C97</f>
        <v>0</v>
      </c>
      <c r="D99" s="35">
        <f>'1.DATA KIA'!D97</f>
        <v>0</v>
      </c>
      <c r="E99" s="35">
        <f t="shared" si="75"/>
        <v>0</v>
      </c>
      <c r="F99" s="36">
        <f>H63</f>
        <v>0</v>
      </c>
      <c r="G99" s="36">
        <f>'1.DATA KIA'!F97</f>
        <v>0</v>
      </c>
      <c r="H99" s="36">
        <f>F99+G99</f>
        <v>0</v>
      </c>
      <c r="I99" s="37" t="e">
        <f>H99/C99*100</f>
        <v>#DIV/0!</v>
      </c>
      <c r="J99" s="40"/>
      <c r="K99" s="36">
        <f>M63</f>
        <v>0</v>
      </c>
      <c r="L99" s="33">
        <f>'1.DATA KIA'!J97</f>
        <v>0</v>
      </c>
      <c r="M99" s="36">
        <f>K99+L99</f>
        <v>0</v>
      </c>
      <c r="N99" s="37" t="e">
        <f t="shared" si="93"/>
        <v>#DIV/0!</v>
      </c>
      <c r="O99" s="40"/>
      <c r="P99" s="36">
        <f>R63</f>
        <v>0</v>
      </c>
      <c r="Q99" s="36">
        <f>'1.DATA KIA'!M97</f>
        <v>0</v>
      </c>
      <c r="R99" s="36">
        <f>P99+Q99</f>
        <v>0</v>
      </c>
      <c r="S99" s="37" t="e">
        <f t="shared" si="95"/>
        <v>#DIV/0!</v>
      </c>
      <c r="T99" s="40"/>
      <c r="U99" s="33">
        <f>W63</f>
        <v>0</v>
      </c>
      <c r="V99" s="36">
        <f>'1.DATA KIA'!Y97</f>
        <v>0</v>
      </c>
      <c r="W99" s="33">
        <f>U99+V99</f>
        <v>0</v>
      </c>
      <c r="X99" s="37" t="e">
        <f>W99/(20%*C99)*100</f>
        <v>#DIV/0!</v>
      </c>
      <c r="Y99" s="40"/>
      <c r="Z99" s="33">
        <f>AB63</f>
        <v>0</v>
      </c>
      <c r="AA99" s="36">
        <f>'1.DATA KIA'!Z97</f>
        <v>0</v>
      </c>
      <c r="AB99" s="33">
        <f>Z99+AA99</f>
        <v>0</v>
      </c>
      <c r="AC99" s="37" t="e">
        <f>AB99/(20%*C99)*100</f>
        <v>#DIV/0!</v>
      </c>
      <c r="AD99" s="40"/>
      <c r="AE99" s="33">
        <f>AG63</f>
        <v>0</v>
      </c>
      <c r="AF99" s="41">
        <f>'8.ANCTEPADU'!D100+'8.ANCTEPADU'!E100</f>
        <v>0</v>
      </c>
      <c r="AG99" s="33">
        <f>AE99+AF99</f>
        <v>0</v>
      </c>
      <c r="AH99" s="37" t="e">
        <f>AG99/C99*100</f>
        <v>#DIV/0!</v>
      </c>
      <c r="AI99" s="33">
        <f>AK63</f>
        <v>0</v>
      </c>
      <c r="AJ99" s="41">
        <f>'8.ANCTEPADU'!J100</f>
        <v>0</v>
      </c>
      <c r="AK99" s="33">
        <f>AI99+AJ99</f>
        <v>0</v>
      </c>
      <c r="AL99" s="37" t="e">
        <f>AK99/C99*100</f>
        <v>#DIV/0!</v>
      </c>
      <c r="AM99" s="36">
        <f>AO63</f>
        <v>0</v>
      </c>
      <c r="AN99" s="36">
        <f>'1.DATA KIA'!AG97</f>
        <v>0</v>
      </c>
      <c r="AO99" s="33">
        <f>AN99+AM99</f>
        <v>0</v>
      </c>
      <c r="AP99" s="37" t="e">
        <f>AO99/E99*100</f>
        <v>#DIV/0!</v>
      </c>
      <c r="AQ99" s="40"/>
      <c r="AR99" s="42">
        <f>AT63</f>
        <v>0</v>
      </c>
      <c r="AS99" s="36">
        <f>'1.DATA KIA'!AB97</f>
        <v>0</v>
      </c>
      <c r="AT99" s="33">
        <f>AS99+AR99</f>
        <v>0</v>
      </c>
      <c r="AU99" s="37" t="e">
        <f>AT99/D99*100</f>
        <v>#DIV/0!</v>
      </c>
      <c r="AV99" s="40"/>
      <c r="AW99" s="36">
        <f>AY63</f>
        <v>0</v>
      </c>
      <c r="AX99" s="33">
        <f>'1.DATA KIA'!AF97</f>
        <v>0</v>
      </c>
      <c r="AY99" s="36">
        <f>AW99+AX99</f>
        <v>0</v>
      </c>
      <c r="AZ99" s="37" t="e">
        <f>AY99/(20%*C99)*100</f>
        <v>#DIV/0!</v>
      </c>
      <c r="BA99" s="40"/>
    </row>
    <row r="100" spans="1:54" ht="30" customHeight="1" thickBot="1" x14ac:dyDescent="0.4">
      <c r="A100" s="46">
        <v>22</v>
      </c>
      <c r="B100" s="47">
        <f>PETUNJUK!B30</f>
        <v>0</v>
      </c>
      <c r="C100" s="48">
        <f>'1.DATA KIA'!C98</f>
        <v>0</v>
      </c>
      <c r="D100" s="48">
        <f>'1.DATA KIA'!D98</f>
        <v>0</v>
      </c>
      <c r="E100" s="48">
        <f t="shared" si="75"/>
        <v>0</v>
      </c>
      <c r="F100" s="49">
        <f>H64</f>
        <v>0</v>
      </c>
      <c r="G100" s="49">
        <f>'1.DATA KIA'!F98</f>
        <v>0</v>
      </c>
      <c r="H100" s="49">
        <f>F100+G100</f>
        <v>0</v>
      </c>
      <c r="I100" s="50" t="e">
        <f>H100/C100*100</f>
        <v>#DIV/0!</v>
      </c>
      <c r="J100" s="53"/>
      <c r="K100" s="49">
        <f>M64</f>
        <v>0</v>
      </c>
      <c r="L100" s="46">
        <f>'1.DATA KIA'!J98</f>
        <v>0</v>
      </c>
      <c r="M100" s="49">
        <f>K100+L100</f>
        <v>0</v>
      </c>
      <c r="N100" s="37" t="e">
        <f t="shared" si="93"/>
        <v>#DIV/0!</v>
      </c>
      <c r="O100" s="53"/>
      <c r="P100" s="49">
        <f>R64</f>
        <v>0</v>
      </c>
      <c r="Q100" s="36">
        <f>'1.DATA KIA'!M98</f>
        <v>0</v>
      </c>
      <c r="R100" s="49">
        <f>P100+Q100</f>
        <v>0</v>
      </c>
      <c r="S100" s="37" t="e">
        <f t="shared" si="95"/>
        <v>#DIV/0!</v>
      </c>
      <c r="T100" s="53"/>
      <c r="U100" s="46">
        <f>W64</f>
        <v>0</v>
      </c>
      <c r="V100" s="49">
        <f>'1.DATA KIA'!Y98</f>
        <v>0</v>
      </c>
      <c r="W100" s="46">
        <f>U100+V100</f>
        <v>0</v>
      </c>
      <c r="X100" s="50" t="e">
        <f>W100/(20%*C100)*100</f>
        <v>#DIV/0!</v>
      </c>
      <c r="Y100" s="53"/>
      <c r="Z100" s="46">
        <f>AB64</f>
        <v>0</v>
      </c>
      <c r="AA100" s="49">
        <f>'1.DATA KIA'!Z98</f>
        <v>0</v>
      </c>
      <c r="AB100" s="46">
        <f>Z100+AA100</f>
        <v>0</v>
      </c>
      <c r="AC100" s="50" t="e">
        <f>AB100/(20%*C100)*100</f>
        <v>#DIV/0!</v>
      </c>
      <c r="AD100" s="53"/>
      <c r="AE100" s="46">
        <f>AG64</f>
        <v>0</v>
      </c>
      <c r="AF100" s="54">
        <f>'8.ANCTEPADU'!D101+'8.ANCTEPADU'!E101</f>
        <v>0</v>
      </c>
      <c r="AG100" s="46">
        <f>AE100+AF100</f>
        <v>0</v>
      </c>
      <c r="AH100" s="50" t="e">
        <f>AG100/C100*100</f>
        <v>#DIV/0!</v>
      </c>
      <c r="AI100" s="46">
        <f>AK64</f>
        <v>0</v>
      </c>
      <c r="AJ100" s="41">
        <f>'8.ANCTEPADU'!J101</f>
        <v>0</v>
      </c>
      <c r="AK100" s="46">
        <f>AI100+AJ100</f>
        <v>0</v>
      </c>
      <c r="AL100" s="50" t="e">
        <f>AK100/C100*100</f>
        <v>#DIV/0!</v>
      </c>
      <c r="AM100" s="49">
        <f>AO64</f>
        <v>0</v>
      </c>
      <c r="AN100" s="49">
        <f>'1.DATA KIA'!AG98</f>
        <v>0</v>
      </c>
      <c r="AO100" s="46">
        <f>AN100+AM100</f>
        <v>0</v>
      </c>
      <c r="AP100" s="50" t="e">
        <f>AO100/E100*100</f>
        <v>#DIV/0!</v>
      </c>
      <c r="AQ100" s="53"/>
      <c r="AR100" s="55">
        <f>AT64</f>
        <v>0</v>
      </c>
      <c r="AS100" s="49">
        <f>'1.DATA KIA'!AB98</f>
        <v>0</v>
      </c>
      <c r="AT100" s="46">
        <f>AS100+AR100</f>
        <v>0</v>
      </c>
      <c r="AU100" s="50" t="e">
        <f>AT100/D100*100</f>
        <v>#DIV/0!</v>
      </c>
      <c r="AV100" s="53"/>
      <c r="AW100" s="49">
        <f>AY64</f>
        <v>0</v>
      </c>
      <c r="AX100" s="46">
        <f>'1.DATA KIA'!AF98</f>
        <v>0</v>
      </c>
      <c r="AY100" s="49">
        <f>AW100+AX100</f>
        <v>0</v>
      </c>
      <c r="AZ100" s="50" t="e">
        <f>AY100/(20%*C100)*100</f>
        <v>#DIV/0!</v>
      </c>
      <c r="BA100" s="53"/>
    </row>
    <row r="101" spans="1:54" ht="30" customHeight="1" thickBot="1" x14ac:dyDescent="0.4">
      <c r="A101" s="354"/>
      <c r="B101" s="355" t="s">
        <v>18</v>
      </c>
      <c r="C101" s="347">
        <f t="shared" ref="C101:H101" si="108">SUM(C79:C100)</f>
        <v>1067</v>
      </c>
      <c r="D101" s="347">
        <f t="shared" si="108"/>
        <v>1018.5</v>
      </c>
      <c r="E101" s="347">
        <f t="shared" si="108"/>
        <v>0</v>
      </c>
      <c r="F101" s="347">
        <f t="shared" si="108"/>
        <v>186</v>
      </c>
      <c r="G101" s="347">
        <f t="shared" si="108"/>
        <v>78</v>
      </c>
      <c r="H101" s="347">
        <f t="shared" si="108"/>
        <v>264</v>
      </c>
      <c r="I101" s="357">
        <f t="shared" si="77"/>
        <v>24.742268041237114</v>
      </c>
      <c r="J101" s="362"/>
      <c r="K101" s="347">
        <f>SUM(K79:K100)</f>
        <v>142</v>
      </c>
      <c r="L101" s="347">
        <f>SUM(L79:L100)</f>
        <v>65</v>
      </c>
      <c r="M101" s="347">
        <f>SUM(M79:M100)</f>
        <v>207</v>
      </c>
      <c r="N101" s="357">
        <f>M101/D101*100</f>
        <v>20.324005891016199</v>
      </c>
      <c r="O101" s="362"/>
      <c r="P101" s="347">
        <f>SUM(P79:P100)</f>
        <v>167</v>
      </c>
      <c r="Q101" s="347">
        <f>SUM(Q79:Q100)</f>
        <v>64</v>
      </c>
      <c r="R101" s="347">
        <f>SUM(R79:R100)</f>
        <v>231</v>
      </c>
      <c r="S101" s="357">
        <f>R101/D101*100</f>
        <v>22.680412371134022</v>
      </c>
      <c r="T101" s="362"/>
      <c r="U101" s="347">
        <f>SUM(U79:U100)</f>
        <v>37</v>
      </c>
      <c r="V101" s="347">
        <f>SUM(V79:V100)</f>
        <v>21</v>
      </c>
      <c r="W101" s="347">
        <f>SUM(W79:W100)</f>
        <v>58</v>
      </c>
      <c r="X101" s="357">
        <f t="shared" si="81"/>
        <v>27.17900656044986</v>
      </c>
      <c r="Y101" s="362"/>
      <c r="Z101" s="347">
        <f>SUM(Z79:Z100)</f>
        <v>26</v>
      </c>
      <c r="AA101" s="347">
        <f>SUM(AA79:AA100)</f>
        <v>13</v>
      </c>
      <c r="AB101" s="347">
        <f>SUM(AB79:AB100)</f>
        <v>39</v>
      </c>
      <c r="AC101" s="357">
        <f t="shared" si="83"/>
        <v>18.275538894095593</v>
      </c>
      <c r="AD101" s="362"/>
      <c r="AE101" s="347">
        <f>SUM(AE79:AE100)</f>
        <v>20</v>
      </c>
      <c r="AF101" s="347">
        <f>SUM(AF79:AF100)</f>
        <v>9</v>
      </c>
      <c r="AG101" s="347">
        <f>SUM(AG79:AG100)</f>
        <v>29</v>
      </c>
      <c r="AH101" s="357">
        <f t="shared" si="85"/>
        <v>2.7179006560449857</v>
      </c>
      <c r="AI101" s="347">
        <f t="shared" ref="AI101:AY101" si="109">SUM(AI79:AI96)</f>
        <v>25</v>
      </c>
      <c r="AJ101" s="347">
        <f t="shared" si="109"/>
        <v>7</v>
      </c>
      <c r="AK101" s="347">
        <f t="shared" si="109"/>
        <v>32</v>
      </c>
      <c r="AL101" s="357">
        <f t="shared" si="87"/>
        <v>2.999062792877226</v>
      </c>
      <c r="AM101" s="347">
        <f t="shared" si="109"/>
        <v>157</v>
      </c>
      <c r="AN101" s="347">
        <f t="shared" si="109"/>
        <v>59</v>
      </c>
      <c r="AO101" s="347">
        <f t="shared" si="109"/>
        <v>216</v>
      </c>
      <c r="AP101" s="357" t="e">
        <f t="shared" si="101"/>
        <v>#DIV/0!</v>
      </c>
      <c r="AQ101" s="362"/>
      <c r="AR101" s="347">
        <f>SUM(AR79:AR96)</f>
        <v>158</v>
      </c>
      <c r="AS101" s="347">
        <f>SUM(AS79:AS96)</f>
        <v>58</v>
      </c>
      <c r="AT101" s="347">
        <f>SUM(AT79:AT96)</f>
        <v>216</v>
      </c>
      <c r="AU101" s="357">
        <f t="shared" si="103"/>
        <v>21.207658321060382</v>
      </c>
      <c r="AV101" s="362"/>
      <c r="AW101" s="347">
        <f t="shared" si="109"/>
        <v>35</v>
      </c>
      <c r="AX101" s="347">
        <f t="shared" si="109"/>
        <v>11</v>
      </c>
      <c r="AY101" s="347">
        <f t="shared" si="109"/>
        <v>46</v>
      </c>
      <c r="AZ101" s="357">
        <f t="shared" si="105"/>
        <v>21.555763823805059</v>
      </c>
      <c r="BA101" s="361"/>
    </row>
    <row r="102" spans="1:54" ht="12.75" customHeight="1" x14ac:dyDescent="0.35"/>
    <row r="103" spans="1:54" ht="12.75" customHeight="1" x14ac:dyDescent="0.35"/>
    <row r="104" spans="1:54" ht="12.75" customHeight="1" x14ac:dyDescent="0.35"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P104" s="43"/>
      <c r="Q104" s="43"/>
      <c r="R104" s="43"/>
      <c r="S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</row>
    <row r="105" spans="1:54" ht="12.75" customHeight="1" x14ac:dyDescent="0.35"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P105" s="43"/>
      <c r="Q105" s="43"/>
      <c r="R105" s="43"/>
      <c r="S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</row>
    <row r="106" spans="1:54" ht="12.75" customHeight="1" x14ac:dyDescent="0.35"/>
    <row r="107" spans="1:54" ht="12.75" customHeight="1" x14ac:dyDescent="0.35">
      <c r="A107" s="770" t="s">
        <v>19</v>
      </c>
      <c r="B107" s="770"/>
      <c r="C107" s="770"/>
      <c r="D107" s="770"/>
      <c r="E107" s="770"/>
      <c r="F107" s="770"/>
      <c r="G107" s="770"/>
      <c r="H107" s="770"/>
      <c r="I107" s="770"/>
      <c r="J107" s="770"/>
      <c r="K107" s="770"/>
      <c r="L107" s="770"/>
      <c r="M107" s="770"/>
      <c r="N107" s="770"/>
      <c r="O107" s="770"/>
      <c r="P107" s="770"/>
      <c r="Q107" s="770"/>
      <c r="R107" s="770"/>
      <c r="S107" s="770"/>
      <c r="T107" s="770"/>
      <c r="U107" s="770"/>
      <c r="V107" s="770"/>
      <c r="W107" s="770"/>
      <c r="X107" s="770"/>
      <c r="Y107" s="770"/>
      <c r="Z107" s="770"/>
      <c r="AA107" s="770"/>
      <c r="AB107" s="770"/>
      <c r="AC107" s="770"/>
      <c r="AD107" s="770"/>
      <c r="AE107" s="770"/>
      <c r="AF107" s="770"/>
      <c r="AG107" s="770"/>
      <c r="AH107" s="770"/>
      <c r="AI107" s="770"/>
      <c r="AJ107" s="770"/>
      <c r="AK107" s="770"/>
      <c r="AL107" s="770"/>
      <c r="AM107" s="770"/>
      <c r="AN107" s="770"/>
      <c r="AO107" s="770"/>
      <c r="AP107" s="770"/>
      <c r="AQ107" s="770"/>
      <c r="AR107" s="770"/>
      <c r="AS107" s="770"/>
      <c r="AT107" s="770"/>
      <c r="AU107" s="770"/>
      <c r="AV107" s="770"/>
      <c r="AW107" s="770"/>
      <c r="AX107" s="770"/>
      <c r="AY107" s="770"/>
      <c r="AZ107" s="770"/>
      <c r="BA107" s="770"/>
    </row>
    <row r="108" spans="1:54" ht="20.149999999999999" customHeight="1" x14ac:dyDescent="0.35">
      <c r="A108" s="31"/>
      <c r="B108" s="31" t="s">
        <v>175</v>
      </c>
      <c r="C108" s="345" t="str">
        <f>PETUNJUK!C5</f>
        <v>PECANGAAN</v>
      </c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</row>
    <row r="109" spans="1:54" ht="20.149999999999999" customHeight="1" x14ac:dyDescent="0.35">
      <c r="A109" s="30"/>
      <c r="B109" s="31" t="s">
        <v>170</v>
      </c>
      <c r="C109" s="32" t="str">
        <f>'1.DATA KIA'!C106</f>
        <v xml:space="preserve">APRIL </v>
      </c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</row>
    <row r="110" spans="1:54" x14ac:dyDescent="0.35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</row>
    <row r="111" spans="1:54" s="45" customFormat="1" ht="24.75" customHeight="1" x14ac:dyDescent="0.35">
      <c r="A111" s="774" t="s">
        <v>1</v>
      </c>
      <c r="B111" s="774" t="s">
        <v>2</v>
      </c>
      <c r="C111" s="777" t="s">
        <v>20</v>
      </c>
      <c r="D111" s="778"/>
      <c r="E111" s="778"/>
      <c r="F111" s="777" t="s">
        <v>21</v>
      </c>
      <c r="G111" s="778"/>
      <c r="H111" s="778"/>
      <c r="I111" s="778"/>
      <c r="J111" s="791"/>
      <c r="K111" s="777" t="s">
        <v>9</v>
      </c>
      <c r="L111" s="778"/>
      <c r="M111" s="778"/>
      <c r="N111" s="778"/>
      <c r="O111" s="791"/>
      <c r="P111" s="777" t="s">
        <v>289</v>
      </c>
      <c r="Q111" s="778"/>
      <c r="R111" s="778"/>
      <c r="S111" s="778"/>
      <c r="T111" s="791"/>
      <c r="U111" s="771" t="s">
        <v>22</v>
      </c>
      <c r="V111" s="772"/>
      <c r="W111" s="772"/>
      <c r="X111" s="772"/>
      <c r="Y111" s="772"/>
      <c r="Z111" s="772"/>
      <c r="AA111" s="772"/>
      <c r="AB111" s="772"/>
      <c r="AC111" s="772"/>
      <c r="AD111" s="773"/>
      <c r="AE111" s="771" t="s">
        <v>5</v>
      </c>
      <c r="AF111" s="772"/>
      <c r="AG111" s="772"/>
      <c r="AH111" s="772"/>
      <c r="AI111" s="772"/>
      <c r="AJ111" s="772"/>
      <c r="AK111" s="772"/>
      <c r="AL111" s="773"/>
      <c r="AM111" s="771" t="s">
        <v>23</v>
      </c>
      <c r="AN111" s="772"/>
      <c r="AO111" s="772"/>
      <c r="AP111" s="772"/>
      <c r="AQ111" s="773"/>
      <c r="AR111" s="779" t="s">
        <v>24</v>
      </c>
      <c r="AS111" s="780"/>
      <c r="AT111" s="780"/>
      <c r="AU111" s="780"/>
      <c r="AV111" s="781"/>
      <c r="AW111" s="779" t="s">
        <v>241</v>
      </c>
      <c r="AX111" s="780"/>
      <c r="AY111" s="780"/>
      <c r="AZ111" s="780"/>
      <c r="BA111" s="781"/>
      <c r="BB111" s="348"/>
    </row>
    <row r="112" spans="1:54" s="45" customFormat="1" ht="14.25" customHeight="1" x14ac:dyDescent="0.35">
      <c r="A112" s="775"/>
      <c r="B112" s="775"/>
      <c r="C112" s="767" t="s">
        <v>5</v>
      </c>
      <c r="D112" s="767" t="s">
        <v>6</v>
      </c>
      <c r="E112" s="767" t="s">
        <v>7</v>
      </c>
      <c r="F112" s="767" t="s">
        <v>26</v>
      </c>
      <c r="G112" s="767" t="s">
        <v>27</v>
      </c>
      <c r="H112" s="771" t="s">
        <v>28</v>
      </c>
      <c r="I112" s="773"/>
      <c r="J112" s="785" t="s">
        <v>29</v>
      </c>
      <c r="K112" s="785" t="s">
        <v>26</v>
      </c>
      <c r="L112" s="785" t="s">
        <v>27</v>
      </c>
      <c r="M112" s="771" t="s">
        <v>28</v>
      </c>
      <c r="N112" s="773"/>
      <c r="O112" s="785" t="s">
        <v>29</v>
      </c>
      <c r="P112" s="785" t="s">
        <v>26</v>
      </c>
      <c r="Q112" s="785" t="s">
        <v>27</v>
      </c>
      <c r="R112" s="771" t="s">
        <v>28</v>
      </c>
      <c r="S112" s="773"/>
      <c r="T112" s="785" t="s">
        <v>29</v>
      </c>
      <c r="U112" s="771" t="s">
        <v>30</v>
      </c>
      <c r="V112" s="772"/>
      <c r="W112" s="772"/>
      <c r="X112" s="772"/>
      <c r="Y112" s="773"/>
      <c r="Z112" s="771" t="s">
        <v>31</v>
      </c>
      <c r="AA112" s="772"/>
      <c r="AB112" s="772"/>
      <c r="AC112" s="772"/>
      <c r="AD112" s="773"/>
      <c r="AE112" s="771" t="s">
        <v>32</v>
      </c>
      <c r="AF112" s="772"/>
      <c r="AG112" s="772"/>
      <c r="AH112" s="773"/>
      <c r="AI112" s="771" t="s">
        <v>33</v>
      </c>
      <c r="AJ112" s="772"/>
      <c r="AK112" s="772"/>
      <c r="AL112" s="773"/>
      <c r="AM112" s="785" t="s">
        <v>34</v>
      </c>
      <c r="AN112" s="785" t="s">
        <v>35</v>
      </c>
      <c r="AO112" s="788" t="s">
        <v>36</v>
      </c>
      <c r="AP112" s="782" t="s">
        <v>37</v>
      </c>
      <c r="AQ112" s="785" t="s">
        <v>29</v>
      </c>
      <c r="AR112" s="785" t="s">
        <v>34</v>
      </c>
      <c r="AS112" s="785" t="s">
        <v>35</v>
      </c>
      <c r="AT112" s="788" t="s">
        <v>36</v>
      </c>
      <c r="AU112" s="782" t="s">
        <v>37</v>
      </c>
      <c r="AV112" s="785" t="s">
        <v>29</v>
      </c>
      <c r="AW112" s="785" t="s">
        <v>34</v>
      </c>
      <c r="AX112" s="785" t="s">
        <v>35</v>
      </c>
      <c r="AY112" s="788" t="s">
        <v>36</v>
      </c>
      <c r="AZ112" s="782" t="s">
        <v>37</v>
      </c>
      <c r="BA112" s="785" t="s">
        <v>29</v>
      </c>
      <c r="BB112" s="348"/>
    </row>
    <row r="113" spans="1:54" s="45" customFormat="1" ht="15" customHeight="1" x14ac:dyDescent="0.35">
      <c r="A113" s="775"/>
      <c r="B113" s="775"/>
      <c r="C113" s="768"/>
      <c r="D113" s="768"/>
      <c r="E113" s="768"/>
      <c r="F113" s="768"/>
      <c r="G113" s="768"/>
      <c r="H113" s="785" t="s">
        <v>36</v>
      </c>
      <c r="I113" s="782" t="s">
        <v>37</v>
      </c>
      <c r="J113" s="786"/>
      <c r="K113" s="786"/>
      <c r="L113" s="786"/>
      <c r="M113" s="785" t="s">
        <v>36</v>
      </c>
      <c r="N113" s="785" t="s">
        <v>37</v>
      </c>
      <c r="O113" s="786"/>
      <c r="P113" s="786"/>
      <c r="Q113" s="786"/>
      <c r="R113" s="785" t="s">
        <v>36</v>
      </c>
      <c r="S113" s="785" t="s">
        <v>37</v>
      </c>
      <c r="T113" s="786"/>
      <c r="U113" s="785" t="s">
        <v>26</v>
      </c>
      <c r="V113" s="785" t="s">
        <v>27</v>
      </c>
      <c r="W113" s="779" t="s">
        <v>28</v>
      </c>
      <c r="X113" s="781"/>
      <c r="Y113" s="785" t="s">
        <v>29</v>
      </c>
      <c r="Z113" s="785" t="s">
        <v>26</v>
      </c>
      <c r="AA113" s="785" t="s">
        <v>27</v>
      </c>
      <c r="AB113" s="779" t="s">
        <v>28</v>
      </c>
      <c r="AC113" s="781"/>
      <c r="AD113" s="785" t="s">
        <v>29</v>
      </c>
      <c r="AE113" s="771" t="s">
        <v>38</v>
      </c>
      <c r="AF113" s="772"/>
      <c r="AG113" s="772"/>
      <c r="AH113" s="773"/>
      <c r="AI113" s="771" t="s">
        <v>39</v>
      </c>
      <c r="AJ113" s="772"/>
      <c r="AK113" s="772"/>
      <c r="AL113" s="773"/>
      <c r="AM113" s="786"/>
      <c r="AN113" s="786"/>
      <c r="AO113" s="789"/>
      <c r="AP113" s="783"/>
      <c r="AQ113" s="786"/>
      <c r="AR113" s="786"/>
      <c r="AS113" s="786"/>
      <c r="AT113" s="789"/>
      <c r="AU113" s="783"/>
      <c r="AV113" s="786"/>
      <c r="AW113" s="786"/>
      <c r="AX113" s="786"/>
      <c r="AY113" s="789"/>
      <c r="AZ113" s="783"/>
      <c r="BA113" s="786"/>
      <c r="BB113" s="348"/>
    </row>
    <row r="114" spans="1:54" s="45" customFormat="1" ht="48.75" customHeight="1" x14ac:dyDescent="0.35">
      <c r="A114" s="776"/>
      <c r="B114" s="776"/>
      <c r="C114" s="769"/>
      <c r="D114" s="769"/>
      <c r="E114" s="769"/>
      <c r="F114" s="769"/>
      <c r="G114" s="769"/>
      <c r="H114" s="787"/>
      <c r="I114" s="784"/>
      <c r="J114" s="787"/>
      <c r="K114" s="787"/>
      <c r="L114" s="787"/>
      <c r="M114" s="787"/>
      <c r="N114" s="787"/>
      <c r="O114" s="787"/>
      <c r="P114" s="787"/>
      <c r="Q114" s="787"/>
      <c r="R114" s="787"/>
      <c r="S114" s="787"/>
      <c r="T114" s="787"/>
      <c r="U114" s="787"/>
      <c r="V114" s="787"/>
      <c r="W114" s="352" t="s">
        <v>36</v>
      </c>
      <c r="X114" s="353" t="s">
        <v>37</v>
      </c>
      <c r="Y114" s="787"/>
      <c r="Z114" s="787"/>
      <c r="AA114" s="787"/>
      <c r="AB114" s="352" t="s">
        <v>36</v>
      </c>
      <c r="AC114" s="353" t="s">
        <v>37</v>
      </c>
      <c r="AD114" s="787"/>
      <c r="AE114" s="352" t="s">
        <v>26</v>
      </c>
      <c r="AF114" s="352" t="s">
        <v>27</v>
      </c>
      <c r="AG114" s="352" t="s">
        <v>36</v>
      </c>
      <c r="AH114" s="353" t="s">
        <v>37</v>
      </c>
      <c r="AI114" s="352" t="s">
        <v>26</v>
      </c>
      <c r="AJ114" s="352" t="s">
        <v>27</v>
      </c>
      <c r="AK114" s="352" t="s">
        <v>36</v>
      </c>
      <c r="AL114" s="353" t="s">
        <v>37</v>
      </c>
      <c r="AM114" s="787"/>
      <c r="AN114" s="787"/>
      <c r="AO114" s="790"/>
      <c r="AP114" s="784"/>
      <c r="AQ114" s="787"/>
      <c r="AR114" s="787"/>
      <c r="AS114" s="787"/>
      <c r="AT114" s="790"/>
      <c r="AU114" s="784"/>
      <c r="AV114" s="787"/>
      <c r="AW114" s="787"/>
      <c r="AX114" s="787"/>
      <c r="AY114" s="790"/>
      <c r="AZ114" s="784"/>
      <c r="BA114" s="787"/>
      <c r="BB114" s="348"/>
    </row>
    <row r="115" spans="1:54" ht="30" customHeight="1" x14ac:dyDescent="0.35">
      <c r="A115" s="33">
        <v>1</v>
      </c>
      <c r="B115" s="34" t="str">
        <f>PETUNJUK!B9</f>
        <v>Pecangaan Kulon</v>
      </c>
      <c r="C115" s="35">
        <f>'1.DATA KIA'!C111</f>
        <v>101.2</v>
      </c>
      <c r="D115" s="35">
        <f>'1.DATA KIA'!D111</f>
        <v>96.600000000000009</v>
      </c>
      <c r="E115" s="35">
        <f t="shared" ref="E115:E132" si="110">E79</f>
        <v>0</v>
      </c>
      <c r="F115" s="36">
        <f t="shared" ref="F115:F132" si="111">H79</f>
        <v>22</v>
      </c>
      <c r="G115" s="36">
        <f>'1.DATA KIA'!F111</f>
        <v>8</v>
      </c>
      <c r="H115" s="36">
        <f>F115+G115</f>
        <v>30</v>
      </c>
      <c r="I115" s="37">
        <f t="shared" ref="I115:I132" si="112">H115/C115*100</f>
        <v>29.644268774703558</v>
      </c>
      <c r="J115" s="40"/>
      <c r="K115" s="36">
        <f t="shared" ref="K115:K132" si="113">M79</f>
        <v>21</v>
      </c>
      <c r="L115" s="33">
        <f>'1.DATA KIA'!J111</f>
        <v>7</v>
      </c>
      <c r="M115" s="36">
        <f>K115+L115</f>
        <v>28</v>
      </c>
      <c r="N115" s="37">
        <f>M115/D115*100</f>
        <v>28.985507246376805</v>
      </c>
      <c r="O115" s="40"/>
      <c r="P115" s="36">
        <f t="shared" ref="P115:P132" si="114">R79</f>
        <v>22</v>
      </c>
      <c r="Q115" s="36">
        <f>'1.DATA KIA'!M111</f>
        <v>7</v>
      </c>
      <c r="R115" s="36">
        <f>P115+Q115</f>
        <v>29</v>
      </c>
      <c r="S115" s="37">
        <f>R115/D115*100</f>
        <v>30.020703933747413</v>
      </c>
      <c r="T115" s="40"/>
      <c r="U115" s="33">
        <f t="shared" ref="U115:U132" si="115">W79</f>
        <v>8</v>
      </c>
      <c r="V115" s="36">
        <f>'1.DATA KIA'!Y111</f>
        <v>2</v>
      </c>
      <c r="W115" s="33">
        <f>U115+V115</f>
        <v>10</v>
      </c>
      <c r="X115" s="37">
        <f t="shared" ref="X115:X132" si="116">W115/(20%*C115)*100</f>
        <v>49.40711462450593</v>
      </c>
      <c r="Y115" s="40"/>
      <c r="Z115" s="33">
        <f t="shared" ref="Z115:Z132" si="117">AB79</f>
        <v>5</v>
      </c>
      <c r="AA115" s="36">
        <f>'1.DATA KIA'!Z111</f>
        <v>1</v>
      </c>
      <c r="AB115" s="33">
        <f>Z115+AA115</f>
        <v>6</v>
      </c>
      <c r="AC115" s="37">
        <f t="shared" ref="AC115:AC132" si="118">AB115/(20%*C115)*100</f>
        <v>29.644268774703551</v>
      </c>
      <c r="AD115" s="40"/>
      <c r="AE115" s="33">
        <f t="shared" ref="AE115:AE132" si="119">AG79</f>
        <v>3</v>
      </c>
      <c r="AF115" s="41">
        <f>'8.ANCTEPADU'!D115+'8.ANCTEPADU'!E115</f>
        <v>0</v>
      </c>
      <c r="AG115" s="33">
        <f>AE115+AF115</f>
        <v>3</v>
      </c>
      <c r="AH115" s="37">
        <f t="shared" ref="AH115:AH132" si="120">AG115/C115*100</f>
        <v>2.9644268774703555</v>
      </c>
      <c r="AI115" s="33">
        <f t="shared" ref="AI115:AI132" si="121">AK79</f>
        <v>1</v>
      </c>
      <c r="AJ115" s="41">
        <f>'8.ANCTEPADU'!J115</f>
        <v>0</v>
      </c>
      <c r="AK115" s="33">
        <f>AI115+AJ115</f>
        <v>1</v>
      </c>
      <c r="AL115" s="37">
        <f t="shared" ref="AL115:AL136" si="122">AK115/C115*100</f>
        <v>0.98814229249011865</v>
      </c>
      <c r="AM115" s="36">
        <f t="shared" ref="AM115:AM132" si="123">AO79</f>
        <v>23</v>
      </c>
      <c r="AN115" s="36">
        <f>'1.DATA KIA'!AG111</f>
        <v>6</v>
      </c>
      <c r="AO115" s="33">
        <f>AN115+AM115</f>
        <v>29</v>
      </c>
      <c r="AP115" s="37" t="e">
        <f>AO115/E115*100</f>
        <v>#DIV/0!</v>
      </c>
      <c r="AQ115" s="40"/>
      <c r="AR115" s="42">
        <f t="shared" ref="AR115:AR132" si="124">AT79</f>
        <v>23</v>
      </c>
      <c r="AS115" s="36">
        <f>'1.DATA KIA'!AB111</f>
        <v>6</v>
      </c>
      <c r="AT115" s="36">
        <f>AS115+AR115</f>
        <v>29</v>
      </c>
      <c r="AU115" s="37">
        <f>AT115/D115*100</f>
        <v>30.020703933747413</v>
      </c>
      <c r="AV115" s="40"/>
      <c r="AW115" s="36">
        <f t="shared" ref="AW115:AW132" si="125">AY79</f>
        <v>6</v>
      </c>
      <c r="AX115" s="33">
        <f>'1.DATA KIA'!AF111</f>
        <v>4</v>
      </c>
      <c r="AY115" s="36">
        <f>AW115+AX115</f>
        <v>10</v>
      </c>
      <c r="AZ115" s="37">
        <f>AY115/(20%*C115)*100</f>
        <v>49.40711462450593</v>
      </c>
      <c r="BA115" s="38"/>
    </row>
    <row r="116" spans="1:54" ht="30" customHeight="1" x14ac:dyDescent="0.35">
      <c r="A116" s="33">
        <v>2</v>
      </c>
      <c r="B116" s="34" t="str">
        <f>PETUNJUK!B10</f>
        <v>Rengging</v>
      </c>
      <c r="C116" s="35">
        <f>'1.DATA KIA'!C112</f>
        <v>111.10000000000001</v>
      </c>
      <c r="D116" s="35">
        <f>'1.DATA KIA'!D112</f>
        <v>106.05000000000001</v>
      </c>
      <c r="E116" s="35">
        <f t="shared" si="110"/>
        <v>0</v>
      </c>
      <c r="F116" s="36">
        <f t="shared" si="111"/>
        <v>35</v>
      </c>
      <c r="G116" s="36">
        <f>'1.DATA KIA'!F112</f>
        <v>19</v>
      </c>
      <c r="H116" s="36">
        <f t="shared" ref="H116:H132" si="126">F116+G116</f>
        <v>54</v>
      </c>
      <c r="I116" s="37">
        <f t="shared" si="112"/>
        <v>48.604860486048601</v>
      </c>
      <c r="J116" s="40"/>
      <c r="K116" s="36">
        <f t="shared" si="113"/>
        <v>16</v>
      </c>
      <c r="L116" s="33">
        <f>'1.DATA KIA'!J112</f>
        <v>5</v>
      </c>
      <c r="M116" s="36">
        <f t="shared" ref="M116:M132" si="127">K116+L116</f>
        <v>21</v>
      </c>
      <c r="N116" s="37">
        <f t="shared" ref="N116:N136" si="128">M116/D116*100</f>
        <v>19.801980198019802</v>
      </c>
      <c r="O116" s="40"/>
      <c r="P116" s="36">
        <f t="shared" si="114"/>
        <v>28</v>
      </c>
      <c r="Q116" s="36">
        <f>'1.DATA KIA'!M112</f>
        <v>4</v>
      </c>
      <c r="R116" s="36">
        <f t="shared" ref="R116:R132" si="129">P116+Q116</f>
        <v>32</v>
      </c>
      <c r="S116" s="37">
        <f t="shared" ref="S116:S136" si="130">R116/D116*100</f>
        <v>30.174446016030171</v>
      </c>
      <c r="T116" s="40"/>
      <c r="U116" s="33">
        <f t="shared" si="115"/>
        <v>7</v>
      </c>
      <c r="V116" s="36">
        <f>'1.DATA KIA'!Y112</f>
        <v>1</v>
      </c>
      <c r="W116" s="33">
        <f t="shared" ref="W116:W132" si="131">U116+V116</f>
        <v>8</v>
      </c>
      <c r="X116" s="37">
        <f t="shared" si="116"/>
        <v>36.003600360035996</v>
      </c>
      <c r="Y116" s="40"/>
      <c r="Z116" s="33">
        <f t="shared" si="117"/>
        <v>4</v>
      </c>
      <c r="AA116" s="36">
        <f>'1.DATA KIA'!Z112</f>
        <v>1</v>
      </c>
      <c r="AB116" s="33">
        <f t="shared" ref="AB116:AB132" si="132">Z116+AA116</f>
        <v>5</v>
      </c>
      <c r="AC116" s="37">
        <f t="shared" si="118"/>
        <v>22.5022502250225</v>
      </c>
      <c r="AD116" s="40"/>
      <c r="AE116" s="33">
        <f t="shared" si="119"/>
        <v>6</v>
      </c>
      <c r="AF116" s="41">
        <f>'8.ANCTEPADU'!D116+'8.ANCTEPADU'!E116</f>
        <v>0</v>
      </c>
      <c r="AG116" s="33">
        <f t="shared" ref="AG116:AG132" si="133">AE116+AF116</f>
        <v>6</v>
      </c>
      <c r="AH116" s="37">
        <f t="shared" si="120"/>
        <v>5.4005400540054005</v>
      </c>
      <c r="AI116" s="33">
        <f t="shared" si="121"/>
        <v>6</v>
      </c>
      <c r="AJ116" s="41">
        <f>'8.ANCTEPADU'!J116</f>
        <v>2</v>
      </c>
      <c r="AK116" s="33">
        <f t="shared" ref="AK116:AK136" si="134">AI116+AJ116</f>
        <v>8</v>
      </c>
      <c r="AL116" s="37">
        <f t="shared" si="122"/>
        <v>7.2007200720071998</v>
      </c>
      <c r="AM116" s="36">
        <f t="shared" si="123"/>
        <v>26</v>
      </c>
      <c r="AN116" s="36">
        <f>'1.DATA KIA'!AG112</f>
        <v>9</v>
      </c>
      <c r="AO116" s="33">
        <f t="shared" ref="AO116:AO125" si="135">AN116+AM116</f>
        <v>35</v>
      </c>
      <c r="AP116" s="37" t="e">
        <f t="shared" ref="AP116:AP132" si="136">AO116/E116*100</f>
        <v>#DIV/0!</v>
      </c>
      <c r="AQ116" s="40"/>
      <c r="AR116" s="42">
        <f t="shared" si="124"/>
        <v>25</v>
      </c>
      <c r="AS116" s="36">
        <f>'1.DATA KIA'!AB112</f>
        <v>9</v>
      </c>
      <c r="AT116" s="33">
        <f t="shared" ref="AT116:AT125" si="137">AS116+AR116</f>
        <v>34</v>
      </c>
      <c r="AU116" s="37">
        <f t="shared" ref="AU116:AU132" si="138">AT116/D116*100</f>
        <v>32.06034889203206</v>
      </c>
      <c r="AV116" s="40"/>
      <c r="AW116" s="36">
        <f t="shared" si="125"/>
        <v>3</v>
      </c>
      <c r="AX116" s="33">
        <f>'1.DATA KIA'!AF112</f>
        <v>1</v>
      </c>
      <c r="AY116" s="36">
        <f t="shared" ref="AY116:AY132" si="139">AW116+AX116</f>
        <v>4</v>
      </c>
      <c r="AZ116" s="37">
        <f t="shared" ref="AZ116:AZ132" si="140">AY116/(20%*C116)*100</f>
        <v>18.001800180017998</v>
      </c>
      <c r="BA116" s="38"/>
    </row>
    <row r="117" spans="1:54" ht="30" customHeight="1" x14ac:dyDescent="0.35">
      <c r="A117" s="33">
        <v>3</v>
      </c>
      <c r="B117" s="34" t="str">
        <f>PETUNJUK!B11</f>
        <v>Troso</v>
      </c>
      <c r="C117" s="35">
        <f>'1.DATA KIA'!C113</f>
        <v>205.70000000000002</v>
      </c>
      <c r="D117" s="35">
        <f>'1.DATA KIA'!D113</f>
        <v>196.35</v>
      </c>
      <c r="E117" s="35">
        <f t="shared" si="110"/>
        <v>0</v>
      </c>
      <c r="F117" s="36">
        <f t="shared" si="111"/>
        <v>52</v>
      </c>
      <c r="G117" s="36">
        <f>'1.DATA KIA'!F113</f>
        <v>26</v>
      </c>
      <c r="H117" s="36">
        <f t="shared" si="126"/>
        <v>78</v>
      </c>
      <c r="I117" s="37">
        <f t="shared" si="112"/>
        <v>37.919299951385511</v>
      </c>
      <c r="J117" s="40"/>
      <c r="K117" s="36">
        <f t="shared" si="113"/>
        <v>45</v>
      </c>
      <c r="L117" s="33">
        <f>'1.DATA KIA'!J113</f>
        <v>19</v>
      </c>
      <c r="M117" s="36">
        <f t="shared" si="127"/>
        <v>64</v>
      </c>
      <c r="N117" s="37">
        <f t="shared" si="128"/>
        <v>32.594856124267892</v>
      </c>
      <c r="O117" s="40"/>
      <c r="P117" s="36">
        <f t="shared" si="114"/>
        <v>57</v>
      </c>
      <c r="Q117" s="36">
        <f>'1.DATA KIA'!M113</f>
        <v>21</v>
      </c>
      <c r="R117" s="36">
        <f t="shared" si="129"/>
        <v>78</v>
      </c>
      <c r="S117" s="37">
        <f t="shared" si="130"/>
        <v>39.724980901451488</v>
      </c>
      <c r="T117" s="40"/>
      <c r="U117" s="33">
        <f t="shared" si="115"/>
        <v>13</v>
      </c>
      <c r="V117" s="36">
        <f>'1.DATA KIA'!Y113</f>
        <v>10</v>
      </c>
      <c r="W117" s="33">
        <f t="shared" si="131"/>
        <v>23</v>
      </c>
      <c r="X117" s="37">
        <f t="shared" si="116"/>
        <v>55.906660184735038</v>
      </c>
      <c r="Y117" s="40"/>
      <c r="Z117" s="33">
        <f t="shared" si="117"/>
        <v>11</v>
      </c>
      <c r="AA117" s="36">
        <f>'1.DATA KIA'!Z113</f>
        <v>0</v>
      </c>
      <c r="AB117" s="33">
        <f t="shared" si="132"/>
        <v>11</v>
      </c>
      <c r="AC117" s="37">
        <f t="shared" si="118"/>
        <v>26.737967914438499</v>
      </c>
      <c r="AD117" s="40"/>
      <c r="AE117" s="33">
        <f t="shared" si="119"/>
        <v>3</v>
      </c>
      <c r="AF117" s="41">
        <f>'8.ANCTEPADU'!D117+'8.ANCTEPADU'!E117</f>
        <v>0</v>
      </c>
      <c r="AG117" s="33">
        <f t="shared" si="133"/>
        <v>3</v>
      </c>
      <c r="AH117" s="37">
        <f t="shared" si="120"/>
        <v>1.4584346135148272</v>
      </c>
      <c r="AI117" s="33">
        <f t="shared" si="121"/>
        <v>8</v>
      </c>
      <c r="AJ117" s="41">
        <f>'8.ANCTEPADU'!J117</f>
        <v>3</v>
      </c>
      <c r="AK117" s="33">
        <f t="shared" si="134"/>
        <v>11</v>
      </c>
      <c r="AL117" s="37">
        <f t="shared" si="122"/>
        <v>5.3475935828877006</v>
      </c>
      <c r="AM117" s="36">
        <f t="shared" si="123"/>
        <v>46</v>
      </c>
      <c r="AN117" s="36">
        <f>'1.DATA KIA'!AG113</f>
        <v>14</v>
      </c>
      <c r="AO117" s="33">
        <f t="shared" si="135"/>
        <v>60</v>
      </c>
      <c r="AP117" s="37" t="e">
        <f t="shared" si="136"/>
        <v>#DIV/0!</v>
      </c>
      <c r="AQ117" s="40"/>
      <c r="AR117" s="42">
        <f t="shared" si="124"/>
        <v>46</v>
      </c>
      <c r="AS117" s="36">
        <f>'1.DATA KIA'!AB113</f>
        <v>14</v>
      </c>
      <c r="AT117" s="33">
        <f t="shared" si="137"/>
        <v>60</v>
      </c>
      <c r="AU117" s="37">
        <f t="shared" si="138"/>
        <v>30.557677616501145</v>
      </c>
      <c r="AV117" s="40"/>
      <c r="AW117" s="36">
        <f t="shared" si="125"/>
        <v>8</v>
      </c>
      <c r="AX117" s="33">
        <f>'1.DATA KIA'!AF113</f>
        <v>5</v>
      </c>
      <c r="AY117" s="36">
        <f t="shared" si="139"/>
        <v>13</v>
      </c>
      <c r="AZ117" s="37">
        <f t="shared" si="140"/>
        <v>31.599416626154586</v>
      </c>
      <c r="BA117" s="38"/>
    </row>
    <row r="118" spans="1:54" ht="30" customHeight="1" x14ac:dyDescent="0.35">
      <c r="A118" s="33">
        <v>4</v>
      </c>
      <c r="B118" s="34" t="str">
        <f>PETUNJUK!B12</f>
        <v>Ngeling</v>
      </c>
      <c r="C118" s="35">
        <f>'1.DATA KIA'!C114</f>
        <v>95.7</v>
      </c>
      <c r="D118" s="35">
        <f>'1.DATA KIA'!D114</f>
        <v>91.350000000000009</v>
      </c>
      <c r="E118" s="35">
        <f t="shared" si="110"/>
        <v>0</v>
      </c>
      <c r="F118" s="36">
        <f t="shared" si="111"/>
        <v>21</v>
      </c>
      <c r="G118" s="36">
        <f>'1.DATA KIA'!F114</f>
        <v>9</v>
      </c>
      <c r="H118" s="36">
        <f t="shared" si="126"/>
        <v>30</v>
      </c>
      <c r="I118" s="37">
        <f t="shared" si="112"/>
        <v>31.347962382445139</v>
      </c>
      <c r="J118" s="40"/>
      <c r="K118" s="36">
        <f t="shared" si="113"/>
        <v>21</v>
      </c>
      <c r="L118" s="33">
        <f>'1.DATA KIA'!J114</f>
        <v>7</v>
      </c>
      <c r="M118" s="36">
        <f t="shared" si="127"/>
        <v>28</v>
      </c>
      <c r="N118" s="37">
        <f t="shared" si="128"/>
        <v>30.651340996168582</v>
      </c>
      <c r="O118" s="40"/>
      <c r="P118" s="36">
        <f t="shared" si="114"/>
        <v>18</v>
      </c>
      <c r="Q118" s="36">
        <f>'1.DATA KIA'!M114</f>
        <v>8</v>
      </c>
      <c r="R118" s="36">
        <f t="shared" si="129"/>
        <v>26</v>
      </c>
      <c r="S118" s="37">
        <f t="shared" si="130"/>
        <v>28.461959496442251</v>
      </c>
      <c r="T118" s="40"/>
      <c r="U118" s="33">
        <f t="shared" si="115"/>
        <v>6</v>
      </c>
      <c r="V118" s="36">
        <f>'1.DATA KIA'!Y114</f>
        <v>1</v>
      </c>
      <c r="W118" s="33">
        <f t="shared" si="131"/>
        <v>7</v>
      </c>
      <c r="X118" s="37">
        <f t="shared" si="116"/>
        <v>36.572622779519328</v>
      </c>
      <c r="Y118" s="40"/>
      <c r="Z118" s="33">
        <f t="shared" si="117"/>
        <v>5</v>
      </c>
      <c r="AA118" s="36">
        <f>'1.DATA KIA'!Z114</f>
        <v>0</v>
      </c>
      <c r="AB118" s="33">
        <f t="shared" si="132"/>
        <v>5</v>
      </c>
      <c r="AC118" s="37">
        <f t="shared" si="118"/>
        <v>26.123301985370951</v>
      </c>
      <c r="AD118" s="40"/>
      <c r="AE118" s="33">
        <f t="shared" si="119"/>
        <v>5</v>
      </c>
      <c r="AF118" s="41">
        <f>'8.ANCTEPADU'!D118+'8.ANCTEPADU'!E118</f>
        <v>0</v>
      </c>
      <c r="AG118" s="33">
        <f t="shared" si="133"/>
        <v>5</v>
      </c>
      <c r="AH118" s="37">
        <f t="shared" si="120"/>
        <v>5.2246603970741896</v>
      </c>
      <c r="AI118" s="33">
        <f t="shared" si="121"/>
        <v>4</v>
      </c>
      <c r="AJ118" s="41">
        <f>'8.ANCTEPADU'!J118</f>
        <v>1</v>
      </c>
      <c r="AK118" s="33">
        <f t="shared" si="134"/>
        <v>5</v>
      </c>
      <c r="AL118" s="37">
        <f t="shared" si="122"/>
        <v>5.2246603970741896</v>
      </c>
      <c r="AM118" s="36">
        <f t="shared" si="123"/>
        <v>17</v>
      </c>
      <c r="AN118" s="36">
        <f>'1.DATA KIA'!AG114</f>
        <v>11</v>
      </c>
      <c r="AO118" s="33">
        <f t="shared" si="135"/>
        <v>28</v>
      </c>
      <c r="AP118" s="37" t="e">
        <f t="shared" si="136"/>
        <v>#DIV/0!</v>
      </c>
      <c r="AQ118" s="40"/>
      <c r="AR118" s="42">
        <f t="shared" si="124"/>
        <v>17</v>
      </c>
      <c r="AS118" s="36">
        <f>'1.DATA KIA'!AB114</f>
        <v>11</v>
      </c>
      <c r="AT118" s="33">
        <f t="shared" si="137"/>
        <v>28</v>
      </c>
      <c r="AU118" s="37">
        <f t="shared" si="138"/>
        <v>30.651340996168582</v>
      </c>
      <c r="AV118" s="40"/>
      <c r="AW118" s="36">
        <f t="shared" si="125"/>
        <v>6</v>
      </c>
      <c r="AX118" s="33">
        <f>'1.DATA KIA'!AF114</f>
        <v>4</v>
      </c>
      <c r="AY118" s="36">
        <f t="shared" si="139"/>
        <v>10</v>
      </c>
      <c r="AZ118" s="37">
        <f t="shared" si="140"/>
        <v>52.246603970741901</v>
      </c>
      <c r="BA118" s="38"/>
    </row>
    <row r="119" spans="1:54" ht="30" customHeight="1" x14ac:dyDescent="0.35">
      <c r="A119" s="33">
        <v>5</v>
      </c>
      <c r="B119" s="34" t="str">
        <f>PETUNJUK!B13</f>
        <v>Lebuawu</v>
      </c>
      <c r="C119" s="35">
        <f>'1.DATA KIA'!C115</f>
        <v>85.800000000000011</v>
      </c>
      <c r="D119" s="35">
        <f>'1.DATA KIA'!D115</f>
        <v>81.900000000000006</v>
      </c>
      <c r="E119" s="35">
        <f t="shared" si="110"/>
        <v>0</v>
      </c>
      <c r="F119" s="36">
        <f t="shared" si="111"/>
        <v>25</v>
      </c>
      <c r="G119" s="36">
        <f>'1.DATA KIA'!F115</f>
        <v>8</v>
      </c>
      <c r="H119" s="36">
        <f t="shared" si="126"/>
        <v>33</v>
      </c>
      <c r="I119" s="37">
        <f t="shared" si="112"/>
        <v>38.46153846153846</v>
      </c>
      <c r="J119" s="40"/>
      <c r="K119" s="36">
        <f t="shared" si="113"/>
        <v>18</v>
      </c>
      <c r="L119" s="33">
        <f>'1.DATA KIA'!J115</f>
        <v>7</v>
      </c>
      <c r="M119" s="36">
        <f t="shared" si="127"/>
        <v>25</v>
      </c>
      <c r="N119" s="37">
        <f t="shared" si="128"/>
        <v>30.525030525030523</v>
      </c>
      <c r="O119" s="40"/>
      <c r="P119" s="36">
        <f t="shared" si="114"/>
        <v>14</v>
      </c>
      <c r="Q119" s="36">
        <f>'1.DATA KIA'!M115</f>
        <v>5</v>
      </c>
      <c r="R119" s="36">
        <f t="shared" si="129"/>
        <v>19</v>
      </c>
      <c r="S119" s="37">
        <f t="shared" si="130"/>
        <v>23.199023199023198</v>
      </c>
      <c r="T119" s="40"/>
      <c r="U119" s="33">
        <f t="shared" si="115"/>
        <v>3</v>
      </c>
      <c r="V119" s="36">
        <f>'1.DATA KIA'!Y115</f>
        <v>2</v>
      </c>
      <c r="W119" s="33">
        <f t="shared" si="131"/>
        <v>5</v>
      </c>
      <c r="X119" s="37">
        <f t="shared" si="116"/>
        <v>29.137529137529132</v>
      </c>
      <c r="Y119" s="40"/>
      <c r="Z119" s="33">
        <f t="shared" si="117"/>
        <v>3</v>
      </c>
      <c r="AA119" s="36">
        <f>'1.DATA KIA'!Z115</f>
        <v>0</v>
      </c>
      <c r="AB119" s="33">
        <f t="shared" si="132"/>
        <v>3</v>
      </c>
      <c r="AC119" s="37">
        <f t="shared" si="118"/>
        <v>17.48251748251748</v>
      </c>
      <c r="AD119" s="40"/>
      <c r="AE119" s="33">
        <f t="shared" si="119"/>
        <v>2</v>
      </c>
      <c r="AF119" s="41">
        <f>'8.ANCTEPADU'!D119+'8.ANCTEPADU'!E119</f>
        <v>0</v>
      </c>
      <c r="AG119" s="33">
        <f t="shared" si="133"/>
        <v>2</v>
      </c>
      <c r="AH119" s="37">
        <f t="shared" si="120"/>
        <v>2.3310023310023307</v>
      </c>
      <c r="AI119" s="33">
        <f t="shared" si="121"/>
        <v>3</v>
      </c>
      <c r="AJ119" s="41">
        <f>'8.ANCTEPADU'!J119</f>
        <v>0</v>
      </c>
      <c r="AK119" s="33">
        <f t="shared" si="134"/>
        <v>3</v>
      </c>
      <c r="AL119" s="37">
        <f t="shared" si="122"/>
        <v>3.4965034965034962</v>
      </c>
      <c r="AM119" s="36">
        <f t="shared" si="123"/>
        <v>15</v>
      </c>
      <c r="AN119" s="36">
        <f>'1.DATA KIA'!AG115</f>
        <v>8</v>
      </c>
      <c r="AO119" s="33">
        <f t="shared" si="135"/>
        <v>23</v>
      </c>
      <c r="AP119" s="37" t="e">
        <f t="shared" si="136"/>
        <v>#DIV/0!</v>
      </c>
      <c r="AQ119" s="40"/>
      <c r="AR119" s="42">
        <f t="shared" si="124"/>
        <v>15</v>
      </c>
      <c r="AS119" s="36">
        <f>'1.DATA KIA'!AB115</f>
        <v>8</v>
      </c>
      <c r="AT119" s="33">
        <f t="shared" si="137"/>
        <v>23</v>
      </c>
      <c r="AU119" s="37">
        <f t="shared" si="138"/>
        <v>28.083028083028083</v>
      </c>
      <c r="AV119" s="40"/>
      <c r="AW119" s="36">
        <f t="shared" si="125"/>
        <v>0</v>
      </c>
      <c r="AX119" s="33">
        <f>'1.DATA KIA'!AF115</f>
        <v>1</v>
      </c>
      <c r="AY119" s="36">
        <f t="shared" si="139"/>
        <v>1</v>
      </c>
      <c r="AZ119" s="37">
        <f t="shared" si="140"/>
        <v>5.8275058275058269</v>
      </c>
      <c r="BA119" s="38"/>
    </row>
    <row r="120" spans="1:54" ht="30" customHeight="1" x14ac:dyDescent="0.35">
      <c r="A120" s="33">
        <v>6</v>
      </c>
      <c r="B120" s="34" t="str">
        <f>PETUNJUK!B14</f>
        <v>Pulodarat</v>
      </c>
      <c r="C120" s="35">
        <f>'1.DATA KIA'!C116</f>
        <v>82.5</v>
      </c>
      <c r="D120" s="35">
        <f>'1.DATA KIA'!D116</f>
        <v>78.75</v>
      </c>
      <c r="E120" s="35">
        <f t="shared" si="110"/>
        <v>0</v>
      </c>
      <c r="F120" s="36">
        <f t="shared" si="111"/>
        <v>14</v>
      </c>
      <c r="G120" s="36">
        <f>'1.DATA KIA'!F116</f>
        <v>4</v>
      </c>
      <c r="H120" s="36">
        <f t="shared" si="126"/>
        <v>18</v>
      </c>
      <c r="I120" s="37">
        <f t="shared" si="112"/>
        <v>21.818181818181817</v>
      </c>
      <c r="J120" s="40"/>
      <c r="K120" s="36">
        <f t="shared" si="113"/>
        <v>15</v>
      </c>
      <c r="L120" s="33">
        <f>'1.DATA KIA'!J116</f>
        <v>4</v>
      </c>
      <c r="M120" s="36">
        <f t="shared" si="127"/>
        <v>19</v>
      </c>
      <c r="N120" s="37">
        <f t="shared" si="128"/>
        <v>24.126984126984127</v>
      </c>
      <c r="O120" s="40"/>
      <c r="P120" s="36">
        <f t="shared" si="114"/>
        <v>14</v>
      </c>
      <c r="Q120" s="36">
        <f>'1.DATA KIA'!M116</f>
        <v>5</v>
      </c>
      <c r="R120" s="36">
        <f t="shared" si="129"/>
        <v>19</v>
      </c>
      <c r="S120" s="37">
        <f t="shared" si="130"/>
        <v>24.126984126984127</v>
      </c>
      <c r="T120" s="40"/>
      <c r="U120" s="33">
        <f t="shared" si="115"/>
        <v>1</v>
      </c>
      <c r="V120" s="36">
        <f>'1.DATA KIA'!Y116</f>
        <v>3</v>
      </c>
      <c r="W120" s="33">
        <f t="shared" si="131"/>
        <v>4</v>
      </c>
      <c r="X120" s="37">
        <f t="shared" si="116"/>
        <v>24.242424242424242</v>
      </c>
      <c r="Y120" s="40"/>
      <c r="Z120" s="33">
        <f t="shared" si="117"/>
        <v>1</v>
      </c>
      <c r="AA120" s="36">
        <f>'1.DATA KIA'!Z116</f>
        <v>1</v>
      </c>
      <c r="AB120" s="33">
        <f t="shared" si="132"/>
        <v>2</v>
      </c>
      <c r="AC120" s="37">
        <f t="shared" si="118"/>
        <v>12.121212121212121</v>
      </c>
      <c r="AD120" s="40"/>
      <c r="AE120" s="33">
        <f t="shared" si="119"/>
        <v>2</v>
      </c>
      <c r="AF120" s="41">
        <f>'8.ANCTEPADU'!D120+'8.ANCTEPADU'!E120</f>
        <v>1</v>
      </c>
      <c r="AG120" s="33">
        <f t="shared" si="133"/>
        <v>3</v>
      </c>
      <c r="AH120" s="37">
        <f t="shared" si="120"/>
        <v>3.6363636363636362</v>
      </c>
      <c r="AI120" s="33">
        <f t="shared" si="121"/>
        <v>0</v>
      </c>
      <c r="AJ120" s="41">
        <f>'8.ANCTEPADU'!J120</f>
        <v>0</v>
      </c>
      <c r="AK120" s="33">
        <f t="shared" si="134"/>
        <v>0</v>
      </c>
      <c r="AL120" s="37">
        <f t="shared" si="122"/>
        <v>0</v>
      </c>
      <c r="AM120" s="36">
        <f t="shared" si="123"/>
        <v>13</v>
      </c>
      <c r="AN120" s="36">
        <f>'1.DATA KIA'!AG116</f>
        <v>4</v>
      </c>
      <c r="AO120" s="33">
        <f t="shared" si="135"/>
        <v>17</v>
      </c>
      <c r="AP120" s="37" t="e">
        <f t="shared" si="136"/>
        <v>#DIV/0!</v>
      </c>
      <c r="AQ120" s="40"/>
      <c r="AR120" s="42">
        <f t="shared" si="124"/>
        <v>13</v>
      </c>
      <c r="AS120" s="36">
        <f>'1.DATA KIA'!AB116</f>
        <v>4</v>
      </c>
      <c r="AT120" s="33">
        <f t="shared" si="137"/>
        <v>17</v>
      </c>
      <c r="AU120" s="37">
        <f t="shared" si="138"/>
        <v>21.587301587301589</v>
      </c>
      <c r="AV120" s="40"/>
      <c r="AW120" s="36">
        <f t="shared" si="125"/>
        <v>3</v>
      </c>
      <c r="AX120" s="33">
        <f>'1.DATA KIA'!AF116</f>
        <v>1</v>
      </c>
      <c r="AY120" s="36">
        <f t="shared" si="139"/>
        <v>4</v>
      </c>
      <c r="AZ120" s="37">
        <f t="shared" si="140"/>
        <v>24.242424242424242</v>
      </c>
      <c r="BA120" s="38"/>
    </row>
    <row r="121" spans="1:54" ht="30" customHeight="1" x14ac:dyDescent="0.35">
      <c r="A121" s="33">
        <v>7</v>
      </c>
      <c r="B121" s="34" t="str">
        <f>PETUNJUK!B15</f>
        <v>Karangrandu</v>
      </c>
      <c r="C121" s="35">
        <f>'1.DATA KIA'!C117</f>
        <v>93.500000000000014</v>
      </c>
      <c r="D121" s="35">
        <f>'1.DATA KIA'!D117</f>
        <v>89.25</v>
      </c>
      <c r="E121" s="35">
        <f t="shared" si="110"/>
        <v>0</v>
      </c>
      <c r="F121" s="36">
        <f t="shared" si="111"/>
        <v>22</v>
      </c>
      <c r="G121" s="36">
        <f>'1.DATA KIA'!F117</f>
        <v>9</v>
      </c>
      <c r="H121" s="36">
        <f t="shared" si="126"/>
        <v>31</v>
      </c>
      <c r="I121" s="37">
        <f t="shared" si="112"/>
        <v>33.155080213903737</v>
      </c>
      <c r="J121" s="40"/>
      <c r="K121" s="36">
        <f t="shared" si="113"/>
        <v>18</v>
      </c>
      <c r="L121" s="33">
        <f>'1.DATA KIA'!J117</f>
        <v>6</v>
      </c>
      <c r="M121" s="36">
        <f t="shared" si="127"/>
        <v>24</v>
      </c>
      <c r="N121" s="37">
        <f t="shared" si="128"/>
        <v>26.890756302521009</v>
      </c>
      <c r="O121" s="40"/>
      <c r="P121" s="36">
        <f t="shared" si="114"/>
        <v>19</v>
      </c>
      <c r="Q121" s="36">
        <f>'1.DATA KIA'!M117</f>
        <v>8</v>
      </c>
      <c r="R121" s="36">
        <f t="shared" si="129"/>
        <v>27</v>
      </c>
      <c r="S121" s="37">
        <f t="shared" si="130"/>
        <v>30.252100840336134</v>
      </c>
      <c r="T121" s="40"/>
      <c r="U121" s="33">
        <f t="shared" si="115"/>
        <v>8</v>
      </c>
      <c r="V121" s="36">
        <f>'1.DATA KIA'!Y117</f>
        <v>6</v>
      </c>
      <c r="W121" s="33">
        <f t="shared" si="131"/>
        <v>14</v>
      </c>
      <c r="X121" s="37">
        <f t="shared" si="116"/>
        <v>74.866310160427801</v>
      </c>
      <c r="Y121" s="40"/>
      <c r="Z121" s="33">
        <f t="shared" si="117"/>
        <v>4</v>
      </c>
      <c r="AA121" s="36">
        <f>'1.DATA KIA'!Z117</f>
        <v>1</v>
      </c>
      <c r="AB121" s="33">
        <f t="shared" si="132"/>
        <v>5</v>
      </c>
      <c r="AC121" s="37">
        <f t="shared" si="118"/>
        <v>26.737967914438499</v>
      </c>
      <c r="AD121" s="40"/>
      <c r="AE121" s="33">
        <f t="shared" si="119"/>
        <v>2</v>
      </c>
      <c r="AF121" s="41">
        <f>'8.ANCTEPADU'!D121+'8.ANCTEPADU'!E121</f>
        <v>1</v>
      </c>
      <c r="AG121" s="33">
        <f t="shared" si="133"/>
        <v>3</v>
      </c>
      <c r="AH121" s="37">
        <f t="shared" si="120"/>
        <v>3.2085561497326198</v>
      </c>
      <c r="AI121" s="33">
        <f t="shared" si="121"/>
        <v>2</v>
      </c>
      <c r="AJ121" s="41">
        <f>'8.ANCTEPADU'!J121</f>
        <v>0</v>
      </c>
      <c r="AK121" s="33">
        <f t="shared" si="134"/>
        <v>2</v>
      </c>
      <c r="AL121" s="37">
        <f t="shared" si="122"/>
        <v>2.1390374331550799</v>
      </c>
      <c r="AM121" s="36">
        <f t="shared" si="123"/>
        <v>18</v>
      </c>
      <c r="AN121" s="36">
        <f>'1.DATA KIA'!AG117</f>
        <v>8</v>
      </c>
      <c r="AO121" s="33">
        <f t="shared" si="135"/>
        <v>26</v>
      </c>
      <c r="AP121" s="37" t="e">
        <f t="shared" si="136"/>
        <v>#DIV/0!</v>
      </c>
      <c r="AQ121" s="40"/>
      <c r="AR121" s="42">
        <f t="shared" si="124"/>
        <v>19</v>
      </c>
      <c r="AS121" s="36">
        <f>'1.DATA KIA'!AB117</f>
        <v>8</v>
      </c>
      <c r="AT121" s="33">
        <f t="shared" si="137"/>
        <v>27</v>
      </c>
      <c r="AU121" s="37">
        <f t="shared" si="138"/>
        <v>30.252100840336134</v>
      </c>
      <c r="AV121" s="40"/>
      <c r="AW121" s="36">
        <f t="shared" si="125"/>
        <v>3</v>
      </c>
      <c r="AX121" s="33">
        <f>'1.DATA KIA'!AF117</f>
        <v>1</v>
      </c>
      <c r="AY121" s="36">
        <f t="shared" si="139"/>
        <v>4</v>
      </c>
      <c r="AZ121" s="37">
        <f t="shared" si="140"/>
        <v>21.390374331550799</v>
      </c>
      <c r="BA121" s="38"/>
    </row>
    <row r="122" spans="1:54" ht="30" customHeight="1" x14ac:dyDescent="0.35">
      <c r="A122" s="33">
        <v>8</v>
      </c>
      <c r="B122" s="34" t="str">
        <f>PETUNJUK!B16</f>
        <v>Kaliombo</v>
      </c>
      <c r="C122" s="35">
        <f>'1.DATA KIA'!C118</f>
        <v>46.2</v>
      </c>
      <c r="D122" s="35">
        <f>'1.DATA KIA'!D118</f>
        <v>44.1</v>
      </c>
      <c r="E122" s="35">
        <f t="shared" si="110"/>
        <v>0</v>
      </c>
      <c r="F122" s="36">
        <f t="shared" si="111"/>
        <v>8</v>
      </c>
      <c r="G122" s="36">
        <f>'1.DATA KIA'!F118</f>
        <v>5</v>
      </c>
      <c r="H122" s="36">
        <f t="shared" si="126"/>
        <v>13</v>
      </c>
      <c r="I122" s="37">
        <f t="shared" si="112"/>
        <v>28.138528138528134</v>
      </c>
      <c r="J122" s="40"/>
      <c r="K122" s="36">
        <f t="shared" si="113"/>
        <v>8</v>
      </c>
      <c r="L122" s="33">
        <f>'1.DATA KIA'!J118</f>
        <v>5</v>
      </c>
      <c r="M122" s="36">
        <f t="shared" si="127"/>
        <v>13</v>
      </c>
      <c r="N122" s="37">
        <f t="shared" si="128"/>
        <v>29.478458049886619</v>
      </c>
      <c r="O122" s="40"/>
      <c r="P122" s="36">
        <f t="shared" si="114"/>
        <v>8</v>
      </c>
      <c r="Q122" s="36">
        <f>'1.DATA KIA'!M118</f>
        <v>5</v>
      </c>
      <c r="R122" s="36">
        <f t="shared" si="129"/>
        <v>13</v>
      </c>
      <c r="S122" s="37">
        <f t="shared" si="130"/>
        <v>29.478458049886619</v>
      </c>
      <c r="T122" s="40"/>
      <c r="U122" s="33">
        <f t="shared" si="115"/>
        <v>4</v>
      </c>
      <c r="V122" s="36">
        <f>'1.DATA KIA'!Y118</f>
        <v>3</v>
      </c>
      <c r="W122" s="33">
        <f t="shared" si="131"/>
        <v>7</v>
      </c>
      <c r="X122" s="37">
        <f t="shared" si="116"/>
        <v>75.757575757575751</v>
      </c>
      <c r="Y122" s="40"/>
      <c r="Z122" s="33">
        <f t="shared" si="117"/>
        <v>2</v>
      </c>
      <c r="AA122" s="36">
        <f>'1.DATA KIA'!Z118</f>
        <v>0</v>
      </c>
      <c r="AB122" s="33">
        <f t="shared" si="132"/>
        <v>2</v>
      </c>
      <c r="AC122" s="37">
        <f t="shared" si="118"/>
        <v>21.645021645021643</v>
      </c>
      <c r="AD122" s="40"/>
      <c r="AE122" s="33">
        <f t="shared" si="119"/>
        <v>0</v>
      </c>
      <c r="AF122" s="41">
        <f>'8.ANCTEPADU'!D122+'8.ANCTEPADU'!E122</f>
        <v>0</v>
      </c>
      <c r="AG122" s="33">
        <f t="shared" si="133"/>
        <v>0</v>
      </c>
      <c r="AH122" s="37">
        <f t="shared" si="120"/>
        <v>0</v>
      </c>
      <c r="AI122" s="33">
        <f t="shared" si="121"/>
        <v>0</v>
      </c>
      <c r="AJ122" s="41">
        <f>'8.ANCTEPADU'!J122</f>
        <v>1</v>
      </c>
      <c r="AK122" s="33">
        <f t="shared" si="134"/>
        <v>1</v>
      </c>
      <c r="AL122" s="37">
        <f t="shared" si="122"/>
        <v>2.1645021645021645</v>
      </c>
      <c r="AM122" s="36">
        <f t="shared" si="123"/>
        <v>8</v>
      </c>
      <c r="AN122" s="36">
        <f>'1.DATA KIA'!AG118</f>
        <v>5</v>
      </c>
      <c r="AO122" s="33">
        <f t="shared" si="135"/>
        <v>13</v>
      </c>
      <c r="AP122" s="37" t="e">
        <f t="shared" si="136"/>
        <v>#DIV/0!</v>
      </c>
      <c r="AQ122" s="40"/>
      <c r="AR122" s="42">
        <f t="shared" si="124"/>
        <v>8</v>
      </c>
      <c r="AS122" s="36">
        <f>'1.DATA KIA'!AB118</f>
        <v>5</v>
      </c>
      <c r="AT122" s="33">
        <f t="shared" si="137"/>
        <v>13</v>
      </c>
      <c r="AU122" s="37">
        <f t="shared" si="138"/>
        <v>29.478458049886619</v>
      </c>
      <c r="AV122" s="40"/>
      <c r="AW122" s="36">
        <f t="shared" si="125"/>
        <v>4</v>
      </c>
      <c r="AX122" s="33">
        <f>'1.DATA KIA'!AF118</f>
        <v>1</v>
      </c>
      <c r="AY122" s="36">
        <f t="shared" si="139"/>
        <v>5</v>
      </c>
      <c r="AZ122" s="37">
        <f t="shared" si="140"/>
        <v>54.112554112554115</v>
      </c>
      <c r="BA122" s="38"/>
    </row>
    <row r="123" spans="1:54" ht="30" customHeight="1" x14ac:dyDescent="0.35">
      <c r="A123" s="33">
        <v>9</v>
      </c>
      <c r="B123" s="34" t="str">
        <f>PETUNJUK!B17</f>
        <v>Gemulung</v>
      </c>
      <c r="C123" s="35">
        <f>'1.DATA KIA'!C119</f>
        <v>53.900000000000006</v>
      </c>
      <c r="D123" s="35">
        <f>'1.DATA KIA'!D119</f>
        <v>51.45</v>
      </c>
      <c r="E123" s="35">
        <f t="shared" si="110"/>
        <v>0</v>
      </c>
      <c r="F123" s="36">
        <f t="shared" si="111"/>
        <v>14</v>
      </c>
      <c r="G123" s="36">
        <f>'1.DATA KIA'!F119</f>
        <v>5</v>
      </c>
      <c r="H123" s="36">
        <f t="shared" si="126"/>
        <v>19</v>
      </c>
      <c r="I123" s="37">
        <f t="shared" si="112"/>
        <v>35.250463821892389</v>
      </c>
      <c r="J123" s="40"/>
      <c r="K123" s="36">
        <f t="shared" si="113"/>
        <v>14</v>
      </c>
      <c r="L123" s="33">
        <f>'1.DATA KIA'!J119</f>
        <v>5</v>
      </c>
      <c r="M123" s="36">
        <f t="shared" si="127"/>
        <v>19</v>
      </c>
      <c r="N123" s="37">
        <f t="shared" si="128"/>
        <v>36.929057337220598</v>
      </c>
      <c r="O123" s="40"/>
      <c r="P123" s="36">
        <f t="shared" si="114"/>
        <v>15</v>
      </c>
      <c r="Q123" s="36">
        <f>'1.DATA KIA'!M119</f>
        <v>4</v>
      </c>
      <c r="R123" s="36">
        <f t="shared" si="129"/>
        <v>19</v>
      </c>
      <c r="S123" s="37">
        <f t="shared" si="130"/>
        <v>36.929057337220598</v>
      </c>
      <c r="T123" s="40"/>
      <c r="U123" s="33">
        <f t="shared" si="115"/>
        <v>0</v>
      </c>
      <c r="V123" s="36">
        <f>'1.DATA KIA'!Y119</f>
        <v>3</v>
      </c>
      <c r="W123" s="33">
        <f t="shared" si="131"/>
        <v>3</v>
      </c>
      <c r="X123" s="37">
        <f t="shared" si="116"/>
        <v>27.829313543599255</v>
      </c>
      <c r="Y123" s="40"/>
      <c r="Z123" s="33">
        <f t="shared" si="117"/>
        <v>0</v>
      </c>
      <c r="AA123" s="36">
        <f>'1.DATA KIA'!Z119</f>
        <v>1</v>
      </c>
      <c r="AB123" s="33">
        <f t="shared" si="132"/>
        <v>1</v>
      </c>
      <c r="AC123" s="37">
        <f t="shared" si="118"/>
        <v>9.2764378478664185</v>
      </c>
      <c r="AD123" s="40"/>
      <c r="AE123" s="33">
        <f t="shared" si="119"/>
        <v>3</v>
      </c>
      <c r="AF123" s="41">
        <f>'8.ANCTEPADU'!D123+'8.ANCTEPADU'!E123</f>
        <v>1</v>
      </c>
      <c r="AG123" s="33">
        <f t="shared" si="133"/>
        <v>4</v>
      </c>
      <c r="AH123" s="37">
        <f t="shared" si="120"/>
        <v>7.4211502782931342</v>
      </c>
      <c r="AI123" s="33">
        <f t="shared" si="121"/>
        <v>0</v>
      </c>
      <c r="AJ123" s="41">
        <f>'8.ANCTEPADU'!J123</f>
        <v>1</v>
      </c>
      <c r="AK123" s="33">
        <f t="shared" si="134"/>
        <v>1</v>
      </c>
      <c r="AL123" s="37">
        <f t="shared" si="122"/>
        <v>1.8552875695732836</v>
      </c>
      <c r="AM123" s="36">
        <f t="shared" si="123"/>
        <v>16</v>
      </c>
      <c r="AN123" s="36">
        <f>'1.DATA KIA'!AG119</f>
        <v>4</v>
      </c>
      <c r="AO123" s="33">
        <f t="shared" si="135"/>
        <v>20</v>
      </c>
      <c r="AP123" s="37" t="e">
        <f t="shared" si="136"/>
        <v>#DIV/0!</v>
      </c>
      <c r="AQ123" s="40"/>
      <c r="AR123" s="42">
        <f t="shared" si="124"/>
        <v>16</v>
      </c>
      <c r="AS123" s="36">
        <f>'1.DATA KIA'!AB119</f>
        <v>4</v>
      </c>
      <c r="AT123" s="33">
        <f t="shared" si="137"/>
        <v>20</v>
      </c>
      <c r="AU123" s="37">
        <f t="shared" si="138"/>
        <v>38.872691933916421</v>
      </c>
      <c r="AV123" s="40"/>
      <c r="AW123" s="36">
        <f t="shared" si="125"/>
        <v>6</v>
      </c>
      <c r="AX123" s="33">
        <f>'1.DATA KIA'!AF119</f>
        <v>2</v>
      </c>
      <c r="AY123" s="36">
        <f t="shared" si="139"/>
        <v>8</v>
      </c>
      <c r="AZ123" s="37">
        <f t="shared" si="140"/>
        <v>74.211502782931348</v>
      </c>
      <c r="BA123" s="38"/>
    </row>
    <row r="124" spans="1:54" ht="30" customHeight="1" x14ac:dyDescent="0.35">
      <c r="A124" s="33">
        <v>10</v>
      </c>
      <c r="B124" s="34" t="str">
        <f>PETUNJUK!B18</f>
        <v>Pecangaan Wetan</v>
      </c>
      <c r="C124" s="35">
        <f>'1.DATA KIA'!C120</f>
        <v>50.6</v>
      </c>
      <c r="D124" s="35">
        <f>'1.DATA KIA'!D120</f>
        <v>48.300000000000004</v>
      </c>
      <c r="E124" s="35">
        <f t="shared" si="110"/>
        <v>0</v>
      </c>
      <c r="F124" s="36">
        <f t="shared" si="111"/>
        <v>12</v>
      </c>
      <c r="G124" s="36">
        <f>'1.DATA KIA'!F120</f>
        <v>3</v>
      </c>
      <c r="H124" s="36">
        <f t="shared" si="126"/>
        <v>15</v>
      </c>
      <c r="I124" s="37">
        <f t="shared" si="112"/>
        <v>29.644268774703558</v>
      </c>
      <c r="J124" s="40"/>
      <c r="K124" s="36">
        <f t="shared" si="113"/>
        <v>10</v>
      </c>
      <c r="L124" s="33">
        <f>'1.DATA KIA'!J120</f>
        <v>2</v>
      </c>
      <c r="M124" s="36">
        <f t="shared" si="127"/>
        <v>12</v>
      </c>
      <c r="N124" s="37">
        <f t="shared" si="128"/>
        <v>24.844720496894407</v>
      </c>
      <c r="O124" s="40"/>
      <c r="P124" s="36">
        <f t="shared" si="114"/>
        <v>8</v>
      </c>
      <c r="Q124" s="36">
        <f>'1.DATA KIA'!M120</f>
        <v>2</v>
      </c>
      <c r="R124" s="36">
        <f t="shared" si="129"/>
        <v>10</v>
      </c>
      <c r="S124" s="37">
        <f t="shared" si="130"/>
        <v>20.703933747412005</v>
      </c>
      <c r="T124" s="40"/>
      <c r="U124" s="33">
        <f t="shared" si="115"/>
        <v>3</v>
      </c>
      <c r="V124" s="36">
        <f>'1.DATA KIA'!Y120</f>
        <v>1</v>
      </c>
      <c r="W124" s="33">
        <f t="shared" si="131"/>
        <v>4</v>
      </c>
      <c r="X124" s="37">
        <f t="shared" si="116"/>
        <v>39.525691699604735</v>
      </c>
      <c r="Y124" s="40"/>
      <c r="Z124" s="33">
        <f t="shared" si="117"/>
        <v>0</v>
      </c>
      <c r="AA124" s="36">
        <f>'1.DATA KIA'!Z120</f>
        <v>0</v>
      </c>
      <c r="AB124" s="33">
        <f t="shared" si="132"/>
        <v>0</v>
      </c>
      <c r="AC124" s="37">
        <f t="shared" si="118"/>
        <v>0</v>
      </c>
      <c r="AD124" s="40"/>
      <c r="AE124" s="33">
        <f t="shared" si="119"/>
        <v>0</v>
      </c>
      <c r="AF124" s="41">
        <f>'8.ANCTEPADU'!D124+'8.ANCTEPADU'!E124</f>
        <v>0</v>
      </c>
      <c r="AG124" s="33">
        <f t="shared" si="133"/>
        <v>0</v>
      </c>
      <c r="AH124" s="37">
        <f t="shared" si="120"/>
        <v>0</v>
      </c>
      <c r="AI124" s="33">
        <f t="shared" si="121"/>
        <v>5</v>
      </c>
      <c r="AJ124" s="41">
        <f>'8.ANCTEPADU'!J124</f>
        <v>0</v>
      </c>
      <c r="AK124" s="33">
        <f t="shared" si="134"/>
        <v>5</v>
      </c>
      <c r="AL124" s="37">
        <f t="shared" si="122"/>
        <v>9.8814229249011856</v>
      </c>
      <c r="AM124" s="36">
        <f t="shared" si="123"/>
        <v>11</v>
      </c>
      <c r="AN124" s="36">
        <f>'1.DATA KIA'!AG120</f>
        <v>2</v>
      </c>
      <c r="AO124" s="33">
        <f t="shared" si="135"/>
        <v>13</v>
      </c>
      <c r="AP124" s="37" t="e">
        <f t="shared" si="136"/>
        <v>#DIV/0!</v>
      </c>
      <c r="AQ124" s="40"/>
      <c r="AR124" s="42">
        <f t="shared" si="124"/>
        <v>11</v>
      </c>
      <c r="AS124" s="36">
        <f>'1.DATA KIA'!AB120</f>
        <v>2</v>
      </c>
      <c r="AT124" s="33">
        <f t="shared" si="137"/>
        <v>13</v>
      </c>
      <c r="AU124" s="37">
        <f t="shared" si="138"/>
        <v>26.915113871635612</v>
      </c>
      <c r="AV124" s="40"/>
      <c r="AW124" s="36">
        <f t="shared" si="125"/>
        <v>1</v>
      </c>
      <c r="AX124" s="33">
        <f>'1.DATA KIA'!AF120</f>
        <v>0</v>
      </c>
      <c r="AY124" s="36">
        <f t="shared" si="139"/>
        <v>1</v>
      </c>
      <c r="AZ124" s="37">
        <f t="shared" si="140"/>
        <v>9.8814229249011838</v>
      </c>
      <c r="BA124" s="38"/>
    </row>
    <row r="125" spans="1:54" ht="30" customHeight="1" x14ac:dyDescent="0.35">
      <c r="A125" s="33">
        <v>11</v>
      </c>
      <c r="B125" s="34" t="str">
        <f>PETUNJUK!B19</f>
        <v>Krasak</v>
      </c>
      <c r="C125" s="35">
        <f>'1.DATA KIA'!C121</f>
        <v>117.7</v>
      </c>
      <c r="D125" s="35">
        <f>'1.DATA KIA'!D121</f>
        <v>112.35000000000001</v>
      </c>
      <c r="E125" s="35">
        <f t="shared" si="110"/>
        <v>0</v>
      </c>
      <c r="F125" s="36">
        <f t="shared" si="111"/>
        <v>34</v>
      </c>
      <c r="G125" s="36">
        <f>'1.DATA KIA'!F121</f>
        <v>11</v>
      </c>
      <c r="H125" s="36">
        <f t="shared" si="126"/>
        <v>45</v>
      </c>
      <c r="I125" s="37">
        <f t="shared" si="112"/>
        <v>38.232795242141037</v>
      </c>
      <c r="J125" s="40"/>
      <c r="K125" s="36">
        <f t="shared" si="113"/>
        <v>16</v>
      </c>
      <c r="L125" s="33">
        <f>'1.DATA KIA'!J121</f>
        <v>6</v>
      </c>
      <c r="M125" s="36">
        <f t="shared" si="127"/>
        <v>22</v>
      </c>
      <c r="N125" s="37">
        <f t="shared" si="128"/>
        <v>19.581664441477525</v>
      </c>
      <c r="O125" s="40"/>
      <c r="P125" s="36">
        <f t="shared" si="114"/>
        <v>22</v>
      </c>
      <c r="Q125" s="36">
        <f>'1.DATA KIA'!M121</f>
        <v>7</v>
      </c>
      <c r="R125" s="36">
        <f t="shared" si="129"/>
        <v>29</v>
      </c>
      <c r="S125" s="37">
        <f t="shared" si="130"/>
        <v>25.812194036493104</v>
      </c>
      <c r="T125" s="40"/>
      <c r="U125" s="33">
        <f t="shared" si="115"/>
        <v>3</v>
      </c>
      <c r="V125" s="36">
        <f>'1.DATA KIA'!Y121</f>
        <v>2</v>
      </c>
      <c r="W125" s="33">
        <f t="shared" si="131"/>
        <v>5</v>
      </c>
      <c r="X125" s="37">
        <f t="shared" si="116"/>
        <v>21.240441801189462</v>
      </c>
      <c r="Y125" s="40"/>
      <c r="Z125" s="33">
        <f t="shared" si="117"/>
        <v>3</v>
      </c>
      <c r="AA125" s="36">
        <f>'1.DATA KIA'!Z121</f>
        <v>3</v>
      </c>
      <c r="AB125" s="33">
        <f t="shared" si="132"/>
        <v>6</v>
      </c>
      <c r="AC125" s="37">
        <f t="shared" si="118"/>
        <v>25.488530161427352</v>
      </c>
      <c r="AD125" s="40"/>
      <c r="AE125" s="33">
        <f t="shared" si="119"/>
        <v>3</v>
      </c>
      <c r="AF125" s="41">
        <f>'8.ANCTEPADU'!D125+'8.ANCTEPADU'!E125</f>
        <v>0</v>
      </c>
      <c r="AG125" s="33">
        <f t="shared" si="133"/>
        <v>3</v>
      </c>
      <c r="AH125" s="37">
        <f t="shared" si="120"/>
        <v>2.5488530161427359</v>
      </c>
      <c r="AI125" s="33">
        <f t="shared" si="121"/>
        <v>2</v>
      </c>
      <c r="AJ125" s="41">
        <f>'8.ANCTEPADU'!J125</f>
        <v>2</v>
      </c>
      <c r="AK125" s="33">
        <f t="shared" si="134"/>
        <v>4</v>
      </c>
      <c r="AL125" s="37">
        <f t="shared" si="122"/>
        <v>3.3984706881903146</v>
      </c>
      <c r="AM125" s="36">
        <f t="shared" si="123"/>
        <v>20</v>
      </c>
      <c r="AN125" s="36">
        <f>'1.DATA KIA'!AG121</f>
        <v>9</v>
      </c>
      <c r="AO125" s="33">
        <f t="shared" si="135"/>
        <v>29</v>
      </c>
      <c r="AP125" s="37" t="e">
        <f t="shared" si="136"/>
        <v>#DIV/0!</v>
      </c>
      <c r="AQ125" s="40"/>
      <c r="AR125" s="42">
        <f t="shared" si="124"/>
        <v>20</v>
      </c>
      <c r="AS125" s="36">
        <f>'1.DATA KIA'!AB121</f>
        <v>9</v>
      </c>
      <c r="AT125" s="33">
        <f t="shared" si="137"/>
        <v>29</v>
      </c>
      <c r="AU125" s="37">
        <f t="shared" si="138"/>
        <v>25.812194036493104</v>
      </c>
      <c r="AV125" s="40"/>
      <c r="AW125" s="36">
        <f t="shared" si="125"/>
        <v>5</v>
      </c>
      <c r="AX125" s="33">
        <f>'1.DATA KIA'!AF121</f>
        <v>2</v>
      </c>
      <c r="AY125" s="36">
        <f t="shared" si="139"/>
        <v>7</v>
      </c>
      <c r="AZ125" s="37">
        <f t="shared" si="140"/>
        <v>29.73661852166525</v>
      </c>
      <c r="BA125" s="38"/>
    </row>
    <row r="126" spans="1:54" ht="30" customHeight="1" x14ac:dyDescent="0.35">
      <c r="A126" s="33">
        <v>12</v>
      </c>
      <c r="B126" s="34" t="str">
        <f>PETUNJUK!B20</f>
        <v>Gerdu</v>
      </c>
      <c r="C126" s="35">
        <f>'1.DATA KIA'!C122</f>
        <v>23.1</v>
      </c>
      <c r="D126" s="35">
        <f>'1.DATA KIA'!D122</f>
        <v>22.05</v>
      </c>
      <c r="E126" s="35">
        <f t="shared" si="110"/>
        <v>0</v>
      </c>
      <c r="F126" s="36">
        <f t="shared" si="111"/>
        <v>5</v>
      </c>
      <c r="G126" s="36">
        <f>'1.DATA KIA'!F122</f>
        <v>3</v>
      </c>
      <c r="H126" s="36">
        <f t="shared" si="126"/>
        <v>8</v>
      </c>
      <c r="I126" s="37">
        <f t="shared" si="112"/>
        <v>34.632034632034632</v>
      </c>
      <c r="J126" s="40"/>
      <c r="K126" s="36">
        <f t="shared" si="113"/>
        <v>5</v>
      </c>
      <c r="L126" s="33">
        <f>'1.DATA KIA'!J122</f>
        <v>3</v>
      </c>
      <c r="M126" s="36">
        <f t="shared" si="127"/>
        <v>8</v>
      </c>
      <c r="N126" s="37">
        <f t="shared" si="128"/>
        <v>36.281179138321995</v>
      </c>
      <c r="O126" s="40"/>
      <c r="P126" s="36">
        <f t="shared" si="114"/>
        <v>6</v>
      </c>
      <c r="Q126" s="36">
        <f>'1.DATA KIA'!M122</f>
        <v>2</v>
      </c>
      <c r="R126" s="36">
        <f t="shared" si="129"/>
        <v>8</v>
      </c>
      <c r="S126" s="37">
        <f t="shared" si="130"/>
        <v>36.281179138321995</v>
      </c>
      <c r="T126" s="40"/>
      <c r="U126" s="33">
        <f t="shared" si="115"/>
        <v>2</v>
      </c>
      <c r="V126" s="36">
        <f>'1.DATA KIA'!Y122</f>
        <v>0</v>
      </c>
      <c r="W126" s="33">
        <f t="shared" si="131"/>
        <v>2</v>
      </c>
      <c r="X126" s="37">
        <f t="shared" si="116"/>
        <v>43.290043290043286</v>
      </c>
      <c r="Y126" s="40"/>
      <c r="Z126" s="33">
        <f t="shared" si="117"/>
        <v>1</v>
      </c>
      <c r="AA126" s="36">
        <f>'1.DATA KIA'!Z122</f>
        <v>0</v>
      </c>
      <c r="AB126" s="33">
        <f t="shared" si="132"/>
        <v>1</v>
      </c>
      <c r="AC126" s="37">
        <f t="shared" si="118"/>
        <v>21.645021645021643</v>
      </c>
      <c r="AD126" s="40"/>
      <c r="AE126" s="33">
        <f t="shared" si="119"/>
        <v>0</v>
      </c>
      <c r="AF126" s="41">
        <f>'8.ANCTEPADU'!D126+'8.ANCTEPADU'!E126</f>
        <v>0</v>
      </c>
      <c r="AG126" s="33">
        <f t="shared" si="133"/>
        <v>0</v>
      </c>
      <c r="AH126" s="37">
        <f t="shared" si="120"/>
        <v>0</v>
      </c>
      <c r="AI126" s="33">
        <f t="shared" si="121"/>
        <v>1</v>
      </c>
      <c r="AJ126" s="41">
        <f>'8.ANCTEPADU'!J126</f>
        <v>0</v>
      </c>
      <c r="AK126" s="33">
        <f t="shared" si="134"/>
        <v>1</v>
      </c>
      <c r="AL126" s="37">
        <f t="shared" si="122"/>
        <v>4.329004329004329</v>
      </c>
      <c r="AM126" s="36">
        <f t="shared" si="123"/>
        <v>3</v>
      </c>
      <c r="AN126" s="36">
        <f>'1.DATA KIA'!AG122</f>
        <v>2</v>
      </c>
      <c r="AO126" s="33">
        <f>AN126+AM126</f>
        <v>5</v>
      </c>
      <c r="AP126" s="37" t="e">
        <f t="shared" si="136"/>
        <v>#DIV/0!</v>
      </c>
      <c r="AQ126" s="40"/>
      <c r="AR126" s="42">
        <f t="shared" si="124"/>
        <v>3</v>
      </c>
      <c r="AS126" s="36">
        <f>'1.DATA KIA'!AB122</f>
        <v>2</v>
      </c>
      <c r="AT126" s="33">
        <f>AS126+AR126</f>
        <v>5</v>
      </c>
      <c r="AU126" s="37">
        <f t="shared" si="138"/>
        <v>22.675736961451246</v>
      </c>
      <c r="AV126" s="40"/>
      <c r="AW126" s="36">
        <f t="shared" si="125"/>
        <v>1</v>
      </c>
      <c r="AX126" s="33">
        <f>'1.DATA KIA'!AF122</f>
        <v>1</v>
      </c>
      <c r="AY126" s="36">
        <f t="shared" si="139"/>
        <v>2</v>
      </c>
      <c r="AZ126" s="37">
        <f t="shared" si="140"/>
        <v>43.290043290043286</v>
      </c>
      <c r="BA126" s="38"/>
    </row>
    <row r="127" spans="1:54" ht="30" customHeight="1" x14ac:dyDescent="0.35">
      <c r="A127" s="33">
        <v>13</v>
      </c>
      <c r="B127" s="34">
        <f>PETUNJUK!B21</f>
        <v>0</v>
      </c>
      <c r="C127" s="35">
        <f>'1.DATA KIA'!C123</f>
        <v>0</v>
      </c>
      <c r="D127" s="35">
        <f>'1.DATA KIA'!D123</f>
        <v>0</v>
      </c>
      <c r="E127" s="35">
        <f t="shared" si="110"/>
        <v>0</v>
      </c>
      <c r="F127" s="36">
        <f t="shared" si="111"/>
        <v>0</v>
      </c>
      <c r="G127" s="36">
        <f>'1.DATA KIA'!F123</f>
        <v>0</v>
      </c>
      <c r="H127" s="36">
        <f t="shared" si="126"/>
        <v>0</v>
      </c>
      <c r="I127" s="37" t="e">
        <f t="shared" si="112"/>
        <v>#DIV/0!</v>
      </c>
      <c r="J127" s="40"/>
      <c r="K127" s="36">
        <f t="shared" si="113"/>
        <v>0</v>
      </c>
      <c r="L127" s="33">
        <f>'1.DATA KIA'!J123</f>
        <v>0</v>
      </c>
      <c r="M127" s="36">
        <f t="shared" si="127"/>
        <v>0</v>
      </c>
      <c r="N127" s="37" t="e">
        <f t="shared" si="128"/>
        <v>#DIV/0!</v>
      </c>
      <c r="O127" s="40"/>
      <c r="P127" s="36">
        <f t="shared" si="114"/>
        <v>0</v>
      </c>
      <c r="Q127" s="36">
        <f>'1.DATA KIA'!M123</f>
        <v>0</v>
      </c>
      <c r="R127" s="36">
        <f t="shared" si="129"/>
        <v>0</v>
      </c>
      <c r="S127" s="37" t="e">
        <f t="shared" si="130"/>
        <v>#DIV/0!</v>
      </c>
      <c r="T127" s="40"/>
      <c r="U127" s="33">
        <f t="shared" si="115"/>
        <v>0</v>
      </c>
      <c r="V127" s="36">
        <f>'1.DATA KIA'!Y123</f>
        <v>0</v>
      </c>
      <c r="W127" s="33">
        <f t="shared" si="131"/>
        <v>0</v>
      </c>
      <c r="X127" s="37" t="e">
        <f t="shared" si="116"/>
        <v>#DIV/0!</v>
      </c>
      <c r="Y127" s="40"/>
      <c r="Z127" s="33">
        <f t="shared" si="117"/>
        <v>0</v>
      </c>
      <c r="AA127" s="36">
        <f>'1.DATA KIA'!Z123</f>
        <v>0</v>
      </c>
      <c r="AB127" s="33">
        <f t="shared" si="132"/>
        <v>0</v>
      </c>
      <c r="AC127" s="37" t="e">
        <f t="shared" si="118"/>
        <v>#DIV/0!</v>
      </c>
      <c r="AD127" s="40"/>
      <c r="AE127" s="33">
        <f t="shared" si="119"/>
        <v>0</v>
      </c>
      <c r="AF127" s="41">
        <f>'8.ANCTEPADU'!D127+'8.ANCTEPADU'!E127</f>
        <v>0</v>
      </c>
      <c r="AG127" s="33">
        <f t="shared" si="133"/>
        <v>0</v>
      </c>
      <c r="AH127" s="37" t="e">
        <f t="shared" si="120"/>
        <v>#DIV/0!</v>
      </c>
      <c r="AI127" s="33">
        <f t="shared" si="121"/>
        <v>0</v>
      </c>
      <c r="AJ127" s="41">
        <f>'8.ANCTEPADU'!J127</f>
        <v>0</v>
      </c>
      <c r="AK127" s="33">
        <f t="shared" si="134"/>
        <v>0</v>
      </c>
      <c r="AL127" s="37" t="e">
        <f t="shared" si="122"/>
        <v>#DIV/0!</v>
      </c>
      <c r="AM127" s="36">
        <f t="shared" si="123"/>
        <v>0</v>
      </c>
      <c r="AN127" s="36">
        <f>'1.DATA KIA'!AG123</f>
        <v>0</v>
      </c>
      <c r="AO127" s="33">
        <f t="shared" ref="AO127:AO132" si="141">AN127+AM127</f>
        <v>0</v>
      </c>
      <c r="AP127" s="37" t="e">
        <f t="shared" si="136"/>
        <v>#DIV/0!</v>
      </c>
      <c r="AQ127" s="40"/>
      <c r="AR127" s="42">
        <f t="shared" si="124"/>
        <v>0</v>
      </c>
      <c r="AS127" s="36">
        <f>'1.DATA KIA'!AB123</f>
        <v>0</v>
      </c>
      <c r="AT127" s="33">
        <f t="shared" ref="AT127:AT132" si="142">AS127+AR127</f>
        <v>0</v>
      </c>
      <c r="AU127" s="37" t="e">
        <f t="shared" si="138"/>
        <v>#DIV/0!</v>
      </c>
      <c r="AV127" s="40"/>
      <c r="AW127" s="36">
        <f t="shared" si="125"/>
        <v>0</v>
      </c>
      <c r="AX127" s="33">
        <f>'1.DATA KIA'!AF123</f>
        <v>0</v>
      </c>
      <c r="AY127" s="36">
        <f t="shared" si="139"/>
        <v>0</v>
      </c>
      <c r="AZ127" s="37" t="e">
        <f t="shared" si="140"/>
        <v>#DIV/0!</v>
      </c>
      <c r="BA127" s="38"/>
    </row>
    <row r="128" spans="1:54" ht="30" customHeight="1" x14ac:dyDescent="0.35">
      <c r="A128" s="33">
        <v>14</v>
      </c>
      <c r="B128" s="34">
        <f>PETUNJUK!B22</f>
        <v>0</v>
      </c>
      <c r="C128" s="35">
        <f>'1.DATA KIA'!C124</f>
        <v>0</v>
      </c>
      <c r="D128" s="35">
        <f>'1.DATA KIA'!D124</f>
        <v>0</v>
      </c>
      <c r="E128" s="35">
        <f t="shared" si="110"/>
        <v>0</v>
      </c>
      <c r="F128" s="36">
        <f t="shared" si="111"/>
        <v>0</v>
      </c>
      <c r="G128" s="36">
        <f>'1.DATA KIA'!F124</f>
        <v>0</v>
      </c>
      <c r="H128" s="36">
        <f t="shared" si="126"/>
        <v>0</v>
      </c>
      <c r="I128" s="37" t="e">
        <f t="shared" si="112"/>
        <v>#DIV/0!</v>
      </c>
      <c r="J128" s="40"/>
      <c r="K128" s="36">
        <f t="shared" si="113"/>
        <v>0</v>
      </c>
      <c r="L128" s="33">
        <f>'1.DATA KIA'!J124</f>
        <v>0</v>
      </c>
      <c r="M128" s="36">
        <f t="shared" si="127"/>
        <v>0</v>
      </c>
      <c r="N128" s="37" t="e">
        <f t="shared" si="128"/>
        <v>#DIV/0!</v>
      </c>
      <c r="O128" s="40"/>
      <c r="P128" s="36">
        <f t="shared" si="114"/>
        <v>0</v>
      </c>
      <c r="Q128" s="36">
        <f>'1.DATA KIA'!M124</f>
        <v>0</v>
      </c>
      <c r="R128" s="36">
        <f t="shared" si="129"/>
        <v>0</v>
      </c>
      <c r="S128" s="37" t="e">
        <f t="shared" si="130"/>
        <v>#DIV/0!</v>
      </c>
      <c r="T128" s="40"/>
      <c r="U128" s="33">
        <f t="shared" si="115"/>
        <v>0</v>
      </c>
      <c r="V128" s="36">
        <f>'1.DATA KIA'!Y124</f>
        <v>0</v>
      </c>
      <c r="W128" s="33">
        <f t="shared" si="131"/>
        <v>0</v>
      </c>
      <c r="X128" s="37" t="e">
        <f t="shared" si="116"/>
        <v>#DIV/0!</v>
      </c>
      <c r="Y128" s="40"/>
      <c r="Z128" s="33">
        <f t="shared" si="117"/>
        <v>0</v>
      </c>
      <c r="AA128" s="36">
        <f>'1.DATA KIA'!Z124</f>
        <v>0</v>
      </c>
      <c r="AB128" s="33">
        <f t="shared" si="132"/>
        <v>0</v>
      </c>
      <c r="AC128" s="37" t="e">
        <f t="shared" si="118"/>
        <v>#DIV/0!</v>
      </c>
      <c r="AD128" s="40"/>
      <c r="AE128" s="33">
        <f t="shared" si="119"/>
        <v>0</v>
      </c>
      <c r="AF128" s="41">
        <f>'8.ANCTEPADU'!D128+'8.ANCTEPADU'!E128</f>
        <v>0</v>
      </c>
      <c r="AG128" s="33">
        <f t="shared" si="133"/>
        <v>0</v>
      </c>
      <c r="AH128" s="37" t="e">
        <f t="shared" si="120"/>
        <v>#DIV/0!</v>
      </c>
      <c r="AI128" s="33">
        <f t="shared" si="121"/>
        <v>0</v>
      </c>
      <c r="AJ128" s="41">
        <f>'8.ANCTEPADU'!J128</f>
        <v>0</v>
      </c>
      <c r="AK128" s="33">
        <f t="shared" si="134"/>
        <v>0</v>
      </c>
      <c r="AL128" s="37" t="e">
        <f t="shared" si="122"/>
        <v>#DIV/0!</v>
      </c>
      <c r="AM128" s="36">
        <f t="shared" si="123"/>
        <v>0</v>
      </c>
      <c r="AN128" s="36">
        <f>'1.DATA KIA'!AG124</f>
        <v>0</v>
      </c>
      <c r="AO128" s="33">
        <f t="shared" si="141"/>
        <v>0</v>
      </c>
      <c r="AP128" s="37" t="e">
        <f t="shared" si="136"/>
        <v>#DIV/0!</v>
      </c>
      <c r="AQ128" s="40"/>
      <c r="AR128" s="42">
        <f t="shared" si="124"/>
        <v>0</v>
      </c>
      <c r="AS128" s="36">
        <f>'1.DATA KIA'!AB124</f>
        <v>0</v>
      </c>
      <c r="AT128" s="33">
        <f t="shared" si="142"/>
        <v>0</v>
      </c>
      <c r="AU128" s="37" t="e">
        <f t="shared" si="138"/>
        <v>#DIV/0!</v>
      </c>
      <c r="AV128" s="40"/>
      <c r="AW128" s="36">
        <f t="shared" si="125"/>
        <v>0</v>
      </c>
      <c r="AX128" s="33">
        <f>'1.DATA KIA'!AF124</f>
        <v>0</v>
      </c>
      <c r="AY128" s="36">
        <f t="shared" si="139"/>
        <v>0</v>
      </c>
      <c r="AZ128" s="37" t="e">
        <f t="shared" si="140"/>
        <v>#DIV/0!</v>
      </c>
      <c r="BA128" s="38"/>
    </row>
    <row r="129" spans="1:53" ht="30" customHeight="1" x14ac:dyDescent="0.35">
      <c r="A129" s="33">
        <v>15</v>
      </c>
      <c r="B129" s="34">
        <f>PETUNJUK!B23</f>
        <v>0</v>
      </c>
      <c r="C129" s="35">
        <f>'1.DATA KIA'!C125</f>
        <v>0</v>
      </c>
      <c r="D129" s="35">
        <f>'1.DATA KIA'!D125</f>
        <v>0</v>
      </c>
      <c r="E129" s="35">
        <f t="shared" si="110"/>
        <v>0</v>
      </c>
      <c r="F129" s="36">
        <f t="shared" si="111"/>
        <v>0</v>
      </c>
      <c r="G129" s="36">
        <f>'1.DATA KIA'!F125</f>
        <v>0</v>
      </c>
      <c r="H129" s="36">
        <f t="shared" si="126"/>
        <v>0</v>
      </c>
      <c r="I129" s="37" t="e">
        <f t="shared" si="112"/>
        <v>#DIV/0!</v>
      </c>
      <c r="J129" s="40"/>
      <c r="K129" s="36">
        <f t="shared" si="113"/>
        <v>0</v>
      </c>
      <c r="L129" s="33">
        <f>'1.DATA KIA'!J125</f>
        <v>0</v>
      </c>
      <c r="M129" s="36">
        <f t="shared" si="127"/>
        <v>0</v>
      </c>
      <c r="N129" s="37" t="e">
        <f t="shared" si="128"/>
        <v>#DIV/0!</v>
      </c>
      <c r="O129" s="40"/>
      <c r="P129" s="36">
        <f t="shared" si="114"/>
        <v>0</v>
      </c>
      <c r="Q129" s="36">
        <f>'1.DATA KIA'!M125</f>
        <v>0</v>
      </c>
      <c r="R129" s="36">
        <f t="shared" si="129"/>
        <v>0</v>
      </c>
      <c r="S129" s="37" t="e">
        <f t="shared" si="130"/>
        <v>#DIV/0!</v>
      </c>
      <c r="T129" s="40"/>
      <c r="U129" s="33">
        <f t="shared" si="115"/>
        <v>0</v>
      </c>
      <c r="V129" s="36">
        <f>'1.DATA KIA'!Y125</f>
        <v>0</v>
      </c>
      <c r="W129" s="33">
        <f t="shared" si="131"/>
        <v>0</v>
      </c>
      <c r="X129" s="37" t="e">
        <f t="shared" si="116"/>
        <v>#DIV/0!</v>
      </c>
      <c r="Y129" s="40"/>
      <c r="Z129" s="33">
        <f t="shared" si="117"/>
        <v>0</v>
      </c>
      <c r="AA129" s="36">
        <f>'1.DATA KIA'!Z125</f>
        <v>0</v>
      </c>
      <c r="AB129" s="33">
        <f t="shared" si="132"/>
        <v>0</v>
      </c>
      <c r="AC129" s="37" t="e">
        <f t="shared" si="118"/>
        <v>#DIV/0!</v>
      </c>
      <c r="AD129" s="40"/>
      <c r="AE129" s="33">
        <f t="shared" si="119"/>
        <v>0</v>
      </c>
      <c r="AF129" s="41">
        <f>'8.ANCTEPADU'!D129+'8.ANCTEPADU'!E129</f>
        <v>0</v>
      </c>
      <c r="AG129" s="33">
        <f t="shared" si="133"/>
        <v>0</v>
      </c>
      <c r="AH129" s="37" t="e">
        <f t="shared" si="120"/>
        <v>#DIV/0!</v>
      </c>
      <c r="AI129" s="33">
        <f t="shared" si="121"/>
        <v>0</v>
      </c>
      <c r="AJ129" s="41">
        <f>'8.ANCTEPADU'!J129</f>
        <v>0</v>
      </c>
      <c r="AK129" s="33">
        <f t="shared" si="134"/>
        <v>0</v>
      </c>
      <c r="AL129" s="37" t="e">
        <f t="shared" si="122"/>
        <v>#DIV/0!</v>
      </c>
      <c r="AM129" s="36">
        <f t="shared" si="123"/>
        <v>0</v>
      </c>
      <c r="AN129" s="36">
        <f>'1.DATA KIA'!AG125</f>
        <v>0</v>
      </c>
      <c r="AO129" s="33">
        <f t="shared" si="141"/>
        <v>0</v>
      </c>
      <c r="AP129" s="37" t="e">
        <f t="shared" si="136"/>
        <v>#DIV/0!</v>
      </c>
      <c r="AQ129" s="40"/>
      <c r="AR129" s="42">
        <f t="shared" si="124"/>
        <v>0</v>
      </c>
      <c r="AS129" s="36">
        <f>'1.DATA KIA'!AB125</f>
        <v>0</v>
      </c>
      <c r="AT129" s="33">
        <f t="shared" si="142"/>
        <v>0</v>
      </c>
      <c r="AU129" s="37" t="e">
        <f t="shared" si="138"/>
        <v>#DIV/0!</v>
      </c>
      <c r="AV129" s="40"/>
      <c r="AW129" s="36">
        <f t="shared" si="125"/>
        <v>0</v>
      </c>
      <c r="AX129" s="33">
        <f>'1.DATA KIA'!AF125</f>
        <v>0</v>
      </c>
      <c r="AY129" s="36">
        <f t="shared" si="139"/>
        <v>0</v>
      </c>
      <c r="AZ129" s="37" t="e">
        <f t="shared" si="140"/>
        <v>#DIV/0!</v>
      </c>
      <c r="BA129" s="38"/>
    </row>
    <row r="130" spans="1:53" ht="30" customHeight="1" x14ac:dyDescent="0.35">
      <c r="A130" s="33">
        <v>16</v>
      </c>
      <c r="B130" s="34">
        <f>PETUNJUK!B24</f>
        <v>0</v>
      </c>
      <c r="C130" s="35">
        <f>'1.DATA KIA'!C126</f>
        <v>0</v>
      </c>
      <c r="D130" s="35">
        <f>'1.DATA KIA'!D126</f>
        <v>0</v>
      </c>
      <c r="E130" s="35">
        <f t="shared" si="110"/>
        <v>0</v>
      </c>
      <c r="F130" s="36">
        <f t="shared" si="111"/>
        <v>0</v>
      </c>
      <c r="G130" s="36">
        <f>'1.DATA KIA'!F126</f>
        <v>0</v>
      </c>
      <c r="H130" s="36">
        <f t="shared" si="126"/>
        <v>0</v>
      </c>
      <c r="I130" s="37" t="e">
        <f t="shared" si="112"/>
        <v>#DIV/0!</v>
      </c>
      <c r="J130" s="40"/>
      <c r="K130" s="36">
        <f t="shared" si="113"/>
        <v>0</v>
      </c>
      <c r="L130" s="33">
        <f>'1.DATA KIA'!J126</f>
        <v>0</v>
      </c>
      <c r="M130" s="36">
        <f t="shared" si="127"/>
        <v>0</v>
      </c>
      <c r="N130" s="37" t="e">
        <f t="shared" si="128"/>
        <v>#DIV/0!</v>
      </c>
      <c r="O130" s="40"/>
      <c r="P130" s="36">
        <f t="shared" si="114"/>
        <v>0</v>
      </c>
      <c r="Q130" s="36">
        <f>'1.DATA KIA'!M126</f>
        <v>0</v>
      </c>
      <c r="R130" s="36">
        <f t="shared" si="129"/>
        <v>0</v>
      </c>
      <c r="S130" s="37" t="e">
        <f t="shared" si="130"/>
        <v>#DIV/0!</v>
      </c>
      <c r="T130" s="40"/>
      <c r="U130" s="33">
        <f t="shared" si="115"/>
        <v>0</v>
      </c>
      <c r="V130" s="36">
        <f>'1.DATA KIA'!Y126</f>
        <v>0</v>
      </c>
      <c r="W130" s="33">
        <f t="shared" si="131"/>
        <v>0</v>
      </c>
      <c r="X130" s="37" t="e">
        <f t="shared" si="116"/>
        <v>#DIV/0!</v>
      </c>
      <c r="Y130" s="40"/>
      <c r="Z130" s="33">
        <f t="shared" si="117"/>
        <v>0</v>
      </c>
      <c r="AA130" s="36">
        <f>'1.DATA KIA'!Z126</f>
        <v>0</v>
      </c>
      <c r="AB130" s="33">
        <f t="shared" si="132"/>
        <v>0</v>
      </c>
      <c r="AC130" s="37" t="e">
        <f t="shared" si="118"/>
        <v>#DIV/0!</v>
      </c>
      <c r="AD130" s="40"/>
      <c r="AE130" s="33">
        <f t="shared" si="119"/>
        <v>0</v>
      </c>
      <c r="AF130" s="41">
        <f>'8.ANCTEPADU'!D130+'8.ANCTEPADU'!E130</f>
        <v>0</v>
      </c>
      <c r="AG130" s="33">
        <f t="shared" si="133"/>
        <v>0</v>
      </c>
      <c r="AH130" s="37" t="e">
        <f t="shared" si="120"/>
        <v>#DIV/0!</v>
      </c>
      <c r="AI130" s="33">
        <f t="shared" si="121"/>
        <v>0</v>
      </c>
      <c r="AJ130" s="41">
        <f>'8.ANCTEPADU'!J130</f>
        <v>0</v>
      </c>
      <c r="AK130" s="33">
        <f t="shared" si="134"/>
        <v>0</v>
      </c>
      <c r="AL130" s="37" t="e">
        <f t="shared" si="122"/>
        <v>#DIV/0!</v>
      </c>
      <c r="AM130" s="36">
        <f t="shared" si="123"/>
        <v>0</v>
      </c>
      <c r="AN130" s="36">
        <f>'1.DATA KIA'!AG126</f>
        <v>0</v>
      </c>
      <c r="AO130" s="33">
        <f t="shared" si="141"/>
        <v>0</v>
      </c>
      <c r="AP130" s="37" t="e">
        <f t="shared" si="136"/>
        <v>#DIV/0!</v>
      </c>
      <c r="AQ130" s="40"/>
      <c r="AR130" s="42">
        <f t="shared" si="124"/>
        <v>0</v>
      </c>
      <c r="AS130" s="36">
        <f>'1.DATA KIA'!AB126</f>
        <v>0</v>
      </c>
      <c r="AT130" s="33">
        <f t="shared" si="142"/>
        <v>0</v>
      </c>
      <c r="AU130" s="37" t="e">
        <f t="shared" si="138"/>
        <v>#DIV/0!</v>
      </c>
      <c r="AV130" s="40"/>
      <c r="AW130" s="36">
        <f t="shared" si="125"/>
        <v>0</v>
      </c>
      <c r="AX130" s="33">
        <f>'1.DATA KIA'!AF126</f>
        <v>0</v>
      </c>
      <c r="AY130" s="36">
        <f t="shared" si="139"/>
        <v>0</v>
      </c>
      <c r="AZ130" s="37" t="e">
        <f t="shared" si="140"/>
        <v>#DIV/0!</v>
      </c>
      <c r="BA130" s="38"/>
    </row>
    <row r="131" spans="1:53" ht="30" customHeight="1" x14ac:dyDescent="0.35">
      <c r="A131" s="33">
        <v>17</v>
      </c>
      <c r="B131" s="34">
        <f>PETUNJUK!B25</f>
        <v>0</v>
      </c>
      <c r="C131" s="35">
        <f>'1.DATA KIA'!C127</f>
        <v>0</v>
      </c>
      <c r="D131" s="35">
        <f>'1.DATA KIA'!D127</f>
        <v>0</v>
      </c>
      <c r="E131" s="35">
        <f t="shared" si="110"/>
        <v>0</v>
      </c>
      <c r="F131" s="36">
        <f t="shared" si="111"/>
        <v>0</v>
      </c>
      <c r="G131" s="36">
        <f>'1.DATA KIA'!F127</f>
        <v>0</v>
      </c>
      <c r="H131" s="36">
        <f t="shared" si="126"/>
        <v>0</v>
      </c>
      <c r="I131" s="37" t="e">
        <f t="shared" si="112"/>
        <v>#DIV/0!</v>
      </c>
      <c r="J131" s="40"/>
      <c r="K131" s="36">
        <f t="shared" si="113"/>
        <v>0</v>
      </c>
      <c r="L131" s="33">
        <f>'1.DATA KIA'!J127</f>
        <v>0</v>
      </c>
      <c r="M131" s="36">
        <f t="shared" si="127"/>
        <v>0</v>
      </c>
      <c r="N131" s="37" t="e">
        <f t="shared" si="128"/>
        <v>#DIV/0!</v>
      </c>
      <c r="O131" s="40"/>
      <c r="P131" s="36">
        <f t="shared" si="114"/>
        <v>0</v>
      </c>
      <c r="Q131" s="36">
        <f>'1.DATA KIA'!M127</f>
        <v>0</v>
      </c>
      <c r="R131" s="36">
        <f t="shared" si="129"/>
        <v>0</v>
      </c>
      <c r="S131" s="37" t="e">
        <f t="shared" si="130"/>
        <v>#DIV/0!</v>
      </c>
      <c r="T131" s="40"/>
      <c r="U131" s="33">
        <f t="shared" si="115"/>
        <v>0</v>
      </c>
      <c r="V131" s="36">
        <f>'1.DATA KIA'!Y127</f>
        <v>0</v>
      </c>
      <c r="W131" s="33">
        <f t="shared" si="131"/>
        <v>0</v>
      </c>
      <c r="X131" s="37" t="e">
        <f t="shared" si="116"/>
        <v>#DIV/0!</v>
      </c>
      <c r="Y131" s="40"/>
      <c r="Z131" s="33">
        <f t="shared" si="117"/>
        <v>0</v>
      </c>
      <c r="AA131" s="36">
        <f>'1.DATA KIA'!Z127</f>
        <v>0</v>
      </c>
      <c r="AB131" s="33">
        <f t="shared" si="132"/>
        <v>0</v>
      </c>
      <c r="AC131" s="37" t="e">
        <f t="shared" si="118"/>
        <v>#DIV/0!</v>
      </c>
      <c r="AD131" s="40"/>
      <c r="AE131" s="33">
        <f t="shared" si="119"/>
        <v>0</v>
      </c>
      <c r="AF131" s="41">
        <f>'8.ANCTEPADU'!D131+'8.ANCTEPADU'!E131</f>
        <v>0</v>
      </c>
      <c r="AG131" s="33">
        <f t="shared" si="133"/>
        <v>0</v>
      </c>
      <c r="AH131" s="37" t="e">
        <f t="shared" si="120"/>
        <v>#DIV/0!</v>
      </c>
      <c r="AI131" s="33">
        <f t="shared" si="121"/>
        <v>0</v>
      </c>
      <c r="AJ131" s="41">
        <f>'8.ANCTEPADU'!J131</f>
        <v>0</v>
      </c>
      <c r="AK131" s="33">
        <f t="shared" si="134"/>
        <v>0</v>
      </c>
      <c r="AL131" s="37" t="e">
        <f t="shared" si="122"/>
        <v>#DIV/0!</v>
      </c>
      <c r="AM131" s="36">
        <f t="shared" si="123"/>
        <v>0</v>
      </c>
      <c r="AN131" s="36">
        <f>'1.DATA KIA'!AG127</f>
        <v>0</v>
      </c>
      <c r="AO131" s="33">
        <f t="shared" si="141"/>
        <v>0</v>
      </c>
      <c r="AP131" s="37" t="e">
        <f t="shared" si="136"/>
        <v>#DIV/0!</v>
      </c>
      <c r="AQ131" s="40"/>
      <c r="AR131" s="42">
        <f t="shared" si="124"/>
        <v>0</v>
      </c>
      <c r="AS131" s="36">
        <f>'1.DATA KIA'!AB127</f>
        <v>0</v>
      </c>
      <c r="AT131" s="33">
        <f t="shared" si="142"/>
        <v>0</v>
      </c>
      <c r="AU131" s="37" t="e">
        <f t="shared" si="138"/>
        <v>#DIV/0!</v>
      </c>
      <c r="AV131" s="40"/>
      <c r="AW131" s="36">
        <f t="shared" si="125"/>
        <v>0</v>
      </c>
      <c r="AX131" s="33">
        <f>'1.DATA KIA'!AF127</f>
        <v>0</v>
      </c>
      <c r="AY131" s="36">
        <f t="shared" si="139"/>
        <v>0</v>
      </c>
      <c r="AZ131" s="37" t="e">
        <f t="shared" si="140"/>
        <v>#DIV/0!</v>
      </c>
      <c r="BA131" s="38"/>
    </row>
    <row r="132" spans="1:53" ht="30" customHeight="1" x14ac:dyDescent="0.35">
      <c r="A132" s="33">
        <v>18</v>
      </c>
      <c r="B132" s="34">
        <f>PETUNJUK!B26</f>
        <v>0</v>
      </c>
      <c r="C132" s="35">
        <f>'1.DATA KIA'!C128</f>
        <v>0</v>
      </c>
      <c r="D132" s="35">
        <f>'1.DATA KIA'!D128</f>
        <v>0</v>
      </c>
      <c r="E132" s="35">
        <f t="shared" si="110"/>
        <v>0</v>
      </c>
      <c r="F132" s="36">
        <f t="shared" si="111"/>
        <v>0</v>
      </c>
      <c r="G132" s="36">
        <f>'1.DATA KIA'!F128</f>
        <v>0</v>
      </c>
      <c r="H132" s="36">
        <f t="shared" si="126"/>
        <v>0</v>
      </c>
      <c r="I132" s="37" t="e">
        <f t="shared" si="112"/>
        <v>#DIV/0!</v>
      </c>
      <c r="J132" s="40"/>
      <c r="K132" s="36">
        <f t="shared" si="113"/>
        <v>0</v>
      </c>
      <c r="L132" s="33">
        <f>'1.DATA KIA'!J128</f>
        <v>0</v>
      </c>
      <c r="M132" s="36">
        <f t="shared" si="127"/>
        <v>0</v>
      </c>
      <c r="N132" s="37" t="e">
        <f t="shared" si="128"/>
        <v>#DIV/0!</v>
      </c>
      <c r="O132" s="40"/>
      <c r="P132" s="36">
        <f t="shared" si="114"/>
        <v>0</v>
      </c>
      <c r="Q132" s="36">
        <f>'1.DATA KIA'!M128</f>
        <v>0</v>
      </c>
      <c r="R132" s="36">
        <f t="shared" si="129"/>
        <v>0</v>
      </c>
      <c r="S132" s="37" t="e">
        <f t="shared" si="130"/>
        <v>#DIV/0!</v>
      </c>
      <c r="T132" s="40"/>
      <c r="U132" s="33">
        <f t="shared" si="115"/>
        <v>0</v>
      </c>
      <c r="V132" s="36">
        <f>'1.DATA KIA'!Y128</f>
        <v>0</v>
      </c>
      <c r="W132" s="33">
        <f t="shared" si="131"/>
        <v>0</v>
      </c>
      <c r="X132" s="37" t="e">
        <f t="shared" si="116"/>
        <v>#DIV/0!</v>
      </c>
      <c r="Y132" s="40"/>
      <c r="Z132" s="33">
        <f t="shared" si="117"/>
        <v>0</v>
      </c>
      <c r="AA132" s="36">
        <f>'1.DATA KIA'!Z128</f>
        <v>0</v>
      </c>
      <c r="AB132" s="33">
        <f t="shared" si="132"/>
        <v>0</v>
      </c>
      <c r="AC132" s="37" t="e">
        <f t="shared" si="118"/>
        <v>#DIV/0!</v>
      </c>
      <c r="AD132" s="40"/>
      <c r="AE132" s="33">
        <f t="shared" si="119"/>
        <v>0</v>
      </c>
      <c r="AF132" s="41">
        <f>'8.ANCTEPADU'!D132+'8.ANCTEPADU'!E132</f>
        <v>0</v>
      </c>
      <c r="AG132" s="33">
        <f t="shared" si="133"/>
        <v>0</v>
      </c>
      <c r="AH132" s="37" t="e">
        <f t="shared" si="120"/>
        <v>#DIV/0!</v>
      </c>
      <c r="AI132" s="33">
        <f t="shared" si="121"/>
        <v>0</v>
      </c>
      <c r="AJ132" s="41">
        <f>'8.ANCTEPADU'!J132</f>
        <v>0</v>
      </c>
      <c r="AK132" s="33">
        <f t="shared" si="134"/>
        <v>0</v>
      </c>
      <c r="AL132" s="37" t="e">
        <f t="shared" si="122"/>
        <v>#DIV/0!</v>
      </c>
      <c r="AM132" s="36">
        <f t="shared" si="123"/>
        <v>0</v>
      </c>
      <c r="AN132" s="36">
        <f>'1.DATA KIA'!AG128</f>
        <v>0</v>
      </c>
      <c r="AO132" s="33">
        <f t="shared" si="141"/>
        <v>0</v>
      </c>
      <c r="AP132" s="37" t="e">
        <f t="shared" si="136"/>
        <v>#DIV/0!</v>
      </c>
      <c r="AQ132" s="40"/>
      <c r="AR132" s="42">
        <f t="shared" si="124"/>
        <v>0</v>
      </c>
      <c r="AS132" s="36">
        <f>'1.DATA KIA'!AB128</f>
        <v>0</v>
      </c>
      <c r="AT132" s="33">
        <f t="shared" si="142"/>
        <v>0</v>
      </c>
      <c r="AU132" s="37" t="e">
        <f t="shared" si="138"/>
        <v>#DIV/0!</v>
      </c>
      <c r="AV132" s="40"/>
      <c r="AW132" s="36">
        <f t="shared" si="125"/>
        <v>0</v>
      </c>
      <c r="AX132" s="33">
        <f>'1.DATA KIA'!AF128</f>
        <v>0</v>
      </c>
      <c r="AY132" s="36">
        <f t="shared" si="139"/>
        <v>0</v>
      </c>
      <c r="AZ132" s="37" t="e">
        <f t="shared" si="140"/>
        <v>#DIV/0!</v>
      </c>
      <c r="BA132" s="38"/>
    </row>
    <row r="133" spans="1:53" ht="30" customHeight="1" x14ac:dyDescent="0.35">
      <c r="A133" s="33">
        <v>19</v>
      </c>
      <c r="B133" s="34">
        <f>PETUNJUK!B27</f>
        <v>0</v>
      </c>
      <c r="C133" s="35">
        <f>'1.DATA KIA'!C129</f>
        <v>0</v>
      </c>
      <c r="D133" s="35">
        <f>'1.DATA KIA'!D129</f>
        <v>0</v>
      </c>
      <c r="E133" s="35">
        <f>E97</f>
        <v>0</v>
      </c>
      <c r="F133" s="36">
        <f>H97</f>
        <v>0</v>
      </c>
      <c r="G133" s="36">
        <f>'1.DATA KIA'!F129</f>
        <v>0</v>
      </c>
      <c r="H133" s="36">
        <f>F133+G133</f>
        <v>0</v>
      </c>
      <c r="I133" s="37" t="e">
        <f>H133/C133*100</f>
        <v>#DIV/0!</v>
      </c>
      <c r="J133" s="40"/>
      <c r="K133" s="36">
        <f>M97</f>
        <v>0</v>
      </c>
      <c r="L133" s="33">
        <f>'1.DATA KIA'!J129</f>
        <v>0</v>
      </c>
      <c r="M133" s="36">
        <f>K133+L133</f>
        <v>0</v>
      </c>
      <c r="N133" s="37" t="e">
        <f t="shared" si="128"/>
        <v>#DIV/0!</v>
      </c>
      <c r="O133" s="40"/>
      <c r="P133" s="36">
        <f>R97</f>
        <v>0</v>
      </c>
      <c r="Q133" s="36">
        <f>'1.DATA KIA'!M129</f>
        <v>0</v>
      </c>
      <c r="R133" s="36">
        <f>P133+Q133</f>
        <v>0</v>
      </c>
      <c r="S133" s="37" t="e">
        <f t="shared" si="130"/>
        <v>#DIV/0!</v>
      </c>
      <c r="T133" s="40"/>
      <c r="U133" s="33">
        <f>W97</f>
        <v>0</v>
      </c>
      <c r="V133" s="36">
        <f>'1.DATA KIA'!Y129</f>
        <v>0</v>
      </c>
      <c r="W133" s="33">
        <f>U133+V133</f>
        <v>0</v>
      </c>
      <c r="X133" s="37" t="e">
        <f>W133/(20%*C133)*100</f>
        <v>#DIV/0!</v>
      </c>
      <c r="Y133" s="40"/>
      <c r="Z133" s="33">
        <f>AB97</f>
        <v>0</v>
      </c>
      <c r="AA133" s="36">
        <f>'1.DATA KIA'!Z129</f>
        <v>0</v>
      </c>
      <c r="AB133" s="33">
        <f>Z133+AA133</f>
        <v>0</v>
      </c>
      <c r="AC133" s="37" t="e">
        <f>AB133/(20%*C133)*100</f>
        <v>#DIV/0!</v>
      </c>
      <c r="AD133" s="40"/>
      <c r="AE133" s="33">
        <f>AG97</f>
        <v>0</v>
      </c>
      <c r="AF133" s="41">
        <f>'8.ANCTEPADU'!D133+'8.ANCTEPADU'!E133</f>
        <v>0</v>
      </c>
      <c r="AG133" s="33">
        <f>AE133+AF133</f>
        <v>0</v>
      </c>
      <c r="AH133" s="37" t="e">
        <f>AG133/C133*100</f>
        <v>#DIV/0!</v>
      </c>
      <c r="AI133" s="33">
        <f>AK97</f>
        <v>0</v>
      </c>
      <c r="AJ133" s="41">
        <f>'8.ANCTEPADU'!J133</f>
        <v>0</v>
      </c>
      <c r="AK133" s="33">
        <f t="shared" si="134"/>
        <v>0</v>
      </c>
      <c r="AL133" s="37" t="e">
        <f t="shared" si="122"/>
        <v>#DIV/0!</v>
      </c>
      <c r="AM133" s="36">
        <f>AO97</f>
        <v>0</v>
      </c>
      <c r="AN133" s="36">
        <f>'1.DATA KIA'!AG129</f>
        <v>0</v>
      </c>
      <c r="AO133" s="33">
        <f>AN133+AM133</f>
        <v>0</v>
      </c>
      <c r="AP133" s="37" t="e">
        <f>AO133/E133*100</f>
        <v>#DIV/0!</v>
      </c>
      <c r="AQ133" s="40"/>
      <c r="AR133" s="42">
        <f>AT97</f>
        <v>0</v>
      </c>
      <c r="AS133" s="36">
        <f>'1.DATA KIA'!AB129</f>
        <v>0</v>
      </c>
      <c r="AT133" s="33">
        <f>AS133+AR133</f>
        <v>0</v>
      </c>
      <c r="AU133" s="37" t="e">
        <f>AT133/D133*100</f>
        <v>#DIV/0!</v>
      </c>
      <c r="AV133" s="40"/>
      <c r="AW133" s="36">
        <f>AY97</f>
        <v>0</v>
      </c>
      <c r="AX133" s="33">
        <f>'1.DATA KIA'!AF129</f>
        <v>0</v>
      </c>
      <c r="AY133" s="36">
        <f>AW133+AX133</f>
        <v>0</v>
      </c>
      <c r="AZ133" s="37" t="e">
        <f>AY133/(20%*C133)*100</f>
        <v>#DIV/0!</v>
      </c>
      <c r="BA133" s="38"/>
    </row>
    <row r="134" spans="1:53" ht="30" customHeight="1" x14ac:dyDescent="0.35">
      <c r="A134" s="33">
        <v>20</v>
      </c>
      <c r="B134" s="34">
        <f>PETUNJUK!B28</f>
        <v>0</v>
      </c>
      <c r="C134" s="35">
        <f>'1.DATA KIA'!C130</f>
        <v>0</v>
      </c>
      <c r="D134" s="35">
        <f>'1.DATA KIA'!D130</f>
        <v>0</v>
      </c>
      <c r="E134" s="35">
        <f>E98</f>
        <v>0</v>
      </c>
      <c r="F134" s="36">
        <f>H98</f>
        <v>0</v>
      </c>
      <c r="G134" s="36">
        <f>'1.DATA KIA'!F130</f>
        <v>0</v>
      </c>
      <c r="H134" s="36">
        <f>F134+G134</f>
        <v>0</v>
      </c>
      <c r="I134" s="37" t="e">
        <f>H134/C134*100</f>
        <v>#DIV/0!</v>
      </c>
      <c r="J134" s="40"/>
      <c r="K134" s="36">
        <f>M98</f>
        <v>0</v>
      </c>
      <c r="L134" s="33">
        <f>'1.DATA KIA'!J130</f>
        <v>0</v>
      </c>
      <c r="M134" s="36">
        <f>K134+L134</f>
        <v>0</v>
      </c>
      <c r="N134" s="37" t="e">
        <f t="shared" si="128"/>
        <v>#DIV/0!</v>
      </c>
      <c r="O134" s="40"/>
      <c r="P134" s="36">
        <f>R98</f>
        <v>0</v>
      </c>
      <c r="Q134" s="36">
        <f>'1.DATA KIA'!M130</f>
        <v>0</v>
      </c>
      <c r="R134" s="36">
        <f>P134+Q134</f>
        <v>0</v>
      </c>
      <c r="S134" s="37" t="e">
        <f t="shared" si="130"/>
        <v>#DIV/0!</v>
      </c>
      <c r="T134" s="40"/>
      <c r="U134" s="33">
        <f>W98</f>
        <v>0</v>
      </c>
      <c r="V134" s="36">
        <f>'1.DATA KIA'!Y130</f>
        <v>0</v>
      </c>
      <c r="W134" s="33">
        <f>U134+V134</f>
        <v>0</v>
      </c>
      <c r="X134" s="37" t="e">
        <f>W134/(20%*C134)*100</f>
        <v>#DIV/0!</v>
      </c>
      <c r="Y134" s="40"/>
      <c r="Z134" s="33">
        <f>AB98</f>
        <v>0</v>
      </c>
      <c r="AA134" s="36">
        <f>'1.DATA KIA'!Z130</f>
        <v>0</v>
      </c>
      <c r="AB134" s="33">
        <f>Z134+AA134</f>
        <v>0</v>
      </c>
      <c r="AC134" s="37" t="e">
        <f>AB134/(20%*C134)*100</f>
        <v>#DIV/0!</v>
      </c>
      <c r="AD134" s="40"/>
      <c r="AE134" s="33">
        <f>AG98</f>
        <v>0</v>
      </c>
      <c r="AF134" s="41">
        <f>'8.ANCTEPADU'!D134+'8.ANCTEPADU'!E134</f>
        <v>0</v>
      </c>
      <c r="AG134" s="33">
        <f>AE134+AF134</f>
        <v>0</v>
      </c>
      <c r="AH134" s="37" t="e">
        <f>AG134/C134*100</f>
        <v>#DIV/0!</v>
      </c>
      <c r="AI134" s="33">
        <f>AK98</f>
        <v>0</v>
      </c>
      <c r="AJ134" s="41">
        <f>'8.ANCTEPADU'!J134</f>
        <v>0</v>
      </c>
      <c r="AK134" s="33">
        <f t="shared" si="134"/>
        <v>0</v>
      </c>
      <c r="AL134" s="37" t="e">
        <f t="shared" si="122"/>
        <v>#DIV/0!</v>
      </c>
      <c r="AM134" s="36">
        <f>AO98</f>
        <v>0</v>
      </c>
      <c r="AN134" s="36">
        <f>'1.DATA KIA'!AG130</f>
        <v>0</v>
      </c>
      <c r="AO134" s="33">
        <f>AN134+AM134</f>
        <v>0</v>
      </c>
      <c r="AP134" s="37" t="e">
        <f>AO134/E134*100</f>
        <v>#DIV/0!</v>
      </c>
      <c r="AQ134" s="40"/>
      <c r="AR134" s="42">
        <f>AT98</f>
        <v>0</v>
      </c>
      <c r="AS134" s="36">
        <f>'1.DATA KIA'!AB130</f>
        <v>0</v>
      </c>
      <c r="AT134" s="33">
        <f>AS134+AR134</f>
        <v>0</v>
      </c>
      <c r="AU134" s="37" t="e">
        <f>AT134/D134*100</f>
        <v>#DIV/0!</v>
      </c>
      <c r="AV134" s="40"/>
      <c r="AW134" s="36">
        <f>AY98</f>
        <v>0</v>
      </c>
      <c r="AX134" s="33">
        <f>'1.DATA KIA'!AF130</f>
        <v>0</v>
      </c>
      <c r="AY134" s="36">
        <f>AW134+AX134</f>
        <v>0</v>
      </c>
      <c r="AZ134" s="37" t="e">
        <f>AY134/(20%*C134)*100</f>
        <v>#DIV/0!</v>
      </c>
      <c r="BA134" s="38"/>
    </row>
    <row r="135" spans="1:53" ht="30" customHeight="1" x14ac:dyDescent="0.35">
      <c r="A135" s="33">
        <v>21</v>
      </c>
      <c r="B135" s="34">
        <f>PETUNJUK!B29</f>
        <v>0</v>
      </c>
      <c r="C135" s="35">
        <f>'1.DATA KIA'!C131</f>
        <v>0</v>
      </c>
      <c r="D135" s="35">
        <f>'1.DATA KIA'!D131</f>
        <v>0</v>
      </c>
      <c r="E135" s="35">
        <f>E99</f>
        <v>0</v>
      </c>
      <c r="F135" s="36">
        <f>H99</f>
        <v>0</v>
      </c>
      <c r="G135" s="36">
        <f>'1.DATA KIA'!F131</f>
        <v>0</v>
      </c>
      <c r="H135" s="36">
        <f>F135+G135</f>
        <v>0</v>
      </c>
      <c r="I135" s="37" t="e">
        <f>H135/C135*100</f>
        <v>#DIV/0!</v>
      </c>
      <c r="J135" s="40"/>
      <c r="K135" s="36">
        <f>M99</f>
        <v>0</v>
      </c>
      <c r="L135" s="33">
        <f>'1.DATA KIA'!J131</f>
        <v>0</v>
      </c>
      <c r="M135" s="36">
        <f>K135+L135</f>
        <v>0</v>
      </c>
      <c r="N135" s="37" t="e">
        <f t="shared" si="128"/>
        <v>#DIV/0!</v>
      </c>
      <c r="O135" s="40"/>
      <c r="P135" s="36">
        <f>R99</f>
        <v>0</v>
      </c>
      <c r="Q135" s="36">
        <f>'1.DATA KIA'!M131</f>
        <v>0</v>
      </c>
      <c r="R135" s="36">
        <f>P135+Q135</f>
        <v>0</v>
      </c>
      <c r="S135" s="37" t="e">
        <f t="shared" si="130"/>
        <v>#DIV/0!</v>
      </c>
      <c r="T135" s="40"/>
      <c r="U135" s="33">
        <f>W99</f>
        <v>0</v>
      </c>
      <c r="V135" s="36">
        <f>'1.DATA KIA'!Y131</f>
        <v>0</v>
      </c>
      <c r="W135" s="33">
        <f>U135+V135</f>
        <v>0</v>
      </c>
      <c r="X135" s="37" t="e">
        <f>W135/(20%*C135)*100</f>
        <v>#DIV/0!</v>
      </c>
      <c r="Y135" s="40"/>
      <c r="Z135" s="33">
        <f>AB99</f>
        <v>0</v>
      </c>
      <c r="AA135" s="36">
        <f>'1.DATA KIA'!Z131</f>
        <v>0</v>
      </c>
      <c r="AB135" s="33">
        <f>Z135+AA135</f>
        <v>0</v>
      </c>
      <c r="AC135" s="37" t="e">
        <f>AB135/(20%*C135)*100</f>
        <v>#DIV/0!</v>
      </c>
      <c r="AD135" s="40"/>
      <c r="AE135" s="33">
        <f>AG99</f>
        <v>0</v>
      </c>
      <c r="AF135" s="41">
        <f>'8.ANCTEPADU'!D135+'8.ANCTEPADU'!E135</f>
        <v>0</v>
      </c>
      <c r="AG135" s="33">
        <f>AE135+AF135</f>
        <v>0</v>
      </c>
      <c r="AH135" s="37" t="e">
        <f>AG135/C135*100</f>
        <v>#DIV/0!</v>
      </c>
      <c r="AI135" s="33">
        <f>AK99</f>
        <v>0</v>
      </c>
      <c r="AJ135" s="41">
        <f>'8.ANCTEPADU'!J135</f>
        <v>0</v>
      </c>
      <c r="AK135" s="33">
        <f t="shared" si="134"/>
        <v>0</v>
      </c>
      <c r="AL135" s="37" t="e">
        <f t="shared" si="122"/>
        <v>#DIV/0!</v>
      </c>
      <c r="AM135" s="36">
        <f>AO99</f>
        <v>0</v>
      </c>
      <c r="AN135" s="36">
        <f>'1.DATA KIA'!AG131</f>
        <v>0</v>
      </c>
      <c r="AO135" s="33">
        <f>AN135+AM135</f>
        <v>0</v>
      </c>
      <c r="AP135" s="37" t="e">
        <f>AO135/E135*100</f>
        <v>#DIV/0!</v>
      </c>
      <c r="AQ135" s="40"/>
      <c r="AR135" s="42">
        <f>AT99</f>
        <v>0</v>
      </c>
      <c r="AS135" s="36">
        <f>'1.DATA KIA'!AB131</f>
        <v>0</v>
      </c>
      <c r="AT135" s="33">
        <f>AS135+AR135</f>
        <v>0</v>
      </c>
      <c r="AU135" s="37" t="e">
        <f>AT135/D135*100</f>
        <v>#DIV/0!</v>
      </c>
      <c r="AV135" s="40"/>
      <c r="AW135" s="36">
        <f>AY99</f>
        <v>0</v>
      </c>
      <c r="AX135" s="33">
        <f>'1.DATA KIA'!AF131</f>
        <v>0</v>
      </c>
      <c r="AY135" s="36">
        <f>AW135+AX135</f>
        <v>0</v>
      </c>
      <c r="AZ135" s="37" t="e">
        <f>AY135/(20%*C135)*100</f>
        <v>#DIV/0!</v>
      </c>
      <c r="BA135" s="38"/>
    </row>
    <row r="136" spans="1:53" ht="30" customHeight="1" thickBot="1" x14ac:dyDescent="0.4">
      <c r="A136" s="46">
        <v>22</v>
      </c>
      <c r="B136" s="47">
        <f>PETUNJUK!B30</f>
        <v>0</v>
      </c>
      <c r="C136" s="48">
        <f>'1.DATA KIA'!C132</f>
        <v>0</v>
      </c>
      <c r="D136" s="48">
        <f>'1.DATA KIA'!D132</f>
        <v>0</v>
      </c>
      <c r="E136" s="48">
        <f>E100</f>
        <v>0</v>
      </c>
      <c r="F136" s="49">
        <f>H100</f>
        <v>0</v>
      </c>
      <c r="G136" s="49">
        <f>'1.DATA KIA'!F132</f>
        <v>0</v>
      </c>
      <c r="H136" s="49">
        <f>F136+G136</f>
        <v>0</v>
      </c>
      <c r="I136" s="50" t="e">
        <f>H136/C136*100</f>
        <v>#DIV/0!</v>
      </c>
      <c r="J136" s="53"/>
      <c r="K136" s="49">
        <f>M100</f>
        <v>0</v>
      </c>
      <c r="L136" s="46">
        <f>'1.DATA KIA'!J132</f>
        <v>0</v>
      </c>
      <c r="M136" s="49">
        <f>K136+L136</f>
        <v>0</v>
      </c>
      <c r="N136" s="37" t="e">
        <f t="shared" si="128"/>
        <v>#DIV/0!</v>
      </c>
      <c r="O136" s="53"/>
      <c r="P136" s="49">
        <f>R100</f>
        <v>0</v>
      </c>
      <c r="Q136" s="36">
        <f>'1.DATA KIA'!M132</f>
        <v>0</v>
      </c>
      <c r="R136" s="49">
        <f>P136+Q136</f>
        <v>0</v>
      </c>
      <c r="S136" s="37" t="e">
        <f t="shared" si="130"/>
        <v>#DIV/0!</v>
      </c>
      <c r="T136" s="53"/>
      <c r="U136" s="46">
        <f>W100</f>
        <v>0</v>
      </c>
      <c r="V136" s="49">
        <f>'1.DATA KIA'!Y132</f>
        <v>0</v>
      </c>
      <c r="W136" s="46">
        <f>U136+V136</f>
        <v>0</v>
      </c>
      <c r="X136" s="50" t="e">
        <f>W136/(20%*C136)*100</f>
        <v>#DIV/0!</v>
      </c>
      <c r="Y136" s="53"/>
      <c r="Z136" s="46">
        <f>AB100</f>
        <v>0</v>
      </c>
      <c r="AA136" s="49">
        <f>'1.DATA KIA'!Z132</f>
        <v>0</v>
      </c>
      <c r="AB136" s="46">
        <f>Z136+AA136</f>
        <v>0</v>
      </c>
      <c r="AC136" s="50" t="e">
        <f>AB136/(20%*C136)*100</f>
        <v>#DIV/0!</v>
      </c>
      <c r="AD136" s="53"/>
      <c r="AE136" s="46">
        <f>AG100</f>
        <v>0</v>
      </c>
      <c r="AF136" s="41">
        <f>'8.ANCTEPADU'!D136+'8.ANCTEPADU'!E136</f>
        <v>0</v>
      </c>
      <c r="AG136" s="46">
        <f>AE136+AF136</f>
        <v>0</v>
      </c>
      <c r="AH136" s="50" t="e">
        <f>AG136/C136*100</f>
        <v>#DIV/0!</v>
      </c>
      <c r="AI136" s="46">
        <f>AK100</f>
        <v>0</v>
      </c>
      <c r="AJ136" s="41">
        <f>'8.ANCTEPADU'!J136</f>
        <v>0</v>
      </c>
      <c r="AK136" s="33">
        <f t="shared" si="134"/>
        <v>0</v>
      </c>
      <c r="AL136" s="37" t="e">
        <f t="shared" si="122"/>
        <v>#DIV/0!</v>
      </c>
      <c r="AM136" s="49">
        <f>AO100</f>
        <v>0</v>
      </c>
      <c r="AN136" s="36">
        <f>'1.DATA KIA'!AG132</f>
        <v>0</v>
      </c>
      <c r="AO136" s="46">
        <f>AN136+AM136</f>
        <v>0</v>
      </c>
      <c r="AP136" s="50" t="e">
        <f>AO136/E136*100</f>
        <v>#DIV/0!</v>
      </c>
      <c r="AQ136" s="53"/>
      <c r="AR136" s="55">
        <f>AT100</f>
        <v>0</v>
      </c>
      <c r="AS136" s="36">
        <f>'1.DATA KIA'!AB132</f>
        <v>0</v>
      </c>
      <c r="AT136" s="46">
        <f>AS136+AR136</f>
        <v>0</v>
      </c>
      <c r="AU136" s="50" t="e">
        <f>AT136/D136*100</f>
        <v>#DIV/0!</v>
      </c>
      <c r="AV136" s="53"/>
      <c r="AW136" s="49">
        <f>AY100</f>
        <v>0</v>
      </c>
      <c r="AX136" s="46">
        <f>'1.DATA KIA'!AF132</f>
        <v>0</v>
      </c>
      <c r="AY136" s="49">
        <f>AW136+AX136</f>
        <v>0</v>
      </c>
      <c r="AZ136" s="50" t="e">
        <f>AY136/(20%*C136)*100</f>
        <v>#DIV/0!</v>
      </c>
      <c r="BA136" s="51"/>
    </row>
    <row r="137" spans="1:53" ht="30" customHeight="1" thickBot="1" x14ac:dyDescent="0.4">
      <c r="A137" s="354"/>
      <c r="B137" s="355" t="s">
        <v>18</v>
      </c>
      <c r="C137" s="347">
        <f>SUM(C115:C136)</f>
        <v>1067</v>
      </c>
      <c r="D137" s="347">
        <f t="shared" ref="D137:AY137" si="143">SUM(D115:D136)</f>
        <v>1018.5</v>
      </c>
      <c r="E137" s="347">
        <f t="shared" si="143"/>
        <v>0</v>
      </c>
      <c r="F137" s="347">
        <f t="shared" si="143"/>
        <v>264</v>
      </c>
      <c r="G137" s="347">
        <f t="shared" si="143"/>
        <v>110</v>
      </c>
      <c r="H137" s="347">
        <f t="shared" si="143"/>
        <v>374</v>
      </c>
      <c r="I137" s="357">
        <f>H137/C137*100</f>
        <v>35.051546391752574</v>
      </c>
      <c r="J137" s="347">
        <f t="shared" si="143"/>
        <v>0</v>
      </c>
      <c r="K137" s="347">
        <f t="shared" si="143"/>
        <v>207</v>
      </c>
      <c r="L137" s="347">
        <f t="shared" si="143"/>
        <v>76</v>
      </c>
      <c r="M137" s="347">
        <f t="shared" si="143"/>
        <v>283</v>
      </c>
      <c r="N137" s="357">
        <f>M137/D137*100</f>
        <v>27.785959744722632</v>
      </c>
      <c r="O137" s="347">
        <f t="shared" si="143"/>
        <v>0</v>
      </c>
      <c r="P137" s="347">
        <f t="shared" ref="P137:R137" si="144">SUM(P115:P136)</f>
        <v>231</v>
      </c>
      <c r="Q137" s="347">
        <f t="shared" si="144"/>
        <v>78</v>
      </c>
      <c r="R137" s="347">
        <f t="shared" si="144"/>
        <v>309</v>
      </c>
      <c r="S137" s="357">
        <f>R137/D137*100</f>
        <v>30.338733431516935</v>
      </c>
      <c r="T137" s="347">
        <f t="shared" ref="T137" si="145">SUM(T115:T136)</f>
        <v>0</v>
      </c>
      <c r="U137" s="347">
        <f t="shared" si="143"/>
        <v>58</v>
      </c>
      <c r="V137" s="347">
        <f t="shared" si="143"/>
        <v>34</v>
      </c>
      <c r="W137" s="347">
        <f t="shared" si="143"/>
        <v>92</v>
      </c>
      <c r="X137" s="357">
        <f>W137/(20%*C137)*100</f>
        <v>43.111527647610117</v>
      </c>
      <c r="Y137" s="347">
        <f t="shared" si="143"/>
        <v>0</v>
      </c>
      <c r="Z137" s="347">
        <f t="shared" si="143"/>
        <v>39</v>
      </c>
      <c r="AA137" s="347">
        <f t="shared" si="143"/>
        <v>8</v>
      </c>
      <c r="AB137" s="347">
        <f t="shared" si="143"/>
        <v>47</v>
      </c>
      <c r="AC137" s="357">
        <f>AB137/(20%*C137)*100</f>
        <v>22.024367385192125</v>
      </c>
      <c r="AD137" s="347">
        <f t="shared" si="143"/>
        <v>0</v>
      </c>
      <c r="AE137" s="347">
        <f t="shared" si="143"/>
        <v>29</v>
      </c>
      <c r="AF137" s="347">
        <f t="shared" si="143"/>
        <v>3</v>
      </c>
      <c r="AG137" s="347">
        <f t="shared" si="143"/>
        <v>32</v>
      </c>
      <c r="AH137" s="357">
        <f>AG137/C137*100</f>
        <v>2.999062792877226</v>
      </c>
      <c r="AI137" s="347">
        <f t="shared" si="143"/>
        <v>32</v>
      </c>
      <c r="AJ137" s="347">
        <f t="shared" si="143"/>
        <v>10</v>
      </c>
      <c r="AK137" s="347">
        <f t="shared" si="143"/>
        <v>42</v>
      </c>
      <c r="AL137" s="357">
        <f>AK137/C137*100</f>
        <v>3.936269915651359</v>
      </c>
      <c r="AM137" s="347">
        <f t="shared" si="143"/>
        <v>216</v>
      </c>
      <c r="AN137" s="347">
        <f t="shared" si="143"/>
        <v>82</v>
      </c>
      <c r="AO137" s="347">
        <f t="shared" si="143"/>
        <v>298</v>
      </c>
      <c r="AP137" s="357" t="e">
        <f>AO137/E137*100</f>
        <v>#DIV/0!</v>
      </c>
      <c r="AQ137" s="347">
        <f t="shared" si="143"/>
        <v>0</v>
      </c>
      <c r="AR137" s="347">
        <f t="shared" si="143"/>
        <v>216</v>
      </c>
      <c r="AS137" s="347">
        <f t="shared" si="143"/>
        <v>82</v>
      </c>
      <c r="AT137" s="347">
        <f t="shared" si="143"/>
        <v>298</v>
      </c>
      <c r="AU137" s="357">
        <f>AT137/D137*100</f>
        <v>29.258713794796272</v>
      </c>
      <c r="AV137" s="347">
        <f t="shared" si="143"/>
        <v>0</v>
      </c>
      <c r="AW137" s="347">
        <f t="shared" si="143"/>
        <v>46</v>
      </c>
      <c r="AX137" s="347">
        <f t="shared" si="143"/>
        <v>23</v>
      </c>
      <c r="AY137" s="347">
        <f t="shared" si="143"/>
        <v>69</v>
      </c>
      <c r="AZ137" s="357">
        <f>AY137/(20%*C137)*100</f>
        <v>32.333645735707591</v>
      </c>
      <c r="BA137" s="361"/>
    </row>
    <row r="138" spans="1:53" ht="12.75" customHeight="1" x14ac:dyDescent="0.35"/>
    <row r="139" spans="1:53" ht="12.75" customHeight="1" x14ac:dyDescent="0.35"/>
    <row r="140" spans="1:53" ht="12.75" customHeight="1" x14ac:dyDescent="0.35"/>
    <row r="141" spans="1:53" ht="12.75" customHeight="1" x14ac:dyDescent="0.35"/>
    <row r="142" spans="1:53" ht="12.75" customHeight="1" x14ac:dyDescent="0.35"/>
    <row r="143" spans="1:53" ht="12.75" customHeight="1" x14ac:dyDescent="0.35">
      <c r="A143" s="770" t="s">
        <v>19</v>
      </c>
      <c r="B143" s="770"/>
      <c r="C143" s="770"/>
      <c r="D143" s="770"/>
      <c r="E143" s="770"/>
      <c r="F143" s="770"/>
      <c r="G143" s="770"/>
      <c r="H143" s="770"/>
      <c r="I143" s="770"/>
      <c r="J143" s="770"/>
      <c r="K143" s="770"/>
      <c r="L143" s="770"/>
      <c r="M143" s="770"/>
      <c r="N143" s="770"/>
      <c r="O143" s="770"/>
      <c r="P143" s="770"/>
      <c r="Q143" s="770"/>
      <c r="R143" s="770"/>
      <c r="S143" s="770"/>
      <c r="T143" s="770"/>
      <c r="U143" s="770"/>
      <c r="V143" s="770"/>
      <c r="W143" s="770"/>
      <c r="X143" s="770"/>
      <c r="Y143" s="770"/>
      <c r="Z143" s="770"/>
      <c r="AA143" s="770"/>
      <c r="AB143" s="770"/>
      <c r="AC143" s="770"/>
      <c r="AD143" s="770"/>
      <c r="AE143" s="770"/>
      <c r="AF143" s="770"/>
      <c r="AG143" s="770"/>
      <c r="AH143" s="770"/>
      <c r="AI143" s="770"/>
      <c r="AJ143" s="770"/>
      <c r="AK143" s="770"/>
      <c r="AL143" s="770"/>
      <c r="AM143" s="770"/>
      <c r="AN143" s="770"/>
      <c r="AO143" s="770"/>
      <c r="AP143" s="770"/>
      <c r="AQ143" s="770"/>
      <c r="AR143" s="770"/>
      <c r="AS143" s="770"/>
      <c r="AT143" s="770"/>
      <c r="AU143" s="770"/>
      <c r="AV143" s="770"/>
      <c r="AW143" s="770"/>
      <c r="AX143" s="770"/>
      <c r="AY143" s="770"/>
      <c r="AZ143" s="770"/>
      <c r="BA143" s="770"/>
    </row>
    <row r="144" spans="1:53" ht="20.149999999999999" customHeight="1" x14ac:dyDescent="0.35">
      <c r="A144" s="31"/>
      <c r="B144" s="31" t="s">
        <v>175</v>
      </c>
      <c r="C144" s="345" t="str">
        <f>PETUNJUK!C5</f>
        <v>PECANGAAN</v>
      </c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</row>
    <row r="145" spans="1:54" ht="20.149999999999999" customHeight="1" x14ac:dyDescent="0.35">
      <c r="A145" s="30"/>
      <c r="B145" s="31" t="s">
        <v>170</v>
      </c>
      <c r="C145" s="32" t="str">
        <f>'1.DATA KIA'!C140</f>
        <v xml:space="preserve">MEI </v>
      </c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</row>
    <row r="146" spans="1:54" ht="12.75" customHeight="1" thickBot="1" x14ac:dyDescent="0.4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</row>
    <row r="147" spans="1:54" s="65" customFormat="1" ht="21.75" customHeight="1" x14ac:dyDescent="0.35">
      <c r="A147" s="774" t="s">
        <v>1</v>
      </c>
      <c r="B147" s="774" t="s">
        <v>2</v>
      </c>
      <c r="C147" s="777" t="s">
        <v>20</v>
      </c>
      <c r="D147" s="778"/>
      <c r="E147" s="778"/>
      <c r="F147" s="777" t="s">
        <v>21</v>
      </c>
      <c r="G147" s="778"/>
      <c r="H147" s="778"/>
      <c r="I147" s="778"/>
      <c r="J147" s="791"/>
      <c r="K147" s="777" t="s">
        <v>9</v>
      </c>
      <c r="L147" s="778"/>
      <c r="M147" s="778"/>
      <c r="N147" s="778"/>
      <c r="O147" s="791"/>
      <c r="P147" s="777" t="s">
        <v>289</v>
      </c>
      <c r="Q147" s="778"/>
      <c r="R147" s="778"/>
      <c r="S147" s="778"/>
      <c r="T147" s="791"/>
      <c r="U147" s="771" t="s">
        <v>22</v>
      </c>
      <c r="V147" s="772"/>
      <c r="W147" s="772"/>
      <c r="X147" s="772"/>
      <c r="Y147" s="772"/>
      <c r="Z147" s="772"/>
      <c r="AA147" s="772"/>
      <c r="AB147" s="772"/>
      <c r="AC147" s="772"/>
      <c r="AD147" s="773"/>
      <c r="AE147" s="771" t="s">
        <v>5</v>
      </c>
      <c r="AF147" s="772"/>
      <c r="AG147" s="772"/>
      <c r="AH147" s="772"/>
      <c r="AI147" s="772"/>
      <c r="AJ147" s="772"/>
      <c r="AK147" s="772"/>
      <c r="AL147" s="773"/>
      <c r="AM147" s="771" t="s">
        <v>23</v>
      </c>
      <c r="AN147" s="772"/>
      <c r="AO147" s="772"/>
      <c r="AP147" s="772"/>
      <c r="AQ147" s="773"/>
      <c r="AR147" s="779" t="s">
        <v>24</v>
      </c>
      <c r="AS147" s="780"/>
      <c r="AT147" s="780"/>
      <c r="AU147" s="780"/>
      <c r="AV147" s="781"/>
      <c r="AW147" s="779" t="s">
        <v>241</v>
      </c>
      <c r="AX147" s="780"/>
      <c r="AY147" s="780"/>
      <c r="AZ147" s="780"/>
      <c r="BA147" s="781"/>
      <c r="BB147" s="350"/>
    </row>
    <row r="148" spans="1:54" s="45" customFormat="1" ht="15" customHeight="1" x14ac:dyDescent="0.35">
      <c r="A148" s="775"/>
      <c r="B148" s="775"/>
      <c r="C148" s="767" t="s">
        <v>5</v>
      </c>
      <c r="D148" s="767" t="s">
        <v>6</v>
      </c>
      <c r="E148" s="767" t="s">
        <v>7</v>
      </c>
      <c r="F148" s="767" t="s">
        <v>26</v>
      </c>
      <c r="G148" s="767" t="s">
        <v>27</v>
      </c>
      <c r="H148" s="771" t="s">
        <v>28</v>
      </c>
      <c r="I148" s="773"/>
      <c r="J148" s="785" t="s">
        <v>29</v>
      </c>
      <c r="K148" s="785" t="s">
        <v>26</v>
      </c>
      <c r="L148" s="785" t="s">
        <v>27</v>
      </c>
      <c r="M148" s="771" t="s">
        <v>28</v>
      </c>
      <c r="N148" s="773"/>
      <c r="O148" s="785" t="s">
        <v>29</v>
      </c>
      <c r="P148" s="785" t="s">
        <v>26</v>
      </c>
      <c r="Q148" s="785" t="s">
        <v>27</v>
      </c>
      <c r="R148" s="771" t="s">
        <v>28</v>
      </c>
      <c r="S148" s="773"/>
      <c r="T148" s="785" t="s">
        <v>29</v>
      </c>
      <c r="U148" s="771" t="s">
        <v>30</v>
      </c>
      <c r="V148" s="772"/>
      <c r="W148" s="772"/>
      <c r="X148" s="772"/>
      <c r="Y148" s="773"/>
      <c r="Z148" s="771" t="s">
        <v>31</v>
      </c>
      <c r="AA148" s="772"/>
      <c r="AB148" s="772"/>
      <c r="AC148" s="772"/>
      <c r="AD148" s="773"/>
      <c r="AE148" s="771" t="s">
        <v>32</v>
      </c>
      <c r="AF148" s="772"/>
      <c r="AG148" s="772"/>
      <c r="AH148" s="773"/>
      <c r="AI148" s="771" t="s">
        <v>33</v>
      </c>
      <c r="AJ148" s="772"/>
      <c r="AK148" s="772"/>
      <c r="AL148" s="773"/>
      <c r="AM148" s="785" t="s">
        <v>34</v>
      </c>
      <c r="AN148" s="785" t="s">
        <v>35</v>
      </c>
      <c r="AO148" s="788" t="s">
        <v>36</v>
      </c>
      <c r="AP148" s="782" t="s">
        <v>37</v>
      </c>
      <c r="AQ148" s="785" t="s">
        <v>29</v>
      </c>
      <c r="AR148" s="785" t="s">
        <v>34</v>
      </c>
      <c r="AS148" s="785" t="s">
        <v>35</v>
      </c>
      <c r="AT148" s="788" t="s">
        <v>36</v>
      </c>
      <c r="AU148" s="782" t="s">
        <v>37</v>
      </c>
      <c r="AV148" s="785" t="s">
        <v>29</v>
      </c>
      <c r="AW148" s="785" t="s">
        <v>34</v>
      </c>
      <c r="AX148" s="785" t="s">
        <v>35</v>
      </c>
      <c r="AY148" s="788" t="s">
        <v>36</v>
      </c>
      <c r="AZ148" s="782" t="s">
        <v>37</v>
      </c>
      <c r="BA148" s="785" t="s">
        <v>29</v>
      </c>
      <c r="BB148" s="348"/>
    </row>
    <row r="149" spans="1:54" s="45" customFormat="1" ht="15" customHeight="1" x14ac:dyDescent="0.35">
      <c r="A149" s="775"/>
      <c r="B149" s="775"/>
      <c r="C149" s="768"/>
      <c r="D149" s="768"/>
      <c r="E149" s="768"/>
      <c r="F149" s="768"/>
      <c r="G149" s="768"/>
      <c r="H149" s="785" t="s">
        <v>36</v>
      </c>
      <c r="I149" s="782" t="s">
        <v>37</v>
      </c>
      <c r="J149" s="786"/>
      <c r="K149" s="786"/>
      <c r="L149" s="786"/>
      <c r="M149" s="785" t="s">
        <v>36</v>
      </c>
      <c r="N149" s="785" t="s">
        <v>37</v>
      </c>
      <c r="O149" s="786"/>
      <c r="P149" s="786"/>
      <c r="Q149" s="786"/>
      <c r="R149" s="785" t="s">
        <v>36</v>
      </c>
      <c r="S149" s="785" t="s">
        <v>37</v>
      </c>
      <c r="T149" s="786"/>
      <c r="U149" s="785" t="s">
        <v>26</v>
      </c>
      <c r="V149" s="785" t="s">
        <v>27</v>
      </c>
      <c r="W149" s="779" t="s">
        <v>28</v>
      </c>
      <c r="X149" s="781"/>
      <c r="Y149" s="785" t="s">
        <v>29</v>
      </c>
      <c r="Z149" s="785" t="s">
        <v>26</v>
      </c>
      <c r="AA149" s="785" t="s">
        <v>27</v>
      </c>
      <c r="AB149" s="779" t="s">
        <v>28</v>
      </c>
      <c r="AC149" s="781"/>
      <c r="AD149" s="785" t="s">
        <v>29</v>
      </c>
      <c r="AE149" s="771" t="s">
        <v>38</v>
      </c>
      <c r="AF149" s="772"/>
      <c r="AG149" s="772"/>
      <c r="AH149" s="773"/>
      <c r="AI149" s="771" t="s">
        <v>39</v>
      </c>
      <c r="AJ149" s="772"/>
      <c r="AK149" s="772"/>
      <c r="AL149" s="773"/>
      <c r="AM149" s="786"/>
      <c r="AN149" s="786"/>
      <c r="AO149" s="789"/>
      <c r="AP149" s="783"/>
      <c r="AQ149" s="786"/>
      <c r="AR149" s="786"/>
      <c r="AS149" s="786"/>
      <c r="AT149" s="789"/>
      <c r="AU149" s="783"/>
      <c r="AV149" s="786"/>
      <c r="AW149" s="786"/>
      <c r="AX149" s="786"/>
      <c r="AY149" s="789"/>
      <c r="AZ149" s="783"/>
      <c r="BA149" s="786"/>
      <c r="BB149" s="348"/>
    </row>
    <row r="150" spans="1:54" s="66" customFormat="1" ht="48.75" customHeight="1" thickBot="1" x14ac:dyDescent="0.4">
      <c r="A150" s="776"/>
      <c r="B150" s="776"/>
      <c r="C150" s="769"/>
      <c r="D150" s="769"/>
      <c r="E150" s="769"/>
      <c r="F150" s="769"/>
      <c r="G150" s="769"/>
      <c r="H150" s="787"/>
      <c r="I150" s="784"/>
      <c r="J150" s="787"/>
      <c r="K150" s="787"/>
      <c r="L150" s="787"/>
      <c r="M150" s="787"/>
      <c r="N150" s="787"/>
      <c r="O150" s="787"/>
      <c r="P150" s="787"/>
      <c r="Q150" s="787"/>
      <c r="R150" s="787"/>
      <c r="S150" s="787"/>
      <c r="T150" s="787"/>
      <c r="U150" s="787"/>
      <c r="V150" s="787"/>
      <c r="W150" s="352" t="s">
        <v>36</v>
      </c>
      <c r="X150" s="353" t="s">
        <v>37</v>
      </c>
      <c r="Y150" s="787"/>
      <c r="Z150" s="787"/>
      <c r="AA150" s="787"/>
      <c r="AB150" s="352" t="s">
        <v>36</v>
      </c>
      <c r="AC150" s="353" t="s">
        <v>37</v>
      </c>
      <c r="AD150" s="787"/>
      <c r="AE150" s="352" t="s">
        <v>26</v>
      </c>
      <c r="AF150" s="352" t="s">
        <v>27</v>
      </c>
      <c r="AG150" s="352" t="s">
        <v>36</v>
      </c>
      <c r="AH150" s="353" t="s">
        <v>37</v>
      </c>
      <c r="AI150" s="352" t="s">
        <v>26</v>
      </c>
      <c r="AJ150" s="352" t="s">
        <v>27</v>
      </c>
      <c r="AK150" s="352" t="s">
        <v>36</v>
      </c>
      <c r="AL150" s="353" t="s">
        <v>37</v>
      </c>
      <c r="AM150" s="787"/>
      <c r="AN150" s="787"/>
      <c r="AO150" s="790"/>
      <c r="AP150" s="784"/>
      <c r="AQ150" s="787"/>
      <c r="AR150" s="787"/>
      <c r="AS150" s="787"/>
      <c r="AT150" s="790"/>
      <c r="AU150" s="784"/>
      <c r="AV150" s="787"/>
      <c r="AW150" s="787"/>
      <c r="AX150" s="787"/>
      <c r="AY150" s="790"/>
      <c r="AZ150" s="784"/>
      <c r="BA150" s="787"/>
      <c r="BB150" s="351"/>
    </row>
    <row r="151" spans="1:54" ht="30" customHeight="1" x14ac:dyDescent="0.35">
      <c r="A151" s="56">
        <v>1</v>
      </c>
      <c r="B151" s="57" t="str">
        <f>PETUNJUK!B9</f>
        <v>Pecangaan Kulon</v>
      </c>
      <c r="C151" s="58">
        <f>'1.DATA KIA'!C145</f>
        <v>101.2</v>
      </c>
      <c r="D151" s="58">
        <f>'1.DATA KIA'!D145</f>
        <v>96.600000000000009</v>
      </c>
      <c r="E151" s="58">
        <f t="shared" ref="E151:E172" si="146">E115</f>
        <v>0</v>
      </c>
      <c r="F151" s="59">
        <f t="shared" ref="F151:F168" si="147">H115</f>
        <v>30</v>
      </c>
      <c r="G151" s="59">
        <f>'1.DATA KIA'!F145</f>
        <v>0</v>
      </c>
      <c r="H151" s="59">
        <f>F151+G151</f>
        <v>30</v>
      </c>
      <c r="I151" s="60">
        <f t="shared" ref="I151:I173" si="148">H151/C151*100</f>
        <v>29.644268774703558</v>
      </c>
      <c r="J151" s="61"/>
      <c r="K151" s="59">
        <f t="shared" ref="K151:K168" si="149">M115</f>
        <v>28</v>
      </c>
      <c r="L151" s="56">
        <f>'1.DATA KIA'!J145</f>
        <v>0</v>
      </c>
      <c r="M151" s="59">
        <f>K151+L151</f>
        <v>28</v>
      </c>
      <c r="N151" s="60">
        <f>M151/D151*100</f>
        <v>28.985507246376805</v>
      </c>
      <c r="O151" s="61"/>
      <c r="P151" s="59">
        <f t="shared" ref="P151:P168" si="150">R115</f>
        <v>29</v>
      </c>
      <c r="Q151" s="56">
        <f>'1.DATA KIA'!M145</f>
        <v>0</v>
      </c>
      <c r="R151" s="59">
        <f>P151+Q151</f>
        <v>29</v>
      </c>
      <c r="S151" s="60">
        <f>R151/D151*100</f>
        <v>30.020703933747413</v>
      </c>
      <c r="T151" s="61"/>
      <c r="U151" s="56">
        <f t="shared" ref="U151:U168" si="151">W115</f>
        <v>10</v>
      </c>
      <c r="V151" s="59">
        <f>'1.DATA KIA'!Y145</f>
        <v>0</v>
      </c>
      <c r="W151" s="56">
        <f>U151+V151</f>
        <v>10</v>
      </c>
      <c r="X151" s="60">
        <f t="shared" ref="X151:X173" si="152">W151/(20%*C151)*100</f>
        <v>49.40711462450593</v>
      </c>
      <c r="Y151" s="61"/>
      <c r="Z151" s="56">
        <f t="shared" ref="Z151:Z168" si="153">AB115</f>
        <v>6</v>
      </c>
      <c r="AA151" s="59">
        <f>'1.DATA KIA'!Z145</f>
        <v>0</v>
      </c>
      <c r="AB151" s="56">
        <f>Z151+AA151</f>
        <v>6</v>
      </c>
      <c r="AC151" s="60">
        <f t="shared" ref="AC151:AC173" si="154">AB151/(20%*C151)*100</f>
        <v>29.644268774703551</v>
      </c>
      <c r="AD151" s="61"/>
      <c r="AE151" s="56">
        <f t="shared" ref="AE151:AE168" si="155">AG115</f>
        <v>3</v>
      </c>
      <c r="AF151" s="62">
        <f>'8.ANCTEPADU'!D150+'8.ANCTEPADU'!E150</f>
        <v>0</v>
      </c>
      <c r="AG151" s="56">
        <f>AE151+AF151</f>
        <v>3</v>
      </c>
      <c r="AH151" s="60">
        <f t="shared" ref="AH151:AH173" si="156">AG151/C151*100</f>
        <v>2.9644268774703555</v>
      </c>
      <c r="AI151" s="56">
        <f t="shared" ref="AI151:AI168" si="157">AK115</f>
        <v>1</v>
      </c>
      <c r="AJ151" s="62">
        <f>'8.ANCTEPADU'!J150</f>
        <v>0</v>
      </c>
      <c r="AK151" s="56">
        <f>AI151+AJ151</f>
        <v>1</v>
      </c>
      <c r="AL151" s="60">
        <f t="shared" ref="AL151:AL173" si="158">AK151/C151*100</f>
        <v>0.98814229249011865</v>
      </c>
      <c r="AM151" s="59">
        <f t="shared" ref="AM151:AM168" si="159">AO115</f>
        <v>29</v>
      </c>
      <c r="AN151" s="59">
        <f>'1.DATA KIA'!AG145</f>
        <v>0</v>
      </c>
      <c r="AO151" s="56">
        <f>AN151+AM151</f>
        <v>29</v>
      </c>
      <c r="AP151" s="60" t="e">
        <f>AO151/E151*100</f>
        <v>#DIV/0!</v>
      </c>
      <c r="AQ151" s="61"/>
      <c r="AR151" s="63">
        <f t="shared" ref="AR151:AR168" si="160">AT115</f>
        <v>29</v>
      </c>
      <c r="AS151" s="59">
        <f>'1.DATA KIA'!AB145</f>
        <v>0</v>
      </c>
      <c r="AT151" s="59">
        <f>AS151+AR151</f>
        <v>29</v>
      </c>
      <c r="AU151" s="60">
        <f>AT151/D151*100</f>
        <v>30.020703933747413</v>
      </c>
      <c r="AV151" s="61"/>
      <c r="AW151" s="59">
        <f t="shared" ref="AW151:AW168" si="161">AY115</f>
        <v>10</v>
      </c>
      <c r="AX151" s="56">
        <f>'1.DATA KIA'!AF145</f>
        <v>0</v>
      </c>
      <c r="AY151" s="59">
        <f>AW151+AX151</f>
        <v>10</v>
      </c>
      <c r="AZ151" s="60">
        <f>AY151/(20%*C151)*100</f>
        <v>49.40711462450593</v>
      </c>
      <c r="BA151" s="64"/>
    </row>
    <row r="152" spans="1:54" ht="30" customHeight="1" x14ac:dyDescent="0.35">
      <c r="A152" s="33">
        <v>2</v>
      </c>
      <c r="B152" s="34" t="str">
        <f>PETUNJUK!B10</f>
        <v>Rengging</v>
      </c>
      <c r="C152" s="35">
        <f>'1.DATA KIA'!C146</f>
        <v>111.10000000000001</v>
      </c>
      <c r="D152" s="35">
        <f>'1.DATA KIA'!D146</f>
        <v>106.05000000000001</v>
      </c>
      <c r="E152" s="35">
        <f t="shared" si="146"/>
        <v>0</v>
      </c>
      <c r="F152" s="36">
        <f t="shared" si="147"/>
        <v>54</v>
      </c>
      <c r="G152" s="36">
        <f>'1.DATA KIA'!F146</f>
        <v>0</v>
      </c>
      <c r="H152" s="36">
        <f t="shared" ref="H152:H168" si="162">F152+G152</f>
        <v>54</v>
      </c>
      <c r="I152" s="37">
        <f t="shared" si="148"/>
        <v>48.604860486048601</v>
      </c>
      <c r="J152" s="40"/>
      <c r="K152" s="36">
        <f t="shared" si="149"/>
        <v>21</v>
      </c>
      <c r="L152" s="33">
        <f>'1.DATA KIA'!J146</f>
        <v>0</v>
      </c>
      <c r="M152" s="36">
        <f t="shared" ref="M152:M168" si="163">K152+L152</f>
        <v>21</v>
      </c>
      <c r="N152" s="60">
        <f t="shared" ref="N152:N172" si="164">M152/D152*100</f>
        <v>19.801980198019802</v>
      </c>
      <c r="O152" s="40"/>
      <c r="P152" s="36">
        <f t="shared" si="150"/>
        <v>32</v>
      </c>
      <c r="Q152" s="56">
        <f>'1.DATA KIA'!M146</f>
        <v>0</v>
      </c>
      <c r="R152" s="36">
        <f t="shared" ref="R152:R168" si="165">P152+Q152</f>
        <v>32</v>
      </c>
      <c r="S152" s="60">
        <f t="shared" ref="S152:S172" si="166">R152/D152*100</f>
        <v>30.174446016030171</v>
      </c>
      <c r="T152" s="40"/>
      <c r="U152" s="33">
        <f t="shared" si="151"/>
        <v>8</v>
      </c>
      <c r="V152" s="36">
        <f>'1.DATA KIA'!Y146</f>
        <v>0</v>
      </c>
      <c r="W152" s="33">
        <f t="shared" ref="W152:W168" si="167">U152+V152</f>
        <v>8</v>
      </c>
      <c r="X152" s="37">
        <f t="shared" si="152"/>
        <v>36.003600360035996</v>
      </c>
      <c r="Y152" s="40"/>
      <c r="Z152" s="33">
        <f t="shared" si="153"/>
        <v>5</v>
      </c>
      <c r="AA152" s="36">
        <f>'1.DATA KIA'!Z146</f>
        <v>0</v>
      </c>
      <c r="AB152" s="33">
        <f t="shared" ref="AB152:AB168" si="168">Z152+AA152</f>
        <v>5</v>
      </c>
      <c r="AC152" s="37">
        <f t="shared" si="154"/>
        <v>22.5022502250225</v>
      </c>
      <c r="AD152" s="40"/>
      <c r="AE152" s="33">
        <f t="shared" si="155"/>
        <v>6</v>
      </c>
      <c r="AF152" s="41">
        <f>'8.ANCTEPADU'!D151+'8.ANCTEPADU'!E151</f>
        <v>0</v>
      </c>
      <c r="AG152" s="33">
        <f t="shared" ref="AG152:AG168" si="169">AE152+AF152</f>
        <v>6</v>
      </c>
      <c r="AH152" s="37">
        <f t="shared" si="156"/>
        <v>5.4005400540054005</v>
      </c>
      <c r="AI152" s="33">
        <f t="shared" si="157"/>
        <v>8</v>
      </c>
      <c r="AJ152" s="41">
        <f>'8.ANCTEPADU'!J151</f>
        <v>0</v>
      </c>
      <c r="AK152" s="33">
        <f t="shared" ref="AK152:AK168" si="170">AI152+AJ152</f>
        <v>8</v>
      </c>
      <c r="AL152" s="37">
        <f t="shared" si="158"/>
        <v>7.2007200720071998</v>
      </c>
      <c r="AM152" s="36">
        <f t="shared" si="159"/>
        <v>35</v>
      </c>
      <c r="AN152" s="36">
        <f>'1.DATA KIA'!AG146</f>
        <v>0</v>
      </c>
      <c r="AO152" s="33">
        <f t="shared" ref="AO152:AO161" si="171">AN152+AM152</f>
        <v>35</v>
      </c>
      <c r="AP152" s="37" t="e">
        <f t="shared" ref="AP152:AP173" si="172">AO152/E152*100</f>
        <v>#DIV/0!</v>
      </c>
      <c r="AQ152" s="40"/>
      <c r="AR152" s="42">
        <f t="shared" si="160"/>
        <v>34</v>
      </c>
      <c r="AS152" s="36">
        <f>'1.DATA KIA'!AB146</f>
        <v>0</v>
      </c>
      <c r="AT152" s="33">
        <f t="shared" ref="AT152:AT161" si="173">AS152+AR152</f>
        <v>34</v>
      </c>
      <c r="AU152" s="37">
        <f t="shared" ref="AU152:AU173" si="174">AT152/D152*100</f>
        <v>32.06034889203206</v>
      </c>
      <c r="AV152" s="40"/>
      <c r="AW152" s="36">
        <f t="shared" si="161"/>
        <v>4</v>
      </c>
      <c r="AX152" s="33">
        <f>'1.DATA KIA'!AF146</f>
        <v>0</v>
      </c>
      <c r="AY152" s="36">
        <f t="shared" ref="AY152:AY168" si="175">AW152+AX152</f>
        <v>4</v>
      </c>
      <c r="AZ152" s="37">
        <f t="shared" ref="AZ152:AZ173" si="176">AY152/(20%*C152)*100</f>
        <v>18.001800180017998</v>
      </c>
      <c r="BA152" s="38"/>
    </row>
    <row r="153" spans="1:54" ht="30" customHeight="1" x14ac:dyDescent="0.35">
      <c r="A153" s="33">
        <v>3</v>
      </c>
      <c r="B153" s="34" t="str">
        <f>PETUNJUK!B11</f>
        <v>Troso</v>
      </c>
      <c r="C153" s="35">
        <f>'1.DATA KIA'!C147</f>
        <v>205.70000000000002</v>
      </c>
      <c r="D153" s="35">
        <f>'1.DATA KIA'!D147</f>
        <v>196.35</v>
      </c>
      <c r="E153" s="35">
        <f t="shared" si="146"/>
        <v>0</v>
      </c>
      <c r="F153" s="36">
        <f t="shared" si="147"/>
        <v>78</v>
      </c>
      <c r="G153" s="36">
        <f>'1.DATA KIA'!F147</f>
        <v>0</v>
      </c>
      <c r="H153" s="36">
        <f t="shared" si="162"/>
        <v>78</v>
      </c>
      <c r="I153" s="37">
        <f t="shared" si="148"/>
        <v>37.919299951385511</v>
      </c>
      <c r="J153" s="40"/>
      <c r="K153" s="36">
        <f t="shared" si="149"/>
        <v>64</v>
      </c>
      <c r="L153" s="33">
        <f>'1.DATA KIA'!J147</f>
        <v>0</v>
      </c>
      <c r="M153" s="36">
        <f t="shared" si="163"/>
        <v>64</v>
      </c>
      <c r="N153" s="60">
        <f t="shared" si="164"/>
        <v>32.594856124267892</v>
      </c>
      <c r="O153" s="40"/>
      <c r="P153" s="36">
        <f t="shared" si="150"/>
        <v>78</v>
      </c>
      <c r="Q153" s="56">
        <f>'1.DATA KIA'!M147</f>
        <v>0</v>
      </c>
      <c r="R153" s="36">
        <f t="shared" si="165"/>
        <v>78</v>
      </c>
      <c r="S153" s="60">
        <f t="shared" si="166"/>
        <v>39.724980901451488</v>
      </c>
      <c r="T153" s="40"/>
      <c r="U153" s="33">
        <f t="shared" si="151"/>
        <v>23</v>
      </c>
      <c r="V153" s="36">
        <f>'1.DATA KIA'!Y147</f>
        <v>0</v>
      </c>
      <c r="W153" s="33">
        <f t="shared" si="167"/>
        <v>23</v>
      </c>
      <c r="X153" s="37">
        <f t="shared" si="152"/>
        <v>55.906660184735038</v>
      </c>
      <c r="Y153" s="40"/>
      <c r="Z153" s="33">
        <f t="shared" si="153"/>
        <v>11</v>
      </c>
      <c r="AA153" s="36">
        <f>'1.DATA KIA'!Z147</f>
        <v>0</v>
      </c>
      <c r="AB153" s="33">
        <f t="shared" si="168"/>
        <v>11</v>
      </c>
      <c r="AC153" s="37">
        <f t="shared" si="154"/>
        <v>26.737967914438499</v>
      </c>
      <c r="AD153" s="40"/>
      <c r="AE153" s="33">
        <f t="shared" si="155"/>
        <v>3</v>
      </c>
      <c r="AF153" s="41">
        <f>'8.ANCTEPADU'!D152+'8.ANCTEPADU'!E152</f>
        <v>0</v>
      </c>
      <c r="AG153" s="33">
        <f t="shared" si="169"/>
        <v>3</v>
      </c>
      <c r="AH153" s="37">
        <f t="shared" si="156"/>
        <v>1.4584346135148272</v>
      </c>
      <c r="AI153" s="33">
        <f t="shared" si="157"/>
        <v>11</v>
      </c>
      <c r="AJ153" s="41">
        <f>'8.ANCTEPADU'!J152</f>
        <v>0</v>
      </c>
      <c r="AK153" s="33">
        <f t="shared" si="170"/>
        <v>11</v>
      </c>
      <c r="AL153" s="37">
        <f t="shared" si="158"/>
        <v>5.3475935828877006</v>
      </c>
      <c r="AM153" s="36">
        <f t="shared" si="159"/>
        <v>60</v>
      </c>
      <c r="AN153" s="36">
        <f>'1.DATA KIA'!AG147</f>
        <v>0</v>
      </c>
      <c r="AO153" s="33">
        <f t="shared" si="171"/>
        <v>60</v>
      </c>
      <c r="AP153" s="37" t="e">
        <f t="shared" si="172"/>
        <v>#DIV/0!</v>
      </c>
      <c r="AQ153" s="40"/>
      <c r="AR153" s="42">
        <f t="shared" si="160"/>
        <v>60</v>
      </c>
      <c r="AS153" s="36">
        <f>'1.DATA KIA'!AB147</f>
        <v>0</v>
      </c>
      <c r="AT153" s="33">
        <f t="shared" si="173"/>
        <v>60</v>
      </c>
      <c r="AU153" s="37">
        <f t="shared" si="174"/>
        <v>30.557677616501145</v>
      </c>
      <c r="AV153" s="40"/>
      <c r="AW153" s="36">
        <f t="shared" si="161"/>
        <v>13</v>
      </c>
      <c r="AX153" s="33">
        <f>'1.DATA KIA'!AF147</f>
        <v>0</v>
      </c>
      <c r="AY153" s="36">
        <f t="shared" si="175"/>
        <v>13</v>
      </c>
      <c r="AZ153" s="37">
        <f t="shared" si="176"/>
        <v>31.599416626154586</v>
      </c>
      <c r="BA153" s="38"/>
    </row>
    <row r="154" spans="1:54" ht="30" customHeight="1" x14ac:dyDescent="0.35">
      <c r="A154" s="33">
        <v>4</v>
      </c>
      <c r="B154" s="34" t="str">
        <f>PETUNJUK!B12</f>
        <v>Ngeling</v>
      </c>
      <c r="C154" s="35">
        <f>'1.DATA KIA'!C148</f>
        <v>95.7</v>
      </c>
      <c r="D154" s="35">
        <f>'1.DATA KIA'!D148</f>
        <v>91.350000000000009</v>
      </c>
      <c r="E154" s="35">
        <f t="shared" si="146"/>
        <v>0</v>
      </c>
      <c r="F154" s="36">
        <f t="shared" si="147"/>
        <v>30</v>
      </c>
      <c r="G154" s="36">
        <f>'1.DATA KIA'!F148</f>
        <v>0</v>
      </c>
      <c r="H154" s="36">
        <f t="shared" si="162"/>
        <v>30</v>
      </c>
      <c r="I154" s="37">
        <f t="shared" si="148"/>
        <v>31.347962382445139</v>
      </c>
      <c r="J154" s="40"/>
      <c r="K154" s="36">
        <f t="shared" si="149"/>
        <v>28</v>
      </c>
      <c r="L154" s="33">
        <f>'1.DATA KIA'!J148</f>
        <v>0</v>
      </c>
      <c r="M154" s="36">
        <f t="shared" si="163"/>
        <v>28</v>
      </c>
      <c r="N154" s="60">
        <f t="shared" si="164"/>
        <v>30.651340996168582</v>
      </c>
      <c r="O154" s="40"/>
      <c r="P154" s="36">
        <f t="shared" si="150"/>
        <v>26</v>
      </c>
      <c r="Q154" s="56">
        <f>'1.DATA KIA'!M148</f>
        <v>0</v>
      </c>
      <c r="R154" s="36">
        <f t="shared" si="165"/>
        <v>26</v>
      </c>
      <c r="S154" s="60">
        <f t="shared" si="166"/>
        <v>28.461959496442251</v>
      </c>
      <c r="T154" s="40"/>
      <c r="U154" s="33">
        <f t="shared" si="151"/>
        <v>7</v>
      </c>
      <c r="V154" s="36">
        <f>'1.DATA KIA'!Y148</f>
        <v>0</v>
      </c>
      <c r="W154" s="33">
        <f t="shared" si="167"/>
        <v>7</v>
      </c>
      <c r="X154" s="37">
        <f t="shared" si="152"/>
        <v>36.572622779519328</v>
      </c>
      <c r="Y154" s="40"/>
      <c r="Z154" s="33">
        <f t="shared" si="153"/>
        <v>5</v>
      </c>
      <c r="AA154" s="36">
        <f>'1.DATA KIA'!Z148</f>
        <v>0</v>
      </c>
      <c r="AB154" s="33">
        <f t="shared" si="168"/>
        <v>5</v>
      </c>
      <c r="AC154" s="37">
        <f t="shared" si="154"/>
        <v>26.123301985370951</v>
      </c>
      <c r="AD154" s="40"/>
      <c r="AE154" s="33">
        <f t="shared" si="155"/>
        <v>5</v>
      </c>
      <c r="AF154" s="41">
        <f>'8.ANCTEPADU'!D153+'8.ANCTEPADU'!E153</f>
        <v>0</v>
      </c>
      <c r="AG154" s="33">
        <f t="shared" si="169"/>
        <v>5</v>
      </c>
      <c r="AH154" s="37">
        <f t="shared" si="156"/>
        <v>5.2246603970741896</v>
      </c>
      <c r="AI154" s="33">
        <f t="shared" si="157"/>
        <v>5</v>
      </c>
      <c r="AJ154" s="41">
        <f>'8.ANCTEPADU'!J153</f>
        <v>0</v>
      </c>
      <c r="AK154" s="33">
        <f t="shared" si="170"/>
        <v>5</v>
      </c>
      <c r="AL154" s="37">
        <f t="shared" si="158"/>
        <v>5.2246603970741896</v>
      </c>
      <c r="AM154" s="36">
        <f t="shared" si="159"/>
        <v>28</v>
      </c>
      <c r="AN154" s="36">
        <f>'1.DATA KIA'!AG148</f>
        <v>0</v>
      </c>
      <c r="AO154" s="33">
        <f t="shared" si="171"/>
        <v>28</v>
      </c>
      <c r="AP154" s="37" t="e">
        <f t="shared" si="172"/>
        <v>#DIV/0!</v>
      </c>
      <c r="AQ154" s="40"/>
      <c r="AR154" s="42">
        <f t="shared" si="160"/>
        <v>28</v>
      </c>
      <c r="AS154" s="36">
        <f>'1.DATA KIA'!AB148</f>
        <v>0</v>
      </c>
      <c r="AT154" s="33">
        <f t="shared" si="173"/>
        <v>28</v>
      </c>
      <c r="AU154" s="37">
        <f t="shared" si="174"/>
        <v>30.651340996168582</v>
      </c>
      <c r="AV154" s="40"/>
      <c r="AW154" s="36">
        <f t="shared" si="161"/>
        <v>10</v>
      </c>
      <c r="AX154" s="33">
        <f>'1.DATA KIA'!AF148</f>
        <v>0</v>
      </c>
      <c r="AY154" s="36">
        <f t="shared" si="175"/>
        <v>10</v>
      </c>
      <c r="AZ154" s="37">
        <f t="shared" si="176"/>
        <v>52.246603970741901</v>
      </c>
      <c r="BA154" s="38"/>
    </row>
    <row r="155" spans="1:54" ht="30" customHeight="1" x14ac:dyDescent="0.35">
      <c r="A155" s="33">
        <v>5</v>
      </c>
      <c r="B155" s="34" t="str">
        <f>PETUNJUK!B13</f>
        <v>Lebuawu</v>
      </c>
      <c r="C155" s="35">
        <f>'1.DATA KIA'!C149</f>
        <v>85.800000000000011</v>
      </c>
      <c r="D155" s="35">
        <f>'1.DATA KIA'!D149</f>
        <v>81.900000000000006</v>
      </c>
      <c r="E155" s="35">
        <f t="shared" si="146"/>
        <v>0</v>
      </c>
      <c r="F155" s="36">
        <f t="shared" si="147"/>
        <v>33</v>
      </c>
      <c r="G155" s="36">
        <f>'1.DATA KIA'!F149</f>
        <v>0</v>
      </c>
      <c r="H155" s="36">
        <f t="shared" si="162"/>
        <v>33</v>
      </c>
      <c r="I155" s="37">
        <f t="shared" si="148"/>
        <v>38.46153846153846</v>
      </c>
      <c r="J155" s="40"/>
      <c r="K155" s="36">
        <f t="shared" si="149"/>
        <v>25</v>
      </c>
      <c r="L155" s="33">
        <f>'1.DATA KIA'!J149</f>
        <v>0</v>
      </c>
      <c r="M155" s="36">
        <f t="shared" si="163"/>
        <v>25</v>
      </c>
      <c r="N155" s="60">
        <f t="shared" si="164"/>
        <v>30.525030525030523</v>
      </c>
      <c r="O155" s="40"/>
      <c r="P155" s="36">
        <f t="shared" si="150"/>
        <v>19</v>
      </c>
      <c r="Q155" s="56">
        <f>'1.DATA KIA'!M149</f>
        <v>0</v>
      </c>
      <c r="R155" s="36">
        <f t="shared" si="165"/>
        <v>19</v>
      </c>
      <c r="S155" s="60">
        <f t="shared" si="166"/>
        <v>23.199023199023198</v>
      </c>
      <c r="T155" s="40"/>
      <c r="U155" s="33">
        <f t="shared" si="151"/>
        <v>5</v>
      </c>
      <c r="V155" s="36">
        <f>'1.DATA KIA'!Y149</f>
        <v>0</v>
      </c>
      <c r="W155" s="33">
        <f t="shared" si="167"/>
        <v>5</v>
      </c>
      <c r="X155" s="37">
        <f t="shared" si="152"/>
        <v>29.137529137529132</v>
      </c>
      <c r="Y155" s="40"/>
      <c r="Z155" s="33">
        <f t="shared" si="153"/>
        <v>3</v>
      </c>
      <c r="AA155" s="36">
        <f>'1.DATA KIA'!Z149</f>
        <v>0</v>
      </c>
      <c r="AB155" s="33">
        <f t="shared" si="168"/>
        <v>3</v>
      </c>
      <c r="AC155" s="37">
        <f t="shared" si="154"/>
        <v>17.48251748251748</v>
      </c>
      <c r="AD155" s="40"/>
      <c r="AE155" s="33">
        <f t="shared" si="155"/>
        <v>2</v>
      </c>
      <c r="AF155" s="41">
        <f>'8.ANCTEPADU'!D154+'8.ANCTEPADU'!E154</f>
        <v>0</v>
      </c>
      <c r="AG155" s="33">
        <f t="shared" si="169"/>
        <v>2</v>
      </c>
      <c r="AH155" s="37">
        <f t="shared" si="156"/>
        <v>2.3310023310023307</v>
      </c>
      <c r="AI155" s="33">
        <f t="shared" si="157"/>
        <v>3</v>
      </c>
      <c r="AJ155" s="41">
        <f>'8.ANCTEPADU'!J154</f>
        <v>0</v>
      </c>
      <c r="AK155" s="33">
        <f t="shared" si="170"/>
        <v>3</v>
      </c>
      <c r="AL155" s="37">
        <f t="shared" si="158"/>
        <v>3.4965034965034962</v>
      </c>
      <c r="AM155" s="36">
        <f t="shared" si="159"/>
        <v>23</v>
      </c>
      <c r="AN155" s="36">
        <f>'1.DATA KIA'!AG149</f>
        <v>0</v>
      </c>
      <c r="AO155" s="33">
        <f t="shared" si="171"/>
        <v>23</v>
      </c>
      <c r="AP155" s="37" t="e">
        <f t="shared" si="172"/>
        <v>#DIV/0!</v>
      </c>
      <c r="AQ155" s="40"/>
      <c r="AR155" s="42">
        <f t="shared" si="160"/>
        <v>23</v>
      </c>
      <c r="AS155" s="36">
        <f>'1.DATA KIA'!AB149</f>
        <v>0</v>
      </c>
      <c r="AT155" s="33">
        <f t="shared" si="173"/>
        <v>23</v>
      </c>
      <c r="AU155" s="37">
        <f t="shared" si="174"/>
        <v>28.083028083028083</v>
      </c>
      <c r="AV155" s="40"/>
      <c r="AW155" s="36">
        <f t="shared" si="161"/>
        <v>1</v>
      </c>
      <c r="AX155" s="33">
        <f>'1.DATA KIA'!AF149</f>
        <v>0</v>
      </c>
      <c r="AY155" s="36">
        <f t="shared" si="175"/>
        <v>1</v>
      </c>
      <c r="AZ155" s="37">
        <f t="shared" si="176"/>
        <v>5.8275058275058269</v>
      </c>
      <c r="BA155" s="38"/>
    </row>
    <row r="156" spans="1:54" ht="30" customHeight="1" x14ac:dyDescent="0.35">
      <c r="A156" s="33">
        <v>6</v>
      </c>
      <c r="B156" s="34" t="str">
        <f>PETUNJUK!B14</f>
        <v>Pulodarat</v>
      </c>
      <c r="C156" s="35">
        <f>'1.DATA KIA'!C150</f>
        <v>82.5</v>
      </c>
      <c r="D156" s="35">
        <f>'1.DATA KIA'!D150</f>
        <v>78.75</v>
      </c>
      <c r="E156" s="35">
        <f t="shared" si="146"/>
        <v>0</v>
      </c>
      <c r="F156" s="36">
        <f t="shared" si="147"/>
        <v>18</v>
      </c>
      <c r="G156" s="36">
        <f>'1.DATA KIA'!F150</f>
        <v>0</v>
      </c>
      <c r="H156" s="36">
        <f t="shared" si="162"/>
        <v>18</v>
      </c>
      <c r="I156" s="37">
        <f t="shared" si="148"/>
        <v>21.818181818181817</v>
      </c>
      <c r="J156" s="40"/>
      <c r="K156" s="36">
        <f t="shared" si="149"/>
        <v>19</v>
      </c>
      <c r="L156" s="33">
        <f>'1.DATA KIA'!J150</f>
        <v>0</v>
      </c>
      <c r="M156" s="36">
        <f t="shared" si="163"/>
        <v>19</v>
      </c>
      <c r="N156" s="60">
        <f t="shared" si="164"/>
        <v>24.126984126984127</v>
      </c>
      <c r="O156" s="40"/>
      <c r="P156" s="36">
        <f t="shared" si="150"/>
        <v>19</v>
      </c>
      <c r="Q156" s="56">
        <f>'1.DATA KIA'!M150</f>
        <v>0</v>
      </c>
      <c r="R156" s="36">
        <f t="shared" si="165"/>
        <v>19</v>
      </c>
      <c r="S156" s="60">
        <f t="shared" si="166"/>
        <v>24.126984126984127</v>
      </c>
      <c r="T156" s="40"/>
      <c r="U156" s="33">
        <f t="shared" si="151"/>
        <v>4</v>
      </c>
      <c r="V156" s="36">
        <f>'1.DATA KIA'!Y150</f>
        <v>0</v>
      </c>
      <c r="W156" s="33">
        <f t="shared" si="167"/>
        <v>4</v>
      </c>
      <c r="X156" s="37">
        <f t="shared" si="152"/>
        <v>24.242424242424242</v>
      </c>
      <c r="Y156" s="40"/>
      <c r="Z156" s="33">
        <f t="shared" si="153"/>
        <v>2</v>
      </c>
      <c r="AA156" s="36">
        <f>'1.DATA KIA'!Z150</f>
        <v>0</v>
      </c>
      <c r="AB156" s="33">
        <f t="shared" si="168"/>
        <v>2</v>
      </c>
      <c r="AC156" s="37">
        <f t="shared" si="154"/>
        <v>12.121212121212121</v>
      </c>
      <c r="AD156" s="40"/>
      <c r="AE156" s="33">
        <f t="shared" si="155"/>
        <v>3</v>
      </c>
      <c r="AF156" s="41">
        <f>'8.ANCTEPADU'!D155+'8.ANCTEPADU'!E155</f>
        <v>0</v>
      </c>
      <c r="AG156" s="33">
        <f t="shared" si="169"/>
        <v>3</v>
      </c>
      <c r="AH156" s="37">
        <f t="shared" si="156"/>
        <v>3.6363636363636362</v>
      </c>
      <c r="AI156" s="33">
        <f t="shared" si="157"/>
        <v>0</v>
      </c>
      <c r="AJ156" s="41">
        <f>'8.ANCTEPADU'!J155</f>
        <v>0</v>
      </c>
      <c r="AK156" s="33">
        <f t="shared" si="170"/>
        <v>0</v>
      </c>
      <c r="AL156" s="37">
        <f t="shared" si="158"/>
        <v>0</v>
      </c>
      <c r="AM156" s="36">
        <f t="shared" si="159"/>
        <v>17</v>
      </c>
      <c r="AN156" s="36">
        <f>'1.DATA KIA'!AG150</f>
        <v>0</v>
      </c>
      <c r="AO156" s="33">
        <f t="shared" si="171"/>
        <v>17</v>
      </c>
      <c r="AP156" s="37" t="e">
        <f t="shared" si="172"/>
        <v>#DIV/0!</v>
      </c>
      <c r="AQ156" s="40"/>
      <c r="AR156" s="42">
        <f t="shared" si="160"/>
        <v>17</v>
      </c>
      <c r="AS156" s="36">
        <f>'1.DATA KIA'!AB150</f>
        <v>0</v>
      </c>
      <c r="AT156" s="33">
        <f t="shared" si="173"/>
        <v>17</v>
      </c>
      <c r="AU156" s="37">
        <f t="shared" si="174"/>
        <v>21.587301587301589</v>
      </c>
      <c r="AV156" s="40"/>
      <c r="AW156" s="36">
        <f t="shared" si="161"/>
        <v>4</v>
      </c>
      <c r="AX156" s="33">
        <f>'1.DATA KIA'!AF150</f>
        <v>0</v>
      </c>
      <c r="AY156" s="36">
        <f t="shared" si="175"/>
        <v>4</v>
      </c>
      <c r="AZ156" s="37">
        <f t="shared" si="176"/>
        <v>24.242424242424242</v>
      </c>
      <c r="BA156" s="38"/>
    </row>
    <row r="157" spans="1:54" ht="30" customHeight="1" x14ac:dyDescent="0.35">
      <c r="A157" s="33">
        <v>7</v>
      </c>
      <c r="B157" s="34" t="str">
        <f>PETUNJUK!B15</f>
        <v>Karangrandu</v>
      </c>
      <c r="C157" s="35">
        <f>'1.DATA KIA'!C151</f>
        <v>93.500000000000014</v>
      </c>
      <c r="D157" s="35">
        <f>'1.DATA KIA'!D151</f>
        <v>89.25</v>
      </c>
      <c r="E157" s="35">
        <f t="shared" si="146"/>
        <v>0</v>
      </c>
      <c r="F157" s="36">
        <f t="shared" si="147"/>
        <v>31</v>
      </c>
      <c r="G157" s="36">
        <f>'1.DATA KIA'!F151</f>
        <v>0</v>
      </c>
      <c r="H157" s="36">
        <f t="shared" si="162"/>
        <v>31</v>
      </c>
      <c r="I157" s="37">
        <f t="shared" si="148"/>
        <v>33.155080213903737</v>
      </c>
      <c r="J157" s="40"/>
      <c r="K157" s="36">
        <f t="shared" si="149"/>
        <v>24</v>
      </c>
      <c r="L157" s="33">
        <f>'1.DATA KIA'!J151</f>
        <v>0</v>
      </c>
      <c r="M157" s="36">
        <f t="shared" si="163"/>
        <v>24</v>
      </c>
      <c r="N157" s="60">
        <f t="shared" si="164"/>
        <v>26.890756302521009</v>
      </c>
      <c r="O157" s="40"/>
      <c r="P157" s="36">
        <f t="shared" si="150"/>
        <v>27</v>
      </c>
      <c r="Q157" s="56">
        <f>'1.DATA KIA'!M151</f>
        <v>0</v>
      </c>
      <c r="R157" s="36">
        <f t="shared" si="165"/>
        <v>27</v>
      </c>
      <c r="S157" s="60">
        <f t="shared" si="166"/>
        <v>30.252100840336134</v>
      </c>
      <c r="T157" s="40"/>
      <c r="U157" s="33">
        <f t="shared" si="151"/>
        <v>14</v>
      </c>
      <c r="V157" s="36">
        <f>'1.DATA KIA'!Y151</f>
        <v>0</v>
      </c>
      <c r="W157" s="33">
        <f t="shared" si="167"/>
        <v>14</v>
      </c>
      <c r="X157" s="37">
        <f t="shared" si="152"/>
        <v>74.866310160427801</v>
      </c>
      <c r="Y157" s="40"/>
      <c r="Z157" s="33">
        <f t="shared" si="153"/>
        <v>5</v>
      </c>
      <c r="AA157" s="36">
        <f>'1.DATA KIA'!Z151</f>
        <v>0</v>
      </c>
      <c r="AB157" s="33">
        <f t="shared" si="168"/>
        <v>5</v>
      </c>
      <c r="AC157" s="37">
        <f t="shared" si="154"/>
        <v>26.737967914438499</v>
      </c>
      <c r="AD157" s="40"/>
      <c r="AE157" s="33">
        <f t="shared" si="155"/>
        <v>3</v>
      </c>
      <c r="AF157" s="41">
        <f>'8.ANCTEPADU'!D156+'8.ANCTEPADU'!E156</f>
        <v>0</v>
      </c>
      <c r="AG157" s="33">
        <f t="shared" si="169"/>
        <v>3</v>
      </c>
      <c r="AH157" s="37">
        <f t="shared" si="156"/>
        <v>3.2085561497326198</v>
      </c>
      <c r="AI157" s="33">
        <f t="shared" si="157"/>
        <v>2</v>
      </c>
      <c r="AJ157" s="41">
        <f>'8.ANCTEPADU'!J156</f>
        <v>0</v>
      </c>
      <c r="AK157" s="33">
        <f t="shared" si="170"/>
        <v>2</v>
      </c>
      <c r="AL157" s="37">
        <f t="shared" si="158"/>
        <v>2.1390374331550799</v>
      </c>
      <c r="AM157" s="36">
        <f t="shared" si="159"/>
        <v>26</v>
      </c>
      <c r="AN157" s="36">
        <f>'1.DATA KIA'!AG151</f>
        <v>0</v>
      </c>
      <c r="AO157" s="33">
        <f t="shared" si="171"/>
        <v>26</v>
      </c>
      <c r="AP157" s="37" t="e">
        <f t="shared" si="172"/>
        <v>#DIV/0!</v>
      </c>
      <c r="AQ157" s="40"/>
      <c r="AR157" s="42">
        <f t="shared" si="160"/>
        <v>27</v>
      </c>
      <c r="AS157" s="36">
        <f>'1.DATA KIA'!AB151</f>
        <v>0</v>
      </c>
      <c r="AT157" s="33">
        <f t="shared" si="173"/>
        <v>27</v>
      </c>
      <c r="AU157" s="37">
        <f t="shared" si="174"/>
        <v>30.252100840336134</v>
      </c>
      <c r="AV157" s="40"/>
      <c r="AW157" s="36">
        <f t="shared" si="161"/>
        <v>4</v>
      </c>
      <c r="AX157" s="33">
        <f>'1.DATA KIA'!AF151</f>
        <v>0</v>
      </c>
      <c r="AY157" s="36">
        <f t="shared" si="175"/>
        <v>4</v>
      </c>
      <c r="AZ157" s="37">
        <f t="shared" si="176"/>
        <v>21.390374331550799</v>
      </c>
      <c r="BA157" s="38"/>
    </row>
    <row r="158" spans="1:54" ht="30" customHeight="1" x14ac:dyDescent="0.35">
      <c r="A158" s="33">
        <v>8</v>
      </c>
      <c r="B158" s="34" t="str">
        <f>PETUNJUK!B16</f>
        <v>Kaliombo</v>
      </c>
      <c r="C158" s="35">
        <f>'1.DATA KIA'!C152</f>
        <v>46.2</v>
      </c>
      <c r="D158" s="35">
        <f>'1.DATA KIA'!D152</f>
        <v>44.1</v>
      </c>
      <c r="E158" s="35">
        <f t="shared" si="146"/>
        <v>0</v>
      </c>
      <c r="F158" s="36">
        <f t="shared" si="147"/>
        <v>13</v>
      </c>
      <c r="G158" s="36">
        <f>'1.DATA KIA'!F152</f>
        <v>0</v>
      </c>
      <c r="H158" s="36">
        <f t="shared" si="162"/>
        <v>13</v>
      </c>
      <c r="I158" s="37">
        <f t="shared" si="148"/>
        <v>28.138528138528134</v>
      </c>
      <c r="J158" s="40"/>
      <c r="K158" s="36">
        <f t="shared" si="149"/>
        <v>13</v>
      </c>
      <c r="L158" s="33">
        <f>'1.DATA KIA'!J152</f>
        <v>0</v>
      </c>
      <c r="M158" s="36">
        <f t="shared" si="163"/>
        <v>13</v>
      </c>
      <c r="N158" s="60">
        <f t="shared" si="164"/>
        <v>29.478458049886619</v>
      </c>
      <c r="O158" s="40"/>
      <c r="P158" s="36">
        <f t="shared" si="150"/>
        <v>13</v>
      </c>
      <c r="Q158" s="56">
        <f>'1.DATA KIA'!M152</f>
        <v>0</v>
      </c>
      <c r="R158" s="36">
        <f t="shared" si="165"/>
        <v>13</v>
      </c>
      <c r="S158" s="60">
        <f t="shared" si="166"/>
        <v>29.478458049886619</v>
      </c>
      <c r="T158" s="40"/>
      <c r="U158" s="33">
        <f t="shared" si="151"/>
        <v>7</v>
      </c>
      <c r="V158" s="36">
        <f>'1.DATA KIA'!Y152</f>
        <v>0</v>
      </c>
      <c r="W158" s="33">
        <f t="shared" si="167"/>
        <v>7</v>
      </c>
      <c r="X158" s="37">
        <f t="shared" si="152"/>
        <v>75.757575757575751</v>
      </c>
      <c r="Y158" s="40"/>
      <c r="Z158" s="33">
        <f t="shared" si="153"/>
        <v>2</v>
      </c>
      <c r="AA158" s="36">
        <f>'1.DATA KIA'!Z152</f>
        <v>0</v>
      </c>
      <c r="AB158" s="33">
        <f t="shared" si="168"/>
        <v>2</v>
      </c>
      <c r="AC158" s="37">
        <f t="shared" si="154"/>
        <v>21.645021645021643</v>
      </c>
      <c r="AD158" s="40"/>
      <c r="AE158" s="33">
        <f t="shared" si="155"/>
        <v>0</v>
      </c>
      <c r="AF158" s="41">
        <f>'8.ANCTEPADU'!D157+'8.ANCTEPADU'!E157</f>
        <v>0</v>
      </c>
      <c r="AG158" s="33">
        <f t="shared" si="169"/>
        <v>0</v>
      </c>
      <c r="AH158" s="37">
        <f t="shared" si="156"/>
        <v>0</v>
      </c>
      <c r="AI158" s="33">
        <f t="shared" si="157"/>
        <v>1</v>
      </c>
      <c r="AJ158" s="41">
        <f>'8.ANCTEPADU'!J157</f>
        <v>0</v>
      </c>
      <c r="AK158" s="33">
        <f t="shared" si="170"/>
        <v>1</v>
      </c>
      <c r="AL158" s="37">
        <f t="shared" si="158"/>
        <v>2.1645021645021645</v>
      </c>
      <c r="AM158" s="36">
        <f t="shared" si="159"/>
        <v>13</v>
      </c>
      <c r="AN158" s="36">
        <f>'1.DATA KIA'!AG152</f>
        <v>0</v>
      </c>
      <c r="AO158" s="33">
        <f t="shared" si="171"/>
        <v>13</v>
      </c>
      <c r="AP158" s="37" t="e">
        <f t="shared" si="172"/>
        <v>#DIV/0!</v>
      </c>
      <c r="AQ158" s="40"/>
      <c r="AR158" s="42">
        <f t="shared" si="160"/>
        <v>13</v>
      </c>
      <c r="AS158" s="36">
        <f>'1.DATA KIA'!AB152</f>
        <v>0</v>
      </c>
      <c r="AT158" s="33">
        <f t="shared" si="173"/>
        <v>13</v>
      </c>
      <c r="AU158" s="37">
        <f t="shared" si="174"/>
        <v>29.478458049886619</v>
      </c>
      <c r="AV158" s="40"/>
      <c r="AW158" s="36">
        <f t="shared" si="161"/>
        <v>5</v>
      </c>
      <c r="AX158" s="33">
        <f>'1.DATA KIA'!AF152</f>
        <v>0</v>
      </c>
      <c r="AY158" s="36">
        <f t="shared" si="175"/>
        <v>5</v>
      </c>
      <c r="AZ158" s="37">
        <f t="shared" si="176"/>
        <v>54.112554112554115</v>
      </c>
      <c r="BA158" s="38"/>
    </row>
    <row r="159" spans="1:54" ht="30" customHeight="1" x14ac:dyDescent="0.35">
      <c r="A159" s="33">
        <v>9</v>
      </c>
      <c r="B159" s="34" t="str">
        <f>PETUNJUK!B17</f>
        <v>Gemulung</v>
      </c>
      <c r="C159" s="35">
        <f>'1.DATA KIA'!C153</f>
        <v>53.900000000000006</v>
      </c>
      <c r="D159" s="35">
        <f>'1.DATA KIA'!D153</f>
        <v>51.45</v>
      </c>
      <c r="E159" s="35">
        <f t="shared" si="146"/>
        <v>0</v>
      </c>
      <c r="F159" s="36">
        <f t="shared" si="147"/>
        <v>19</v>
      </c>
      <c r="G159" s="36">
        <f>'1.DATA KIA'!F153</f>
        <v>0</v>
      </c>
      <c r="H159" s="36">
        <f t="shared" si="162"/>
        <v>19</v>
      </c>
      <c r="I159" s="37">
        <f t="shared" si="148"/>
        <v>35.250463821892389</v>
      </c>
      <c r="J159" s="40"/>
      <c r="K159" s="36">
        <f t="shared" si="149"/>
        <v>19</v>
      </c>
      <c r="L159" s="33">
        <f>'1.DATA KIA'!J153</f>
        <v>0</v>
      </c>
      <c r="M159" s="36">
        <f t="shared" si="163"/>
        <v>19</v>
      </c>
      <c r="N159" s="60">
        <f t="shared" si="164"/>
        <v>36.929057337220598</v>
      </c>
      <c r="O159" s="40"/>
      <c r="P159" s="36">
        <f t="shared" si="150"/>
        <v>19</v>
      </c>
      <c r="Q159" s="56">
        <f>'1.DATA KIA'!M153</f>
        <v>0</v>
      </c>
      <c r="R159" s="36">
        <f t="shared" si="165"/>
        <v>19</v>
      </c>
      <c r="S159" s="60">
        <f t="shared" si="166"/>
        <v>36.929057337220598</v>
      </c>
      <c r="T159" s="40"/>
      <c r="U159" s="33">
        <f t="shared" si="151"/>
        <v>3</v>
      </c>
      <c r="V159" s="36">
        <f>'1.DATA KIA'!Y153</f>
        <v>0</v>
      </c>
      <c r="W159" s="33">
        <f t="shared" si="167"/>
        <v>3</v>
      </c>
      <c r="X159" s="37">
        <f t="shared" si="152"/>
        <v>27.829313543599255</v>
      </c>
      <c r="Y159" s="40"/>
      <c r="Z159" s="33">
        <f t="shared" si="153"/>
        <v>1</v>
      </c>
      <c r="AA159" s="36">
        <f>'1.DATA KIA'!Z153</f>
        <v>0</v>
      </c>
      <c r="AB159" s="33">
        <f t="shared" si="168"/>
        <v>1</v>
      </c>
      <c r="AC159" s="37">
        <f t="shared" si="154"/>
        <v>9.2764378478664185</v>
      </c>
      <c r="AD159" s="40"/>
      <c r="AE159" s="33">
        <f t="shared" si="155"/>
        <v>4</v>
      </c>
      <c r="AF159" s="41">
        <f>'8.ANCTEPADU'!D158+'8.ANCTEPADU'!E158</f>
        <v>0</v>
      </c>
      <c r="AG159" s="33">
        <f t="shared" si="169"/>
        <v>4</v>
      </c>
      <c r="AH159" s="37">
        <f t="shared" si="156"/>
        <v>7.4211502782931342</v>
      </c>
      <c r="AI159" s="33">
        <f t="shared" si="157"/>
        <v>1</v>
      </c>
      <c r="AJ159" s="41">
        <f>'8.ANCTEPADU'!J158</f>
        <v>0</v>
      </c>
      <c r="AK159" s="33">
        <f t="shared" si="170"/>
        <v>1</v>
      </c>
      <c r="AL159" s="37">
        <f t="shared" si="158"/>
        <v>1.8552875695732836</v>
      </c>
      <c r="AM159" s="36">
        <f t="shared" si="159"/>
        <v>20</v>
      </c>
      <c r="AN159" s="36">
        <f>'1.DATA KIA'!AG153</f>
        <v>0</v>
      </c>
      <c r="AO159" s="33">
        <f t="shared" si="171"/>
        <v>20</v>
      </c>
      <c r="AP159" s="37" t="e">
        <f t="shared" si="172"/>
        <v>#DIV/0!</v>
      </c>
      <c r="AQ159" s="40"/>
      <c r="AR159" s="42">
        <f t="shared" si="160"/>
        <v>20</v>
      </c>
      <c r="AS159" s="36">
        <f>'1.DATA KIA'!AB153</f>
        <v>0</v>
      </c>
      <c r="AT159" s="33">
        <f t="shared" si="173"/>
        <v>20</v>
      </c>
      <c r="AU159" s="37">
        <f t="shared" si="174"/>
        <v>38.872691933916421</v>
      </c>
      <c r="AV159" s="40"/>
      <c r="AW159" s="36">
        <f t="shared" si="161"/>
        <v>8</v>
      </c>
      <c r="AX159" s="33">
        <f>'1.DATA KIA'!AF153</f>
        <v>0</v>
      </c>
      <c r="AY159" s="36">
        <f t="shared" si="175"/>
        <v>8</v>
      </c>
      <c r="AZ159" s="37">
        <f t="shared" si="176"/>
        <v>74.211502782931348</v>
      </c>
      <c r="BA159" s="38"/>
    </row>
    <row r="160" spans="1:54" ht="30" customHeight="1" x14ac:dyDescent="0.35">
      <c r="A160" s="33">
        <v>10</v>
      </c>
      <c r="B160" s="34" t="str">
        <f>PETUNJUK!B18</f>
        <v>Pecangaan Wetan</v>
      </c>
      <c r="C160" s="35">
        <f>'1.DATA KIA'!C154</f>
        <v>50.6</v>
      </c>
      <c r="D160" s="35">
        <f>'1.DATA KIA'!D154</f>
        <v>48.300000000000004</v>
      </c>
      <c r="E160" s="35">
        <f t="shared" si="146"/>
        <v>0</v>
      </c>
      <c r="F160" s="36">
        <f t="shared" si="147"/>
        <v>15</v>
      </c>
      <c r="G160" s="36">
        <f>'1.DATA KIA'!F154</f>
        <v>0</v>
      </c>
      <c r="H160" s="36">
        <f t="shared" si="162"/>
        <v>15</v>
      </c>
      <c r="I160" s="37">
        <f t="shared" si="148"/>
        <v>29.644268774703558</v>
      </c>
      <c r="J160" s="40"/>
      <c r="K160" s="36">
        <f t="shared" si="149"/>
        <v>12</v>
      </c>
      <c r="L160" s="33">
        <f>'1.DATA KIA'!J154</f>
        <v>0</v>
      </c>
      <c r="M160" s="36">
        <f t="shared" si="163"/>
        <v>12</v>
      </c>
      <c r="N160" s="60">
        <f t="shared" si="164"/>
        <v>24.844720496894407</v>
      </c>
      <c r="O160" s="40"/>
      <c r="P160" s="36">
        <f t="shared" si="150"/>
        <v>10</v>
      </c>
      <c r="Q160" s="56">
        <f>'1.DATA KIA'!M154</f>
        <v>0</v>
      </c>
      <c r="R160" s="36">
        <f t="shared" si="165"/>
        <v>10</v>
      </c>
      <c r="S160" s="60">
        <f t="shared" si="166"/>
        <v>20.703933747412005</v>
      </c>
      <c r="T160" s="40"/>
      <c r="U160" s="33">
        <f t="shared" si="151"/>
        <v>4</v>
      </c>
      <c r="V160" s="36">
        <f>'1.DATA KIA'!Y154</f>
        <v>0</v>
      </c>
      <c r="W160" s="33">
        <f t="shared" si="167"/>
        <v>4</v>
      </c>
      <c r="X160" s="37">
        <f t="shared" si="152"/>
        <v>39.525691699604735</v>
      </c>
      <c r="Y160" s="40"/>
      <c r="Z160" s="33">
        <f t="shared" si="153"/>
        <v>0</v>
      </c>
      <c r="AA160" s="36">
        <f>'1.DATA KIA'!Z154</f>
        <v>0</v>
      </c>
      <c r="AB160" s="33">
        <f t="shared" si="168"/>
        <v>0</v>
      </c>
      <c r="AC160" s="37">
        <f t="shared" si="154"/>
        <v>0</v>
      </c>
      <c r="AD160" s="40"/>
      <c r="AE160" s="33">
        <f t="shared" si="155"/>
        <v>0</v>
      </c>
      <c r="AF160" s="41">
        <f>'8.ANCTEPADU'!D159+'8.ANCTEPADU'!E159</f>
        <v>0</v>
      </c>
      <c r="AG160" s="33">
        <f t="shared" si="169"/>
        <v>0</v>
      </c>
      <c r="AH160" s="37">
        <f t="shared" si="156"/>
        <v>0</v>
      </c>
      <c r="AI160" s="33">
        <f t="shared" si="157"/>
        <v>5</v>
      </c>
      <c r="AJ160" s="41">
        <f>'8.ANCTEPADU'!J159</f>
        <v>0</v>
      </c>
      <c r="AK160" s="33">
        <f t="shared" si="170"/>
        <v>5</v>
      </c>
      <c r="AL160" s="37">
        <f t="shared" si="158"/>
        <v>9.8814229249011856</v>
      </c>
      <c r="AM160" s="36">
        <f t="shared" si="159"/>
        <v>13</v>
      </c>
      <c r="AN160" s="36">
        <f>'1.DATA KIA'!AG154</f>
        <v>0</v>
      </c>
      <c r="AO160" s="33">
        <f t="shared" si="171"/>
        <v>13</v>
      </c>
      <c r="AP160" s="37" t="e">
        <f t="shared" si="172"/>
        <v>#DIV/0!</v>
      </c>
      <c r="AQ160" s="40"/>
      <c r="AR160" s="42">
        <f t="shared" si="160"/>
        <v>13</v>
      </c>
      <c r="AS160" s="36">
        <f>'1.DATA KIA'!AB154</f>
        <v>0</v>
      </c>
      <c r="AT160" s="33">
        <f t="shared" si="173"/>
        <v>13</v>
      </c>
      <c r="AU160" s="37">
        <f t="shared" si="174"/>
        <v>26.915113871635612</v>
      </c>
      <c r="AV160" s="40"/>
      <c r="AW160" s="36">
        <f t="shared" si="161"/>
        <v>1</v>
      </c>
      <c r="AX160" s="33">
        <f>'1.DATA KIA'!AF154</f>
        <v>0</v>
      </c>
      <c r="AY160" s="36">
        <f t="shared" si="175"/>
        <v>1</v>
      </c>
      <c r="AZ160" s="37">
        <f t="shared" si="176"/>
        <v>9.8814229249011838</v>
      </c>
      <c r="BA160" s="38"/>
    </row>
    <row r="161" spans="1:53" ht="30" customHeight="1" x14ac:dyDescent="0.35">
      <c r="A161" s="33">
        <v>11</v>
      </c>
      <c r="B161" s="34" t="str">
        <f>PETUNJUK!B19</f>
        <v>Krasak</v>
      </c>
      <c r="C161" s="35">
        <f>'1.DATA KIA'!C155</f>
        <v>117.7</v>
      </c>
      <c r="D161" s="35">
        <f>'1.DATA KIA'!D155</f>
        <v>112.35000000000001</v>
      </c>
      <c r="E161" s="35">
        <f t="shared" si="146"/>
        <v>0</v>
      </c>
      <c r="F161" s="36">
        <f t="shared" si="147"/>
        <v>45</v>
      </c>
      <c r="G161" s="36">
        <f>'1.DATA KIA'!F155</f>
        <v>0</v>
      </c>
      <c r="H161" s="36">
        <f t="shared" si="162"/>
        <v>45</v>
      </c>
      <c r="I161" s="37">
        <f t="shared" si="148"/>
        <v>38.232795242141037</v>
      </c>
      <c r="J161" s="40"/>
      <c r="K161" s="36">
        <f t="shared" si="149"/>
        <v>22</v>
      </c>
      <c r="L161" s="33">
        <f>'1.DATA KIA'!J155</f>
        <v>0</v>
      </c>
      <c r="M161" s="36">
        <f t="shared" si="163"/>
        <v>22</v>
      </c>
      <c r="N161" s="60">
        <f t="shared" si="164"/>
        <v>19.581664441477525</v>
      </c>
      <c r="O161" s="40"/>
      <c r="P161" s="36">
        <f t="shared" si="150"/>
        <v>29</v>
      </c>
      <c r="Q161" s="56">
        <f>'1.DATA KIA'!M155</f>
        <v>0</v>
      </c>
      <c r="R161" s="36">
        <f t="shared" si="165"/>
        <v>29</v>
      </c>
      <c r="S161" s="60">
        <f t="shared" si="166"/>
        <v>25.812194036493104</v>
      </c>
      <c r="T161" s="40"/>
      <c r="U161" s="33">
        <f t="shared" si="151"/>
        <v>5</v>
      </c>
      <c r="V161" s="36">
        <f>'1.DATA KIA'!Y155</f>
        <v>0</v>
      </c>
      <c r="W161" s="33">
        <f t="shared" si="167"/>
        <v>5</v>
      </c>
      <c r="X161" s="37">
        <f t="shared" si="152"/>
        <v>21.240441801189462</v>
      </c>
      <c r="Y161" s="40"/>
      <c r="Z161" s="33">
        <f t="shared" si="153"/>
        <v>6</v>
      </c>
      <c r="AA161" s="36">
        <f>'1.DATA KIA'!Z155</f>
        <v>0</v>
      </c>
      <c r="AB161" s="33">
        <f t="shared" si="168"/>
        <v>6</v>
      </c>
      <c r="AC161" s="37">
        <f t="shared" si="154"/>
        <v>25.488530161427352</v>
      </c>
      <c r="AD161" s="40"/>
      <c r="AE161" s="33">
        <f t="shared" si="155"/>
        <v>3</v>
      </c>
      <c r="AF161" s="41">
        <f>'8.ANCTEPADU'!D160+'8.ANCTEPADU'!E160</f>
        <v>0</v>
      </c>
      <c r="AG161" s="33">
        <f t="shared" si="169"/>
        <v>3</v>
      </c>
      <c r="AH161" s="37">
        <f t="shared" si="156"/>
        <v>2.5488530161427359</v>
      </c>
      <c r="AI161" s="33">
        <f t="shared" si="157"/>
        <v>4</v>
      </c>
      <c r="AJ161" s="41">
        <f>'8.ANCTEPADU'!J160</f>
        <v>0</v>
      </c>
      <c r="AK161" s="33">
        <f t="shared" si="170"/>
        <v>4</v>
      </c>
      <c r="AL161" s="37">
        <f t="shared" si="158"/>
        <v>3.3984706881903146</v>
      </c>
      <c r="AM161" s="36">
        <f t="shared" si="159"/>
        <v>29</v>
      </c>
      <c r="AN161" s="36">
        <f>'1.DATA KIA'!AG155</f>
        <v>0</v>
      </c>
      <c r="AO161" s="33">
        <f t="shared" si="171"/>
        <v>29</v>
      </c>
      <c r="AP161" s="37" t="e">
        <f t="shared" si="172"/>
        <v>#DIV/0!</v>
      </c>
      <c r="AQ161" s="40"/>
      <c r="AR161" s="42">
        <f t="shared" si="160"/>
        <v>29</v>
      </c>
      <c r="AS161" s="36">
        <f>'1.DATA KIA'!AB155</f>
        <v>0</v>
      </c>
      <c r="AT161" s="33">
        <f t="shared" si="173"/>
        <v>29</v>
      </c>
      <c r="AU161" s="37">
        <f t="shared" si="174"/>
        <v>25.812194036493104</v>
      </c>
      <c r="AV161" s="40"/>
      <c r="AW161" s="36">
        <f t="shared" si="161"/>
        <v>7</v>
      </c>
      <c r="AX161" s="33">
        <f>'1.DATA KIA'!AF155</f>
        <v>0</v>
      </c>
      <c r="AY161" s="36">
        <f t="shared" si="175"/>
        <v>7</v>
      </c>
      <c r="AZ161" s="37">
        <f t="shared" si="176"/>
        <v>29.73661852166525</v>
      </c>
      <c r="BA161" s="38"/>
    </row>
    <row r="162" spans="1:53" ht="30" customHeight="1" x14ac:dyDescent="0.35">
      <c r="A162" s="33">
        <v>12</v>
      </c>
      <c r="B162" s="34" t="str">
        <f>PETUNJUK!B20</f>
        <v>Gerdu</v>
      </c>
      <c r="C162" s="35">
        <f>'1.DATA KIA'!C156</f>
        <v>23.1</v>
      </c>
      <c r="D162" s="35">
        <f>'1.DATA KIA'!D156</f>
        <v>22.05</v>
      </c>
      <c r="E162" s="35">
        <f t="shared" si="146"/>
        <v>0</v>
      </c>
      <c r="F162" s="36">
        <f t="shared" si="147"/>
        <v>8</v>
      </c>
      <c r="G162" s="36">
        <f>'1.DATA KIA'!F156</f>
        <v>0</v>
      </c>
      <c r="H162" s="36">
        <f t="shared" si="162"/>
        <v>8</v>
      </c>
      <c r="I162" s="37">
        <f t="shared" si="148"/>
        <v>34.632034632034632</v>
      </c>
      <c r="J162" s="40"/>
      <c r="K162" s="36">
        <f t="shared" si="149"/>
        <v>8</v>
      </c>
      <c r="L162" s="33">
        <f>'1.DATA KIA'!J156</f>
        <v>0</v>
      </c>
      <c r="M162" s="36">
        <f t="shared" si="163"/>
        <v>8</v>
      </c>
      <c r="N162" s="60">
        <f t="shared" si="164"/>
        <v>36.281179138321995</v>
      </c>
      <c r="O162" s="40"/>
      <c r="P162" s="36">
        <f t="shared" si="150"/>
        <v>8</v>
      </c>
      <c r="Q162" s="56">
        <f>'1.DATA KIA'!M156</f>
        <v>0</v>
      </c>
      <c r="R162" s="36">
        <f t="shared" si="165"/>
        <v>8</v>
      </c>
      <c r="S162" s="60">
        <f t="shared" si="166"/>
        <v>36.281179138321995</v>
      </c>
      <c r="T162" s="40"/>
      <c r="U162" s="33">
        <f t="shared" si="151"/>
        <v>2</v>
      </c>
      <c r="V162" s="36">
        <f>'1.DATA KIA'!Y156</f>
        <v>0</v>
      </c>
      <c r="W162" s="33">
        <f t="shared" si="167"/>
        <v>2</v>
      </c>
      <c r="X162" s="37">
        <f t="shared" si="152"/>
        <v>43.290043290043286</v>
      </c>
      <c r="Y162" s="40"/>
      <c r="Z162" s="33">
        <f t="shared" si="153"/>
        <v>1</v>
      </c>
      <c r="AA162" s="36">
        <f>'1.DATA KIA'!Z156</f>
        <v>0</v>
      </c>
      <c r="AB162" s="33">
        <f t="shared" si="168"/>
        <v>1</v>
      </c>
      <c r="AC162" s="37">
        <f t="shared" si="154"/>
        <v>21.645021645021643</v>
      </c>
      <c r="AD162" s="40"/>
      <c r="AE162" s="33">
        <f t="shared" si="155"/>
        <v>0</v>
      </c>
      <c r="AF162" s="41">
        <f>'8.ANCTEPADU'!D161+'8.ANCTEPADU'!E161</f>
        <v>0</v>
      </c>
      <c r="AG162" s="33">
        <f t="shared" si="169"/>
        <v>0</v>
      </c>
      <c r="AH162" s="37">
        <f t="shared" si="156"/>
        <v>0</v>
      </c>
      <c r="AI162" s="33">
        <f t="shared" si="157"/>
        <v>1</v>
      </c>
      <c r="AJ162" s="41">
        <f>'8.ANCTEPADU'!J161</f>
        <v>0</v>
      </c>
      <c r="AK162" s="33">
        <f t="shared" si="170"/>
        <v>1</v>
      </c>
      <c r="AL162" s="37">
        <f t="shared" si="158"/>
        <v>4.329004329004329</v>
      </c>
      <c r="AM162" s="36">
        <f t="shared" si="159"/>
        <v>5</v>
      </c>
      <c r="AN162" s="36">
        <f>'1.DATA KIA'!AG156</f>
        <v>0</v>
      </c>
      <c r="AO162" s="33">
        <f>AN162+AM162</f>
        <v>5</v>
      </c>
      <c r="AP162" s="37" t="e">
        <f t="shared" si="172"/>
        <v>#DIV/0!</v>
      </c>
      <c r="AQ162" s="40"/>
      <c r="AR162" s="42">
        <f t="shared" si="160"/>
        <v>5</v>
      </c>
      <c r="AS162" s="36">
        <f>'1.DATA KIA'!AB156</f>
        <v>0</v>
      </c>
      <c r="AT162" s="33">
        <f>AS162+AR162</f>
        <v>5</v>
      </c>
      <c r="AU162" s="37">
        <f t="shared" si="174"/>
        <v>22.675736961451246</v>
      </c>
      <c r="AV162" s="40"/>
      <c r="AW162" s="36">
        <f t="shared" si="161"/>
        <v>2</v>
      </c>
      <c r="AX162" s="33">
        <f>'1.DATA KIA'!AF156</f>
        <v>0</v>
      </c>
      <c r="AY162" s="36">
        <f t="shared" si="175"/>
        <v>2</v>
      </c>
      <c r="AZ162" s="37">
        <f t="shared" si="176"/>
        <v>43.290043290043286</v>
      </c>
      <c r="BA162" s="38"/>
    </row>
    <row r="163" spans="1:53" ht="30" customHeight="1" x14ac:dyDescent="0.35">
      <c r="A163" s="33">
        <v>13</v>
      </c>
      <c r="B163" s="34">
        <f>PETUNJUK!B21</f>
        <v>0</v>
      </c>
      <c r="C163" s="35">
        <f>'1.DATA KIA'!C157</f>
        <v>0</v>
      </c>
      <c r="D163" s="35">
        <f>'1.DATA KIA'!D157</f>
        <v>0</v>
      </c>
      <c r="E163" s="35">
        <f t="shared" si="146"/>
        <v>0</v>
      </c>
      <c r="F163" s="36">
        <f t="shared" si="147"/>
        <v>0</v>
      </c>
      <c r="G163" s="36">
        <f>'1.DATA KIA'!F157</f>
        <v>0</v>
      </c>
      <c r="H163" s="36">
        <f t="shared" si="162"/>
        <v>0</v>
      </c>
      <c r="I163" s="37" t="e">
        <f t="shared" si="148"/>
        <v>#DIV/0!</v>
      </c>
      <c r="J163" s="40"/>
      <c r="K163" s="36">
        <f t="shared" si="149"/>
        <v>0</v>
      </c>
      <c r="L163" s="33">
        <f>'1.DATA KIA'!J157</f>
        <v>0</v>
      </c>
      <c r="M163" s="36">
        <f t="shared" si="163"/>
        <v>0</v>
      </c>
      <c r="N163" s="60" t="e">
        <f t="shared" si="164"/>
        <v>#DIV/0!</v>
      </c>
      <c r="O163" s="40"/>
      <c r="P163" s="36">
        <f t="shared" si="150"/>
        <v>0</v>
      </c>
      <c r="Q163" s="56">
        <f>'1.DATA KIA'!M157</f>
        <v>0</v>
      </c>
      <c r="R163" s="36">
        <f t="shared" si="165"/>
        <v>0</v>
      </c>
      <c r="S163" s="60" t="e">
        <f t="shared" si="166"/>
        <v>#DIV/0!</v>
      </c>
      <c r="T163" s="40"/>
      <c r="U163" s="33">
        <f t="shared" si="151"/>
        <v>0</v>
      </c>
      <c r="V163" s="36">
        <f>'1.DATA KIA'!Y157</f>
        <v>0</v>
      </c>
      <c r="W163" s="33">
        <f t="shared" si="167"/>
        <v>0</v>
      </c>
      <c r="X163" s="37" t="e">
        <f t="shared" si="152"/>
        <v>#DIV/0!</v>
      </c>
      <c r="Y163" s="40"/>
      <c r="Z163" s="33">
        <f t="shared" si="153"/>
        <v>0</v>
      </c>
      <c r="AA163" s="36">
        <f>'1.DATA KIA'!Z157</f>
        <v>0</v>
      </c>
      <c r="AB163" s="33">
        <f t="shared" si="168"/>
        <v>0</v>
      </c>
      <c r="AC163" s="37" t="e">
        <f t="shared" si="154"/>
        <v>#DIV/0!</v>
      </c>
      <c r="AD163" s="40"/>
      <c r="AE163" s="33">
        <f t="shared" si="155"/>
        <v>0</v>
      </c>
      <c r="AF163" s="41">
        <f>'8.ANCTEPADU'!D162+'8.ANCTEPADU'!E162</f>
        <v>0</v>
      </c>
      <c r="AG163" s="33">
        <f t="shared" si="169"/>
        <v>0</v>
      </c>
      <c r="AH163" s="37" t="e">
        <f t="shared" si="156"/>
        <v>#DIV/0!</v>
      </c>
      <c r="AI163" s="33">
        <f t="shared" si="157"/>
        <v>0</v>
      </c>
      <c r="AJ163" s="41">
        <f>'8.ANCTEPADU'!J162</f>
        <v>0</v>
      </c>
      <c r="AK163" s="33">
        <f t="shared" si="170"/>
        <v>0</v>
      </c>
      <c r="AL163" s="37" t="e">
        <f t="shared" si="158"/>
        <v>#DIV/0!</v>
      </c>
      <c r="AM163" s="36">
        <f t="shared" si="159"/>
        <v>0</v>
      </c>
      <c r="AN163" s="36">
        <f>'1.DATA KIA'!AG157</f>
        <v>0</v>
      </c>
      <c r="AO163" s="33">
        <f t="shared" ref="AO163:AO168" si="177">AN163+AM163</f>
        <v>0</v>
      </c>
      <c r="AP163" s="37" t="e">
        <f t="shared" si="172"/>
        <v>#DIV/0!</v>
      </c>
      <c r="AQ163" s="40"/>
      <c r="AR163" s="42">
        <f t="shared" si="160"/>
        <v>0</v>
      </c>
      <c r="AS163" s="36">
        <f>'1.DATA KIA'!AB157</f>
        <v>0</v>
      </c>
      <c r="AT163" s="33">
        <f t="shared" ref="AT163:AT168" si="178">AS163+AR163</f>
        <v>0</v>
      </c>
      <c r="AU163" s="37" t="e">
        <f t="shared" si="174"/>
        <v>#DIV/0!</v>
      </c>
      <c r="AV163" s="40"/>
      <c r="AW163" s="36">
        <f t="shared" si="161"/>
        <v>0</v>
      </c>
      <c r="AX163" s="33">
        <f>'1.DATA KIA'!AF157</f>
        <v>0</v>
      </c>
      <c r="AY163" s="36">
        <f t="shared" si="175"/>
        <v>0</v>
      </c>
      <c r="AZ163" s="37" t="e">
        <f t="shared" si="176"/>
        <v>#DIV/0!</v>
      </c>
      <c r="BA163" s="38"/>
    </row>
    <row r="164" spans="1:53" ht="30" customHeight="1" x14ac:dyDescent="0.35">
      <c r="A164" s="33">
        <v>14</v>
      </c>
      <c r="B164" s="34">
        <f>PETUNJUK!B22</f>
        <v>0</v>
      </c>
      <c r="C164" s="35">
        <f>'1.DATA KIA'!C158</f>
        <v>0</v>
      </c>
      <c r="D164" s="35">
        <f>'1.DATA KIA'!D158</f>
        <v>0</v>
      </c>
      <c r="E164" s="35">
        <f t="shared" si="146"/>
        <v>0</v>
      </c>
      <c r="F164" s="36">
        <f t="shared" si="147"/>
        <v>0</v>
      </c>
      <c r="G164" s="36">
        <f>'1.DATA KIA'!F158</f>
        <v>0</v>
      </c>
      <c r="H164" s="36">
        <f t="shared" si="162"/>
        <v>0</v>
      </c>
      <c r="I164" s="37" t="e">
        <f t="shared" si="148"/>
        <v>#DIV/0!</v>
      </c>
      <c r="J164" s="40"/>
      <c r="K164" s="36">
        <f t="shared" si="149"/>
        <v>0</v>
      </c>
      <c r="L164" s="33">
        <f>'1.DATA KIA'!J158</f>
        <v>0</v>
      </c>
      <c r="M164" s="36">
        <f t="shared" si="163"/>
        <v>0</v>
      </c>
      <c r="N164" s="60" t="e">
        <f t="shared" si="164"/>
        <v>#DIV/0!</v>
      </c>
      <c r="O164" s="40"/>
      <c r="P164" s="36">
        <f t="shared" si="150"/>
        <v>0</v>
      </c>
      <c r="Q164" s="56">
        <f>'1.DATA KIA'!M158</f>
        <v>0</v>
      </c>
      <c r="R164" s="36">
        <f t="shared" si="165"/>
        <v>0</v>
      </c>
      <c r="S164" s="60" t="e">
        <f t="shared" si="166"/>
        <v>#DIV/0!</v>
      </c>
      <c r="T164" s="40"/>
      <c r="U164" s="33">
        <f t="shared" si="151"/>
        <v>0</v>
      </c>
      <c r="V164" s="36">
        <f>'1.DATA KIA'!Y158</f>
        <v>0</v>
      </c>
      <c r="W164" s="33">
        <f t="shared" si="167"/>
        <v>0</v>
      </c>
      <c r="X164" s="37" t="e">
        <f t="shared" si="152"/>
        <v>#DIV/0!</v>
      </c>
      <c r="Y164" s="40"/>
      <c r="Z164" s="33">
        <f t="shared" si="153"/>
        <v>0</v>
      </c>
      <c r="AA164" s="36">
        <f>'1.DATA KIA'!Z158</f>
        <v>0</v>
      </c>
      <c r="AB164" s="33">
        <f t="shared" si="168"/>
        <v>0</v>
      </c>
      <c r="AC164" s="37" t="e">
        <f t="shared" si="154"/>
        <v>#DIV/0!</v>
      </c>
      <c r="AD164" s="40"/>
      <c r="AE164" s="33">
        <f t="shared" si="155"/>
        <v>0</v>
      </c>
      <c r="AF164" s="41">
        <f>'8.ANCTEPADU'!D163+'8.ANCTEPADU'!E163</f>
        <v>0</v>
      </c>
      <c r="AG164" s="33">
        <f t="shared" si="169"/>
        <v>0</v>
      </c>
      <c r="AH164" s="37" t="e">
        <f t="shared" si="156"/>
        <v>#DIV/0!</v>
      </c>
      <c r="AI164" s="33">
        <f t="shared" si="157"/>
        <v>0</v>
      </c>
      <c r="AJ164" s="41">
        <f>'8.ANCTEPADU'!J163</f>
        <v>0</v>
      </c>
      <c r="AK164" s="33">
        <f t="shared" si="170"/>
        <v>0</v>
      </c>
      <c r="AL164" s="37" t="e">
        <f t="shared" si="158"/>
        <v>#DIV/0!</v>
      </c>
      <c r="AM164" s="36">
        <f t="shared" si="159"/>
        <v>0</v>
      </c>
      <c r="AN164" s="36">
        <f>'1.DATA KIA'!AG158</f>
        <v>0</v>
      </c>
      <c r="AO164" s="33">
        <f t="shared" si="177"/>
        <v>0</v>
      </c>
      <c r="AP164" s="37" t="e">
        <f t="shared" si="172"/>
        <v>#DIV/0!</v>
      </c>
      <c r="AQ164" s="40"/>
      <c r="AR164" s="42">
        <f t="shared" si="160"/>
        <v>0</v>
      </c>
      <c r="AS164" s="36">
        <f>'1.DATA KIA'!AB158</f>
        <v>0</v>
      </c>
      <c r="AT164" s="33">
        <f t="shared" si="178"/>
        <v>0</v>
      </c>
      <c r="AU164" s="37" t="e">
        <f t="shared" si="174"/>
        <v>#DIV/0!</v>
      </c>
      <c r="AV164" s="40"/>
      <c r="AW164" s="36">
        <f t="shared" si="161"/>
        <v>0</v>
      </c>
      <c r="AX164" s="33">
        <f>'1.DATA KIA'!AF158</f>
        <v>0</v>
      </c>
      <c r="AY164" s="36">
        <f t="shared" si="175"/>
        <v>0</v>
      </c>
      <c r="AZ164" s="37" t="e">
        <f t="shared" si="176"/>
        <v>#DIV/0!</v>
      </c>
      <c r="BA164" s="38"/>
    </row>
    <row r="165" spans="1:53" ht="30" customHeight="1" x14ac:dyDescent="0.35">
      <c r="A165" s="33">
        <v>15</v>
      </c>
      <c r="B165" s="34">
        <f>PETUNJUK!B23</f>
        <v>0</v>
      </c>
      <c r="C165" s="35">
        <f>'1.DATA KIA'!C159</f>
        <v>0</v>
      </c>
      <c r="D165" s="35">
        <f>'1.DATA KIA'!D159</f>
        <v>0</v>
      </c>
      <c r="E165" s="35">
        <f t="shared" si="146"/>
        <v>0</v>
      </c>
      <c r="F165" s="36">
        <f t="shared" si="147"/>
        <v>0</v>
      </c>
      <c r="G165" s="36">
        <f>'1.DATA KIA'!F159</f>
        <v>0</v>
      </c>
      <c r="H165" s="36">
        <f t="shared" si="162"/>
        <v>0</v>
      </c>
      <c r="I165" s="37" t="e">
        <f t="shared" si="148"/>
        <v>#DIV/0!</v>
      </c>
      <c r="J165" s="40"/>
      <c r="K165" s="36">
        <f t="shared" si="149"/>
        <v>0</v>
      </c>
      <c r="L165" s="33">
        <f>'1.DATA KIA'!J159</f>
        <v>0</v>
      </c>
      <c r="M165" s="36">
        <f t="shared" si="163"/>
        <v>0</v>
      </c>
      <c r="N165" s="60" t="e">
        <f t="shared" si="164"/>
        <v>#DIV/0!</v>
      </c>
      <c r="O165" s="40"/>
      <c r="P165" s="36">
        <f t="shared" si="150"/>
        <v>0</v>
      </c>
      <c r="Q165" s="56">
        <f>'1.DATA KIA'!M159</f>
        <v>0</v>
      </c>
      <c r="R165" s="36">
        <f t="shared" si="165"/>
        <v>0</v>
      </c>
      <c r="S165" s="60" t="e">
        <f t="shared" si="166"/>
        <v>#DIV/0!</v>
      </c>
      <c r="T165" s="40"/>
      <c r="U165" s="33">
        <f t="shared" si="151"/>
        <v>0</v>
      </c>
      <c r="V165" s="36">
        <f>'1.DATA KIA'!Y159</f>
        <v>0</v>
      </c>
      <c r="W165" s="33">
        <f t="shared" si="167"/>
        <v>0</v>
      </c>
      <c r="X165" s="37" t="e">
        <f t="shared" si="152"/>
        <v>#DIV/0!</v>
      </c>
      <c r="Y165" s="40"/>
      <c r="Z165" s="33">
        <f t="shared" si="153"/>
        <v>0</v>
      </c>
      <c r="AA165" s="36">
        <f>'1.DATA KIA'!Z159</f>
        <v>0</v>
      </c>
      <c r="AB165" s="33">
        <f t="shared" si="168"/>
        <v>0</v>
      </c>
      <c r="AC165" s="37" t="e">
        <f t="shared" si="154"/>
        <v>#DIV/0!</v>
      </c>
      <c r="AD165" s="40"/>
      <c r="AE165" s="33">
        <f t="shared" si="155"/>
        <v>0</v>
      </c>
      <c r="AF165" s="41">
        <f>'8.ANCTEPADU'!D164+'8.ANCTEPADU'!E164</f>
        <v>0</v>
      </c>
      <c r="AG165" s="33">
        <f t="shared" si="169"/>
        <v>0</v>
      </c>
      <c r="AH165" s="37" t="e">
        <f t="shared" si="156"/>
        <v>#DIV/0!</v>
      </c>
      <c r="AI165" s="33">
        <f t="shared" si="157"/>
        <v>0</v>
      </c>
      <c r="AJ165" s="41">
        <f>'8.ANCTEPADU'!J164</f>
        <v>0</v>
      </c>
      <c r="AK165" s="33">
        <f t="shared" si="170"/>
        <v>0</v>
      </c>
      <c r="AL165" s="37" t="e">
        <f t="shared" si="158"/>
        <v>#DIV/0!</v>
      </c>
      <c r="AM165" s="36">
        <f t="shared" si="159"/>
        <v>0</v>
      </c>
      <c r="AN165" s="36">
        <f>'1.DATA KIA'!AG159</f>
        <v>0</v>
      </c>
      <c r="AO165" s="33">
        <f t="shared" si="177"/>
        <v>0</v>
      </c>
      <c r="AP165" s="37" t="e">
        <f t="shared" si="172"/>
        <v>#DIV/0!</v>
      </c>
      <c r="AQ165" s="40"/>
      <c r="AR165" s="42">
        <f t="shared" si="160"/>
        <v>0</v>
      </c>
      <c r="AS165" s="36">
        <f>'1.DATA KIA'!AB159</f>
        <v>0</v>
      </c>
      <c r="AT165" s="33">
        <f t="shared" si="178"/>
        <v>0</v>
      </c>
      <c r="AU165" s="37" t="e">
        <f t="shared" si="174"/>
        <v>#DIV/0!</v>
      </c>
      <c r="AV165" s="40"/>
      <c r="AW165" s="36">
        <f t="shared" si="161"/>
        <v>0</v>
      </c>
      <c r="AX165" s="33">
        <f>'1.DATA KIA'!AF159</f>
        <v>0</v>
      </c>
      <c r="AY165" s="36">
        <f t="shared" si="175"/>
        <v>0</v>
      </c>
      <c r="AZ165" s="37" t="e">
        <f t="shared" si="176"/>
        <v>#DIV/0!</v>
      </c>
      <c r="BA165" s="38"/>
    </row>
    <row r="166" spans="1:53" ht="30" customHeight="1" x14ac:dyDescent="0.35">
      <c r="A166" s="33">
        <v>16</v>
      </c>
      <c r="B166" s="34">
        <f>PETUNJUK!B24</f>
        <v>0</v>
      </c>
      <c r="C166" s="35">
        <f>'1.DATA KIA'!C160</f>
        <v>0</v>
      </c>
      <c r="D166" s="35">
        <f>'1.DATA KIA'!D160</f>
        <v>0</v>
      </c>
      <c r="E166" s="35">
        <f t="shared" si="146"/>
        <v>0</v>
      </c>
      <c r="F166" s="36">
        <f t="shared" si="147"/>
        <v>0</v>
      </c>
      <c r="G166" s="36">
        <f>'1.DATA KIA'!F160</f>
        <v>0</v>
      </c>
      <c r="H166" s="36">
        <f t="shared" si="162"/>
        <v>0</v>
      </c>
      <c r="I166" s="37" t="e">
        <f t="shared" si="148"/>
        <v>#DIV/0!</v>
      </c>
      <c r="J166" s="40"/>
      <c r="K166" s="36">
        <f t="shared" si="149"/>
        <v>0</v>
      </c>
      <c r="L166" s="33">
        <f>'1.DATA KIA'!J160</f>
        <v>0</v>
      </c>
      <c r="M166" s="36">
        <f t="shared" si="163"/>
        <v>0</v>
      </c>
      <c r="N166" s="60" t="e">
        <f t="shared" si="164"/>
        <v>#DIV/0!</v>
      </c>
      <c r="O166" s="40"/>
      <c r="P166" s="36">
        <f t="shared" si="150"/>
        <v>0</v>
      </c>
      <c r="Q166" s="56">
        <f>'1.DATA KIA'!M160</f>
        <v>0</v>
      </c>
      <c r="R166" s="36">
        <f t="shared" si="165"/>
        <v>0</v>
      </c>
      <c r="S166" s="60" t="e">
        <f t="shared" si="166"/>
        <v>#DIV/0!</v>
      </c>
      <c r="T166" s="40"/>
      <c r="U166" s="33">
        <f t="shared" si="151"/>
        <v>0</v>
      </c>
      <c r="V166" s="36">
        <f>'1.DATA KIA'!Y160</f>
        <v>0</v>
      </c>
      <c r="W166" s="33">
        <f t="shared" si="167"/>
        <v>0</v>
      </c>
      <c r="X166" s="37" t="e">
        <f t="shared" si="152"/>
        <v>#DIV/0!</v>
      </c>
      <c r="Y166" s="40"/>
      <c r="Z166" s="33">
        <f t="shared" si="153"/>
        <v>0</v>
      </c>
      <c r="AA166" s="36">
        <f>'1.DATA KIA'!Z160</f>
        <v>0</v>
      </c>
      <c r="AB166" s="33">
        <f t="shared" si="168"/>
        <v>0</v>
      </c>
      <c r="AC166" s="37" t="e">
        <f t="shared" si="154"/>
        <v>#DIV/0!</v>
      </c>
      <c r="AD166" s="40"/>
      <c r="AE166" s="33">
        <f t="shared" si="155"/>
        <v>0</v>
      </c>
      <c r="AF166" s="41">
        <f>'8.ANCTEPADU'!D165+'8.ANCTEPADU'!E165</f>
        <v>0</v>
      </c>
      <c r="AG166" s="33">
        <f t="shared" si="169"/>
        <v>0</v>
      </c>
      <c r="AH166" s="37" t="e">
        <f t="shared" si="156"/>
        <v>#DIV/0!</v>
      </c>
      <c r="AI166" s="33">
        <f t="shared" si="157"/>
        <v>0</v>
      </c>
      <c r="AJ166" s="41">
        <f>'8.ANCTEPADU'!J165</f>
        <v>0</v>
      </c>
      <c r="AK166" s="33">
        <f t="shared" si="170"/>
        <v>0</v>
      </c>
      <c r="AL166" s="37" t="e">
        <f t="shared" si="158"/>
        <v>#DIV/0!</v>
      </c>
      <c r="AM166" s="36">
        <f t="shared" si="159"/>
        <v>0</v>
      </c>
      <c r="AN166" s="36">
        <f>'1.DATA KIA'!AG160</f>
        <v>0</v>
      </c>
      <c r="AO166" s="33">
        <f t="shared" si="177"/>
        <v>0</v>
      </c>
      <c r="AP166" s="37" t="e">
        <f t="shared" si="172"/>
        <v>#DIV/0!</v>
      </c>
      <c r="AQ166" s="40"/>
      <c r="AR166" s="42">
        <f t="shared" si="160"/>
        <v>0</v>
      </c>
      <c r="AS166" s="36">
        <f>'1.DATA KIA'!AB160</f>
        <v>0</v>
      </c>
      <c r="AT166" s="33">
        <f t="shared" si="178"/>
        <v>0</v>
      </c>
      <c r="AU166" s="37" t="e">
        <f t="shared" si="174"/>
        <v>#DIV/0!</v>
      </c>
      <c r="AV166" s="40"/>
      <c r="AW166" s="36">
        <f t="shared" si="161"/>
        <v>0</v>
      </c>
      <c r="AX166" s="33">
        <f>'1.DATA KIA'!AF160</f>
        <v>0</v>
      </c>
      <c r="AY166" s="36">
        <f t="shared" si="175"/>
        <v>0</v>
      </c>
      <c r="AZ166" s="37" t="e">
        <f t="shared" si="176"/>
        <v>#DIV/0!</v>
      </c>
      <c r="BA166" s="38"/>
    </row>
    <row r="167" spans="1:53" ht="30" customHeight="1" x14ac:dyDescent="0.35">
      <c r="A167" s="33">
        <v>17</v>
      </c>
      <c r="B167" s="34">
        <f>PETUNJUK!B25</f>
        <v>0</v>
      </c>
      <c r="C167" s="35">
        <f>'1.DATA KIA'!C161</f>
        <v>0</v>
      </c>
      <c r="D167" s="35">
        <f>'1.DATA KIA'!D161</f>
        <v>0</v>
      </c>
      <c r="E167" s="35">
        <f t="shared" si="146"/>
        <v>0</v>
      </c>
      <c r="F167" s="36">
        <f t="shared" si="147"/>
        <v>0</v>
      </c>
      <c r="G167" s="36">
        <f>'1.DATA KIA'!F161</f>
        <v>0</v>
      </c>
      <c r="H167" s="36">
        <f t="shared" si="162"/>
        <v>0</v>
      </c>
      <c r="I167" s="37" t="e">
        <f t="shared" si="148"/>
        <v>#DIV/0!</v>
      </c>
      <c r="J167" s="40"/>
      <c r="K167" s="36">
        <f t="shared" si="149"/>
        <v>0</v>
      </c>
      <c r="L167" s="33">
        <f>'1.DATA KIA'!J161</f>
        <v>0</v>
      </c>
      <c r="M167" s="36">
        <f t="shared" si="163"/>
        <v>0</v>
      </c>
      <c r="N167" s="60" t="e">
        <f t="shared" si="164"/>
        <v>#DIV/0!</v>
      </c>
      <c r="O167" s="40"/>
      <c r="P167" s="36">
        <f t="shared" si="150"/>
        <v>0</v>
      </c>
      <c r="Q167" s="56">
        <f>'1.DATA KIA'!M161</f>
        <v>0</v>
      </c>
      <c r="R167" s="36">
        <f t="shared" si="165"/>
        <v>0</v>
      </c>
      <c r="S167" s="60" t="e">
        <f t="shared" si="166"/>
        <v>#DIV/0!</v>
      </c>
      <c r="T167" s="40"/>
      <c r="U167" s="33">
        <f t="shared" si="151"/>
        <v>0</v>
      </c>
      <c r="V167" s="36">
        <f>'1.DATA KIA'!Y161</f>
        <v>0</v>
      </c>
      <c r="W167" s="33">
        <f t="shared" si="167"/>
        <v>0</v>
      </c>
      <c r="X167" s="37" t="e">
        <f t="shared" si="152"/>
        <v>#DIV/0!</v>
      </c>
      <c r="Y167" s="40"/>
      <c r="Z167" s="33">
        <f t="shared" si="153"/>
        <v>0</v>
      </c>
      <c r="AA167" s="36">
        <f>'1.DATA KIA'!Z161</f>
        <v>0</v>
      </c>
      <c r="AB167" s="33">
        <f t="shared" si="168"/>
        <v>0</v>
      </c>
      <c r="AC167" s="37" t="e">
        <f t="shared" si="154"/>
        <v>#DIV/0!</v>
      </c>
      <c r="AD167" s="40"/>
      <c r="AE167" s="33">
        <f t="shared" si="155"/>
        <v>0</v>
      </c>
      <c r="AF167" s="41">
        <f>'8.ANCTEPADU'!D166+'8.ANCTEPADU'!E166</f>
        <v>0</v>
      </c>
      <c r="AG167" s="33">
        <f t="shared" si="169"/>
        <v>0</v>
      </c>
      <c r="AH167" s="37" t="e">
        <f t="shared" si="156"/>
        <v>#DIV/0!</v>
      </c>
      <c r="AI167" s="33">
        <f t="shared" si="157"/>
        <v>0</v>
      </c>
      <c r="AJ167" s="41">
        <f>'8.ANCTEPADU'!J166</f>
        <v>0</v>
      </c>
      <c r="AK167" s="33">
        <f t="shared" si="170"/>
        <v>0</v>
      </c>
      <c r="AL167" s="37" t="e">
        <f t="shared" si="158"/>
        <v>#DIV/0!</v>
      </c>
      <c r="AM167" s="36">
        <f t="shared" si="159"/>
        <v>0</v>
      </c>
      <c r="AN167" s="36">
        <f>'1.DATA KIA'!AG161</f>
        <v>0</v>
      </c>
      <c r="AO167" s="33">
        <f t="shared" si="177"/>
        <v>0</v>
      </c>
      <c r="AP167" s="37" t="e">
        <f t="shared" si="172"/>
        <v>#DIV/0!</v>
      </c>
      <c r="AQ167" s="40"/>
      <c r="AR167" s="42">
        <f t="shared" si="160"/>
        <v>0</v>
      </c>
      <c r="AS167" s="36">
        <f>'1.DATA KIA'!AB161</f>
        <v>0</v>
      </c>
      <c r="AT167" s="33">
        <f t="shared" si="178"/>
        <v>0</v>
      </c>
      <c r="AU167" s="37" t="e">
        <f t="shared" si="174"/>
        <v>#DIV/0!</v>
      </c>
      <c r="AV167" s="40"/>
      <c r="AW167" s="36">
        <f t="shared" si="161"/>
        <v>0</v>
      </c>
      <c r="AX167" s="33">
        <f>'1.DATA KIA'!AF161</f>
        <v>0</v>
      </c>
      <c r="AY167" s="36">
        <f t="shared" si="175"/>
        <v>0</v>
      </c>
      <c r="AZ167" s="37" t="e">
        <f t="shared" si="176"/>
        <v>#DIV/0!</v>
      </c>
      <c r="BA167" s="38"/>
    </row>
    <row r="168" spans="1:53" ht="30" customHeight="1" x14ac:dyDescent="0.35">
      <c r="A168" s="33">
        <v>18</v>
      </c>
      <c r="B168" s="34">
        <f>PETUNJUK!B26</f>
        <v>0</v>
      </c>
      <c r="C168" s="35">
        <f>'1.DATA KIA'!C162</f>
        <v>0</v>
      </c>
      <c r="D168" s="35">
        <f>'1.DATA KIA'!D162</f>
        <v>0</v>
      </c>
      <c r="E168" s="35">
        <f t="shared" si="146"/>
        <v>0</v>
      </c>
      <c r="F168" s="36">
        <f t="shared" si="147"/>
        <v>0</v>
      </c>
      <c r="G168" s="36">
        <f>'1.DATA KIA'!F162</f>
        <v>0</v>
      </c>
      <c r="H168" s="36">
        <f t="shared" si="162"/>
        <v>0</v>
      </c>
      <c r="I168" s="37" t="e">
        <f t="shared" si="148"/>
        <v>#DIV/0!</v>
      </c>
      <c r="J168" s="40"/>
      <c r="K168" s="36">
        <f t="shared" si="149"/>
        <v>0</v>
      </c>
      <c r="L168" s="33">
        <f>'1.DATA KIA'!J162</f>
        <v>0</v>
      </c>
      <c r="M168" s="36">
        <f t="shared" si="163"/>
        <v>0</v>
      </c>
      <c r="N168" s="60" t="e">
        <f t="shared" si="164"/>
        <v>#DIV/0!</v>
      </c>
      <c r="O168" s="40"/>
      <c r="P168" s="36">
        <f t="shared" si="150"/>
        <v>0</v>
      </c>
      <c r="Q168" s="56">
        <f>'1.DATA KIA'!M162</f>
        <v>0</v>
      </c>
      <c r="R168" s="36">
        <f t="shared" si="165"/>
        <v>0</v>
      </c>
      <c r="S168" s="60" t="e">
        <f t="shared" si="166"/>
        <v>#DIV/0!</v>
      </c>
      <c r="T168" s="40"/>
      <c r="U168" s="33">
        <f t="shared" si="151"/>
        <v>0</v>
      </c>
      <c r="V168" s="36">
        <f>'1.DATA KIA'!Y162</f>
        <v>0</v>
      </c>
      <c r="W168" s="33">
        <f t="shared" si="167"/>
        <v>0</v>
      </c>
      <c r="X168" s="37" t="e">
        <f t="shared" si="152"/>
        <v>#DIV/0!</v>
      </c>
      <c r="Y168" s="40"/>
      <c r="Z168" s="33">
        <f t="shared" si="153"/>
        <v>0</v>
      </c>
      <c r="AA168" s="36">
        <f>'1.DATA KIA'!Z162</f>
        <v>0</v>
      </c>
      <c r="AB168" s="33">
        <f t="shared" si="168"/>
        <v>0</v>
      </c>
      <c r="AC168" s="37" t="e">
        <f t="shared" si="154"/>
        <v>#DIV/0!</v>
      </c>
      <c r="AD168" s="40"/>
      <c r="AE168" s="33">
        <f t="shared" si="155"/>
        <v>0</v>
      </c>
      <c r="AF168" s="41">
        <f>'8.ANCTEPADU'!D167+'8.ANCTEPADU'!E167</f>
        <v>0</v>
      </c>
      <c r="AG168" s="33">
        <f t="shared" si="169"/>
        <v>0</v>
      </c>
      <c r="AH168" s="37" t="e">
        <f t="shared" si="156"/>
        <v>#DIV/0!</v>
      </c>
      <c r="AI168" s="33">
        <f t="shared" si="157"/>
        <v>0</v>
      </c>
      <c r="AJ168" s="41">
        <f>'8.ANCTEPADU'!J167</f>
        <v>0</v>
      </c>
      <c r="AK168" s="33">
        <f t="shared" si="170"/>
        <v>0</v>
      </c>
      <c r="AL168" s="37" t="e">
        <f t="shared" si="158"/>
        <v>#DIV/0!</v>
      </c>
      <c r="AM168" s="36">
        <f t="shared" si="159"/>
        <v>0</v>
      </c>
      <c r="AN168" s="36">
        <f>'1.DATA KIA'!AG162</f>
        <v>0</v>
      </c>
      <c r="AO168" s="33">
        <f t="shared" si="177"/>
        <v>0</v>
      </c>
      <c r="AP168" s="37" t="e">
        <f t="shared" si="172"/>
        <v>#DIV/0!</v>
      </c>
      <c r="AQ168" s="40"/>
      <c r="AR168" s="42">
        <f t="shared" si="160"/>
        <v>0</v>
      </c>
      <c r="AS168" s="36">
        <f>'1.DATA KIA'!AB162</f>
        <v>0</v>
      </c>
      <c r="AT168" s="33">
        <f t="shared" si="178"/>
        <v>0</v>
      </c>
      <c r="AU168" s="37" t="e">
        <f t="shared" si="174"/>
        <v>#DIV/0!</v>
      </c>
      <c r="AV168" s="40"/>
      <c r="AW168" s="36">
        <f t="shared" si="161"/>
        <v>0</v>
      </c>
      <c r="AX168" s="33">
        <f>'1.DATA KIA'!AF162</f>
        <v>0</v>
      </c>
      <c r="AY168" s="36">
        <f t="shared" si="175"/>
        <v>0</v>
      </c>
      <c r="AZ168" s="37" t="e">
        <f t="shared" si="176"/>
        <v>#DIV/0!</v>
      </c>
      <c r="BA168" s="38"/>
    </row>
    <row r="169" spans="1:53" ht="30" customHeight="1" x14ac:dyDescent="0.35">
      <c r="A169" s="33">
        <v>19</v>
      </c>
      <c r="B169" s="34">
        <f>PETUNJUK!B27</f>
        <v>0</v>
      </c>
      <c r="C169" s="35">
        <f>'1.DATA KIA'!C163</f>
        <v>0</v>
      </c>
      <c r="D169" s="35">
        <f>'1.DATA KIA'!D163</f>
        <v>0</v>
      </c>
      <c r="E169" s="35">
        <f t="shared" si="146"/>
        <v>0</v>
      </c>
      <c r="F169" s="36">
        <f>H133</f>
        <v>0</v>
      </c>
      <c r="G169" s="36">
        <f>'1.DATA KIA'!F163</f>
        <v>0</v>
      </c>
      <c r="H169" s="36">
        <f>F169+G169</f>
        <v>0</v>
      </c>
      <c r="I169" s="37" t="e">
        <f>H169/C169*100</f>
        <v>#DIV/0!</v>
      </c>
      <c r="J169" s="40"/>
      <c r="K169" s="36">
        <f>M133</f>
        <v>0</v>
      </c>
      <c r="L169" s="33">
        <f>'1.DATA KIA'!J163</f>
        <v>0</v>
      </c>
      <c r="M169" s="36">
        <f>K169+L169</f>
        <v>0</v>
      </c>
      <c r="N169" s="60" t="e">
        <f t="shared" si="164"/>
        <v>#DIV/0!</v>
      </c>
      <c r="O169" s="40"/>
      <c r="P169" s="36">
        <f>R133</f>
        <v>0</v>
      </c>
      <c r="Q169" s="56">
        <f>'1.DATA KIA'!M163</f>
        <v>0</v>
      </c>
      <c r="R169" s="36">
        <f>P169+Q169</f>
        <v>0</v>
      </c>
      <c r="S169" s="60" t="e">
        <f t="shared" si="166"/>
        <v>#DIV/0!</v>
      </c>
      <c r="T169" s="40"/>
      <c r="U169" s="33">
        <f>W133</f>
        <v>0</v>
      </c>
      <c r="V169" s="36">
        <f>'1.DATA KIA'!Y163</f>
        <v>0</v>
      </c>
      <c r="W169" s="33">
        <f>U169+V169</f>
        <v>0</v>
      </c>
      <c r="X169" s="37" t="e">
        <f>W169/(20%*C169)*100</f>
        <v>#DIV/0!</v>
      </c>
      <c r="Y169" s="40"/>
      <c r="Z169" s="33">
        <f>AB133</f>
        <v>0</v>
      </c>
      <c r="AA169" s="36">
        <f>'1.DATA KIA'!Z163</f>
        <v>0</v>
      </c>
      <c r="AB169" s="33">
        <f>Z169+AA169</f>
        <v>0</v>
      </c>
      <c r="AC169" s="37" t="e">
        <f>AB169/(20%*C169)*100</f>
        <v>#DIV/0!</v>
      </c>
      <c r="AD169" s="40"/>
      <c r="AE169" s="33">
        <f>AG133</f>
        <v>0</v>
      </c>
      <c r="AF169" s="41">
        <f>'8.ANCTEPADU'!D168+'8.ANCTEPADU'!E168</f>
        <v>0</v>
      </c>
      <c r="AG169" s="33">
        <f>AE169+AF169</f>
        <v>0</v>
      </c>
      <c r="AH169" s="37" t="e">
        <f>AG169/C169*100</f>
        <v>#DIV/0!</v>
      </c>
      <c r="AI169" s="33">
        <f>AK133</f>
        <v>0</v>
      </c>
      <c r="AJ169" s="41">
        <f>'8.ANCTEPADU'!J168</f>
        <v>0</v>
      </c>
      <c r="AK169" s="33">
        <f>AI169+AJ169</f>
        <v>0</v>
      </c>
      <c r="AL169" s="37" t="e">
        <f>AK169/C169*100</f>
        <v>#DIV/0!</v>
      </c>
      <c r="AM169" s="36">
        <f>AO133</f>
        <v>0</v>
      </c>
      <c r="AN169" s="36">
        <f>'1.DATA KIA'!AG163</f>
        <v>0</v>
      </c>
      <c r="AO169" s="33">
        <f>AN169+AM169</f>
        <v>0</v>
      </c>
      <c r="AP169" s="37" t="e">
        <f>AO169/E169*100</f>
        <v>#DIV/0!</v>
      </c>
      <c r="AQ169" s="40"/>
      <c r="AR169" s="42">
        <f>AT133</f>
        <v>0</v>
      </c>
      <c r="AS169" s="36">
        <f>'1.DATA KIA'!AB163</f>
        <v>0</v>
      </c>
      <c r="AT169" s="33">
        <f>AS169+AR169</f>
        <v>0</v>
      </c>
      <c r="AU169" s="37" t="e">
        <f>AT169/D169*100</f>
        <v>#DIV/0!</v>
      </c>
      <c r="AV169" s="40"/>
      <c r="AW169" s="36">
        <f>AY133</f>
        <v>0</v>
      </c>
      <c r="AX169" s="33">
        <f>'1.DATA KIA'!AF163</f>
        <v>0</v>
      </c>
      <c r="AY169" s="36">
        <f>AW169+AX169</f>
        <v>0</v>
      </c>
      <c r="AZ169" s="37" t="e">
        <f>AY169/(20%*C169)*100</f>
        <v>#DIV/0!</v>
      </c>
      <c r="BA169" s="38"/>
    </row>
    <row r="170" spans="1:53" ht="30" customHeight="1" x14ac:dyDescent="0.35">
      <c r="A170" s="33">
        <v>20</v>
      </c>
      <c r="B170" s="34">
        <f>PETUNJUK!B28</f>
        <v>0</v>
      </c>
      <c r="C170" s="35">
        <f>'1.DATA KIA'!C164</f>
        <v>0</v>
      </c>
      <c r="D170" s="35">
        <f>'1.DATA KIA'!D164</f>
        <v>0</v>
      </c>
      <c r="E170" s="35">
        <f t="shared" si="146"/>
        <v>0</v>
      </c>
      <c r="F170" s="36">
        <f>H134</f>
        <v>0</v>
      </c>
      <c r="G170" s="36">
        <f>'1.DATA KIA'!F164</f>
        <v>0</v>
      </c>
      <c r="H170" s="36">
        <f>F170+G170</f>
        <v>0</v>
      </c>
      <c r="I170" s="37" t="e">
        <f>H170/C170*100</f>
        <v>#DIV/0!</v>
      </c>
      <c r="J170" s="40"/>
      <c r="K170" s="36">
        <f>M134</f>
        <v>0</v>
      </c>
      <c r="L170" s="33">
        <f>'1.DATA KIA'!J164</f>
        <v>0</v>
      </c>
      <c r="M170" s="36">
        <f>K170+L170</f>
        <v>0</v>
      </c>
      <c r="N170" s="60" t="e">
        <f t="shared" si="164"/>
        <v>#DIV/0!</v>
      </c>
      <c r="O170" s="40"/>
      <c r="P170" s="36">
        <f>R134</f>
        <v>0</v>
      </c>
      <c r="Q170" s="56">
        <f>'1.DATA KIA'!M164</f>
        <v>0</v>
      </c>
      <c r="R170" s="36">
        <f>P170+Q170</f>
        <v>0</v>
      </c>
      <c r="S170" s="60" t="e">
        <f t="shared" si="166"/>
        <v>#DIV/0!</v>
      </c>
      <c r="T170" s="40"/>
      <c r="U170" s="33">
        <f>W134</f>
        <v>0</v>
      </c>
      <c r="V170" s="36">
        <f>'1.DATA KIA'!Y164</f>
        <v>0</v>
      </c>
      <c r="W170" s="33">
        <f>U170+V170</f>
        <v>0</v>
      </c>
      <c r="X170" s="37" t="e">
        <f>W170/(20%*C170)*100</f>
        <v>#DIV/0!</v>
      </c>
      <c r="Y170" s="40"/>
      <c r="Z170" s="33">
        <f>AB134</f>
        <v>0</v>
      </c>
      <c r="AA170" s="36">
        <f>'1.DATA KIA'!Z164</f>
        <v>0</v>
      </c>
      <c r="AB170" s="33">
        <f>Z170+AA170</f>
        <v>0</v>
      </c>
      <c r="AC170" s="37" t="e">
        <f>AB170/(20%*C170)*100</f>
        <v>#DIV/0!</v>
      </c>
      <c r="AD170" s="40"/>
      <c r="AE170" s="33">
        <f>AG134</f>
        <v>0</v>
      </c>
      <c r="AF170" s="41">
        <f>'8.ANCTEPADU'!D169+'8.ANCTEPADU'!E169</f>
        <v>0</v>
      </c>
      <c r="AG170" s="33">
        <f>AE170+AF170</f>
        <v>0</v>
      </c>
      <c r="AH170" s="37" t="e">
        <f>AG170/C170*100</f>
        <v>#DIV/0!</v>
      </c>
      <c r="AI170" s="33">
        <f>AK134</f>
        <v>0</v>
      </c>
      <c r="AJ170" s="41">
        <f>'8.ANCTEPADU'!J169</f>
        <v>0</v>
      </c>
      <c r="AK170" s="33">
        <f>AI170+AJ170</f>
        <v>0</v>
      </c>
      <c r="AL170" s="37" t="e">
        <f>AK170/C170*100</f>
        <v>#DIV/0!</v>
      </c>
      <c r="AM170" s="36">
        <f>AO134</f>
        <v>0</v>
      </c>
      <c r="AN170" s="36">
        <f>'1.DATA KIA'!AG164</f>
        <v>0</v>
      </c>
      <c r="AO170" s="33">
        <f>AN170+AM170</f>
        <v>0</v>
      </c>
      <c r="AP170" s="37" t="e">
        <f>AO170/E170*100</f>
        <v>#DIV/0!</v>
      </c>
      <c r="AQ170" s="40"/>
      <c r="AR170" s="42">
        <f>AT134</f>
        <v>0</v>
      </c>
      <c r="AS170" s="36">
        <f>'1.DATA KIA'!AB164</f>
        <v>0</v>
      </c>
      <c r="AT170" s="33">
        <f>AS170+AR170</f>
        <v>0</v>
      </c>
      <c r="AU170" s="37" t="e">
        <f>AT170/D170*100</f>
        <v>#DIV/0!</v>
      </c>
      <c r="AV170" s="40"/>
      <c r="AW170" s="36">
        <f>AY134</f>
        <v>0</v>
      </c>
      <c r="AX170" s="33">
        <f>'1.DATA KIA'!AF164</f>
        <v>0</v>
      </c>
      <c r="AY170" s="36">
        <f>AW170+AX170</f>
        <v>0</v>
      </c>
      <c r="AZ170" s="37" t="e">
        <f>AY170/(20%*C170)*100</f>
        <v>#DIV/0!</v>
      </c>
      <c r="BA170" s="38"/>
    </row>
    <row r="171" spans="1:53" ht="30" customHeight="1" x14ac:dyDescent="0.35">
      <c r="A171" s="33">
        <v>21</v>
      </c>
      <c r="B171" s="34">
        <f>PETUNJUK!B29</f>
        <v>0</v>
      </c>
      <c r="C171" s="35">
        <f>'1.DATA KIA'!C165</f>
        <v>0</v>
      </c>
      <c r="D171" s="35">
        <f>'1.DATA KIA'!D165</f>
        <v>0</v>
      </c>
      <c r="E171" s="35">
        <f t="shared" si="146"/>
        <v>0</v>
      </c>
      <c r="F171" s="36">
        <f>H135</f>
        <v>0</v>
      </c>
      <c r="G171" s="36">
        <f>'1.DATA KIA'!F165</f>
        <v>0</v>
      </c>
      <c r="H171" s="36">
        <f>F171+G171</f>
        <v>0</v>
      </c>
      <c r="I171" s="37" t="e">
        <f>H171/C171*100</f>
        <v>#DIV/0!</v>
      </c>
      <c r="J171" s="40"/>
      <c r="K171" s="36">
        <f>M135</f>
        <v>0</v>
      </c>
      <c r="L171" s="33">
        <f>'1.DATA KIA'!J165</f>
        <v>0</v>
      </c>
      <c r="M171" s="36">
        <f>K171+L171</f>
        <v>0</v>
      </c>
      <c r="N171" s="60" t="e">
        <f t="shared" si="164"/>
        <v>#DIV/0!</v>
      </c>
      <c r="O171" s="40"/>
      <c r="P171" s="36">
        <f>R135</f>
        <v>0</v>
      </c>
      <c r="Q171" s="56">
        <f>'1.DATA KIA'!M165</f>
        <v>0</v>
      </c>
      <c r="R171" s="36">
        <f>P171+Q171</f>
        <v>0</v>
      </c>
      <c r="S171" s="60" t="e">
        <f t="shared" si="166"/>
        <v>#DIV/0!</v>
      </c>
      <c r="T171" s="40"/>
      <c r="U171" s="33">
        <f>W135</f>
        <v>0</v>
      </c>
      <c r="V171" s="36">
        <f>'1.DATA KIA'!Y165</f>
        <v>0</v>
      </c>
      <c r="W171" s="33">
        <f>U171+V171</f>
        <v>0</v>
      </c>
      <c r="X171" s="37" t="e">
        <f>W171/(20%*C171)*100</f>
        <v>#DIV/0!</v>
      </c>
      <c r="Y171" s="40"/>
      <c r="Z171" s="33">
        <f>AB135</f>
        <v>0</v>
      </c>
      <c r="AA171" s="36">
        <f>'1.DATA KIA'!Z165</f>
        <v>0</v>
      </c>
      <c r="AB171" s="33">
        <f>Z171+AA171</f>
        <v>0</v>
      </c>
      <c r="AC171" s="37" t="e">
        <f>AB171/(20%*C171)*100</f>
        <v>#DIV/0!</v>
      </c>
      <c r="AD171" s="40"/>
      <c r="AE171" s="33">
        <f>AG135</f>
        <v>0</v>
      </c>
      <c r="AF171" s="41">
        <f>'8.ANCTEPADU'!D170+'8.ANCTEPADU'!E170</f>
        <v>0</v>
      </c>
      <c r="AG171" s="33">
        <f>AE171+AF171</f>
        <v>0</v>
      </c>
      <c r="AH171" s="37" t="e">
        <f>AG171/C171*100</f>
        <v>#DIV/0!</v>
      </c>
      <c r="AI171" s="33">
        <f>AK135</f>
        <v>0</v>
      </c>
      <c r="AJ171" s="41">
        <f>'8.ANCTEPADU'!J170</f>
        <v>0</v>
      </c>
      <c r="AK171" s="33">
        <f>AI171+AJ171</f>
        <v>0</v>
      </c>
      <c r="AL171" s="37" t="e">
        <f>AK171/C171*100</f>
        <v>#DIV/0!</v>
      </c>
      <c r="AM171" s="36">
        <f>AO135</f>
        <v>0</v>
      </c>
      <c r="AN171" s="36">
        <f>'1.DATA KIA'!AG165</f>
        <v>0</v>
      </c>
      <c r="AO171" s="33">
        <f>AN171+AM171</f>
        <v>0</v>
      </c>
      <c r="AP171" s="37" t="e">
        <f>AO171/E171*100</f>
        <v>#DIV/0!</v>
      </c>
      <c r="AQ171" s="40"/>
      <c r="AR171" s="42">
        <f>AT135</f>
        <v>0</v>
      </c>
      <c r="AS171" s="36">
        <f>'1.DATA KIA'!AB165</f>
        <v>0</v>
      </c>
      <c r="AT171" s="33">
        <f>AS171+AR171</f>
        <v>0</v>
      </c>
      <c r="AU171" s="37" t="e">
        <f>AT171/D171*100</f>
        <v>#DIV/0!</v>
      </c>
      <c r="AV171" s="40"/>
      <c r="AW171" s="36">
        <f>AY135</f>
        <v>0</v>
      </c>
      <c r="AX171" s="33">
        <f>'1.DATA KIA'!AF165</f>
        <v>0</v>
      </c>
      <c r="AY171" s="36">
        <f>AW171+AX171</f>
        <v>0</v>
      </c>
      <c r="AZ171" s="37" t="e">
        <f>AY171/(20%*C171)*100</f>
        <v>#DIV/0!</v>
      </c>
      <c r="BA171" s="38"/>
    </row>
    <row r="172" spans="1:53" ht="30" customHeight="1" thickBot="1" x14ac:dyDescent="0.4">
      <c r="A172" s="46">
        <v>22</v>
      </c>
      <c r="B172" s="47">
        <f>PETUNJUK!B30</f>
        <v>0</v>
      </c>
      <c r="C172" s="48">
        <f>'1.DATA KIA'!C166</f>
        <v>0</v>
      </c>
      <c r="D172" s="48">
        <f>'1.DATA KIA'!D166</f>
        <v>0</v>
      </c>
      <c r="E172" s="48">
        <f t="shared" si="146"/>
        <v>0</v>
      </c>
      <c r="F172" s="49">
        <f>H136</f>
        <v>0</v>
      </c>
      <c r="G172" s="49">
        <f>'1.DATA KIA'!F166</f>
        <v>0</v>
      </c>
      <c r="H172" s="49">
        <f>F172+G172</f>
        <v>0</v>
      </c>
      <c r="I172" s="50" t="e">
        <f>H172/C172*100</f>
        <v>#DIV/0!</v>
      </c>
      <c r="J172" s="53"/>
      <c r="K172" s="49">
        <f>M136</f>
        <v>0</v>
      </c>
      <c r="L172" s="46">
        <f>'1.DATA KIA'!J166</f>
        <v>0</v>
      </c>
      <c r="M172" s="49">
        <f>K172+L172</f>
        <v>0</v>
      </c>
      <c r="N172" s="60" t="e">
        <f t="shared" si="164"/>
        <v>#DIV/0!</v>
      </c>
      <c r="O172" s="53"/>
      <c r="P172" s="49">
        <f>R136</f>
        <v>0</v>
      </c>
      <c r="Q172" s="56">
        <f>'1.DATA KIA'!M166</f>
        <v>0</v>
      </c>
      <c r="R172" s="49">
        <f>P172+Q172</f>
        <v>0</v>
      </c>
      <c r="S172" s="60" t="e">
        <f t="shared" si="166"/>
        <v>#DIV/0!</v>
      </c>
      <c r="T172" s="53"/>
      <c r="U172" s="46">
        <f>W136</f>
        <v>0</v>
      </c>
      <c r="V172" s="49">
        <f>'1.DATA KIA'!Y166</f>
        <v>0</v>
      </c>
      <c r="W172" s="46">
        <f>U172+V172</f>
        <v>0</v>
      </c>
      <c r="X172" s="50" t="e">
        <f>W172/(20%*C172)*100</f>
        <v>#DIV/0!</v>
      </c>
      <c r="Y172" s="53"/>
      <c r="Z172" s="46">
        <f>AB136</f>
        <v>0</v>
      </c>
      <c r="AA172" s="49">
        <f>'1.DATA KIA'!Z166</f>
        <v>0</v>
      </c>
      <c r="AB172" s="46">
        <f>Z172+AA172</f>
        <v>0</v>
      </c>
      <c r="AC172" s="50" t="e">
        <f>AB172/(20%*C172)*100</f>
        <v>#DIV/0!</v>
      </c>
      <c r="AD172" s="53"/>
      <c r="AE172" s="46">
        <f>AG136</f>
        <v>0</v>
      </c>
      <c r="AF172" s="54">
        <f>'8.ANCTEPADU'!D171+'8.ANCTEPADU'!E171</f>
        <v>0</v>
      </c>
      <c r="AG172" s="46">
        <f>AE172+AF172</f>
        <v>0</v>
      </c>
      <c r="AH172" s="50" t="e">
        <f>AG172/C172*100</f>
        <v>#DIV/0!</v>
      </c>
      <c r="AI172" s="46">
        <f>AK136</f>
        <v>0</v>
      </c>
      <c r="AJ172" s="54">
        <f>'8.ANCTEPADU'!J171</f>
        <v>0</v>
      </c>
      <c r="AK172" s="46">
        <f>AI172+AJ172</f>
        <v>0</v>
      </c>
      <c r="AL172" s="50" t="e">
        <f>AK172/C172*100</f>
        <v>#DIV/0!</v>
      </c>
      <c r="AM172" s="49">
        <f>AO136</f>
        <v>0</v>
      </c>
      <c r="AN172" s="49">
        <f>'1.DATA KIA'!AG166</f>
        <v>0</v>
      </c>
      <c r="AO172" s="46">
        <f>AN172+AM172</f>
        <v>0</v>
      </c>
      <c r="AP172" s="50" t="e">
        <f>AO172/E172*100</f>
        <v>#DIV/0!</v>
      </c>
      <c r="AQ172" s="53"/>
      <c r="AR172" s="55">
        <f>AT136</f>
        <v>0</v>
      </c>
      <c r="AS172" s="49">
        <f>'1.DATA KIA'!AB166</f>
        <v>0</v>
      </c>
      <c r="AT172" s="46">
        <f>AS172+AR172</f>
        <v>0</v>
      </c>
      <c r="AU172" s="50" t="e">
        <f>AT172/D172*100</f>
        <v>#DIV/0!</v>
      </c>
      <c r="AV172" s="53"/>
      <c r="AW172" s="49">
        <f>AY136</f>
        <v>0</v>
      </c>
      <c r="AX172" s="46">
        <f>'1.DATA KIA'!AF166</f>
        <v>0</v>
      </c>
      <c r="AY172" s="49">
        <f>AW172+AX172</f>
        <v>0</v>
      </c>
      <c r="AZ172" s="50" t="e">
        <f>AY172/(20%*C172)*100</f>
        <v>#DIV/0!</v>
      </c>
      <c r="BA172" s="51"/>
    </row>
    <row r="173" spans="1:53" ht="30" customHeight="1" thickBot="1" x14ac:dyDescent="0.4">
      <c r="A173" s="354"/>
      <c r="B173" s="355" t="s">
        <v>18</v>
      </c>
      <c r="C173" s="347">
        <f t="shared" ref="C173:H173" si="179">SUM(C151:C172)</f>
        <v>1067</v>
      </c>
      <c r="D173" s="347">
        <f t="shared" si="179"/>
        <v>1018.5</v>
      </c>
      <c r="E173" s="347">
        <f t="shared" si="179"/>
        <v>0</v>
      </c>
      <c r="F173" s="347">
        <f t="shared" si="179"/>
        <v>374</v>
      </c>
      <c r="G173" s="347">
        <f t="shared" si="179"/>
        <v>0</v>
      </c>
      <c r="H173" s="347">
        <f t="shared" si="179"/>
        <v>374</v>
      </c>
      <c r="I173" s="357">
        <f t="shared" si="148"/>
        <v>35.051546391752574</v>
      </c>
      <c r="J173" s="362"/>
      <c r="K173" s="347">
        <f>SUM(K151:K172)</f>
        <v>283</v>
      </c>
      <c r="L173" s="347">
        <f>SUM(L151:L172)</f>
        <v>0</v>
      </c>
      <c r="M173" s="347">
        <f>SUM(M151:M172)</f>
        <v>283</v>
      </c>
      <c r="N173" s="357">
        <f>M173/D173*100</f>
        <v>27.785959744722632</v>
      </c>
      <c r="O173" s="362"/>
      <c r="P173" s="347">
        <f>SUM(P151:P172)</f>
        <v>309</v>
      </c>
      <c r="Q173" s="347">
        <f>SUM(Q151:Q172)</f>
        <v>0</v>
      </c>
      <c r="R173" s="347">
        <f>SUM(R151:R172)</f>
        <v>309</v>
      </c>
      <c r="S173" s="357">
        <f>R173/D173*100</f>
        <v>30.338733431516935</v>
      </c>
      <c r="T173" s="362"/>
      <c r="U173" s="347">
        <f>SUM(U151:U172)</f>
        <v>92</v>
      </c>
      <c r="V173" s="347">
        <f>SUM(V151:V172)</f>
        <v>0</v>
      </c>
      <c r="W173" s="347">
        <f>SUM(W151:W172)</f>
        <v>92</v>
      </c>
      <c r="X173" s="357">
        <f t="shared" si="152"/>
        <v>43.111527647610117</v>
      </c>
      <c r="Y173" s="362"/>
      <c r="Z173" s="347">
        <f>SUM(Z151:Z172)</f>
        <v>47</v>
      </c>
      <c r="AA173" s="347">
        <f>SUM(AA151:AA172)</f>
        <v>0</v>
      </c>
      <c r="AB173" s="347">
        <f>SUM(AB151:AB172)</f>
        <v>47</v>
      </c>
      <c r="AC173" s="357">
        <f t="shared" si="154"/>
        <v>22.024367385192125</v>
      </c>
      <c r="AD173" s="362"/>
      <c r="AE173" s="347">
        <f>SUM(AE151:AE172)</f>
        <v>32</v>
      </c>
      <c r="AF173" s="347">
        <f>SUM(AF151:AF172)</f>
        <v>0</v>
      </c>
      <c r="AG173" s="347">
        <f>SUM(AG151:AG172)</f>
        <v>32</v>
      </c>
      <c r="AH173" s="357">
        <f t="shared" si="156"/>
        <v>2.999062792877226</v>
      </c>
      <c r="AI173" s="347">
        <f>SUM(AI151:AI172)</f>
        <v>42</v>
      </c>
      <c r="AJ173" s="347">
        <f>SUM(AJ151:AJ172)</f>
        <v>0</v>
      </c>
      <c r="AK173" s="347">
        <f>SUM(AK151:AK172)</f>
        <v>42</v>
      </c>
      <c r="AL173" s="357">
        <f t="shared" si="158"/>
        <v>3.936269915651359</v>
      </c>
      <c r="AM173" s="347">
        <f>SUM(AM151:AM172)</f>
        <v>298</v>
      </c>
      <c r="AN173" s="347">
        <f>SUM(AN151:AN172)</f>
        <v>0</v>
      </c>
      <c r="AO173" s="347">
        <f>SUM(AO151:AO172)</f>
        <v>298</v>
      </c>
      <c r="AP173" s="357" t="e">
        <f t="shared" si="172"/>
        <v>#DIV/0!</v>
      </c>
      <c r="AQ173" s="362"/>
      <c r="AR173" s="347">
        <f>SUM(AR151:AR172)</f>
        <v>298</v>
      </c>
      <c r="AS173" s="347">
        <f>SUM(AS151:AS172)</f>
        <v>0</v>
      </c>
      <c r="AT173" s="347">
        <f>SUM(AT151:AT172)</f>
        <v>298</v>
      </c>
      <c r="AU173" s="357">
        <f t="shared" si="174"/>
        <v>29.258713794796272</v>
      </c>
      <c r="AV173" s="362"/>
      <c r="AW173" s="347">
        <f>SUM(AW151:AW172)</f>
        <v>69</v>
      </c>
      <c r="AX173" s="347">
        <f>SUM(AX151:AX172)</f>
        <v>0</v>
      </c>
      <c r="AY173" s="347">
        <f>SUM(AY151:AY172)</f>
        <v>69</v>
      </c>
      <c r="AZ173" s="357">
        <f t="shared" si="176"/>
        <v>32.333645735707591</v>
      </c>
      <c r="BA173" s="361"/>
    </row>
    <row r="174" spans="1:53" ht="12.75" customHeight="1" x14ac:dyDescent="0.35"/>
    <row r="175" spans="1:53" ht="12.75" customHeight="1" x14ac:dyDescent="0.35"/>
    <row r="176" spans="1:53" ht="12.75" customHeight="1" x14ac:dyDescent="0.35"/>
    <row r="177" spans="1:54" ht="12.75" customHeight="1" x14ac:dyDescent="0.35"/>
    <row r="178" spans="1:54" ht="12.75" customHeight="1" x14ac:dyDescent="0.35"/>
    <row r="179" spans="1:54" ht="12.75" customHeight="1" x14ac:dyDescent="0.35">
      <c r="A179" s="770" t="s">
        <v>19</v>
      </c>
      <c r="B179" s="770"/>
      <c r="C179" s="770"/>
      <c r="D179" s="770"/>
      <c r="E179" s="770"/>
      <c r="F179" s="770"/>
      <c r="G179" s="770"/>
      <c r="H179" s="770"/>
      <c r="I179" s="770"/>
      <c r="J179" s="770"/>
      <c r="K179" s="770"/>
      <c r="L179" s="770"/>
      <c r="M179" s="770"/>
      <c r="N179" s="770"/>
      <c r="O179" s="770"/>
      <c r="P179" s="770"/>
      <c r="Q179" s="770"/>
      <c r="R179" s="770"/>
      <c r="S179" s="770"/>
      <c r="T179" s="770"/>
      <c r="U179" s="770"/>
      <c r="V179" s="770"/>
      <c r="W179" s="770"/>
      <c r="X179" s="770"/>
      <c r="Y179" s="770"/>
      <c r="Z179" s="770"/>
      <c r="AA179" s="770"/>
      <c r="AB179" s="770"/>
      <c r="AC179" s="770"/>
      <c r="AD179" s="770"/>
      <c r="AE179" s="770"/>
      <c r="AF179" s="770"/>
      <c r="AG179" s="770"/>
      <c r="AH179" s="770"/>
      <c r="AI179" s="770"/>
      <c r="AJ179" s="770"/>
      <c r="AK179" s="770"/>
      <c r="AL179" s="770"/>
      <c r="AM179" s="770"/>
      <c r="AN179" s="770"/>
      <c r="AO179" s="770"/>
      <c r="AP179" s="770"/>
      <c r="AQ179" s="770"/>
      <c r="AR179" s="770"/>
      <c r="AS179" s="770"/>
      <c r="AT179" s="770"/>
      <c r="AU179" s="770"/>
      <c r="AV179" s="770"/>
      <c r="AW179" s="770"/>
      <c r="AX179" s="770"/>
      <c r="AY179" s="770"/>
      <c r="AZ179" s="770"/>
      <c r="BA179" s="770"/>
    </row>
    <row r="180" spans="1:54" ht="20.149999999999999" customHeight="1" x14ac:dyDescent="0.35">
      <c r="A180" s="31"/>
      <c r="B180" s="31" t="s">
        <v>175</v>
      </c>
      <c r="C180" s="345" t="str">
        <f>PETUNJUK!C5</f>
        <v>PECANGAAN</v>
      </c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</row>
    <row r="181" spans="1:54" ht="20.149999999999999" customHeight="1" x14ac:dyDescent="0.35">
      <c r="A181" s="30"/>
      <c r="B181" s="31" t="s">
        <v>170</v>
      </c>
      <c r="C181" s="32" t="str">
        <f>'1.DATA KIA'!C174</f>
        <v xml:space="preserve">JUNI </v>
      </c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</row>
    <row r="182" spans="1:54" x14ac:dyDescent="0.35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</row>
    <row r="183" spans="1:54" s="45" customFormat="1" ht="21" customHeight="1" x14ac:dyDescent="0.35">
      <c r="A183" s="774" t="s">
        <v>1</v>
      </c>
      <c r="B183" s="774" t="s">
        <v>2</v>
      </c>
      <c r="C183" s="777" t="s">
        <v>20</v>
      </c>
      <c r="D183" s="778"/>
      <c r="E183" s="778"/>
      <c r="F183" s="777" t="s">
        <v>21</v>
      </c>
      <c r="G183" s="778"/>
      <c r="H183" s="778"/>
      <c r="I183" s="778"/>
      <c r="J183" s="791"/>
      <c r="K183" s="777" t="s">
        <v>9</v>
      </c>
      <c r="L183" s="778"/>
      <c r="M183" s="778"/>
      <c r="N183" s="778"/>
      <c r="O183" s="791"/>
      <c r="P183" s="777" t="s">
        <v>289</v>
      </c>
      <c r="Q183" s="778"/>
      <c r="R183" s="778"/>
      <c r="S183" s="778"/>
      <c r="T183" s="791"/>
      <c r="U183" s="771" t="s">
        <v>22</v>
      </c>
      <c r="V183" s="772"/>
      <c r="W183" s="772"/>
      <c r="X183" s="772"/>
      <c r="Y183" s="772"/>
      <c r="Z183" s="772"/>
      <c r="AA183" s="772"/>
      <c r="AB183" s="772"/>
      <c r="AC183" s="772"/>
      <c r="AD183" s="773"/>
      <c r="AE183" s="771" t="s">
        <v>5</v>
      </c>
      <c r="AF183" s="772"/>
      <c r="AG183" s="772"/>
      <c r="AH183" s="772"/>
      <c r="AI183" s="772"/>
      <c r="AJ183" s="772"/>
      <c r="AK183" s="772"/>
      <c r="AL183" s="773"/>
      <c r="AM183" s="771" t="s">
        <v>23</v>
      </c>
      <c r="AN183" s="772"/>
      <c r="AO183" s="772"/>
      <c r="AP183" s="772"/>
      <c r="AQ183" s="773"/>
      <c r="AR183" s="779" t="s">
        <v>24</v>
      </c>
      <c r="AS183" s="780"/>
      <c r="AT183" s="780"/>
      <c r="AU183" s="780"/>
      <c r="AV183" s="781"/>
      <c r="AW183" s="779" t="s">
        <v>241</v>
      </c>
      <c r="AX183" s="780"/>
      <c r="AY183" s="780"/>
      <c r="AZ183" s="780"/>
      <c r="BA183" s="781"/>
      <c r="BB183" s="348"/>
    </row>
    <row r="184" spans="1:54" s="45" customFormat="1" ht="15" customHeight="1" x14ac:dyDescent="0.35">
      <c r="A184" s="775"/>
      <c r="B184" s="775"/>
      <c r="C184" s="767" t="s">
        <v>5</v>
      </c>
      <c r="D184" s="767" t="s">
        <v>6</v>
      </c>
      <c r="E184" s="767" t="s">
        <v>7</v>
      </c>
      <c r="F184" s="767" t="s">
        <v>26</v>
      </c>
      <c r="G184" s="767" t="s">
        <v>27</v>
      </c>
      <c r="H184" s="771" t="s">
        <v>28</v>
      </c>
      <c r="I184" s="773"/>
      <c r="J184" s="785" t="s">
        <v>29</v>
      </c>
      <c r="K184" s="785" t="s">
        <v>26</v>
      </c>
      <c r="L184" s="785" t="s">
        <v>27</v>
      </c>
      <c r="M184" s="771" t="s">
        <v>28</v>
      </c>
      <c r="N184" s="773"/>
      <c r="O184" s="785" t="s">
        <v>29</v>
      </c>
      <c r="P184" s="785" t="s">
        <v>26</v>
      </c>
      <c r="Q184" s="785" t="s">
        <v>27</v>
      </c>
      <c r="R184" s="771" t="s">
        <v>28</v>
      </c>
      <c r="S184" s="773"/>
      <c r="T184" s="785" t="s">
        <v>29</v>
      </c>
      <c r="U184" s="771" t="s">
        <v>30</v>
      </c>
      <c r="V184" s="772"/>
      <c r="W184" s="772"/>
      <c r="X184" s="772"/>
      <c r="Y184" s="773"/>
      <c r="Z184" s="771" t="s">
        <v>31</v>
      </c>
      <c r="AA184" s="772"/>
      <c r="AB184" s="772"/>
      <c r="AC184" s="772"/>
      <c r="AD184" s="773"/>
      <c r="AE184" s="771" t="s">
        <v>32</v>
      </c>
      <c r="AF184" s="772"/>
      <c r="AG184" s="772"/>
      <c r="AH184" s="773"/>
      <c r="AI184" s="771" t="s">
        <v>33</v>
      </c>
      <c r="AJ184" s="772"/>
      <c r="AK184" s="772"/>
      <c r="AL184" s="773"/>
      <c r="AM184" s="785" t="s">
        <v>34</v>
      </c>
      <c r="AN184" s="785" t="s">
        <v>35</v>
      </c>
      <c r="AO184" s="788" t="s">
        <v>36</v>
      </c>
      <c r="AP184" s="782" t="s">
        <v>37</v>
      </c>
      <c r="AQ184" s="785" t="s">
        <v>29</v>
      </c>
      <c r="AR184" s="785" t="s">
        <v>34</v>
      </c>
      <c r="AS184" s="785" t="s">
        <v>35</v>
      </c>
      <c r="AT184" s="788" t="s">
        <v>36</v>
      </c>
      <c r="AU184" s="782" t="s">
        <v>37</v>
      </c>
      <c r="AV184" s="785" t="s">
        <v>29</v>
      </c>
      <c r="AW184" s="785" t="s">
        <v>34</v>
      </c>
      <c r="AX184" s="785" t="s">
        <v>35</v>
      </c>
      <c r="AY184" s="788" t="s">
        <v>36</v>
      </c>
      <c r="AZ184" s="782" t="s">
        <v>37</v>
      </c>
      <c r="BA184" s="785" t="s">
        <v>29</v>
      </c>
      <c r="BB184" s="348"/>
    </row>
    <row r="185" spans="1:54" s="45" customFormat="1" ht="15.75" customHeight="1" x14ac:dyDescent="0.35">
      <c r="A185" s="775"/>
      <c r="B185" s="775"/>
      <c r="C185" s="768"/>
      <c r="D185" s="768"/>
      <c r="E185" s="768"/>
      <c r="F185" s="768"/>
      <c r="G185" s="768"/>
      <c r="H185" s="785" t="s">
        <v>36</v>
      </c>
      <c r="I185" s="782" t="s">
        <v>37</v>
      </c>
      <c r="J185" s="786"/>
      <c r="K185" s="786"/>
      <c r="L185" s="786"/>
      <c r="M185" s="785" t="s">
        <v>36</v>
      </c>
      <c r="N185" s="785" t="s">
        <v>37</v>
      </c>
      <c r="O185" s="786"/>
      <c r="P185" s="786"/>
      <c r="Q185" s="786"/>
      <c r="R185" s="785" t="s">
        <v>36</v>
      </c>
      <c r="S185" s="785" t="s">
        <v>37</v>
      </c>
      <c r="T185" s="786"/>
      <c r="U185" s="785" t="s">
        <v>26</v>
      </c>
      <c r="V185" s="785" t="s">
        <v>27</v>
      </c>
      <c r="W185" s="779" t="s">
        <v>28</v>
      </c>
      <c r="X185" s="781"/>
      <c r="Y185" s="785" t="s">
        <v>29</v>
      </c>
      <c r="Z185" s="785" t="s">
        <v>26</v>
      </c>
      <c r="AA185" s="785" t="s">
        <v>27</v>
      </c>
      <c r="AB185" s="779" t="s">
        <v>28</v>
      </c>
      <c r="AC185" s="781"/>
      <c r="AD185" s="785" t="s">
        <v>29</v>
      </c>
      <c r="AE185" s="771" t="s">
        <v>38</v>
      </c>
      <c r="AF185" s="772"/>
      <c r="AG185" s="772"/>
      <c r="AH185" s="773"/>
      <c r="AI185" s="771" t="s">
        <v>39</v>
      </c>
      <c r="AJ185" s="772"/>
      <c r="AK185" s="772"/>
      <c r="AL185" s="773"/>
      <c r="AM185" s="786"/>
      <c r="AN185" s="786"/>
      <c r="AO185" s="789"/>
      <c r="AP185" s="783"/>
      <c r="AQ185" s="786"/>
      <c r="AR185" s="786"/>
      <c r="AS185" s="786"/>
      <c r="AT185" s="789"/>
      <c r="AU185" s="783"/>
      <c r="AV185" s="786"/>
      <c r="AW185" s="786"/>
      <c r="AX185" s="786"/>
      <c r="AY185" s="789"/>
      <c r="AZ185" s="783"/>
      <c r="BA185" s="786"/>
      <c r="BB185" s="348"/>
    </row>
    <row r="186" spans="1:54" s="45" customFormat="1" ht="48" customHeight="1" x14ac:dyDescent="0.35">
      <c r="A186" s="776"/>
      <c r="B186" s="776"/>
      <c r="C186" s="769"/>
      <c r="D186" s="769"/>
      <c r="E186" s="769"/>
      <c r="F186" s="769"/>
      <c r="G186" s="769"/>
      <c r="H186" s="787"/>
      <c r="I186" s="784"/>
      <c r="J186" s="787"/>
      <c r="K186" s="787"/>
      <c r="L186" s="787"/>
      <c r="M186" s="787"/>
      <c r="N186" s="787"/>
      <c r="O186" s="787"/>
      <c r="P186" s="787"/>
      <c r="Q186" s="787"/>
      <c r="R186" s="787"/>
      <c r="S186" s="787"/>
      <c r="T186" s="787"/>
      <c r="U186" s="787"/>
      <c r="V186" s="787"/>
      <c r="W186" s="352" t="s">
        <v>36</v>
      </c>
      <c r="X186" s="353" t="s">
        <v>37</v>
      </c>
      <c r="Y186" s="787"/>
      <c r="Z186" s="787"/>
      <c r="AA186" s="787"/>
      <c r="AB186" s="352" t="s">
        <v>36</v>
      </c>
      <c r="AC186" s="353" t="s">
        <v>37</v>
      </c>
      <c r="AD186" s="787"/>
      <c r="AE186" s="352" t="s">
        <v>26</v>
      </c>
      <c r="AF186" s="352" t="s">
        <v>27</v>
      </c>
      <c r="AG186" s="352" t="s">
        <v>36</v>
      </c>
      <c r="AH186" s="353" t="s">
        <v>37</v>
      </c>
      <c r="AI186" s="352" t="s">
        <v>26</v>
      </c>
      <c r="AJ186" s="352" t="s">
        <v>27</v>
      </c>
      <c r="AK186" s="352" t="s">
        <v>36</v>
      </c>
      <c r="AL186" s="353" t="s">
        <v>37</v>
      </c>
      <c r="AM186" s="787"/>
      <c r="AN186" s="787"/>
      <c r="AO186" s="790"/>
      <c r="AP186" s="784"/>
      <c r="AQ186" s="787"/>
      <c r="AR186" s="787"/>
      <c r="AS186" s="787"/>
      <c r="AT186" s="790"/>
      <c r="AU186" s="784"/>
      <c r="AV186" s="787"/>
      <c r="AW186" s="787"/>
      <c r="AX186" s="787"/>
      <c r="AY186" s="790"/>
      <c r="AZ186" s="784"/>
      <c r="BA186" s="787"/>
      <c r="BB186" s="348"/>
    </row>
    <row r="187" spans="1:54" ht="30" customHeight="1" x14ac:dyDescent="0.35">
      <c r="A187" s="33">
        <v>1</v>
      </c>
      <c r="B187" s="34" t="str">
        <f>PETUNJUK!B9</f>
        <v>Pecangaan Kulon</v>
      </c>
      <c r="C187" s="35">
        <f>'1.DATA KIA'!C179</f>
        <v>101.2</v>
      </c>
      <c r="D187" s="35">
        <f>'1.DATA KIA'!D179</f>
        <v>96.600000000000009</v>
      </c>
      <c r="E187" s="35">
        <f t="shared" ref="E187:E204" si="180">E151</f>
        <v>0</v>
      </c>
      <c r="F187" s="36">
        <f t="shared" ref="F187:F204" si="181">H151</f>
        <v>30</v>
      </c>
      <c r="G187" s="36">
        <f>'1.DATA KIA'!F179</f>
        <v>0</v>
      </c>
      <c r="H187" s="36">
        <f>F187+G187</f>
        <v>30</v>
      </c>
      <c r="I187" s="37">
        <f t="shared" ref="I187:I209" si="182">H187/C187*100</f>
        <v>29.644268774703558</v>
      </c>
      <c r="J187" s="40"/>
      <c r="K187" s="36">
        <f t="shared" ref="K187:K204" si="183">M151</f>
        <v>28</v>
      </c>
      <c r="L187" s="33">
        <f>'1.DATA KIA'!J179</f>
        <v>0</v>
      </c>
      <c r="M187" s="36">
        <f>K187+L187</f>
        <v>28</v>
      </c>
      <c r="N187" s="37">
        <f>M187/C187*100</f>
        <v>27.66798418972332</v>
      </c>
      <c r="O187" s="40"/>
      <c r="P187" s="36">
        <f t="shared" ref="P187:P204" si="184">R151</f>
        <v>29</v>
      </c>
      <c r="Q187" s="33">
        <f>'1.DATA KIA'!M179</f>
        <v>0</v>
      </c>
      <c r="R187" s="36">
        <f>P187+Q187</f>
        <v>29</v>
      </c>
      <c r="S187" s="37">
        <f>R187/C187*100</f>
        <v>28.656126482213441</v>
      </c>
      <c r="T187" s="40"/>
      <c r="U187" s="33">
        <f t="shared" ref="U187:U204" si="185">W151</f>
        <v>10</v>
      </c>
      <c r="V187" s="36">
        <f>'1.DATA KIA'!Y179</f>
        <v>0</v>
      </c>
      <c r="W187" s="33">
        <f>U187+V187</f>
        <v>10</v>
      </c>
      <c r="X187" s="37">
        <f t="shared" ref="X187:X204" si="186">W187/(20%*C187)*100</f>
        <v>49.40711462450593</v>
      </c>
      <c r="Y187" s="40"/>
      <c r="Z187" s="33">
        <f t="shared" ref="Z187:Z204" si="187">AB151</f>
        <v>6</v>
      </c>
      <c r="AA187" s="36">
        <f>'1.DATA KIA'!Z179</f>
        <v>0</v>
      </c>
      <c r="AB187" s="33">
        <f>Z187+AA187</f>
        <v>6</v>
      </c>
      <c r="AC187" s="37">
        <f t="shared" ref="AC187:AC204" si="188">AB187/(20%*C187)*100</f>
        <v>29.644268774703551</v>
      </c>
      <c r="AD187" s="40"/>
      <c r="AE187" s="33">
        <f t="shared" ref="AE187:AE204" si="189">AG151</f>
        <v>3</v>
      </c>
      <c r="AF187" s="41">
        <f>'8.ANCTEPADU'!D185+'8.ANCTEPADU'!E185</f>
        <v>0</v>
      </c>
      <c r="AG187" s="33">
        <f>AE187+AF187</f>
        <v>3</v>
      </c>
      <c r="AH187" s="37">
        <f t="shared" ref="AH187:AH204" si="190">AG187/C187*100</f>
        <v>2.9644268774703555</v>
      </c>
      <c r="AI187" s="33">
        <f t="shared" ref="AI187:AI204" si="191">AK151</f>
        <v>1</v>
      </c>
      <c r="AJ187" s="41">
        <f>'8.ANCTEPADU'!J185</f>
        <v>0</v>
      </c>
      <c r="AK187" s="33">
        <f>AI187+AJ187</f>
        <v>1</v>
      </c>
      <c r="AL187" s="37">
        <f t="shared" ref="AL187:AL204" si="192">AK187/C187*100</f>
        <v>0.98814229249011865</v>
      </c>
      <c r="AM187" s="36">
        <f t="shared" ref="AM187:AM204" si="193">AO151</f>
        <v>29</v>
      </c>
      <c r="AN187" s="36">
        <f>'1.DATA KIA'!AG179</f>
        <v>0</v>
      </c>
      <c r="AO187" s="33">
        <f>AN187+AM187</f>
        <v>29</v>
      </c>
      <c r="AP187" s="37" t="e">
        <f>AO187/E187*100</f>
        <v>#DIV/0!</v>
      </c>
      <c r="AQ187" s="40"/>
      <c r="AR187" s="42">
        <f t="shared" ref="AR187:AR204" si="194">AT151</f>
        <v>29</v>
      </c>
      <c r="AS187" s="36">
        <f>'1.DATA KIA'!AB179</f>
        <v>0</v>
      </c>
      <c r="AT187" s="36">
        <f>AS187+AR187</f>
        <v>29</v>
      </c>
      <c r="AU187" s="37">
        <f>AT187/D187*100</f>
        <v>30.020703933747413</v>
      </c>
      <c r="AV187" s="40"/>
      <c r="AW187" s="36">
        <f t="shared" ref="AW187:AW204" si="195">AY151</f>
        <v>10</v>
      </c>
      <c r="AX187" s="33">
        <f>'1.DATA KIA'!AF179</f>
        <v>0</v>
      </c>
      <c r="AY187" s="36">
        <f>AW187+AX187</f>
        <v>10</v>
      </c>
      <c r="AZ187" s="37">
        <f>AY187/(20%*C187)*100</f>
        <v>49.40711462450593</v>
      </c>
      <c r="BA187" s="38"/>
    </row>
    <row r="188" spans="1:54" ht="30" customHeight="1" x14ac:dyDescent="0.35">
      <c r="A188" s="33">
        <v>2</v>
      </c>
      <c r="B188" s="34" t="str">
        <f>PETUNJUK!B10</f>
        <v>Rengging</v>
      </c>
      <c r="C188" s="35">
        <f>'1.DATA KIA'!C180</f>
        <v>111.10000000000001</v>
      </c>
      <c r="D188" s="35">
        <f>'1.DATA KIA'!D180</f>
        <v>106.05000000000001</v>
      </c>
      <c r="E188" s="35">
        <f t="shared" si="180"/>
        <v>0</v>
      </c>
      <c r="F188" s="36">
        <f t="shared" si="181"/>
        <v>54</v>
      </c>
      <c r="G188" s="36">
        <f>'1.DATA KIA'!F181</f>
        <v>0</v>
      </c>
      <c r="H188" s="36">
        <f t="shared" ref="H188:H204" si="196">F188+G188</f>
        <v>54</v>
      </c>
      <c r="I188" s="37">
        <f t="shared" si="182"/>
        <v>48.604860486048601</v>
      </c>
      <c r="J188" s="40"/>
      <c r="K188" s="36">
        <f t="shared" si="183"/>
        <v>21</v>
      </c>
      <c r="L188" s="33">
        <f>'1.DATA KIA'!J181</f>
        <v>0</v>
      </c>
      <c r="M188" s="36">
        <f t="shared" ref="M188:M204" si="197">K188+L188</f>
        <v>21</v>
      </c>
      <c r="N188" s="37">
        <f t="shared" ref="N188:N208" si="198">M188/C188*100</f>
        <v>18.9018901890189</v>
      </c>
      <c r="O188" s="40"/>
      <c r="P188" s="36">
        <f t="shared" si="184"/>
        <v>32</v>
      </c>
      <c r="Q188" s="33">
        <f>'1.DATA KIA'!M181</f>
        <v>0</v>
      </c>
      <c r="R188" s="36">
        <f t="shared" ref="R188:R204" si="199">P188+Q188</f>
        <v>32</v>
      </c>
      <c r="S188" s="37">
        <f t="shared" ref="S188:S208" si="200">R188/C188*100</f>
        <v>28.802880288028799</v>
      </c>
      <c r="T188" s="40"/>
      <c r="U188" s="33">
        <f t="shared" si="185"/>
        <v>8</v>
      </c>
      <c r="V188" s="36">
        <f>'1.DATA KIA'!Y181</f>
        <v>0</v>
      </c>
      <c r="W188" s="33">
        <f t="shared" ref="W188:W204" si="201">U188+V188</f>
        <v>8</v>
      </c>
      <c r="X188" s="37">
        <f t="shared" si="186"/>
        <v>36.003600360035996</v>
      </c>
      <c r="Y188" s="40"/>
      <c r="Z188" s="33">
        <f t="shared" si="187"/>
        <v>5</v>
      </c>
      <c r="AA188" s="36">
        <f>'1.DATA KIA'!Z181</f>
        <v>0</v>
      </c>
      <c r="AB188" s="33">
        <f t="shared" ref="AB188:AB204" si="202">Z188+AA188</f>
        <v>5</v>
      </c>
      <c r="AC188" s="37">
        <f t="shared" si="188"/>
        <v>22.5022502250225</v>
      </c>
      <c r="AD188" s="40"/>
      <c r="AE188" s="33">
        <f t="shared" si="189"/>
        <v>6</v>
      </c>
      <c r="AF188" s="41">
        <f>'8.ANCTEPADU'!D186+'8.ANCTEPADU'!E186</f>
        <v>0</v>
      </c>
      <c r="AG188" s="33">
        <f t="shared" ref="AG188:AG204" si="203">AE188+AF188</f>
        <v>6</v>
      </c>
      <c r="AH188" s="37">
        <f t="shared" si="190"/>
        <v>5.4005400540054005</v>
      </c>
      <c r="AI188" s="33">
        <f t="shared" si="191"/>
        <v>8</v>
      </c>
      <c r="AJ188" s="41">
        <f>'8.ANCTEPADU'!J186</f>
        <v>0</v>
      </c>
      <c r="AK188" s="33">
        <f t="shared" ref="AK188:AK204" si="204">AI188+AJ188</f>
        <v>8</v>
      </c>
      <c r="AL188" s="37">
        <f t="shared" si="192"/>
        <v>7.2007200720071998</v>
      </c>
      <c r="AM188" s="36">
        <f t="shared" si="193"/>
        <v>35</v>
      </c>
      <c r="AN188" s="36">
        <f>'1.DATA KIA'!AG181</f>
        <v>0</v>
      </c>
      <c r="AO188" s="33">
        <f t="shared" ref="AO188:AO197" si="205">AN188+AM188</f>
        <v>35</v>
      </c>
      <c r="AP188" s="37" t="e">
        <f t="shared" ref="AP188:AP204" si="206">AO188/E188*100</f>
        <v>#DIV/0!</v>
      </c>
      <c r="AQ188" s="40"/>
      <c r="AR188" s="42">
        <f t="shared" si="194"/>
        <v>34</v>
      </c>
      <c r="AS188" s="36">
        <f>'1.DATA KIA'!AB181</f>
        <v>0</v>
      </c>
      <c r="AT188" s="33">
        <f t="shared" ref="AT188:AT197" si="207">AS188+AR188</f>
        <v>34</v>
      </c>
      <c r="AU188" s="37">
        <f t="shared" ref="AU188:AU204" si="208">AT188/D188*100</f>
        <v>32.06034889203206</v>
      </c>
      <c r="AV188" s="40"/>
      <c r="AW188" s="36">
        <f t="shared" si="195"/>
        <v>4</v>
      </c>
      <c r="AX188" s="33">
        <f>'1.DATA KIA'!AF181</f>
        <v>0</v>
      </c>
      <c r="AY188" s="36">
        <f t="shared" ref="AY188:AY204" si="209">AW188+AX188</f>
        <v>4</v>
      </c>
      <c r="AZ188" s="37">
        <f t="shared" ref="AZ188:AZ204" si="210">AY188/(20%*C188)*100</f>
        <v>18.001800180017998</v>
      </c>
      <c r="BA188" s="38"/>
    </row>
    <row r="189" spans="1:54" ht="30" customHeight="1" x14ac:dyDescent="0.35">
      <c r="A189" s="33">
        <v>3</v>
      </c>
      <c r="B189" s="34" t="str">
        <f>PETUNJUK!B11</f>
        <v>Troso</v>
      </c>
      <c r="C189" s="35">
        <f>'1.DATA KIA'!C181</f>
        <v>205.70000000000002</v>
      </c>
      <c r="D189" s="35">
        <f>'1.DATA KIA'!D181</f>
        <v>196.35</v>
      </c>
      <c r="E189" s="35">
        <f t="shared" si="180"/>
        <v>0</v>
      </c>
      <c r="F189" s="36">
        <f t="shared" si="181"/>
        <v>78</v>
      </c>
      <c r="G189" s="36">
        <f>'1.DATA KIA'!F182</f>
        <v>0</v>
      </c>
      <c r="H189" s="36">
        <f t="shared" si="196"/>
        <v>78</v>
      </c>
      <c r="I189" s="37">
        <f t="shared" si="182"/>
        <v>37.919299951385511</v>
      </c>
      <c r="J189" s="40"/>
      <c r="K189" s="36">
        <f t="shared" si="183"/>
        <v>64</v>
      </c>
      <c r="L189" s="33">
        <f>'1.DATA KIA'!J182</f>
        <v>0</v>
      </c>
      <c r="M189" s="36">
        <f t="shared" si="197"/>
        <v>64</v>
      </c>
      <c r="N189" s="37">
        <f t="shared" si="198"/>
        <v>31.113271754982978</v>
      </c>
      <c r="O189" s="40"/>
      <c r="P189" s="36">
        <f t="shared" si="184"/>
        <v>78</v>
      </c>
      <c r="Q189" s="33">
        <f>'1.DATA KIA'!M182</f>
        <v>0</v>
      </c>
      <c r="R189" s="36">
        <f t="shared" si="199"/>
        <v>78</v>
      </c>
      <c r="S189" s="37">
        <f t="shared" si="200"/>
        <v>37.919299951385511</v>
      </c>
      <c r="T189" s="40"/>
      <c r="U189" s="33">
        <f t="shared" si="185"/>
        <v>23</v>
      </c>
      <c r="V189" s="36">
        <f>'1.DATA KIA'!Y182</f>
        <v>0</v>
      </c>
      <c r="W189" s="33">
        <f t="shared" si="201"/>
        <v>23</v>
      </c>
      <c r="X189" s="37">
        <f t="shared" si="186"/>
        <v>55.906660184735038</v>
      </c>
      <c r="Y189" s="40"/>
      <c r="Z189" s="33">
        <f t="shared" si="187"/>
        <v>11</v>
      </c>
      <c r="AA189" s="36">
        <f>'1.DATA KIA'!Z182</f>
        <v>0</v>
      </c>
      <c r="AB189" s="33">
        <f t="shared" si="202"/>
        <v>11</v>
      </c>
      <c r="AC189" s="37">
        <f t="shared" si="188"/>
        <v>26.737967914438499</v>
      </c>
      <c r="AD189" s="40"/>
      <c r="AE189" s="33">
        <f t="shared" si="189"/>
        <v>3</v>
      </c>
      <c r="AF189" s="41">
        <f>'8.ANCTEPADU'!D187+'8.ANCTEPADU'!E187</f>
        <v>0</v>
      </c>
      <c r="AG189" s="33">
        <f t="shared" si="203"/>
        <v>3</v>
      </c>
      <c r="AH189" s="37">
        <f t="shared" si="190"/>
        <v>1.4584346135148272</v>
      </c>
      <c r="AI189" s="33">
        <f t="shared" si="191"/>
        <v>11</v>
      </c>
      <c r="AJ189" s="41">
        <f>'8.ANCTEPADU'!J187</f>
        <v>0</v>
      </c>
      <c r="AK189" s="33">
        <f t="shared" si="204"/>
        <v>11</v>
      </c>
      <c r="AL189" s="37">
        <f t="shared" si="192"/>
        <v>5.3475935828877006</v>
      </c>
      <c r="AM189" s="36">
        <f t="shared" si="193"/>
        <v>60</v>
      </c>
      <c r="AN189" s="36">
        <f>'1.DATA KIA'!AG182</f>
        <v>0</v>
      </c>
      <c r="AO189" s="33">
        <f t="shared" si="205"/>
        <v>60</v>
      </c>
      <c r="AP189" s="37" t="e">
        <f t="shared" si="206"/>
        <v>#DIV/0!</v>
      </c>
      <c r="AQ189" s="40"/>
      <c r="AR189" s="42">
        <f t="shared" si="194"/>
        <v>60</v>
      </c>
      <c r="AS189" s="36">
        <f>'1.DATA KIA'!AB182</f>
        <v>0</v>
      </c>
      <c r="AT189" s="33">
        <f t="shared" si="207"/>
        <v>60</v>
      </c>
      <c r="AU189" s="37">
        <f t="shared" si="208"/>
        <v>30.557677616501145</v>
      </c>
      <c r="AV189" s="40"/>
      <c r="AW189" s="36">
        <f t="shared" si="195"/>
        <v>13</v>
      </c>
      <c r="AX189" s="33">
        <f>'1.DATA KIA'!AF182</f>
        <v>0</v>
      </c>
      <c r="AY189" s="36">
        <f t="shared" si="209"/>
        <v>13</v>
      </c>
      <c r="AZ189" s="37">
        <f t="shared" si="210"/>
        <v>31.599416626154586</v>
      </c>
      <c r="BA189" s="38"/>
    </row>
    <row r="190" spans="1:54" ht="30" customHeight="1" x14ac:dyDescent="0.35">
      <c r="A190" s="33">
        <v>4</v>
      </c>
      <c r="B190" s="34" t="str">
        <f>PETUNJUK!B12</f>
        <v>Ngeling</v>
      </c>
      <c r="C190" s="35">
        <f>'1.DATA KIA'!C182</f>
        <v>95.7</v>
      </c>
      <c r="D190" s="35">
        <f>'1.DATA KIA'!D182</f>
        <v>91.350000000000009</v>
      </c>
      <c r="E190" s="35">
        <f t="shared" si="180"/>
        <v>0</v>
      </c>
      <c r="F190" s="36">
        <f t="shared" si="181"/>
        <v>30</v>
      </c>
      <c r="G190" s="36">
        <f>'1.DATA KIA'!F183</f>
        <v>0</v>
      </c>
      <c r="H190" s="36">
        <f t="shared" si="196"/>
        <v>30</v>
      </c>
      <c r="I190" s="37">
        <f t="shared" si="182"/>
        <v>31.347962382445139</v>
      </c>
      <c r="J190" s="40"/>
      <c r="K190" s="36">
        <f t="shared" si="183"/>
        <v>28</v>
      </c>
      <c r="L190" s="33">
        <f>'1.DATA KIA'!J182</f>
        <v>0</v>
      </c>
      <c r="M190" s="36">
        <f t="shared" si="197"/>
        <v>28</v>
      </c>
      <c r="N190" s="37">
        <f t="shared" si="198"/>
        <v>29.258098223615463</v>
      </c>
      <c r="O190" s="40"/>
      <c r="P190" s="36">
        <f t="shared" si="184"/>
        <v>26</v>
      </c>
      <c r="Q190" s="33">
        <f>'1.DATA KIA'!M182</f>
        <v>0</v>
      </c>
      <c r="R190" s="36">
        <f t="shared" si="199"/>
        <v>26</v>
      </c>
      <c r="S190" s="37">
        <f t="shared" si="200"/>
        <v>27.168234064785789</v>
      </c>
      <c r="T190" s="40"/>
      <c r="U190" s="33">
        <f t="shared" si="185"/>
        <v>7</v>
      </c>
      <c r="V190" s="36">
        <f>'1.DATA KIA'!Y182</f>
        <v>0</v>
      </c>
      <c r="W190" s="33">
        <f t="shared" si="201"/>
        <v>7</v>
      </c>
      <c r="X190" s="37">
        <f t="shared" si="186"/>
        <v>36.572622779519328</v>
      </c>
      <c r="Y190" s="40"/>
      <c r="Z190" s="33">
        <f t="shared" si="187"/>
        <v>5</v>
      </c>
      <c r="AA190" s="36">
        <f>'1.DATA KIA'!Z182</f>
        <v>0</v>
      </c>
      <c r="AB190" s="33">
        <f t="shared" si="202"/>
        <v>5</v>
      </c>
      <c r="AC190" s="37">
        <f t="shared" si="188"/>
        <v>26.123301985370951</v>
      </c>
      <c r="AD190" s="40"/>
      <c r="AE190" s="33">
        <f t="shared" si="189"/>
        <v>5</v>
      </c>
      <c r="AF190" s="41">
        <f>'8.ANCTEPADU'!D188+'8.ANCTEPADU'!E188</f>
        <v>0</v>
      </c>
      <c r="AG190" s="33">
        <f t="shared" si="203"/>
        <v>5</v>
      </c>
      <c r="AH190" s="37">
        <f t="shared" si="190"/>
        <v>5.2246603970741896</v>
      </c>
      <c r="AI190" s="33">
        <f t="shared" si="191"/>
        <v>5</v>
      </c>
      <c r="AJ190" s="41">
        <f>'8.ANCTEPADU'!J188</f>
        <v>0</v>
      </c>
      <c r="AK190" s="33">
        <f t="shared" si="204"/>
        <v>5</v>
      </c>
      <c r="AL190" s="37">
        <f t="shared" si="192"/>
        <v>5.2246603970741896</v>
      </c>
      <c r="AM190" s="36">
        <f t="shared" si="193"/>
        <v>28</v>
      </c>
      <c r="AN190" s="36">
        <f>'1.DATA KIA'!AG182</f>
        <v>0</v>
      </c>
      <c r="AO190" s="33">
        <f t="shared" si="205"/>
        <v>28</v>
      </c>
      <c r="AP190" s="37" t="e">
        <f t="shared" si="206"/>
        <v>#DIV/0!</v>
      </c>
      <c r="AQ190" s="40"/>
      <c r="AR190" s="42">
        <f t="shared" si="194"/>
        <v>28</v>
      </c>
      <c r="AS190" s="36">
        <f>'1.DATA KIA'!AB182</f>
        <v>0</v>
      </c>
      <c r="AT190" s="33">
        <f t="shared" si="207"/>
        <v>28</v>
      </c>
      <c r="AU190" s="37">
        <f t="shared" si="208"/>
        <v>30.651340996168582</v>
      </c>
      <c r="AV190" s="40"/>
      <c r="AW190" s="36">
        <f t="shared" si="195"/>
        <v>10</v>
      </c>
      <c r="AX190" s="33">
        <f>'1.DATA KIA'!AF182</f>
        <v>0</v>
      </c>
      <c r="AY190" s="36">
        <f t="shared" si="209"/>
        <v>10</v>
      </c>
      <c r="AZ190" s="37">
        <f t="shared" si="210"/>
        <v>52.246603970741901</v>
      </c>
      <c r="BA190" s="38"/>
    </row>
    <row r="191" spans="1:54" ht="30" customHeight="1" x14ac:dyDescent="0.35">
      <c r="A191" s="33">
        <v>5</v>
      </c>
      <c r="B191" s="34" t="str">
        <f>PETUNJUK!B13</f>
        <v>Lebuawu</v>
      </c>
      <c r="C191" s="35">
        <f>'1.DATA KIA'!C183</f>
        <v>85.800000000000011</v>
      </c>
      <c r="D191" s="35">
        <f>'1.DATA KIA'!D183</f>
        <v>81.900000000000006</v>
      </c>
      <c r="E191" s="35">
        <f t="shared" si="180"/>
        <v>0</v>
      </c>
      <c r="F191" s="36">
        <f t="shared" si="181"/>
        <v>33</v>
      </c>
      <c r="G191" s="36">
        <f>'1.DATA KIA'!F184</f>
        <v>0</v>
      </c>
      <c r="H191" s="36">
        <f t="shared" si="196"/>
        <v>33</v>
      </c>
      <c r="I191" s="37">
        <f t="shared" si="182"/>
        <v>38.46153846153846</v>
      </c>
      <c r="J191" s="40"/>
      <c r="K191" s="36">
        <f t="shared" si="183"/>
        <v>25</v>
      </c>
      <c r="L191" s="33">
        <f>'1.DATA KIA'!J183</f>
        <v>0</v>
      </c>
      <c r="M191" s="36">
        <f t="shared" si="197"/>
        <v>25</v>
      </c>
      <c r="N191" s="37">
        <f t="shared" si="198"/>
        <v>29.137529137529132</v>
      </c>
      <c r="O191" s="40"/>
      <c r="P191" s="36">
        <f t="shared" si="184"/>
        <v>19</v>
      </c>
      <c r="Q191" s="33">
        <f>'1.DATA KIA'!M183</f>
        <v>0</v>
      </c>
      <c r="R191" s="36">
        <f t="shared" si="199"/>
        <v>19</v>
      </c>
      <c r="S191" s="37">
        <f t="shared" si="200"/>
        <v>22.144522144522142</v>
      </c>
      <c r="T191" s="40"/>
      <c r="U191" s="33">
        <f t="shared" si="185"/>
        <v>5</v>
      </c>
      <c r="V191" s="36">
        <f>'1.DATA KIA'!Y183</f>
        <v>0</v>
      </c>
      <c r="W191" s="33">
        <f t="shared" si="201"/>
        <v>5</v>
      </c>
      <c r="X191" s="37">
        <f t="shared" si="186"/>
        <v>29.137529137529132</v>
      </c>
      <c r="Y191" s="40"/>
      <c r="Z191" s="33">
        <f t="shared" si="187"/>
        <v>3</v>
      </c>
      <c r="AA191" s="36">
        <f>'1.DATA KIA'!Z183</f>
        <v>0</v>
      </c>
      <c r="AB191" s="33">
        <f t="shared" si="202"/>
        <v>3</v>
      </c>
      <c r="AC191" s="37">
        <f t="shared" si="188"/>
        <v>17.48251748251748</v>
      </c>
      <c r="AD191" s="40"/>
      <c r="AE191" s="33">
        <f t="shared" si="189"/>
        <v>2</v>
      </c>
      <c r="AF191" s="41">
        <f>'8.ANCTEPADU'!D189+'8.ANCTEPADU'!E189</f>
        <v>0</v>
      </c>
      <c r="AG191" s="33">
        <f t="shared" si="203"/>
        <v>2</v>
      </c>
      <c r="AH191" s="37">
        <f t="shared" si="190"/>
        <v>2.3310023310023307</v>
      </c>
      <c r="AI191" s="33">
        <f t="shared" si="191"/>
        <v>3</v>
      </c>
      <c r="AJ191" s="41">
        <f>'8.ANCTEPADU'!J189</f>
        <v>0</v>
      </c>
      <c r="AK191" s="33">
        <f t="shared" si="204"/>
        <v>3</v>
      </c>
      <c r="AL191" s="37">
        <f t="shared" si="192"/>
        <v>3.4965034965034962</v>
      </c>
      <c r="AM191" s="36">
        <f t="shared" si="193"/>
        <v>23</v>
      </c>
      <c r="AN191" s="36">
        <f>'1.DATA KIA'!AG183</f>
        <v>0</v>
      </c>
      <c r="AO191" s="33">
        <f t="shared" si="205"/>
        <v>23</v>
      </c>
      <c r="AP191" s="37" t="e">
        <f t="shared" si="206"/>
        <v>#DIV/0!</v>
      </c>
      <c r="AQ191" s="40"/>
      <c r="AR191" s="42">
        <f t="shared" si="194"/>
        <v>23</v>
      </c>
      <c r="AS191" s="36">
        <f>'1.DATA KIA'!AB183</f>
        <v>0</v>
      </c>
      <c r="AT191" s="33">
        <f t="shared" si="207"/>
        <v>23</v>
      </c>
      <c r="AU191" s="37">
        <f t="shared" si="208"/>
        <v>28.083028083028083</v>
      </c>
      <c r="AV191" s="40"/>
      <c r="AW191" s="36">
        <f t="shared" si="195"/>
        <v>1</v>
      </c>
      <c r="AX191" s="33">
        <f>'1.DATA KIA'!AF183</f>
        <v>0</v>
      </c>
      <c r="AY191" s="36">
        <f t="shared" si="209"/>
        <v>1</v>
      </c>
      <c r="AZ191" s="37">
        <f t="shared" si="210"/>
        <v>5.8275058275058269</v>
      </c>
      <c r="BA191" s="38"/>
    </row>
    <row r="192" spans="1:54" ht="30" customHeight="1" x14ac:dyDescent="0.35">
      <c r="A192" s="33">
        <v>6</v>
      </c>
      <c r="B192" s="34" t="str">
        <f>PETUNJUK!B14</f>
        <v>Pulodarat</v>
      </c>
      <c r="C192" s="35">
        <f>'1.DATA KIA'!C184</f>
        <v>82.5</v>
      </c>
      <c r="D192" s="35">
        <f>'1.DATA KIA'!D184</f>
        <v>78.75</v>
      </c>
      <c r="E192" s="35">
        <f t="shared" si="180"/>
        <v>0</v>
      </c>
      <c r="F192" s="36">
        <f t="shared" si="181"/>
        <v>18</v>
      </c>
      <c r="G192" s="36">
        <f>'1.DATA KIA'!F185</f>
        <v>0</v>
      </c>
      <c r="H192" s="36">
        <f t="shared" si="196"/>
        <v>18</v>
      </c>
      <c r="I192" s="37">
        <f t="shared" si="182"/>
        <v>21.818181818181817</v>
      </c>
      <c r="J192" s="40"/>
      <c r="K192" s="36">
        <f t="shared" si="183"/>
        <v>19</v>
      </c>
      <c r="L192" s="33">
        <f>'1.DATA KIA'!J184</f>
        <v>0</v>
      </c>
      <c r="M192" s="36">
        <f t="shared" si="197"/>
        <v>19</v>
      </c>
      <c r="N192" s="37">
        <f t="shared" si="198"/>
        <v>23.030303030303031</v>
      </c>
      <c r="O192" s="40"/>
      <c r="P192" s="36">
        <f t="shared" si="184"/>
        <v>19</v>
      </c>
      <c r="Q192" s="33">
        <f>'1.DATA KIA'!M184</f>
        <v>0</v>
      </c>
      <c r="R192" s="36">
        <f t="shared" si="199"/>
        <v>19</v>
      </c>
      <c r="S192" s="37">
        <f t="shared" si="200"/>
        <v>23.030303030303031</v>
      </c>
      <c r="T192" s="40"/>
      <c r="U192" s="33">
        <f t="shared" si="185"/>
        <v>4</v>
      </c>
      <c r="V192" s="36">
        <f>'1.DATA KIA'!Y184</f>
        <v>0</v>
      </c>
      <c r="W192" s="33">
        <f t="shared" si="201"/>
        <v>4</v>
      </c>
      <c r="X192" s="37">
        <f t="shared" si="186"/>
        <v>24.242424242424242</v>
      </c>
      <c r="Y192" s="40"/>
      <c r="Z192" s="33">
        <f t="shared" si="187"/>
        <v>2</v>
      </c>
      <c r="AA192" s="36">
        <f>'1.DATA KIA'!Z184</f>
        <v>0</v>
      </c>
      <c r="AB192" s="33">
        <f t="shared" si="202"/>
        <v>2</v>
      </c>
      <c r="AC192" s="37">
        <f t="shared" si="188"/>
        <v>12.121212121212121</v>
      </c>
      <c r="AD192" s="40"/>
      <c r="AE192" s="33">
        <f t="shared" si="189"/>
        <v>3</v>
      </c>
      <c r="AF192" s="41">
        <f>'8.ANCTEPADU'!D190+'8.ANCTEPADU'!E190</f>
        <v>0</v>
      </c>
      <c r="AG192" s="33">
        <f t="shared" si="203"/>
        <v>3</v>
      </c>
      <c r="AH192" s="37">
        <f t="shared" si="190"/>
        <v>3.6363636363636362</v>
      </c>
      <c r="AI192" s="33">
        <f t="shared" si="191"/>
        <v>0</v>
      </c>
      <c r="AJ192" s="41">
        <f>'8.ANCTEPADU'!J190</f>
        <v>0</v>
      </c>
      <c r="AK192" s="33">
        <f t="shared" si="204"/>
        <v>0</v>
      </c>
      <c r="AL192" s="37">
        <f t="shared" si="192"/>
        <v>0</v>
      </c>
      <c r="AM192" s="36">
        <f t="shared" si="193"/>
        <v>17</v>
      </c>
      <c r="AN192" s="36">
        <f>'1.DATA KIA'!AG184</f>
        <v>0</v>
      </c>
      <c r="AO192" s="33">
        <f t="shared" si="205"/>
        <v>17</v>
      </c>
      <c r="AP192" s="37" t="e">
        <f t="shared" si="206"/>
        <v>#DIV/0!</v>
      </c>
      <c r="AQ192" s="40"/>
      <c r="AR192" s="42">
        <f t="shared" si="194"/>
        <v>17</v>
      </c>
      <c r="AS192" s="36">
        <f>'1.DATA KIA'!AB184</f>
        <v>0</v>
      </c>
      <c r="AT192" s="33">
        <f t="shared" si="207"/>
        <v>17</v>
      </c>
      <c r="AU192" s="37">
        <f t="shared" si="208"/>
        <v>21.587301587301589</v>
      </c>
      <c r="AV192" s="40"/>
      <c r="AW192" s="36">
        <f t="shared" si="195"/>
        <v>4</v>
      </c>
      <c r="AX192" s="33">
        <f>'1.DATA KIA'!AF184</f>
        <v>0</v>
      </c>
      <c r="AY192" s="36">
        <f t="shared" si="209"/>
        <v>4</v>
      </c>
      <c r="AZ192" s="37">
        <f t="shared" si="210"/>
        <v>24.242424242424242</v>
      </c>
      <c r="BA192" s="38"/>
    </row>
    <row r="193" spans="1:53" ht="30" customHeight="1" x14ac:dyDescent="0.35">
      <c r="A193" s="33">
        <v>7</v>
      </c>
      <c r="B193" s="34" t="str">
        <f>PETUNJUK!B15</f>
        <v>Karangrandu</v>
      </c>
      <c r="C193" s="35">
        <f>'1.DATA KIA'!C185</f>
        <v>93.500000000000014</v>
      </c>
      <c r="D193" s="35">
        <f>'1.DATA KIA'!D185</f>
        <v>89.25</v>
      </c>
      <c r="E193" s="35">
        <f t="shared" si="180"/>
        <v>0</v>
      </c>
      <c r="F193" s="36">
        <f t="shared" si="181"/>
        <v>31</v>
      </c>
      <c r="G193" s="36">
        <f>'1.DATA KIA'!F186</f>
        <v>0</v>
      </c>
      <c r="H193" s="36">
        <f t="shared" si="196"/>
        <v>31</v>
      </c>
      <c r="I193" s="37">
        <f t="shared" si="182"/>
        <v>33.155080213903737</v>
      </c>
      <c r="J193" s="40"/>
      <c r="K193" s="36">
        <f t="shared" si="183"/>
        <v>24</v>
      </c>
      <c r="L193" s="33">
        <f>'1.DATA KIA'!J185</f>
        <v>0</v>
      </c>
      <c r="M193" s="36">
        <f t="shared" si="197"/>
        <v>24</v>
      </c>
      <c r="N193" s="37">
        <f t="shared" si="198"/>
        <v>25.668449197860959</v>
      </c>
      <c r="O193" s="40"/>
      <c r="P193" s="36">
        <f t="shared" si="184"/>
        <v>27</v>
      </c>
      <c r="Q193" s="33">
        <f>'1.DATA KIA'!M185</f>
        <v>0</v>
      </c>
      <c r="R193" s="36">
        <f t="shared" si="199"/>
        <v>27</v>
      </c>
      <c r="S193" s="37">
        <f t="shared" si="200"/>
        <v>28.877005347593578</v>
      </c>
      <c r="T193" s="40"/>
      <c r="U193" s="33">
        <f t="shared" si="185"/>
        <v>14</v>
      </c>
      <c r="V193" s="36">
        <f>'1.DATA KIA'!Y185</f>
        <v>0</v>
      </c>
      <c r="W193" s="33">
        <f t="shared" si="201"/>
        <v>14</v>
      </c>
      <c r="X193" s="37">
        <f t="shared" si="186"/>
        <v>74.866310160427801</v>
      </c>
      <c r="Y193" s="40"/>
      <c r="Z193" s="33">
        <f t="shared" si="187"/>
        <v>5</v>
      </c>
      <c r="AA193" s="36">
        <f>'1.DATA KIA'!Z185</f>
        <v>0</v>
      </c>
      <c r="AB193" s="33">
        <f t="shared" si="202"/>
        <v>5</v>
      </c>
      <c r="AC193" s="37">
        <f t="shared" si="188"/>
        <v>26.737967914438499</v>
      </c>
      <c r="AD193" s="40"/>
      <c r="AE193" s="33">
        <f t="shared" si="189"/>
        <v>3</v>
      </c>
      <c r="AF193" s="41">
        <f>'8.ANCTEPADU'!D191+'8.ANCTEPADU'!E191</f>
        <v>0</v>
      </c>
      <c r="AG193" s="33">
        <f t="shared" si="203"/>
        <v>3</v>
      </c>
      <c r="AH193" s="37">
        <f t="shared" si="190"/>
        <v>3.2085561497326198</v>
      </c>
      <c r="AI193" s="33">
        <f t="shared" si="191"/>
        <v>2</v>
      </c>
      <c r="AJ193" s="41">
        <f>'8.ANCTEPADU'!J191</f>
        <v>0</v>
      </c>
      <c r="AK193" s="33">
        <f t="shared" si="204"/>
        <v>2</v>
      </c>
      <c r="AL193" s="37">
        <f t="shared" si="192"/>
        <v>2.1390374331550799</v>
      </c>
      <c r="AM193" s="36">
        <f t="shared" si="193"/>
        <v>26</v>
      </c>
      <c r="AN193" s="36">
        <f>'1.DATA KIA'!AG185</f>
        <v>0</v>
      </c>
      <c r="AO193" s="33">
        <f t="shared" si="205"/>
        <v>26</v>
      </c>
      <c r="AP193" s="37" t="e">
        <f t="shared" si="206"/>
        <v>#DIV/0!</v>
      </c>
      <c r="AQ193" s="40"/>
      <c r="AR193" s="42">
        <f t="shared" si="194"/>
        <v>27</v>
      </c>
      <c r="AS193" s="36">
        <f>'1.DATA KIA'!AB185</f>
        <v>0</v>
      </c>
      <c r="AT193" s="33">
        <f t="shared" si="207"/>
        <v>27</v>
      </c>
      <c r="AU193" s="37">
        <f t="shared" si="208"/>
        <v>30.252100840336134</v>
      </c>
      <c r="AV193" s="40"/>
      <c r="AW193" s="36">
        <f t="shared" si="195"/>
        <v>4</v>
      </c>
      <c r="AX193" s="33">
        <f>'1.DATA KIA'!AF185</f>
        <v>0</v>
      </c>
      <c r="AY193" s="36">
        <f t="shared" si="209"/>
        <v>4</v>
      </c>
      <c r="AZ193" s="37">
        <f t="shared" si="210"/>
        <v>21.390374331550799</v>
      </c>
      <c r="BA193" s="38"/>
    </row>
    <row r="194" spans="1:53" ht="30" customHeight="1" x14ac:dyDescent="0.35">
      <c r="A194" s="33">
        <v>8</v>
      </c>
      <c r="B194" s="34" t="str">
        <f>PETUNJUK!B16</f>
        <v>Kaliombo</v>
      </c>
      <c r="C194" s="35">
        <f>'1.DATA KIA'!C186</f>
        <v>46.2</v>
      </c>
      <c r="D194" s="35">
        <f>'1.DATA KIA'!D186</f>
        <v>44.1</v>
      </c>
      <c r="E194" s="35">
        <f t="shared" si="180"/>
        <v>0</v>
      </c>
      <c r="F194" s="36">
        <f t="shared" si="181"/>
        <v>13</v>
      </c>
      <c r="G194" s="36">
        <f>'1.DATA KIA'!F187</f>
        <v>0</v>
      </c>
      <c r="H194" s="36">
        <f t="shared" si="196"/>
        <v>13</v>
      </c>
      <c r="I194" s="37">
        <f t="shared" si="182"/>
        <v>28.138528138528134</v>
      </c>
      <c r="J194" s="40"/>
      <c r="K194" s="36">
        <f t="shared" si="183"/>
        <v>13</v>
      </c>
      <c r="L194" s="33">
        <f>'1.DATA KIA'!J186</f>
        <v>0</v>
      </c>
      <c r="M194" s="36">
        <f t="shared" si="197"/>
        <v>13</v>
      </c>
      <c r="N194" s="37">
        <f t="shared" si="198"/>
        <v>28.138528138528134</v>
      </c>
      <c r="O194" s="40"/>
      <c r="P194" s="36">
        <f t="shared" si="184"/>
        <v>13</v>
      </c>
      <c r="Q194" s="33">
        <f>'1.DATA KIA'!M186</f>
        <v>0</v>
      </c>
      <c r="R194" s="36">
        <f t="shared" si="199"/>
        <v>13</v>
      </c>
      <c r="S194" s="37">
        <f t="shared" si="200"/>
        <v>28.138528138528134</v>
      </c>
      <c r="T194" s="40"/>
      <c r="U194" s="33">
        <f t="shared" si="185"/>
        <v>7</v>
      </c>
      <c r="V194" s="36">
        <f>'1.DATA KIA'!Y186</f>
        <v>0</v>
      </c>
      <c r="W194" s="33">
        <f t="shared" si="201"/>
        <v>7</v>
      </c>
      <c r="X194" s="37">
        <f t="shared" si="186"/>
        <v>75.757575757575751</v>
      </c>
      <c r="Y194" s="40"/>
      <c r="Z194" s="33">
        <f t="shared" si="187"/>
        <v>2</v>
      </c>
      <c r="AA194" s="36">
        <f>'1.DATA KIA'!Z186</f>
        <v>0</v>
      </c>
      <c r="AB194" s="33">
        <f t="shared" si="202"/>
        <v>2</v>
      </c>
      <c r="AC194" s="37">
        <f t="shared" si="188"/>
        <v>21.645021645021643</v>
      </c>
      <c r="AD194" s="40"/>
      <c r="AE194" s="33">
        <f t="shared" si="189"/>
        <v>0</v>
      </c>
      <c r="AF194" s="41">
        <f>'8.ANCTEPADU'!D192+'8.ANCTEPADU'!E192</f>
        <v>0</v>
      </c>
      <c r="AG194" s="33">
        <f t="shared" si="203"/>
        <v>0</v>
      </c>
      <c r="AH194" s="37">
        <f t="shared" si="190"/>
        <v>0</v>
      </c>
      <c r="AI194" s="33">
        <f t="shared" si="191"/>
        <v>1</v>
      </c>
      <c r="AJ194" s="41">
        <f>'8.ANCTEPADU'!J192</f>
        <v>0</v>
      </c>
      <c r="AK194" s="33">
        <f t="shared" si="204"/>
        <v>1</v>
      </c>
      <c r="AL194" s="37">
        <f t="shared" si="192"/>
        <v>2.1645021645021645</v>
      </c>
      <c r="AM194" s="36">
        <f t="shared" si="193"/>
        <v>13</v>
      </c>
      <c r="AN194" s="36">
        <f>'1.DATA KIA'!AG186</f>
        <v>0</v>
      </c>
      <c r="AO194" s="33">
        <f t="shared" si="205"/>
        <v>13</v>
      </c>
      <c r="AP194" s="37" t="e">
        <f t="shared" si="206"/>
        <v>#DIV/0!</v>
      </c>
      <c r="AQ194" s="40"/>
      <c r="AR194" s="42">
        <f t="shared" si="194"/>
        <v>13</v>
      </c>
      <c r="AS194" s="36">
        <f>'1.DATA KIA'!AB186</f>
        <v>0</v>
      </c>
      <c r="AT194" s="33">
        <f t="shared" si="207"/>
        <v>13</v>
      </c>
      <c r="AU194" s="37">
        <f t="shared" si="208"/>
        <v>29.478458049886619</v>
      </c>
      <c r="AV194" s="40"/>
      <c r="AW194" s="36">
        <f t="shared" si="195"/>
        <v>5</v>
      </c>
      <c r="AX194" s="33">
        <f>'1.DATA KIA'!AF186</f>
        <v>0</v>
      </c>
      <c r="AY194" s="36">
        <f t="shared" si="209"/>
        <v>5</v>
      </c>
      <c r="AZ194" s="37">
        <f t="shared" si="210"/>
        <v>54.112554112554115</v>
      </c>
      <c r="BA194" s="38"/>
    </row>
    <row r="195" spans="1:53" ht="30" customHeight="1" x14ac:dyDescent="0.35">
      <c r="A195" s="33">
        <v>9</v>
      </c>
      <c r="B195" s="34" t="str">
        <f>PETUNJUK!B17</f>
        <v>Gemulung</v>
      </c>
      <c r="C195" s="35">
        <f>'1.DATA KIA'!C187</f>
        <v>53.900000000000006</v>
      </c>
      <c r="D195" s="35">
        <f>'1.DATA KIA'!D187</f>
        <v>51.45</v>
      </c>
      <c r="E195" s="35">
        <f t="shared" si="180"/>
        <v>0</v>
      </c>
      <c r="F195" s="36">
        <f t="shared" si="181"/>
        <v>19</v>
      </c>
      <c r="G195" s="36">
        <f>'1.DATA KIA'!F188</f>
        <v>0</v>
      </c>
      <c r="H195" s="36">
        <f t="shared" si="196"/>
        <v>19</v>
      </c>
      <c r="I195" s="37">
        <f t="shared" si="182"/>
        <v>35.250463821892389</v>
      </c>
      <c r="J195" s="40"/>
      <c r="K195" s="36">
        <f t="shared" si="183"/>
        <v>19</v>
      </c>
      <c r="L195" s="33">
        <f>'1.DATA KIA'!J187</f>
        <v>0</v>
      </c>
      <c r="M195" s="36">
        <f t="shared" si="197"/>
        <v>19</v>
      </c>
      <c r="N195" s="37">
        <f t="shared" si="198"/>
        <v>35.250463821892389</v>
      </c>
      <c r="O195" s="40"/>
      <c r="P195" s="36">
        <f t="shared" si="184"/>
        <v>19</v>
      </c>
      <c r="Q195" s="33">
        <f>'1.DATA KIA'!M187</f>
        <v>0</v>
      </c>
      <c r="R195" s="36">
        <f t="shared" si="199"/>
        <v>19</v>
      </c>
      <c r="S195" s="37">
        <f t="shared" si="200"/>
        <v>35.250463821892389</v>
      </c>
      <c r="T195" s="40"/>
      <c r="U195" s="33">
        <f t="shared" si="185"/>
        <v>3</v>
      </c>
      <c r="V195" s="36">
        <f>'1.DATA KIA'!Y187</f>
        <v>0</v>
      </c>
      <c r="W195" s="33">
        <f t="shared" si="201"/>
        <v>3</v>
      </c>
      <c r="X195" s="37">
        <f t="shared" si="186"/>
        <v>27.829313543599255</v>
      </c>
      <c r="Y195" s="40"/>
      <c r="Z195" s="33">
        <f t="shared" si="187"/>
        <v>1</v>
      </c>
      <c r="AA195" s="36">
        <f>'1.DATA KIA'!Z187</f>
        <v>0</v>
      </c>
      <c r="AB195" s="33">
        <f t="shared" si="202"/>
        <v>1</v>
      </c>
      <c r="AC195" s="37">
        <f t="shared" si="188"/>
        <v>9.2764378478664185</v>
      </c>
      <c r="AD195" s="40"/>
      <c r="AE195" s="33">
        <f t="shared" si="189"/>
        <v>4</v>
      </c>
      <c r="AF195" s="41">
        <f>'8.ANCTEPADU'!D193+'8.ANCTEPADU'!E193</f>
        <v>0</v>
      </c>
      <c r="AG195" s="33">
        <f t="shared" si="203"/>
        <v>4</v>
      </c>
      <c r="AH195" s="37">
        <f t="shared" si="190"/>
        <v>7.4211502782931342</v>
      </c>
      <c r="AI195" s="33">
        <f t="shared" si="191"/>
        <v>1</v>
      </c>
      <c r="AJ195" s="41">
        <f>'8.ANCTEPADU'!J193</f>
        <v>0</v>
      </c>
      <c r="AK195" s="33">
        <f t="shared" si="204"/>
        <v>1</v>
      </c>
      <c r="AL195" s="37">
        <f t="shared" si="192"/>
        <v>1.8552875695732836</v>
      </c>
      <c r="AM195" s="36">
        <f t="shared" si="193"/>
        <v>20</v>
      </c>
      <c r="AN195" s="36">
        <f>'1.DATA KIA'!AG187</f>
        <v>0</v>
      </c>
      <c r="AO195" s="33">
        <f t="shared" si="205"/>
        <v>20</v>
      </c>
      <c r="AP195" s="37" t="e">
        <f t="shared" si="206"/>
        <v>#DIV/0!</v>
      </c>
      <c r="AQ195" s="40"/>
      <c r="AR195" s="42">
        <f t="shared" si="194"/>
        <v>20</v>
      </c>
      <c r="AS195" s="36">
        <f>'1.DATA KIA'!AB187</f>
        <v>0</v>
      </c>
      <c r="AT195" s="33">
        <f t="shared" si="207"/>
        <v>20</v>
      </c>
      <c r="AU195" s="37">
        <f t="shared" si="208"/>
        <v>38.872691933916421</v>
      </c>
      <c r="AV195" s="40"/>
      <c r="AW195" s="36">
        <f t="shared" si="195"/>
        <v>8</v>
      </c>
      <c r="AX195" s="33">
        <f>'1.DATA KIA'!AF187</f>
        <v>0</v>
      </c>
      <c r="AY195" s="36">
        <f t="shared" si="209"/>
        <v>8</v>
      </c>
      <c r="AZ195" s="37">
        <f t="shared" si="210"/>
        <v>74.211502782931348</v>
      </c>
      <c r="BA195" s="38"/>
    </row>
    <row r="196" spans="1:53" ht="30" customHeight="1" x14ac:dyDescent="0.35">
      <c r="A196" s="33">
        <v>10</v>
      </c>
      <c r="B196" s="34" t="str">
        <f>PETUNJUK!B18</f>
        <v>Pecangaan Wetan</v>
      </c>
      <c r="C196" s="35">
        <f>'1.DATA KIA'!C188</f>
        <v>50.6</v>
      </c>
      <c r="D196" s="35">
        <f>'1.DATA KIA'!D188</f>
        <v>48.300000000000004</v>
      </c>
      <c r="E196" s="35">
        <f t="shared" si="180"/>
        <v>0</v>
      </c>
      <c r="F196" s="36">
        <f t="shared" si="181"/>
        <v>15</v>
      </c>
      <c r="G196" s="36">
        <f>'1.DATA KIA'!F189</f>
        <v>0</v>
      </c>
      <c r="H196" s="36">
        <f t="shared" si="196"/>
        <v>15</v>
      </c>
      <c r="I196" s="37">
        <f t="shared" si="182"/>
        <v>29.644268774703558</v>
      </c>
      <c r="J196" s="40"/>
      <c r="K196" s="36">
        <f t="shared" si="183"/>
        <v>12</v>
      </c>
      <c r="L196" s="33">
        <f>'1.DATA KIA'!J188</f>
        <v>0</v>
      </c>
      <c r="M196" s="36">
        <f t="shared" si="197"/>
        <v>12</v>
      </c>
      <c r="N196" s="37">
        <f t="shared" si="198"/>
        <v>23.715415019762844</v>
      </c>
      <c r="O196" s="40"/>
      <c r="P196" s="36">
        <f t="shared" si="184"/>
        <v>10</v>
      </c>
      <c r="Q196" s="33">
        <f>'1.DATA KIA'!M188</f>
        <v>0</v>
      </c>
      <c r="R196" s="36">
        <f t="shared" si="199"/>
        <v>10</v>
      </c>
      <c r="S196" s="37">
        <f t="shared" si="200"/>
        <v>19.762845849802371</v>
      </c>
      <c r="T196" s="40"/>
      <c r="U196" s="33">
        <f t="shared" si="185"/>
        <v>4</v>
      </c>
      <c r="V196" s="36">
        <f>'1.DATA KIA'!Y188</f>
        <v>0</v>
      </c>
      <c r="W196" s="33">
        <f t="shared" si="201"/>
        <v>4</v>
      </c>
      <c r="X196" s="37">
        <f t="shared" si="186"/>
        <v>39.525691699604735</v>
      </c>
      <c r="Y196" s="40"/>
      <c r="Z196" s="33">
        <f t="shared" si="187"/>
        <v>0</v>
      </c>
      <c r="AA196" s="36">
        <f>'1.DATA KIA'!Z188</f>
        <v>0</v>
      </c>
      <c r="AB196" s="33">
        <f t="shared" si="202"/>
        <v>0</v>
      </c>
      <c r="AC196" s="37">
        <f t="shared" si="188"/>
        <v>0</v>
      </c>
      <c r="AD196" s="40"/>
      <c r="AE196" s="33">
        <f t="shared" si="189"/>
        <v>0</v>
      </c>
      <c r="AF196" s="41">
        <f>'8.ANCTEPADU'!D194+'8.ANCTEPADU'!E194</f>
        <v>0</v>
      </c>
      <c r="AG196" s="33">
        <f t="shared" si="203"/>
        <v>0</v>
      </c>
      <c r="AH196" s="37">
        <f t="shared" si="190"/>
        <v>0</v>
      </c>
      <c r="AI196" s="33">
        <f t="shared" si="191"/>
        <v>5</v>
      </c>
      <c r="AJ196" s="41">
        <f>'8.ANCTEPADU'!J194</f>
        <v>0</v>
      </c>
      <c r="AK196" s="33">
        <f t="shared" si="204"/>
        <v>5</v>
      </c>
      <c r="AL196" s="37">
        <f t="shared" si="192"/>
        <v>9.8814229249011856</v>
      </c>
      <c r="AM196" s="36">
        <f t="shared" si="193"/>
        <v>13</v>
      </c>
      <c r="AN196" s="36">
        <f>'1.DATA KIA'!AG188</f>
        <v>0</v>
      </c>
      <c r="AO196" s="33">
        <f t="shared" si="205"/>
        <v>13</v>
      </c>
      <c r="AP196" s="37" t="e">
        <f t="shared" si="206"/>
        <v>#DIV/0!</v>
      </c>
      <c r="AQ196" s="40"/>
      <c r="AR196" s="42">
        <f t="shared" si="194"/>
        <v>13</v>
      </c>
      <c r="AS196" s="36">
        <f>'1.DATA KIA'!AB188</f>
        <v>0</v>
      </c>
      <c r="AT196" s="33">
        <f t="shared" si="207"/>
        <v>13</v>
      </c>
      <c r="AU196" s="37">
        <f t="shared" si="208"/>
        <v>26.915113871635612</v>
      </c>
      <c r="AV196" s="40"/>
      <c r="AW196" s="36">
        <f t="shared" si="195"/>
        <v>1</v>
      </c>
      <c r="AX196" s="33">
        <f>'1.DATA KIA'!AF188</f>
        <v>0</v>
      </c>
      <c r="AY196" s="36">
        <f t="shared" si="209"/>
        <v>1</v>
      </c>
      <c r="AZ196" s="37">
        <f t="shared" si="210"/>
        <v>9.8814229249011838</v>
      </c>
      <c r="BA196" s="38"/>
    </row>
    <row r="197" spans="1:53" ht="30" customHeight="1" x14ac:dyDescent="0.35">
      <c r="A197" s="33">
        <v>11</v>
      </c>
      <c r="B197" s="34" t="str">
        <f>PETUNJUK!B19</f>
        <v>Krasak</v>
      </c>
      <c r="C197" s="35">
        <f>'1.DATA KIA'!C189</f>
        <v>117.7</v>
      </c>
      <c r="D197" s="35">
        <f>'1.DATA KIA'!D189</f>
        <v>112.35000000000001</v>
      </c>
      <c r="E197" s="35">
        <f t="shared" si="180"/>
        <v>0</v>
      </c>
      <c r="F197" s="36">
        <f t="shared" si="181"/>
        <v>45</v>
      </c>
      <c r="G197" s="36">
        <f>'1.DATA KIA'!F190</f>
        <v>0</v>
      </c>
      <c r="H197" s="36">
        <f t="shared" si="196"/>
        <v>45</v>
      </c>
      <c r="I197" s="37">
        <f t="shared" si="182"/>
        <v>38.232795242141037</v>
      </c>
      <c r="J197" s="40"/>
      <c r="K197" s="36">
        <f t="shared" si="183"/>
        <v>22</v>
      </c>
      <c r="L197" s="33">
        <f>'1.DATA KIA'!J189</f>
        <v>0</v>
      </c>
      <c r="M197" s="36">
        <f t="shared" si="197"/>
        <v>22</v>
      </c>
      <c r="N197" s="37">
        <f t="shared" si="198"/>
        <v>18.691588785046729</v>
      </c>
      <c r="O197" s="40"/>
      <c r="P197" s="36">
        <f t="shared" si="184"/>
        <v>29</v>
      </c>
      <c r="Q197" s="33">
        <f>'1.DATA KIA'!M189</f>
        <v>0</v>
      </c>
      <c r="R197" s="36">
        <f t="shared" si="199"/>
        <v>29</v>
      </c>
      <c r="S197" s="37">
        <f t="shared" si="200"/>
        <v>24.638912489379777</v>
      </c>
      <c r="T197" s="40"/>
      <c r="U197" s="33">
        <f t="shared" si="185"/>
        <v>5</v>
      </c>
      <c r="V197" s="36">
        <f>'1.DATA KIA'!Y189</f>
        <v>0</v>
      </c>
      <c r="W197" s="33">
        <f t="shared" si="201"/>
        <v>5</v>
      </c>
      <c r="X197" s="37">
        <f t="shared" si="186"/>
        <v>21.240441801189462</v>
      </c>
      <c r="Y197" s="40"/>
      <c r="Z197" s="33">
        <f t="shared" si="187"/>
        <v>6</v>
      </c>
      <c r="AA197" s="36">
        <f>'1.DATA KIA'!Z189</f>
        <v>0</v>
      </c>
      <c r="AB197" s="33">
        <f t="shared" si="202"/>
        <v>6</v>
      </c>
      <c r="AC197" s="37">
        <f t="shared" si="188"/>
        <v>25.488530161427352</v>
      </c>
      <c r="AD197" s="40"/>
      <c r="AE197" s="33">
        <f t="shared" si="189"/>
        <v>3</v>
      </c>
      <c r="AF197" s="41">
        <f>'8.ANCTEPADU'!D195+'8.ANCTEPADU'!E195</f>
        <v>0</v>
      </c>
      <c r="AG197" s="33">
        <f t="shared" si="203"/>
        <v>3</v>
      </c>
      <c r="AH197" s="37">
        <f t="shared" si="190"/>
        <v>2.5488530161427359</v>
      </c>
      <c r="AI197" s="33">
        <f t="shared" si="191"/>
        <v>4</v>
      </c>
      <c r="AJ197" s="41">
        <f>'8.ANCTEPADU'!J195</f>
        <v>0</v>
      </c>
      <c r="AK197" s="33">
        <f t="shared" si="204"/>
        <v>4</v>
      </c>
      <c r="AL197" s="37">
        <f t="shared" si="192"/>
        <v>3.3984706881903146</v>
      </c>
      <c r="AM197" s="36">
        <f t="shared" si="193"/>
        <v>29</v>
      </c>
      <c r="AN197" s="36">
        <f>'1.DATA KIA'!AG189</f>
        <v>0</v>
      </c>
      <c r="AO197" s="33">
        <f t="shared" si="205"/>
        <v>29</v>
      </c>
      <c r="AP197" s="37" t="e">
        <f t="shared" si="206"/>
        <v>#DIV/0!</v>
      </c>
      <c r="AQ197" s="40"/>
      <c r="AR197" s="42">
        <f t="shared" si="194"/>
        <v>29</v>
      </c>
      <c r="AS197" s="36">
        <f>'1.DATA KIA'!AB189</f>
        <v>0</v>
      </c>
      <c r="AT197" s="33">
        <f t="shared" si="207"/>
        <v>29</v>
      </c>
      <c r="AU197" s="37">
        <f t="shared" si="208"/>
        <v>25.812194036493104</v>
      </c>
      <c r="AV197" s="40"/>
      <c r="AW197" s="36">
        <f t="shared" si="195"/>
        <v>7</v>
      </c>
      <c r="AX197" s="33">
        <f>'1.DATA KIA'!AF189</f>
        <v>0</v>
      </c>
      <c r="AY197" s="36">
        <f t="shared" si="209"/>
        <v>7</v>
      </c>
      <c r="AZ197" s="37">
        <f t="shared" si="210"/>
        <v>29.73661852166525</v>
      </c>
      <c r="BA197" s="38"/>
    </row>
    <row r="198" spans="1:53" ht="30" customHeight="1" x14ac:dyDescent="0.35">
      <c r="A198" s="33">
        <v>12</v>
      </c>
      <c r="B198" s="34" t="str">
        <f>PETUNJUK!B20</f>
        <v>Gerdu</v>
      </c>
      <c r="C198" s="35">
        <f>'1.DATA KIA'!C190</f>
        <v>23.1</v>
      </c>
      <c r="D198" s="35">
        <f>'1.DATA KIA'!D190</f>
        <v>22.05</v>
      </c>
      <c r="E198" s="35">
        <f t="shared" si="180"/>
        <v>0</v>
      </c>
      <c r="F198" s="36">
        <f t="shared" si="181"/>
        <v>8</v>
      </c>
      <c r="G198" s="36">
        <f>'1.DATA KIA'!F191</f>
        <v>0</v>
      </c>
      <c r="H198" s="36">
        <f t="shared" si="196"/>
        <v>8</v>
      </c>
      <c r="I198" s="37">
        <f t="shared" si="182"/>
        <v>34.632034632034632</v>
      </c>
      <c r="J198" s="40"/>
      <c r="K198" s="36">
        <f t="shared" si="183"/>
        <v>8</v>
      </c>
      <c r="L198" s="33">
        <f>'1.DATA KIA'!J190</f>
        <v>0</v>
      </c>
      <c r="M198" s="36">
        <f t="shared" si="197"/>
        <v>8</v>
      </c>
      <c r="N198" s="37">
        <f t="shared" si="198"/>
        <v>34.632034632034632</v>
      </c>
      <c r="O198" s="40"/>
      <c r="P198" s="36">
        <f t="shared" si="184"/>
        <v>8</v>
      </c>
      <c r="Q198" s="33">
        <f>'1.DATA KIA'!M190</f>
        <v>0</v>
      </c>
      <c r="R198" s="36">
        <f t="shared" si="199"/>
        <v>8</v>
      </c>
      <c r="S198" s="37">
        <f t="shared" si="200"/>
        <v>34.632034632034632</v>
      </c>
      <c r="T198" s="40"/>
      <c r="U198" s="33">
        <f t="shared" si="185"/>
        <v>2</v>
      </c>
      <c r="V198" s="36">
        <f>'1.DATA KIA'!Y190</f>
        <v>0</v>
      </c>
      <c r="W198" s="33">
        <f t="shared" si="201"/>
        <v>2</v>
      </c>
      <c r="X198" s="37">
        <f t="shared" si="186"/>
        <v>43.290043290043286</v>
      </c>
      <c r="Y198" s="40"/>
      <c r="Z198" s="33">
        <f t="shared" si="187"/>
        <v>1</v>
      </c>
      <c r="AA198" s="36">
        <f>'1.DATA KIA'!Z190</f>
        <v>0</v>
      </c>
      <c r="AB198" s="33">
        <f t="shared" si="202"/>
        <v>1</v>
      </c>
      <c r="AC198" s="37">
        <f t="shared" si="188"/>
        <v>21.645021645021643</v>
      </c>
      <c r="AD198" s="40"/>
      <c r="AE198" s="33">
        <f t="shared" si="189"/>
        <v>0</v>
      </c>
      <c r="AF198" s="41">
        <f>'8.ANCTEPADU'!D196+'8.ANCTEPADU'!E196</f>
        <v>0</v>
      </c>
      <c r="AG198" s="33">
        <f t="shared" si="203"/>
        <v>0</v>
      </c>
      <c r="AH198" s="37">
        <f t="shared" si="190"/>
        <v>0</v>
      </c>
      <c r="AI198" s="33">
        <f t="shared" si="191"/>
        <v>1</v>
      </c>
      <c r="AJ198" s="41">
        <f>'8.ANCTEPADU'!J196</f>
        <v>0</v>
      </c>
      <c r="AK198" s="33">
        <f t="shared" si="204"/>
        <v>1</v>
      </c>
      <c r="AL198" s="37">
        <f t="shared" si="192"/>
        <v>4.329004329004329</v>
      </c>
      <c r="AM198" s="36">
        <f t="shared" si="193"/>
        <v>5</v>
      </c>
      <c r="AN198" s="36">
        <f>'1.DATA KIA'!AG190</f>
        <v>0</v>
      </c>
      <c r="AO198" s="33">
        <f>AN198+AM198</f>
        <v>5</v>
      </c>
      <c r="AP198" s="37" t="e">
        <f t="shared" si="206"/>
        <v>#DIV/0!</v>
      </c>
      <c r="AQ198" s="40"/>
      <c r="AR198" s="42">
        <f t="shared" si="194"/>
        <v>5</v>
      </c>
      <c r="AS198" s="36">
        <f>'1.DATA KIA'!AB190</f>
        <v>0</v>
      </c>
      <c r="AT198" s="33">
        <f>AS198+AR198</f>
        <v>5</v>
      </c>
      <c r="AU198" s="37">
        <f t="shared" si="208"/>
        <v>22.675736961451246</v>
      </c>
      <c r="AV198" s="40"/>
      <c r="AW198" s="36">
        <f t="shared" si="195"/>
        <v>2</v>
      </c>
      <c r="AX198" s="33">
        <f>'1.DATA KIA'!AF190</f>
        <v>0</v>
      </c>
      <c r="AY198" s="36">
        <f t="shared" si="209"/>
        <v>2</v>
      </c>
      <c r="AZ198" s="37">
        <f t="shared" si="210"/>
        <v>43.290043290043286</v>
      </c>
      <c r="BA198" s="38"/>
    </row>
    <row r="199" spans="1:53" ht="30" customHeight="1" x14ac:dyDescent="0.35">
      <c r="A199" s="33">
        <v>13</v>
      </c>
      <c r="B199" s="34">
        <f>PETUNJUK!B21</f>
        <v>0</v>
      </c>
      <c r="C199" s="35">
        <f>'1.DATA KIA'!C191</f>
        <v>0</v>
      </c>
      <c r="D199" s="35">
        <f>'1.DATA KIA'!D191</f>
        <v>0</v>
      </c>
      <c r="E199" s="35">
        <f t="shared" si="180"/>
        <v>0</v>
      </c>
      <c r="F199" s="36">
        <f t="shared" si="181"/>
        <v>0</v>
      </c>
      <c r="G199" s="36">
        <f>'1.DATA KIA'!F192</f>
        <v>0</v>
      </c>
      <c r="H199" s="36">
        <f t="shared" si="196"/>
        <v>0</v>
      </c>
      <c r="I199" s="37" t="e">
        <f t="shared" si="182"/>
        <v>#DIV/0!</v>
      </c>
      <c r="J199" s="40"/>
      <c r="K199" s="36">
        <f t="shared" si="183"/>
        <v>0</v>
      </c>
      <c r="L199" s="33">
        <f>'1.DATA KIA'!J191</f>
        <v>0</v>
      </c>
      <c r="M199" s="36">
        <f t="shared" si="197"/>
        <v>0</v>
      </c>
      <c r="N199" s="37" t="e">
        <f t="shared" si="198"/>
        <v>#DIV/0!</v>
      </c>
      <c r="O199" s="40"/>
      <c r="P199" s="36">
        <f t="shared" si="184"/>
        <v>0</v>
      </c>
      <c r="Q199" s="33">
        <f>'1.DATA KIA'!M191</f>
        <v>0</v>
      </c>
      <c r="R199" s="36">
        <f t="shared" si="199"/>
        <v>0</v>
      </c>
      <c r="S199" s="37" t="e">
        <f t="shared" si="200"/>
        <v>#DIV/0!</v>
      </c>
      <c r="T199" s="40"/>
      <c r="U199" s="33">
        <f t="shared" si="185"/>
        <v>0</v>
      </c>
      <c r="V199" s="36">
        <f>'1.DATA KIA'!Y191</f>
        <v>0</v>
      </c>
      <c r="W199" s="33">
        <f t="shared" si="201"/>
        <v>0</v>
      </c>
      <c r="X199" s="37" t="e">
        <f t="shared" si="186"/>
        <v>#DIV/0!</v>
      </c>
      <c r="Y199" s="40"/>
      <c r="Z199" s="33">
        <f t="shared" si="187"/>
        <v>0</v>
      </c>
      <c r="AA199" s="36">
        <f>'1.DATA KIA'!Z191</f>
        <v>0</v>
      </c>
      <c r="AB199" s="33">
        <f t="shared" si="202"/>
        <v>0</v>
      </c>
      <c r="AC199" s="37" t="e">
        <f t="shared" si="188"/>
        <v>#DIV/0!</v>
      </c>
      <c r="AD199" s="40"/>
      <c r="AE199" s="33">
        <f t="shared" si="189"/>
        <v>0</v>
      </c>
      <c r="AF199" s="41">
        <f>'8.ANCTEPADU'!D197+'8.ANCTEPADU'!E197</f>
        <v>0</v>
      </c>
      <c r="AG199" s="33">
        <f t="shared" si="203"/>
        <v>0</v>
      </c>
      <c r="AH199" s="37" t="e">
        <f t="shared" si="190"/>
        <v>#DIV/0!</v>
      </c>
      <c r="AI199" s="33">
        <f t="shared" si="191"/>
        <v>0</v>
      </c>
      <c r="AJ199" s="41">
        <f>'8.ANCTEPADU'!J197</f>
        <v>0</v>
      </c>
      <c r="AK199" s="33">
        <f t="shared" si="204"/>
        <v>0</v>
      </c>
      <c r="AL199" s="37" t="e">
        <f t="shared" si="192"/>
        <v>#DIV/0!</v>
      </c>
      <c r="AM199" s="36">
        <f t="shared" si="193"/>
        <v>0</v>
      </c>
      <c r="AN199" s="36">
        <f>'1.DATA KIA'!AG191</f>
        <v>0</v>
      </c>
      <c r="AO199" s="33">
        <f t="shared" ref="AO199:AO204" si="211">AN199+AM199</f>
        <v>0</v>
      </c>
      <c r="AP199" s="37" t="e">
        <f t="shared" si="206"/>
        <v>#DIV/0!</v>
      </c>
      <c r="AQ199" s="40"/>
      <c r="AR199" s="42">
        <f t="shared" si="194"/>
        <v>0</v>
      </c>
      <c r="AS199" s="36">
        <f>'1.DATA KIA'!AB191</f>
        <v>0</v>
      </c>
      <c r="AT199" s="33">
        <f t="shared" ref="AT199:AT204" si="212">AS199+AR199</f>
        <v>0</v>
      </c>
      <c r="AU199" s="37" t="e">
        <f t="shared" si="208"/>
        <v>#DIV/0!</v>
      </c>
      <c r="AV199" s="40"/>
      <c r="AW199" s="36">
        <f t="shared" si="195"/>
        <v>0</v>
      </c>
      <c r="AX199" s="33">
        <f>'1.DATA KIA'!AF191</f>
        <v>0</v>
      </c>
      <c r="AY199" s="36">
        <f t="shared" si="209"/>
        <v>0</v>
      </c>
      <c r="AZ199" s="37" t="e">
        <f t="shared" si="210"/>
        <v>#DIV/0!</v>
      </c>
      <c r="BA199" s="38"/>
    </row>
    <row r="200" spans="1:53" ht="30" customHeight="1" x14ac:dyDescent="0.35">
      <c r="A200" s="33">
        <v>14</v>
      </c>
      <c r="B200" s="34">
        <f>PETUNJUK!B22</f>
        <v>0</v>
      </c>
      <c r="C200" s="35">
        <f>'1.DATA KIA'!C192</f>
        <v>0</v>
      </c>
      <c r="D200" s="35">
        <f>'1.DATA KIA'!D192</f>
        <v>0</v>
      </c>
      <c r="E200" s="35">
        <f t="shared" si="180"/>
        <v>0</v>
      </c>
      <c r="F200" s="36">
        <f t="shared" si="181"/>
        <v>0</v>
      </c>
      <c r="G200" s="36">
        <f>'1.DATA KIA'!F193</f>
        <v>0</v>
      </c>
      <c r="H200" s="36">
        <f t="shared" si="196"/>
        <v>0</v>
      </c>
      <c r="I200" s="37" t="e">
        <f t="shared" si="182"/>
        <v>#DIV/0!</v>
      </c>
      <c r="J200" s="40"/>
      <c r="K200" s="36">
        <f t="shared" si="183"/>
        <v>0</v>
      </c>
      <c r="L200" s="33">
        <f>'1.DATA KIA'!J192</f>
        <v>0</v>
      </c>
      <c r="M200" s="36">
        <f t="shared" si="197"/>
        <v>0</v>
      </c>
      <c r="N200" s="37" t="e">
        <f t="shared" si="198"/>
        <v>#DIV/0!</v>
      </c>
      <c r="O200" s="40"/>
      <c r="P200" s="36">
        <f t="shared" si="184"/>
        <v>0</v>
      </c>
      <c r="Q200" s="33">
        <f>'1.DATA KIA'!M192</f>
        <v>0</v>
      </c>
      <c r="R200" s="36">
        <f t="shared" si="199"/>
        <v>0</v>
      </c>
      <c r="S200" s="37" t="e">
        <f t="shared" si="200"/>
        <v>#DIV/0!</v>
      </c>
      <c r="T200" s="40"/>
      <c r="U200" s="33">
        <f t="shared" si="185"/>
        <v>0</v>
      </c>
      <c r="V200" s="36">
        <f>'1.DATA KIA'!Y192</f>
        <v>0</v>
      </c>
      <c r="W200" s="33">
        <f t="shared" si="201"/>
        <v>0</v>
      </c>
      <c r="X200" s="37" t="e">
        <f t="shared" si="186"/>
        <v>#DIV/0!</v>
      </c>
      <c r="Y200" s="40"/>
      <c r="Z200" s="33">
        <f t="shared" si="187"/>
        <v>0</v>
      </c>
      <c r="AA200" s="36">
        <f>'1.DATA KIA'!Z192</f>
        <v>0</v>
      </c>
      <c r="AB200" s="33">
        <f t="shared" si="202"/>
        <v>0</v>
      </c>
      <c r="AC200" s="37" t="e">
        <f t="shared" si="188"/>
        <v>#DIV/0!</v>
      </c>
      <c r="AD200" s="40"/>
      <c r="AE200" s="33">
        <f t="shared" si="189"/>
        <v>0</v>
      </c>
      <c r="AF200" s="41">
        <f>'8.ANCTEPADU'!D198+'8.ANCTEPADU'!E198</f>
        <v>0</v>
      </c>
      <c r="AG200" s="33">
        <f t="shared" si="203"/>
        <v>0</v>
      </c>
      <c r="AH200" s="37" t="e">
        <f t="shared" si="190"/>
        <v>#DIV/0!</v>
      </c>
      <c r="AI200" s="33">
        <f t="shared" si="191"/>
        <v>0</v>
      </c>
      <c r="AJ200" s="41">
        <f>'8.ANCTEPADU'!J198</f>
        <v>0</v>
      </c>
      <c r="AK200" s="33">
        <f t="shared" si="204"/>
        <v>0</v>
      </c>
      <c r="AL200" s="37" t="e">
        <f t="shared" si="192"/>
        <v>#DIV/0!</v>
      </c>
      <c r="AM200" s="36">
        <f t="shared" si="193"/>
        <v>0</v>
      </c>
      <c r="AN200" s="36">
        <f>'1.DATA KIA'!AG192</f>
        <v>0</v>
      </c>
      <c r="AO200" s="33">
        <f t="shared" si="211"/>
        <v>0</v>
      </c>
      <c r="AP200" s="37" t="e">
        <f t="shared" si="206"/>
        <v>#DIV/0!</v>
      </c>
      <c r="AQ200" s="40"/>
      <c r="AR200" s="42">
        <f t="shared" si="194"/>
        <v>0</v>
      </c>
      <c r="AS200" s="36">
        <f>'1.DATA KIA'!AB192</f>
        <v>0</v>
      </c>
      <c r="AT200" s="33">
        <f t="shared" si="212"/>
        <v>0</v>
      </c>
      <c r="AU200" s="37" t="e">
        <f t="shared" si="208"/>
        <v>#DIV/0!</v>
      </c>
      <c r="AV200" s="40"/>
      <c r="AW200" s="36">
        <f t="shared" si="195"/>
        <v>0</v>
      </c>
      <c r="AX200" s="33">
        <f>'1.DATA KIA'!AF192</f>
        <v>0</v>
      </c>
      <c r="AY200" s="36">
        <f t="shared" si="209"/>
        <v>0</v>
      </c>
      <c r="AZ200" s="37" t="e">
        <f t="shared" si="210"/>
        <v>#DIV/0!</v>
      </c>
      <c r="BA200" s="38"/>
    </row>
    <row r="201" spans="1:53" ht="30" customHeight="1" x14ac:dyDescent="0.35">
      <c r="A201" s="33">
        <v>15</v>
      </c>
      <c r="B201" s="34">
        <f>PETUNJUK!B23</f>
        <v>0</v>
      </c>
      <c r="C201" s="35">
        <f>'1.DATA KIA'!C193</f>
        <v>0</v>
      </c>
      <c r="D201" s="35">
        <f>'1.DATA KIA'!D193</f>
        <v>0</v>
      </c>
      <c r="E201" s="35">
        <f t="shared" si="180"/>
        <v>0</v>
      </c>
      <c r="F201" s="36">
        <f t="shared" si="181"/>
        <v>0</v>
      </c>
      <c r="G201" s="36">
        <f>'1.DATA KIA'!F194</f>
        <v>0</v>
      </c>
      <c r="H201" s="36">
        <f t="shared" si="196"/>
        <v>0</v>
      </c>
      <c r="I201" s="37" t="e">
        <f t="shared" si="182"/>
        <v>#DIV/0!</v>
      </c>
      <c r="J201" s="40"/>
      <c r="K201" s="36">
        <f t="shared" si="183"/>
        <v>0</v>
      </c>
      <c r="L201" s="33">
        <f>'1.DATA KIA'!J193</f>
        <v>0</v>
      </c>
      <c r="M201" s="36">
        <f t="shared" si="197"/>
        <v>0</v>
      </c>
      <c r="N201" s="37" t="e">
        <f t="shared" si="198"/>
        <v>#DIV/0!</v>
      </c>
      <c r="O201" s="40"/>
      <c r="P201" s="36">
        <f t="shared" si="184"/>
        <v>0</v>
      </c>
      <c r="Q201" s="33">
        <f>'1.DATA KIA'!M193</f>
        <v>0</v>
      </c>
      <c r="R201" s="36">
        <f t="shared" si="199"/>
        <v>0</v>
      </c>
      <c r="S201" s="37" t="e">
        <f t="shared" si="200"/>
        <v>#DIV/0!</v>
      </c>
      <c r="T201" s="40"/>
      <c r="U201" s="33">
        <f t="shared" si="185"/>
        <v>0</v>
      </c>
      <c r="V201" s="36">
        <f>'1.DATA KIA'!Y193</f>
        <v>0</v>
      </c>
      <c r="W201" s="33">
        <f t="shared" si="201"/>
        <v>0</v>
      </c>
      <c r="X201" s="37" t="e">
        <f t="shared" si="186"/>
        <v>#DIV/0!</v>
      </c>
      <c r="Y201" s="40"/>
      <c r="Z201" s="33">
        <f t="shared" si="187"/>
        <v>0</v>
      </c>
      <c r="AA201" s="36">
        <f>'1.DATA KIA'!Z193</f>
        <v>0</v>
      </c>
      <c r="AB201" s="33">
        <f t="shared" si="202"/>
        <v>0</v>
      </c>
      <c r="AC201" s="37" t="e">
        <f t="shared" si="188"/>
        <v>#DIV/0!</v>
      </c>
      <c r="AD201" s="40"/>
      <c r="AE201" s="33">
        <f t="shared" si="189"/>
        <v>0</v>
      </c>
      <c r="AF201" s="41">
        <f>'8.ANCTEPADU'!D199+'8.ANCTEPADU'!E199</f>
        <v>0</v>
      </c>
      <c r="AG201" s="33">
        <f t="shared" si="203"/>
        <v>0</v>
      </c>
      <c r="AH201" s="37" t="e">
        <f t="shared" si="190"/>
        <v>#DIV/0!</v>
      </c>
      <c r="AI201" s="33">
        <f t="shared" si="191"/>
        <v>0</v>
      </c>
      <c r="AJ201" s="41">
        <f>'8.ANCTEPADU'!J199</f>
        <v>0</v>
      </c>
      <c r="AK201" s="33">
        <f t="shared" si="204"/>
        <v>0</v>
      </c>
      <c r="AL201" s="37" t="e">
        <f t="shared" si="192"/>
        <v>#DIV/0!</v>
      </c>
      <c r="AM201" s="36">
        <f t="shared" si="193"/>
        <v>0</v>
      </c>
      <c r="AN201" s="36">
        <f>'1.DATA KIA'!AG193</f>
        <v>0</v>
      </c>
      <c r="AO201" s="33">
        <f t="shared" si="211"/>
        <v>0</v>
      </c>
      <c r="AP201" s="37" t="e">
        <f t="shared" si="206"/>
        <v>#DIV/0!</v>
      </c>
      <c r="AQ201" s="40"/>
      <c r="AR201" s="42">
        <f t="shared" si="194"/>
        <v>0</v>
      </c>
      <c r="AS201" s="36">
        <f>'1.DATA KIA'!AB193</f>
        <v>0</v>
      </c>
      <c r="AT201" s="33">
        <f t="shared" si="212"/>
        <v>0</v>
      </c>
      <c r="AU201" s="37" t="e">
        <f t="shared" si="208"/>
        <v>#DIV/0!</v>
      </c>
      <c r="AV201" s="40"/>
      <c r="AW201" s="36">
        <f t="shared" si="195"/>
        <v>0</v>
      </c>
      <c r="AX201" s="33">
        <f>'1.DATA KIA'!AF193</f>
        <v>0</v>
      </c>
      <c r="AY201" s="36">
        <f t="shared" si="209"/>
        <v>0</v>
      </c>
      <c r="AZ201" s="37" t="e">
        <f t="shared" si="210"/>
        <v>#DIV/0!</v>
      </c>
      <c r="BA201" s="38"/>
    </row>
    <row r="202" spans="1:53" ht="30" customHeight="1" x14ac:dyDescent="0.35">
      <c r="A202" s="33">
        <v>16</v>
      </c>
      <c r="B202" s="34">
        <f>PETUNJUK!B24</f>
        <v>0</v>
      </c>
      <c r="C202" s="35">
        <f>'1.DATA KIA'!C194</f>
        <v>0</v>
      </c>
      <c r="D202" s="35">
        <f>'1.DATA KIA'!D194</f>
        <v>0</v>
      </c>
      <c r="E202" s="35">
        <f t="shared" si="180"/>
        <v>0</v>
      </c>
      <c r="F202" s="36">
        <f t="shared" si="181"/>
        <v>0</v>
      </c>
      <c r="G202" s="36">
        <f>'1.DATA KIA'!F195</f>
        <v>0</v>
      </c>
      <c r="H202" s="36">
        <f t="shared" si="196"/>
        <v>0</v>
      </c>
      <c r="I202" s="37" t="e">
        <f t="shared" si="182"/>
        <v>#DIV/0!</v>
      </c>
      <c r="J202" s="40"/>
      <c r="K202" s="36">
        <f t="shared" si="183"/>
        <v>0</v>
      </c>
      <c r="L202" s="33">
        <f>'1.DATA KIA'!J194</f>
        <v>0</v>
      </c>
      <c r="M202" s="36">
        <f t="shared" si="197"/>
        <v>0</v>
      </c>
      <c r="N202" s="37" t="e">
        <f t="shared" si="198"/>
        <v>#DIV/0!</v>
      </c>
      <c r="O202" s="40"/>
      <c r="P202" s="36">
        <f t="shared" si="184"/>
        <v>0</v>
      </c>
      <c r="Q202" s="33">
        <f>'1.DATA KIA'!M194</f>
        <v>0</v>
      </c>
      <c r="R202" s="36">
        <f t="shared" si="199"/>
        <v>0</v>
      </c>
      <c r="S202" s="37" t="e">
        <f t="shared" si="200"/>
        <v>#DIV/0!</v>
      </c>
      <c r="T202" s="40"/>
      <c r="U202" s="33">
        <f t="shared" si="185"/>
        <v>0</v>
      </c>
      <c r="V202" s="36">
        <f>'1.DATA KIA'!Y194</f>
        <v>0</v>
      </c>
      <c r="W202" s="33">
        <f t="shared" si="201"/>
        <v>0</v>
      </c>
      <c r="X202" s="37" t="e">
        <f t="shared" si="186"/>
        <v>#DIV/0!</v>
      </c>
      <c r="Y202" s="40"/>
      <c r="Z202" s="33">
        <f t="shared" si="187"/>
        <v>0</v>
      </c>
      <c r="AA202" s="36">
        <f>'1.DATA KIA'!Z194</f>
        <v>0</v>
      </c>
      <c r="AB202" s="33">
        <f t="shared" si="202"/>
        <v>0</v>
      </c>
      <c r="AC202" s="37" t="e">
        <f t="shared" si="188"/>
        <v>#DIV/0!</v>
      </c>
      <c r="AD202" s="40"/>
      <c r="AE202" s="33">
        <f t="shared" si="189"/>
        <v>0</v>
      </c>
      <c r="AF202" s="41">
        <f>'8.ANCTEPADU'!D200+'8.ANCTEPADU'!E200</f>
        <v>0</v>
      </c>
      <c r="AG202" s="33">
        <f t="shared" si="203"/>
        <v>0</v>
      </c>
      <c r="AH202" s="37" t="e">
        <f t="shared" si="190"/>
        <v>#DIV/0!</v>
      </c>
      <c r="AI202" s="33">
        <f t="shared" si="191"/>
        <v>0</v>
      </c>
      <c r="AJ202" s="41">
        <f>'8.ANCTEPADU'!J200</f>
        <v>0</v>
      </c>
      <c r="AK202" s="33">
        <f t="shared" si="204"/>
        <v>0</v>
      </c>
      <c r="AL202" s="37" t="e">
        <f t="shared" si="192"/>
        <v>#DIV/0!</v>
      </c>
      <c r="AM202" s="36">
        <f t="shared" si="193"/>
        <v>0</v>
      </c>
      <c r="AN202" s="36">
        <f>'1.DATA KIA'!AG194</f>
        <v>0</v>
      </c>
      <c r="AO202" s="33">
        <f t="shared" si="211"/>
        <v>0</v>
      </c>
      <c r="AP202" s="37" t="e">
        <f t="shared" si="206"/>
        <v>#DIV/0!</v>
      </c>
      <c r="AQ202" s="40"/>
      <c r="AR202" s="42">
        <f t="shared" si="194"/>
        <v>0</v>
      </c>
      <c r="AS202" s="36">
        <f>'1.DATA KIA'!AB194</f>
        <v>0</v>
      </c>
      <c r="AT202" s="33">
        <f t="shared" si="212"/>
        <v>0</v>
      </c>
      <c r="AU202" s="37" t="e">
        <f t="shared" si="208"/>
        <v>#DIV/0!</v>
      </c>
      <c r="AV202" s="40"/>
      <c r="AW202" s="36">
        <f t="shared" si="195"/>
        <v>0</v>
      </c>
      <c r="AX202" s="33">
        <f>'1.DATA KIA'!AF194</f>
        <v>0</v>
      </c>
      <c r="AY202" s="36">
        <f t="shared" si="209"/>
        <v>0</v>
      </c>
      <c r="AZ202" s="37" t="e">
        <f t="shared" si="210"/>
        <v>#DIV/0!</v>
      </c>
      <c r="BA202" s="38"/>
    </row>
    <row r="203" spans="1:53" ht="30" customHeight="1" x14ac:dyDescent="0.35">
      <c r="A203" s="33">
        <v>17</v>
      </c>
      <c r="B203" s="34">
        <f>PETUNJUK!B25</f>
        <v>0</v>
      </c>
      <c r="C203" s="35">
        <f>'1.DATA KIA'!C195</f>
        <v>0</v>
      </c>
      <c r="D203" s="35">
        <f>'1.DATA KIA'!D195</f>
        <v>0</v>
      </c>
      <c r="E203" s="35">
        <f t="shared" si="180"/>
        <v>0</v>
      </c>
      <c r="F203" s="36">
        <f t="shared" si="181"/>
        <v>0</v>
      </c>
      <c r="G203" s="36">
        <f>'1.DATA KIA'!F196</f>
        <v>0</v>
      </c>
      <c r="H203" s="36">
        <f t="shared" si="196"/>
        <v>0</v>
      </c>
      <c r="I203" s="37" t="e">
        <f t="shared" si="182"/>
        <v>#DIV/0!</v>
      </c>
      <c r="J203" s="40"/>
      <c r="K203" s="36">
        <f t="shared" si="183"/>
        <v>0</v>
      </c>
      <c r="L203" s="33">
        <f>'1.DATA KIA'!J195</f>
        <v>0</v>
      </c>
      <c r="M203" s="36">
        <f t="shared" si="197"/>
        <v>0</v>
      </c>
      <c r="N203" s="37" t="e">
        <f t="shared" si="198"/>
        <v>#DIV/0!</v>
      </c>
      <c r="O203" s="40"/>
      <c r="P203" s="36">
        <f t="shared" si="184"/>
        <v>0</v>
      </c>
      <c r="Q203" s="33">
        <f>'1.DATA KIA'!M195</f>
        <v>0</v>
      </c>
      <c r="R203" s="36">
        <f t="shared" si="199"/>
        <v>0</v>
      </c>
      <c r="S203" s="37" t="e">
        <f t="shared" si="200"/>
        <v>#DIV/0!</v>
      </c>
      <c r="T203" s="40"/>
      <c r="U203" s="33">
        <f t="shared" si="185"/>
        <v>0</v>
      </c>
      <c r="V203" s="36">
        <f>'1.DATA KIA'!Y195</f>
        <v>0</v>
      </c>
      <c r="W203" s="33">
        <f t="shared" si="201"/>
        <v>0</v>
      </c>
      <c r="X203" s="37" t="e">
        <f t="shared" si="186"/>
        <v>#DIV/0!</v>
      </c>
      <c r="Y203" s="40"/>
      <c r="Z203" s="33">
        <f t="shared" si="187"/>
        <v>0</v>
      </c>
      <c r="AA203" s="36">
        <f>'1.DATA KIA'!Z195</f>
        <v>0</v>
      </c>
      <c r="AB203" s="33">
        <f t="shared" si="202"/>
        <v>0</v>
      </c>
      <c r="AC203" s="37" t="e">
        <f t="shared" si="188"/>
        <v>#DIV/0!</v>
      </c>
      <c r="AD203" s="40"/>
      <c r="AE203" s="33">
        <f t="shared" si="189"/>
        <v>0</v>
      </c>
      <c r="AF203" s="41">
        <f>'8.ANCTEPADU'!D201+'8.ANCTEPADU'!E201</f>
        <v>0</v>
      </c>
      <c r="AG203" s="33">
        <f t="shared" si="203"/>
        <v>0</v>
      </c>
      <c r="AH203" s="37" t="e">
        <f t="shared" si="190"/>
        <v>#DIV/0!</v>
      </c>
      <c r="AI203" s="33">
        <f t="shared" si="191"/>
        <v>0</v>
      </c>
      <c r="AJ203" s="41">
        <f>'8.ANCTEPADU'!J201</f>
        <v>0</v>
      </c>
      <c r="AK203" s="33">
        <f t="shared" si="204"/>
        <v>0</v>
      </c>
      <c r="AL203" s="37" t="e">
        <f t="shared" si="192"/>
        <v>#DIV/0!</v>
      </c>
      <c r="AM203" s="36">
        <f t="shared" si="193"/>
        <v>0</v>
      </c>
      <c r="AN203" s="36">
        <f>'1.DATA KIA'!AG195</f>
        <v>0</v>
      </c>
      <c r="AO203" s="33">
        <f t="shared" si="211"/>
        <v>0</v>
      </c>
      <c r="AP203" s="37" t="e">
        <f t="shared" si="206"/>
        <v>#DIV/0!</v>
      </c>
      <c r="AQ203" s="40"/>
      <c r="AR203" s="42">
        <f t="shared" si="194"/>
        <v>0</v>
      </c>
      <c r="AS203" s="36">
        <f>'1.DATA KIA'!AB195</f>
        <v>0</v>
      </c>
      <c r="AT203" s="33">
        <f t="shared" si="212"/>
        <v>0</v>
      </c>
      <c r="AU203" s="37" t="e">
        <f t="shared" si="208"/>
        <v>#DIV/0!</v>
      </c>
      <c r="AV203" s="40"/>
      <c r="AW203" s="36">
        <f t="shared" si="195"/>
        <v>0</v>
      </c>
      <c r="AX203" s="33">
        <f>'1.DATA KIA'!AF195</f>
        <v>0</v>
      </c>
      <c r="AY203" s="36">
        <f t="shared" si="209"/>
        <v>0</v>
      </c>
      <c r="AZ203" s="37" t="e">
        <f t="shared" si="210"/>
        <v>#DIV/0!</v>
      </c>
      <c r="BA203" s="38"/>
    </row>
    <row r="204" spans="1:53" ht="30" customHeight="1" x14ac:dyDescent="0.35">
      <c r="A204" s="33">
        <v>18</v>
      </c>
      <c r="B204" s="34">
        <f>PETUNJUK!B26</f>
        <v>0</v>
      </c>
      <c r="C204" s="35">
        <f>'1.DATA KIA'!C196</f>
        <v>0</v>
      </c>
      <c r="D204" s="35">
        <f>'1.DATA KIA'!D196</f>
        <v>0</v>
      </c>
      <c r="E204" s="35">
        <f t="shared" si="180"/>
        <v>0</v>
      </c>
      <c r="F204" s="36">
        <f t="shared" si="181"/>
        <v>0</v>
      </c>
      <c r="G204" s="36">
        <f>'1.DATA KIA'!F197</f>
        <v>0</v>
      </c>
      <c r="H204" s="36">
        <f t="shared" si="196"/>
        <v>0</v>
      </c>
      <c r="I204" s="37" t="e">
        <f t="shared" si="182"/>
        <v>#DIV/0!</v>
      </c>
      <c r="J204" s="40"/>
      <c r="K204" s="36">
        <f t="shared" si="183"/>
        <v>0</v>
      </c>
      <c r="L204" s="33">
        <f>'1.DATA KIA'!J196</f>
        <v>0</v>
      </c>
      <c r="M204" s="36">
        <f t="shared" si="197"/>
        <v>0</v>
      </c>
      <c r="N204" s="37" t="e">
        <f t="shared" si="198"/>
        <v>#DIV/0!</v>
      </c>
      <c r="O204" s="40"/>
      <c r="P204" s="36">
        <f t="shared" si="184"/>
        <v>0</v>
      </c>
      <c r="Q204" s="33">
        <f>'1.DATA KIA'!M196</f>
        <v>0</v>
      </c>
      <c r="R204" s="36">
        <f t="shared" si="199"/>
        <v>0</v>
      </c>
      <c r="S204" s="37" t="e">
        <f t="shared" si="200"/>
        <v>#DIV/0!</v>
      </c>
      <c r="T204" s="40"/>
      <c r="U204" s="33">
        <f t="shared" si="185"/>
        <v>0</v>
      </c>
      <c r="V204" s="36">
        <f>'1.DATA KIA'!Y196</f>
        <v>0</v>
      </c>
      <c r="W204" s="33">
        <f t="shared" si="201"/>
        <v>0</v>
      </c>
      <c r="X204" s="37" t="e">
        <f t="shared" si="186"/>
        <v>#DIV/0!</v>
      </c>
      <c r="Y204" s="40"/>
      <c r="Z204" s="33">
        <f t="shared" si="187"/>
        <v>0</v>
      </c>
      <c r="AA204" s="36">
        <f>'1.DATA KIA'!Z196</f>
        <v>0</v>
      </c>
      <c r="AB204" s="33">
        <f t="shared" si="202"/>
        <v>0</v>
      </c>
      <c r="AC204" s="37" t="e">
        <f t="shared" si="188"/>
        <v>#DIV/0!</v>
      </c>
      <c r="AD204" s="40"/>
      <c r="AE204" s="33">
        <f t="shared" si="189"/>
        <v>0</v>
      </c>
      <c r="AF204" s="41">
        <f>'8.ANCTEPADU'!D202+'8.ANCTEPADU'!E202</f>
        <v>0</v>
      </c>
      <c r="AG204" s="33">
        <f t="shared" si="203"/>
        <v>0</v>
      </c>
      <c r="AH204" s="37" t="e">
        <f t="shared" si="190"/>
        <v>#DIV/0!</v>
      </c>
      <c r="AI204" s="33">
        <f t="shared" si="191"/>
        <v>0</v>
      </c>
      <c r="AJ204" s="41">
        <f>'8.ANCTEPADU'!J202</f>
        <v>0</v>
      </c>
      <c r="AK204" s="33">
        <f t="shared" si="204"/>
        <v>0</v>
      </c>
      <c r="AL204" s="37" t="e">
        <f t="shared" si="192"/>
        <v>#DIV/0!</v>
      </c>
      <c r="AM204" s="36">
        <f t="shared" si="193"/>
        <v>0</v>
      </c>
      <c r="AN204" s="36">
        <f>'1.DATA KIA'!AG196</f>
        <v>0</v>
      </c>
      <c r="AO204" s="33">
        <f t="shared" si="211"/>
        <v>0</v>
      </c>
      <c r="AP204" s="37" t="e">
        <f t="shared" si="206"/>
        <v>#DIV/0!</v>
      </c>
      <c r="AQ204" s="40"/>
      <c r="AR204" s="42">
        <f t="shared" si="194"/>
        <v>0</v>
      </c>
      <c r="AS204" s="36">
        <f>'1.DATA KIA'!AB196</f>
        <v>0</v>
      </c>
      <c r="AT204" s="33">
        <f t="shared" si="212"/>
        <v>0</v>
      </c>
      <c r="AU204" s="37" t="e">
        <f t="shared" si="208"/>
        <v>#DIV/0!</v>
      </c>
      <c r="AV204" s="40"/>
      <c r="AW204" s="36">
        <f t="shared" si="195"/>
        <v>0</v>
      </c>
      <c r="AX204" s="33">
        <f>'1.DATA KIA'!AF196</f>
        <v>0</v>
      </c>
      <c r="AY204" s="36">
        <f t="shared" si="209"/>
        <v>0</v>
      </c>
      <c r="AZ204" s="37" t="e">
        <f t="shared" si="210"/>
        <v>#DIV/0!</v>
      </c>
      <c r="BA204" s="38"/>
    </row>
    <row r="205" spans="1:53" ht="30" customHeight="1" x14ac:dyDescent="0.35">
      <c r="A205" s="33">
        <v>19</v>
      </c>
      <c r="B205" s="34">
        <f>PETUNJUK!B27</f>
        <v>0</v>
      </c>
      <c r="C205" s="35">
        <f>'1.DATA KIA'!C197</f>
        <v>0</v>
      </c>
      <c r="D205" s="35">
        <f>'1.DATA KIA'!D197</f>
        <v>0</v>
      </c>
      <c r="E205" s="35">
        <f>E169</f>
        <v>0</v>
      </c>
      <c r="F205" s="36">
        <f>H169</f>
        <v>0</v>
      </c>
      <c r="G205" s="36">
        <f>'1.DATA KIA'!F198</f>
        <v>0</v>
      </c>
      <c r="H205" s="36">
        <f>F205+G205</f>
        <v>0</v>
      </c>
      <c r="I205" s="37" t="e">
        <f t="shared" si="182"/>
        <v>#DIV/0!</v>
      </c>
      <c r="J205" s="40"/>
      <c r="K205" s="36">
        <f>M169</f>
        <v>0</v>
      </c>
      <c r="L205" s="33">
        <f>'1.DATA KIA'!J197</f>
        <v>0</v>
      </c>
      <c r="M205" s="36">
        <f>K205+L205</f>
        <v>0</v>
      </c>
      <c r="N205" s="37" t="e">
        <f t="shared" si="198"/>
        <v>#DIV/0!</v>
      </c>
      <c r="O205" s="40"/>
      <c r="P205" s="36">
        <f>R169</f>
        <v>0</v>
      </c>
      <c r="Q205" s="33">
        <f>'1.DATA KIA'!M197</f>
        <v>0</v>
      </c>
      <c r="R205" s="36">
        <f>P205+Q205</f>
        <v>0</v>
      </c>
      <c r="S205" s="37" t="e">
        <f t="shared" si="200"/>
        <v>#DIV/0!</v>
      </c>
      <c r="T205" s="40"/>
      <c r="U205" s="33">
        <f>W169</f>
        <v>0</v>
      </c>
      <c r="V205" s="36">
        <f>'1.DATA KIA'!Y197</f>
        <v>0</v>
      </c>
      <c r="W205" s="33">
        <f>U205+V205</f>
        <v>0</v>
      </c>
      <c r="X205" s="37" t="e">
        <f>W205/(20%*C205)*100</f>
        <v>#DIV/0!</v>
      </c>
      <c r="Y205" s="40"/>
      <c r="Z205" s="33">
        <f>AB169</f>
        <v>0</v>
      </c>
      <c r="AA205" s="36">
        <f>'1.DATA KIA'!Z197</f>
        <v>0</v>
      </c>
      <c r="AB205" s="33">
        <f>Z205+AA205</f>
        <v>0</v>
      </c>
      <c r="AC205" s="37" t="e">
        <f>AB205/(20%*C205)*100</f>
        <v>#DIV/0!</v>
      </c>
      <c r="AD205" s="40"/>
      <c r="AE205" s="33">
        <f>AG169</f>
        <v>0</v>
      </c>
      <c r="AF205" s="41">
        <f>'8.ANCTEPADU'!D203+'8.ANCTEPADU'!E203</f>
        <v>0</v>
      </c>
      <c r="AG205" s="33">
        <f>AE205+AF205</f>
        <v>0</v>
      </c>
      <c r="AH205" s="37" t="e">
        <f>AG205/C205*100</f>
        <v>#DIV/0!</v>
      </c>
      <c r="AI205" s="33">
        <f>AK169</f>
        <v>0</v>
      </c>
      <c r="AJ205" s="41">
        <f>'8.ANCTEPADU'!J203</f>
        <v>0</v>
      </c>
      <c r="AK205" s="33">
        <f>AI205+AJ205</f>
        <v>0</v>
      </c>
      <c r="AL205" s="37" t="e">
        <f>AK205/C205*100</f>
        <v>#DIV/0!</v>
      </c>
      <c r="AM205" s="36">
        <f>AO169</f>
        <v>0</v>
      </c>
      <c r="AN205" s="36">
        <f>'1.DATA KIA'!AG197</f>
        <v>0</v>
      </c>
      <c r="AO205" s="33">
        <f>AN205+AM205</f>
        <v>0</v>
      </c>
      <c r="AP205" s="37" t="e">
        <f>AO205/E205*100</f>
        <v>#DIV/0!</v>
      </c>
      <c r="AQ205" s="40"/>
      <c r="AR205" s="42">
        <f>AT169</f>
        <v>0</v>
      </c>
      <c r="AS205" s="36">
        <f>'1.DATA KIA'!AB197</f>
        <v>0</v>
      </c>
      <c r="AT205" s="33">
        <f>AS205+AR205</f>
        <v>0</v>
      </c>
      <c r="AU205" s="37" t="e">
        <f>AT205/D205*100</f>
        <v>#DIV/0!</v>
      </c>
      <c r="AV205" s="40"/>
      <c r="AW205" s="36">
        <f>AY169</f>
        <v>0</v>
      </c>
      <c r="AX205" s="33">
        <f>'1.DATA KIA'!AF197</f>
        <v>0</v>
      </c>
      <c r="AY205" s="36">
        <f>AW205+AX205</f>
        <v>0</v>
      </c>
      <c r="AZ205" s="37" t="e">
        <f>AY205/(20%*C205)*100</f>
        <v>#DIV/0!</v>
      </c>
      <c r="BA205" s="38"/>
    </row>
    <row r="206" spans="1:53" ht="30" customHeight="1" x14ac:dyDescent="0.35">
      <c r="A206" s="33">
        <v>20</v>
      </c>
      <c r="B206" s="34">
        <f>PETUNJUK!B28</f>
        <v>0</v>
      </c>
      <c r="C206" s="35">
        <f>'1.DATA KIA'!C198</f>
        <v>0</v>
      </c>
      <c r="D206" s="35">
        <f>'1.DATA KIA'!D198</f>
        <v>0</v>
      </c>
      <c r="E206" s="35">
        <f>E170</f>
        <v>0</v>
      </c>
      <c r="F206" s="36">
        <f>H170</f>
        <v>0</v>
      </c>
      <c r="G206" s="36">
        <f>'1.DATA KIA'!F199</f>
        <v>0</v>
      </c>
      <c r="H206" s="36">
        <f>F206+G206</f>
        <v>0</v>
      </c>
      <c r="I206" s="37" t="e">
        <f t="shared" si="182"/>
        <v>#DIV/0!</v>
      </c>
      <c r="J206" s="40"/>
      <c r="K206" s="36">
        <f>M170</f>
        <v>0</v>
      </c>
      <c r="L206" s="33">
        <f>'1.DATA KIA'!J198</f>
        <v>0</v>
      </c>
      <c r="M206" s="36">
        <f>K206+L206</f>
        <v>0</v>
      </c>
      <c r="N206" s="37" t="e">
        <f t="shared" si="198"/>
        <v>#DIV/0!</v>
      </c>
      <c r="O206" s="40"/>
      <c r="P206" s="36">
        <f>R170</f>
        <v>0</v>
      </c>
      <c r="Q206" s="33">
        <f>'1.DATA KIA'!M198</f>
        <v>0</v>
      </c>
      <c r="R206" s="36">
        <f>P206+Q206</f>
        <v>0</v>
      </c>
      <c r="S206" s="37" t="e">
        <f t="shared" si="200"/>
        <v>#DIV/0!</v>
      </c>
      <c r="T206" s="40"/>
      <c r="U206" s="33">
        <f>W170</f>
        <v>0</v>
      </c>
      <c r="V206" s="36">
        <f>'1.DATA KIA'!Y198</f>
        <v>0</v>
      </c>
      <c r="W206" s="33">
        <f>U206+V206</f>
        <v>0</v>
      </c>
      <c r="X206" s="37" t="e">
        <f>W206/(20%*C206)*100</f>
        <v>#DIV/0!</v>
      </c>
      <c r="Y206" s="40"/>
      <c r="Z206" s="33">
        <f>AB170</f>
        <v>0</v>
      </c>
      <c r="AA206" s="36">
        <f>'1.DATA KIA'!Z198</f>
        <v>0</v>
      </c>
      <c r="AB206" s="33">
        <f>Z206+AA206</f>
        <v>0</v>
      </c>
      <c r="AC206" s="37" t="e">
        <f>AB206/(20%*C206)*100</f>
        <v>#DIV/0!</v>
      </c>
      <c r="AD206" s="40"/>
      <c r="AE206" s="33">
        <f>AG170</f>
        <v>0</v>
      </c>
      <c r="AF206" s="41">
        <f>'8.ANCTEPADU'!D204+'8.ANCTEPADU'!E204</f>
        <v>0</v>
      </c>
      <c r="AG206" s="33">
        <f>AE206+AF206</f>
        <v>0</v>
      </c>
      <c r="AH206" s="37" t="e">
        <f>AG206/C206*100</f>
        <v>#DIV/0!</v>
      </c>
      <c r="AI206" s="33">
        <f>AK170</f>
        <v>0</v>
      </c>
      <c r="AJ206" s="41">
        <f>'8.ANCTEPADU'!J204</f>
        <v>0</v>
      </c>
      <c r="AK206" s="33">
        <f>AI206+AJ206</f>
        <v>0</v>
      </c>
      <c r="AL206" s="37" t="e">
        <f>AK206/C206*100</f>
        <v>#DIV/0!</v>
      </c>
      <c r="AM206" s="36">
        <f>AO170</f>
        <v>0</v>
      </c>
      <c r="AN206" s="36">
        <f>'1.DATA KIA'!AG198</f>
        <v>0</v>
      </c>
      <c r="AO206" s="33">
        <f>AN206+AM206</f>
        <v>0</v>
      </c>
      <c r="AP206" s="37" t="e">
        <f>AO206/E206*100</f>
        <v>#DIV/0!</v>
      </c>
      <c r="AQ206" s="40"/>
      <c r="AR206" s="42">
        <f>AT170</f>
        <v>0</v>
      </c>
      <c r="AS206" s="36">
        <f>'1.DATA KIA'!AB198</f>
        <v>0</v>
      </c>
      <c r="AT206" s="33">
        <f>AS206+AR206</f>
        <v>0</v>
      </c>
      <c r="AU206" s="37" t="e">
        <f>AT206/D206*100</f>
        <v>#DIV/0!</v>
      </c>
      <c r="AV206" s="40"/>
      <c r="AW206" s="36">
        <f>AY170</f>
        <v>0</v>
      </c>
      <c r="AX206" s="33">
        <f>'1.DATA KIA'!AF198</f>
        <v>0</v>
      </c>
      <c r="AY206" s="36">
        <f>AW206+AX206</f>
        <v>0</v>
      </c>
      <c r="AZ206" s="37" t="e">
        <f>AY206/(20%*C206)*100</f>
        <v>#DIV/0!</v>
      </c>
      <c r="BA206" s="38"/>
    </row>
    <row r="207" spans="1:53" ht="30" customHeight="1" x14ac:dyDescent="0.35">
      <c r="A207" s="33">
        <v>21</v>
      </c>
      <c r="B207" s="34">
        <f>PETUNJUK!B29</f>
        <v>0</v>
      </c>
      <c r="C207" s="35">
        <f>'1.DATA KIA'!C199</f>
        <v>0</v>
      </c>
      <c r="D207" s="35">
        <f>'1.DATA KIA'!D199</f>
        <v>0</v>
      </c>
      <c r="E207" s="35">
        <f>E171</f>
        <v>0</v>
      </c>
      <c r="F207" s="36">
        <f>H171</f>
        <v>0</v>
      </c>
      <c r="G207" s="36">
        <f>'1.DATA KIA'!F200</f>
        <v>0</v>
      </c>
      <c r="H207" s="36">
        <f>F207+G207</f>
        <v>0</v>
      </c>
      <c r="I207" s="37" t="e">
        <f t="shared" si="182"/>
        <v>#DIV/0!</v>
      </c>
      <c r="J207" s="40"/>
      <c r="K207" s="36">
        <f>M171</f>
        <v>0</v>
      </c>
      <c r="L207" s="33">
        <f>'1.DATA KIA'!J199</f>
        <v>0</v>
      </c>
      <c r="M207" s="36">
        <f>K207+L207</f>
        <v>0</v>
      </c>
      <c r="N207" s="37" t="e">
        <f t="shared" si="198"/>
        <v>#DIV/0!</v>
      </c>
      <c r="O207" s="40"/>
      <c r="P207" s="36">
        <f>R171</f>
        <v>0</v>
      </c>
      <c r="Q207" s="33">
        <f>'1.DATA KIA'!M199</f>
        <v>0</v>
      </c>
      <c r="R207" s="36">
        <f>P207+Q207</f>
        <v>0</v>
      </c>
      <c r="S207" s="37" t="e">
        <f t="shared" si="200"/>
        <v>#DIV/0!</v>
      </c>
      <c r="T207" s="40"/>
      <c r="U207" s="33">
        <f>W171</f>
        <v>0</v>
      </c>
      <c r="V207" s="36">
        <f>'1.DATA KIA'!Y199</f>
        <v>0</v>
      </c>
      <c r="W207" s="33">
        <f>U207+V207</f>
        <v>0</v>
      </c>
      <c r="X207" s="37" t="e">
        <f>W207/(20%*C207)*100</f>
        <v>#DIV/0!</v>
      </c>
      <c r="Y207" s="40"/>
      <c r="Z207" s="33">
        <f>AB171</f>
        <v>0</v>
      </c>
      <c r="AA207" s="36">
        <f>'1.DATA KIA'!Z199</f>
        <v>0</v>
      </c>
      <c r="AB207" s="33">
        <f>Z207+AA207</f>
        <v>0</v>
      </c>
      <c r="AC207" s="37" t="e">
        <f>AB207/(20%*C207)*100</f>
        <v>#DIV/0!</v>
      </c>
      <c r="AD207" s="40"/>
      <c r="AE207" s="33">
        <f>AG171</f>
        <v>0</v>
      </c>
      <c r="AF207" s="41">
        <f>'8.ANCTEPADU'!D205+'8.ANCTEPADU'!E205</f>
        <v>0</v>
      </c>
      <c r="AG207" s="33">
        <f>AE207+AF207</f>
        <v>0</v>
      </c>
      <c r="AH207" s="37" t="e">
        <f>AG207/C207*100</f>
        <v>#DIV/0!</v>
      </c>
      <c r="AI207" s="33">
        <f>AK171</f>
        <v>0</v>
      </c>
      <c r="AJ207" s="41">
        <f>'8.ANCTEPADU'!J205</f>
        <v>0</v>
      </c>
      <c r="AK207" s="33">
        <f>AI207+AJ207</f>
        <v>0</v>
      </c>
      <c r="AL207" s="37" t="e">
        <f>AK207/C207*100</f>
        <v>#DIV/0!</v>
      </c>
      <c r="AM207" s="36">
        <f>AO171</f>
        <v>0</v>
      </c>
      <c r="AN207" s="36">
        <f>'1.DATA KIA'!AG199</f>
        <v>0</v>
      </c>
      <c r="AO207" s="33">
        <f>AN207+AM207</f>
        <v>0</v>
      </c>
      <c r="AP207" s="37" t="e">
        <f>AO207/E207*100</f>
        <v>#DIV/0!</v>
      </c>
      <c r="AQ207" s="40"/>
      <c r="AR207" s="42">
        <f>AT171</f>
        <v>0</v>
      </c>
      <c r="AS207" s="36">
        <f>'1.DATA KIA'!AB199</f>
        <v>0</v>
      </c>
      <c r="AT207" s="33">
        <f>AS207+AR207</f>
        <v>0</v>
      </c>
      <c r="AU207" s="37" t="e">
        <f>AT207/D207*100</f>
        <v>#DIV/0!</v>
      </c>
      <c r="AV207" s="40"/>
      <c r="AW207" s="36">
        <f>AY171</f>
        <v>0</v>
      </c>
      <c r="AX207" s="33">
        <f>'1.DATA KIA'!AF199</f>
        <v>0</v>
      </c>
      <c r="AY207" s="36">
        <f>AW207+AX207</f>
        <v>0</v>
      </c>
      <c r="AZ207" s="37" t="e">
        <f>AY207/(20%*C207)*100</f>
        <v>#DIV/0!</v>
      </c>
      <c r="BA207" s="38"/>
    </row>
    <row r="208" spans="1:53" ht="30" customHeight="1" thickBot="1" x14ac:dyDescent="0.4">
      <c r="A208" s="46">
        <v>22</v>
      </c>
      <c r="B208" s="47">
        <f>PETUNJUK!B30</f>
        <v>0</v>
      </c>
      <c r="C208" s="48">
        <f>'1.DATA KIA'!C200</f>
        <v>0</v>
      </c>
      <c r="D208" s="48">
        <f>'1.DATA KIA'!D200</f>
        <v>0</v>
      </c>
      <c r="E208" s="48">
        <f>E172</f>
        <v>0</v>
      </c>
      <c r="F208" s="49">
        <f>H172</f>
        <v>0</v>
      </c>
      <c r="G208" s="36">
        <f>'1.DATA KIA'!F201</f>
        <v>0</v>
      </c>
      <c r="H208" s="49">
        <f>F208+G208</f>
        <v>0</v>
      </c>
      <c r="I208" s="50" t="e">
        <f t="shared" si="182"/>
        <v>#DIV/0!</v>
      </c>
      <c r="J208" s="53"/>
      <c r="K208" s="49">
        <f>M172</f>
        <v>0</v>
      </c>
      <c r="L208" s="46">
        <f>'1.DATA KIA'!J200</f>
        <v>0</v>
      </c>
      <c r="M208" s="49">
        <f>K208+L208</f>
        <v>0</v>
      </c>
      <c r="N208" s="37" t="e">
        <f t="shared" si="198"/>
        <v>#DIV/0!</v>
      </c>
      <c r="O208" s="53"/>
      <c r="P208" s="49">
        <f>R172</f>
        <v>0</v>
      </c>
      <c r="Q208" s="33">
        <f>'1.DATA KIA'!M200</f>
        <v>0</v>
      </c>
      <c r="R208" s="49">
        <f>P208+Q208</f>
        <v>0</v>
      </c>
      <c r="S208" s="37" t="e">
        <f t="shared" si="200"/>
        <v>#DIV/0!</v>
      </c>
      <c r="T208" s="53"/>
      <c r="U208" s="46">
        <f>W172</f>
        <v>0</v>
      </c>
      <c r="V208" s="49">
        <f>'1.DATA KIA'!Y200</f>
        <v>0</v>
      </c>
      <c r="W208" s="46">
        <f>U208+V208</f>
        <v>0</v>
      </c>
      <c r="X208" s="50" t="e">
        <f>W208/(20%*C208)*100</f>
        <v>#DIV/0!</v>
      </c>
      <c r="Y208" s="53"/>
      <c r="Z208" s="46">
        <f>AB172</f>
        <v>0</v>
      </c>
      <c r="AA208" s="49">
        <f>'1.DATA KIA'!Z200</f>
        <v>0</v>
      </c>
      <c r="AB208" s="46">
        <f>Z208+AA208</f>
        <v>0</v>
      </c>
      <c r="AC208" s="50" t="e">
        <f>AB208/(20%*C208)*100</f>
        <v>#DIV/0!</v>
      </c>
      <c r="AD208" s="53"/>
      <c r="AE208" s="46">
        <f>AG172</f>
        <v>0</v>
      </c>
      <c r="AF208" s="41">
        <f>'8.ANCTEPADU'!D206+'8.ANCTEPADU'!E206</f>
        <v>0</v>
      </c>
      <c r="AG208" s="46">
        <f>AE208+AF208</f>
        <v>0</v>
      </c>
      <c r="AH208" s="50" t="e">
        <f>AG208/C208*100</f>
        <v>#DIV/0!</v>
      </c>
      <c r="AI208" s="46">
        <f>AK172</f>
        <v>0</v>
      </c>
      <c r="AJ208" s="41">
        <f>'8.ANCTEPADU'!J206</f>
        <v>0</v>
      </c>
      <c r="AK208" s="46">
        <f>AI208+AJ208</f>
        <v>0</v>
      </c>
      <c r="AL208" s="50" t="e">
        <f>AK208/C208*100</f>
        <v>#DIV/0!</v>
      </c>
      <c r="AM208" s="49">
        <f>AO172</f>
        <v>0</v>
      </c>
      <c r="AN208" s="49">
        <f>'1.DATA KIA'!AG200</f>
        <v>0</v>
      </c>
      <c r="AO208" s="46">
        <f>AN208+AM208</f>
        <v>0</v>
      </c>
      <c r="AP208" s="50" t="e">
        <f>AO208/E208*100</f>
        <v>#DIV/0!</v>
      </c>
      <c r="AQ208" s="53"/>
      <c r="AR208" s="55">
        <f>AT172</f>
        <v>0</v>
      </c>
      <c r="AS208" s="49">
        <f>'1.DATA KIA'!AB200</f>
        <v>0</v>
      </c>
      <c r="AT208" s="46">
        <f>AS208+AR208</f>
        <v>0</v>
      </c>
      <c r="AU208" s="50" t="e">
        <f>AT208/D208*100</f>
        <v>#DIV/0!</v>
      </c>
      <c r="AV208" s="53"/>
      <c r="AW208" s="49">
        <f>AY172</f>
        <v>0</v>
      </c>
      <c r="AX208" s="46">
        <f>'1.DATA KIA'!AF200</f>
        <v>0</v>
      </c>
      <c r="AY208" s="49">
        <f>AW208+AX208</f>
        <v>0</v>
      </c>
      <c r="AZ208" s="50" t="e">
        <f>AY208/(20%*C208)*100</f>
        <v>#DIV/0!</v>
      </c>
      <c r="BA208" s="51"/>
    </row>
    <row r="209" spans="1:54" ht="30" customHeight="1" thickBot="1" x14ac:dyDescent="0.4">
      <c r="A209" s="354"/>
      <c r="B209" s="355" t="s">
        <v>18</v>
      </c>
      <c r="C209" s="347">
        <f>SUM(C187:C208)</f>
        <v>1067</v>
      </c>
      <c r="D209" s="347">
        <f t="shared" ref="D209:AY209" si="213">SUM(D187:D208)</f>
        <v>1018.5</v>
      </c>
      <c r="E209" s="347">
        <f t="shared" si="213"/>
        <v>0</v>
      </c>
      <c r="F209" s="347">
        <f t="shared" si="213"/>
        <v>374</v>
      </c>
      <c r="G209" s="347">
        <f t="shared" si="213"/>
        <v>0</v>
      </c>
      <c r="H209" s="347">
        <f t="shared" si="213"/>
        <v>374</v>
      </c>
      <c r="I209" s="357">
        <f t="shared" si="182"/>
        <v>35.051546391752574</v>
      </c>
      <c r="J209" s="347">
        <f t="shared" si="213"/>
        <v>0</v>
      </c>
      <c r="K209" s="347">
        <f t="shared" si="213"/>
        <v>283</v>
      </c>
      <c r="L209" s="347">
        <f t="shared" si="213"/>
        <v>0</v>
      </c>
      <c r="M209" s="347">
        <f t="shared" si="213"/>
        <v>283</v>
      </c>
      <c r="N209" s="357">
        <f>M209/D209*100</f>
        <v>27.785959744722632</v>
      </c>
      <c r="O209" s="347">
        <f t="shared" si="213"/>
        <v>0</v>
      </c>
      <c r="P209" s="347">
        <f t="shared" ref="P209:R209" si="214">SUM(P187:P208)</f>
        <v>309</v>
      </c>
      <c r="Q209" s="347">
        <f t="shared" si="214"/>
        <v>0</v>
      </c>
      <c r="R209" s="347">
        <f t="shared" si="214"/>
        <v>309</v>
      </c>
      <c r="S209" s="357">
        <f>R209/D209*100</f>
        <v>30.338733431516935</v>
      </c>
      <c r="T209" s="347">
        <f t="shared" ref="T209" si="215">SUM(T187:T208)</f>
        <v>0</v>
      </c>
      <c r="U209" s="347">
        <f t="shared" si="213"/>
        <v>92</v>
      </c>
      <c r="V209" s="347">
        <f t="shared" si="213"/>
        <v>0</v>
      </c>
      <c r="W209" s="347">
        <f t="shared" si="213"/>
        <v>92</v>
      </c>
      <c r="X209" s="357">
        <f>W209/(20%*C209)*100</f>
        <v>43.111527647610117</v>
      </c>
      <c r="Y209" s="347">
        <f t="shared" si="213"/>
        <v>0</v>
      </c>
      <c r="Z209" s="347">
        <f t="shared" si="213"/>
        <v>47</v>
      </c>
      <c r="AA209" s="347">
        <f t="shared" si="213"/>
        <v>0</v>
      </c>
      <c r="AB209" s="347">
        <f t="shared" si="213"/>
        <v>47</v>
      </c>
      <c r="AC209" s="357">
        <f>AB209/(20%*C209)*100</f>
        <v>22.024367385192125</v>
      </c>
      <c r="AD209" s="347">
        <f t="shared" si="213"/>
        <v>0</v>
      </c>
      <c r="AE209" s="347">
        <f t="shared" si="213"/>
        <v>32</v>
      </c>
      <c r="AF209" s="347">
        <f t="shared" si="213"/>
        <v>0</v>
      </c>
      <c r="AG209" s="347">
        <f t="shared" si="213"/>
        <v>32</v>
      </c>
      <c r="AH209" s="357">
        <f>AG209/C209*100</f>
        <v>2.999062792877226</v>
      </c>
      <c r="AI209" s="347">
        <f t="shared" si="213"/>
        <v>42</v>
      </c>
      <c r="AJ209" s="347">
        <f t="shared" si="213"/>
        <v>0</v>
      </c>
      <c r="AK209" s="347">
        <f t="shared" si="213"/>
        <v>42</v>
      </c>
      <c r="AL209" s="357">
        <f>AK209/C209*100</f>
        <v>3.936269915651359</v>
      </c>
      <c r="AM209" s="347">
        <f t="shared" si="213"/>
        <v>298</v>
      </c>
      <c r="AN209" s="347">
        <f t="shared" si="213"/>
        <v>0</v>
      </c>
      <c r="AO209" s="347">
        <f t="shared" si="213"/>
        <v>298</v>
      </c>
      <c r="AP209" s="357" t="e">
        <f>AO209/E209*100</f>
        <v>#DIV/0!</v>
      </c>
      <c r="AQ209" s="347">
        <f t="shared" si="213"/>
        <v>0</v>
      </c>
      <c r="AR209" s="347">
        <f t="shared" si="213"/>
        <v>298</v>
      </c>
      <c r="AS209" s="347">
        <f t="shared" si="213"/>
        <v>0</v>
      </c>
      <c r="AT209" s="347">
        <f t="shared" si="213"/>
        <v>298</v>
      </c>
      <c r="AU209" s="357">
        <f>AT209/D209*100</f>
        <v>29.258713794796272</v>
      </c>
      <c r="AV209" s="347">
        <f t="shared" si="213"/>
        <v>0</v>
      </c>
      <c r="AW209" s="347">
        <f t="shared" si="213"/>
        <v>69</v>
      </c>
      <c r="AX209" s="347">
        <f t="shared" si="213"/>
        <v>0</v>
      </c>
      <c r="AY209" s="347">
        <f t="shared" si="213"/>
        <v>69</v>
      </c>
      <c r="AZ209" s="357">
        <f>AY209/(20%*C209)*100</f>
        <v>32.333645735707591</v>
      </c>
      <c r="BA209" s="361"/>
    </row>
    <row r="210" spans="1:54" ht="12.75" customHeight="1" x14ac:dyDescent="0.35"/>
    <row r="211" spans="1:54" ht="12.75" customHeight="1" x14ac:dyDescent="0.35"/>
    <row r="212" spans="1:54" ht="12.75" customHeight="1" x14ac:dyDescent="0.35"/>
    <row r="213" spans="1:54" ht="12.75" customHeight="1" x14ac:dyDescent="0.35"/>
    <row r="214" spans="1:54" ht="12.75" customHeight="1" x14ac:dyDescent="0.35"/>
    <row r="215" spans="1:54" x14ac:dyDescent="0.35">
      <c r="A215" s="770" t="s">
        <v>19</v>
      </c>
      <c r="B215" s="770"/>
      <c r="C215" s="770"/>
      <c r="D215" s="770"/>
      <c r="E215" s="770"/>
      <c r="F215" s="770"/>
      <c r="G215" s="770"/>
      <c r="H215" s="770"/>
      <c r="I215" s="770"/>
      <c r="J215" s="770"/>
      <c r="K215" s="770"/>
      <c r="L215" s="770"/>
      <c r="M215" s="770"/>
      <c r="N215" s="770"/>
      <c r="O215" s="770"/>
      <c r="P215" s="770"/>
      <c r="Q215" s="770"/>
      <c r="R215" s="770"/>
      <c r="S215" s="770"/>
      <c r="T215" s="770"/>
      <c r="U215" s="770"/>
      <c r="V215" s="770"/>
      <c r="W215" s="770"/>
      <c r="X215" s="770"/>
      <c r="Y215" s="770"/>
      <c r="Z215" s="770"/>
      <c r="AA215" s="770"/>
      <c r="AB215" s="770"/>
      <c r="AC215" s="770"/>
      <c r="AD215" s="770"/>
      <c r="AE215" s="770"/>
      <c r="AF215" s="770"/>
      <c r="AG215" s="770"/>
      <c r="AH215" s="770"/>
      <c r="AI215" s="770"/>
      <c r="AJ215" s="770"/>
      <c r="AK215" s="770"/>
      <c r="AL215" s="770"/>
      <c r="AM215" s="770"/>
      <c r="AN215" s="770"/>
      <c r="AO215" s="770"/>
      <c r="AP215" s="770"/>
      <c r="AQ215" s="770"/>
      <c r="AR215" s="770"/>
      <c r="AS215" s="770"/>
      <c r="AT215" s="770"/>
      <c r="AU215" s="770"/>
      <c r="AV215" s="770"/>
      <c r="AW215" s="770"/>
      <c r="AX215" s="770"/>
      <c r="AY215" s="770"/>
      <c r="AZ215" s="770"/>
      <c r="BA215" s="770"/>
    </row>
    <row r="216" spans="1:54" ht="20.149999999999999" customHeight="1" x14ac:dyDescent="0.35">
      <c r="A216" s="31"/>
      <c r="B216" s="31" t="s">
        <v>175</v>
      </c>
      <c r="C216" s="345" t="str">
        <f>PETUNJUK!C5</f>
        <v>PECANGAAN</v>
      </c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</row>
    <row r="217" spans="1:54" ht="20.149999999999999" customHeight="1" x14ac:dyDescent="0.35">
      <c r="A217" s="30"/>
      <c r="B217" s="31" t="s">
        <v>170</v>
      </c>
      <c r="C217" s="32" t="str">
        <f>'1.DATA KIA'!C208</f>
        <v xml:space="preserve">JULI </v>
      </c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</row>
    <row r="218" spans="1:54" x14ac:dyDescent="0.35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</row>
    <row r="219" spans="1:54" s="45" customFormat="1" ht="23.25" customHeight="1" x14ac:dyDescent="0.35">
      <c r="A219" s="774" t="s">
        <v>1</v>
      </c>
      <c r="B219" s="774" t="s">
        <v>2</v>
      </c>
      <c r="C219" s="777" t="s">
        <v>20</v>
      </c>
      <c r="D219" s="778"/>
      <c r="E219" s="778"/>
      <c r="F219" s="777" t="s">
        <v>21</v>
      </c>
      <c r="G219" s="778"/>
      <c r="H219" s="778"/>
      <c r="I219" s="778"/>
      <c r="J219" s="791"/>
      <c r="K219" s="777" t="s">
        <v>9</v>
      </c>
      <c r="L219" s="778"/>
      <c r="M219" s="778"/>
      <c r="N219" s="778"/>
      <c r="O219" s="791"/>
      <c r="P219" s="777" t="s">
        <v>289</v>
      </c>
      <c r="Q219" s="778"/>
      <c r="R219" s="778"/>
      <c r="S219" s="778"/>
      <c r="T219" s="791"/>
      <c r="U219" s="771" t="s">
        <v>22</v>
      </c>
      <c r="V219" s="772"/>
      <c r="W219" s="772"/>
      <c r="X219" s="772"/>
      <c r="Y219" s="772"/>
      <c r="Z219" s="772"/>
      <c r="AA219" s="772"/>
      <c r="AB219" s="772"/>
      <c r="AC219" s="772"/>
      <c r="AD219" s="773"/>
      <c r="AE219" s="771" t="s">
        <v>5</v>
      </c>
      <c r="AF219" s="772"/>
      <c r="AG219" s="772"/>
      <c r="AH219" s="772"/>
      <c r="AI219" s="772"/>
      <c r="AJ219" s="772"/>
      <c r="AK219" s="772"/>
      <c r="AL219" s="773"/>
      <c r="AM219" s="771" t="s">
        <v>23</v>
      </c>
      <c r="AN219" s="772"/>
      <c r="AO219" s="772"/>
      <c r="AP219" s="772"/>
      <c r="AQ219" s="773"/>
      <c r="AR219" s="779" t="s">
        <v>24</v>
      </c>
      <c r="AS219" s="780"/>
      <c r="AT219" s="780"/>
      <c r="AU219" s="780"/>
      <c r="AV219" s="781"/>
      <c r="AW219" s="779" t="s">
        <v>241</v>
      </c>
      <c r="AX219" s="780"/>
      <c r="AY219" s="780"/>
      <c r="AZ219" s="780"/>
      <c r="BA219" s="781"/>
      <c r="BB219" s="348"/>
    </row>
    <row r="220" spans="1:54" s="45" customFormat="1" ht="15" customHeight="1" x14ac:dyDescent="0.35">
      <c r="A220" s="775"/>
      <c r="B220" s="775"/>
      <c r="C220" s="767" t="s">
        <v>5</v>
      </c>
      <c r="D220" s="767" t="s">
        <v>6</v>
      </c>
      <c r="E220" s="767" t="s">
        <v>7</v>
      </c>
      <c r="F220" s="767" t="s">
        <v>26</v>
      </c>
      <c r="G220" s="767" t="s">
        <v>27</v>
      </c>
      <c r="H220" s="771" t="s">
        <v>28</v>
      </c>
      <c r="I220" s="773"/>
      <c r="J220" s="785" t="s">
        <v>29</v>
      </c>
      <c r="K220" s="785" t="s">
        <v>26</v>
      </c>
      <c r="L220" s="785" t="s">
        <v>27</v>
      </c>
      <c r="M220" s="771" t="s">
        <v>28</v>
      </c>
      <c r="N220" s="773"/>
      <c r="O220" s="785" t="s">
        <v>29</v>
      </c>
      <c r="P220" s="785" t="s">
        <v>26</v>
      </c>
      <c r="Q220" s="785" t="s">
        <v>27</v>
      </c>
      <c r="R220" s="771" t="s">
        <v>28</v>
      </c>
      <c r="S220" s="773"/>
      <c r="T220" s="785" t="s">
        <v>29</v>
      </c>
      <c r="U220" s="771" t="s">
        <v>30</v>
      </c>
      <c r="V220" s="772"/>
      <c r="W220" s="772"/>
      <c r="X220" s="772"/>
      <c r="Y220" s="773"/>
      <c r="Z220" s="771" t="s">
        <v>31</v>
      </c>
      <c r="AA220" s="772"/>
      <c r="AB220" s="772"/>
      <c r="AC220" s="772"/>
      <c r="AD220" s="773"/>
      <c r="AE220" s="771" t="s">
        <v>32</v>
      </c>
      <c r="AF220" s="772"/>
      <c r="AG220" s="772"/>
      <c r="AH220" s="773"/>
      <c r="AI220" s="771" t="s">
        <v>33</v>
      </c>
      <c r="AJ220" s="772"/>
      <c r="AK220" s="772"/>
      <c r="AL220" s="773"/>
      <c r="AM220" s="785" t="s">
        <v>34</v>
      </c>
      <c r="AN220" s="785" t="s">
        <v>35</v>
      </c>
      <c r="AO220" s="788" t="s">
        <v>36</v>
      </c>
      <c r="AP220" s="782" t="s">
        <v>37</v>
      </c>
      <c r="AQ220" s="785" t="s">
        <v>29</v>
      </c>
      <c r="AR220" s="785" t="s">
        <v>34</v>
      </c>
      <c r="AS220" s="785" t="s">
        <v>35</v>
      </c>
      <c r="AT220" s="788" t="s">
        <v>36</v>
      </c>
      <c r="AU220" s="782" t="s">
        <v>37</v>
      </c>
      <c r="AV220" s="785" t="s">
        <v>29</v>
      </c>
      <c r="AW220" s="785" t="s">
        <v>34</v>
      </c>
      <c r="AX220" s="785" t="s">
        <v>35</v>
      </c>
      <c r="AY220" s="788" t="s">
        <v>36</v>
      </c>
      <c r="AZ220" s="782" t="s">
        <v>37</v>
      </c>
      <c r="BA220" s="785" t="s">
        <v>29</v>
      </c>
      <c r="BB220" s="348"/>
    </row>
    <row r="221" spans="1:54" s="45" customFormat="1" ht="15" customHeight="1" x14ac:dyDescent="0.35">
      <c r="A221" s="775"/>
      <c r="B221" s="775"/>
      <c r="C221" s="768"/>
      <c r="D221" s="768"/>
      <c r="E221" s="768"/>
      <c r="F221" s="768"/>
      <c r="G221" s="768"/>
      <c r="H221" s="785" t="s">
        <v>36</v>
      </c>
      <c r="I221" s="782" t="s">
        <v>37</v>
      </c>
      <c r="J221" s="786"/>
      <c r="K221" s="786"/>
      <c r="L221" s="786"/>
      <c r="M221" s="785" t="s">
        <v>36</v>
      </c>
      <c r="N221" s="785" t="s">
        <v>37</v>
      </c>
      <c r="O221" s="786"/>
      <c r="P221" s="786"/>
      <c r="Q221" s="786"/>
      <c r="R221" s="785" t="s">
        <v>36</v>
      </c>
      <c r="S221" s="785" t="s">
        <v>37</v>
      </c>
      <c r="T221" s="786"/>
      <c r="U221" s="785" t="s">
        <v>26</v>
      </c>
      <c r="V221" s="785" t="s">
        <v>27</v>
      </c>
      <c r="W221" s="779" t="s">
        <v>28</v>
      </c>
      <c r="X221" s="781"/>
      <c r="Y221" s="785" t="s">
        <v>29</v>
      </c>
      <c r="Z221" s="785" t="s">
        <v>26</v>
      </c>
      <c r="AA221" s="785" t="s">
        <v>27</v>
      </c>
      <c r="AB221" s="779" t="s">
        <v>28</v>
      </c>
      <c r="AC221" s="781"/>
      <c r="AD221" s="785" t="s">
        <v>29</v>
      </c>
      <c r="AE221" s="771" t="s">
        <v>38</v>
      </c>
      <c r="AF221" s="772"/>
      <c r="AG221" s="772"/>
      <c r="AH221" s="773"/>
      <c r="AI221" s="771" t="s">
        <v>39</v>
      </c>
      <c r="AJ221" s="772"/>
      <c r="AK221" s="772"/>
      <c r="AL221" s="773"/>
      <c r="AM221" s="786"/>
      <c r="AN221" s="786"/>
      <c r="AO221" s="789"/>
      <c r="AP221" s="783"/>
      <c r="AQ221" s="786"/>
      <c r="AR221" s="786"/>
      <c r="AS221" s="786"/>
      <c r="AT221" s="789"/>
      <c r="AU221" s="783"/>
      <c r="AV221" s="786"/>
      <c r="AW221" s="786"/>
      <c r="AX221" s="786"/>
      <c r="AY221" s="789"/>
      <c r="AZ221" s="783"/>
      <c r="BA221" s="786"/>
      <c r="BB221" s="348"/>
    </row>
    <row r="222" spans="1:54" s="45" customFormat="1" ht="47.25" customHeight="1" x14ac:dyDescent="0.35">
      <c r="A222" s="776"/>
      <c r="B222" s="776"/>
      <c r="C222" s="769"/>
      <c r="D222" s="769"/>
      <c r="E222" s="769"/>
      <c r="F222" s="769"/>
      <c r="G222" s="769"/>
      <c r="H222" s="787"/>
      <c r="I222" s="784"/>
      <c r="J222" s="787"/>
      <c r="K222" s="787"/>
      <c r="L222" s="787"/>
      <c r="M222" s="787"/>
      <c r="N222" s="787"/>
      <c r="O222" s="787"/>
      <c r="P222" s="787"/>
      <c r="Q222" s="787"/>
      <c r="R222" s="787"/>
      <c r="S222" s="787"/>
      <c r="T222" s="787"/>
      <c r="U222" s="787"/>
      <c r="V222" s="787"/>
      <c r="W222" s="352" t="s">
        <v>36</v>
      </c>
      <c r="X222" s="353" t="s">
        <v>37</v>
      </c>
      <c r="Y222" s="787"/>
      <c r="Z222" s="787"/>
      <c r="AA222" s="787"/>
      <c r="AB222" s="352" t="s">
        <v>36</v>
      </c>
      <c r="AC222" s="353" t="s">
        <v>37</v>
      </c>
      <c r="AD222" s="787"/>
      <c r="AE222" s="352" t="s">
        <v>26</v>
      </c>
      <c r="AF222" s="352" t="s">
        <v>27</v>
      </c>
      <c r="AG222" s="352" t="s">
        <v>36</v>
      </c>
      <c r="AH222" s="353" t="s">
        <v>37</v>
      </c>
      <c r="AI222" s="352" t="s">
        <v>26</v>
      </c>
      <c r="AJ222" s="352" t="s">
        <v>27</v>
      </c>
      <c r="AK222" s="352" t="s">
        <v>36</v>
      </c>
      <c r="AL222" s="353" t="s">
        <v>37</v>
      </c>
      <c r="AM222" s="787"/>
      <c r="AN222" s="787"/>
      <c r="AO222" s="790"/>
      <c r="AP222" s="784"/>
      <c r="AQ222" s="787"/>
      <c r="AR222" s="787"/>
      <c r="AS222" s="787"/>
      <c r="AT222" s="790"/>
      <c r="AU222" s="784"/>
      <c r="AV222" s="787"/>
      <c r="AW222" s="787"/>
      <c r="AX222" s="787"/>
      <c r="AY222" s="790"/>
      <c r="AZ222" s="784"/>
      <c r="BA222" s="787"/>
      <c r="BB222" s="348"/>
    </row>
    <row r="223" spans="1:54" ht="30" customHeight="1" x14ac:dyDescent="0.35">
      <c r="A223" s="33">
        <v>1</v>
      </c>
      <c r="B223" s="34" t="str">
        <f>PETUNJUK!B9</f>
        <v>Pecangaan Kulon</v>
      </c>
      <c r="C223" s="35">
        <f>'1.DATA KIA'!C213</f>
        <v>101.2</v>
      </c>
      <c r="D223" s="35">
        <f>'1.DATA KIA'!D213</f>
        <v>96.600000000000009</v>
      </c>
      <c r="E223" s="35">
        <f t="shared" ref="E223:E240" si="216">E187</f>
        <v>0</v>
      </c>
      <c r="F223" s="36">
        <f t="shared" ref="F223:F240" si="217">H187</f>
        <v>30</v>
      </c>
      <c r="G223" s="36">
        <f>'1.DATA KIA'!F213</f>
        <v>0</v>
      </c>
      <c r="H223" s="36">
        <f>F223+G223</f>
        <v>30</v>
      </c>
      <c r="I223" s="37">
        <f t="shared" ref="I223:I240" si="218">H223/C223*100</f>
        <v>29.644268774703558</v>
      </c>
      <c r="J223" s="40"/>
      <c r="K223" s="36">
        <f t="shared" ref="K223:K240" si="219">M187</f>
        <v>28</v>
      </c>
      <c r="L223" s="33">
        <f>'1.DATA KIA'!J213</f>
        <v>0</v>
      </c>
      <c r="M223" s="36">
        <f>K223+L223</f>
        <v>28</v>
      </c>
      <c r="N223" s="37">
        <f>M223/D223*100</f>
        <v>28.985507246376805</v>
      </c>
      <c r="O223" s="40"/>
      <c r="P223" s="36">
        <f t="shared" ref="P223:P240" si="220">R187</f>
        <v>29</v>
      </c>
      <c r="Q223" s="33">
        <f>'1.DATA KIA'!M213</f>
        <v>0</v>
      </c>
      <c r="R223" s="36">
        <f>P223+Q223</f>
        <v>29</v>
      </c>
      <c r="S223" s="37">
        <f>R223/D223*100</f>
        <v>30.020703933747413</v>
      </c>
      <c r="T223" s="40"/>
      <c r="U223" s="33">
        <f t="shared" ref="U223:U240" si="221">W187</f>
        <v>10</v>
      </c>
      <c r="V223" s="36">
        <f>'1.DATA KIA'!Y213</f>
        <v>0</v>
      </c>
      <c r="W223" s="33">
        <f>U223+V223</f>
        <v>10</v>
      </c>
      <c r="X223" s="37">
        <f t="shared" ref="X223:X240" si="222">W223/(20%*C223)*100</f>
        <v>49.40711462450593</v>
      </c>
      <c r="Y223" s="40"/>
      <c r="Z223" s="33">
        <f t="shared" ref="Z223:Z240" si="223">AB187</f>
        <v>6</v>
      </c>
      <c r="AA223" s="36">
        <f>'1.DATA KIA'!Z213</f>
        <v>0</v>
      </c>
      <c r="AB223" s="33">
        <f>Z223+AA223</f>
        <v>6</v>
      </c>
      <c r="AC223" s="37">
        <f t="shared" ref="AC223:AC240" si="224">AB223/(20%*C223)*100</f>
        <v>29.644268774703551</v>
      </c>
      <c r="AD223" s="40"/>
      <c r="AE223" s="33">
        <f t="shared" ref="AE223:AE244" si="225">AG187</f>
        <v>3</v>
      </c>
      <c r="AF223" s="41">
        <f>'8.ANCTEPADU'!D256+'8.ANCTEPADU'!E256</f>
        <v>0</v>
      </c>
      <c r="AG223" s="33">
        <f>AE223+AF223</f>
        <v>3</v>
      </c>
      <c r="AH223" s="37">
        <f t="shared" ref="AH223:AH240" si="226">AG223/C223*100</f>
        <v>2.9644268774703555</v>
      </c>
      <c r="AI223" s="33">
        <f t="shared" ref="AI223:AI240" si="227">AK187</f>
        <v>1</v>
      </c>
      <c r="AJ223" s="41">
        <f>'8.ANCTEPADU'!J256</f>
        <v>0</v>
      </c>
      <c r="AK223" s="33">
        <f>AI223+AJ223</f>
        <v>1</v>
      </c>
      <c r="AL223" s="37">
        <f t="shared" ref="AL223:AL240" si="228">AK223/C223*100</f>
        <v>0.98814229249011865</v>
      </c>
      <c r="AM223" s="36">
        <f t="shared" ref="AM223:AM240" si="229">AO187</f>
        <v>29</v>
      </c>
      <c r="AN223" s="36">
        <f>'1.DATA KIA'!AG213</f>
        <v>0</v>
      </c>
      <c r="AO223" s="33">
        <f>AN223+AM223</f>
        <v>29</v>
      </c>
      <c r="AP223" s="37" t="e">
        <f>AO223/E223*100</f>
        <v>#DIV/0!</v>
      </c>
      <c r="AQ223" s="40"/>
      <c r="AR223" s="42">
        <f t="shared" ref="AR223:AR240" si="230">AT187</f>
        <v>29</v>
      </c>
      <c r="AS223" s="36">
        <f>'1.DATA KIA'!AB213</f>
        <v>0</v>
      </c>
      <c r="AT223" s="36">
        <f>AS223+AR223</f>
        <v>29</v>
      </c>
      <c r="AU223" s="37">
        <f>AT223/D223*100</f>
        <v>30.020703933747413</v>
      </c>
      <c r="AV223" s="40"/>
      <c r="AW223" s="36">
        <f t="shared" ref="AW223:AW240" si="231">AY187</f>
        <v>10</v>
      </c>
      <c r="AX223" s="33">
        <f>'1.DATA KIA'!AF213</f>
        <v>0</v>
      </c>
      <c r="AY223" s="36">
        <f>AW223+AX223</f>
        <v>10</v>
      </c>
      <c r="AZ223" s="37">
        <f>AY223/(20%*C223)*100</f>
        <v>49.40711462450593</v>
      </c>
      <c r="BA223" s="38"/>
    </row>
    <row r="224" spans="1:54" ht="30" customHeight="1" x14ac:dyDescent="0.35">
      <c r="A224" s="33">
        <v>2</v>
      </c>
      <c r="B224" s="34" t="str">
        <f>PETUNJUK!B10</f>
        <v>Rengging</v>
      </c>
      <c r="C224" s="35">
        <f>'1.DATA KIA'!C214</f>
        <v>111.10000000000001</v>
      </c>
      <c r="D224" s="35">
        <f>'1.DATA KIA'!D214</f>
        <v>106.05000000000001</v>
      </c>
      <c r="E224" s="35">
        <f t="shared" si="216"/>
        <v>0</v>
      </c>
      <c r="F224" s="36">
        <f t="shared" si="217"/>
        <v>54</v>
      </c>
      <c r="G224" s="36">
        <f>'1.DATA KIA'!F214</f>
        <v>0</v>
      </c>
      <c r="H224" s="36">
        <f t="shared" ref="H224:H240" si="232">F224+G224</f>
        <v>54</v>
      </c>
      <c r="I224" s="37">
        <f t="shared" si="218"/>
        <v>48.604860486048601</v>
      </c>
      <c r="J224" s="40"/>
      <c r="K224" s="36">
        <f t="shared" si="219"/>
        <v>21</v>
      </c>
      <c r="L224" s="33">
        <f>'1.DATA KIA'!J214</f>
        <v>0</v>
      </c>
      <c r="M224" s="36">
        <f t="shared" ref="M224:M240" si="233">K224+L224</f>
        <v>21</v>
      </c>
      <c r="N224" s="37">
        <f t="shared" ref="N224:N244" si="234">M224/D224*100</f>
        <v>19.801980198019802</v>
      </c>
      <c r="O224" s="40"/>
      <c r="P224" s="36">
        <f t="shared" si="220"/>
        <v>32</v>
      </c>
      <c r="Q224" s="33">
        <f>'1.DATA KIA'!M214</f>
        <v>0</v>
      </c>
      <c r="R224" s="36">
        <f t="shared" ref="R224:R240" si="235">P224+Q224</f>
        <v>32</v>
      </c>
      <c r="S224" s="37">
        <f t="shared" ref="S224:S244" si="236">R224/D224*100</f>
        <v>30.174446016030171</v>
      </c>
      <c r="T224" s="40"/>
      <c r="U224" s="33">
        <f t="shared" si="221"/>
        <v>8</v>
      </c>
      <c r="V224" s="36">
        <f>'1.DATA KIA'!Y214</f>
        <v>0</v>
      </c>
      <c r="W224" s="33">
        <f t="shared" ref="W224:W240" si="237">U224+V224</f>
        <v>8</v>
      </c>
      <c r="X224" s="37">
        <f t="shared" si="222"/>
        <v>36.003600360035996</v>
      </c>
      <c r="Y224" s="40"/>
      <c r="Z224" s="33">
        <f t="shared" si="223"/>
        <v>5</v>
      </c>
      <c r="AA224" s="36">
        <f>'1.DATA KIA'!Z214</f>
        <v>0</v>
      </c>
      <c r="AB224" s="33">
        <f t="shared" ref="AB224:AB240" si="238">Z224+AA224</f>
        <v>5</v>
      </c>
      <c r="AC224" s="37">
        <f t="shared" si="224"/>
        <v>22.5022502250225</v>
      </c>
      <c r="AD224" s="40"/>
      <c r="AE224" s="33">
        <f t="shared" si="225"/>
        <v>6</v>
      </c>
      <c r="AF224" s="41">
        <f>'8.ANCTEPADU'!D257+'8.ANCTEPADU'!E257</f>
        <v>0</v>
      </c>
      <c r="AG224" s="33">
        <f t="shared" ref="AG224:AG240" si="239">AE224+AF224</f>
        <v>6</v>
      </c>
      <c r="AH224" s="37">
        <f t="shared" si="226"/>
        <v>5.4005400540054005</v>
      </c>
      <c r="AI224" s="33">
        <f t="shared" si="227"/>
        <v>8</v>
      </c>
      <c r="AJ224" s="41">
        <f>'8.ANCTEPADU'!J257</f>
        <v>0</v>
      </c>
      <c r="AK224" s="33">
        <f t="shared" ref="AK224:AK240" si="240">AI224+AJ224</f>
        <v>8</v>
      </c>
      <c r="AL224" s="37">
        <f t="shared" si="228"/>
        <v>7.2007200720071998</v>
      </c>
      <c r="AM224" s="36">
        <f t="shared" si="229"/>
        <v>35</v>
      </c>
      <c r="AN224" s="36">
        <f>'1.DATA KIA'!AG214</f>
        <v>0</v>
      </c>
      <c r="AO224" s="33">
        <f t="shared" ref="AO224:AO233" si="241">AN224+AM224</f>
        <v>35</v>
      </c>
      <c r="AP224" s="37" t="e">
        <f t="shared" ref="AP224:AP240" si="242">AO224/E224*100</f>
        <v>#DIV/0!</v>
      </c>
      <c r="AQ224" s="40"/>
      <c r="AR224" s="42">
        <f t="shared" si="230"/>
        <v>34</v>
      </c>
      <c r="AS224" s="36">
        <f>'1.DATA KIA'!AB214</f>
        <v>0</v>
      </c>
      <c r="AT224" s="33">
        <f t="shared" ref="AT224:AT233" si="243">AS224+AR224</f>
        <v>34</v>
      </c>
      <c r="AU224" s="37">
        <f t="shared" ref="AU224:AU240" si="244">AT224/D224*100</f>
        <v>32.06034889203206</v>
      </c>
      <c r="AV224" s="40"/>
      <c r="AW224" s="36">
        <f t="shared" si="231"/>
        <v>4</v>
      </c>
      <c r="AX224" s="33">
        <f>'1.DATA KIA'!AF214</f>
        <v>0</v>
      </c>
      <c r="AY224" s="36">
        <f t="shared" ref="AY224:AY240" si="245">AW224+AX224</f>
        <v>4</v>
      </c>
      <c r="AZ224" s="37">
        <f t="shared" ref="AZ224:AZ240" si="246">AY224/(20%*C224)*100</f>
        <v>18.001800180017998</v>
      </c>
      <c r="BA224" s="38"/>
    </row>
    <row r="225" spans="1:53" ht="30" customHeight="1" x14ac:dyDescent="0.35">
      <c r="A225" s="33">
        <v>3</v>
      </c>
      <c r="B225" s="34" t="str">
        <f>PETUNJUK!B11</f>
        <v>Troso</v>
      </c>
      <c r="C225" s="35">
        <f>'1.DATA KIA'!C215</f>
        <v>205.70000000000002</v>
      </c>
      <c r="D225" s="35">
        <f>'1.DATA KIA'!D215</f>
        <v>196.35</v>
      </c>
      <c r="E225" s="35">
        <f t="shared" si="216"/>
        <v>0</v>
      </c>
      <c r="F225" s="36">
        <f t="shared" si="217"/>
        <v>78</v>
      </c>
      <c r="G225" s="36">
        <f>'1.DATA KIA'!F215</f>
        <v>0</v>
      </c>
      <c r="H225" s="36">
        <f t="shared" si="232"/>
        <v>78</v>
      </c>
      <c r="I225" s="37">
        <f t="shared" si="218"/>
        <v>37.919299951385511</v>
      </c>
      <c r="J225" s="40"/>
      <c r="K225" s="36">
        <f t="shared" si="219"/>
        <v>64</v>
      </c>
      <c r="L225" s="33">
        <f>'1.DATA KIA'!J215</f>
        <v>0</v>
      </c>
      <c r="M225" s="36">
        <f t="shared" si="233"/>
        <v>64</v>
      </c>
      <c r="N225" s="37">
        <f t="shared" si="234"/>
        <v>32.594856124267892</v>
      </c>
      <c r="O225" s="40"/>
      <c r="P225" s="36">
        <f t="shared" si="220"/>
        <v>78</v>
      </c>
      <c r="Q225" s="33">
        <f>'1.DATA KIA'!M215</f>
        <v>0</v>
      </c>
      <c r="R225" s="36">
        <f t="shared" si="235"/>
        <v>78</v>
      </c>
      <c r="S225" s="37">
        <f t="shared" si="236"/>
        <v>39.724980901451488</v>
      </c>
      <c r="T225" s="40"/>
      <c r="U225" s="33">
        <f t="shared" si="221"/>
        <v>23</v>
      </c>
      <c r="V225" s="36">
        <f>'1.DATA KIA'!Y215</f>
        <v>0</v>
      </c>
      <c r="W225" s="33">
        <f t="shared" si="237"/>
        <v>23</v>
      </c>
      <c r="X225" s="37">
        <f t="shared" si="222"/>
        <v>55.906660184735038</v>
      </c>
      <c r="Y225" s="40"/>
      <c r="Z225" s="33">
        <f t="shared" si="223"/>
        <v>11</v>
      </c>
      <c r="AA225" s="36">
        <f>'1.DATA KIA'!Z215</f>
        <v>0</v>
      </c>
      <c r="AB225" s="33">
        <f t="shared" si="238"/>
        <v>11</v>
      </c>
      <c r="AC225" s="37">
        <f t="shared" si="224"/>
        <v>26.737967914438499</v>
      </c>
      <c r="AD225" s="40"/>
      <c r="AE225" s="33">
        <f t="shared" si="225"/>
        <v>3</v>
      </c>
      <c r="AF225" s="41">
        <f>'8.ANCTEPADU'!D258+'8.ANCTEPADU'!E258</f>
        <v>0</v>
      </c>
      <c r="AG225" s="33">
        <f t="shared" si="239"/>
        <v>3</v>
      </c>
      <c r="AH225" s="37">
        <f t="shared" si="226"/>
        <v>1.4584346135148272</v>
      </c>
      <c r="AI225" s="33">
        <f t="shared" si="227"/>
        <v>11</v>
      </c>
      <c r="AJ225" s="41">
        <f>'8.ANCTEPADU'!J258</f>
        <v>0</v>
      </c>
      <c r="AK225" s="33">
        <f t="shared" si="240"/>
        <v>11</v>
      </c>
      <c r="AL225" s="37">
        <f t="shared" si="228"/>
        <v>5.3475935828877006</v>
      </c>
      <c r="AM225" s="36">
        <f t="shared" si="229"/>
        <v>60</v>
      </c>
      <c r="AN225" s="36">
        <f>'1.DATA KIA'!AG215</f>
        <v>0</v>
      </c>
      <c r="AO225" s="33">
        <f t="shared" si="241"/>
        <v>60</v>
      </c>
      <c r="AP225" s="37" t="e">
        <f t="shared" si="242"/>
        <v>#DIV/0!</v>
      </c>
      <c r="AQ225" s="40"/>
      <c r="AR225" s="42">
        <f t="shared" si="230"/>
        <v>60</v>
      </c>
      <c r="AS225" s="36">
        <f>'1.DATA KIA'!AB215</f>
        <v>0</v>
      </c>
      <c r="AT225" s="33">
        <f t="shared" si="243"/>
        <v>60</v>
      </c>
      <c r="AU225" s="37">
        <f t="shared" si="244"/>
        <v>30.557677616501145</v>
      </c>
      <c r="AV225" s="40"/>
      <c r="AW225" s="36">
        <f t="shared" si="231"/>
        <v>13</v>
      </c>
      <c r="AX225" s="33">
        <f>'1.DATA KIA'!AF215</f>
        <v>0</v>
      </c>
      <c r="AY225" s="36">
        <f t="shared" si="245"/>
        <v>13</v>
      </c>
      <c r="AZ225" s="37">
        <f t="shared" si="246"/>
        <v>31.599416626154586</v>
      </c>
      <c r="BA225" s="38"/>
    </row>
    <row r="226" spans="1:53" ht="30" customHeight="1" x14ac:dyDescent="0.35">
      <c r="A226" s="33">
        <v>4</v>
      </c>
      <c r="B226" s="34" t="str">
        <f>PETUNJUK!B12</f>
        <v>Ngeling</v>
      </c>
      <c r="C226" s="35">
        <f>'1.DATA KIA'!C216</f>
        <v>95.7</v>
      </c>
      <c r="D226" s="35">
        <f>'1.DATA KIA'!D216</f>
        <v>91.350000000000009</v>
      </c>
      <c r="E226" s="35">
        <f t="shared" si="216"/>
        <v>0</v>
      </c>
      <c r="F226" s="36">
        <f t="shared" si="217"/>
        <v>30</v>
      </c>
      <c r="G226" s="36">
        <f>'1.DATA KIA'!F216</f>
        <v>0</v>
      </c>
      <c r="H226" s="36">
        <f t="shared" si="232"/>
        <v>30</v>
      </c>
      <c r="I226" s="37">
        <f t="shared" si="218"/>
        <v>31.347962382445139</v>
      </c>
      <c r="J226" s="40"/>
      <c r="K226" s="36">
        <f t="shared" si="219"/>
        <v>28</v>
      </c>
      <c r="L226" s="33">
        <f>'1.DATA KIA'!J216</f>
        <v>0</v>
      </c>
      <c r="M226" s="36">
        <f t="shared" si="233"/>
        <v>28</v>
      </c>
      <c r="N226" s="37">
        <f t="shared" si="234"/>
        <v>30.651340996168582</v>
      </c>
      <c r="O226" s="40"/>
      <c r="P226" s="36">
        <f t="shared" si="220"/>
        <v>26</v>
      </c>
      <c r="Q226" s="33">
        <f>'1.DATA KIA'!M216</f>
        <v>0</v>
      </c>
      <c r="R226" s="36">
        <f t="shared" si="235"/>
        <v>26</v>
      </c>
      <c r="S226" s="37">
        <f t="shared" si="236"/>
        <v>28.461959496442251</v>
      </c>
      <c r="T226" s="40"/>
      <c r="U226" s="33">
        <f t="shared" si="221"/>
        <v>7</v>
      </c>
      <c r="V226" s="36">
        <f>'1.DATA KIA'!Y216</f>
        <v>0</v>
      </c>
      <c r="W226" s="33">
        <f t="shared" si="237"/>
        <v>7</v>
      </c>
      <c r="X226" s="37">
        <f t="shared" si="222"/>
        <v>36.572622779519328</v>
      </c>
      <c r="Y226" s="40"/>
      <c r="Z226" s="33">
        <f t="shared" si="223"/>
        <v>5</v>
      </c>
      <c r="AA226" s="36">
        <f>'1.DATA KIA'!Z216</f>
        <v>0</v>
      </c>
      <c r="AB226" s="33">
        <f t="shared" si="238"/>
        <v>5</v>
      </c>
      <c r="AC226" s="37">
        <f t="shared" si="224"/>
        <v>26.123301985370951</v>
      </c>
      <c r="AD226" s="40"/>
      <c r="AE226" s="33">
        <f t="shared" si="225"/>
        <v>5</v>
      </c>
      <c r="AF226" s="41">
        <f>'8.ANCTEPADU'!D259+'8.ANCTEPADU'!E259</f>
        <v>0</v>
      </c>
      <c r="AG226" s="33">
        <f t="shared" si="239"/>
        <v>5</v>
      </c>
      <c r="AH226" s="37">
        <f t="shared" si="226"/>
        <v>5.2246603970741896</v>
      </c>
      <c r="AI226" s="33">
        <f t="shared" si="227"/>
        <v>5</v>
      </c>
      <c r="AJ226" s="41">
        <f>'8.ANCTEPADU'!J259</f>
        <v>0</v>
      </c>
      <c r="AK226" s="33">
        <f t="shared" si="240"/>
        <v>5</v>
      </c>
      <c r="AL226" s="37">
        <f t="shared" si="228"/>
        <v>5.2246603970741896</v>
      </c>
      <c r="AM226" s="36">
        <f t="shared" si="229"/>
        <v>28</v>
      </c>
      <c r="AN226" s="36">
        <f>'1.DATA KIA'!AG216</f>
        <v>0</v>
      </c>
      <c r="AO226" s="33">
        <f t="shared" si="241"/>
        <v>28</v>
      </c>
      <c r="AP226" s="37" t="e">
        <f t="shared" si="242"/>
        <v>#DIV/0!</v>
      </c>
      <c r="AQ226" s="40"/>
      <c r="AR226" s="42">
        <f t="shared" si="230"/>
        <v>28</v>
      </c>
      <c r="AS226" s="36">
        <f>'1.DATA KIA'!AB216</f>
        <v>0</v>
      </c>
      <c r="AT226" s="33">
        <f t="shared" si="243"/>
        <v>28</v>
      </c>
      <c r="AU226" s="37">
        <f t="shared" si="244"/>
        <v>30.651340996168582</v>
      </c>
      <c r="AV226" s="40"/>
      <c r="AW226" s="36">
        <f t="shared" si="231"/>
        <v>10</v>
      </c>
      <c r="AX226" s="33">
        <f>'1.DATA KIA'!AF216</f>
        <v>0</v>
      </c>
      <c r="AY226" s="36">
        <f t="shared" si="245"/>
        <v>10</v>
      </c>
      <c r="AZ226" s="37">
        <f t="shared" si="246"/>
        <v>52.246603970741901</v>
      </c>
      <c r="BA226" s="38"/>
    </row>
    <row r="227" spans="1:53" ht="30" customHeight="1" x14ac:dyDescent="0.35">
      <c r="A227" s="33">
        <v>5</v>
      </c>
      <c r="B227" s="34" t="str">
        <f>PETUNJUK!B13</f>
        <v>Lebuawu</v>
      </c>
      <c r="C227" s="35">
        <f>'1.DATA KIA'!C217</f>
        <v>85.800000000000011</v>
      </c>
      <c r="D227" s="35">
        <f>'1.DATA KIA'!D217</f>
        <v>81.900000000000006</v>
      </c>
      <c r="E227" s="35">
        <f t="shared" si="216"/>
        <v>0</v>
      </c>
      <c r="F227" s="36">
        <f t="shared" si="217"/>
        <v>33</v>
      </c>
      <c r="G227" s="36">
        <f>'1.DATA KIA'!F217</f>
        <v>0</v>
      </c>
      <c r="H227" s="36">
        <f t="shared" si="232"/>
        <v>33</v>
      </c>
      <c r="I227" s="37">
        <f t="shared" si="218"/>
        <v>38.46153846153846</v>
      </c>
      <c r="J227" s="40"/>
      <c r="K227" s="36">
        <f t="shared" si="219"/>
        <v>25</v>
      </c>
      <c r="L227" s="33">
        <f>'1.DATA KIA'!J217</f>
        <v>0</v>
      </c>
      <c r="M227" s="36">
        <f t="shared" si="233"/>
        <v>25</v>
      </c>
      <c r="N227" s="37">
        <f t="shared" si="234"/>
        <v>30.525030525030523</v>
      </c>
      <c r="O227" s="40"/>
      <c r="P227" s="36">
        <f t="shared" si="220"/>
        <v>19</v>
      </c>
      <c r="Q227" s="33">
        <f>'1.DATA KIA'!M217</f>
        <v>0</v>
      </c>
      <c r="R227" s="36">
        <f t="shared" si="235"/>
        <v>19</v>
      </c>
      <c r="S227" s="37">
        <f t="shared" si="236"/>
        <v>23.199023199023198</v>
      </c>
      <c r="T227" s="40"/>
      <c r="U227" s="33">
        <f t="shared" si="221"/>
        <v>5</v>
      </c>
      <c r="V227" s="36">
        <f>'1.DATA KIA'!Y217</f>
        <v>0</v>
      </c>
      <c r="W227" s="33">
        <f t="shared" si="237"/>
        <v>5</v>
      </c>
      <c r="X227" s="37">
        <f t="shared" si="222"/>
        <v>29.137529137529132</v>
      </c>
      <c r="Y227" s="40"/>
      <c r="Z227" s="33">
        <f t="shared" si="223"/>
        <v>3</v>
      </c>
      <c r="AA227" s="36">
        <f>'1.DATA KIA'!Z217</f>
        <v>0</v>
      </c>
      <c r="AB227" s="33">
        <f t="shared" si="238"/>
        <v>3</v>
      </c>
      <c r="AC227" s="37">
        <f t="shared" si="224"/>
        <v>17.48251748251748</v>
      </c>
      <c r="AD227" s="40"/>
      <c r="AE227" s="33">
        <f t="shared" si="225"/>
        <v>2</v>
      </c>
      <c r="AF227" s="41">
        <f>'8.ANCTEPADU'!D260+'8.ANCTEPADU'!E260</f>
        <v>0</v>
      </c>
      <c r="AG227" s="33">
        <f t="shared" si="239"/>
        <v>2</v>
      </c>
      <c r="AH227" s="37">
        <f t="shared" si="226"/>
        <v>2.3310023310023307</v>
      </c>
      <c r="AI227" s="33">
        <f t="shared" si="227"/>
        <v>3</v>
      </c>
      <c r="AJ227" s="41">
        <f>'8.ANCTEPADU'!J260</f>
        <v>0</v>
      </c>
      <c r="AK227" s="33">
        <f t="shared" si="240"/>
        <v>3</v>
      </c>
      <c r="AL227" s="37">
        <f t="shared" si="228"/>
        <v>3.4965034965034962</v>
      </c>
      <c r="AM227" s="36">
        <f t="shared" si="229"/>
        <v>23</v>
      </c>
      <c r="AN227" s="36">
        <f>'1.DATA KIA'!AG217</f>
        <v>0</v>
      </c>
      <c r="AO227" s="33">
        <f t="shared" si="241"/>
        <v>23</v>
      </c>
      <c r="AP227" s="37" t="e">
        <f t="shared" si="242"/>
        <v>#DIV/0!</v>
      </c>
      <c r="AQ227" s="40"/>
      <c r="AR227" s="42">
        <f t="shared" si="230"/>
        <v>23</v>
      </c>
      <c r="AS227" s="36">
        <f>'1.DATA KIA'!AB217</f>
        <v>0</v>
      </c>
      <c r="AT227" s="33">
        <f t="shared" si="243"/>
        <v>23</v>
      </c>
      <c r="AU227" s="37">
        <f t="shared" si="244"/>
        <v>28.083028083028083</v>
      </c>
      <c r="AV227" s="40"/>
      <c r="AW227" s="36">
        <f t="shared" si="231"/>
        <v>1</v>
      </c>
      <c r="AX227" s="33">
        <f>'1.DATA KIA'!AF217</f>
        <v>0</v>
      </c>
      <c r="AY227" s="36">
        <f t="shared" si="245"/>
        <v>1</v>
      </c>
      <c r="AZ227" s="37">
        <f t="shared" si="246"/>
        <v>5.8275058275058269</v>
      </c>
      <c r="BA227" s="38"/>
    </row>
    <row r="228" spans="1:53" ht="30" customHeight="1" x14ac:dyDescent="0.35">
      <c r="A228" s="33">
        <v>6</v>
      </c>
      <c r="B228" s="34" t="str">
        <f>PETUNJUK!B14</f>
        <v>Pulodarat</v>
      </c>
      <c r="C228" s="35">
        <f>'1.DATA KIA'!C218</f>
        <v>82.5</v>
      </c>
      <c r="D228" s="35">
        <f>'1.DATA KIA'!D218</f>
        <v>78.75</v>
      </c>
      <c r="E228" s="35">
        <f t="shared" si="216"/>
        <v>0</v>
      </c>
      <c r="F228" s="36">
        <f t="shared" si="217"/>
        <v>18</v>
      </c>
      <c r="G228" s="36">
        <f>'1.DATA KIA'!F218</f>
        <v>0</v>
      </c>
      <c r="H228" s="36">
        <f t="shared" si="232"/>
        <v>18</v>
      </c>
      <c r="I228" s="37">
        <f t="shared" si="218"/>
        <v>21.818181818181817</v>
      </c>
      <c r="J228" s="40"/>
      <c r="K228" s="36">
        <f t="shared" si="219"/>
        <v>19</v>
      </c>
      <c r="L228" s="33">
        <f>'1.DATA KIA'!J218</f>
        <v>0</v>
      </c>
      <c r="M228" s="36">
        <f t="shared" si="233"/>
        <v>19</v>
      </c>
      <c r="N228" s="37">
        <f t="shared" si="234"/>
        <v>24.126984126984127</v>
      </c>
      <c r="O228" s="40"/>
      <c r="P228" s="36">
        <f t="shared" si="220"/>
        <v>19</v>
      </c>
      <c r="Q228" s="33">
        <f>'1.DATA KIA'!M218</f>
        <v>0</v>
      </c>
      <c r="R228" s="36">
        <f t="shared" si="235"/>
        <v>19</v>
      </c>
      <c r="S228" s="37">
        <f t="shared" si="236"/>
        <v>24.126984126984127</v>
      </c>
      <c r="T228" s="40"/>
      <c r="U228" s="33">
        <f t="shared" si="221"/>
        <v>4</v>
      </c>
      <c r="V228" s="36">
        <f>'1.DATA KIA'!Y218</f>
        <v>0</v>
      </c>
      <c r="W228" s="33">
        <f t="shared" si="237"/>
        <v>4</v>
      </c>
      <c r="X228" s="37">
        <f t="shared" si="222"/>
        <v>24.242424242424242</v>
      </c>
      <c r="Y228" s="40"/>
      <c r="Z228" s="33">
        <f t="shared" si="223"/>
        <v>2</v>
      </c>
      <c r="AA228" s="36">
        <f>'1.DATA KIA'!Z218</f>
        <v>0</v>
      </c>
      <c r="AB228" s="33">
        <f t="shared" si="238"/>
        <v>2</v>
      </c>
      <c r="AC228" s="37">
        <f t="shared" si="224"/>
        <v>12.121212121212121</v>
      </c>
      <c r="AD228" s="40"/>
      <c r="AE228" s="33">
        <f t="shared" si="225"/>
        <v>3</v>
      </c>
      <c r="AF228" s="41">
        <f>'8.ANCTEPADU'!D261+'8.ANCTEPADU'!E261</f>
        <v>0</v>
      </c>
      <c r="AG228" s="33">
        <f t="shared" si="239"/>
        <v>3</v>
      </c>
      <c r="AH228" s="37">
        <f t="shared" si="226"/>
        <v>3.6363636363636362</v>
      </c>
      <c r="AI228" s="33">
        <f t="shared" si="227"/>
        <v>0</v>
      </c>
      <c r="AJ228" s="41">
        <f>'8.ANCTEPADU'!J261</f>
        <v>0</v>
      </c>
      <c r="AK228" s="33">
        <f t="shared" si="240"/>
        <v>0</v>
      </c>
      <c r="AL228" s="37">
        <f t="shared" si="228"/>
        <v>0</v>
      </c>
      <c r="AM228" s="36">
        <f t="shared" si="229"/>
        <v>17</v>
      </c>
      <c r="AN228" s="36">
        <f>'1.DATA KIA'!AG218</f>
        <v>0</v>
      </c>
      <c r="AO228" s="33">
        <f t="shared" si="241"/>
        <v>17</v>
      </c>
      <c r="AP228" s="37" t="e">
        <f t="shared" si="242"/>
        <v>#DIV/0!</v>
      </c>
      <c r="AQ228" s="40"/>
      <c r="AR228" s="42">
        <f t="shared" si="230"/>
        <v>17</v>
      </c>
      <c r="AS228" s="36">
        <f>'1.DATA KIA'!AB218</f>
        <v>0</v>
      </c>
      <c r="AT228" s="33">
        <f t="shared" si="243"/>
        <v>17</v>
      </c>
      <c r="AU228" s="37">
        <f t="shared" si="244"/>
        <v>21.587301587301589</v>
      </c>
      <c r="AV228" s="40"/>
      <c r="AW228" s="36">
        <f t="shared" si="231"/>
        <v>4</v>
      </c>
      <c r="AX228" s="33">
        <f>'1.DATA KIA'!AF218</f>
        <v>0</v>
      </c>
      <c r="AY228" s="36">
        <f t="shared" si="245"/>
        <v>4</v>
      </c>
      <c r="AZ228" s="37">
        <f t="shared" si="246"/>
        <v>24.242424242424242</v>
      </c>
      <c r="BA228" s="38"/>
    </row>
    <row r="229" spans="1:53" ht="30" customHeight="1" x14ac:dyDescent="0.35">
      <c r="A229" s="33">
        <v>7</v>
      </c>
      <c r="B229" s="34" t="str">
        <f>PETUNJUK!B15</f>
        <v>Karangrandu</v>
      </c>
      <c r="C229" s="35">
        <f>'1.DATA KIA'!C219</f>
        <v>93.500000000000014</v>
      </c>
      <c r="D229" s="35">
        <f>'1.DATA KIA'!D219</f>
        <v>89.25</v>
      </c>
      <c r="E229" s="35">
        <f t="shared" si="216"/>
        <v>0</v>
      </c>
      <c r="F229" s="36">
        <f t="shared" si="217"/>
        <v>31</v>
      </c>
      <c r="G229" s="36">
        <f>'1.DATA KIA'!F219</f>
        <v>0</v>
      </c>
      <c r="H229" s="36">
        <f t="shared" si="232"/>
        <v>31</v>
      </c>
      <c r="I229" s="37">
        <f t="shared" si="218"/>
        <v>33.155080213903737</v>
      </c>
      <c r="J229" s="40"/>
      <c r="K229" s="36">
        <f t="shared" si="219"/>
        <v>24</v>
      </c>
      <c r="L229" s="33">
        <f>'1.DATA KIA'!J219</f>
        <v>0</v>
      </c>
      <c r="M229" s="36">
        <f t="shared" si="233"/>
        <v>24</v>
      </c>
      <c r="N229" s="37">
        <f t="shared" si="234"/>
        <v>26.890756302521009</v>
      </c>
      <c r="O229" s="40"/>
      <c r="P229" s="36">
        <f t="shared" si="220"/>
        <v>27</v>
      </c>
      <c r="Q229" s="33">
        <f>'1.DATA KIA'!M219</f>
        <v>0</v>
      </c>
      <c r="R229" s="36">
        <f t="shared" si="235"/>
        <v>27</v>
      </c>
      <c r="S229" s="37">
        <f t="shared" si="236"/>
        <v>30.252100840336134</v>
      </c>
      <c r="T229" s="40"/>
      <c r="U229" s="33">
        <f t="shared" si="221"/>
        <v>14</v>
      </c>
      <c r="V229" s="36">
        <f>'1.DATA KIA'!Y219</f>
        <v>0</v>
      </c>
      <c r="W229" s="33">
        <f t="shared" si="237"/>
        <v>14</v>
      </c>
      <c r="X229" s="37">
        <f t="shared" si="222"/>
        <v>74.866310160427801</v>
      </c>
      <c r="Y229" s="40"/>
      <c r="Z229" s="33">
        <f t="shared" si="223"/>
        <v>5</v>
      </c>
      <c r="AA229" s="36">
        <f>'1.DATA KIA'!Z219</f>
        <v>0</v>
      </c>
      <c r="AB229" s="33">
        <f t="shared" si="238"/>
        <v>5</v>
      </c>
      <c r="AC229" s="37">
        <f t="shared" si="224"/>
        <v>26.737967914438499</v>
      </c>
      <c r="AD229" s="40"/>
      <c r="AE229" s="33">
        <f t="shared" si="225"/>
        <v>3</v>
      </c>
      <c r="AF229" s="41">
        <f>'8.ANCTEPADU'!D262+'8.ANCTEPADU'!E262</f>
        <v>0</v>
      </c>
      <c r="AG229" s="33">
        <f t="shared" si="239"/>
        <v>3</v>
      </c>
      <c r="AH229" s="37">
        <f t="shared" si="226"/>
        <v>3.2085561497326198</v>
      </c>
      <c r="AI229" s="33">
        <f t="shared" si="227"/>
        <v>2</v>
      </c>
      <c r="AJ229" s="41">
        <f>'8.ANCTEPADU'!J262</f>
        <v>0</v>
      </c>
      <c r="AK229" s="33">
        <f t="shared" si="240"/>
        <v>2</v>
      </c>
      <c r="AL229" s="37">
        <f t="shared" si="228"/>
        <v>2.1390374331550799</v>
      </c>
      <c r="AM229" s="36">
        <f t="shared" si="229"/>
        <v>26</v>
      </c>
      <c r="AN229" s="36">
        <f>'1.DATA KIA'!AG219</f>
        <v>0</v>
      </c>
      <c r="AO229" s="33">
        <f t="shared" si="241"/>
        <v>26</v>
      </c>
      <c r="AP229" s="37" t="e">
        <f t="shared" si="242"/>
        <v>#DIV/0!</v>
      </c>
      <c r="AQ229" s="40"/>
      <c r="AR229" s="42">
        <f t="shared" si="230"/>
        <v>27</v>
      </c>
      <c r="AS229" s="36">
        <f>'1.DATA KIA'!AB219</f>
        <v>0</v>
      </c>
      <c r="AT229" s="33">
        <f t="shared" si="243"/>
        <v>27</v>
      </c>
      <c r="AU229" s="37">
        <f t="shared" si="244"/>
        <v>30.252100840336134</v>
      </c>
      <c r="AV229" s="40"/>
      <c r="AW229" s="36">
        <f t="shared" si="231"/>
        <v>4</v>
      </c>
      <c r="AX229" s="33">
        <f>'1.DATA KIA'!AF219</f>
        <v>0</v>
      </c>
      <c r="AY229" s="36">
        <f t="shared" si="245"/>
        <v>4</v>
      </c>
      <c r="AZ229" s="37">
        <f t="shared" si="246"/>
        <v>21.390374331550799</v>
      </c>
      <c r="BA229" s="38"/>
    </row>
    <row r="230" spans="1:53" ht="30" customHeight="1" x14ac:dyDescent="0.35">
      <c r="A230" s="33">
        <v>8</v>
      </c>
      <c r="B230" s="34" t="str">
        <f>PETUNJUK!B16</f>
        <v>Kaliombo</v>
      </c>
      <c r="C230" s="35">
        <f>'1.DATA KIA'!C220</f>
        <v>46.2</v>
      </c>
      <c r="D230" s="35">
        <f>'1.DATA KIA'!D220</f>
        <v>44.1</v>
      </c>
      <c r="E230" s="35">
        <f t="shared" si="216"/>
        <v>0</v>
      </c>
      <c r="F230" s="36">
        <f t="shared" si="217"/>
        <v>13</v>
      </c>
      <c r="G230" s="36">
        <f>'1.DATA KIA'!F220</f>
        <v>0</v>
      </c>
      <c r="H230" s="36">
        <f t="shared" si="232"/>
        <v>13</v>
      </c>
      <c r="I230" s="37">
        <f t="shared" si="218"/>
        <v>28.138528138528134</v>
      </c>
      <c r="J230" s="40"/>
      <c r="K230" s="36">
        <f t="shared" si="219"/>
        <v>13</v>
      </c>
      <c r="L230" s="33">
        <f>'1.DATA KIA'!J220</f>
        <v>0</v>
      </c>
      <c r="M230" s="36">
        <f t="shared" si="233"/>
        <v>13</v>
      </c>
      <c r="N230" s="37">
        <f t="shared" si="234"/>
        <v>29.478458049886619</v>
      </c>
      <c r="O230" s="40"/>
      <c r="P230" s="36">
        <f t="shared" si="220"/>
        <v>13</v>
      </c>
      <c r="Q230" s="33">
        <f>'1.DATA KIA'!M220</f>
        <v>0</v>
      </c>
      <c r="R230" s="36">
        <f t="shared" si="235"/>
        <v>13</v>
      </c>
      <c r="S230" s="37">
        <f t="shared" si="236"/>
        <v>29.478458049886619</v>
      </c>
      <c r="T230" s="40"/>
      <c r="U230" s="33">
        <f t="shared" si="221"/>
        <v>7</v>
      </c>
      <c r="V230" s="36">
        <f>'1.DATA KIA'!Y220</f>
        <v>0</v>
      </c>
      <c r="W230" s="33">
        <f t="shared" si="237"/>
        <v>7</v>
      </c>
      <c r="X230" s="37">
        <f t="shared" si="222"/>
        <v>75.757575757575751</v>
      </c>
      <c r="Y230" s="40"/>
      <c r="Z230" s="33">
        <f t="shared" si="223"/>
        <v>2</v>
      </c>
      <c r="AA230" s="36">
        <f>'1.DATA KIA'!Z220</f>
        <v>0</v>
      </c>
      <c r="AB230" s="33">
        <f t="shared" si="238"/>
        <v>2</v>
      </c>
      <c r="AC230" s="37">
        <f t="shared" si="224"/>
        <v>21.645021645021643</v>
      </c>
      <c r="AD230" s="40"/>
      <c r="AE230" s="33">
        <f t="shared" si="225"/>
        <v>0</v>
      </c>
      <c r="AF230" s="41">
        <f>'8.ANCTEPADU'!D263+'8.ANCTEPADU'!E263</f>
        <v>0</v>
      </c>
      <c r="AG230" s="33">
        <f t="shared" si="239"/>
        <v>0</v>
      </c>
      <c r="AH230" s="37">
        <f t="shared" si="226"/>
        <v>0</v>
      </c>
      <c r="AI230" s="33">
        <f t="shared" si="227"/>
        <v>1</v>
      </c>
      <c r="AJ230" s="41">
        <f>'8.ANCTEPADU'!J263</f>
        <v>0</v>
      </c>
      <c r="AK230" s="33">
        <f t="shared" si="240"/>
        <v>1</v>
      </c>
      <c r="AL230" s="37">
        <f t="shared" si="228"/>
        <v>2.1645021645021645</v>
      </c>
      <c r="AM230" s="36">
        <f t="shared" si="229"/>
        <v>13</v>
      </c>
      <c r="AN230" s="36">
        <f>'1.DATA KIA'!AG220</f>
        <v>0</v>
      </c>
      <c r="AO230" s="33">
        <f t="shared" si="241"/>
        <v>13</v>
      </c>
      <c r="AP230" s="37" t="e">
        <f t="shared" si="242"/>
        <v>#DIV/0!</v>
      </c>
      <c r="AQ230" s="40"/>
      <c r="AR230" s="42">
        <f t="shared" si="230"/>
        <v>13</v>
      </c>
      <c r="AS230" s="36">
        <f>'1.DATA KIA'!AB220</f>
        <v>0</v>
      </c>
      <c r="AT230" s="33">
        <f t="shared" si="243"/>
        <v>13</v>
      </c>
      <c r="AU230" s="37">
        <f t="shared" si="244"/>
        <v>29.478458049886619</v>
      </c>
      <c r="AV230" s="40"/>
      <c r="AW230" s="36">
        <f t="shared" si="231"/>
        <v>5</v>
      </c>
      <c r="AX230" s="33">
        <f>'1.DATA KIA'!AF220</f>
        <v>0</v>
      </c>
      <c r="AY230" s="36">
        <f t="shared" si="245"/>
        <v>5</v>
      </c>
      <c r="AZ230" s="37">
        <f t="shared" si="246"/>
        <v>54.112554112554115</v>
      </c>
      <c r="BA230" s="38"/>
    </row>
    <row r="231" spans="1:53" ht="30" customHeight="1" x14ac:dyDescent="0.35">
      <c r="A231" s="33">
        <v>9</v>
      </c>
      <c r="B231" s="34" t="str">
        <f>PETUNJUK!B17</f>
        <v>Gemulung</v>
      </c>
      <c r="C231" s="35">
        <f>'1.DATA KIA'!C221</f>
        <v>53.900000000000006</v>
      </c>
      <c r="D231" s="35">
        <f>'1.DATA KIA'!D221</f>
        <v>51.45</v>
      </c>
      <c r="E231" s="35">
        <f t="shared" si="216"/>
        <v>0</v>
      </c>
      <c r="F231" s="36">
        <f t="shared" si="217"/>
        <v>19</v>
      </c>
      <c r="G231" s="36">
        <f>'1.DATA KIA'!F221</f>
        <v>0</v>
      </c>
      <c r="H231" s="36">
        <f t="shared" si="232"/>
        <v>19</v>
      </c>
      <c r="I231" s="37">
        <f t="shared" si="218"/>
        <v>35.250463821892389</v>
      </c>
      <c r="J231" s="40"/>
      <c r="K231" s="36">
        <f t="shared" si="219"/>
        <v>19</v>
      </c>
      <c r="L231" s="33">
        <f>'1.DATA KIA'!J221</f>
        <v>0</v>
      </c>
      <c r="M231" s="36">
        <f t="shared" si="233"/>
        <v>19</v>
      </c>
      <c r="N231" s="37">
        <f t="shared" si="234"/>
        <v>36.929057337220598</v>
      </c>
      <c r="O231" s="40"/>
      <c r="P231" s="36">
        <f t="shared" si="220"/>
        <v>19</v>
      </c>
      <c r="Q231" s="33">
        <f>'1.DATA KIA'!M221</f>
        <v>0</v>
      </c>
      <c r="R231" s="36">
        <f t="shared" si="235"/>
        <v>19</v>
      </c>
      <c r="S231" s="37">
        <f t="shared" si="236"/>
        <v>36.929057337220598</v>
      </c>
      <c r="T231" s="40"/>
      <c r="U231" s="33">
        <f t="shared" si="221"/>
        <v>3</v>
      </c>
      <c r="V231" s="36">
        <f>'1.DATA KIA'!Y221</f>
        <v>0</v>
      </c>
      <c r="W231" s="33">
        <f t="shared" si="237"/>
        <v>3</v>
      </c>
      <c r="X231" s="37">
        <f t="shared" si="222"/>
        <v>27.829313543599255</v>
      </c>
      <c r="Y231" s="40"/>
      <c r="Z231" s="33">
        <f t="shared" si="223"/>
        <v>1</v>
      </c>
      <c r="AA231" s="36">
        <f>'1.DATA KIA'!Z221</f>
        <v>0</v>
      </c>
      <c r="AB231" s="33">
        <f t="shared" si="238"/>
        <v>1</v>
      </c>
      <c r="AC231" s="37">
        <f t="shared" si="224"/>
        <v>9.2764378478664185</v>
      </c>
      <c r="AD231" s="40"/>
      <c r="AE231" s="33">
        <f t="shared" si="225"/>
        <v>4</v>
      </c>
      <c r="AF231" s="41">
        <f>'8.ANCTEPADU'!D264+'8.ANCTEPADU'!E264</f>
        <v>0</v>
      </c>
      <c r="AG231" s="33">
        <f t="shared" si="239"/>
        <v>4</v>
      </c>
      <c r="AH231" s="37">
        <f t="shared" si="226"/>
        <v>7.4211502782931342</v>
      </c>
      <c r="AI231" s="33">
        <f t="shared" si="227"/>
        <v>1</v>
      </c>
      <c r="AJ231" s="41">
        <f>'8.ANCTEPADU'!J264</f>
        <v>0</v>
      </c>
      <c r="AK231" s="33">
        <f t="shared" si="240"/>
        <v>1</v>
      </c>
      <c r="AL231" s="37">
        <f t="shared" si="228"/>
        <v>1.8552875695732836</v>
      </c>
      <c r="AM231" s="36">
        <f t="shared" si="229"/>
        <v>20</v>
      </c>
      <c r="AN231" s="36">
        <f>'1.DATA KIA'!AG221</f>
        <v>0</v>
      </c>
      <c r="AO231" s="33">
        <f t="shared" si="241"/>
        <v>20</v>
      </c>
      <c r="AP231" s="37" t="e">
        <f t="shared" si="242"/>
        <v>#DIV/0!</v>
      </c>
      <c r="AQ231" s="40"/>
      <c r="AR231" s="42">
        <f t="shared" si="230"/>
        <v>20</v>
      </c>
      <c r="AS231" s="36">
        <f>'1.DATA KIA'!AB221</f>
        <v>0</v>
      </c>
      <c r="AT231" s="33">
        <f t="shared" si="243"/>
        <v>20</v>
      </c>
      <c r="AU231" s="37">
        <f t="shared" si="244"/>
        <v>38.872691933916421</v>
      </c>
      <c r="AV231" s="40"/>
      <c r="AW231" s="36">
        <f t="shared" si="231"/>
        <v>8</v>
      </c>
      <c r="AX231" s="33">
        <f>'1.DATA KIA'!AF221</f>
        <v>0</v>
      </c>
      <c r="AY231" s="36">
        <f t="shared" si="245"/>
        <v>8</v>
      </c>
      <c r="AZ231" s="37">
        <f t="shared" si="246"/>
        <v>74.211502782931348</v>
      </c>
      <c r="BA231" s="38"/>
    </row>
    <row r="232" spans="1:53" ht="30" customHeight="1" x14ac:dyDescent="0.35">
      <c r="A232" s="33">
        <v>10</v>
      </c>
      <c r="B232" s="34" t="str">
        <f>PETUNJUK!B18</f>
        <v>Pecangaan Wetan</v>
      </c>
      <c r="C232" s="35">
        <f>'1.DATA KIA'!C222</f>
        <v>50.6</v>
      </c>
      <c r="D232" s="35">
        <f>'1.DATA KIA'!D222</f>
        <v>48.300000000000004</v>
      </c>
      <c r="E232" s="35">
        <f t="shared" si="216"/>
        <v>0</v>
      </c>
      <c r="F232" s="36">
        <f t="shared" si="217"/>
        <v>15</v>
      </c>
      <c r="G232" s="36">
        <f>'1.DATA KIA'!F222</f>
        <v>0</v>
      </c>
      <c r="H232" s="36">
        <f t="shared" si="232"/>
        <v>15</v>
      </c>
      <c r="I232" s="37">
        <f t="shared" si="218"/>
        <v>29.644268774703558</v>
      </c>
      <c r="J232" s="40"/>
      <c r="K232" s="36">
        <f t="shared" si="219"/>
        <v>12</v>
      </c>
      <c r="L232" s="33">
        <f>'1.DATA KIA'!J222</f>
        <v>0</v>
      </c>
      <c r="M232" s="36">
        <f t="shared" si="233"/>
        <v>12</v>
      </c>
      <c r="N232" s="37">
        <f t="shared" si="234"/>
        <v>24.844720496894407</v>
      </c>
      <c r="O232" s="40"/>
      <c r="P232" s="36">
        <f t="shared" si="220"/>
        <v>10</v>
      </c>
      <c r="Q232" s="33">
        <f>'1.DATA KIA'!M222</f>
        <v>0</v>
      </c>
      <c r="R232" s="36">
        <f t="shared" si="235"/>
        <v>10</v>
      </c>
      <c r="S232" s="37">
        <f t="shared" si="236"/>
        <v>20.703933747412005</v>
      </c>
      <c r="T232" s="40"/>
      <c r="U232" s="33">
        <f t="shared" si="221"/>
        <v>4</v>
      </c>
      <c r="V232" s="36">
        <f>'1.DATA KIA'!Y222</f>
        <v>0</v>
      </c>
      <c r="W232" s="33">
        <f t="shared" si="237"/>
        <v>4</v>
      </c>
      <c r="X232" s="37">
        <f t="shared" si="222"/>
        <v>39.525691699604735</v>
      </c>
      <c r="Y232" s="40"/>
      <c r="Z232" s="33">
        <f t="shared" si="223"/>
        <v>0</v>
      </c>
      <c r="AA232" s="36">
        <f>'1.DATA KIA'!Z222</f>
        <v>0</v>
      </c>
      <c r="AB232" s="33">
        <f t="shared" si="238"/>
        <v>0</v>
      </c>
      <c r="AC232" s="37">
        <f t="shared" si="224"/>
        <v>0</v>
      </c>
      <c r="AD232" s="40"/>
      <c r="AE232" s="33">
        <f t="shared" si="225"/>
        <v>0</v>
      </c>
      <c r="AF232" s="41">
        <f>'8.ANCTEPADU'!D265+'8.ANCTEPADU'!E265</f>
        <v>0</v>
      </c>
      <c r="AG232" s="33">
        <f t="shared" si="239"/>
        <v>0</v>
      </c>
      <c r="AH232" s="37">
        <f t="shared" si="226"/>
        <v>0</v>
      </c>
      <c r="AI232" s="33">
        <f t="shared" si="227"/>
        <v>5</v>
      </c>
      <c r="AJ232" s="41">
        <f>'8.ANCTEPADU'!J265</f>
        <v>0</v>
      </c>
      <c r="AK232" s="33">
        <f t="shared" si="240"/>
        <v>5</v>
      </c>
      <c r="AL232" s="37">
        <f t="shared" si="228"/>
        <v>9.8814229249011856</v>
      </c>
      <c r="AM232" s="36">
        <f t="shared" si="229"/>
        <v>13</v>
      </c>
      <c r="AN232" s="36">
        <f>'1.DATA KIA'!AG222</f>
        <v>0</v>
      </c>
      <c r="AO232" s="33">
        <f t="shared" si="241"/>
        <v>13</v>
      </c>
      <c r="AP232" s="37" t="e">
        <f t="shared" si="242"/>
        <v>#DIV/0!</v>
      </c>
      <c r="AQ232" s="40"/>
      <c r="AR232" s="42">
        <f t="shared" si="230"/>
        <v>13</v>
      </c>
      <c r="AS232" s="36">
        <f>'1.DATA KIA'!AB222</f>
        <v>0</v>
      </c>
      <c r="AT232" s="33">
        <f t="shared" si="243"/>
        <v>13</v>
      </c>
      <c r="AU232" s="37">
        <f t="shared" si="244"/>
        <v>26.915113871635612</v>
      </c>
      <c r="AV232" s="40"/>
      <c r="AW232" s="36">
        <f t="shared" si="231"/>
        <v>1</v>
      </c>
      <c r="AX232" s="33">
        <f>'1.DATA KIA'!AF222</f>
        <v>0</v>
      </c>
      <c r="AY232" s="36">
        <f t="shared" si="245"/>
        <v>1</v>
      </c>
      <c r="AZ232" s="37">
        <f t="shared" si="246"/>
        <v>9.8814229249011838</v>
      </c>
      <c r="BA232" s="38"/>
    </row>
    <row r="233" spans="1:53" ht="30" customHeight="1" x14ac:dyDescent="0.35">
      <c r="A233" s="33">
        <v>11</v>
      </c>
      <c r="B233" s="34" t="str">
        <f>PETUNJUK!B19</f>
        <v>Krasak</v>
      </c>
      <c r="C233" s="35">
        <f>'1.DATA KIA'!C223</f>
        <v>117.7</v>
      </c>
      <c r="D233" s="35">
        <f>'1.DATA KIA'!D223</f>
        <v>112.35000000000001</v>
      </c>
      <c r="E233" s="35">
        <f t="shared" si="216"/>
        <v>0</v>
      </c>
      <c r="F233" s="36">
        <f t="shared" si="217"/>
        <v>45</v>
      </c>
      <c r="G233" s="36">
        <f>'1.DATA KIA'!F223</f>
        <v>0</v>
      </c>
      <c r="H233" s="36">
        <f t="shared" si="232"/>
        <v>45</v>
      </c>
      <c r="I233" s="37">
        <f t="shared" si="218"/>
        <v>38.232795242141037</v>
      </c>
      <c r="J233" s="40"/>
      <c r="K233" s="36">
        <f t="shared" si="219"/>
        <v>22</v>
      </c>
      <c r="L233" s="33">
        <f>'1.DATA KIA'!J223</f>
        <v>0</v>
      </c>
      <c r="M233" s="36">
        <f t="shared" si="233"/>
        <v>22</v>
      </c>
      <c r="N233" s="37">
        <f t="shared" si="234"/>
        <v>19.581664441477525</v>
      </c>
      <c r="O233" s="40"/>
      <c r="P233" s="36">
        <f t="shared" si="220"/>
        <v>29</v>
      </c>
      <c r="Q233" s="33">
        <f>'1.DATA KIA'!M223</f>
        <v>0</v>
      </c>
      <c r="R233" s="36">
        <f t="shared" si="235"/>
        <v>29</v>
      </c>
      <c r="S233" s="37">
        <f t="shared" si="236"/>
        <v>25.812194036493104</v>
      </c>
      <c r="T233" s="40"/>
      <c r="U233" s="33">
        <f t="shared" si="221"/>
        <v>5</v>
      </c>
      <c r="V233" s="36">
        <f>'1.DATA KIA'!Y223</f>
        <v>0</v>
      </c>
      <c r="W233" s="33">
        <f t="shared" si="237"/>
        <v>5</v>
      </c>
      <c r="X233" s="37">
        <f t="shared" si="222"/>
        <v>21.240441801189462</v>
      </c>
      <c r="Y233" s="40"/>
      <c r="Z233" s="33">
        <f t="shared" si="223"/>
        <v>6</v>
      </c>
      <c r="AA233" s="36">
        <f>'1.DATA KIA'!Z223</f>
        <v>0</v>
      </c>
      <c r="AB233" s="33">
        <f t="shared" si="238"/>
        <v>6</v>
      </c>
      <c r="AC233" s="37">
        <f t="shared" si="224"/>
        <v>25.488530161427352</v>
      </c>
      <c r="AD233" s="40"/>
      <c r="AE233" s="33">
        <f t="shared" si="225"/>
        <v>3</v>
      </c>
      <c r="AF233" s="41">
        <f>'8.ANCTEPADU'!D266+'8.ANCTEPADU'!E266</f>
        <v>0</v>
      </c>
      <c r="AG233" s="33">
        <f t="shared" si="239"/>
        <v>3</v>
      </c>
      <c r="AH233" s="37">
        <f t="shared" si="226"/>
        <v>2.5488530161427359</v>
      </c>
      <c r="AI233" s="33">
        <f t="shared" si="227"/>
        <v>4</v>
      </c>
      <c r="AJ233" s="41">
        <f>'8.ANCTEPADU'!J266</f>
        <v>0</v>
      </c>
      <c r="AK233" s="33">
        <f t="shared" si="240"/>
        <v>4</v>
      </c>
      <c r="AL233" s="37">
        <f t="shared" si="228"/>
        <v>3.3984706881903146</v>
      </c>
      <c r="AM233" s="36">
        <f t="shared" si="229"/>
        <v>29</v>
      </c>
      <c r="AN233" s="36">
        <f>'1.DATA KIA'!AG223</f>
        <v>0</v>
      </c>
      <c r="AO233" s="33">
        <f t="shared" si="241"/>
        <v>29</v>
      </c>
      <c r="AP233" s="37" t="e">
        <f t="shared" si="242"/>
        <v>#DIV/0!</v>
      </c>
      <c r="AQ233" s="40"/>
      <c r="AR233" s="42">
        <f t="shared" si="230"/>
        <v>29</v>
      </c>
      <c r="AS233" s="36">
        <f>'1.DATA KIA'!AB223</f>
        <v>0</v>
      </c>
      <c r="AT233" s="33">
        <f t="shared" si="243"/>
        <v>29</v>
      </c>
      <c r="AU233" s="37">
        <f t="shared" si="244"/>
        <v>25.812194036493104</v>
      </c>
      <c r="AV233" s="40"/>
      <c r="AW233" s="36">
        <f t="shared" si="231"/>
        <v>7</v>
      </c>
      <c r="AX233" s="33">
        <f>'1.DATA KIA'!AF223</f>
        <v>0</v>
      </c>
      <c r="AY233" s="36">
        <f t="shared" si="245"/>
        <v>7</v>
      </c>
      <c r="AZ233" s="37">
        <f t="shared" si="246"/>
        <v>29.73661852166525</v>
      </c>
      <c r="BA233" s="38"/>
    </row>
    <row r="234" spans="1:53" ht="30" customHeight="1" x14ac:dyDescent="0.35">
      <c r="A234" s="33">
        <v>12</v>
      </c>
      <c r="B234" s="34" t="str">
        <f>PETUNJUK!B20</f>
        <v>Gerdu</v>
      </c>
      <c r="C234" s="35">
        <f>'1.DATA KIA'!C224</f>
        <v>23.1</v>
      </c>
      <c r="D234" s="35">
        <f>'1.DATA KIA'!D224</f>
        <v>22.05</v>
      </c>
      <c r="E234" s="35">
        <f t="shared" si="216"/>
        <v>0</v>
      </c>
      <c r="F234" s="36">
        <f t="shared" si="217"/>
        <v>8</v>
      </c>
      <c r="G234" s="36">
        <f>'1.DATA KIA'!F224</f>
        <v>0</v>
      </c>
      <c r="H234" s="36">
        <f t="shared" si="232"/>
        <v>8</v>
      </c>
      <c r="I234" s="37">
        <f t="shared" si="218"/>
        <v>34.632034632034632</v>
      </c>
      <c r="J234" s="40"/>
      <c r="K234" s="36">
        <f t="shared" si="219"/>
        <v>8</v>
      </c>
      <c r="L234" s="33">
        <f>'1.DATA KIA'!J224</f>
        <v>0</v>
      </c>
      <c r="M234" s="36">
        <f t="shared" si="233"/>
        <v>8</v>
      </c>
      <c r="N234" s="37">
        <f t="shared" si="234"/>
        <v>36.281179138321995</v>
      </c>
      <c r="O234" s="40"/>
      <c r="P234" s="36">
        <f t="shared" si="220"/>
        <v>8</v>
      </c>
      <c r="Q234" s="33">
        <f>'1.DATA KIA'!M224</f>
        <v>0</v>
      </c>
      <c r="R234" s="36">
        <f t="shared" si="235"/>
        <v>8</v>
      </c>
      <c r="S234" s="37">
        <f t="shared" si="236"/>
        <v>36.281179138321995</v>
      </c>
      <c r="T234" s="40"/>
      <c r="U234" s="33">
        <f t="shared" si="221"/>
        <v>2</v>
      </c>
      <c r="V234" s="36">
        <f>'1.DATA KIA'!Y224</f>
        <v>0</v>
      </c>
      <c r="W234" s="33">
        <f t="shared" si="237"/>
        <v>2</v>
      </c>
      <c r="X234" s="37">
        <f t="shared" si="222"/>
        <v>43.290043290043286</v>
      </c>
      <c r="Y234" s="40"/>
      <c r="Z234" s="33">
        <f t="shared" si="223"/>
        <v>1</v>
      </c>
      <c r="AA234" s="36">
        <f>'1.DATA KIA'!Z224</f>
        <v>0</v>
      </c>
      <c r="AB234" s="33">
        <f t="shared" si="238"/>
        <v>1</v>
      </c>
      <c r="AC234" s="37">
        <f t="shared" si="224"/>
        <v>21.645021645021643</v>
      </c>
      <c r="AD234" s="40"/>
      <c r="AE234" s="33">
        <f t="shared" si="225"/>
        <v>0</v>
      </c>
      <c r="AF234" s="41">
        <f>'8.ANCTEPADU'!D267+'8.ANCTEPADU'!E267</f>
        <v>0</v>
      </c>
      <c r="AG234" s="33">
        <f t="shared" si="239"/>
        <v>0</v>
      </c>
      <c r="AH234" s="37">
        <f t="shared" si="226"/>
        <v>0</v>
      </c>
      <c r="AI234" s="33">
        <f t="shared" si="227"/>
        <v>1</v>
      </c>
      <c r="AJ234" s="41">
        <f>'8.ANCTEPADU'!J267</f>
        <v>0</v>
      </c>
      <c r="AK234" s="33">
        <f t="shared" si="240"/>
        <v>1</v>
      </c>
      <c r="AL234" s="37">
        <f t="shared" si="228"/>
        <v>4.329004329004329</v>
      </c>
      <c r="AM234" s="36">
        <f t="shared" si="229"/>
        <v>5</v>
      </c>
      <c r="AN234" s="36">
        <f>'1.DATA KIA'!AG224</f>
        <v>0</v>
      </c>
      <c r="AO234" s="33">
        <f>AN234+AM234</f>
        <v>5</v>
      </c>
      <c r="AP234" s="37" t="e">
        <f t="shared" si="242"/>
        <v>#DIV/0!</v>
      </c>
      <c r="AQ234" s="40"/>
      <c r="AR234" s="42">
        <f t="shared" si="230"/>
        <v>5</v>
      </c>
      <c r="AS234" s="36">
        <f>'1.DATA KIA'!AB224</f>
        <v>0</v>
      </c>
      <c r="AT234" s="33">
        <f>AS234+AR234</f>
        <v>5</v>
      </c>
      <c r="AU234" s="37">
        <f t="shared" si="244"/>
        <v>22.675736961451246</v>
      </c>
      <c r="AV234" s="40"/>
      <c r="AW234" s="36">
        <f t="shared" si="231"/>
        <v>2</v>
      </c>
      <c r="AX234" s="33">
        <f>'1.DATA KIA'!AF224</f>
        <v>0</v>
      </c>
      <c r="AY234" s="36">
        <f t="shared" si="245"/>
        <v>2</v>
      </c>
      <c r="AZ234" s="37">
        <f t="shared" si="246"/>
        <v>43.290043290043286</v>
      </c>
      <c r="BA234" s="38"/>
    </row>
    <row r="235" spans="1:53" ht="30" customHeight="1" x14ac:dyDescent="0.35">
      <c r="A235" s="33">
        <v>13</v>
      </c>
      <c r="B235" s="34">
        <f>PETUNJUK!B21</f>
        <v>0</v>
      </c>
      <c r="C235" s="35">
        <f>'1.DATA KIA'!C225</f>
        <v>0</v>
      </c>
      <c r="D235" s="35">
        <f>'1.DATA KIA'!D225</f>
        <v>0</v>
      </c>
      <c r="E235" s="35">
        <f t="shared" si="216"/>
        <v>0</v>
      </c>
      <c r="F235" s="36">
        <f t="shared" si="217"/>
        <v>0</v>
      </c>
      <c r="G235" s="36">
        <f>'1.DATA KIA'!F225</f>
        <v>0</v>
      </c>
      <c r="H235" s="36">
        <f t="shared" si="232"/>
        <v>0</v>
      </c>
      <c r="I235" s="37" t="e">
        <f t="shared" si="218"/>
        <v>#DIV/0!</v>
      </c>
      <c r="J235" s="40"/>
      <c r="K235" s="36">
        <f t="shared" si="219"/>
        <v>0</v>
      </c>
      <c r="L235" s="33">
        <f>'1.DATA KIA'!J225</f>
        <v>0</v>
      </c>
      <c r="M235" s="36">
        <f t="shared" si="233"/>
        <v>0</v>
      </c>
      <c r="N235" s="37" t="e">
        <f t="shared" si="234"/>
        <v>#DIV/0!</v>
      </c>
      <c r="O235" s="40"/>
      <c r="P235" s="36">
        <f t="shared" si="220"/>
        <v>0</v>
      </c>
      <c r="Q235" s="33">
        <f>'1.DATA KIA'!M225</f>
        <v>0</v>
      </c>
      <c r="R235" s="36">
        <f t="shared" si="235"/>
        <v>0</v>
      </c>
      <c r="S235" s="37" t="e">
        <f t="shared" si="236"/>
        <v>#DIV/0!</v>
      </c>
      <c r="T235" s="40"/>
      <c r="U235" s="33">
        <f t="shared" si="221"/>
        <v>0</v>
      </c>
      <c r="V235" s="36">
        <f>'1.DATA KIA'!Y225</f>
        <v>0</v>
      </c>
      <c r="W235" s="33">
        <f t="shared" si="237"/>
        <v>0</v>
      </c>
      <c r="X235" s="37" t="e">
        <f t="shared" si="222"/>
        <v>#DIV/0!</v>
      </c>
      <c r="Y235" s="40"/>
      <c r="Z235" s="33">
        <f t="shared" si="223"/>
        <v>0</v>
      </c>
      <c r="AA235" s="36">
        <f>'1.DATA KIA'!Z225</f>
        <v>0</v>
      </c>
      <c r="AB235" s="33">
        <f t="shared" si="238"/>
        <v>0</v>
      </c>
      <c r="AC235" s="37" t="e">
        <f t="shared" si="224"/>
        <v>#DIV/0!</v>
      </c>
      <c r="AD235" s="40"/>
      <c r="AE235" s="33">
        <f t="shared" si="225"/>
        <v>0</v>
      </c>
      <c r="AF235" s="41">
        <f>'8.ANCTEPADU'!D268+'8.ANCTEPADU'!E268</f>
        <v>0</v>
      </c>
      <c r="AG235" s="33">
        <f t="shared" si="239"/>
        <v>0</v>
      </c>
      <c r="AH235" s="37" t="e">
        <f t="shared" si="226"/>
        <v>#DIV/0!</v>
      </c>
      <c r="AI235" s="33">
        <f t="shared" si="227"/>
        <v>0</v>
      </c>
      <c r="AJ235" s="41">
        <f>'8.ANCTEPADU'!J268</f>
        <v>0</v>
      </c>
      <c r="AK235" s="33">
        <f t="shared" si="240"/>
        <v>0</v>
      </c>
      <c r="AL235" s="37" t="e">
        <f t="shared" si="228"/>
        <v>#DIV/0!</v>
      </c>
      <c r="AM235" s="36">
        <f t="shared" si="229"/>
        <v>0</v>
      </c>
      <c r="AN235" s="36">
        <f>'1.DATA KIA'!AG225</f>
        <v>0</v>
      </c>
      <c r="AO235" s="33">
        <f t="shared" ref="AO235:AO240" si="247">AN235+AM235</f>
        <v>0</v>
      </c>
      <c r="AP235" s="37" t="e">
        <f t="shared" si="242"/>
        <v>#DIV/0!</v>
      </c>
      <c r="AQ235" s="40"/>
      <c r="AR235" s="42">
        <f t="shared" si="230"/>
        <v>0</v>
      </c>
      <c r="AS235" s="36">
        <f>'1.DATA KIA'!AB225</f>
        <v>0</v>
      </c>
      <c r="AT235" s="33">
        <f t="shared" ref="AT235:AT240" si="248">AS235+AR235</f>
        <v>0</v>
      </c>
      <c r="AU235" s="37" t="e">
        <f t="shared" si="244"/>
        <v>#DIV/0!</v>
      </c>
      <c r="AV235" s="40"/>
      <c r="AW235" s="36">
        <f t="shared" si="231"/>
        <v>0</v>
      </c>
      <c r="AX235" s="33">
        <f>'1.DATA KIA'!AF225</f>
        <v>0</v>
      </c>
      <c r="AY235" s="36">
        <f t="shared" si="245"/>
        <v>0</v>
      </c>
      <c r="AZ235" s="37" t="e">
        <f t="shared" si="246"/>
        <v>#DIV/0!</v>
      </c>
      <c r="BA235" s="38"/>
    </row>
    <row r="236" spans="1:53" ht="30" customHeight="1" x14ac:dyDescent="0.35">
      <c r="A236" s="33">
        <v>14</v>
      </c>
      <c r="B236" s="34">
        <f>PETUNJUK!B22</f>
        <v>0</v>
      </c>
      <c r="C236" s="35">
        <f>'1.DATA KIA'!C226</f>
        <v>0</v>
      </c>
      <c r="D236" s="35">
        <f>'1.DATA KIA'!D226</f>
        <v>0</v>
      </c>
      <c r="E236" s="35">
        <f t="shared" si="216"/>
        <v>0</v>
      </c>
      <c r="F236" s="36">
        <f t="shared" si="217"/>
        <v>0</v>
      </c>
      <c r="G236" s="36">
        <f>'1.DATA KIA'!F226</f>
        <v>0</v>
      </c>
      <c r="H236" s="36">
        <f t="shared" si="232"/>
        <v>0</v>
      </c>
      <c r="I236" s="37" t="e">
        <f t="shared" si="218"/>
        <v>#DIV/0!</v>
      </c>
      <c r="J236" s="40"/>
      <c r="K236" s="36">
        <f t="shared" si="219"/>
        <v>0</v>
      </c>
      <c r="L236" s="33">
        <f>'1.DATA KIA'!J226</f>
        <v>0</v>
      </c>
      <c r="M236" s="36">
        <f t="shared" si="233"/>
        <v>0</v>
      </c>
      <c r="N236" s="37" t="e">
        <f t="shared" si="234"/>
        <v>#DIV/0!</v>
      </c>
      <c r="O236" s="40"/>
      <c r="P236" s="36">
        <f t="shared" si="220"/>
        <v>0</v>
      </c>
      <c r="Q236" s="33">
        <f>'1.DATA KIA'!M226</f>
        <v>0</v>
      </c>
      <c r="R236" s="36">
        <f t="shared" si="235"/>
        <v>0</v>
      </c>
      <c r="S236" s="37" t="e">
        <f t="shared" si="236"/>
        <v>#DIV/0!</v>
      </c>
      <c r="T236" s="40"/>
      <c r="U236" s="33">
        <f t="shared" si="221"/>
        <v>0</v>
      </c>
      <c r="V236" s="36">
        <f>'1.DATA KIA'!Y226</f>
        <v>0</v>
      </c>
      <c r="W236" s="33">
        <f t="shared" si="237"/>
        <v>0</v>
      </c>
      <c r="X236" s="37" t="e">
        <f t="shared" si="222"/>
        <v>#DIV/0!</v>
      </c>
      <c r="Y236" s="40"/>
      <c r="Z236" s="33">
        <f t="shared" si="223"/>
        <v>0</v>
      </c>
      <c r="AA236" s="36">
        <f>'1.DATA KIA'!Z226</f>
        <v>0</v>
      </c>
      <c r="AB236" s="33">
        <f t="shared" si="238"/>
        <v>0</v>
      </c>
      <c r="AC236" s="37" t="e">
        <f t="shared" si="224"/>
        <v>#DIV/0!</v>
      </c>
      <c r="AD236" s="40"/>
      <c r="AE236" s="33">
        <f t="shared" si="225"/>
        <v>0</v>
      </c>
      <c r="AF236" s="41">
        <f>'8.ANCTEPADU'!D269+'8.ANCTEPADU'!E269</f>
        <v>0</v>
      </c>
      <c r="AG236" s="33">
        <f t="shared" si="239"/>
        <v>0</v>
      </c>
      <c r="AH236" s="37" t="e">
        <f t="shared" si="226"/>
        <v>#DIV/0!</v>
      </c>
      <c r="AI236" s="33">
        <f t="shared" si="227"/>
        <v>0</v>
      </c>
      <c r="AJ236" s="41">
        <f>'8.ANCTEPADU'!J269</f>
        <v>0</v>
      </c>
      <c r="AK236" s="33">
        <f t="shared" si="240"/>
        <v>0</v>
      </c>
      <c r="AL236" s="37" t="e">
        <f t="shared" si="228"/>
        <v>#DIV/0!</v>
      </c>
      <c r="AM236" s="36">
        <f t="shared" si="229"/>
        <v>0</v>
      </c>
      <c r="AN236" s="36">
        <f>'1.DATA KIA'!AG226</f>
        <v>0</v>
      </c>
      <c r="AO236" s="33">
        <f t="shared" si="247"/>
        <v>0</v>
      </c>
      <c r="AP236" s="37" t="e">
        <f t="shared" si="242"/>
        <v>#DIV/0!</v>
      </c>
      <c r="AQ236" s="40"/>
      <c r="AR236" s="42">
        <f t="shared" si="230"/>
        <v>0</v>
      </c>
      <c r="AS236" s="36">
        <f>'1.DATA KIA'!AB226</f>
        <v>0</v>
      </c>
      <c r="AT236" s="33">
        <f t="shared" si="248"/>
        <v>0</v>
      </c>
      <c r="AU236" s="37" t="e">
        <f t="shared" si="244"/>
        <v>#DIV/0!</v>
      </c>
      <c r="AV236" s="40"/>
      <c r="AW236" s="36">
        <f t="shared" si="231"/>
        <v>0</v>
      </c>
      <c r="AX236" s="33">
        <f>'1.DATA KIA'!AF226</f>
        <v>0</v>
      </c>
      <c r="AY236" s="36">
        <f t="shared" si="245"/>
        <v>0</v>
      </c>
      <c r="AZ236" s="37" t="e">
        <f t="shared" si="246"/>
        <v>#DIV/0!</v>
      </c>
      <c r="BA236" s="38"/>
    </row>
    <row r="237" spans="1:53" ht="30" customHeight="1" x14ac:dyDescent="0.35">
      <c r="A237" s="33">
        <v>15</v>
      </c>
      <c r="B237" s="34">
        <f>PETUNJUK!B23</f>
        <v>0</v>
      </c>
      <c r="C237" s="35">
        <f>'1.DATA KIA'!C227</f>
        <v>0</v>
      </c>
      <c r="D237" s="35">
        <f>'1.DATA KIA'!D227</f>
        <v>0</v>
      </c>
      <c r="E237" s="35">
        <f t="shared" si="216"/>
        <v>0</v>
      </c>
      <c r="F237" s="36">
        <f t="shared" si="217"/>
        <v>0</v>
      </c>
      <c r="G237" s="36">
        <f>'1.DATA KIA'!F227</f>
        <v>0</v>
      </c>
      <c r="H237" s="36">
        <f t="shared" si="232"/>
        <v>0</v>
      </c>
      <c r="I237" s="37" t="e">
        <f t="shared" si="218"/>
        <v>#DIV/0!</v>
      </c>
      <c r="J237" s="40"/>
      <c r="K237" s="36">
        <f t="shared" si="219"/>
        <v>0</v>
      </c>
      <c r="L237" s="33">
        <f>'1.DATA KIA'!J227</f>
        <v>0</v>
      </c>
      <c r="M237" s="36">
        <f t="shared" si="233"/>
        <v>0</v>
      </c>
      <c r="N237" s="37" t="e">
        <f t="shared" si="234"/>
        <v>#DIV/0!</v>
      </c>
      <c r="O237" s="40"/>
      <c r="P237" s="36">
        <f t="shared" si="220"/>
        <v>0</v>
      </c>
      <c r="Q237" s="33">
        <f>'1.DATA KIA'!M227</f>
        <v>0</v>
      </c>
      <c r="R237" s="36">
        <f t="shared" si="235"/>
        <v>0</v>
      </c>
      <c r="S237" s="37" t="e">
        <f t="shared" si="236"/>
        <v>#DIV/0!</v>
      </c>
      <c r="T237" s="40"/>
      <c r="U237" s="33">
        <f t="shared" si="221"/>
        <v>0</v>
      </c>
      <c r="V237" s="36">
        <f>'1.DATA KIA'!Y227</f>
        <v>0</v>
      </c>
      <c r="W237" s="33">
        <f t="shared" si="237"/>
        <v>0</v>
      </c>
      <c r="X237" s="37" t="e">
        <f t="shared" si="222"/>
        <v>#DIV/0!</v>
      </c>
      <c r="Y237" s="40"/>
      <c r="Z237" s="33">
        <f t="shared" si="223"/>
        <v>0</v>
      </c>
      <c r="AA237" s="36">
        <f>'1.DATA KIA'!Z227</f>
        <v>0</v>
      </c>
      <c r="AB237" s="33">
        <f t="shared" si="238"/>
        <v>0</v>
      </c>
      <c r="AC237" s="37" t="e">
        <f t="shared" si="224"/>
        <v>#DIV/0!</v>
      </c>
      <c r="AD237" s="40"/>
      <c r="AE237" s="33">
        <f t="shared" si="225"/>
        <v>0</v>
      </c>
      <c r="AF237" s="41">
        <f>'8.ANCTEPADU'!D270+'8.ANCTEPADU'!E270</f>
        <v>0</v>
      </c>
      <c r="AG237" s="33">
        <f t="shared" si="239"/>
        <v>0</v>
      </c>
      <c r="AH237" s="37" t="e">
        <f t="shared" si="226"/>
        <v>#DIV/0!</v>
      </c>
      <c r="AI237" s="33">
        <f t="shared" si="227"/>
        <v>0</v>
      </c>
      <c r="AJ237" s="41">
        <f>'8.ANCTEPADU'!J270</f>
        <v>0</v>
      </c>
      <c r="AK237" s="33">
        <f t="shared" si="240"/>
        <v>0</v>
      </c>
      <c r="AL237" s="37" t="e">
        <f t="shared" si="228"/>
        <v>#DIV/0!</v>
      </c>
      <c r="AM237" s="36">
        <f t="shared" si="229"/>
        <v>0</v>
      </c>
      <c r="AN237" s="36">
        <f>'1.DATA KIA'!AG227</f>
        <v>0</v>
      </c>
      <c r="AO237" s="33">
        <f t="shared" si="247"/>
        <v>0</v>
      </c>
      <c r="AP237" s="37" t="e">
        <f t="shared" si="242"/>
        <v>#DIV/0!</v>
      </c>
      <c r="AQ237" s="40"/>
      <c r="AR237" s="42">
        <f t="shared" si="230"/>
        <v>0</v>
      </c>
      <c r="AS237" s="36">
        <f>'1.DATA KIA'!AB227</f>
        <v>0</v>
      </c>
      <c r="AT237" s="33">
        <f t="shared" si="248"/>
        <v>0</v>
      </c>
      <c r="AU237" s="37" t="e">
        <f t="shared" si="244"/>
        <v>#DIV/0!</v>
      </c>
      <c r="AV237" s="40"/>
      <c r="AW237" s="36">
        <f t="shared" si="231"/>
        <v>0</v>
      </c>
      <c r="AX237" s="33">
        <f>'1.DATA KIA'!AF227</f>
        <v>0</v>
      </c>
      <c r="AY237" s="36">
        <f t="shared" si="245"/>
        <v>0</v>
      </c>
      <c r="AZ237" s="37" t="e">
        <f t="shared" si="246"/>
        <v>#DIV/0!</v>
      </c>
      <c r="BA237" s="38"/>
    </row>
    <row r="238" spans="1:53" ht="30" customHeight="1" x14ac:dyDescent="0.35">
      <c r="A238" s="33">
        <v>16</v>
      </c>
      <c r="B238" s="34">
        <f>PETUNJUK!B24</f>
        <v>0</v>
      </c>
      <c r="C238" s="35">
        <f>'1.DATA KIA'!C228</f>
        <v>0</v>
      </c>
      <c r="D238" s="35">
        <f>'1.DATA KIA'!D228</f>
        <v>0</v>
      </c>
      <c r="E238" s="35">
        <f t="shared" si="216"/>
        <v>0</v>
      </c>
      <c r="F238" s="36">
        <f t="shared" si="217"/>
        <v>0</v>
      </c>
      <c r="G238" s="36">
        <f>'1.DATA KIA'!F228</f>
        <v>0</v>
      </c>
      <c r="H238" s="36">
        <f t="shared" si="232"/>
        <v>0</v>
      </c>
      <c r="I238" s="37" t="e">
        <f t="shared" si="218"/>
        <v>#DIV/0!</v>
      </c>
      <c r="J238" s="40"/>
      <c r="K238" s="36">
        <f t="shared" si="219"/>
        <v>0</v>
      </c>
      <c r="L238" s="33">
        <f>'1.DATA KIA'!J228</f>
        <v>0</v>
      </c>
      <c r="M238" s="36">
        <f t="shared" si="233"/>
        <v>0</v>
      </c>
      <c r="N238" s="37" t="e">
        <f t="shared" si="234"/>
        <v>#DIV/0!</v>
      </c>
      <c r="O238" s="40"/>
      <c r="P238" s="36">
        <f t="shared" si="220"/>
        <v>0</v>
      </c>
      <c r="Q238" s="33">
        <f>'1.DATA KIA'!M228</f>
        <v>0</v>
      </c>
      <c r="R238" s="36">
        <f t="shared" si="235"/>
        <v>0</v>
      </c>
      <c r="S238" s="37" t="e">
        <f t="shared" si="236"/>
        <v>#DIV/0!</v>
      </c>
      <c r="T238" s="40"/>
      <c r="U238" s="33">
        <f t="shared" si="221"/>
        <v>0</v>
      </c>
      <c r="V238" s="36">
        <f>'1.DATA KIA'!Y228</f>
        <v>0</v>
      </c>
      <c r="W238" s="33">
        <f t="shared" si="237"/>
        <v>0</v>
      </c>
      <c r="X238" s="37" t="e">
        <f t="shared" si="222"/>
        <v>#DIV/0!</v>
      </c>
      <c r="Y238" s="40"/>
      <c r="Z238" s="33">
        <f t="shared" si="223"/>
        <v>0</v>
      </c>
      <c r="AA238" s="36">
        <f>'1.DATA KIA'!Z228</f>
        <v>0</v>
      </c>
      <c r="AB238" s="33">
        <f t="shared" si="238"/>
        <v>0</v>
      </c>
      <c r="AC238" s="37" t="e">
        <f t="shared" si="224"/>
        <v>#DIV/0!</v>
      </c>
      <c r="AD238" s="40"/>
      <c r="AE238" s="33">
        <f t="shared" si="225"/>
        <v>0</v>
      </c>
      <c r="AF238" s="41">
        <f>'8.ANCTEPADU'!D271+'8.ANCTEPADU'!E271</f>
        <v>0</v>
      </c>
      <c r="AG238" s="33">
        <f t="shared" si="239"/>
        <v>0</v>
      </c>
      <c r="AH238" s="37" t="e">
        <f t="shared" si="226"/>
        <v>#DIV/0!</v>
      </c>
      <c r="AI238" s="33">
        <f t="shared" si="227"/>
        <v>0</v>
      </c>
      <c r="AJ238" s="41">
        <f>'8.ANCTEPADU'!J271</f>
        <v>0</v>
      </c>
      <c r="AK238" s="33">
        <f t="shared" si="240"/>
        <v>0</v>
      </c>
      <c r="AL238" s="37" t="e">
        <f t="shared" si="228"/>
        <v>#DIV/0!</v>
      </c>
      <c r="AM238" s="36">
        <f t="shared" si="229"/>
        <v>0</v>
      </c>
      <c r="AN238" s="36">
        <f>'1.DATA KIA'!AG228</f>
        <v>0</v>
      </c>
      <c r="AO238" s="33">
        <f t="shared" si="247"/>
        <v>0</v>
      </c>
      <c r="AP238" s="37" t="e">
        <f t="shared" si="242"/>
        <v>#DIV/0!</v>
      </c>
      <c r="AQ238" s="40"/>
      <c r="AR238" s="42">
        <f t="shared" si="230"/>
        <v>0</v>
      </c>
      <c r="AS238" s="36">
        <f>'1.DATA KIA'!AB228</f>
        <v>0</v>
      </c>
      <c r="AT238" s="33">
        <f t="shared" si="248"/>
        <v>0</v>
      </c>
      <c r="AU238" s="37" t="e">
        <f t="shared" si="244"/>
        <v>#DIV/0!</v>
      </c>
      <c r="AV238" s="40"/>
      <c r="AW238" s="36">
        <f t="shared" si="231"/>
        <v>0</v>
      </c>
      <c r="AX238" s="33">
        <f>'1.DATA KIA'!AF228</f>
        <v>0</v>
      </c>
      <c r="AY238" s="36">
        <f t="shared" si="245"/>
        <v>0</v>
      </c>
      <c r="AZ238" s="37" t="e">
        <f t="shared" si="246"/>
        <v>#DIV/0!</v>
      </c>
      <c r="BA238" s="38"/>
    </row>
    <row r="239" spans="1:53" ht="30" customHeight="1" x14ac:dyDescent="0.35">
      <c r="A239" s="33">
        <v>17</v>
      </c>
      <c r="B239" s="34">
        <f>PETUNJUK!B25</f>
        <v>0</v>
      </c>
      <c r="C239" s="35">
        <f>'1.DATA KIA'!C229</f>
        <v>0</v>
      </c>
      <c r="D239" s="35">
        <f>'1.DATA KIA'!D229</f>
        <v>0</v>
      </c>
      <c r="E239" s="35">
        <f t="shared" si="216"/>
        <v>0</v>
      </c>
      <c r="F239" s="36">
        <f t="shared" si="217"/>
        <v>0</v>
      </c>
      <c r="G239" s="36">
        <f>'1.DATA KIA'!F229</f>
        <v>0</v>
      </c>
      <c r="H239" s="36">
        <f t="shared" si="232"/>
        <v>0</v>
      </c>
      <c r="I239" s="37" t="e">
        <f t="shared" si="218"/>
        <v>#DIV/0!</v>
      </c>
      <c r="J239" s="40"/>
      <c r="K239" s="36">
        <f t="shared" si="219"/>
        <v>0</v>
      </c>
      <c r="L239" s="33">
        <f>'1.DATA KIA'!J229</f>
        <v>0</v>
      </c>
      <c r="M239" s="36">
        <f t="shared" si="233"/>
        <v>0</v>
      </c>
      <c r="N239" s="37" t="e">
        <f t="shared" si="234"/>
        <v>#DIV/0!</v>
      </c>
      <c r="O239" s="40"/>
      <c r="P239" s="36">
        <f t="shared" si="220"/>
        <v>0</v>
      </c>
      <c r="Q239" s="33">
        <f>'1.DATA KIA'!M229</f>
        <v>0</v>
      </c>
      <c r="R239" s="36">
        <f t="shared" si="235"/>
        <v>0</v>
      </c>
      <c r="S239" s="37" t="e">
        <f t="shared" si="236"/>
        <v>#DIV/0!</v>
      </c>
      <c r="T239" s="40"/>
      <c r="U239" s="33">
        <f t="shared" si="221"/>
        <v>0</v>
      </c>
      <c r="V239" s="36">
        <f>'1.DATA KIA'!Y229</f>
        <v>0</v>
      </c>
      <c r="W239" s="33">
        <f t="shared" si="237"/>
        <v>0</v>
      </c>
      <c r="X239" s="37" t="e">
        <f t="shared" si="222"/>
        <v>#DIV/0!</v>
      </c>
      <c r="Y239" s="40"/>
      <c r="Z239" s="33">
        <f t="shared" si="223"/>
        <v>0</v>
      </c>
      <c r="AA239" s="36">
        <f>'1.DATA KIA'!Z229</f>
        <v>0</v>
      </c>
      <c r="AB239" s="33">
        <f t="shared" si="238"/>
        <v>0</v>
      </c>
      <c r="AC239" s="37" t="e">
        <f t="shared" si="224"/>
        <v>#DIV/0!</v>
      </c>
      <c r="AD239" s="40"/>
      <c r="AE239" s="33">
        <f t="shared" si="225"/>
        <v>0</v>
      </c>
      <c r="AF239" s="41">
        <f>'8.ANCTEPADU'!D272+'8.ANCTEPADU'!E272</f>
        <v>0</v>
      </c>
      <c r="AG239" s="33">
        <f t="shared" si="239"/>
        <v>0</v>
      </c>
      <c r="AH239" s="37" t="e">
        <f t="shared" si="226"/>
        <v>#DIV/0!</v>
      </c>
      <c r="AI239" s="33">
        <f t="shared" si="227"/>
        <v>0</v>
      </c>
      <c r="AJ239" s="41">
        <f>'8.ANCTEPADU'!J272</f>
        <v>0</v>
      </c>
      <c r="AK239" s="33">
        <f t="shared" si="240"/>
        <v>0</v>
      </c>
      <c r="AL239" s="37" t="e">
        <f t="shared" si="228"/>
        <v>#DIV/0!</v>
      </c>
      <c r="AM239" s="36">
        <f t="shared" si="229"/>
        <v>0</v>
      </c>
      <c r="AN239" s="36">
        <f>'1.DATA KIA'!AG229</f>
        <v>0</v>
      </c>
      <c r="AO239" s="33">
        <f t="shared" si="247"/>
        <v>0</v>
      </c>
      <c r="AP239" s="37" t="e">
        <f t="shared" si="242"/>
        <v>#DIV/0!</v>
      </c>
      <c r="AQ239" s="40"/>
      <c r="AR239" s="42">
        <f t="shared" si="230"/>
        <v>0</v>
      </c>
      <c r="AS239" s="36">
        <f>'1.DATA KIA'!AB229</f>
        <v>0</v>
      </c>
      <c r="AT239" s="33">
        <f t="shared" si="248"/>
        <v>0</v>
      </c>
      <c r="AU239" s="37" t="e">
        <f t="shared" si="244"/>
        <v>#DIV/0!</v>
      </c>
      <c r="AV239" s="40"/>
      <c r="AW239" s="36">
        <f t="shared" si="231"/>
        <v>0</v>
      </c>
      <c r="AX239" s="33">
        <f>'1.DATA KIA'!AF229</f>
        <v>0</v>
      </c>
      <c r="AY239" s="36">
        <f t="shared" si="245"/>
        <v>0</v>
      </c>
      <c r="AZ239" s="37" t="e">
        <f t="shared" si="246"/>
        <v>#DIV/0!</v>
      </c>
      <c r="BA239" s="38"/>
    </row>
    <row r="240" spans="1:53" ht="30" customHeight="1" x14ac:dyDescent="0.35">
      <c r="A240" s="33">
        <v>18</v>
      </c>
      <c r="B240" s="34">
        <f>PETUNJUK!B26</f>
        <v>0</v>
      </c>
      <c r="C240" s="35">
        <f>'1.DATA KIA'!C230</f>
        <v>0</v>
      </c>
      <c r="D240" s="35">
        <f>'1.DATA KIA'!D230</f>
        <v>0</v>
      </c>
      <c r="E240" s="35">
        <f t="shared" si="216"/>
        <v>0</v>
      </c>
      <c r="F240" s="36">
        <f t="shared" si="217"/>
        <v>0</v>
      </c>
      <c r="G240" s="36">
        <f>'1.DATA KIA'!F230</f>
        <v>0</v>
      </c>
      <c r="H240" s="36">
        <f t="shared" si="232"/>
        <v>0</v>
      </c>
      <c r="I240" s="37" t="e">
        <f t="shared" si="218"/>
        <v>#DIV/0!</v>
      </c>
      <c r="J240" s="40"/>
      <c r="K240" s="36">
        <f t="shared" si="219"/>
        <v>0</v>
      </c>
      <c r="L240" s="33">
        <f>'1.DATA KIA'!J230</f>
        <v>0</v>
      </c>
      <c r="M240" s="36">
        <f t="shared" si="233"/>
        <v>0</v>
      </c>
      <c r="N240" s="37" t="e">
        <f t="shared" si="234"/>
        <v>#DIV/0!</v>
      </c>
      <c r="O240" s="40"/>
      <c r="P240" s="36">
        <f t="shared" si="220"/>
        <v>0</v>
      </c>
      <c r="Q240" s="33">
        <f>'1.DATA KIA'!M230</f>
        <v>0</v>
      </c>
      <c r="R240" s="36">
        <f t="shared" si="235"/>
        <v>0</v>
      </c>
      <c r="S240" s="37" t="e">
        <f t="shared" si="236"/>
        <v>#DIV/0!</v>
      </c>
      <c r="T240" s="40"/>
      <c r="U240" s="33">
        <f t="shared" si="221"/>
        <v>0</v>
      </c>
      <c r="V240" s="36">
        <f>'1.DATA KIA'!Y230</f>
        <v>0</v>
      </c>
      <c r="W240" s="33">
        <f t="shared" si="237"/>
        <v>0</v>
      </c>
      <c r="X240" s="37" t="e">
        <f t="shared" si="222"/>
        <v>#DIV/0!</v>
      </c>
      <c r="Y240" s="40"/>
      <c r="Z240" s="33">
        <f t="shared" si="223"/>
        <v>0</v>
      </c>
      <c r="AA240" s="36">
        <f>'1.DATA KIA'!Z230</f>
        <v>0</v>
      </c>
      <c r="AB240" s="33">
        <f t="shared" si="238"/>
        <v>0</v>
      </c>
      <c r="AC240" s="37" t="e">
        <f t="shared" si="224"/>
        <v>#DIV/0!</v>
      </c>
      <c r="AD240" s="40"/>
      <c r="AE240" s="33">
        <f t="shared" si="225"/>
        <v>0</v>
      </c>
      <c r="AF240" s="41">
        <f>'8.ANCTEPADU'!D273+'8.ANCTEPADU'!E273</f>
        <v>0</v>
      </c>
      <c r="AG240" s="33">
        <f t="shared" si="239"/>
        <v>0</v>
      </c>
      <c r="AH240" s="37" t="e">
        <f t="shared" si="226"/>
        <v>#DIV/0!</v>
      </c>
      <c r="AI240" s="33">
        <f t="shared" si="227"/>
        <v>0</v>
      </c>
      <c r="AJ240" s="41">
        <f>'8.ANCTEPADU'!J273</f>
        <v>0</v>
      </c>
      <c r="AK240" s="33">
        <f t="shared" si="240"/>
        <v>0</v>
      </c>
      <c r="AL240" s="37" t="e">
        <f t="shared" si="228"/>
        <v>#DIV/0!</v>
      </c>
      <c r="AM240" s="36">
        <f t="shared" si="229"/>
        <v>0</v>
      </c>
      <c r="AN240" s="36">
        <f>'1.DATA KIA'!AG230</f>
        <v>0</v>
      </c>
      <c r="AO240" s="33">
        <f t="shared" si="247"/>
        <v>0</v>
      </c>
      <c r="AP240" s="37" t="e">
        <f t="shared" si="242"/>
        <v>#DIV/0!</v>
      </c>
      <c r="AQ240" s="40"/>
      <c r="AR240" s="42">
        <f t="shared" si="230"/>
        <v>0</v>
      </c>
      <c r="AS240" s="36">
        <f>'1.DATA KIA'!AB230</f>
        <v>0</v>
      </c>
      <c r="AT240" s="33">
        <f t="shared" si="248"/>
        <v>0</v>
      </c>
      <c r="AU240" s="37" t="e">
        <f t="shared" si="244"/>
        <v>#DIV/0!</v>
      </c>
      <c r="AV240" s="40"/>
      <c r="AW240" s="36">
        <f t="shared" si="231"/>
        <v>0</v>
      </c>
      <c r="AX240" s="33">
        <f>'1.DATA KIA'!AF230</f>
        <v>0</v>
      </c>
      <c r="AY240" s="36">
        <f t="shared" si="245"/>
        <v>0</v>
      </c>
      <c r="AZ240" s="37" t="e">
        <f t="shared" si="246"/>
        <v>#DIV/0!</v>
      </c>
      <c r="BA240" s="38"/>
    </row>
    <row r="241" spans="1:54" ht="30" customHeight="1" x14ac:dyDescent="0.35">
      <c r="A241" s="33">
        <v>19</v>
      </c>
      <c r="B241" s="34">
        <f>PETUNJUK!B27</f>
        <v>0</v>
      </c>
      <c r="C241" s="35">
        <f>'1.DATA KIA'!C231</f>
        <v>0</v>
      </c>
      <c r="D241" s="35">
        <f>'1.DATA KIA'!D231</f>
        <v>0</v>
      </c>
      <c r="E241" s="35">
        <f>E205</f>
        <v>0</v>
      </c>
      <c r="F241" s="36">
        <f>H205</f>
        <v>0</v>
      </c>
      <c r="G241" s="36">
        <f>'1.DATA KIA'!F231</f>
        <v>0</v>
      </c>
      <c r="H241" s="36">
        <f>F241+G241</f>
        <v>0</v>
      </c>
      <c r="I241" s="37" t="e">
        <f>H241/C241*100</f>
        <v>#DIV/0!</v>
      </c>
      <c r="J241" s="40"/>
      <c r="K241" s="36">
        <f>M205</f>
        <v>0</v>
      </c>
      <c r="L241" s="33">
        <f>'1.DATA KIA'!J231</f>
        <v>0</v>
      </c>
      <c r="M241" s="36">
        <f>K241+L241</f>
        <v>0</v>
      </c>
      <c r="N241" s="37" t="e">
        <f t="shared" si="234"/>
        <v>#DIV/0!</v>
      </c>
      <c r="O241" s="40"/>
      <c r="P241" s="36">
        <f>R205</f>
        <v>0</v>
      </c>
      <c r="Q241" s="33">
        <f>'1.DATA KIA'!M231</f>
        <v>0</v>
      </c>
      <c r="R241" s="36">
        <f>P241+Q241</f>
        <v>0</v>
      </c>
      <c r="S241" s="37" t="e">
        <f t="shared" si="236"/>
        <v>#DIV/0!</v>
      </c>
      <c r="T241" s="40"/>
      <c r="U241" s="33">
        <f>W205</f>
        <v>0</v>
      </c>
      <c r="V241" s="36">
        <f>'1.DATA KIA'!Y231</f>
        <v>0</v>
      </c>
      <c r="W241" s="33">
        <f>U241+V241</f>
        <v>0</v>
      </c>
      <c r="X241" s="37" t="e">
        <f>W241/(20%*C241)*100</f>
        <v>#DIV/0!</v>
      </c>
      <c r="Y241" s="40"/>
      <c r="Z241" s="33">
        <f>AB205</f>
        <v>0</v>
      </c>
      <c r="AA241" s="36">
        <f>'1.DATA KIA'!Z231</f>
        <v>0</v>
      </c>
      <c r="AB241" s="33">
        <f>Z241+AA241</f>
        <v>0</v>
      </c>
      <c r="AC241" s="37" t="e">
        <f>AB241/(20%*C241)*100</f>
        <v>#DIV/0!</v>
      </c>
      <c r="AD241" s="40"/>
      <c r="AE241" s="33">
        <f t="shared" si="225"/>
        <v>0</v>
      </c>
      <c r="AF241" s="41">
        <f>'8.ANCTEPADU'!D274+'8.ANCTEPADU'!E274</f>
        <v>0</v>
      </c>
      <c r="AG241" s="33">
        <f>AE241+AF241</f>
        <v>0</v>
      </c>
      <c r="AH241" s="37" t="e">
        <f>AG241/C241*100</f>
        <v>#DIV/0!</v>
      </c>
      <c r="AI241" s="33">
        <f>AK205</f>
        <v>0</v>
      </c>
      <c r="AJ241" s="41">
        <f>'8.ANCTEPADU'!J274</f>
        <v>0</v>
      </c>
      <c r="AK241" s="33">
        <f>AI241+AJ241</f>
        <v>0</v>
      </c>
      <c r="AL241" s="37" t="e">
        <f>AK241/C241*100</f>
        <v>#DIV/0!</v>
      </c>
      <c r="AM241" s="36">
        <f>AO205</f>
        <v>0</v>
      </c>
      <c r="AN241" s="36">
        <f>'1.DATA KIA'!AG231</f>
        <v>0</v>
      </c>
      <c r="AO241" s="33">
        <f>AN241+AM241</f>
        <v>0</v>
      </c>
      <c r="AP241" s="37" t="e">
        <f>AO241/E241*100</f>
        <v>#DIV/0!</v>
      </c>
      <c r="AQ241" s="40"/>
      <c r="AR241" s="42">
        <f>AT205</f>
        <v>0</v>
      </c>
      <c r="AS241" s="36">
        <f>'1.DATA KIA'!AB231</f>
        <v>0</v>
      </c>
      <c r="AT241" s="33">
        <f>AS241+AR241</f>
        <v>0</v>
      </c>
      <c r="AU241" s="37" t="e">
        <f>AT241/D241*100</f>
        <v>#DIV/0!</v>
      </c>
      <c r="AV241" s="40"/>
      <c r="AW241" s="36">
        <f>AY205</f>
        <v>0</v>
      </c>
      <c r="AX241" s="33">
        <f>'1.DATA KIA'!AF231</f>
        <v>0</v>
      </c>
      <c r="AY241" s="36">
        <f>AW241+AX241</f>
        <v>0</v>
      </c>
      <c r="AZ241" s="37" t="e">
        <f>AY241/(20%*C241)*100</f>
        <v>#DIV/0!</v>
      </c>
      <c r="BA241" s="38"/>
    </row>
    <row r="242" spans="1:54" ht="30" customHeight="1" x14ac:dyDescent="0.35">
      <c r="A242" s="33">
        <v>20</v>
      </c>
      <c r="B242" s="34">
        <f>PETUNJUK!B28</f>
        <v>0</v>
      </c>
      <c r="C242" s="35">
        <f>'1.DATA KIA'!C232</f>
        <v>0</v>
      </c>
      <c r="D242" s="35">
        <f>'1.DATA KIA'!D232</f>
        <v>0</v>
      </c>
      <c r="E242" s="35">
        <f>E206</f>
        <v>0</v>
      </c>
      <c r="F242" s="36">
        <f>H206</f>
        <v>0</v>
      </c>
      <c r="G242" s="36">
        <f>'1.DATA KIA'!F232</f>
        <v>0</v>
      </c>
      <c r="H242" s="36">
        <f>F242+G242</f>
        <v>0</v>
      </c>
      <c r="I242" s="37" t="e">
        <f>H242/C242*100</f>
        <v>#DIV/0!</v>
      </c>
      <c r="J242" s="40"/>
      <c r="K242" s="36">
        <f>M206</f>
        <v>0</v>
      </c>
      <c r="L242" s="33">
        <f>'1.DATA KIA'!J232</f>
        <v>0</v>
      </c>
      <c r="M242" s="36">
        <f>K242+L242</f>
        <v>0</v>
      </c>
      <c r="N242" s="37" t="e">
        <f t="shared" si="234"/>
        <v>#DIV/0!</v>
      </c>
      <c r="O242" s="40"/>
      <c r="P242" s="36">
        <f>R206</f>
        <v>0</v>
      </c>
      <c r="Q242" s="33">
        <f>'1.DATA KIA'!M232</f>
        <v>0</v>
      </c>
      <c r="R242" s="36">
        <f>P242+Q242</f>
        <v>0</v>
      </c>
      <c r="S242" s="37" t="e">
        <f t="shared" si="236"/>
        <v>#DIV/0!</v>
      </c>
      <c r="T242" s="40"/>
      <c r="U242" s="33">
        <f>W206</f>
        <v>0</v>
      </c>
      <c r="V242" s="36">
        <f>'1.DATA KIA'!Y232</f>
        <v>0</v>
      </c>
      <c r="W242" s="33">
        <f>U242+V242</f>
        <v>0</v>
      </c>
      <c r="X242" s="37" t="e">
        <f>W242/(20%*C242)*100</f>
        <v>#DIV/0!</v>
      </c>
      <c r="Y242" s="40"/>
      <c r="Z242" s="33">
        <f>AB206</f>
        <v>0</v>
      </c>
      <c r="AA242" s="36">
        <f>'1.DATA KIA'!Z232</f>
        <v>0</v>
      </c>
      <c r="AB242" s="33">
        <f>Z242+AA242</f>
        <v>0</v>
      </c>
      <c r="AC242" s="37" t="e">
        <f>AB242/(20%*C242)*100</f>
        <v>#DIV/0!</v>
      </c>
      <c r="AD242" s="40"/>
      <c r="AE242" s="33">
        <f t="shared" si="225"/>
        <v>0</v>
      </c>
      <c r="AF242" s="41">
        <f>'8.ANCTEPADU'!D275+'8.ANCTEPADU'!E275</f>
        <v>0</v>
      </c>
      <c r="AG242" s="33">
        <f>AE242+AF242</f>
        <v>0</v>
      </c>
      <c r="AH242" s="37" t="e">
        <f>AG242/C242*100</f>
        <v>#DIV/0!</v>
      </c>
      <c r="AI242" s="33">
        <f>AK206</f>
        <v>0</v>
      </c>
      <c r="AJ242" s="41">
        <f>'8.ANCTEPADU'!J275</f>
        <v>0</v>
      </c>
      <c r="AK242" s="33">
        <f>AI242+AJ242</f>
        <v>0</v>
      </c>
      <c r="AL242" s="37" t="e">
        <f>AK242/C242*100</f>
        <v>#DIV/0!</v>
      </c>
      <c r="AM242" s="36">
        <f>AO206</f>
        <v>0</v>
      </c>
      <c r="AN242" s="36">
        <f>'1.DATA KIA'!AG232</f>
        <v>0</v>
      </c>
      <c r="AO242" s="33">
        <f>AN242+AM242</f>
        <v>0</v>
      </c>
      <c r="AP242" s="37" t="e">
        <f>AO242/E242*100</f>
        <v>#DIV/0!</v>
      </c>
      <c r="AQ242" s="40"/>
      <c r="AR242" s="42">
        <f>AT206</f>
        <v>0</v>
      </c>
      <c r="AS242" s="36">
        <f>'1.DATA KIA'!AB232</f>
        <v>0</v>
      </c>
      <c r="AT242" s="33">
        <f>AS242+AR242</f>
        <v>0</v>
      </c>
      <c r="AU242" s="37" t="e">
        <f>AT242/D242*100</f>
        <v>#DIV/0!</v>
      </c>
      <c r="AV242" s="40"/>
      <c r="AW242" s="36">
        <f>AY206</f>
        <v>0</v>
      </c>
      <c r="AX242" s="33">
        <f>'1.DATA KIA'!AF232</f>
        <v>0</v>
      </c>
      <c r="AY242" s="36">
        <f>AW242+AX242</f>
        <v>0</v>
      </c>
      <c r="AZ242" s="37" t="e">
        <f>AY242/(20%*C242)*100</f>
        <v>#DIV/0!</v>
      </c>
      <c r="BA242" s="38"/>
    </row>
    <row r="243" spans="1:54" ht="30" customHeight="1" x14ac:dyDescent="0.35">
      <c r="A243" s="33">
        <v>21</v>
      </c>
      <c r="B243" s="34">
        <f>PETUNJUK!B29</f>
        <v>0</v>
      </c>
      <c r="C243" s="35">
        <f>'1.DATA KIA'!C233</f>
        <v>0</v>
      </c>
      <c r="D243" s="35">
        <f>'1.DATA KIA'!D233</f>
        <v>0</v>
      </c>
      <c r="E243" s="35">
        <f>E207</f>
        <v>0</v>
      </c>
      <c r="F243" s="36">
        <f>H207</f>
        <v>0</v>
      </c>
      <c r="G243" s="36">
        <f>'1.DATA KIA'!F233</f>
        <v>0</v>
      </c>
      <c r="H243" s="36">
        <f>F243+G243</f>
        <v>0</v>
      </c>
      <c r="I243" s="37" t="e">
        <f>H243/C243*100</f>
        <v>#DIV/0!</v>
      </c>
      <c r="J243" s="40"/>
      <c r="K243" s="36">
        <f>M207</f>
        <v>0</v>
      </c>
      <c r="L243" s="33">
        <f>'1.DATA KIA'!J233</f>
        <v>0</v>
      </c>
      <c r="M243" s="36">
        <f>K243+L243</f>
        <v>0</v>
      </c>
      <c r="N243" s="37" t="e">
        <f t="shared" si="234"/>
        <v>#DIV/0!</v>
      </c>
      <c r="O243" s="40"/>
      <c r="P243" s="36">
        <f>R207</f>
        <v>0</v>
      </c>
      <c r="Q243" s="33">
        <f>'1.DATA KIA'!M233</f>
        <v>0</v>
      </c>
      <c r="R243" s="36">
        <f>P243+Q243</f>
        <v>0</v>
      </c>
      <c r="S243" s="37" t="e">
        <f t="shared" si="236"/>
        <v>#DIV/0!</v>
      </c>
      <c r="T243" s="40"/>
      <c r="U243" s="33">
        <f>W207</f>
        <v>0</v>
      </c>
      <c r="V243" s="36">
        <f>'1.DATA KIA'!Y233</f>
        <v>0</v>
      </c>
      <c r="W243" s="33">
        <f>U243+V243</f>
        <v>0</v>
      </c>
      <c r="X243" s="37" t="e">
        <f>W243/(20%*C243)*100</f>
        <v>#DIV/0!</v>
      </c>
      <c r="Y243" s="40"/>
      <c r="Z243" s="33">
        <f>AB207</f>
        <v>0</v>
      </c>
      <c r="AA243" s="36">
        <f>'1.DATA KIA'!Z233</f>
        <v>0</v>
      </c>
      <c r="AB243" s="33">
        <f>Z243+AA243</f>
        <v>0</v>
      </c>
      <c r="AC243" s="37" t="e">
        <f>AB243/(20%*C243)*100</f>
        <v>#DIV/0!</v>
      </c>
      <c r="AD243" s="40"/>
      <c r="AE243" s="33">
        <f t="shared" si="225"/>
        <v>0</v>
      </c>
      <c r="AF243" s="41">
        <f>'8.ANCTEPADU'!D276+'8.ANCTEPADU'!E276</f>
        <v>0</v>
      </c>
      <c r="AG243" s="33">
        <f>AE243+AF243</f>
        <v>0</v>
      </c>
      <c r="AH243" s="37" t="e">
        <f>AG243/C243*100</f>
        <v>#DIV/0!</v>
      </c>
      <c r="AI243" s="33">
        <f>AK207</f>
        <v>0</v>
      </c>
      <c r="AJ243" s="41">
        <f>'8.ANCTEPADU'!J276</f>
        <v>0</v>
      </c>
      <c r="AK243" s="33">
        <f>AI243+AJ243</f>
        <v>0</v>
      </c>
      <c r="AL243" s="37" t="e">
        <f>AK243/C243*100</f>
        <v>#DIV/0!</v>
      </c>
      <c r="AM243" s="36">
        <f>AO207</f>
        <v>0</v>
      </c>
      <c r="AN243" s="36">
        <f>'1.DATA KIA'!AG233</f>
        <v>0</v>
      </c>
      <c r="AO243" s="33">
        <f>AN243+AM243</f>
        <v>0</v>
      </c>
      <c r="AP243" s="37" t="e">
        <f>AO243/E243*100</f>
        <v>#DIV/0!</v>
      </c>
      <c r="AQ243" s="40"/>
      <c r="AR243" s="42">
        <f>AT207</f>
        <v>0</v>
      </c>
      <c r="AS243" s="36">
        <f>'1.DATA KIA'!AB233</f>
        <v>0</v>
      </c>
      <c r="AT243" s="33">
        <f>AS243+AR243</f>
        <v>0</v>
      </c>
      <c r="AU243" s="37" t="e">
        <f>AT243/D243*100</f>
        <v>#DIV/0!</v>
      </c>
      <c r="AV243" s="40"/>
      <c r="AW243" s="36">
        <f>AY207</f>
        <v>0</v>
      </c>
      <c r="AX243" s="33">
        <f>'1.DATA KIA'!AF233</f>
        <v>0</v>
      </c>
      <c r="AY243" s="36">
        <f>AW243+AX243</f>
        <v>0</v>
      </c>
      <c r="AZ243" s="37" t="e">
        <f>AY243/(20%*C243)*100</f>
        <v>#DIV/0!</v>
      </c>
      <c r="BA243" s="38"/>
    </row>
    <row r="244" spans="1:54" ht="30" customHeight="1" thickBot="1" x14ac:dyDescent="0.4">
      <c r="A244" s="46">
        <v>22</v>
      </c>
      <c r="B244" s="47">
        <f>PETUNJUK!B30</f>
        <v>0</v>
      </c>
      <c r="C244" s="48">
        <f>'1.DATA KIA'!C234</f>
        <v>0</v>
      </c>
      <c r="D244" s="48">
        <f>'1.DATA KIA'!D234</f>
        <v>0</v>
      </c>
      <c r="E244" s="48">
        <f>E208</f>
        <v>0</v>
      </c>
      <c r="F244" s="49">
        <f>H208</f>
        <v>0</v>
      </c>
      <c r="G244" s="49">
        <f>'1.DATA KIA'!F234</f>
        <v>0</v>
      </c>
      <c r="H244" s="49">
        <f>F244+G244</f>
        <v>0</v>
      </c>
      <c r="I244" s="50" t="e">
        <f>H244/C244*100</f>
        <v>#DIV/0!</v>
      </c>
      <c r="J244" s="53"/>
      <c r="K244" s="49">
        <f>M208</f>
        <v>0</v>
      </c>
      <c r="L244" s="46">
        <f>'1.DATA KIA'!J234</f>
        <v>0</v>
      </c>
      <c r="M244" s="49">
        <f>K244+L244</f>
        <v>0</v>
      </c>
      <c r="N244" s="37" t="e">
        <f t="shared" si="234"/>
        <v>#DIV/0!</v>
      </c>
      <c r="O244" s="53"/>
      <c r="P244" s="49">
        <f>R208</f>
        <v>0</v>
      </c>
      <c r="Q244" s="33">
        <f>'1.DATA KIA'!M234</f>
        <v>0</v>
      </c>
      <c r="R244" s="49">
        <f>P244+Q244</f>
        <v>0</v>
      </c>
      <c r="S244" s="37" t="e">
        <f t="shared" si="236"/>
        <v>#DIV/0!</v>
      </c>
      <c r="T244" s="53"/>
      <c r="U244" s="46">
        <f>W208</f>
        <v>0</v>
      </c>
      <c r="V244" s="49">
        <f>'1.DATA KIA'!Y234</f>
        <v>0</v>
      </c>
      <c r="W244" s="46">
        <f>U244+V244</f>
        <v>0</v>
      </c>
      <c r="X244" s="50" t="e">
        <f>W244/(20%*C244)*100</f>
        <v>#DIV/0!</v>
      </c>
      <c r="Y244" s="53"/>
      <c r="Z244" s="46">
        <f>AB208</f>
        <v>0</v>
      </c>
      <c r="AA244" s="49">
        <f>'1.DATA KIA'!Z234</f>
        <v>0</v>
      </c>
      <c r="AB244" s="46">
        <f>Z244+AA244</f>
        <v>0</v>
      </c>
      <c r="AC244" s="50" t="e">
        <f>AB244/(20%*C244)*100</f>
        <v>#DIV/0!</v>
      </c>
      <c r="AD244" s="53"/>
      <c r="AE244" s="33">
        <f t="shared" si="225"/>
        <v>0</v>
      </c>
      <c r="AF244" s="41">
        <f>'8.ANCTEPADU'!D277+'8.ANCTEPADU'!E277</f>
        <v>0</v>
      </c>
      <c r="AG244" s="46">
        <f>AE244+AF244</f>
        <v>0</v>
      </c>
      <c r="AH244" s="50" t="e">
        <f>AG244/C244*100</f>
        <v>#DIV/0!</v>
      </c>
      <c r="AI244" s="46">
        <f>AK208</f>
        <v>0</v>
      </c>
      <c r="AJ244" s="41">
        <f>'8.ANCTEPADU'!J277</f>
        <v>0</v>
      </c>
      <c r="AK244" s="46">
        <f>AI244+AJ244</f>
        <v>0</v>
      </c>
      <c r="AL244" s="50" t="e">
        <f>AK244/C244*100</f>
        <v>#DIV/0!</v>
      </c>
      <c r="AM244" s="49">
        <f>AO208</f>
        <v>0</v>
      </c>
      <c r="AN244" s="49">
        <f>'1.DATA KIA'!AG234</f>
        <v>0</v>
      </c>
      <c r="AO244" s="46">
        <f>AN244+AM244</f>
        <v>0</v>
      </c>
      <c r="AP244" s="50" t="e">
        <f>AO244/E244*100</f>
        <v>#DIV/0!</v>
      </c>
      <c r="AQ244" s="53"/>
      <c r="AR244" s="55">
        <f>AT208</f>
        <v>0</v>
      </c>
      <c r="AS244" s="49">
        <f>'1.DATA KIA'!AB234</f>
        <v>0</v>
      </c>
      <c r="AT244" s="46">
        <f>AS244+AR244</f>
        <v>0</v>
      </c>
      <c r="AU244" s="50" t="e">
        <f>AT244/D244*100</f>
        <v>#DIV/0!</v>
      </c>
      <c r="AV244" s="53"/>
      <c r="AW244" s="49">
        <f>AY208</f>
        <v>0</v>
      </c>
      <c r="AX244" s="46">
        <f>'1.DATA KIA'!AF234</f>
        <v>0</v>
      </c>
      <c r="AY244" s="49">
        <f>AW244+AX244</f>
        <v>0</v>
      </c>
      <c r="AZ244" s="50" t="e">
        <f>AY244/(20%*C244)*100</f>
        <v>#DIV/0!</v>
      </c>
      <c r="BA244" s="51"/>
    </row>
    <row r="245" spans="1:54" ht="30" customHeight="1" thickBot="1" x14ac:dyDescent="0.4">
      <c r="A245" s="354" t="s">
        <v>313</v>
      </c>
      <c r="B245" s="355" t="s">
        <v>18</v>
      </c>
      <c r="C245" s="347">
        <f>SUM(C223:C244)</f>
        <v>1067</v>
      </c>
      <c r="D245" s="347">
        <f t="shared" ref="D245:AY245" si="249">SUM(D223:D244)</f>
        <v>1018.5</v>
      </c>
      <c r="E245" s="347">
        <f t="shared" si="249"/>
        <v>0</v>
      </c>
      <c r="F245" s="347">
        <f t="shared" si="249"/>
        <v>374</v>
      </c>
      <c r="G245" s="347">
        <f t="shared" si="249"/>
        <v>0</v>
      </c>
      <c r="H245" s="347">
        <f t="shared" si="249"/>
        <v>374</v>
      </c>
      <c r="I245" s="357">
        <f>H245/C245*100</f>
        <v>35.051546391752574</v>
      </c>
      <c r="J245" s="347">
        <f t="shared" si="249"/>
        <v>0</v>
      </c>
      <c r="K245" s="347">
        <f t="shared" si="249"/>
        <v>283</v>
      </c>
      <c r="L245" s="347">
        <f t="shared" si="249"/>
        <v>0</v>
      </c>
      <c r="M245" s="347">
        <f t="shared" si="249"/>
        <v>283</v>
      </c>
      <c r="N245" s="357">
        <f>M245/D245*100</f>
        <v>27.785959744722632</v>
      </c>
      <c r="O245" s="347">
        <f t="shared" si="249"/>
        <v>0</v>
      </c>
      <c r="P245" s="347">
        <f t="shared" ref="P245:R245" si="250">SUM(P223:P244)</f>
        <v>309</v>
      </c>
      <c r="Q245" s="347">
        <f t="shared" si="250"/>
        <v>0</v>
      </c>
      <c r="R245" s="347">
        <f t="shared" si="250"/>
        <v>309</v>
      </c>
      <c r="S245" s="357">
        <f>R245/D245*100</f>
        <v>30.338733431516935</v>
      </c>
      <c r="T245" s="347">
        <f t="shared" ref="T245" si="251">SUM(T223:T244)</f>
        <v>0</v>
      </c>
      <c r="U245" s="347">
        <f t="shared" si="249"/>
        <v>92</v>
      </c>
      <c r="V245" s="347">
        <f t="shared" si="249"/>
        <v>0</v>
      </c>
      <c r="W245" s="347">
        <f t="shared" si="249"/>
        <v>92</v>
      </c>
      <c r="X245" s="357">
        <f>W245/(20%*C245)*100</f>
        <v>43.111527647610117</v>
      </c>
      <c r="Y245" s="347">
        <f t="shared" si="249"/>
        <v>0</v>
      </c>
      <c r="Z245" s="347">
        <f t="shared" si="249"/>
        <v>47</v>
      </c>
      <c r="AA245" s="347">
        <f t="shared" si="249"/>
        <v>0</v>
      </c>
      <c r="AB245" s="347">
        <f t="shared" si="249"/>
        <v>47</v>
      </c>
      <c r="AC245" s="357">
        <f>AB245/(20%*C245)*100</f>
        <v>22.024367385192125</v>
      </c>
      <c r="AD245" s="347">
        <f t="shared" si="249"/>
        <v>0</v>
      </c>
      <c r="AE245" s="347">
        <f t="shared" si="249"/>
        <v>32</v>
      </c>
      <c r="AF245" s="347">
        <f t="shared" si="249"/>
        <v>0</v>
      </c>
      <c r="AG245" s="347">
        <f t="shared" si="249"/>
        <v>32</v>
      </c>
      <c r="AH245" s="357">
        <f>AG245/C245*100</f>
        <v>2.999062792877226</v>
      </c>
      <c r="AI245" s="347">
        <f t="shared" si="249"/>
        <v>42</v>
      </c>
      <c r="AJ245" s="347">
        <f t="shared" si="249"/>
        <v>0</v>
      </c>
      <c r="AK245" s="347">
        <f t="shared" si="249"/>
        <v>42</v>
      </c>
      <c r="AL245" s="357">
        <f>AK245/C245*100</f>
        <v>3.936269915651359</v>
      </c>
      <c r="AM245" s="347">
        <f t="shared" si="249"/>
        <v>298</v>
      </c>
      <c r="AN245" s="347">
        <f t="shared" si="249"/>
        <v>0</v>
      </c>
      <c r="AO245" s="347">
        <f t="shared" si="249"/>
        <v>298</v>
      </c>
      <c r="AP245" s="357" t="e">
        <f>AO245/E245*100</f>
        <v>#DIV/0!</v>
      </c>
      <c r="AQ245" s="347">
        <f t="shared" si="249"/>
        <v>0</v>
      </c>
      <c r="AR245" s="347">
        <f t="shared" si="249"/>
        <v>298</v>
      </c>
      <c r="AS245" s="347">
        <f t="shared" si="249"/>
        <v>0</v>
      </c>
      <c r="AT245" s="347">
        <f t="shared" si="249"/>
        <v>298</v>
      </c>
      <c r="AU245" s="357">
        <f>AT245/D245*100</f>
        <v>29.258713794796272</v>
      </c>
      <c r="AV245" s="347">
        <f t="shared" si="249"/>
        <v>0</v>
      </c>
      <c r="AW245" s="347">
        <f t="shared" si="249"/>
        <v>69</v>
      </c>
      <c r="AX245" s="347">
        <f t="shared" si="249"/>
        <v>0</v>
      </c>
      <c r="AY245" s="347">
        <f t="shared" si="249"/>
        <v>69</v>
      </c>
      <c r="AZ245" s="357">
        <f>AY245/(20%*C245)*100</f>
        <v>32.333645735707591</v>
      </c>
      <c r="BA245" s="361"/>
    </row>
    <row r="246" spans="1:54" ht="12.75" customHeight="1" x14ac:dyDescent="0.35"/>
    <row r="247" spans="1:54" ht="12.75" customHeight="1" x14ac:dyDescent="0.35"/>
    <row r="248" spans="1:54" ht="12.75" customHeight="1" x14ac:dyDescent="0.35"/>
    <row r="249" spans="1:54" ht="12.75" customHeight="1" x14ac:dyDescent="0.35"/>
    <row r="251" spans="1:54" x14ac:dyDescent="0.35">
      <c r="A251" s="770" t="s">
        <v>19</v>
      </c>
      <c r="B251" s="770"/>
      <c r="C251" s="770"/>
      <c r="D251" s="770"/>
      <c r="E251" s="770"/>
      <c r="F251" s="770"/>
      <c r="G251" s="770"/>
      <c r="H251" s="770"/>
      <c r="I251" s="770"/>
      <c r="J251" s="770"/>
      <c r="K251" s="770"/>
      <c r="L251" s="770"/>
      <c r="M251" s="770"/>
      <c r="N251" s="770"/>
      <c r="O251" s="770"/>
      <c r="P251" s="770"/>
      <c r="Q251" s="770"/>
      <c r="R251" s="770"/>
      <c r="S251" s="770"/>
      <c r="T251" s="770"/>
      <c r="U251" s="770"/>
      <c r="V251" s="770"/>
      <c r="W251" s="770"/>
      <c r="X251" s="770"/>
      <c r="Y251" s="770"/>
      <c r="Z251" s="770"/>
      <c r="AA251" s="770"/>
      <c r="AB251" s="770"/>
      <c r="AC251" s="770"/>
      <c r="AD251" s="770"/>
      <c r="AE251" s="770"/>
      <c r="AF251" s="770"/>
      <c r="AG251" s="770"/>
      <c r="AH251" s="770"/>
      <c r="AI251" s="770"/>
      <c r="AJ251" s="770"/>
      <c r="AK251" s="770"/>
      <c r="AL251" s="770"/>
      <c r="AM251" s="770"/>
      <c r="AN251" s="770"/>
      <c r="AO251" s="770"/>
      <c r="AP251" s="770"/>
      <c r="AQ251" s="770"/>
      <c r="AR251" s="770"/>
      <c r="AS251" s="770"/>
      <c r="AT251" s="770"/>
      <c r="AU251" s="770"/>
      <c r="AV251" s="770"/>
      <c r="AW251" s="770"/>
      <c r="AX251" s="770"/>
      <c r="AY251" s="770"/>
      <c r="AZ251" s="770"/>
      <c r="BA251" s="770"/>
    </row>
    <row r="252" spans="1:54" ht="20.149999999999999" customHeight="1" x14ac:dyDescent="0.35">
      <c r="A252" s="31"/>
      <c r="B252" s="31" t="s">
        <v>175</v>
      </c>
      <c r="C252" s="345" t="str">
        <f>PETUNJUK!C5</f>
        <v>PECANGAAN</v>
      </c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</row>
    <row r="253" spans="1:54" ht="20.149999999999999" customHeight="1" x14ac:dyDescent="0.35">
      <c r="A253" s="30"/>
      <c r="B253" s="31" t="s">
        <v>170</v>
      </c>
      <c r="C253" s="44" t="str">
        <f>'1.DATA KIA'!C242</f>
        <v xml:space="preserve">AGUSTUS </v>
      </c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</row>
    <row r="254" spans="1:54" x14ac:dyDescent="0.35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</row>
    <row r="255" spans="1:54" s="45" customFormat="1" ht="21.75" customHeight="1" x14ac:dyDescent="0.35">
      <c r="A255" s="774" t="s">
        <v>1</v>
      </c>
      <c r="B255" s="774" t="s">
        <v>2</v>
      </c>
      <c r="C255" s="777" t="s">
        <v>20</v>
      </c>
      <c r="D255" s="778"/>
      <c r="E255" s="778"/>
      <c r="F255" s="777" t="s">
        <v>21</v>
      </c>
      <c r="G255" s="778"/>
      <c r="H255" s="778"/>
      <c r="I255" s="778"/>
      <c r="J255" s="791"/>
      <c r="K255" s="777" t="s">
        <v>9</v>
      </c>
      <c r="L255" s="778"/>
      <c r="M255" s="778"/>
      <c r="N255" s="778"/>
      <c r="O255" s="791"/>
      <c r="P255" s="777" t="s">
        <v>289</v>
      </c>
      <c r="Q255" s="778"/>
      <c r="R255" s="778"/>
      <c r="S255" s="778"/>
      <c r="T255" s="791"/>
      <c r="U255" s="771" t="s">
        <v>22</v>
      </c>
      <c r="V255" s="772"/>
      <c r="W255" s="772"/>
      <c r="X255" s="772"/>
      <c r="Y255" s="772"/>
      <c r="Z255" s="772"/>
      <c r="AA255" s="772"/>
      <c r="AB255" s="772"/>
      <c r="AC255" s="772"/>
      <c r="AD255" s="773"/>
      <c r="AE255" s="771" t="s">
        <v>5</v>
      </c>
      <c r="AF255" s="772"/>
      <c r="AG255" s="772"/>
      <c r="AH255" s="772"/>
      <c r="AI255" s="772"/>
      <c r="AJ255" s="772"/>
      <c r="AK255" s="772"/>
      <c r="AL255" s="773"/>
      <c r="AM255" s="771" t="s">
        <v>23</v>
      </c>
      <c r="AN255" s="772"/>
      <c r="AO255" s="772"/>
      <c r="AP255" s="772"/>
      <c r="AQ255" s="773"/>
      <c r="AR255" s="779" t="s">
        <v>24</v>
      </c>
      <c r="AS255" s="780"/>
      <c r="AT255" s="780"/>
      <c r="AU255" s="780"/>
      <c r="AV255" s="781"/>
      <c r="AW255" s="779" t="s">
        <v>241</v>
      </c>
      <c r="AX255" s="780"/>
      <c r="AY255" s="780"/>
      <c r="AZ255" s="780"/>
      <c r="BA255" s="781"/>
      <c r="BB255" s="348"/>
    </row>
    <row r="256" spans="1:54" s="45" customFormat="1" ht="14.25" customHeight="1" x14ac:dyDescent="0.35">
      <c r="A256" s="775"/>
      <c r="B256" s="775"/>
      <c r="C256" s="767" t="s">
        <v>5</v>
      </c>
      <c r="D256" s="767" t="s">
        <v>6</v>
      </c>
      <c r="E256" s="767" t="s">
        <v>7</v>
      </c>
      <c r="F256" s="767" t="s">
        <v>26</v>
      </c>
      <c r="G256" s="767" t="s">
        <v>27</v>
      </c>
      <c r="H256" s="771" t="s">
        <v>28</v>
      </c>
      <c r="I256" s="773"/>
      <c r="J256" s="785" t="s">
        <v>29</v>
      </c>
      <c r="K256" s="785" t="s">
        <v>26</v>
      </c>
      <c r="L256" s="785" t="s">
        <v>27</v>
      </c>
      <c r="M256" s="771" t="s">
        <v>28</v>
      </c>
      <c r="N256" s="773"/>
      <c r="O256" s="785" t="s">
        <v>29</v>
      </c>
      <c r="P256" s="785" t="s">
        <v>26</v>
      </c>
      <c r="Q256" s="785" t="s">
        <v>27</v>
      </c>
      <c r="R256" s="771" t="s">
        <v>28</v>
      </c>
      <c r="S256" s="773"/>
      <c r="T256" s="785" t="s">
        <v>29</v>
      </c>
      <c r="U256" s="771" t="s">
        <v>30</v>
      </c>
      <c r="V256" s="772"/>
      <c r="W256" s="772"/>
      <c r="X256" s="772"/>
      <c r="Y256" s="773"/>
      <c r="Z256" s="771" t="s">
        <v>31</v>
      </c>
      <c r="AA256" s="772"/>
      <c r="AB256" s="772"/>
      <c r="AC256" s="772"/>
      <c r="AD256" s="773"/>
      <c r="AE256" s="771" t="s">
        <v>32</v>
      </c>
      <c r="AF256" s="772"/>
      <c r="AG256" s="772"/>
      <c r="AH256" s="773"/>
      <c r="AI256" s="771" t="s">
        <v>33</v>
      </c>
      <c r="AJ256" s="772"/>
      <c r="AK256" s="772"/>
      <c r="AL256" s="773"/>
      <c r="AM256" s="785" t="s">
        <v>34</v>
      </c>
      <c r="AN256" s="785" t="s">
        <v>35</v>
      </c>
      <c r="AO256" s="788" t="s">
        <v>36</v>
      </c>
      <c r="AP256" s="782" t="s">
        <v>37</v>
      </c>
      <c r="AQ256" s="785" t="s">
        <v>29</v>
      </c>
      <c r="AR256" s="785" t="s">
        <v>34</v>
      </c>
      <c r="AS256" s="785" t="s">
        <v>35</v>
      </c>
      <c r="AT256" s="788" t="s">
        <v>36</v>
      </c>
      <c r="AU256" s="782" t="s">
        <v>37</v>
      </c>
      <c r="AV256" s="785" t="s">
        <v>29</v>
      </c>
      <c r="AW256" s="785" t="s">
        <v>34</v>
      </c>
      <c r="AX256" s="785" t="s">
        <v>35</v>
      </c>
      <c r="AY256" s="788" t="s">
        <v>36</v>
      </c>
      <c r="AZ256" s="782" t="s">
        <v>37</v>
      </c>
      <c r="BA256" s="785" t="s">
        <v>29</v>
      </c>
      <c r="BB256" s="348"/>
    </row>
    <row r="257" spans="1:54" s="45" customFormat="1" ht="15.75" customHeight="1" x14ac:dyDescent="0.35">
      <c r="A257" s="775"/>
      <c r="B257" s="775"/>
      <c r="C257" s="768"/>
      <c r="D257" s="768"/>
      <c r="E257" s="768"/>
      <c r="F257" s="768"/>
      <c r="G257" s="768"/>
      <c r="H257" s="785" t="s">
        <v>36</v>
      </c>
      <c r="I257" s="782" t="s">
        <v>37</v>
      </c>
      <c r="J257" s="786"/>
      <c r="K257" s="786"/>
      <c r="L257" s="786"/>
      <c r="M257" s="785" t="s">
        <v>36</v>
      </c>
      <c r="N257" s="785" t="s">
        <v>37</v>
      </c>
      <c r="O257" s="786"/>
      <c r="P257" s="786"/>
      <c r="Q257" s="786"/>
      <c r="R257" s="785" t="s">
        <v>36</v>
      </c>
      <c r="S257" s="785" t="s">
        <v>37</v>
      </c>
      <c r="T257" s="786"/>
      <c r="U257" s="785" t="s">
        <v>26</v>
      </c>
      <c r="V257" s="785" t="s">
        <v>27</v>
      </c>
      <c r="W257" s="779" t="s">
        <v>28</v>
      </c>
      <c r="X257" s="781"/>
      <c r="Y257" s="785" t="s">
        <v>29</v>
      </c>
      <c r="Z257" s="785" t="s">
        <v>26</v>
      </c>
      <c r="AA257" s="785" t="s">
        <v>27</v>
      </c>
      <c r="AB257" s="779" t="s">
        <v>28</v>
      </c>
      <c r="AC257" s="781"/>
      <c r="AD257" s="785" t="s">
        <v>29</v>
      </c>
      <c r="AE257" s="771" t="s">
        <v>38</v>
      </c>
      <c r="AF257" s="772"/>
      <c r="AG257" s="772"/>
      <c r="AH257" s="773"/>
      <c r="AI257" s="771" t="s">
        <v>39</v>
      </c>
      <c r="AJ257" s="772"/>
      <c r="AK257" s="772"/>
      <c r="AL257" s="773"/>
      <c r="AM257" s="786"/>
      <c r="AN257" s="786"/>
      <c r="AO257" s="789"/>
      <c r="AP257" s="783"/>
      <c r="AQ257" s="786"/>
      <c r="AR257" s="786"/>
      <c r="AS257" s="786"/>
      <c r="AT257" s="789"/>
      <c r="AU257" s="783"/>
      <c r="AV257" s="786"/>
      <c r="AW257" s="786"/>
      <c r="AX257" s="786"/>
      <c r="AY257" s="789"/>
      <c r="AZ257" s="783"/>
      <c r="BA257" s="786"/>
      <c r="BB257" s="348"/>
    </row>
    <row r="258" spans="1:54" s="45" customFormat="1" ht="47.25" customHeight="1" x14ac:dyDescent="0.35">
      <c r="A258" s="776"/>
      <c r="B258" s="776"/>
      <c r="C258" s="769"/>
      <c r="D258" s="769"/>
      <c r="E258" s="769"/>
      <c r="F258" s="769"/>
      <c r="G258" s="769"/>
      <c r="H258" s="787"/>
      <c r="I258" s="784"/>
      <c r="J258" s="787"/>
      <c r="K258" s="787"/>
      <c r="L258" s="787"/>
      <c r="M258" s="787"/>
      <c r="N258" s="787"/>
      <c r="O258" s="787"/>
      <c r="P258" s="787"/>
      <c r="Q258" s="787"/>
      <c r="R258" s="787"/>
      <c r="S258" s="787"/>
      <c r="T258" s="787"/>
      <c r="U258" s="787"/>
      <c r="V258" s="787"/>
      <c r="W258" s="352" t="s">
        <v>36</v>
      </c>
      <c r="X258" s="353" t="s">
        <v>37</v>
      </c>
      <c r="Y258" s="787"/>
      <c r="Z258" s="787"/>
      <c r="AA258" s="787"/>
      <c r="AB258" s="352" t="s">
        <v>36</v>
      </c>
      <c r="AC258" s="353" t="s">
        <v>37</v>
      </c>
      <c r="AD258" s="787"/>
      <c r="AE258" s="352" t="s">
        <v>26</v>
      </c>
      <c r="AF258" s="352" t="s">
        <v>27</v>
      </c>
      <c r="AG258" s="352" t="s">
        <v>36</v>
      </c>
      <c r="AH258" s="353" t="s">
        <v>37</v>
      </c>
      <c r="AI258" s="352" t="s">
        <v>26</v>
      </c>
      <c r="AJ258" s="352" t="s">
        <v>27</v>
      </c>
      <c r="AK258" s="352" t="s">
        <v>36</v>
      </c>
      <c r="AL258" s="353" t="s">
        <v>37</v>
      </c>
      <c r="AM258" s="787"/>
      <c r="AN258" s="787"/>
      <c r="AO258" s="790"/>
      <c r="AP258" s="784"/>
      <c r="AQ258" s="787"/>
      <c r="AR258" s="787"/>
      <c r="AS258" s="787"/>
      <c r="AT258" s="790"/>
      <c r="AU258" s="784"/>
      <c r="AV258" s="787"/>
      <c r="AW258" s="787"/>
      <c r="AX258" s="787"/>
      <c r="AY258" s="790"/>
      <c r="AZ258" s="784"/>
      <c r="BA258" s="787"/>
      <c r="BB258" s="348"/>
    </row>
    <row r="259" spans="1:54" ht="30" customHeight="1" x14ac:dyDescent="0.35">
      <c r="A259" s="33">
        <v>1</v>
      </c>
      <c r="B259" s="34" t="str">
        <f>PETUNJUK!B9</f>
        <v>Pecangaan Kulon</v>
      </c>
      <c r="C259" s="35">
        <f>'1.DATA KIA'!C247</f>
        <v>101.2</v>
      </c>
      <c r="D259" s="35">
        <f>'1.DATA KIA'!D247</f>
        <v>96.600000000000009</v>
      </c>
      <c r="E259" s="35">
        <f t="shared" ref="E259:E276" si="252">E223</f>
        <v>0</v>
      </c>
      <c r="F259" s="36">
        <f t="shared" ref="F259:F276" si="253">H223</f>
        <v>30</v>
      </c>
      <c r="G259" s="36">
        <f>'1.DATA KIA'!F247</f>
        <v>0</v>
      </c>
      <c r="H259" s="36">
        <f>F259+G259</f>
        <v>30</v>
      </c>
      <c r="I259" s="37">
        <f t="shared" ref="I259:I276" si="254">H259/C259*100</f>
        <v>29.644268774703558</v>
      </c>
      <c r="J259" s="40"/>
      <c r="K259" s="36">
        <f t="shared" ref="K259:K276" si="255">M223</f>
        <v>28</v>
      </c>
      <c r="L259" s="33">
        <f>'1.DATA KIA'!J247</f>
        <v>0</v>
      </c>
      <c r="M259" s="36">
        <f>K259+L259</f>
        <v>28</v>
      </c>
      <c r="N259" s="37">
        <f>M259/D259*100</f>
        <v>28.985507246376805</v>
      </c>
      <c r="O259" s="40"/>
      <c r="P259" s="36">
        <f t="shared" ref="P259:P276" si="256">R223</f>
        <v>29</v>
      </c>
      <c r="Q259" s="33">
        <f>'1.DATA KIA'!M247</f>
        <v>0</v>
      </c>
      <c r="R259" s="36">
        <f>P259+Q259</f>
        <v>29</v>
      </c>
      <c r="S259" s="37">
        <f>R259/D259*100</f>
        <v>30.020703933747413</v>
      </c>
      <c r="T259" s="40"/>
      <c r="U259" s="33">
        <f t="shared" ref="U259:U276" si="257">W223</f>
        <v>10</v>
      </c>
      <c r="V259" s="36">
        <f>'1.DATA KIA'!Y247</f>
        <v>0</v>
      </c>
      <c r="W259" s="33">
        <f>U259+V259</f>
        <v>10</v>
      </c>
      <c r="X259" s="37">
        <f t="shared" ref="X259:X276" si="258">W259/(20%*C259)*100</f>
        <v>49.40711462450593</v>
      </c>
      <c r="Y259" s="40"/>
      <c r="Z259" s="33">
        <f t="shared" ref="Z259:Z276" si="259">AB223</f>
        <v>6</v>
      </c>
      <c r="AA259" s="36">
        <f>'1.DATA KIA'!Z247</f>
        <v>0</v>
      </c>
      <c r="AB259" s="33">
        <f>Z259+AA259</f>
        <v>6</v>
      </c>
      <c r="AC259" s="37">
        <f t="shared" ref="AC259:AC276" si="260">AB259/(20%*C259)*100</f>
        <v>29.644268774703551</v>
      </c>
      <c r="AD259" s="40"/>
      <c r="AE259" s="33">
        <f t="shared" ref="AE259:AE276" si="261">AG223</f>
        <v>3</v>
      </c>
      <c r="AF259" s="41">
        <f>'8.ANCTEPADU'!D291+'8.ANCTEPADU'!E291</f>
        <v>0</v>
      </c>
      <c r="AG259" s="33">
        <f>AE259+AF259</f>
        <v>3</v>
      </c>
      <c r="AH259" s="37">
        <f t="shared" ref="AH259:AH276" si="262">AG259/C259*100</f>
        <v>2.9644268774703555</v>
      </c>
      <c r="AI259" s="33">
        <f t="shared" ref="AI259:AI276" si="263">AK223</f>
        <v>1</v>
      </c>
      <c r="AJ259" s="41">
        <f>'8.ANCTEPADU'!J291</f>
        <v>0</v>
      </c>
      <c r="AK259" s="33">
        <f>AI259+AJ259</f>
        <v>1</v>
      </c>
      <c r="AL259" s="37">
        <f t="shared" ref="AL259:AL276" si="264">AK259/C259*100</f>
        <v>0.98814229249011865</v>
      </c>
      <c r="AM259" s="36">
        <f t="shared" ref="AM259:AM276" si="265">AO223</f>
        <v>29</v>
      </c>
      <c r="AN259" s="36">
        <f>'1.DATA KIA'!AG247</f>
        <v>0</v>
      </c>
      <c r="AO259" s="33">
        <f>AN259+AM259</f>
        <v>29</v>
      </c>
      <c r="AP259" s="37" t="e">
        <f>AO259/E259*100</f>
        <v>#DIV/0!</v>
      </c>
      <c r="AQ259" s="40"/>
      <c r="AR259" s="42">
        <f t="shared" ref="AR259:AR276" si="266">AT223</f>
        <v>29</v>
      </c>
      <c r="AS259" s="36">
        <f>'1.DATA KIA'!AB247</f>
        <v>0</v>
      </c>
      <c r="AT259" s="36">
        <f>AS259+AR259</f>
        <v>29</v>
      </c>
      <c r="AU259" s="37">
        <f>AT259/D259*100</f>
        <v>30.020703933747413</v>
      </c>
      <c r="AV259" s="40"/>
      <c r="AW259" s="36">
        <f t="shared" ref="AW259:AW276" si="267">AY223</f>
        <v>10</v>
      </c>
      <c r="AX259" s="33">
        <f>'1.DATA KIA'!AF247</f>
        <v>0</v>
      </c>
      <c r="AY259" s="36">
        <f>AW259+AX259</f>
        <v>10</v>
      </c>
      <c r="AZ259" s="37">
        <f>AY259/(20%*C259)*100</f>
        <v>49.40711462450593</v>
      </c>
      <c r="BA259" s="38"/>
    </row>
    <row r="260" spans="1:54" ht="30" customHeight="1" x14ac:dyDescent="0.35">
      <c r="A260" s="33">
        <v>2</v>
      </c>
      <c r="B260" s="34" t="str">
        <f>PETUNJUK!B10</f>
        <v>Rengging</v>
      </c>
      <c r="C260" s="35">
        <f>'1.DATA KIA'!C248</f>
        <v>111.10000000000001</v>
      </c>
      <c r="D260" s="35">
        <f>'1.DATA KIA'!D248</f>
        <v>106.05000000000001</v>
      </c>
      <c r="E260" s="35">
        <f t="shared" si="252"/>
        <v>0</v>
      </c>
      <c r="F260" s="36">
        <f t="shared" si="253"/>
        <v>54</v>
      </c>
      <c r="G260" s="36">
        <f>'1.DATA KIA'!F248</f>
        <v>0</v>
      </c>
      <c r="H260" s="36">
        <f t="shared" ref="H260:H276" si="268">F260+G260</f>
        <v>54</v>
      </c>
      <c r="I260" s="37">
        <f t="shared" si="254"/>
        <v>48.604860486048601</v>
      </c>
      <c r="J260" s="40"/>
      <c r="K260" s="36">
        <f t="shared" si="255"/>
        <v>21</v>
      </c>
      <c r="L260" s="33">
        <f>'1.DATA KIA'!J248</f>
        <v>0</v>
      </c>
      <c r="M260" s="36">
        <f t="shared" ref="M260:M276" si="269">K260+L260</f>
        <v>21</v>
      </c>
      <c r="N260" s="37">
        <f t="shared" ref="N260:N280" si="270">M260/D260*100</f>
        <v>19.801980198019802</v>
      </c>
      <c r="O260" s="40"/>
      <c r="P260" s="36">
        <f t="shared" si="256"/>
        <v>32</v>
      </c>
      <c r="Q260" s="33">
        <f>'1.DATA KIA'!M248</f>
        <v>0</v>
      </c>
      <c r="R260" s="36">
        <f t="shared" ref="R260:R276" si="271">P260+Q260</f>
        <v>32</v>
      </c>
      <c r="S260" s="37">
        <f t="shared" ref="S260:S280" si="272">R260/D260*100</f>
        <v>30.174446016030171</v>
      </c>
      <c r="T260" s="40"/>
      <c r="U260" s="33">
        <f t="shared" si="257"/>
        <v>8</v>
      </c>
      <c r="V260" s="36">
        <f>'1.DATA KIA'!Y248</f>
        <v>0</v>
      </c>
      <c r="W260" s="33">
        <f t="shared" ref="W260:W276" si="273">U260+V260</f>
        <v>8</v>
      </c>
      <c r="X260" s="37">
        <f t="shared" si="258"/>
        <v>36.003600360035996</v>
      </c>
      <c r="Y260" s="40"/>
      <c r="Z260" s="33">
        <f t="shared" si="259"/>
        <v>5</v>
      </c>
      <c r="AA260" s="36">
        <f>'1.DATA KIA'!Z248</f>
        <v>0</v>
      </c>
      <c r="AB260" s="33">
        <f t="shared" ref="AB260:AB276" si="274">Z260+AA260</f>
        <v>5</v>
      </c>
      <c r="AC260" s="37">
        <f t="shared" si="260"/>
        <v>22.5022502250225</v>
      </c>
      <c r="AD260" s="40"/>
      <c r="AE260" s="33">
        <f t="shared" si="261"/>
        <v>6</v>
      </c>
      <c r="AF260" s="41">
        <f>'8.ANCTEPADU'!D292+'8.ANCTEPADU'!E292</f>
        <v>0</v>
      </c>
      <c r="AG260" s="33">
        <f t="shared" ref="AG260:AG276" si="275">AE260+AF260</f>
        <v>6</v>
      </c>
      <c r="AH260" s="37">
        <f t="shared" si="262"/>
        <v>5.4005400540054005</v>
      </c>
      <c r="AI260" s="33">
        <f t="shared" si="263"/>
        <v>8</v>
      </c>
      <c r="AJ260" s="41">
        <f>'8.ANCTEPADU'!J292</f>
        <v>0</v>
      </c>
      <c r="AK260" s="33">
        <f t="shared" ref="AK260:AK276" si="276">AI260+AJ260</f>
        <v>8</v>
      </c>
      <c r="AL260" s="37">
        <f t="shared" si="264"/>
        <v>7.2007200720071998</v>
      </c>
      <c r="AM260" s="36">
        <f t="shared" si="265"/>
        <v>35</v>
      </c>
      <c r="AN260" s="36">
        <f>'1.DATA KIA'!AG248</f>
        <v>0</v>
      </c>
      <c r="AO260" s="33">
        <f t="shared" ref="AO260:AO269" si="277">AN260+AM260</f>
        <v>35</v>
      </c>
      <c r="AP260" s="37" t="e">
        <f t="shared" ref="AP260:AP276" si="278">AO260/E260*100</f>
        <v>#DIV/0!</v>
      </c>
      <c r="AQ260" s="40"/>
      <c r="AR260" s="42">
        <f t="shared" si="266"/>
        <v>34</v>
      </c>
      <c r="AS260" s="36">
        <f>'1.DATA KIA'!AB248</f>
        <v>0</v>
      </c>
      <c r="AT260" s="33">
        <f t="shared" ref="AT260:AT269" si="279">AS260+AR260</f>
        <v>34</v>
      </c>
      <c r="AU260" s="37">
        <f t="shared" ref="AU260:AU276" si="280">AT260/D260*100</f>
        <v>32.06034889203206</v>
      </c>
      <c r="AV260" s="40"/>
      <c r="AW260" s="36">
        <f t="shared" si="267"/>
        <v>4</v>
      </c>
      <c r="AX260" s="33">
        <f>'1.DATA KIA'!AF248</f>
        <v>0</v>
      </c>
      <c r="AY260" s="36">
        <f t="shared" ref="AY260:AY276" si="281">AW260+AX260</f>
        <v>4</v>
      </c>
      <c r="AZ260" s="37">
        <f t="shared" ref="AZ260:AZ276" si="282">AY260/(20%*C260)*100</f>
        <v>18.001800180017998</v>
      </c>
      <c r="BA260" s="38"/>
    </row>
    <row r="261" spans="1:54" ht="30" customHeight="1" x14ac:dyDescent="0.35">
      <c r="A261" s="33">
        <v>3</v>
      </c>
      <c r="B261" s="34" t="str">
        <f>PETUNJUK!B11</f>
        <v>Troso</v>
      </c>
      <c r="C261" s="35">
        <f>'1.DATA KIA'!C249</f>
        <v>205.70000000000002</v>
      </c>
      <c r="D261" s="35">
        <f>'1.DATA KIA'!D249</f>
        <v>196.35</v>
      </c>
      <c r="E261" s="35">
        <f t="shared" si="252"/>
        <v>0</v>
      </c>
      <c r="F261" s="36">
        <f t="shared" si="253"/>
        <v>78</v>
      </c>
      <c r="G261" s="36">
        <f>'1.DATA KIA'!F249</f>
        <v>0</v>
      </c>
      <c r="H261" s="36">
        <f t="shared" si="268"/>
        <v>78</v>
      </c>
      <c r="I261" s="37">
        <f t="shared" si="254"/>
        <v>37.919299951385511</v>
      </c>
      <c r="J261" s="40"/>
      <c r="K261" s="36">
        <f t="shared" si="255"/>
        <v>64</v>
      </c>
      <c r="L261" s="33">
        <f>'1.DATA KIA'!J249</f>
        <v>0</v>
      </c>
      <c r="M261" s="36">
        <f t="shared" si="269"/>
        <v>64</v>
      </c>
      <c r="N261" s="37">
        <f t="shared" si="270"/>
        <v>32.594856124267892</v>
      </c>
      <c r="O261" s="40"/>
      <c r="P261" s="36">
        <f t="shared" si="256"/>
        <v>78</v>
      </c>
      <c r="Q261" s="33">
        <f>'1.DATA KIA'!M249</f>
        <v>0</v>
      </c>
      <c r="R261" s="36">
        <f t="shared" si="271"/>
        <v>78</v>
      </c>
      <c r="S261" s="37">
        <f t="shared" si="272"/>
        <v>39.724980901451488</v>
      </c>
      <c r="T261" s="40"/>
      <c r="U261" s="33">
        <f t="shared" si="257"/>
        <v>23</v>
      </c>
      <c r="V261" s="36">
        <f>'1.DATA KIA'!Y249</f>
        <v>0</v>
      </c>
      <c r="W261" s="33">
        <f t="shared" si="273"/>
        <v>23</v>
      </c>
      <c r="X261" s="37">
        <f t="shared" si="258"/>
        <v>55.906660184735038</v>
      </c>
      <c r="Y261" s="40"/>
      <c r="Z261" s="33">
        <f t="shared" si="259"/>
        <v>11</v>
      </c>
      <c r="AA261" s="36">
        <f>'1.DATA KIA'!Z249</f>
        <v>0</v>
      </c>
      <c r="AB261" s="33">
        <f t="shared" si="274"/>
        <v>11</v>
      </c>
      <c r="AC261" s="37">
        <f t="shared" si="260"/>
        <v>26.737967914438499</v>
      </c>
      <c r="AD261" s="40"/>
      <c r="AE261" s="33">
        <f t="shared" si="261"/>
        <v>3</v>
      </c>
      <c r="AF261" s="41">
        <f>'8.ANCTEPADU'!D293+'8.ANCTEPADU'!E293</f>
        <v>0</v>
      </c>
      <c r="AG261" s="33">
        <f t="shared" si="275"/>
        <v>3</v>
      </c>
      <c r="AH261" s="37">
        <f t="shared" si="262"/>
        <v>1.4584346135148272</v>
      </c>
      <c r="AI261" s="33">
        <f t="shared" si="263"/>
        <v>11</v>
      </c>
      <c r="AJ261" s="41">
        <f>'8.ANCTEPADU'!J293</f>
        <v>0</v>
      </c>
      <c r="AK261" s="33">
        <f t="shared" si="276"/>
        <v>11</v>
      </c>
      <c r="AL261" s="37">
        <f t="shared" si="264"/>
        <v>5.3475935828877006</v>
      </c>
      <c r="AM261" s="36">
        <f t="shared" si="265"/>
        <v>60</v>
      </c>
      <c r="AN261" s="36">
        <f>'1.DATA KIA'!AG249</f>
        <v>0</v>
      </c>
      <c r="AO261" s="33">
        <f t="shared" si="277"/>
        <v>60</v>
      </c>
      <c r="AP261" s="37" t="e">
        <f t="shared" si="278"/>
        <v>#DIV/0!</v>
      </c>
      <c r="AQ261" s="40"/>
      <c r="AR261" s="42">
        <f t="shared" si="266"/>
        <v>60</v>
      </c>
      <c r="AS261" s="36">
        <f>'1.DATA KIA'!AB249</f>
        <v>0</v>
      </c>
      <c r="AT261" s="33">
        <f t="shared" si="279"/>
        <v>60</v>
      </c>
      <c r="AU261" s="37">
        <f t="shared" si="280"/>
        <v>30.557677616501145</v>
      </c>
      <c r="AV261" s="40"/>
      <c r="AW261" s="36">
        <f t="shared" si="267"/>
        <v>13</v>
      </c>
      <c r="AX261" s="33">
        <f>'1.DATA KIA'!AF249</f>
        <v>0</v>
      </c>
      <c r="AY261" s="36">
        <f t="shared" si="281"/>
        <v>13</v>
      </c>
      <c r="AZ261" s="37">
        <f t="shared" si="282"/>
        <v>31.599416626154586</v>
      </c>
      <c r="BA261" s="38"/>
    </row>
    <row r="262" spans="1:54" ht="30" customHeight="1" x14ac:dyDescent="0.35">
      <c r="A262" s="33">
        <v>4</v>
      </c>
      <c r="B262" s="34" t="str">
        <f>PETUNJUK!B12</f>
        <v>Ngeling</v>
      </c>
      <c r="C262" s="35">
        <f>'1.DATA KIA'!C250</f>
        <v>95.7</v>
      </c>
      <c r="D262" s="35">
        <f>'1.DATA KIA'!D250</f>
        <v>91.350000000000009</v>
      </c>
      <c r="E262" s="35">
        <f t="shared" si="252"/>
        <v>0</v>
      </c>
      <c r="F262" s="36">
        <f t="shared" si="253"/>
        <v>30</v>
      </c>
      <c r="G262" s="36">
        <f>'1.DATA KIA'!F250</f>
        <v>0</v>
      </c>
      <c r="H262" s="36">
        <f t="shared" si="268"/>
        <v>30</v>
      </c>
      <c r="I262" s="37">
        <f t="shared" si="254"/>
        <v>31.347962382445139</v>
      </c>
      <c r="J262" s="40"/>
      <c r="K262" s="36">
        <f t="shared" si="255"/>
        <v>28</v>
      </c>
      <c r="L262" s="33">
        <f>'1.DATA KIA'!J250</f>
        <v>0</v>
      </c>
      <c r="M262" s="36">
        <f t="shared" si="269"/>
        <v>28</v>
      </c>
      <c r="N262" s="37">
        <f t="shared" si="270"/>
        <v>30.651340996168582</v>
      </c>
      <c r="O262" s="40"/>
      <c r="P262" s="36">
        <f t="shared" si="256"/>
        <v>26</v>
      </c>
      <c r="Q262" s="33">
        <f>'1.DATA KIA'!M250</f>
        <v>0</v>
      </c>
      <c r="R262" s="36">
        <f t="shared" si="271"/>
        <v>26</v>
      </c>
      <c r="S262" s="37">
        <f t="shared" si="272"/>
        <v>28.461959496442251</v>
      </c>
      <c r="T262" s="40"/>
      <c r="U262" s="33">
        <f t="shared" si="257"/>
        <v>7</v>
      </c>
      <c r="V262" s="36">
        <f>'1.DATA KIA'!Y250</f>
        <v>0</v>
      </c>
      <c r="W262" s="33">
        <f t="shared" si="273"/>
        <v>7</v>
      </c>
      <c r="X262" s="37">
        <f t="shared" si="258"/>
        <v>36.572622779519328</v>
      </c>
      <c r="Y262" s="40"/>
      <c r="Z262" s="33">
        <f t="shared" si="259"/>
        <v>5</v>
      </c>
      <c r="AA262" s="36">
        <f>'1.DATA KIA'!Z250</f>
        <v>0</v>
      </c>
      <c r="AB262" s="33">
        <f t="shared" si="274"/>
        <v>5</v>
      </c>
      <c r="AC262" s="37">
        <f t="shared" si="260"/>
        <v>26.123301985370951</v>
      </c>
      <c r="AD262" s="40"/>
      <c r="AE262" s="33">
        <f t="shared" si="261"/>
        <v>5</v>
      </c>
      <c r="AF262" s="41">
        <f>'8.ANCTEPADU'!D294+'8.ANCTEPADU'!E294</f>
        <v>0</v>
      </c>
      <c r="AG262" s="33">
        <f t="shared" si="275"/>
        <v>5</v>
      </c>
      <c r="AH262" s="37">
        <f t="shared" si="262"/>
        <v>5.2246603970741896</v>
      </c>
      <c r="AI262" s="33">
        <f t="shared" si="263"/>
        <v>5</v>
      </c>
      <c r="AJ262" s="41">
        <f>'8.ANCTEPADU'!J294</f>
        <v>0</v>
      </c>
      <c r="AK262" s="33">
        <f t="shared" si="276"/>
        <v>5</v>
      </c>
      <c r="AL262" s="37">
        <f t="shared" si="264"/>
        <v>5.2246603970741896</v>
      </c>
      <c r="AM262" s="36">
        <f t="shared" si="265"/>
        <v>28</v>
      </c>
      <c r="AN262" s="36">
        <f>'1.DATA KIA'!AG250</f>
        <v>0</v>
      </c>
      <c r="AO262" s="33">
        <f t="shared" si="277"/>
        <v>28</v>
      </c>
      <c r="AP262" s="37" t="e">
        <f t="shared" si="278"/>
        <v>#DIV/0!</v>
      </c>
      <c r="AQ262" s="40"/>
      <c r="AR262" s="42">
        <f t="shared" si="266"/>
        <v>28</v>
      </c>
      <c r="AS262" s="36">
        <f>'1.DATA KIA'!AB250</f>
        <v>0</v>
      </c>
      <c r="AT262" s="33">
        <f t="shared" si="279"/>
        <v>28</v>
      </c>
      <c r="AU262" s="37">
        <f t="shared" si="280"/>
        <v>30.651340996168582</v>
      </c>
      <c r="AV262" s="40"/>
      <c r="AW262" s="36">
        <f t="shared" si="267"/>
        <v>10</v>
      </c>
      <c r="AX262" s="33">
        <f>'1.DATA KIA'!AF250</f>
        <v>0</v>
      </c>
      <c r="AY262" s="36">
        <f t="shared" si="281"/>
        <v>10</v>
      </c>
      <c r="AZ262" s="37">
        <f t="shared" si="282"/>
        <v>52.246603970741901</v>
      </c>
      <c r="BA262" s="38"/>
    </row>
    <row r="263" spans="1:54" ht="30" customHeight="1" x14ac:dyDescent="0.35">
      <c r="A263" s="33">
        <v>5</v>
      </c>
      <c r="B263" s="34" t="str">
        <f>PETUNJUK!B13</f>
        <v>Lebuawu</v>
      </c>
      <c r="C263" s="35">
        <f>'1.DATA KIA'!C251</f>
        <v>85.800000000000011</v>
      </c>
      <c r="D263" s="35">
        <f>'1.DATA KIA'!D251</f>
        <v>81.900000000000006</v>
      </c>
      <c r="E263" s="35">
        <f t="shared" si="252"/>
        <v>0</v>
      </c>
      <c r="F263" s="36">
        <f t="shared" si="253"/>
        <v>33</v>
      </c>
      <c r="G263" s="36">
        <f>'1.DATA KIA'!F251</f>
        <v>0</v>
      </c>
      <c r="H263" s="36">
        <f t="shared" si="268"/>
        <v>33</v>
      </c>
      <c r="I263" s="37">
        <f t="shared" si="254"/>
        <v>38.46153846153846</v>
      </c>
      <c r="J263" s="40"/>
      <c r="K263" s="36">
        <f t="shared" si="255"/>
        <v>25</v>
      </c>
      <c r="L263" s="33">
        <f>'1.DATA KIA'!J251</f>
        <v>0</v>
      </c>
      <c r="M263" s="36">
        <f t="shared" si="269"/>
        <v>25</v>
      </c>
      <c r="N263" s="37">
        <f t="shared" si="270"/>
        <v>30.525030525030523</v>
      </c>
      <c r="O263" s="40"/>
      <c r="P263" s="36">
        <f t="shared" si="256"/>
        <v>19</v>
      </c>
      <c r="Q263" s="33">
        <f>'1.DATA KIA'!M251</f>
        <v>0</v>
      </c>
      <c r="R263" s="36">
        <f t="shared" si="271"/>
        <v>19</v>
      </c>
      <c r="S263" s="37">
        <f t="shared" si="272"/>
        <v>23.199023199023198</v>
      </c>
      <c r="T263" s="40"/>
      <c r="U263" s="33">
        <f t="shared" si="257"/>
        <v>5</v>
      </c>
      <c r="V263" s="36">
        <f>'1.DATA KIA'!Y251</f>
        <v>0</v>
      </c>
      <c r="W263" s="33">
        <f t="shared" si="273"/>
        <v>5</v>
      </c>
      <c r="X263" s="37">
        <f t="shared" si="258"/>
        <v>29.137529137529132</v>
      </c>
      <c r="Y263" s="40"/>
      <c r="Z263" s="33">
        <f t="shared" si="259"/>
        <v>3</v>
      </c>
      <c r="AA263" s="36">
        <f>'1.DATA KIA'!Z251</f>
        <v>0</v>
      </c>
      <c r="AB263" s="33">
        <f t="shared" si="274"/>
        <v>3</v>
      </c>
      <c r="AC263" s="37">
        <f t="shared" si="260"/>
        <v>17.48251748251748</v>
      </c>
      <c r="AD263" s="40"/>
      <c r="AE263" s="33">
        <f t="shared" si="261"/>
        <v>2</v>
      </c>
      <c r="AF263" s="41">
        <f>'8.ANCTEPADU'!D295+'8.ANCTEPADU'!E295</f>
        <v>0</v>
      </c>
      <c r="AG263" s="33">
        <f t="shared" si="275"/>
        <v>2</v>
      </c>
      <c r="AH263" s="37">
        <f t="shared" si="262"/>
        <v>2.3310023310023307</v>
      </c>
      <c r="AI263" s="33">
        <f t="shared" si="263"/>
        <v>3</v>
      </c>
      <c r="AJ263" s="41">
        <f>'8.ANCTEPADU'!J295</f>
        <v>0</v>
      </c>
      <c r="AK263" s="33">
        <f t="shared" si="276"/>
        <v>3</v>
      </c>
      <c r="AL263" s="37">
        <f t="shared" si="264"/>
        <v>3.4965034965034962</v>
      </c>
      <c r="AM263" s="36">
        <f t="shared" si="265"/>
        <v>23</v>
      </c>
      <c r="AN263" s="36">
        <f>'1.DATA KIA'!AG251</f>
        <v>0</v>
      </c>
      <c r="AO263" s="33">
        <f t="shared" si="277"/>
        <v>23</v>
      </c>
      <c r="AP263" s="37" t="e">
        <f t="shared" si="278"/>
        <v>#DIV/0!</v>
      </c>
      <c r="AQ263" s="40"/>
      <c r="AR263" s="42">
        <f t="shared" si="266"/>
        <v>23</v>
      </c>
      <c r="AS263" s="36">
        <f>'1.DATA KIA'!AB251</f>
        <v>0</v>
      </c>
      <c r="AT263" s="33">
        <f t="shared" si="279"/>
        <v>23</v>
      </c>
      <c r="AU263" s="37">
        <f t="shared" si="280"/>
        <v>28.083028083028083</v>
      </c>
      <c r="AV263" s="40"/>
      <c r="AW263" s="36">
        <f t="shared" si="267"/>
        <v>1</v>
      </c>
      <c r="AX263" s="33">
        <f>'1.DATA KIA'!AF251</f>
        <v>0</v>
      </c>
      <c r="AY263" s="36">
        <f t="shared" si="281"/>
        <v>1</v>
      </c>
      <c r="AZ263" s="37">
        <f t="shared" si="282"/>
        <v>5.8275058275058269</v>
      </c>
      <c r="BA263" s="38"/>
    </row>
    <row r="264" spans="1:54" ht="30" customHeight="1" x14ac:dyDescent="0.35">
      <c r="A264" s="33">
        <v>6</v>
      </c>
      <c r="B264" s="34" t="str">
        <f>PETUNJUK!B14</f>
        <v>Pulodarat</v>
      </c>
      <c r="C264" s="35">
        <f>'1.DATA KIA'!C252</f>
        <v>82.5</v>
      </c>
      <c r="D264" s="35">
        <f>'1.DATA KIA'!D252</f>
        <v>78.75</v>
      </c>
      <c r="E264" s="35">
        <f t="shared" si="252"/>
        <v>0</v>
      </c>
      <c r="F264" s="36">
        <f t="shared" si="253"/>
        <v>18</v>
      </c>
      <c r="G264" s="36">
        <f>'1.DATA KIA'!F252</f>
        <v>0</v>
      </c>
      <c r="H264" s="36">
        <f t="shared" si="268"/>
        <v>18</v>
      </c>
      <c r="I264" s="37">
        <f t="shared" si="254"/>
        <v>21.818181818181817</v>
      </c>
      <c r="J264" s="40"/>
      <c r="K264" s="36">
        <f t="shared" si="255"/>
        <v>19</v>
      </c>
      <c r="L264" s="33">
        <f>'1.DATA KIA'!J252</f>
        <v>0</v>
      </c>
      <c r="M264" s="36">
        <f t="shared" si="269"/>
        <v>19</v>
      </c>
      <c r="N264" s="37">
        <f t="shared" si="270"/>
        <v>24.126984126984127</v>
      </c>
      <c r="O264" s="40"/>
      <c r="P264" s="36">
        <f t="shared" si="256"/>
        <v>19</v>
      </c>
      <c r="Q264" s="33">
        <f>'1.DATA KIA'!M252</f>
        <v>0</v>
      </c>
      <c r="R264" s="36">
        <f t="shared" si="271"/>
        <v>19</v>
      </c>
      <c r="S264" s="37">
        <f t="shared" si="272"/>
        <v>24.126984126984127</v>
      </c>
      <c r="T264" s="40"/>
      <c r="U264" s="33">
        <f t="shared" si="257"/>
        <v>4</v>
      </c>
      <c r="V264" s="36">
        <f>'1.DATA KIA'!AA252</f>
        <v>0</v>
      </c>
      <c r="W264" s="33">
        <f t="shared" si="273"/>
        <v>4</v>
      </c>
      <c r="X264" s="37">
        <f t="shared" si="258"/>
        <v>24.242424242424242</v>
      </c>
      <c r="Y264" s="40"/>
      <c r="Z264" s="33">
        <f t="shared" si="259"/>
        <v>2</v>
      </c>
      <c r="AA264" s="36">
        <f>'1.DATA KIA'!AB252</f>
        <v>0</v>
      </c>
      <c r="AB264" s="33">
        <f t="shared" si="274"/>
        <v>2</v>
      </c>
      <c r="AC264" s="37">
        <f t="shared" si="260"/>
        <v>12.121212121212121</v>
      </c>
      <c r="AD264" s="40"/>
      <c r="AE264" s="33">
        <f t="shared" si="261"/>
        <v>3</v>
      </c>
      <c r="AF264" s="41">
        <f>'8.ANCTEPADU'!D296+'8.ANCTEPADU'!E296</f>
        <v>0</v>
      </c>
      <c r="AG264" s="33">
        <f t="shared" si="275"/>
        <v>3</v>
      </c>
      <c r="AH264" s="37">
        <f t="shared" si="262"/>
        <v>3.6363636363636362</v>
      </c>
      <c r="AI264" s="33">
        <f t="shared" si="263"/>
        <v>0</v>
      </c>
      <c r="AJ264" s="41">
        <f>'8.ANCTEPADU'!J296</f>
        <v>0</v>
      </c>
      <c r="AK264" s="33">
        <f t="shared" si="276"/>
        <v>0</v>
      </c>
      <c r="AL264" s="37">
        <f t="shared" si="264"/>
        <v>0</v>
      </c>
      <c r="AM264" s="36">
        <f t="shared" si="265"/>
        <v>17</v>
      </c>
      <c r="AN264" s="36">
        <f>'1.DATA KIA'!AI252</f>
        <v>0</v>
      </c>
      <c r="AO264" s="33">
        <f t="shared" si="277"/>
        <v>17</v>
      </c>
      <c r="AP264" s="37" t="e">
        <f t="shared" si="278"/>
        <v>#DIV/0!</v>
      </c>
      <c r="AQ264" s="40"/>
      <c r="AR264" s="42">
        <f t="shared" si="266"/>
        <v>17</v>
      </c>
      <c r="AS264" s="36">
        <f>'1.DATA KIA'!AD252</f>
        <v>0</v>
      </c>
      <c r="AT264" s="33">
        <f t="shared" si="279"/>
        <v>17</v>
      </c>
      <c r="AU264" s="37">
        <f t="shared" si="280"/>
        <v>21.587301587301589</v>
      </c>
      <c r="AV264" s="40"/>
      <c r="AW264" s="36">
        <f t="shared" si="267"/>
        <v>4</v>
      </c>
      <c r="AX264" s="33">
        <f>'1.DATA KIA'!AH252</f>
        <v>0</v>
      </c>
      <c r="AY264" s="36">
        <f t="shared" si="281"/>
        <v>4</v>
      </c>
      <c r="AZ264" s="37">
        <f t="shared" si="282"/>
        <v>24.242424242424242</v>
      </c>
      <c r="BA264" s="38"/>
    </row>
    <row r="265" spans="1:54" ht="30" customHeight="1" x14ac:dyDescent="0.35">
      <c r="A265" s="33">
        <v>7</v>
      </c>
      <c r="B265" s="34" t="str">
        <f>PETUNJUK!B15</f>
        <v>Karangrandu</v>
      </c>
      <c r="C265" s="35">
        <f>'1.DATA KIA'!C253</f>
        <v>93.500000000000014</v>
      </c>
      <c r="D265" s="35">
        <f>'1.DATA KIA'!D253</f>
        <v>89.25</v>
      </c>
      <c r="E265" s="35">
        <f t="shared" si="252"/>
        <v>0</v>
      </c>
      <c r="F265" s="36">
        <f t="shared" si="253"/>
        <v>31</v>
      </c>
      <c r="G265" s="36">
        <f>'1.DATA KIA'!F253</f>
        <v>0</v>
      </c>
      <c r="H265" s="36">
        <f t="shared" si="268"/>
        <v>31</v>
      </c>
      <c r="I265" s="37">
        <f t="shared" si="254"/>
        <v>33.155080213903737</v>
      </c>
      <c r="J265" s="40"/>
      <c r="K265" s="36">
        <f t="shared" si="255"/>
        <v>24</v>
      </c>
      <c r="L265" s="33">
        <f>'1.DATA KIA'!J253</f>
        <v>0</v>
      </c>
      <c r="M265" s="36">
        <f t="shared" si="269"/>
        <v>24</v>
      </c>
      <c r="N265" s="37">
        <f t="shared" si="270"/>
        <v>26.890756302521009</v>
      </c>
      <c r="O265" s="40"/>
      <c r="P265" s="36">
        <f t="shared" si="256"/>
        <v>27</v>
      </c>
      <c r="Q265" s="33">
        <f>'1.DATA KIA'!M253</f>
        <v>0</v>
      </c>
      <c r="R265" s="36">
        <f t="shared" si="271"/>
        <v>27</v>
      </c>
      <c r="S265" s="37">
        <f t="shared" si="272"/>
        <v>30.252100840336134</v>
      </c>
      <c r="T265" s="40"/>
      <c r="U265" s="33">
        <f t="shared" si="257"/>
        <v>14</v>
      </c>
      <c r="V265" s="36">
        <f>'1.DATA KIA'!Y253</f>
        <v>0</v>
      </c>
      <c r="W265" s="33">
        <f t="shared" si="273"/>
        <v>14</v>
      </c>
      <c r="X265" s="37">
        <f t="shared" si="258"/>
        <v>74.866310160427801</v>
      </c>
      <c r="Y265" s="40"/>
      <c r="Z265" s="33">
        <f t="shared" si="259"/>
        <v>5</v>
      </c>
      <c r="AA265" s="36">
        <f>'1.DATA KIA'!Z253</f>
        <v>0</v>
      </c>
      <c r="AB265" s="33">
        <f t="shared" si="274"/>
        <v>5</v>
      </c>
      <c r="AC265" s="37">
        <f t="shared" si="260"/>
        <v>26.737967914438499</v>
      </c>
      <c r="AD265" s="40"/>
      <c r="AE265" s="33">
        <f t="shared" si="261"/>
        <v>3</v>
      </c>
      <c r="AF265" s="41">
        <f>'8.ANCTEPADU'!D297+'8.ANCTEPADU'!E297</f>
        <v>0</v>
      </c>
      <c r="AG265" s="33">
        <f t="shared" si="275"/>
        <v>3</v>
      </c>
      <c r="AH265" s="37">
        <f t="shared" si="262"/>
        <v>3.2085561497326198</v>
      </c>
      <c r="AI265" s="33">
        <f t="shared" si="263"/>
        <v>2</v>
      </c>
      <c r="AJ265" s="41">
        <f>'8.ANCTEPADU'!J297</f>
        <v>0</v>
      </c>
      <c r="AK265" s="33">
        <f t="shared" si="276"/>
        <v>2</v>
      </c>
      <c r="AL265" s="37">
        <f t="shared" si="264"/>
        <v>2.1390374331550799</v>
      </c>
      <c r="AM265" s="36">
        <f t="shared" si="265"/>
        <v>26</v>
      </c>
      <c r="AN265" s="36">
        <f>'1.DATA KIA'!AG253</f>
        <v>0</v>
      </c>
      <c r="AO265" s="33">
        <f t="shared" si="277"/>
        <v>26</v>
      </c>
      <c r="AP265" s="37" t="e">
        <f t="shared" si="278"/>
        <v>#DIV/0!</v>
      </c>
      <c r="AQ265" s="40"/>
      <c r="AR265" s="42">
        <f t="shared" si="266"/>
        <v>27</v>
      </c>
      <c r="AS265" s="36">
        <f>'1.DATA KIA'!AB253</f>
        <v>0</v>
      </c>
      <c r="AT265" s="33">
        <f t="shared" si="279"/>
        <v>27</v>
      </c>
      <c r="AU265" s="37">
        <f t="shared" si="280"/>
        <v>30.252100840336134</v>
      </c>
      <c r="AV265" s="40"/>
      <c r="AW265" s="36">
        <f t="shared" si="267"/>
        <v>4</v>
      </c>
      <c r="AX265" s="33">
        <f>'1.DATA KIA'!AF253</f>
        <v>0</v>
      </c>
      <c r="AY265" s="36">
        <f t="shared" si="281"/>
        <v>4</v>
      </c>
      <c r="AZ265" s="37">
        <f t="shared" si="282"/>
        <v>21.390374331550799</v>
      </c>
      <c r="BA265" s="38"/>
    </row>
    <row r="266" spans="1:54" ht="30" customHeight="1" x14ac:dyDescent="0.35">
      <c r="A266" s="33">
        <v>8</v>
      </c>
      <c r="B266" s="34" t="str">
        <f>PETUNJUK!B16</f>
        <v>Kaliombo</v>
      </c>
      <c r="C266" s="35">
        <f>'1.DATA KIA'!C254</f>
        <v>46.2</v>
      </c>
      <c r="D266" s="35">
        <f>'1.DATA KIA'!D254</f>
        <v>44.1</v>
      </c>
      <c r="E266" s="35">
        <f t="shared" si="252"/>
        <v>0</v>
      </c>
      <c r="F266" s="36">
        <f t="shared" si="253"/>
        <v>13</v>
      </c>
      <c r="G266" s="36">
        <f>'1.DATA KIA'!F254</f>
        <v>0</v>
      </c>
      <c r="H266" s="36">
        <f t="shared" si="268"/>
        <v>13</v>
      </c>
      <c r="I266" s="37">
        <f t="shared" si="254"/>
        <v>28.138528138528134</v>
      </c>
      <c r="J266" s="40"/>
      <c r="K266" s="36">
        <f t="shared" si="255"/>
        <v>13</v>
      </c>
      <c r="L266" s="33">
        <f>'1.DATA KIA'!J254</f>
        <v>0</v>
      </c>
      <c r="M266" s="36">
        <f t="shared" si="269"/>
        <v>13</v>
      </c>
      <c r="N266" s="37">
        <f t="shared" si="270"/>
        <v>29.478458049886619</v>
      </c>
      <c r="O266" s="40"/>
      <c r="P266" s="36">
        <f t="shared" si="256"/>
        <v>13</v>
      </c>
      <c r="Q266" s="33">
        <f>'1.DATA KIA'!M254</f>
        <v>0</v>
      </c>
      <c r="R266" s="36">
        <f t="shared" si="271"/>
        <v>13</v>
      </c>
      <c r="S266" s="37">
        <f t="shared" si="272"/>
        <v>29.478458049886619</v>
      </c>
      <c r="T266" s="40"/>
      <c r="U266" s="33">
        <f t="shared" si="257"/>
        <v>7</v>
      </c>
      <c r="V266" s="36">
        <f>'1.DATA KIA'!Y254</f>
        <v>0</v>
      </c>
      <c r="W266" s="33">
        <f t="shared" si="273"/>
        <v>7</v>
      </c>
      <c r="X266" s="37">
        <f t="shared" si="258"/>
        <v>75.757575757575751</v>
      </c>
      <c r="Y266" s="40"/>
      <c r="Z266" s="33">
        <f t="shared" si="259"/>
        <v>2</v>
      </c>
      <c r="AA266" s="36">
        <f>'1.DATA KIA'!Z254</f>
        <v>0</v>
      </c>
      <c r="AB266" s="33">
        <f t="shared" si="274"/>
        <v>2</v>
      </c>
      <c r="AC266" s="37">
        <f t="shared" si="260"/>
        <v>21.645021645021643</v>
      </c>
      <c r="AD266" s="40"/>
      <c r="AE266" s="33">
        <f t="shared" si="261"/>
        <v>0</v>
      </c>
      <c r="AF266" s="41">
        <f>'8.ANCTEPADU'!D298+'8.ANCTEPADU'!E298</f>
        <v>0</v>
      </c>
      <c r="AG266" s="33">
        <f t="shared" si="275"/>
        <v>0</v>
      </c>
      <c r="AH266" s="37">
        <f t="shared" si="262"/>
        <v>0</v>
      </c>
      <c r="AI266" s="33">
        <f t="shared" si="263"/>
        <v>1</v>
      </c>
      <c r="AJ266" s="41">
        <f>'8.ANCTEPADU'!J298</f>
        <v>0</v>
      </c>
      <c r="AK266" s="33">
        <f t="shared" si="276"/>
        <v>1</v>
      </c>
      <c r="AL266" s="37">
        <f t="shared" si="264"/>
        <v>2.1645021645021645</v>
      </c>
      <c r="AM266" s="36">
        <f t="shared" si="265"/>
        <v>13</v>
      </c>
      <c r="AN266" s="36">
        <f>'1.DATA KIA'!AG254</f>
        <v>0</v>
      </c>
      <c r="AO266" s="33">
        <f t="shared" si="277"/>
        <v>13</v>
      </c>
      <c r="AP266" s="37" t="e">
        <f t="shared" si="278"/>
        <v>#DIV/0!</v>
      </c>
      <c r="AQ266" s="40"/>
      <c r="AR266" s="42">
        <f t="shared" si="266"/>
        <v>13</v>
      </c>
      <c r="AS266" s="36">
        <f>'1.DATA KIA'!AB254</f>
        <v>0</v>
      </c>
      <c r="AT266" s="33">
        <f t="shared" si="279"/>
        <v>13</v>
      </c>
      <c r="AU266" s="37">
        <f t="shared" si="280"/>
        <v>29.478458049886619</v>
      </c>
      <c r="AV266" s="40"/>
      <c r="AW266" s="36">
        <f t="shared" si="267"/>
        <v>5</v>
      </c>
      <c r="AX266" s="33">
        <f>'1.DATA KIA'!AF254</f>
        <v>0</v>
      </c>
      <c r="AY266" s="36">
        <f t="shared" si="281"/>
        <v>5</v>
      </c>
      <c r="AZ266" s="37">
        <f t="shared" si="282"/>
        <v>54.112554112554115</v>
      </c>
      <c r="BA266" s="38"/>
    </row>
    <row r="267" spans="1:54" ht="30" customHeight="1" x14ac:dyDescent="0.35">
      <c r="A267" s="33">
        <v>9</v>
      </c>
      <c r="B267" s="34" t="str">
        <f>PETUNJUK!B17</f>
        <v>Gemulung</v>
      </c>
      <c r="C267" s="35">
        <f>'1.DATA KIA'!C255</f>
        <v>53.900000000000006</v>
      </c>
      <c r="D267" s="35">
        <f>'1.DATA KIA'!D255</f>
        <v>51.45</v>
      </c>
      <c r="E267" s="35">
        <f t="shared" si="252"/>
        <v>0</v>
      </c>
      <c r="F267" s="36">
        <f t="shared" si="253"/>
        <v>19</v>
      </c>
      <c r="G267" s="36">
        <f>'1.DATA KIA'!F255</f>
        <v>0</v>
      </c>
      <c r="H267" s="36">
        <f t="shared" si="268"/>
        <v>19</v>
      </c>
      <c r="I267" s="37">
        <f t="shared" si="254"/>
        <v>35.250463821892389</v>
      </c>
      <c r="J267" s="40"/>
      <c r="K267" s="36">
        <f t="shared" si="255"/>
        <v>19</v>
      </c>
      <c r="L267" s="33">
        <f>'1.DATA KIA'!J255</f>
        <v>0</v>
      </c>
      <c r="M267" s="36">
        <f t="shared" si="269"/>
        <v>19</v>
      </c>
      <c r="N267" s="37">
        <f t="shared" si="270"/>
        <v>36.929057337220598</v>
      </c>
      <c r="O267" s="40"/>
      <c r="P267" s="36">
        <f t="shared" si="256"/>
        <v>19</v>
      </c>
      <c r="Q267" s="33">
        <f>'1.DATA KIA'!M255</f>
        <v>0</v>
      </c>
      <c r="R267" s="36">
        <f t="shared" si="271"/>
        <v>19</v>
      </c>
      <c r="S267" s="37">
        <f t="shared" si="272"/>
        <v>36.929057337220598</v>
      </c>
      <c r="T267" s="40"/>
      <c r="U267" s="33">
        <f t="shared" si="257"/>
        <v>3</v>
      </c>
      <c r="V267" s="36">
        <f>'1.DATA KIA'!Y255</f>
        <v>0</v>
      </c>
      <c r="W267" s="33">
        <f t="shared" si="273"/>
        <v>3</v>
      </c>
      <c r="X267" s="37">
        <f t="shared" si="258"/>
        <v>27.829313543599255</v>
      </c>
      <c r="Y267" s="40"/>
      <c r="Z267" s="33">
        <f t="shared" si="259"/>
        <v>1</v>
      </c>
      <c r="AA267" s="36">
        <f>'1.DATA KIA'!Z255</f>
        <v>0</v>
      </c>
      <c r="AB267" s="33">
        <f t="shared" si="274"/>
        <v>1</v>
      </c>
      <c r="AC267" s="37">
        <f t="shared" si="260"/>
        <v>9.2764378478664185</v>
      </c>
      <c r="AD267" s="40"/>
      <c r="AE267" s="33">
        <f t="shared" si="261"/>
        <v>4</v>
      </c>
      <c r="AF267" s="41">
        <f>'8.ANCTEPADU'!D299+'8.ANCTEPADU'!E299</f>
        <v>0</v>
      </c>
      <c r="AG267" s="33">
        <f t="shared" si="275"/>
        <v>4</v>
      </c>
      <c r="AH267" s="37">
        <f t="shared" si="262"/>
        <v>7.4211502782931342</v>
      </c>
      <c r="AI267" s="33">
        <f t="shared" si="263"/>
        <v>1</v>
      </c>
      <c r="AJ267" s="41">
        <f>'8.ANCTEPADU'!J299</f>
        <v>0</v>
      </c>
      <c r="AK267" s="33">
        <f t="shared" si="276"/>
        <v>1</v>
      </c>
      <c r="AL267" s="37">
        <f t="shared" si="264"/>
        <v>1.8552875695732836</v>
      </c>
      <c r="AM267" s="36">
        <f t="shared" si="265"/>
        <v>20</v>
      </c>
      <c r="AN267" s="36">
        <f>'1.DATA KIA'!AG255</f>
        <v>0</v>
      </c>
      <c r="AO267" s="33">
        <f t="shared" si="277"/>
        <v>20</v>
      </c>
      <c r="AP267" s="37" t="e">
        <f t="shared" si="278"/>
        <v>#DIV/0!</v>
      </c>
      <c r="AQ267" s="40"/>
      <c r="AR267" s="42">
        <f t="shared" si="266"/>
        <v>20</v>
      </c>
      <c r="AS267" s="36">
        <f>'1.DATA KIA'!AB255</f>
        <v>0</v>
      </c>
      <c r="AT267" s="33">
        <f t="shared" si="279"/>
        <v>20</v>
      </c>
      <c r="AU267" s="37">
        <f t="shared" si="280"/>
        <v>38.872691933916421</v>
      </c>
      <c r="AV267" s="40"/>
      <c r="AW267" s="36">
        <f t="shared" si="267"/>
        <v>8</v>
      </c>
      <c r="AX267" s="33">
        <f>'1.DATA KIA'!AF255</f>
        <v>0</v>
      </c>
      <c r="AY267" s="36">
        <f t="shared" si="281"/>
        <v>8</v>
      </c>
      <c r="AZ267" s="37">
        <f t="shared" si="282"/>
        <v>74.211502782931348</v>
      </c>
      <c r="BA267" s="38"/>
    </row>
    <row r="268" spans="1:54" ht="30" customHeight="1" x14ac:dyDescent="0.35">
      <c r="A268" s="33">
        <v>10</v>
      </c>
      <c r="B268" s="34" t="str">
        <f>PETUNJUK!B18</f>
        <v>Pecangaan Wetan</v>
      </c>
      <c r="C268" s="35">
        <f>'1.DATA KIA'!C256</f>
        <v>50.6</v>
      </c>
      <c r="D268" s="35">
        <f>'1.DATA KIA'!D256</f>
        <v>48.300000000000004</v>
      </c>
      <c r="E268" s="35">
        <f t="shared" si="252"/>
        <v>0</v>
      </c>
      <c r="F268" s="36">
        <f t="shared" si="253"/>
        <v>15</v>
      </c>
      <c r="G268" s="36">
        <f>'1.DATA KIA'!F256</f>
        <v>0</v>
      </c>
      <c r="H268" s="36">
        <f t="shared" si="268"/>
        <v>15</v>
      </c>
      <c r="I268" s="37">
        <f t="shared" si="254"/>
        <v>29.644268774703558</v>
      </c>
      <c r="J268" s="40"/>
      <c r="K268" s="36">
        <f t="shared" si="255"/>
        <v>12</v>
      </c>
      <c r="L268" s="33">
        <f>'1.DATA KIA'!J256</f>
        <v>0</v>
      </c>
      <c r="M268" s="36">
        <f t="shared" si="269"/>
        <v>12</v>
      </c>
      <c r="N268" s="37">
        <f t="shared" si="270"/>
        <v>24.844720496894407</v>
      </c>
      <c r="O268" s="40"/>
      <c r="P268" s="36">
        <f t="shared" si="256"/>
        <v>10</v>
      </c>
      <c r="Q268" s="33">
        <f>'1.DATA KIA'!M256</f>
        <v>0</v>
      </c>
      <c r="R268" s="36">
        <f t="shared" si="271"/>
        <v>10</v>
      </c>
      <c r="S268" s="37">
        <f t="shared" si="272"/>
        <v>20.703933747412005</v>
      </c>
      <c r="T268" s="40"/>
      <c r="U268" s="33">
        <f t="shared" si="257"/>
        <v>4</v>
      </c>
      <c r="V268" s="36">
        <f>'1.DATA KIA'!Y256</f>
        <v>0</v>
      </c>
      <c r="W268" s="33">
        <f t="shared" si="273"/>
        <v>4</v>
      </c>
      <c r="X268" s="37">
        <f t="shared" si="258"/>
        <v>39.525691699604735</v>
      </c>
      <c r="Y268" s="40"/>
      <c r="Z268" s="33">
        <f t="shared" si="259"/>
        <v>0</v>
      </c>
      <c r="AA268" s="36">
        <f>'1.DATA KIA'!Z256</f>
        <v>0</v>
      </c>
      <c r="AB268" s="33">
        <f t="shared" si="274"/>
        <v>0</v>
      </c>
      <c r="AC268" s="37">
        <f t="shared" si="260"/>
        <v>0</v>
      </c>
      <c r="AD268" s="40"/>
      <c r="AE268" s="33">
        <f t="shared" si="261"/>
        <v>0</v>
      </c>
      <c r="AF268" s="41">
        <f>'8.ANCTEPADU'!D300+'8.ANCTEPADU'!E300</f>
        <v>0</v>
      </c>
      <c r="AG268" s="33">
        <f t="shared" si="275"/>
        <v>0</v>
      </c>
      <c r="AH268" s="37">
        <f t="shared" si="262"/>
        <v>0</v>
      </c>
      <c r="AI268" s="33">
        <f t="shared" si="263"/>
        <v>5</v>
      </c>
      <c r="AJ268" s="41">
        <f>'8.ANCTEPADU'!J300</f>
        <v>0</v>
      </c>
      <c r="AK268" s="33">
        <f t="shared" si="276"/>
        <v>5</v>
      </c>
      <c r="AL268" s="37">
        <f t="shared" si="264"/>
        <v>9.8814229249011856</v>
      </c>
      <c r="AM268" s="36">
        <f t="shared" si="265"/>
        <v>13</v>
      </c>
      <c r="AN268" s="36">
        <f>'1.DATA KIA'!AG256</f>
        <v>0</v>
      </c>
      <c r="AO268" s="33">
        <f t="shared" si="277"/>
        <v>13</v>
      </c>
      <c r="AP268" s="37" t="e">
        <f t="shared" si="278"/>
        <v>#DIV/0!</v>
      </c>
      <c r="AQ268" s="40"/>
      <c r="AR268" s="42">
        <f t="shared" si="266"/>
        <v>13</v>
      </c>
      <c r="AS268" s="36">
        <f>'1.DATA KIA'!AB256</f>
        <v>0</v>
      </c>
      <c r="AT268" s="33">
        <f t="shared" si="279"/>
        <v>13</v>
      </c>
      <c r="AU268" s="37">
        <f t="shared" si="280"/>
        <v>26.915113871635612</v>
      </c>
      <c r="AV268" s="40"/>
      <c r="AW268" s="36">
        <f t="shared" si="267"/>
        <v>1</v>
      </c>
      <c r="AX268" s="33">
        <f>'1.DATA KIA'!AF256</f>
        <v>0</v>
      </c>
      <c r="AY268" s="36">
        <f t="shared" si="281"/>
        <v>1</v>
      </c>
      <c r="AZ268" s="37">
        <f t="shared" si="282"/>
        <v>9.8814229249011838</v>
      </c>
      <c r="BA268" s="38"/>
    </row>
    <row r="269" spans="1:54" ht="30" customHeight="1" x14ac:dyDescent="0.35">
      <c r="A269" s="33">
        <v>11</v>
      </c>
      <c r="B269" s="34" t="str">
        <f>PETUNJUK!B19</f>
        <v>Krasak</v>
      </c>
      <c r="C269" s="35">
        <f>'1.DATA KIA'!C257</f>
        <v>117.7</v>
      </c>
      <c r="D269" s="35">
        <f>'1.DATA KIA'!D257</f>
        <v>112.35000000000001</v>
      </c>
      <c r="E269" s="35">
        <f t="shared" si="252"/>
        <v>0</v>
      </c>
      <c r="F269" s="36">
        <f t="shared" si="253"/>
        <v>45</v>
      </c>
      <c r="G269" s="36">
        <f>'1.DATA KIA'!F257</f>
        <v>0</v>
      </c>
      <c r="H269" s="36">
        <f t="shared" si="268"/>
        <v>45</v>
      </c>
      <c r="I269" s="37">
        <f t="shared" si="254"/>
        <v>38.232795242141037</v>
      </c>
      <c r="J269" s="40"/>
      <c r="K269" s="36">
        <f t="shared" si="255"/>
        <v>22</v>
      </c>
      <c r="L269" s="33">
        <f>'1.DATA KIA'!J257</f>
        <v>0</v>
      </c>
      <c r="M269" s="36">
        <f t="shared" si="269"/>
        <v>22</v>
      </c>
      <c r="N269" s="37">
        <f t="shared" si="270"/>
        <v>19.581664441477525</v>
      </c>
      <c r="O269" s="40"/>
      <c r="P269" s="36">
        <f t="shared" si="256"/>
        <v>29</v>
      </c>
      <c r="Q269" s="33">
        <f>'1.DATA KIA'!M257</f>
        <v>0</v>
      </c>
      <c r="R269" s="36">
        <f t="shared" si="271"/>
        <v>29</v>
      </c>
      <c r="S269" s="37">
        <f t="shared" si="272"/>
        <v>25.812194036493104</v>
      </c>
      <c r="T269" s="40"/>
      <c r="U269" s="33">
        <f t="shared" si="257"/>
        <v>5</v>
      </c>
      <c r="V269" s="36">
        <f>'1.DATA KIA'!Y257</f>
        <v>0</v>
      </c>
      <c r="W269" s="33">
        <f t="shared" si="273"/>
        <v>5</v>
      </c>
      <c r="X269" s="37">
        <f t="shared" si="258"/>
        <v>21.240441801189462</v>
      </c>
      <c r="Y269" s="40"/>
      <c r="Z269" s="33">
        <f t="shared" si="259"/>
        <v>6</v>
      </c>
      <c r="AA269" s="36">
        <f>'1.DATA KIA'!Z257</f>
        <v>0</v>
      </c>
      <c r="AB269" s="33">
        <f t="shared" si="274"/>
        <v>6</v>
      </c>
      <c r="AC269" s="37">
        <f t="shared" si="260"/>
        <v>25.488530161427352</v>
      </c>
      <c r="AD269" s="40"/>
      <c r="AE269" s="33">
        <f t="shared" si="261"/>
        <v>3</v>
      </c>
      <c r="AF269" s="41">
        <f>'8.ANCTEPADU'!D301+'8.ANCTEPADU'!E301</f>
        <v>0</v>
      </c>
      <c r="AG269" s="33">
        <f t="shared" si="275"/>
        <v>3</v>
      </c>
      <c r="AH269" s="37">
        <f t="shared" si="262"/>
        <v>2.5488530161427359</v>
      </c>
      <c r="AI269" s="33">
        <f t="shared" si="263"/>
        <v>4</v>
      </c>
      <c r="AJ269" s="41">
        <f>'8.ANCTEPADU'!J301</f>
        <v>0</v>
      </c>
      <c r="AK269" s="33">
        <f t="shared" si="276"/>
        <v>4</v>
      </c>
      <c r="AL269" s="37">
        <f t="shared" si="264"/>
        <v>3.3984706881903146</v>
      </c>
      <c r="AM269" s="36">
        <f t="shared" si="265"/>
        <v>29</v>
      </c>
      <c r="AN269" s="36">
        <f>'1.DATA KIA'!AG257</f>
        <v>0</v>
      </c>
      <c r="AO269" s="33">
        <f t="shared" si="277"/>
        <v>29</v>
      </c>
      <c r="AP269" s="37" t="e">
        <f t="shared" si="278"/>
        <v>#DIV/0!</v>
      </c>
      <c r="AQ269" s="40"/>
      <c r="AR269" s="42">
        <f t="shared" si="266"/>
        <v>29</v>
      </c>
      <c r="AS269" s="36">
        <f>'1.DATA KIA'!AB257</f>
        <v>0</v>
      </c>
      <c r="AT269" s="33">
        <f t="shared" si="279"/>
        <v>29</v>
      </c>
      <c r="AU269" s="37">
        <f t="shared" si="280"/>
        <v>25.812194036493104</v>
      </c>
      <c r="AV269" s="40"/>
      <c r="AW269" s="36">
        <f t="shared" si="267"/>
        <v>7</v>
      </c>
      <c r="AX269" s="33">
        <f>'1.DATA KIA'!AF257</f>
        <v>0</v>
      </c>
      <c r="AY269" s="36">
        <f t="shared" si="281"/>
        <v>7</v>
      </c>
      <c r="AZ269" s="37">
        <f t="shared" si="282"/>
        <v>29.73661852166525</v>
      </c>
      <c r="BA269" s="38"/>
    </row>
    <row r="270" spans="1:54" ht="30" customHeight="1" x14ac:dyDescent="0.35">
      <c r="A270" s="33">
        <v>12</v>
      </c>
      <c r="B270" s="34" t="str">
        <f>PETUNJUK!B20</f>
        <v>Gerdu</v>
      </c>
      <c r="C270" s="35">
        <f>'1.DATA KIA'!C258</f>
        <v>23.1</v>
      </c>
      <c r="D270" s="35">
        <f>'1.DATA KIA'!D258</f>
        <v>22.05</v>
      </c>
      <c r="E270" s="35">
        <f t="shared" si="252"/>
        <v>0</v>
      </c>
      <c r="F270" s="36">
        <f t="shared" si="253"/>
        <v>8</v>
      </c>
      <c r="G270" s="36">
        <f>'1.DATA KIA'!F258</f>
        <v>0</v>
      </c>
      <c r="H270" s="36">
        <f t="shared" si="268"/>
        <v>8</v>
      </c>
      <c r="I270" s="37">
        <f t="shared" si="254"/>
        <v>34.632034632034632</v>
      </c>
      <c r="J270" s="40"/>
      <c r="K270" s="36">
        <f t="shared" si="255"/>
        <v>8</v>
      </c>
      <c r="L270" s="33">
        <f>'1.DATA KIA'!J258</f>
        <v>0</v>
      </c>
      <c r="M270" s="36">
        <f t="shared" si="269"/>
        <v>8</v>
      </c>
      <c r="N270" s="37">
        <f t="shared" si="270"/>
        <v>36.281179138321995</v>
      </c>
      <c r="O270" s="40"/>
      <c r="P270" s="36">
        <f t="shared" si="256"/>
        <v>8</v>
      </c>
      <c r="Q270" s="33">
        <f>'1.DATA KIA'!M258</f>
        <v>0</v>
      </c>
      <c r="R270" s="36">
        <f t="shared" si="271"/>
        <v>8</v>
      </c>
      <c r="S270" s="37">
        <f t="shared" si="272"/>
        <v>36.281179138321995</v>
      </c>
      <c r="T270" s="40"/>
      <c r="U270" s="33">
        <f t="shared" si="257"/>
        <v>2</v>
      </c>
      <c r="V270" s="36">
        <f>'1.DATA KIA'!Y258</f>
        <v>0</v>
      </c>
      <c r="W270" s="33">
        <f t="shared" si="273"/>
        <v>2</v>
      </c>
      <c r="X270" s="37">
        <f t="shared" si="258"/>
        <v>43.290043290043286</v>
      </c>
      <c r="Y270" s="40"/>
      <c r="Z270" s="33">
        <f t="shared" si="259"/>
        <v>1</v>
      </c>
      <c r="AA270" s="36">
        <f>'1.DATA KIA'!Z258</f>
        <v>0</v>
      </c>
      <c r="AB270" s="33">
        <f t="shared" si="274"/>
        <v>1</v>
      </c>
      <c r="AC270" s="37">
        <f t="shared" si="260"/>
        <v>21.645021645021643</v>
      </c>
      <c r="AD270" s="40"/>
      <c r="AE270" s="33">
        <f t="shared" si="261"/>
        <v>0</v>
      </c>
      <c r="AF270" s="41">
        <f>'8.ANCTEPADU'!D302+'8.ANCTEPADU'!E302</f>
        <v>0</v>
      </c>
      <c r="AG270" s="33">
        <f t="shared" si="275"/>
        <v>0</v>
      </c>
      <c r="AH270" s="37">
        <f t="shared" si="262"/>
        <v>0</v>
      </c>
      <c r="AI270" s="33">
        <f t="shared" si="263"/>
        <v>1</v>
      </c>
      <c r="AJ270" s="41">
        <f>'8.ANCTEPADU'!J302</f>
        <v>0</v>
      </c>
      <c r="AK270" s="33">
        <f t="shared" si="276"/>
        <v>1</v>
      </c>
      <c r="AL270" s="37">
        <f t="shared" si="264"/>
        <v>4.329004329004329</v>
      </c>
      <c r="AM270" s="36">
        <f t="shared" si="265"/>
        <v>5</v>
      </c>
      <c r="AN270" s="36">
        <f>'1.DATA KIA'!AG258</f>
        <v>0</v>
      </c>
      <c r="AO270" s="33">
        <f>AN270+AM270</f>
        <v>5</v>
      </c>
      <c r="AP270" s="37" t="e">
        <f t="shared" si="278"/>
        <v>#DIV/0!</v>
      </c>
      <c r="AQ270" s="40"/>
      <c r="AR270" s="42">
        <f t="shared" si="266"/>
        <v>5</v>
      </c>
      <c r="AS270" s="36">
        <f>'1.DATA KIA'!AB258</f>
        <v>0</v>
      </c>
      <c r="AT270" s="33">
        <f>AS270+AR270</f>
        <v>5</v>
      </c>
      <c r="AU270" s="37">
        <f t="shared" si="280"/>
        <v>22.675736961451246</v>
      </c>
      <c r="AV270" s="40"/>
      <c r="AW270" s="36">
        <f t="shared" si="267"/>
        <v>2</v>
      </c>
      <c r="AX270" s="33">
        <f>'1.DATA KIA'!AF258</f>
        <v>0</v>
      </c>
      <c r="AY270" s="36">
        <f t="shared" si="281"/>
        <v>2</v>
      </c>
      <c r="AZ270" s="37">
        <f t="shared" si="282"/>
        <v>43.290043290043286</v>
      </c>
      <c r="BA270" s="38"/>
    </row>
    <row r="271" spans="1:54" ht="30" customHeight="1" x14ac:dyDescent="0.35">
      <c r="A271" s="33">
        <v>13</v>
      </c>
      <c r="B271" s="34">
        <f>PETUNJUK!B21</f>
        <v>0</v>
      </c>
      <c r="C271" s="35">
        <f>'1.DATA KIA'!C259</f>
        <v>0</v>
      </c>
      <c r="D271" s="35">
        <f>'1.DATA KIA'!D259</f>
        <v>0</v>
      </c>
      <c r="E271" s="35">
        <f t="shared" si="252"/>
        <v>0</v>
      </c>
      <c r="F271" s="36">
        <f t="shared" si="253"/>
        <v>0</v>
      </c>
      <c r="G271" s="36">
        <f>'1.DATA KIA'!F259</f>
        <v>0</v>
      </c>
      <c r="H271" s="36">
        <f t="shared" si="268"/>
        <v>0</v>
      </c>
      <c r="I271" s="37" t="e">
        <f t="shared" si="254"/>
        <v>#DIV/0!</v>
      </c>
      <c r="J271" s="40"/>
      <c r="K271" s="36">
        <f t="shared" si="255"/>
        <v>0</v>
      </c>
      <c r="L271" s="33">
        <f>'1.DATA KIA'!J259</f>
        <v>0</v>
      </c>
      <c r="M271" s="36">
        <f t="shared" si="269"/>
        <v>0</v>
      </c>
      <c r="N271" s="37" t="e">
        <f t="shared" si="270"/>
        <v>#DIV/0!</v>
      </c>
      <c r="O271" s="40"/>
      <c r="P271" s="36">
        <f t="shared" si="256"/>
        <v>0</v>
      </c>
      <c r="Q271" s="33">
        <f>'1.DATA KIA'!M259</f>
        <v>0</v>
      </c>
      <c r="R271" s="36">
        <f t="shared" si="271"/>
        <v>0</v>
      </c>
      <c r="S271" s="37" t="e">
        <f t="shared" si="272"/>
        <v>#DIV/0!</v>
      </c>
      <c r="T271" s="40"/>
      <c r="U271" s="33">
        <f t="shared" si="257"/>
        <v>0</v>
      </c>
      <c r="V271" s="36">
        <f>'1.DATA KIA'!Y259</f>
        <v>0</v>
      </c>
      <c r="W271" s="33">
        <f t="shared" si="273"/>
        <v>0</v>
      </c>
      <c r="X271" s="37" t="e">
        <f t="shared" si="258"/>
        <v>#DIV/0!</v>
      </c>
      <c r="Y271" s="40"/>
      <c r="Z271" s="33">
        <f t="shared" si="259"/>
        <v>0</v>
      </c>
      <c r="AA271" s="36">
        <f>'1.DATA KIA'!Z259</f>
        <v>0</v>
      </c>
      <c r="AB271" s="33">
        <f t="shared" si="274"/>
        <v>0</v>
      </c>
      <c r="AC271" s="37" t="e">
        <f t="shared" si="260"/>
        <v>#DIV/0!</v>
      </c>
      <c r="AD271" s="40"/>
      <c r="AE271" s="33">
        <f t="shared" si="261"/>
        <v>0</v>
      </c>
      <c r="AF271" s="41">
        <f>'8.ANCTEPADU'!D303+'8.ANCTEPADU'!E303</f>
        <v>0</v>
      </c>
      <c r="AG271" s="33">
        <f t="shared" si="275"/>
        <v>0</v>
      </c>
      <c r="AH271" s="37" t="e">
        <f t="shared" si="262"/>
        <v>#DIV/0!</v>
      </c>
      <c r="AI271" s="33">
        <f t="shared" si="263"/>
        <v>0</v>
      </c>
      <c r="AJ271" s="41">
        <f>'8.ANCTEPADU'!J303</f>
        <v>0</v>
      </c>
      <c r="AK271" s="33">
        <f t="shared" si="276"/>
        <v>0</v>
      </c>
      <c r="AL271" s="37" t="e">
        <f t="shared" si="264"/>
        <v>#DIV/0!</v>
      </c>
      <c r="AM271" s="36">
        <f t="shared" si="265"/>
        <v>0</v>
      </c>
      <c r="AN271" s="36">
        <f>'1.DATA KIA'!AG259</f>
        <v>0</v>
      </c>
      <c r="AO271" s="33">
        <f t="shared" ref="AO271:AO276" si="283">AN271+AM271</f>
        <v>0</v>
      </c>
      <c r="AP271" s="37" t="e">
        <f t="shared" si="278"/>
        <v>#DIV/0!</v>
      </c>
      <c r="AQ271" s="40"/>
      <c r="AR271" s="42">
        <f t="shared" si="266"/>
        <v>0</v>
      </c>
      <c r="AS271" s="36">
        <f>'1.DATA KIA'!AB259</f>
        <v>0</v>
      </c>
      <c r="AT271" s="33">
        <f t="shared" ref="AT271:AT276" si="284">AS271+AR271</f>
        <v>0</v>
      </c>
      <c r="AU271" s="37" t="e">
        <f t="shared" si="280"/>
        <v>#DIV/0!</v>
      </c>
      <c r="AV271" s="40"/>
      <c r="AW271" s="36">
        <f t="shared" si="267"/>
        <v>0</v>
      </c>
      <c r="AX271" s="33">
        <f>'1.DATA KIA'!AF259</f>
        <v>0</v>
      </c>
      <c r="AY271" s="36">
        <f t="shared" si="281"/>
        <v>0</v>
      </c>
      <c r="AZ271" s="37" t="e">
        <f t="shared" si="282"/>
        <v>#DIV/0!</v>
      </c>
      <c r="BA271" s="38"/>
    </row>
    <row r="272" spans="1:54" ht="30" customHeight="1" x14ac:dyDescent="0.35">
      <c r="A272" s="33">
        <v>14</v>
      </c>
      <c r="B272" s="34">
        <f>PETUNJUK!B22</f>
        <v>0</v>
      </c>
      <c r="C272" s="35">
        <f>'1.DATA KIA'!C260</f>
        <v>0</v>
      </c>
      <c r="D272" s="35">
        <f>'1.DATA KIA'!D260</f>
        <v>0</v>
      </c>
      <c r="E272" s="35">
        <f t="shared" si="252"/>
        <v>0</v>
      </c>
      <c r="F272" s="36">
        <f t="shared" si="253"/>
        <v>0</v>
      </c>
      <c r="G272" s="36">
        <f>'1.DATA KIA'!F260</f>
        <v>0</v>
      </c>
      <c r="H272" s="36">
        <f t="shared" si="268"/>
        <v>0</v>
      </c>
      <c r="I272" s="37" t="e">
        <f t="shared" si="254"/>
        <v>#DIV/0!</v>
      </c>
      <c r="J272" s="40"/>
      <c r="K272" s="36">
        <f t="shared" si="255"/>
        <v>0</v>
      </c>
      <c r="L272" s="33">
        <f>'1.DATA KIA'!J260</f>
        <v>0</v>
      </c>
      <c r="M272" s="36">
        <f t="shared" si="269"/>
        <v>0</v>
      </c>
      <c r="N272" s="37" t="e">
        <f t="shared" si="270"/>
        <v>#DIV/0!</v>
      </c>
      <c r="O272" s="40"/>
      <c r="P272" s="36">
        <f t="shared" si="256"/>
        <v>0</v>
      </c>
      <c r="Q272" s="33">
        <f>'1.DATA KIA'!M260</f>
        <v>0</v>
      </c>
      <c r="R272" s="36">
        <f t="shared" si="271"/>
        <v>0</v>
      </c>
      <c r="S272" s="37" t="e">
        <f t="shared" si="272"/>
        <v>#DIV/0!</v>
      </c>
      <c r="T272" s="40"/>
      <c r="U272" s="33">
        <f t="shared" si="257"/>
        <v>0</v>
      </c>
      <c r="V272" s="36">
        <f>'1.DATA KIA'!Y260</f>
        <v>0</v>
      </c>
      <c r="W272" s="33">
        <f t="shared" si="273"/>
        <v>0</v>
      </c>
      <c r="X272" s="37" t="e">
        <f t="shared" si="258"/>
        <v>#DIV/0!</v>
      </c>
      <c r="Y272" s="40"/>
      <c r="Z272" s="33">
        <f t="shared" si="259"/>
        <v>0</v>
      </c>
      <c r="AA272" s="36">
        <f>'1.DATA KIA'!Z260</f>
        <v>0</v>
      </c>
      <c r="AB272" s="33">
        <f t="shared" si="274"/>
        <v>0</v>
      </c>
      <c r="AC272" s="37" t="e">
        <f t="shared" si="260"/>
        <v>#DIV/0!</v>
      </c>
      <c r="AD272" s="40"/>
      <c r="AE272" s="33">
        <f t="shared" si="261"/>
        <v>0</v>
      </c>
      <c r="AF272" s="41">
        <f>'8.ANCTEPADU'!D304+'8.ANCTEPADU'!E304</f>
        <v>0</v>
      </c>
      <c r="AG272" s="33">
        <f t="shared" si="275"/>
        <v>0</v>
      </c>
      <c r="AH272" s="37" t="e">
        <f t="shared" si="262"/>
        <v>#DIV/0!</v>
      </c>
      <c r="AI272" s="33">
        <f t="shared" si="263"/>
        <v>0</v>
      </c>
      <c r="AJ272" s="41">
        <f>'8.ANCTEPADU'!J304</f>
        <v>0</v>
      </c>
      <c r="AK272" s="33">
        <f t="shared" si="276"/>
        <v>0</v>
      </c>
      <c r="AL272" s="37" t="e">
        <f t="shared" si="264"/>
        <v>#DIV/0!</v>
      </c>
      <c r="AM272" s="36">
        <f t="shared" si="265"/>
        <v>0</v>
      </c>
      <c r="AN272" s="36">
        <f>'1.DATA KIA'!AG260</f>
        <v>0</v>
      </c>
      <c r="AO272" s="33">
        <f t="shared" si="283"/>
        <v>0</v>
      </c>
      <c r="AP272" s="37" t="e">
        <f t="shared" si="278"/>
        <v>#DIV/0!</v>
      </c>
      <c r="AQ272" s="40"/>
      <c r="AR272" s="42">
        <f t="shared" si="266"/>
        <v>0</v>
      </c>
      <c r="AS272" s="36">
        <f>'1.DATA KIA'!AB260</f>
        <v>0</v>
      </c>
      <c r="AT272" s="33">
        <f t="shared" si="284"/>
        <v>0</v>
      </c>
      <c r="AU272" s="37" t="e">
        <f t="shared" si="280"/>
        <v>#DIV/0!</v>
      </c>
      <c r="AV272" s="40"/>
      <c r="AW272" s="36">
        <f t="shared" si="267"/>
        <v>0</v>
      </c>
      <c r="AX272" s="33">
        <f>'1.DATA KIA'!AF260</f>
        <v>0</v>
      </c>
      <c r="AY272" s="36">
        <f t="shared" si="281"/>
        <v>0</v>
      </c>
      <c r="AZ272" s="37" t="e">
        <f t="shared" si="282"/>
        <v>#DIV/0!</v>
      </c>
      <c r="BA272" s="38"/>
    </row>
    <row r="273" spans="1:53" ht="30" customHeight="1" x14ac:dyDescent="0.35">
      <c r="A273" s="33">
        <v>15</v>
      </c>
      <c r="B273" s="34">
        <f>PETUNJUK!B23</f>
        <v>0</v>
      </c>
      <c r="C273" s="35">
        <f>'1.DATA KIA'!C261</f>
        <v>0</v>
      </c>
      <c r="D273" s="35">
        <f>'1.DATA KIA'!D261</f>
        <v>0</v>
      </c>
      <c r="E273" s="35">
        <f t="shared" si="252"/>
        <v>0</v>
      </c>
      <c r="F273" s="36">
        <f t="shared" si="253"/>
        <v>0</v>
      </c>
      <c r="G273" s="36">
        <f>'1.DATA KIA'!F261</f>
        <v>0</v>
      </c>
      <c r="H273" s="36">
        <f t="shared" si="268"/>
        <v>0</v>
      </c>
      <c r="I273" s="37" t="e">
        <f t="shared" si="254"/>
        <v>#DIV/0!</v>
      </c>
      <c r="J273" s="40"/>
      <c r="K273" s="36">
        <f t="shared" si="255"/>
        <v>0</v>
      </c>
      <c r="L273" s="33">
        <f>'1.DATA KIA'!J261</f>
        <v>0</v>
      </c>
      <c r="M273" s="36">
        <f t="shared" si="269"/>
        <v>0</v>
      </c>
      <c r="N273" s="37" t="e">
        <f t="shared" si="270"/>
        <v>#DIV/0!</v>
      </c>
      <c r="O273" s="40"/>
      <c r="P273" s="36">
        <f t="shared" si="256"/>
        <v>0</v>
      </c>
      <c r="Q273" s="33">
        <f>'1.DATA KIA'!M261</f>
        <v>0</v>
      </c>
      <c r="R273" s="36">
        <f t="shared" si="271"/>
        <v>0</v>
      </c>
      <c r="S273" s="37" t="e">
        <f t="shared" si="272"/>
        <v>#DIV/0!</v>
      </c>
      <c r="T273" s="40"/>
      <c r="U273" s="33">
        <f t="shared" si="257"/>
        <v>0</v>
      </c>
      <c r="V273" s="36">
        <f>'1.DATA KIA'!Y261</f>
        <v>0</v>
      </c>
      <c r="W273" s="33">
        <f t="shared" si="273"/>
        <v>0</v>
      </c>
      <c r="X273" s="37" t="e">
        <f t="shared" si="258"/>
        <v>#DIV/0!</v>
      </c>
      <c r="Y273" s="40"/>
      <c r="Z273" s="33">
        <f t="shared" si="259"/>
        <v>0</v>
      </c>
      <c r="AA273" s="36">
        <f>'1.DATA KIA'!Z261</f>
        <v>0</v>
      </c>
      <c r="AB273" s="33">
        <f t="shared" si="274"/>
        <v>0</v>
      </c>
      <c r="AC273" s="37" t="e">
        <f t="shared" si="260"/>
        <v>#DIV/0!</v>
      </c>
      <c r="AD273" s="40"/>
      <c r="AE273" s="33">
        <f t="shared" si="261"/>
        <v>0</v>
      </c>
      <c r="AF273" s="41">
        <f>'8.ANCTEPADU'!D305+'8.ANCTEPADU'!E305</f>
        <v>0</v>
      </c>
      <c r="AG273" s="33">
        <f t="shared" si="275"/>
        <v>0</v>
      </c>
      <c r="AH273" s="37" t="e">
        <f t="shared" si="262"/>
        <v>#DIV/0!</v>
      </c>
      <c r="AI273" s="33">
        <f t="shared" si="263"/>
        <v>0</v>
      </c>
      <c r="AJ273" s="41">
        <f>'8.ANCTEPADU'!J305</f>
        <v>0</v>
      </c>
      <c r="AK273" s="33">
        <f t="shared" si="276"/>
        <v>0</v>
      </c>
      <c r="AL273" s="37" t="e">
        <f t="shared" si="264"/>
        <v>#DIV/0!</v>
      </c>
      <c r="AM273" s="36">
        <f t="shared" si="265"/>
        <v>0</v>
      </c>
      <c r="AN273" s="36">
        <f>'1.DATA KIA'!AG261</f>
        <v>0</v>
      </c>
      <c r="AO273" s="33">
        <f t="shared" si="283"/>
        <v>0</v>
      </c>
      <c r="AP273" s="37" t="e">
        <f t="shared" si="278"/>
        <v>#DIV/0!</v>
      </c>
      <c r="AQ273" s="40"/>
      <c r="AR273" s="42">
        <f t="shared" si="266"/>
        <v>0</v>
      </c>
      <c r="AS273" s="36">
        <f>'1.DATA KIA'!AB261</f>
        <v>0</v>
      </c>
      <c r="AT273" s="33">
        <f t="shared" si="284"/>
        <v>0</v>
      </c>
      <c r="AU273" s="37" t="e">
        <f t="shared" si="280"/>
        <v>#DIV/0!</v>
      </c>
      <c r="AV273" s="40"/>
      <c r="AW273" s="36">
        <f t="shared" si="267"/>
        <v>0</v>
      </c>
      <c r="AX273" s="33">
        <f>'1.DATA KIA'!AF261</f>
        <v>0</v>
      </c>
      <c r="AY273" s="36">
        <f t="shared" si="281"/>
        <v>0</v>
      </c>
      <c r="AZ273" s="37" t="e">
        <f t="shared" si="282"/>
        <v>#DIV/0!</v>
      </c>
      <c r="BA273" s="38"/>
    </row>
    <row r="274" spans="1:53" ht="30" customHeight="1" x14ac:dyDescent="0.35">
      <c r="A274" s="33">
        <v>16</v>
      </c>
      <c r="B274" s="34">
        <f>PETUNJUK!B24</f>
        <v>0</v>
      </c>
      <c r="C274" s="35">
        <f>'1.DATA KIA'!C262</f>
        <v>0</v>
      </c>
      <c r="D274" s="35">
        <f>'1.DATA KIA'!D262</f>
        <v>0</v>
      </c>
      <c r="E274" s="35">
        <f t="shared" si="252"/>
        <v>0</v>
      </c>
      <c r="F274" s="36">
        <f t="shared" si="253"/>
        <v>0</v>
      </c>
      <c r="G274" s="36">
        <f>'1.DATA KIA'!F262</f>
        <v>0</v>
      </c>
      <c r="H274" s="36">
        <f t="shared" si="268"/>
        <v>0</v>
      </c>
      <c r="I274" s="37" t="e">
        <f t="shared" si="254"/>
        <v>#DIV/0!</v>
      </c>
      <c r="J274" s="40"/>
      <c r="K274" s="36">
        <f t="shared" si="255"/>
        <v>0</v>
      </c>
      <c r="L274" s="33">
        <f>'1.DATA KIA'!J262</f>
        <v>0</v>
      </c>
      <c r="M274" s="36">
        <f t="shared" si="269"/>
        <v>0</v>
      </c>
      <c r="N274" s="37" t="e">
        <f t="shared" si="270"/>
        <v>#DIV/0!</v>
      </c>
      <c r="O274" s="40"/>
      <c r="P274" s="36">
        <f t="shared" si="256"/>
        <v>0</v>
      </c>
      <c r="Q274" s="33">
        <f>'1.DATA KIA'!M262</f>
        <v>0</v>
      </c>
      <c r="R274" s="36">
        <f t="shared" si="271"/>
        <v>0</v>
      </c>
      <c r="S274" s="37" t="e">
        <f t="shared" si="272"/>
        <v>#DIV/0!</v>
      </c>
      <c r="T274" s="40"/>
      <c r="U274" s="33">
        <f t="shared" si="257"/>
        <v>0</v>
      </c>
      <c r="V274" s="36">
        <f>'1.DATA KIA'!Y262</f>
        <v>0</v>
      </c>
      <c r="W274" s="33">
        <f t="shared" si="273"/>
        <v>0</v>
      </c>
      <c r="X274" s="37" t="e">
        <f t="shared" si="258"/>
        <v>#DIV/0!</v>
      </c>
      <c r="Y274" s="40"/>
      <c r="Z274" s="33">
        <f t="shared" si="259"/>
        <v>0</v>
      </c>
      <c r="AA274" s="36">
        <f>'1.DATA KIA'!Z262</f>
        <v>0</v>
      </c>
      <c r="AB274" s="33">
        <f t="shared" si="274"/>
        <v>0</v>
      </c>
      <c r="AC274" s="37" t="e">
        <f t="shared" si="260"/>
        <v>#DIV/0!</v>
      </c>
      <c r="AD274" s="40"/>
      <c r="AE274" s="33">
        <f t="shared" si="261"/>
        <v>0</v>
      </c>
      <c r="AF274" s="41">
        <f>'8.ANCTEPADU'!D306+'8.ANCTEPADU'!E306</f>
        <v>0</v>
      </c>
      <c r="AG274" s="33">
        <f t="shared" si="275"/>
        <v>0</v>
      </c>
      <c r="AH274" s="37" t="e">
        <f t="shared" si="262"/>
        <v>#DIV/0!</v>
      </c>
      <c r="AI274" s="33">
        <f t="shared" si="263"/>
        <v>0</v>
      </c>
      <c r="AJ274" s="41">
        <f>'8.ANCTEPADU'!J306</f>
        <v>0</v>
      </c>
      <c r="AK274" s="33">
        <f t="shared" si="276"/>
        <v>0</v>
      </c>
      <c r="AL274" s="37" t="e">
        <f t="shared" si="264"/>
        <v>#DIV/0!</v>
      </c>
      <c r="AM274" s="36">
        <f t="shared" si="265"/>
        <v>0</v>
      </c>
      <c r="AN274" s="36">
        <f>'1.DATA KIA'!AG262</f>
        <v>0</v>
      </c>
      <c r="AO274" s="33">
        <f t="shared" si="283"/>
        <v>0</v>
      </c>
      <c r="AP274" s="37" t="e">
        <f t="shared" si="278"/>
        <v>#DIV/0!</v>
      </c>
      <c r="AQ274" s="40"/>
      <c r="AR274" s="42">
        <f t="shared" si="266"/>
        <v>0</v>
      </c>
      <c r="AS274" s="36">
        <f>'1.DATA KIA'!AB262</f>
        <v>0</v>
      </c>
      <c r="AT274" s="33">
        <f t="shared" si="284"/>
        <v>0</v>
      </c>
      <c r="AU274" s="37" t="e">
        <f t="shared" si="280"/>
        <v>#DIV/0!</v>
      </c>
      <c r="AV274" s="40"/>
      <c r="AW274" s="36">
        <f t="shared" si="267"/>
        <v>0</v>
      </c>
      <c r="AX274" s="33">
        <f>'1.DATA KIA'!AF262</f>
        <v>0</v>
      </c>
      <c r="AY274" s="36">
        <f t="shared" si="281"/>
        <v>0</v>
      </c>
      <c r="AZ274" s="37" t="e">
        <f t="shared" si="282"/>
        <v>#DIV/0!</v>
      </c>
      <c r="BA274" s="38"/>
    </row>
    <row r="275" spans="1:53" ht="30" customHeight="1" x14ac:dyDescent="0.35">
      <c r="A275" s="33">
        <v>17</v>
      </c>
      <c r="B275" s="34">
        <f>PETUNJUK!B25</f>
        <v>0</v>
      </c>
      <c r="C275" s="35">
        <f>'1.DATA KIA'!C263</f>
        <v>0</v>
      </c>
      <c r="D275" s="35">
        <f>'1.DATA KIA'!D263</f>
        <v>0</v>
      </c>
      <c r="E275" s="35">
        <f t="shared" si="252"/>
        <v>0</v>
      </c>
      <c r="F275" s="36">
        <f t="shared" si="253"/>
        <v>0</v>
      </c>
      <c r="G275" s="36">
        <f>'1.DATA KIA'!F263</f>
        <v>0</v>
      </c>
      <c r="H275" s="36">
        <f t="shared" si="268"/>
        <v>0</v>
      </c>
      <c r="I275" s="37" t="e">
        <f t="shared" si="254"/>
        <v>#DIV/0!</v>
      </c>
      <c r="J275" s="40"/>
      <c r="K275" s="36">
        <f t="shared" si="255"/>
        <v>0</v>
      </c>
      <c r="L275" s="33">
        <f>'1.DATA KIA'!J263</f>
        <v>0</v>
      </c>
      <c r="M275" s="36">
        <f t="shared" si="269"/>
        <v>0</v>
      </c>
      <c r="N275" s="37" t="e">
        <f t="shared" si="270"/>
        <v>#DIV/0!</v>
      </c>
      <c r="O275" s="40"/>
      <c r="P275" s="36">
        <f t="shared" si="256"/>
        <v>0</v>
      </c>
      <c r="Q275" s="33">
        <f>'1.DATA KIA'!M263</f>
        <v>0</v>
      </c>
      <c r="R275" s="36">
        <f t="shared" si="271"/>
        <v>0</v>
      </c>
      <c r="S275" s="37" t="e">
        <f t="shared" si="272"/>
        <v>#DIV/0!</v>
      </c>
      <c r="T275" s="40"/>
      <c r="U275" s="33">
        <f t="shared" si="257"/>
        <v>0</v>
      </c>
      <c r="V275" s="36">
        <f>'1.DATA KIA'!Y263</f>
        <v>0</v>
      </c>
      <c r="W275" s="33">
        <f t="shared" si="273"/>
        <v>0</v>
      </c>
      <c r="X275" s="37" t="e">
        <f t="shared" si="258"/>
        <v>#DIV/0!</v>
      </c>
      <c r="Y275" s="40"/>
      <c r="Z275" s="33">
        <f t="shared" si="259"/>
        <v>0</v>
      </c>
      <c r="AA275" s="36">
        <f>'1.DATA KIA'!Z263</f>
        <v>0</v>
      </c>
      <c r="AB275" s="33">
        <f t="shared" si="274"/>
        <v>0</v>
      </c>
      <c r="AC275" s="37" t="e">
        <f t="shared" si="260"/>
        <v>#DIV/0!</v>
      </c>
      <c r="AD275" s="40"/>
      <c r="AE275" s="33">
        <f t="shared" si="261"/>
        <v>0</v>
      </c>
      <c r="AF275" s="41">
        <f>'8.ANCTEPADU'!D307+'8.ANCTEPADU'!E307</f>
        <v>0</v>
      </c>
      <c r="AG275" s="33">
        <f t="shared" si="275"/>
        <v>0</v>
      </c>
      <c r="AH275" s="37" t="e">
        <f t="shared" si="262"/>
        <v>#DIV/0!</v>
      </c>
      <c r="AI275" s="33">
        <f t="shared" si="263"/>
        <v>0</v>
      </c>
      <c r="AJ275" s="41">
        <f>'8.ANCTEPADU'!J307</f>
        <v>0</v>
      </c>
      <c r="AK275" s="33">
        <f t="shared" si="276"/>
        <v>0</v>
      </c>
      <c r="AL275" s="37" t="e">
        <f t="shared" si="264"/>
        <v>#DIV/0!</v>
      </c>
      <c r="AM275" s="36">
        <f t="shared" si="265"/>
        <v>0</v>
      </c>
      <c r="AN275" s="36">
        <f>'1.DATA KIA'!AG263</f>
        <v>0</v>
      </c>
      <c r="AO275" s="33">
        <f t="shared" si="283"/>
        <v>0</v>
      </c>
      <c r="AP275" s="37" t="e">
        <f t="shared" si="278"/>
        <v>#DIV/0!</v>
      </c>
      <c r="AQ275" s="40"/>
      <c r="AR275" s="42">
        <f t="shared" si="266"/>
        <v>0</v>
      </c>
      <c r="AS275" s="36">
        <f>'1.DATA KIA'!AB263</f>
        <v>0</v>
      </c>
      <c r="AT275" s="33">
        <f t="shared" si="284"/>
        <v>0</v>
      </c>
      <c r="AU275" s="37" t="e">
        <f t="shared" si="280"/>
        <v>#DIV/0!</v>
      </c>
      <c r="AV275" s="40"/>
      <c r="AW275" s="36">
        <f t="shared" si="267"/>
        <v>0</v>
      </c>
      <c r="AX275" s="33">
        <f>'1.DATA KIA'!AF263</f>
        <v>0</v>
      </c>
      <c r="AY275" s="36">
        <f t="shared" si="281"/>
        <v>0</v>
      </c>
      <c r="AZ275" s="37" t="e">
        <f t="shared" si="282"/>
        <v>#DIV/0!</v>
      </c>
      <c r="BA275" s="38"/>
    </row>
    <row r="276" spans="1:53" ht="30" customHeight="1" x14ac:dyDescent="0.35">
      <c r="A276" s="33">
        <v>18</v>
      </c>
      <c r="B276" s="34">
        <f>PETUNJUK!B26</f>
        <v>0</v>
      </c>
      <c r="C276" s="35">
        <f>'1.DATA KIA'!C264</f>
        <v>0</v>
      </c>
      <c r="D276" s="35">
        <f>'1.DATA KIA'!D264</f>
        <v>0</v>
      </c>
      <c r="E276" s="35">
        <f t="shared" si="252"/>
        <v>0</v>
      </c>
      <c r="F276" s="36">
        <f t="shared" si="253"/>
        <v>0</v>
      </c>
      <c r="G276" s="36">
        <f>'1.DATA KIA'!F264</f>
        <v>0</v>
      </c>
      <c r="H276" s="36">
        <f t="shared" si="268"/>
        <v>0</v>
      </c>
      <c r="I276" s="37" t="e">
        <f t="shared" si="254"/>
        <v>#DIV/0!</v>
      </c>
      <c r="J276" s="40"/>
      <c r="K276" s="36">
        <f t="shared" si="255"/>
        <v>0</v>
      </c>
      <c r="L276" s="33">
        <f>'1.DATA KIA'!J264</f>
        <v>0</v>
      </c>
      <c r="M276" s="36">
        <f t="shared" si="269"/>
        <v>0</v>
      </c>
      <c r="N276" s="37" t="e">
        <f t="shared" si="270"/>
        <v>#DIV/0!</v>
      </c>
      <c r="O276" s="40"/>
      <c r="P276" s="36">
        <f t="shared" si="256"/>
        <v>0</v>
      </c>
      <c r="Q276" s="33">
        <f>'1.DATA KIA'!M264</f>
        <v>0</v>
      </c>
      <c r="R276" s="36">
        <f t="shared" si="271"/>
        <v>0</v>
      </c>
      <c r="S276" s="37" t="e">
        <f t="shared" si="272"/>
        <v>#DIV/0!</v>
      </c>
      <c r="T276" s="40"/>
      <c r="U276" s="33">
        <f t="shared" si="257"/>
        <v>0</v>
      </c>
      <c r="V276" s="36">
        <f>'1.DATA KIA'!Y264</f>
        <v>0</v>
      </c>
      <c r="W276" s="33">
        <f t="shared" si="273"/>
        <v>0</v>
      </c>
      <c r="X276" s="37" t="e">
        <f t="shared" si="258"/>
        <v>#DIV/0!</v>
      </c>
      <c r="Y276" s="40"/>
      <c r="Z276" s="33">
        <f t="shared" si="259"/>
        <v>0</v>
      </c>
      <c r="AA276" s="36">
        <f>'1.DATA KIA'!Z264</f>
        <v>0</v>
      </c>
      <c r="AB276" s="33">
        <f t="shared" si="274"/>
        <v>0</v>
      </c>
      <c r="AC276" s="37" t="e">
        <f t="shared" si="260"/>
        <v>#DIV/0!</v>
      </c>
      <c r="AD276" s="40"/>
      <c r="AE276" s="33">
        <f t="shared" si="261"/>
        <v>0</v>
      </c>
      <c r="AF276" s="41">
        <f>'8.ANCTEPADU'!D308+'8.ANCTEPADU'!E308</f>
        <v>0</v>
      </c>
      <c r="AG276" s="33">
        <f t="shared" si="275"/>
        <v>0</v>
      </c>
      <c r="AH276" s="37" t="e">
        <f t="shared" si="262"/>
        <v>#DIV/0!</v>
      </c>
      <c r="AI276" s="33">
        <f t="shared" si="263"/>
        <v>0</v>
      </c>
      <c r="AJ276" s="41">
        <f>'8.ANCTEPADU'!J308</f>
        <v>0</v>
      </c>
      <c r="AK276" s="33">
        <f t="shared" si="276"/>
        <v>0</v>
      </c>
      <c r="AL276" s="37" t="e">
        <f t="shared" si="264"/>
        <v>#DIV/0!</v>
      </c>
      <c r="AM276" s="36">
        <f t="shared" si="265"/>
        <v>0</v>
      </c>
      <c r="AN276" s="36">
        <f>'1.DATA KIA'!AG264</f>
        <v>0</v>
      </c>
      <c r="AO276" s="33">
        <f t="shared" si="283"/>
        <v>0</v>
      </c>
      <c r="AP276" s="37" t="e">
        <f t="shared" si="278"/>
        <v>#DIV/0!</v>
      </c>
      <c r="AQ276" s="40"/>
      <c r="AR276" s="42">
        <f t="shared" si="266"/>
        <v>0</v>
      </c>
      <c r="AS276" s="36">
        <f>'1.DATA KIA'!AB264</f>
        <v>0</v>
      </c>
      <c r="AT276" s="33">
        <f t="shared" si="284"/>
        <v>0</v>
      </c>
      <c r="AU276" s="37" t="e">
        <f t="shared" si="280"/>
        <v>#DIV/0!</v>
      </c>
      <c r="AV276" s="40"/>
      <c r="AW276" s="36">
        <f t="shared" si="267"/>
        <v>0</v>
      </c>
      <c r="AX276" s="33">
        <f>'1.DATA KIA'!AF264</f>
        <v>0</v>
      </c>
      <c r="AY276" s="36">
        <f t="shared" si="281"/>
        <v>0</v>
      </c>
      <c r="AZ276" s="37" t="e">
        <f t="shared" si="282"/>
        <v>#DIV/0!</v>
      </c>
      <c r="BA276" s="38"/>
    </row>
    <row r="277" spans="1:53" ht="30" customHeight="1" x14ac:dyDescent="0.35">
      <c r="A277" s="33">
        <v>19</v>
      </c>
      <c r="B277" s="34">
        <f>PETUNJUK!B27</f>
        <v>0</v>
      </c>
      <c r="C277" s="35">
        <f>'1.DATA KIA'!C265</f>
        <v>0</v>
      </c>
      <c r="D277" s="35">
        <f>'1.DATA KIA'!D265</f>
        <v>0</v>
      </c>
      <c r="E277" s="35">
        <f>E241</f>
        <v>0</v>
      </c>
      <c r="F277" s="36">
        <f>H241</f>
        <v>0</v>
      </c>
      <c r="G277" s="36">
        <f>'1.DATA KIA'!F265</f>
        <v>0</v>
      </c>
      <c r="H277" s="36">
        <f>F277+G277</f>
        <v>0</v>
      </c>
      <c r="I277" s="37" t="e">
        <f>H277/C277*100</f>
        <v>#DIV/0!</v>
      </c>
      <c r="J277" s="40"/>
      <c r="K277" s="36">
        <f>M241</f>
        <v>0</v>
      </c>
      <c r="L277" s="33">
        <f>'1.DATA KIA'!J265</f>
        <v>0</v>
      </c>
      <c r="M277" s="36">
        <f>K277+L277</f>
        <v>0</v>
      </c>
      <c r="N277" s="37" t="e">
        <f t="shared" si="270"/>
        <v>#DIV/0!</v>
      </c>
      <c r="O277" s="40"/>
      <c r="P277" s="36">
        <f>R241</f>
        <v>0</v>
      </c>
      <c r="Q277" s="33">
        <f>'1.DATA KIA'!M265</f>
        <v>0</v>
      </c>
      <c r="R277" s="36">
        <f>P277+Q277</f>
        <v>0</v>
      </c>
      <c r="S277" s="37" t="e">
        <f t="shared" si="272"/>
        <v>#DIV/0!</v>
      </c>
      <c r="T277" s="40"/>
      <c r="U277" s="33">
        <f>W241</f>
        <v>0</v>
      </c>
      <c r="V277" s="36">
        <f>'1.DATA KIA'!Y265</f>
        <v>0</v>
      </c>
      <c r="W277" s="33">
        <f>U277+V277</f>
        <v>0</v>
      </c>
      <c r="X277" s="37" t="e">
        <f>W277/(20%*C277)*100</f>
        <v>#DIV/0!</v>
      </c>
      <c r="Y277" s="40"/>
      <c r="Z277" s="33">
        <f>AB241</f>
        <v>0</v>
      </c>
      <c r="AA277" s="36">
        <f>'1.DATA KIA'!Z265</f>
        <v>0</v>
      </c>
      <c r="AB277" s="33">
        <f>Z277+AA277</f>
        <v>0</v>
      </c>
      <c r="AC277" s="37" t="e">
        <f>AB277/(20%*C277)*100</f>
        <v>#DIV/0!</v>
      </c>
      <c r="AD277" s="40"/>
      <c r="AE277" s="33">
        <f>AG241</f>
        <v>0</v>
      </c>
      <c r="AF277" s="41">
        <f>'8.ANCTEPADU'!D309+'8.ANCTEPADU'!E309</f>
        <v>0</v>
      </c>
      <c r="AG277" s="33">
        <f>AE277+AF277</f>
        <v>0</v>
      </c>
      <c r="AH277" s="37" t="e">
        <f>AG277/C277*100</f>
        <v>#DIV/0!</v>
      </c>
      <c r="AI277" s="33">
        <f>AK241</f>
        <v>0</v>
      </c>
      <c r="AJ277" s="41">
        <f>'8.ANCTEPADU'!J309</f>
        <v>0</v>
      </c>
      <c r="AK277" s="33">
        <f>AI277+AJ277</f>
        <v>0</v>
      </c>
      <c r="AL277" s="37" t="e">
        <f>AK277/C277*100</f>
        <v>#DIV/0!</v>
      </c>
      <c r="AM277" s="36">
        <f>AO241</f>
        <v>0</v>
      </c>
      <c r="AN277" s="36">
        <f>'1.DATA KIA'!AG265</f>
        <v>0</v>
      </c>
      <c r="AO277" s="33">
        <f>AN277+AM277</f>
        <v>0</v>
      </c>
      <c r="AP277" s="37" t="e">
        <f>AO277/E277*100</f>
        <v>#DIV/0!</v>
      </c>
      <c r="AQ277" s="40"/>
      <c r="AR277" s="42">
        <f>AT241</f>
        <v>0</v>
      </c>
      <c r="AS277" s="36">
        <f>'1.DATA KIA'!AB265</f>
        <v>0</v>
      </c>
      <c r="AT277" s="33">
        <f>AS277+AR277</f>
        <v>0</v>
      </c>
      <c r="AU277" s="37" t="e">
        <f>AT277/D277*100</f>
        <v>#DIV/0!</v>
      </c>
      <c r="AV277" s="40"/>
      <c r="AW277" s="36">
        <f>AY241</f>
        <v>0</v>
      </c>
      <c r="AX277" s="33">
        <f>'1.DATA KIA'!AF265</f>
        <v>0</v>
      </c>
      <c r="AY277" s="36">
        <f>AW277+AX277</f>
        <v>0</v>
      </c>
      <c r="AZ277" s="37" t="e">
        <f>AY277/(20%*C277)*100</f>
        <v>#DIV/0!</v>
      </c>
      <c r="BA277" s="38"/>
    </row>
    <row r="278" spans="1:53" ht="30" customHeight="1" x14ac:dyDescent="0.35">
      <c r="A278" s="33">
        <v>20</v>
      </c>
      <c r="B278" s="34">
        <f>PETUNJUK!B28</f>
        <v>0</v>
      </c>
      <c r="C278" s="35">
        <f>'1.DATA KIA'!C266</f>
        <v>0</v>
      </c>
      <c r="D278" s="35">
        <f>'1.DATA KIA'!D266</f>
        <v>0</v>
      </c>
      <c r="E278" s="35">
        <f>E242</f>
        <v>0</v>
      </c>
      <c r="F278" s="36">
        <f>H242</f>
        <v>0</v>
      </c>
      <c r="G278" s="36">
        <f>'1.DATA KIA'!F266</f>
        <v>0</v>
      </c>
      <c r="H278" s="36">
        <f>F278+G278</f>
        <v>0</v>
      </c>
      <c r="I278" s="37" t="e">
        <f>H278/C278*100</f>
        <v>#DIV/0!</v>
      </c>
      <c r="J278" s="40"/>
      <c r="K278" s="36">
        <f>M242</f>
        <v>0</v>
      </c>
      <c r="L278" s="33">
        <f>'1.DATA KIA'!J266</f>
        <v>0</v>
      </c>
      <c r="M278" s="36">
        <f>K278+L278</f>
        <v>0</v>
      </c>
      <c r="N278" s="37" t="e">
        <f t="shared" si="270"/>
        <v>#DIV/0!</v>
      </c>
      <c r="O278" s="40"/>
      <c r="P278" s="36">
        <f>R242</f>
        <v>0</v>
      </c>
      <c r="Q278" s="33">
        <f>'1.DATA KIA'!M266</f>
        <v>0</v>
      </c>
      <c r="R278" s="36">
        <f>P278+Q278</f>
        <v>0</v>
      </c>
      <c r="S278" s="37" t="e">
        <f t="shared" si="272"/>
        <v>#DIV/0!</v>
      </c>
      <c r="T278" s="40"/>
      <c r="U278" s="33">
        <f>W242</f>
        <v>0</v>
      </c>
      <c r="V278" s="36">
        <f>'1.DATA KIA'!Y266</f>
        <v>0</v>
      </c>
      <c r="W278" s="33">
        <f>U278+V278</f>
        <v>0</v>
      </c>
      <c r="X278" s="37" t="e">
        <f>W278/(20%*C278)*100</f>
        <v>#DIV/0!</v>
      </c>
      <c r="Y278" s="40"/>
      <c r="Z278" s="33">
        <f>AB242</f>
        <v>0</v>
      </c>
      <c r="AA278" s="36">
        <f>'1.DATA KIA'!Z266</f>
        <v>0</v>
      </c>
      <c r="AB278" s="33">
        <f>Z278+AA278</f>
        <v>0</v>
      </c>
      <c r="AC278" s="37" t="e">
        <f>AB278/(20%*C278)*100</f>
        <v>#DIV/0!</v>
      </c>
      <c r="AD278" s="40"/>
      <c r="AE278" s="33">
        <f>AG242</f>
        <v>0</v>
      </c>
      <c r="AF278" s="41">
        <f>'8.ANCTEPADU'!D310+'8.ANCTEPADU'!E310</f>
        <v>0</v>
      </c>
      <c r="AG278" s="33">
        <f>AE278+AF278</f>
        <v>0</v>
      </c>
      <c r="AH278" s="37" t="e">
        <f>AG278/C278*100</f>
        <v>#DIV/0!</v>
      </c>
      <c r="AI278" s="33">
        <f>AK242</f>
        <v>0</v>
      </c>
      <c r="AJ278" s="41">
        <f>'8.ANCTEPADU'!J310</f>
        <v>0</v>
      </c>
      <c r="AK278" s="33">
        <f>AI278+AJ278</f>
        <v>0</v>
      </c>
      <c r="AL278" s="37" t="e">
        <f>AK278/C278*100</f>
        <v>#DIV/0!</v>
      </c>
      <c r="AM278" s="36">
        <f>AO242</f>
        <v>0</v>
      </c>
      <c r="AN278" s="36">
        <f>'1.DATA KIA'!AG266</f>
        <v>0</v>
      </c>
      <c r="AO278" s="33">
        <f>AN278+AM278</f>
        <v>0</v>
      </c>
      <c r="AP278" s="37" t="e">
        <f>AO278/E278*100</f>
        <v>#DIV/0!</v>
      </c>
      <c r="AQ278" s="40"/>
      <c r="AR278" s="42">
        <f>AT242</f>
        <v>0</v>
      </c>
      <c r="AS278" s="36">
        <f>'1.DATA KIA'!AB266</f>
        <v>0</v>
      </c>
      <c r="AT278" s="33">
        <f>AS278+AR278</f>
        <v>0</v>
      </c>
      <c r="AU278" s="37" t="e">
        <f>AT278/D278*100</f>
        <v>#DIV/0!</v>
      </c>
      <c r="AV278" s="40"/>
      <c r="AW278" s="36">
        <f>AY242</f>
        <v>0</v>
      </c>
      <c r="AX278" s="33">
        <f>'1.DATA KIA'!AF266</f>
        <v>0</v>
      </c>
      <c r="AY278" s="36">
        <f>AW278+AX278</f>
        <v>0</v>
      </c>
      <c r="AZ278" s="37" t="e">
        <f>AY278/(20%*C278)*100</f>
        <v>#DIV/0!</v>
      </c>
      <c r="BA278" s="38"/>
    </row>
    <row r="279" spans="1:53" ht="30" customHeight="1" x14ac:dyDescent="0.35">
      <c r="A279" s="33">
        <v>21</v>
      </c>
      <c r="B279" s="34">
        <f>PETUNJUK!B29</f>
        <v>0</v>
      </c>
      <c r="C279" s="35">
        <f>'1.DATA KIA'!C267</f>
        <v>0</v>
      </c>
      <c r="D279" s="35">
        <f>'1.DATA KIA'!D267</f>
        <v>0</v>
      </c>
      <c r="E279" s="35">
        <f>E243</f>
        <v>0</v>
      </c>
      <c r="F279" s="36">
        <f>H243</f>
        <v>0</v>
      </c>
      <c r="G279" s="36">
        <f>'1.DATA KIA'!F267</f>
        <v>0</v>
      </c>
      <c r="H279" s="36">
        <f>F279+G279</f>
        <v>0</v>
      </c>
      <c r="I279" s="37" t="e">
        <f>H279/C279*100</f>
        <v>#DIV/0!</v>
      </c>
      <c r="J279" s="40"/>
      <c r="K279" s="36">
        <f>M243</f>
        <v>0</v>
      </c>
      <c r="L279" s="33">
        <f>'1.DATA KIA'!J267</f>
        <v>0</v>
      </c>
      <c r="M279" s="36">
        <f>K279+L279</f>
        <v>0</v>
      </c>
      <c r="N279" s="37" t="e">
        <f t="shared" si="270"/>
        <v>#DIV/0!</v>
      </c>
      <c r="O279" s="40"/>
      <c r="P279" s="36">
        <f>R243</f>
        <v>0</v>
      </c>
      <c r="Q279" s="33">
        <f>'1.DATA KIA'!M267</f>
        <v>0</v>
      </c>
      <c r="R279" s="36">
        <f>P279+Q279</f>
        <v>0</v>
      </c>
      <c r="S279" s="37" t="e">
        <f t="shared" si="272"/>
        <v>#DIV/0!</v>
      </c>
      <c r="T279" s="40"/>
      <c r="U279" s="33">
        <f>W243</f>
        <v>0</v>
      </c>
      <c r="V279" s="36">
        <f>'1.DATA KIA'!Y267</f>
        <v>0</v>
      </c>
      <c r="W279" s="33">
        <f>U279+V279</f>
        <v>0</v>
      </c>
      <c r="X279" s="37" t="e">
        <f>W279/(20%*C279)*100</f>
        <v>#DIV/0!</v>
      </c>
      <c r="Y279" s="40"/>
      <c r="Z279" s="33">
        <f>AB243</f>
        <v>0</v>
      </c>
      <c r="AA279" s="36">
        <f>'1.DATA KIA'!Z267</f>
        <v>0</v>
      </c>
      <c r="AB279" s="33">
        <f>Z279+AA279</f>
        <v>0</v>
      </c>
      <c r="AC279" s="37" t="e">
        <f>AB279/(20%*C279)*100</f>
        <v>#DIV/0!</v>
      </c>
      <c r="AD279" s="40"/>
      <c r="AE279" s="33">
        <f>AG243</f>
        <v>0</v>
      </c>
      <c r="AF279" s="41">
        <f>'8.ANCTEPADU'!D311+'8.ANCTEPADU'!E311</f>
        <v>0</v>
      </c>
      <c r="AG279" s="33">
        <f>AE279+AF279</f>
        <v>0</v>
      </c>
      <c r="AH279" s="37" t="e">
        <f>AG279/C279*100</f>
        <v>#DIV/0!</v>
      </c>
      <c r="AI279" s="33">
        <f>AK243</f>
        <v>0</v>
      </c>
      <c r="AJ279" s="41">
        <f>'8.ANCTEPADU'!J311</f>
        <v>0</v>
      </c>
      <c r="AK279" s="33">
        <f>AI279+AJ279</f>
        <v>0</v>
      </c>
      <c r="AL279" s="37" t="e">
        <f>AK279/C279*100</f>
        <v>#DIV/0!</v>
      </c>
      <c r="AM279" s="36">
        <f>AO243</f>
        <v>0</v>
      </c>
      <c r="AN279" s="36">
        <f>'1.DATA KIA'!AG267</f>
        <v>0</v>
      </c>
      <c r="AO279" s="33">
        <f>AN279+AM279</f>
        <v>0</v>
      </c>
      <c r="AP279" s="37" t="e">
        <f>AO279/E279*100</f>
        <v>#DIV/0!</v>
      </c>
      <c r="AQ279" s="40"/>
      <c r="AR279" s="42">
        <f>AT243</f>
        <v>0</v>
      </c>
      <c r="AS279" s="36">
        <f>'1.DATA KIA'!AB267</f>
        <v>0</v>
      </c>
      <c r="AT279" s="33">
        <f>AS279+AR279</f>
        <v>0</v>
      </c>
      <c r="AU279" s="37" t="e">
        <f>AT279/D279*100</f>
        <v>#DIV/0!</v>
      </c>
      <c r="AV279" s="40"/>
      <c r="AW279" s="36">
        <f>AY243</f>
        <v>0</v>
      </c>
      <c r="AX279" s="33">
        <f>'1.DATA KIA'!AF267</f>
        <v>0</v>
      </c>
      <c r="AY279" s="36">
        <f>AW279+AX279</f>
        <v>0</v>
      </c>
      <c r="AZ279" s="37" t="e">
        <f>AY279/(20%*C279)*100</f>
        <v>#DIV/0!</v>
      </c>
      <c r="BA279" s="38"/>
    </row>
    <row r="280" spans="1:53" ht="30" customHeight="1" thickBot="1" x14ac:dyDescent="0.4">
      <c r="A280" s="46">
        <v>22</v>
      </c>
      <c r="B280" s="47">
        <f>PETUNJUK!B30</f>
        <v>0</v>
      </c>
      <c r="C280" s="48">
        <f>'1.DATA KIA'!C268</f>
        <v>0</v>
      </c>
      <c r="D280" s="48">
        <f>'1.DATA KIA'!D268</f>
        <v>0</v>
      </c>
      <c r="E280" s="48">
        <f>E244</f>
        <v>0</v>
      </c>
      <c r="F280" s="49">
        <f>H244</f>
        <v>0</v>
      </c>
      <c r="G280" s="49">
        <f>'1.DATA KIA'!F268</f>
        <v>0</v>
      </c>
      <c r="H280" s="49">
        <f>F280+G280</f>
        <v>0</v>
      </c>
      <c r="I280" s="50" t="e">
        <f>H280/C280*100</f>
        <v>#DIV/0!</v>
      </c>
      <c r="J280" s="53"/>
      <c r="K280" s="49">
        <f>M244</f>
        <v>0</v>
      </c>
      <c r="L280" s="46">
        <f>'1.DATA KIA'!J268</f>
        <v>0</v>
      </c>
      <c r="M280" s="49">
        <f>K280+L280</f>
        <v>0</v>
      </c>
      <c r="N280" s="37" t="e">
        <f t="shared" si="270"/>
        <v>#DIV/0!</v>
      </c>
      <c r="O280" s="53"/>
      <c r="P280" s="49">
        <f>R244</f>
        <v>0</v>
      </c>
      <c r="Q280" s="33">
        <f>'1.DATA KIA'!M268</f>
        <v>0</v>
      </c>
      <c r="R280" s="49">
        <f>P280+Q280</f>
        <v>0</v>
      </c>
      <c r="S280" s="37" t="e">
        <f t="shared" si="272"/>
        <v>#DIV/0!</v>
      </c>
      <c r="T280" s="53"/>
      <c r="U280" s="46">
        <f>W244</f>
        <v>0</v>
      </c>
      <c r="V280" s="49">
        <f>'1.DATA KIA'!Y268</f>
        <v>0</v>
      </c>
      <c r="W280" s="46">
        <f>U280+V280</f>
        <v>0</v>
      </c>
      <c r="X280" s="50" t="e">
        <f>W280/(20%*C280)*100</f>
        <v>#DIV/0!</v>
      </c>
      <c r="Y280" s="53"/>
      <c r="Z280" s="46">
        <f>AB244</f>
        <v>0</v>
      </c>
      <c r="AA280" s="49">
        <f>'1.DATA KIA'!Z268</f>
        <v>0</v>
      </c>
      <c r="AB280" s="46">
        <f>Z280+AA280</f>
        <v>0</v>
      </c>
      <c r="AC280" s="50" t="e">
        <f>AB280/(20%*C280)*100</f>
        <v>#DIV/0!</v>
      </c>
      <c r="AD280" s="53"/>
      <c r="AE280" s="46">
        <f>AG244</f>
        <v>0</v>
      </c>
      <c r="AF280" s="41">
        <f>'8.ANCTEPADU'!D312+'8.ANCTEPADU'!E312</f>
        <v>0</v>
      </c>
      <c r="AG280" s="46">
        <f>AE280+AF280</f>
        <v>0</v>
      </c>
      <c r="AH280" s="50" t="e">
        <f>AG280/C280*100</f>
        <v>#DIV/0!</v>
      </c>
      <c r="AI280" s="46">
        <f>AK244</f>
        <v>0</v>
      </c>
      <c r="AJ280" s="41">
        <f>'8.ANCTEPADU'!J312</f>
        <v>0</v>
      </c>
      <c r="AK280" s="46">
        <f>AI280+AJ280</f>
        <v>0</v>
      </c>
      <c r="AL280" s="50" t="e">
        <f>AK280/C280*100</f>
        <v>#DIV/0!</v>
      </c>
      <c r="AM280" s="49">
        <f>AO244</f>
        <v>0</v>
      </c>
      <c r="AN280" s="49">
        <f>'1.DATA KIA'!AG268</f>
        <v>0</v>
      </c>
      <c r="AO280" s="46">
        <f>AN280+AM280</f>
        <v>0</v>
      </c>
      <c r="AP280" s="50" t="e">
        <f>AO280/E280*100</f>
        <v>#DIV/0!</v>
      </c>
      <c r="AQ280" s="53"/>
      <c r="AR280" s="55">
        <f>AT244</f>
        <v>0</v>
      </c>
      <c r="AS280" s="49">
        <f>'1.DATA KIA'!AB268</f>
        <v>0</v>
      </c>
      <c r="AT280" s="46">
        <f>AS280+AR280</f>
        <v>0</v>
      </c>
      <c r="AU280" s="50" t="e">
        <f>AT280/D280*100</f>
        <v>#DIV/0!</v>
      </c>
      <c r="AV280" s="53"/>
      <c r="AW280" s="49">
        <f>AY244</f>
        <v>0</v>
      </c>
      <c r="AX280" s="46">
        <f>'1.DATA KIA'!AF268</f>
        <v>0</v>
      </c>
      <c r="AY280" s="49">
        <f>AW280+AX280</f>
        <v>0</v>
      </c>
      <c r="AZ280" s="50" t="e">
        <f>AY280/(20%*C280)*100</f>
        <v>#DIV/0!</v>
      </c>
      <c r="BA280" s="51"/>
    </row>
    <row r="281" spans="1:53" ht="30" customHeight="1" thickBot="1" x14ac:dyDescent="0.4">
      <c r="A281" s="354"/>
      <c r="B281" s="355" t="s">
        <v>18</v>
      </c>
      <c r="C281" s="347">
        <f>SUM(C259:C280)</f>
        <v>1067</v>
      </c>
      <c r="D281" s="347">
        <f t="shared" ref="D281:AY281" si="285">SUM(D259:D280)</f>
        <v>1018.5</v>
      </c>
      <c r="E281" s="347">
        <f t="shared" si="285"/>
        <v>0</v>
      </c>
      <c r="F281" s="347">
        <f t="shared" si="285"/>
        <v>374</v>
      </c>
      <c r="G281" s="347">
        <f t="shared" si="285"/>
        <v>0</v>
      </c>
      <c r="H281" s="347">
        <f t="shared" si="285"/>
        <v>374</v>
      </c>
      <c r="I281" s="357">
        <f>H281/C281*100</f>
        <v>35.051546391752574</v>
      </c>
      <c r="J281" s="347">
        <f t="shared" si="285"/>
        <v>0</v>
      </c>
      <c r="K281" s="347">
        <f t="shared" si="285"/>
        <v>283</v>
      </c>
      <c r="L281" s="347">
        <f t="shared" si="285"/>
        <v>0</v>
      </c>
      <c r="M281" s="347">
        <f t="shared" si="285"/>
        <v>283</v>
      </c>
      <c r="N281" s="357">
        <f>M281/D281*100</f>
        <v>27.785959744722632</v>
      </c>
      <c r="O281" s="347">
        <f t="shared" si="285"/>
        <v>0</v>
      </c>
      <c r="P281" s="347">
        <f t="shared" ref="P281:R281" si="286">SUM(P259:P280)</f>
        <v>309</v>
      </c>
      <c r="Q281" s="347">
        <f t="shared" si="286"/>
        <v>0</v>
      </c>
      <c r="R281" s="347">
        <f t="shared" si="286"/>
        <v>309</v>
      </c>
      <c r="S281" s="357">
        <f>R281/C281*100</f>
        <v>28.959700093720713</v>
      </c>
      <c r="T281" s="347">
        <f t="shared" ref="T281" si="287">SUM(T259:T280)</f>
        <v>0</v>
      </c>
      <c r="U281" s="347">
        <f t="shared" si="285"/>
        <v>92</v>
      </c>
      <c r="V281" s="347">
        <f t="shared" si="285"/>
        <v>0</v>
      </c>
      <c r="W281" s="347">
        <f t="shared" si="285"/>
        <v>92</v>
      </c>
      <c r="X281" s="357">
        <f>W281/(20%*C281)*100</f>
        <v>43.111527647610117</v>
      </c>
      <c r="Y281" s="347">
        <f t="shared" si="285"/>
        <v>0</v>
      </c>
      <c r="Z281" s="347">
        <f t="shared" si="285"/>
        <v>47</v>
      </c>
      <c r="AA281" s="347">
        <f t="shared" si="285"/>
        <v>0</v>
      </c>
      <c r="AB281" s="347">
        <f t="shared" si="285"/>
        <v>47</v>
      </c>
      <c r="AC281" s="357">
        <f>AB281/(20%*C281)*100</f>
        <v>22.024367385192125</v>
      </c>
      <c r="AD281" s="347">
        <f t="shared" si="285"/>
        <v>0</v>
      </c>
      <c r="AE281" s="347">
        <f t="shared" si="285"/>
        <v>32</v>
      </c>
      <c r="AF281" s="347">
        <f t="shared" si="285"/>
        <v>0</v>
      </c>
      <c r="AG281" s="347">
        <f t="shared" si="285"/>
        <v>32</v>
      </c>
      <c r="AH281" s="357">
        <f>AG281/C281*100</f>
        <v>2.999062792877226</v>
      </c>
      <c r="AI281" s="347">
        <f t="shared" si="285"/>
        <v>42</v>
      </c>
      <c r="AJ281" s="347">
        <f t="shared" si="285"/>
        <v>0</v>
      </c>
      <c r="AK281" s="347">
        <f t="shared" si="285"/>
        <v>42</v>
      </c>
      <c r="AL281" s="357">
        <f>AK281/C281*100</f>
        <v>3.936269915651359</v>
      </c>
      <c r="AM281" s="347">
        <f t="shared" si="285"/>
        <v>298</v>
      </c>
      <c r="AN281" s="347">
        <f t="shared" si="285"/>
        <v>0</v>
      </c>
      <c r="AO281" s="347">
        <f t="shared" si="285"/>
        <v>298</v>
      </c>
      <c r="AP281" s="357" t="e">
        <f>AO281/E281*100</f>
        <v>#DIV/0!</v>
      </c>
      <c r="AQ281" s="347">
        <f t="shared" si="285"/>
        <v>0</v>
      </c>
      <c r="AR281" s="347">
        <f t="shared" si="285"/>
        <v>298</v>
      </c>
      <c r="AS281" s="347">
        <f t="shared" si="285"/>
        <v>0</v>
      </c>
      <c r="AT281" s="347">
        <f t="shared" si="285"/>
        <v>298</v>
      </c>
      <c r="AU281" s="357">
        <f>AT281/D281*100</f>
        <v>29.258713794796272</v>
      </c>
      <c r="AV281" s="347">
        <f t="shared" si="285"/>
        <v>0</v>
      </c>
      <c r="AW281" s="347">
        <f t="shared" si="285"/>
        <v>69</v>
      </c>
      <c r="AX281" s="347">
        <f t="shared" si="285"/>
        <v>0</v>
      </c>
      <c r="AY281" s="347">
        <f t="shared" si="285"/>
        <v>69</v>
      </c>
      <c r="AZ281" s="357">
        <f>AY281/(20%*C281)*100</f>
        <v>32.333645735707591</v>
      </c>
      <c r="BA281" s="361"/>
    </row>
    <row r="282" spans="1:53" ht="12.75" customHeight="1" x14ac:dyDescent="0.35"/>
    <row r="283" spans="1:53" ht="12.75" customHeight="1" x14ac:dyDescent="0.35"/>
    <row r="284" spans="1:53" ht="12.75" customHeight="1" x14ac:dyDescent="0.35"/>
    <row r="287" spans="1:53" x14ac:dyDescent="0.35">
      <c r="A287" s="770" t="s">
        <v>19</v>
      </c>
      <c r="B287" s="770"/>
      <c r="C287" s="770"/>
      <c r="D287" s="770"/>
      <c r="E287" s="770"/>
      <c r="F287" s="770"/>
      <c r="G287" s="770"/>
      <c r="H287" s="770"/>
      <c r="I287" s="770"/>
      <c r="J287" s="770"/>
      <c r="K287" s="770"/>
      <c r="L287" s="770"/>
      <c r="M287" s="770"/>
      <c r="N287" s="770"/>
      <c r="O287" s="770"/>
      <c r="P287" s="770"/>
      <c r="Q287" s="770"/>
      <c r="R287" s="770"/>
      <c r="S287" s="770"/>
      <c r="T287" s="770"/>
      <c r="U287" s="770"/>
      <c r="V287" s="770"/>
      <c r="W287" s="770"/>
      <c r="X287" s="770"/>
      <c r="Y287" s="770"/>
      <c r="Z287" s="770"/>
      <c r="AA287" s="770"/>
      <c r="AB287" s="770"/>
      <c r="AC287" s="770"/>
      <c r="AD287" s="770"/>
      <c r="AE287" s="770"/>
      <c r="AF287" s="770"/>
      <c r="AG287" s="770"/>
      <c r="AH287" s="770"/>
      <c r="AI287" s="770"/>
      <c r="AJ287" s="770"/>
      <c r="AK287" s="770"/>
      <c r="AL287" s="770"/>
      <c r="AM287" s="770"/>
      <c r="AN287" s="770"/>
      <c r="AO287" s="770"/>
      <c r="AP287" s="770"/>
      <c r="AQ287" s="770"/>
      <c r="AR287" s="770"/>
      <c r="AS287" s="770"/>
      <c r="AT287" s="770"/>
      <c r="AU287" s="770"/>
      <c r="AV287" s="770"/>
      <c r="AW287" s="770"/>
      <c r="AX287" s="770"/>
      <c r="AY287" s="770"/>
      <c r="AZ287" s="770"/>
      <c r="BA287" s="770"/>
    </row>
    <row r="288" spans="1:53" ht="20.149999999999999" customHeight="1" x14ac:dyDescent="0.35">
      <c r="A288" s="31"/>
      <c r="B288" s="31" t="s">
        <v>175</v>
      </c>
      <c r="C288" s="345" t="str">
        <f>PETUNJUK!C5</f>
        <v>PECANGAAN</v>
      </c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</row>
    <row r="289" spans="1:54" ht="20.149999999999999" customHeight="1" x14ac:dyDescent="0.35">
      <c r="A289" s="30"/>
      <c r="B289" s="31" t="s">
        <v>170</v>
      </c>
      <c r="C289" s="32" t="str">
        <f>'1.DATA KIA'!C276</f>
        <v xml:space="preserve">SEPTEMBER </v>
      </c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</row>
    <row r="290" spans="1:54" x14ac:dyDescent="0.35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</row>
    <row r="291" spans="1:54" s="45" customFormat="1" ht="22.5" customHeight="1" x14ac:dyDescent="0.35">
      <c r="A291" s="774" t="s">
        <v>1</v>
      </c>
      <c r="B291" s="774" t="s">
        <v>2</v>
      </c>
      <c r="C291" s="777" t="s">
        <v>20</v>
      </c>
      <c r="D291" s="778"/>
      <c r="E291" s="778"/>
      <c r="F291" s="777" t="s">
        <v>21</v>
      </c>
      <c r="G291" s="778"/>
      <c r="H291" s="778"/>
      <c r="I291" s="778"/>
      <c r="J291" s="791"/>
      <c r="K291" s="777" t="s">
        <v>9</v>
      </c>
      <c r="L291" s="778"/>
      <c r="M291" s="778"/>
      <c r="N291" s="778"/>
      <c r="O291" s="791"/>
      <c r="P291" s="777" t="s">
        <v>289</v>
      </c>
      <c r="Q291" s="778"/>
      <c r="R291" s="778"/>
      <c r="S291" s="778"/>
      <c r="T291" s="791"/>
      <c r="U291" s="771" t="s">
        <v>22</v>
      </c>
      <c r="V291" s="772"/>
      <c r="W291" s="772"/>
      <c r="X291" s="772"/>
      <c r="Y291" s="772"/>
      <c r="Z291" s="772"/>
      <c r="AA291" s="772"/>
      <c r="AB291" s="772"/>
      <c r="AC291" s="772"/>
      <c r="AD291" s="773"/>
      <c r="AE291" s="771" t="s">
        <v>5</v>
      </c>
      <c r="AF291" s="772"/>
      <c r="AG291" s="772"/>
      <c r="AH291" s="772"/>
      <c r="AI291" s="772"/>
      <c r="AJ291" s="772"/>
      <c r="AK291" s="772"/>
      <c r="AL291" s="773"/>
      <c r="AM291" s="771" t="s">
        <v>23</v>
      </c>
      <c r="AN291" s="772"/>
      <c r="AO291" s="772"/>
      <c r="AP291" s="772"/>
      <c r="AQ291" s="773"/>
      <c r="AR291" s="779" t="s">
        <v>24</v>
      </c>
      <c r="AS291" s="780"/>
      <c r="AT291" s="780"/>
      <c r="AU291" s="780"/>
      <c r="AV291" s="781"/>
      <c r="AW291" s="779" t="s">
        <v>241</v>
      </c>
      <c r="AX291" s="780"/>
      <c r="AY291" s="780"/>
      <c r="AZ291" s="780"/>
      <c r="BA291" s="781"/>
      <c r="BB291" s="348"/>
    </row>
    <row r="292" spans="1:54" s="45" customFormat="1" ht="15" customHeight="1" x14ac:dyDescent="0.35">
      <c r="A292" s="775"/>
      <c r="B292" s="775"/>
      <c r="C292" s="767" t="s">
        <v>5</v>
      </c>
      <c r="D292" s="767" t="s">
        <v>6</v>
      </c>
      <c r="E292" s="767" t="s">
        <v>7</v>
      </c>
      <c r="F292" s="767" t="s">
        <v>26</v>
      </c>
      <c r="G292" s="767" t="s">
        <v>27</v>
      </c>
      <c r="H292" s="771" t="s">
        <v>28</v>
      </c>
      <c r="I292" s="773"/>
      <c r="J292" s="785" t="s">
        <v>29</v>
      </c>
      <c r="K292" s="785" t="s">
        <v>26</v>
      </c>
      <c r="L292" s="785" t="s">
        <v>27</v>
      </c>
      <c r="M292" s="771" t="s">
        <v>28</v>
      </c>
      <c r="N292" s="773"/>
      <c r="O292" s="785" t="s">
        <v>29</v>
      </c>
      <c r="P292" s="785" t="s">
        <v>26</v>
      </c>
      <c r="Q292" s="785" t="s">
        <v>27</v>
      </c>
      <c r="R292" s="771" t="s">
        <v>28</v>
      </c>
      <c r="S292" s="773"/>
      <c r="T292" s="785" t="s">
        <v>29</v>
      </c>
      <c r="U292" s="771" t="s">
        <v>30</v>
      </c>
      <c r="V292" s="772"/>
      <c r="W292" s="772"/>
      <c r="X292" s="772"/>
      <c r="Y292" s="773"/>
      <c r="Z292" s="771" t="s">
        <v>31</v>
      </c>
      <c r="AA292" s="772"/>
      <c r="AB292" s="772"/>
      <c r="AC292" s="772"/>
      <c r="AD292" s="773"/>
      <c r="AE292" s="771" t="s">
        <v>32</v>
      </c>
      <c r="AF292" s="772"/>
      <c r="AG292" s="772"/>
      <c r="AH292" s="773"/>
      <c r="AI292" s="771" t="s">
        <v>33</v>
      </c>
      <c r="AJ292" s="772"/>
      <c r="AK292" s="772"/>
      <c r="AL292" s="773"/>
      <c r="AM292" s="785" t="s">
        <v>34</v>
      </c>
      <c r="AN292" s="785" t="s">
        <v>35</v>
      </c>
      <c r="AO292" s="788" t="s">
        <v>36</v>
      </c>
      <c r="AP292" s="782" t="s">
        <v>37</v>
      </c>
      <c r="AQ292" s="785" t="s">
        <v>29</v>
      </c>
      <c r="AR292" s="785" t="s">
        <v>34</v>
      </c>
      <c r="AS292" s="785" t="s">
        <v>35</v>
      </c>
      <c r="AT292" s="788" t="s">
        <v>36</v>
      </c>
      <c r="AU292" s="782" t="s">
        <v>37</v>
      </c>
      <c r="AV292" s="785" t="s">
        <v>29</v>
      </c>
      <c r="AW292" s="785" t="s">
        <v>34</v>
      </c>
      <c r="AX292" s="785" t="s">
        <v>35</v>
      </c>
      <c r="AY292" s="788" t="s">
        <v>36</v>
      </c>
      <c r="AZ292" s="782" t="s">
        <v>37</v>
      </c>
      <c r="BA292" s="785" t="s">
        <v>29</v>
      </c>
      <c r="BB292" s="348"/>
    </row>
    <row r="293" spans="1:54" s="45" customFormat="1" ht="14.25" customHeight="1" x14ac:dyDescent="0.35">
      <c r="A293" s="775"/>
      <c r="B293" s="775"/>
      <c r="C293" s="768"/>
      <c r="D293" s="768"/>
      <c r="E293" s="768"/>
      <c r="F293" s="768"/>
      <c r="G293" s="768"/>
      <c r="H293" s="785" t="s">
        <v>36</v>
      </c>
      <c r="I293" s="782" t="s">
        <v>37</v>
      </c>
      <c r="J293" s="786"/>
      <c r="K293" s="786"/>
      <c r="L293" s="786"/>
      <c r="M293" s="785" t="s">
        <v>36</v>
      </c>
      <c r="N293" s="785" t="s">
        <v>37</v>
      </c>
      <c r="O293" s="786"/>
      <c r="P293" s="786"/>
      <c r="Q293" s="786"/>
      <c r="R293" s="785" t="s">
        <v>36</v>
      </c>
      <c r="S293" s="785" t="s">
        <v>37</v>
      </c>
      <c r="T293" s="786"/>
      <c r="U293" s="785" t="s">
        <v>26</v>
      </c>
      <c r="V293" s="785" t="s">
        <v>27</v>
      </c>
      <c r="W293" s="779" t="s">
        <v>28</v>
      </c>
      <c r="X293" s="781"/>
      <c r="Y293" s="785" t="s">
        <v>29</v>
      </c>
      <c r="Z293" s="785" t="s">
        <v>26</v>
      </c>
      <c r="AA293" s="785" t="s">
        <v>27</v>
      </c>
      <c r="AB293" s="779" t="s">
        <v>28</v>
      </c>
      <c r="AC293" s="781"/>
      <c r="AD293" s="785" t="s">
        <v>29</v>
      </c>
      <c r="AE293" s="771" t="s">
        <v>38</v>
      </c>
      <c r="AF293" s="772"/>
      <c r="AG293" s="772"/>
      <c r="AH293" s="773"/>
      <c r="AI293" s="771" t="s">
        <v>39</v>
      </c>
      <c r="AJ293" s="772"/>
      <c r="AK293" s="772"/>
      <c r="AL293" s="773"/>
      <c r="AM293" s="786"/>
      <c r="AN293" s="786"/>
      <c r="AO293" s="789"/>
      <c r="AP293" s="783"/>
      <c r="AQ293" s="786"/>
      <c r="AR293" s="786"/>
      <c r="AS293" s="786"/>
      <c r="AT293" s="789"/>
      <c r="AU293" s="783"/>
      <c r="AV293" s="786"/>
      <c r="AW293" s="786"/>
      <c r="AX293" s="786"/>
      <c r="AY293" s="789"/>
      <c r="AZ293" s="783"/>
      <c r="BA293" s="786"/>
      <c r="BB293" s="348"/>
    </row>
    <row r="294" spans="1:54" s="45" customFormat="1" ht="48" customHeight="1" x14ac:dyDescent="0.35">
      <c r="A294" s="776"/>
      <c r="B294" s="776"/>
      <c r="C294" s="769"/>
      <c r="D294" s="769"/>
      <c r="E294" s="769"/>
      <c r="F294" s="769"/>
      <c r="G294" s="769"/>
      <c r="H294" s="787"/>
      <c r="I294" s="784"/>
      <c r="J294" s="787"/>
      <c r="K294" s="787"/>
      <c r="L294" s="787"/>
      <c r="M294" s="787"/>
      <c r="N294" s="787"/>
      <c r="O294" s="787"/>
      <c r="P294" s="787"/>
      <c r="Q294" s="787"/>
      <c r="R294" s="787"/>
      <c r="S294" s="787"/>
      <c r="T294" s="787"/>
      <c r="U294" s="787"/>
      <c r="V294" s="787"/>
      <c r="W294" s="352" t="s">
        <v>36</v>
      </c>
      <c r="X294" s="353" t="s">
        <v>37</v>
      </c>
      <c r="Y294" s="787"/>
      <c r="Z294" s="787"/>
      <c r="AA294" s="787"/>
      <c r="AB294" s="352" t="s">
        <v>36</v>
      </c>
      <c r="AC294" s="353" t="s">
        <v>37</v>
      </c>
      <c r="AD294" s="787"/>
      <c r="AE294" s="352" t="s">
        <v>26</v>
      </c>
      <c r="AF294" s="352" t="s">
        <v>27</v>
      </c>
      <c r="AG294" s="352" t="s">
        <v>36</v>
      </c>
      <c r="AH294" s="353" t="s">
        <v>37</v>
      </c>
      <c r="AI294" s="352" t="s">
        <v>26</v>
      </c>
      <c r="AJ294" s="352" t="s">
        <v>27</v>
      </c>
      <c r="AK294" s="352" t="s">
        <v>36</v>
      </c>
      <c r="AL294" s="353" t="s">
        <v>37</v>
      </c>
      <c r="AM294" s="787"/>
      <c r="AN294" s="787"/>
      <c r="AO294" s="790"/>
      <c r="AP294" s="784"/>
      <c r="AQ294" s="787"/>
      <c r="AR294" s="787"/>
      <c r="AS294" s="787"/>
      <c r="AT294" s="790"/>
      <c r="AU294" s="784"/>
      <c r="AV294" s="787"/>
      <c r="AW294" s="787"/>
      <c r="AX294" s="787"/>
      <c r="AY294" s="790"/>
      <c r="AZ294" s="784"/>
      <c r="BA294" s="787"/>
      <c r="BB294" s="348"/>
    </row>
    <row r="295" spans="1:54" ht="30" customHeight="1" x14ac:dyDescent="0.35">
      <c r="A295" s="33">
        <v>1</v>
      </c>
      <c r="B295" s="34" t="str">
        <f>PETUNJUK!B9</f>
        <v>Pecangaan Kulon</v>
      </c>
      <c r="C295" s="35">
        <f>'1.DATA KIA'!C281</f>
        <v>101.2</v>
      </c>
      <c r="D295" s="35">
        <f>'1.DATA KIA'!D281</f>
        <v>96.600000000000009</v>
      </c>
      <c r="E295" s="35">
        <f t="shared" ref="E295:E312" si="288">E259</f>
        <v>0</v>
      </c>
      <c r="F295" s="36">
        <f t="shared" ref="F295:F312" si="289">H259</f>
        <v>30</v>
      </c>
      <c r="G295" s="36">
        <f>'1.DATA KIA'!F281</f>
        <v>0</v>
      </c>
      <c r="H295" s="36">
        <f>F295+G295</f>
        <v>30</v>
      </c>
      <c r="I295" s="37">
        <f t="shared" ref="I295:I312" si="290">H295/C295*100</f>
        <v>29.644268774703558</v>
      </c>
      <c r="J295" s="40"/>
      <c r="K295" s="36">
        <f t="shared" ref="K295:K312" si="291">M259</f>
        <v>28</v>
      </c>
      <c r="L295" s="33">
        <f>'1.DATA KIA'!J281</f>
        <v>0</v>
      </c>
      <c r="M295" s="36">
        <f>K295+L295</f>
        <v>28</v>
      </c>
      <c r="N295" s="37">
        <f>M295/D295*100</f>
        <v>28.985507246376805</v>
      </c>
      <c r="O295" s="40"/>
      <c r="P295" s="36">
        <f t="shared" ref="P295:P312" si="292">R259</f>
        <v>29</v>
      </c>
      <c r="Q295" s="33">
        <f>'1.DATA KIA'!M281</f>
        <v>0</v>
      </c>
      <c r="R295" s="36">
        <f>P295+Q295</f>
        <v>29</v>
      </c>
      <c r="S295" s="37">
        <f>R295/D295*100</f>
        <v>30.020703933747413</v>
      </c>
      <c r="T295" s="40"/>
      <c r="U295" s="33">
        <f t="shared" ref="U295:U312" si="293">W259</f>
        <v>10</v>
      </c>
      <c r="V295" s="36">
        <f>'1.DATA KIA'!Y281</f>
        <v>0</v>
      </c>
      <c r="W295" s="33">
        <f>U295+V295</f>
        <v>10</v>
      </c>
      <c r="X295" s="37">
        <f t="shared" ref="X295:X312" si="294">W295/(20%*C295)*100</f>
        <v>49.40711462450593</v>
      </c>
      <c r="Y295" s="40"/>
      <c r="Z295" s="33">
        <f t="shared" ref="Z295:Z312" si="295">AB259</f>
        <v>6</v>
      </c>
      <c r="AA295" s="36">
        <f>'1.DATA KIA'!Z281</f>
        <v>0</v>
      </c>
      <c r="AB295" s="33">
        <f>Z295+AA295</f>
        <v>6</v>
      </c>
      <c r="AC295" s="37">
        <f t="shared" ref="AC295:AC312" si="296">AB295/(20%*C295)*100</f>
        <v>29.644268774703551</v>
      </c>
      <c r="AD295" s="40"/>
      <c r="AE295" s="33">
        <f t="shared" ref="AE295:AE312" si="297">AG259</f>
        <v>3</v>
      </c>
      <c r="AF295" s="41">
        <f>'8.ANCTEPADU'!D326+'8.ANCTEPADU'!E326</f>
        <v>0</v>
      </c>
      <c r="AG295" s="33">
        <f>AE295+AF295</f>
        <v>3</v>
      </c>
      <c r="AH295" s="37">
        <f t="shared" ref="AH295:AH312" si="298">AG295/C295*100</f>
        <v>2.9644268774703555</v>
      </c>
      <c r="AI295" s="33">
        <f t="shared" ref="AI295:AI316" si="299">AK259</f>
        <v>1</v>
      </c>
      <c r="AJ295" s="41">
        <f>'8.ANCTEPADU'!J326</f>
        <v>0</v>
      </c>
      <c r="AK295" s="33">
        <f>AI295+AJ295</f>
        <v>1</v>
      </c>
      <c r="AL295" s="37">
        <f t="shared" ref="AL295:AL312" si="300">AK295/C295*100</f>
        <v>0.98814229249011865</v>
      </c>
      <c r="AM295" s="36">
        <f t="shared" ref="AM295:AM312" si="301">AO259</f>
        <v>29</v>
      </c>
      <c r="AN295" s="36">
        <f>'1.DATA KIA'!AG281</f>
        <v>0</v>
      </c>
      <c r="AO295" s="33">
        <f>AN295+AM295</f>
        <v>29</v>
      </c>
      <c r="AP295" s="37" t="e">
        <f>AO295/E295*100</f>
        <v>#DIV/0!</v>
      </c>
      <c r="AQ295" s="40"/>
      <c r="AR295" s="42">
        <f t="shared" ref="AR295:AR312" si="302">AT259</f>
        <v>29</v>
      </c>
      <c r="AS295" s="36">
        <f>'1.DATA KIA'!AB281</f>
        <v>0</v>
      </c>
      <c r="AT295" s="36">
        <f>AS295+AR295</f>
        <v>29</v>
      </c>
      <c r="AU295" s="37">
        <f>AT295/D295*100</f>
        <v>30.020703933747413</v>
      </c>
      <c r="AV295" s="40"/>
      <c r="AW295" s="36">
        <f t="shared" ref="AW295:AW312" si="303">AY259</f>
        <v>10</v>
      </c>
      <c r="AX295" s="33">
        <f>'1.DATA KIA'!AF281</f>
        <v>0</v>
      </c>
      <c r="AY295" s="36">
        <f>AW295+AX295</f>
        <v>10</v>
      </c>
      <c r="AZ295" s="37">
        <f>AY295/(20%*C295)*100</f>
        <v>49.40711462450593</v>
      </c>
      <c r="BA295" s="38"/>
    </row>
    <row r="296" spans="1:54" ht="30" customHeight="1" x14ac:dyDescent="0.35">
      <c r="A296" s="33">
        <v>2</v>
      </c>
      <c r="B296" s="34" t="str">
        <f>PETUNJUK!B10</f>
        <v>Rengging</v>
      </c>
      <c r="C296" s="35">
        <f>'1.DATA KIA'!C282</f>
        <v>111.10000000000001</v>
      </c>
      <c r="D296" s="35">
        <f>'1.DATA KIA'!D282</f>
        <v>106.05000000000001</v>
      </c>
      <c r="E296" s="35">
        <f t="shared" si="288"/>
        <v>0</v>
      </c>
      <c r="F296" s="36">
        <f t="shared" si="289"/>
        <v>54</v>
      </c>
      <c r="G296" s="36">
        <f>'1.DATA KIA'!F282</f>
        <v>0</v>
      </c>
      <c r="H296" s="36">
        <f t="shared" ref="H296:H312" si="304">F296+G296</f>
        <v>54</v>
      </c>
      <c r="I296" s="37">
        <f t="shared" si="290"/>
        <v>48.604860486048601</v>
      </c>
      <c r="J296" s="40"/>
      <c r="K296" s="36">
        <f t="shared" si="291"/>
        <v>21</v>
      </c>
      <c r="L296" s="33">
        <f>'1.DATA KIA'!J282</f>
        <v>0</v>
      </c>
      <c r="M296" s="36">
        <f t="shared" ref="M296:M312" si="305">K296+L296</f>
        <v>21</v>
      </c>
      <c r="N296" s="37">
        <f t="shared" ref="N296:N316" si="306">M296/D296*100</f>
        <v>19.801980198019802</v>
      </c>
      <c r="O296" s="40"/>
      <c r="P296" s="36">
        <f t="shared" si="292"/>
        <v>32</v>
      </c>
      <c r="Q296" s="33">
        <f>'1.DATA KIA'!M282</f>
        <v>0</v>
      </c>
      <c r="R296" s="36">
        <f t="shared" ref="R296:R312" si="307">P296+Q296</f>
        <v>32</v>
      </c>
      <c r="S296" s="37">
        <f t="shared" ref="S296:S316" si="308">R296/D296*100</f>
        <v>30.174446016030171</v>
      </c>
      <c r="T296" s="40"/>
      <c r="U296" s="33">
        <f t="shared" si="293"/>
        <v>8</v>
      </c>
      <c r="V296" s="36">
        <f>'1.DATA KIA'!Y282</f>
        <v>0</v>
      </c>
      <c r="W296" s="33">
        <f t="shared" ref="W296:W312" si="309">U296+V296</f>
        <v>8</v>
      </c>
      <c r="X296" s="37">
        <f t="shared" si="294"/>
        <v>36.003600360035996</v>
      </c>
      <c r="Y296" s="40"/>
      <c r="Z296" s="33">
        <f t="shared" si="295"/>
        <v>5</v>
      </c>
      <c r="AA296" s="36">
        <f>'1.DATA KIA'!Z282</f>
        <v>0</v>
      </c>
      <c r="AB296" s="33">
        <f t="shared" ref="AB296:AB312" si="310">Z296+AA296</f>
        <v>5</v>
      </c>
      <c r="AC296" s="37">
        <f t="shared" si="296"/>
        <v>22.5022502250225</v>
      </c>
      <c r="AD296" s="40"/>
      <c r="AE296" s="33">
        <f t="shared" si="297"/>
        <v>6</v>
      </c>
      <c r="AF296" s="41">
        <f>'8.ANCTEPADU'!D327+'8.ANCTEPADU'!E327</f>
        <v>0</v>
      </c>
      <c r="AG296" s="33">
        <f t="shared" ref="AG296:AG312" si="311">AE296+AF296</f>
        <v>6</v>
      </c>
      <c r="AH296" s="37">
        <f t="shared" si="298"/>
        <v>5.4005400540054005</v>
      </c>
      <c r="AI296" s="33">
        <f t="shared" si="299"/>
        <v>8</v>
      </c>
      <c r="AJ296" s="41">
        <f>'8.ANCTEPADU'!J327</f>
        <v>0</v>
      </c>
      <c r="AK296" s="33">
        <f t="shared" ref="AK296:AK312" si="312">AI296+AJ296</f>
        <v>8</v>
      </c>
      <c r="AL296" s="37">
        <f t="shared" si="300"/>
        <v>7.2007200720071998</v>
      </c>
      <c r="AM296" s="36">
        <f t="shared" si="301"/>
        <v>35</v>
      </c>
      <c r="AN296" s="36">
        <f>'1.DATA KIA'!AG282</f>
        <v>0</v>
      </c>
      <c r="AO296" s="33">
        <f t="shared" ref="AO296:AO305" si="313">AN296+AM296</f>
        <v>35</v>
      </c>
      <c r="AP296" s="37" t="e">
        <f t="shared" ref="AP296:AP312" si="314">AO296/E296*100</f>
        <v>#DIV/0!</v>
      </c>
      <c r="AQ296" s="40"/>
      <c r="AR296" s="42">
        <f t="shared" si="302"/>
        <v>34</v>
      </c>
      <c r="AS296" s="36">
        <f>'1.DATA KIA'!AB282</f>
        <v>0</v>
      </c>
      <c r="AT296" s="33">
        <f t="shared" ref="AT296:AT305" si="315">AS296+AR296</f>
        <v>34</v>
      </c>
      <c r="AU296" s="37">
        <f t="shared" ref="AU296:AU312" si="316">AT296/D296*100</f>
        <v>32.06034889203206</v>
      </c>
      <c r="AV296" s="40"/>
      <c r="AW296" s="36">
        <f t="shared" si="303"/>
        <v>4</v>
      </c>
      <c r="AX296" s="33">
        <f>'1.DATA KIA'!AF282</f>
        <v>0</v>
      </c>
      <c r="AY296" s="36">
        <f t="shared" ref="AY296:AY312" si="317">AW296+AX296</f>
        <v>4</v>
      </c>
      <c r="AZ296" s="37">
        <f t="shared" ref="AZ296:AZ312" si="318">AY296/(20%*C296)*100</f>
        <v>18.001800180017998</v>
      </c>
      <c r="BA296" s="38"/>
    </row>
    <row r="297" spans="1:54" ht="30" customHeight="1" x14ac:dyDescent="0.35">
      <c r="A297" s="33">
        <v>3</v>
      </c>
      <c r="B297" s="34" t="str">
        <f>PETUNJUK!B11</f>
        <v>Troso</v>
      </c>
      <c r="C297" s="35">
        <f>'1.DATA KIA'!C283</f>
        <v>205.70000000000002</v>
      </c>
      <c r="D297" s="35">
        <f>'1.DATA KIA'!D283</f>
        <v>196.35</v>
      </c>
      <c r="E297" s="35">
        <f t="shared" si="288"/>
        <v>0</v>
      </c>
      <c r="F297" s="36">
        <f t="shared" si="289"/>
        <v>78</v>
      </c>
      <c r="G297" s="36">
        <f>'1.DATA KIA'!F283</f>
        <v>0</v>
      </c>
      <c r="H297" s="36">
        <f t="shared" si="304"/>
        <v>78</v>
      </c>
      <c r="I297" s="37">
        <f t="shared" si="290"/>
        <v>37.919299951385511</v>
      </c>
      <c r="J297" s="40"/>
      <c r="K297" s="36">
        <f t="shared" si="291"/>
        <v>64</v>
      </c>
      <c r="L297" s="33">
        <f>'1.DATA KIA'!J283</f>
        <v>0</v>
      </c>
      <c r="M297" s="36">
        <f t="shared" si="305"/>
        <v>64</v>
      </c>
      <c r="N297" s="37">
        <f t="shared" si="306"/>
        <v>32.594856124267892</v>
      </c>
      <c r="O297" s="40"/>
      <c r="P297" s="36">
        <f t="shared" si="292"/>
        <v>78</v>
      </c>
      <c r="Q297" s="33">
        <f>'1.DATA KIA'!M283</f>
        <v>0</v>
      </c>
      <c r="R297" s="36">
        <f t="shared" si="307"/>
        <v>78</v>
      </c>
      <c r="S297" s="37">
        <f t="shared" si="308"/>
        <v>39.724980901451488</v>
      </c>
      <c r="T297" s="40"/>
      <c r="U297" s="33">
        <f t="shared" si="293"/>
        <v>23</v>
      </c>
      <c r="V297" s="36">
        <f>'1.DATA KIA'!Y283</f>
        <v>0</v>
      </c>
      <c r="W297" s="33">
        <f t="shared" si="309"/>
        <v>23</v>
      </c>
      <c r="X297" s="37">
        <f t="shared" si="294"/>
        <v>55.906660184735038</v>
      </c>
      <c r="Y297" s="40"/>
      <c r="Z297" s="33">
        <f t="shared" si="295"/>
        <v>11</v>
      </c>
      <c r="AA297" s="36">
        <f>'1.DATA KIA'!Z283</f>
        <v>0</v>
      </c>
      <c r="AB297" s="33">
        <f t="shared" si="310"/>
        <v>11</v>
      </c>
      <c r="AC297" s="37">
        <f t="shared" si="296"/>
        <v>26.737967914438499</v>
      </c>
      <c r="AD297" s="40"/>
      <c r="AE297" s="33">
        <f t="shared" si="297"/>
        <v>3</v>
      </c>
      <c r="AF297" s="41">
        <f>'8.ANCTEPADU'!D328+'8.ANCTEPADU'!E328</f>
        <v>0</v>
      </c>
      <c r="AG297" s="33">
        <f t="shared" si="311"/>
        <v>3</v>
      </c>
      <c r="AH297" s="37">
        <f t="shared" si="298"/>
        <v>1.4584346135148272</v>
      </c>
      <c r="AI297" s="33">
        <f t="shared" si="299"/>
        <v>11</v>
      </c>
      <c r="AJ297" s="41">
        <f>'8.ANCTEPADU'!J328</f>
        <v>0</v>
      </c>
      <c r="AK297" s="33">
        <f t="shared" si="312"/>
        <v>11</v>
      </c>
      <c r="AL297" s="37">
        <f t="shared" si="300"/>
        <v>5.3475935828877006</v>
      </c>
      <c r="AM297" s="36">
        <f t="shared" si="301"/>
        <v>60</v>
      </c>
      <c r="AN297" s="36">
        <f>'1.DATA KIA'!AG283</f>
        <v>0</v>
      </c>
      <c r="AO297" s="33">
        <f t="shared" si="313"/>
        <v>60</v>
      </c>
      <c r="AP297" s="37" t="e">
        <f t="shared" si="314"/>
        <v>#DIV/0!</v>
      </c>
      <c r="AQ297" s="40"/>
      <c r="AR297" s="42">
        <f t="shared" si="302"/>
        <v>60</v>
      </c>
      <c r="AS297" s="36">
        <f>'1.DATA KIA'!AB283</f>
        <v>0</v>
      </c>
      <c r="AT297" s="33">
        <f t="shared" si="315"/>
        <v>60</v>
      </c>
      <c r="AU297" s="37">
        <f t="shared" si="316"/>
        <v>30.557677616501145</v>
      </c>
      <c r="AV297" s="40"/>
      <c r="AW297" s="36">
        <f t="shared" si="303"/>
        <v>13</v>
      </c>
      <c r="AX297" s="33">
        <f>'1.DATA KIA'!AF283</f>
        <v>0</v>
      </c>
      <c r="AY297" s="36">
        <f t="shared" si="317"/>
        <v>13</v>
      </c>
      <c r="AZ297" s="37">
        <f t="shared" si="318"/>
        <v>31.599416626154586</v>
      </c>
      <c r="BA297" s="38"/>
    </row>
    <row r="298" spans="1:54" ht="30" customHeight="1" x14ac:dyDescent="0.35">
      <c r="A298" s="33">
        <v>4</v>
      </c>
      <c r="B298" s="34" t="str">
        <f>PETUNJUK!B12</f>
        <v>Ngeling</v>
      </c>
      <c r="C298" s="35">
        <f>'1.DATA KIA'!C284</f>
        <v>95.7</v>
      </c>
      <c r="D298" s="35">
        <f>'1.DATA KIA'!D284</f>
        <v>91.350000000000009</v>
      </c>
      <c r="E298" s="35">
        <f t="shared" si="288"/>
        <v>0</v>
      </c>
      <c r="F298" s="36">
        <f t="shared" si="289"/>
        <v>30</v>
      </c>
      <c r="G298" s="36">
        <f>'1.DATA KIA'!F284</f>
        <v>0</v>
      </c>
      <c r="H298" s="36">
        <f t="shared" si="304"/>
        <v>30</v>
      </c>
      <c r="I298" s="37">
        <f t="shared" si="290"/>
        <v>31.347962382445139</v>
      </c>
      <c r="J298" s="40"/>
      <c r="K298" s="36">
        <f t="shared" si="291"/>
        <v>28</v>
      </c>
      <c r="L298" s="33">
        <f>'1.DATA KIA'!J284</f>
        <v>0</v>
      </c>
      <c r="M298" s="36">
        <f t="shared" si="305"/>
        <v>28</v>
      </c>
      <c r="N298" s="37">
        <f t="shared" si="306"/>
        <v>30.651340996168582</v>
      </c>
      <c r="O298" s="40"/>
      <c r="P298" s="36">
        <f t="shared" si="292"/>
        <v>26</v>
      </c>
      <c r="Q298" s="33">
        <f>'1.DATA KIA'!M284</f>
        <v>0</v>
      </c>
      <c r="R298" s="36">
        <f t="shared" si="307"/>
        <v>26</v>
      </c>
      <c r="S298" s="37">
        <f t="shared" si="308"/>
        <v>28.461959496442251</v>
      </c>
      <c r="T298" s="40"/>
      <c r="U298" s="33">
        <f t="shared" si="293"/>
        <v>7</v>
      </c>
      <c r="V298" s="36">
        <f>'1.DATA KIA'!Y284</f>
        <v>0</v>
      </c>
      <c r="W298" s="33">
        <f t="shared" si="309"/>
        <v>7</v>
      </c>
      <c r="X298" s="37">
        <f t="shared" si="294"/>
        <v>36.572622779519328</v>
      </c>
      <c r="Y298" s="40"/>
      <c r="Z298" s="33">
        <f t="shared" si="295"/>
        <v>5</v>
      </c>
      <c r="AA298" s="36">
        <f>'1.DATA KIA'!Z284</f>
        <v>0</v>
      </c>
      <c r="AB298" s="33">
        <f t="shared" si="310"/>
        <v>5</v>
      </c>
      <c r="AC298" s="37">
        <f t="shared" si="296"/>
        <v>26.123301985370951</v>
      </c>
      <c r="AD298" s="40"/>
      <c r="AE298" s="33">
        <f t="shared" si="297"/>
        <v>5</v>
      </c>
      <c r="AF298" s="41">
        <f>'8.ANCTEPADU'!D329+'8.ANCTEPADU'!E329</f>
        <v>0</v>
      </c>
      <c r="AG298" s="33">
        <f t="shared" si="311"/>
        <v>5</v>
      </c>
      <c r="AH298" s="37">
        <f t="shared" si="298"/>
        <v>5.2246603970741896</v>
      </c>
      <c r="AI298" s="33">
        <f t="shared" si="299"/>
        <v>5</v>
      </c>
      <c r="AJ298" s="41">
        <f>'8.ANCTEPADU'!J329</f>
        <v>0</v>
      </c>
      <c r="AK298" s="33">
        <f t="shared" si="312"/>
        <v>5</v>
      </c>
      <c r="AL298" s="37">
        <f t="shared" si="300"/>
        <v>5.2246603970741896</v>
      </c>
      <c r="AM298" s="36">
        <f t="shared" si="301"/>
        <v>28</v>
      </c>
      <c r="AN298" s="36">
        <f>'1.DATA KIA'!AG284</f>
        <v>0</v>
      </c>
      <c r="AO298" s="33">
        <f t="shared" si="313"/>
        <v>28</v>
      </c>
      <c r="AP298" s="37" t="e">
        <f t="shared" si="314"/>
        <v>#DIV/0!</v>
      </c>
      <c r="AQ298" s="40"/>
      <c r="AR298" s="42">
        <f t="shared" si="302"/>
        <v>28</v>
      </c>
      <c r="AS298" s="36">
        <f>'1.DATA KIA'!AB284</f>
        <v>0</v>
      </c>
      <c r="AT298" s="33">
        <f t="shared" si="315"/>
        <v>28</v>
      </c>
      <c r="AU298" s="37">
        <f t="shared" si="316"/>
        <v>30.651340996168582</v>
      </c>
      <c r="AV298" s="40"/>
      <c r="AW298" s="36">
        <f t="shared" si="303"/>
        <v>10</v>
      </c>
      <c r="AX298" s="33">
        <f>'1.DATA KIA'!AF284</f>
        <v>0</v>
      </c>
      <c r="AY298" s="36">
        <f t="shared" si="317"/>
        <v>10</v>
      </c>
      <c r="AZ298" s="37">
        <f t="shared" si="318"/>
        <v>52.246603970741901</v>
      </c>
      <c r="BA298" s="38"/>
    </row>
    <row r="299" spans="1:54" ht="30" customHeight="1" x14ac:dyDescent="0.35">
      <c r="A299" s="33">
        <v>5</v>
      </c>
      <c r="B299" s="34" t="str">
        <f>PETUNJUK!B13</f>
        <v>Lebuawu</v>
      </c>
      <c r="C299" s="35">
        <f>'1.DATA KIA'!C285</f>
        <v>85.800000000000011</v>
      </c>
      <c r="D299" s="35">
        <f>'1.DATA KIA'!D285</f>
        <v>81.900000000000006</v>
      </c>
      <c r="E299" s="35">
        <f t="shared" si="288"/>
        <v>0</v>
      </c>
      <c r="F299" s="36">
        <f t="shared" si="289"/>
        <v>33</v>
      </c>
      <c r="G299" s="36">
        <f>'1.DATA KIA'!F285</f>
        <v>0</v>
      </c>
      <c r="H299" s="36">
        <f t="shared" si="304"/>
        <v>33</v>
      </c>
      <c r="I299" s="37">
        <f t="shared" si="290"/>
        <v>38.46153846153846</v>
      </c>
      <c r="J299" s="40"/>
      <c r="K299" s="36">
        <f t="shared" si="291"/>
        <v>25</v>
      </c>
      <c r="L299" s="33">
        <f>'1.DATA KIA'!J285</f>
        <v>0</v>
      </c>
      <c r="M299" s="36">
        <f t="shared" si="305"/>
        <v>25</v>
      </c>
      <c r="N299" s="37">
        <f t="shared" si="306"/>
        <v>30.525030525030523</v>
      </c>
      <c r="O299" s="40"/>
      <c r="P299" s="36">
        <f t="shared" si="292"/>
        <v>19</v>
      </c>
      <c r="Q299" s="33">
        <f>'1.DATA KIA'!M285</f>
        <v>0</v>
      </c>
      <c r="R299" s="36">
        <f t="shared" si="307"/>
        <v>19</v>
      </c>
      <c r="S299" s="37">
        <f t="shared" si="308"/>
        <v>23.199023199023198</v>
      </c>
      <c r="T299" s="40"/>
      <c r="U299" s="33">
        <f t="shared" si="293"/>
        <v>5</v>
      </c>
      <c r="V299" s="36">
        <f>'1.DATA KIA'!Y285</f>
        <v>0</v>
      </c>
      <c r="W299" s="33">
        <f t="shared" si="309"/>
        <v>5</v>
      </c>
      <c r="X299" s="37">
        <f t="shared" si="294"/>
        <v>29.137529137529132</v>
      </c>
      <c r="Y299" s="40"/>
      <c r="Z299" s="33">
        <f t="shared" si="295"/>
        <v>3</v>
      </c>
      <c r="AA299" s="36">
        <f>'1.DATA KIA'!Z285</f>
        <v>0</v>
      </c>
      <c r="AB299" s="33">
        <f t="shared" si="310"/>
        <v>3</v>
      </c>
      <c r="AC299" s="37">
        <f t="shared" si="296"/>
        <v>17.48251748251748</v>
      </c>
      <c r="AD299" s="40"/>
      <c r="AE299" s="33">
        <f t="shared" si="297"/>
        <v>2</v>
      </c>
      <c r="AF299" s="41">
        <f>'8.ANCTEPADU'!D330+'8.ANCTEPADU'!E330</f>
        <v>0</v>
      </c>
      <c r="AG299" s="33">
        <f t="shared" si="311"/>
        <v>2</v>
      </c>
      <c r="AH299" s="37">
        <f t="shared" si="298"/>
        <v>2.3310023310023307</v>
      </c>
      <c r="AI299" s="33">
        <f t="shared" si="299"/>
        <v>3</v>
      </c>
      <c r="AJ299" s="41">
        <f>'8.ANCTEPADU'!J330</f>
        <v>0</v>
      </c>
      <c r="AK299" s="33">
        <f t="shared" si="312"/>
        <v>3</v>
      </c>
      <c r="AL299" s="37">
        <f t="shared" si="300"/>
        <v>3.4965034965034962</v>
      </c>
      <c r="AM299" s="36">
        <f t="shared" si="301"/>
        <v>23</v>
      </c>
      <c r="AN299" s="36">
        <f>'1.DATA KIA'!AG285</f>
        <v>0</v>
      </c>
      <c r="AO299" s="33">
        <f t="shared" si="313"/>
        <v>23</v>
      </c>
      <c r="AP299" s="37" t="e">
        <f t="shared" si="314"/>
        <v>#DIV/0!</v>
      </c>
      <c r="AQ299" s="40"/>
      <c r="AR299" s="42">
        <f t="shared" si="302"/>
        <v>23</v>
      </c>
      <c r="AS299" s="36">
        <f>'1.DATA KIA'!AB285</f>
        <v>0</v>
      </c>
      <c r="AT299" s="33">
        <f t="shared" si="315"/>
        <v>23</v>
      </c>
      <c r="AU299" s="37">
        <f t="shared" si="316"/>
        <v>28.083028083028083</v>
      </c>
      <c r="AV299" s="40"/>
      <c r="AW299" s="36">
        <f t="shared" si="303"/>
        <v>1</v>
      </c>
      <c r="AX299" s="33">
        <f>'1.DATA KIA'!AF285</f>
        <v>0</v>
      </c>
      <c r="AY299" s="36">
        <f t="shared" si="317"/>
        <v>1</v>
      </c>
      <c r="AZ299" s="37">
        <f t="shared" si="318"/>
        <v>5.8275058275058269</v>
      </c>
      <c r="BA299" s="38"/>
    </row>
    <row r="300" spans="1:54" ht="30" customHeight="1" x14ac:dyDescent="0.35">
      <c r="A300" s="33">
        <v>6</v>
      </c>
      <c r="B300" s="34" t="str">
        <f>PETUNJUK!B14</f>
        <v>Pulodarat</v>
      </c>
      <c r="C300" s="35">
        <f>'1.DATA KIA'!C286</f>
        <v>82.5</v>
      </c>
      <c r="D300" s="35">
        <f>'1.DATA KIA'!D286</f>
        <v>78.75</v>
      </c>
      <c r="E300" s="35">
        <f t="shared" si="288"/>
        <v>0</v>
      </c>
      <c r="F300" s="36">
        <f t="shared" si="289"/>
        <v>18</v>
      </c>
      <c r="G300" s="36">
        <f>'1.DATA KIA'!F286</f>
        <v>0</v>
      </c>
      <c r="H300" s="36">
        <f t="shared" si="304"/>
        <v>18</v>
      </c>
      <c r="I300" s="37">
        <f t="shared" si="290"/>
        <v>21.818181818181817</v>
      </c>
      <c r="J300" s="40"/>
      <c r="K300" s="36">
        <f t="shared" si="291"/>
        <v>19</v>
      </c>
      <c r="L300" s="33">
        <f>'1.DATA KIA'!J286</f>
        <v>0</v>
      </c>
      <c r="M300" s="36">
        <f t="shared" si="305"/>
        <v>19</v>
      </c>
      <c r="N300" s="37">
        <f t="shared" si="306"/>
        <v>24.126984126984127</v>
      </c>
      <c r="O300" s="40"/>
      <c r="P300" s="36">
        <f t="shared" si="292"/>
        <v>19</v>
      </c>
      <c r="Q300" s="33">
        <f>'1.DATA KIA'!M286</f>
        <v>0</v>
      </c>
      <c r="R300" s="36">
        <f t="shared" si="307"/>
        <v>19</v>
      </c>
      <c r="S300" s="37">
        <f t="shared" si="308"/>
        <v>24.126984126984127</v>
      </c>
      <c r="T300" s="40"/>
      <c r="U300" s="33">
        <f t="shared" si="293"/>
        <v>4</v>
      </c>
      <c r="V300" s="36">
        <f>'1.DATA KIA'!Y286</f>
        <v>0</v>
      </c>
      <c r="W300" s="33">
        <f t="shared" si="309"/>
        <v>4</v>
      </c>
      <c r="X300" s="37">
        <f t="shared" si="294"/>
        <v>24.242424242424242</v>
      </c>
      <c r="Y300" s="40"/>
      <c r="Z300" s="33">
        <f t="shared" si="295"/>
        <v>2</v>
      </c>
      <c r="AA300" s="36">
        <f>'1.DATA KIA'!Z286</f>
        <v>0</v>
      </c>
      <c r="AB300" s="33">
        <f t="shared" si="310"/>
        <v>2</v>
      </c>
      <c r="AC300" s="37">
        <f t="shared" si="296"/>
        <v>12.121212121212121</v>
      </c>
      <c r="AD300" s="40"/>
      <c r="AE300" s="33">
        <f t="shared" si="297"/>
        <v>3</v>
      </c>
      <c r="AF300" s="41">
        <f>'8.ANCTEPADU'!D331+'8.ANCTEPADU'!E331</f>
        <v>0</v>
      </c>
      <c r="AG300" s="33">
        <f t="shared" si="311"/>
        <v>3</v>
      </c>
      <c r="AH300" s="37">
        <f t="shared" si="298"/>
        <v>3.6363636363636362</v>
      </c>
      <c r="AI300" s="33">
        <f t="shared" si="299"/>
        <v>0</v>
      </c>
      <c r="AJ300" s="41">
        <f>'8.ANCTEPADU'!J331</f>
        <v>0</v>
      </c>
      <c r="AK300" s="33">
        <f t="shared" si="312"/>
        <v>0</v>
      </c>
      <c r="AL300" s="37">
        <f t="shared" si="300"/>
        <v>0</v>
      </c>
      <c r="AM300" s="36">
        <f t="shared" si="301"/>
        <v>17</v>
      </c>
      <c r="AN300" s="36">
        <f>'1.DATA KIA'!AG286</f>
        <v>0</v>
      </c>
      <c r="AO300" s="33">
        <f t="shared" si="313"/>
        <v>17</v>
      </c>
      <c r="AP300" s="37" t="e">
        <f t="shared" si="314"/>
        <v>#DIV/0!</v>
      </c>
      <c r="AQ300" s="40"/>
      <c r="AR300" s="42">
        <f t="shared" si="302"/>
        <v>17</v>
      </c>
      <c r="AS300" s="36">
        <f>'1.DATA KIA'!AB286</f>
        <v>0</v>
      </c>
      <c r="AT300" s="33">
        <f t="shared" si="315"/>
        <v>17</v>
      </c>
      <c r="AU300" s="37">
        <f t="shared" si="316"/>
        <v>21.587301587301589</v>
      </c>
      <c r="AV300" s="40"/>
      <c r="AW300" s="36">
        <f t="shared" si="303"/>
        <v>4</v>
      </c>
      <c r="AX300" s="33">
        <f>'1.DATA KIA'!AF286</f>
        <v>0</v>
      </c>
      <c r="AY300" s="36">
        <f t="shared" si="317"/>
        <v>4</v>
      </c>
      <c r="AZ300" s="37">
        <f t="shared" si="318"/>
        <v>24.242424242424242</v>
      </c>
      <c r="BA300" s="38"/>
    </row>
    <row r="301" spans="1:54" ht="30" customHeight="1" x14ac:dyDescent="0.35">
      <c r="A301" s="33">
        <v>7</v>
      </c>
      <c r="B301" s="34" t="str">
        <f>PETUNJUK!B15</f>
        <v>Karangrandu</v>
      </c>
      <c r="C301" s="35">
        <f>'1.DATA KIA'!C287</f>
        <v>93.500000000000014</v>
      </c>
      <c r="D301" s="35">
        <f>'1.DATA KIA'!D287</f>
        <v>89.25</v>
      </c>
      <c r="E301" s="35">
        <f t="shared" si="288"/>
        <v>0</v>
      </c>
      <c r="F301" s="36">
        <f t="shared" si="289"/>
        <v>31</v>
      </c>
      <c r="G301" s="36">
        <f>'1.DATA KIA'!F287</f>
        <v>0</v>
      </c>
      <c r="H301" s="36">
        <f t="shared" si="304"/>
        <v>31</v>
      </c>
      <c r="I301" s="37">
        <f t="shared" si="290"/>
        <v>33.155080213903737</v>
      </c>
      <c r="J301" s="40"/>
      <c r="K301" s="36">
        <f t="shared" si="291"/>
        <v>24</v>
      </c>
      <c r="L301" s="33">
        <f>'1.DATA KIA'!J287</f>
        <v>0</v>
      </c>
      <c r="M301" s="36">
        <f t="shared" si="305"/>
        <v>24</v>
      </c>
      <c r="N301" s="37">
        <f t="shared" si="306"/>
        <v>26.890756302521009</v>
      </c>
      <c r="O301" s="40"/>
      <c r="P301" s="36">
        <f t="shared" si="292"/>
        <v>27</v>
      </c>
      <c r="Q301" s="33">
        <f>'1.DATA KIA'!M287</f>
        <v>0</v>
      </c>
      <c r="R301" s="36">
        <f t="shared" si="307"/>
        <v>27</v>
      </c>
      <c r="S301" s="37">
        <f t="shared" si="308"/>
        <v>30.252100840336134</v>
      </c>
      <c r="T301" s="40"/>
      <c r="U301" s="33">
        <f t="shared" si="293"/>
        <v>14</v>
      </c>
      <c r="V301" s="36">
        <f>'1.DATA KIA'!Y287</f>
        <v>0</v>
      </c>
      <c r="W301" s="33">
        <f t="shared" si="309"/>
        <v>14</v>
      </c>
      <c r="X301" s="37">
        <f t="shared" si="294"/>
        <v>74.866310160427801</v>
      </c>
      <c r="Y301" s="40"/>
      <c r="Z301" s="33">
        <f t="shared" si="295"/>
        <v>5</v>
      </c>
      <c r="AA301" s="36">
        <f>'1.DATA KIA'!Z287</f>
        <v>0</v>
      </c>
      <c r="AB301" s="33">
        <f t="shared" si="310"/>
        <v>5</v>
      </c>
      <c r="AC301" s="37">
        <f t="shared" si="296"/>
        <v>26.737967914438499</v>
      </c>
      <c r="AD301" s="40"/>
      <c r="AE301" s="33">
        <f t="shared" si="297"/>
        <v>3</v>
      </c>
      <c r="AF301" s="41">
        <f>'8.ANCTEPADU'!D332+'8.ANCTEPADU'!E332</f>
        <v>0</v>
      </c>
      <c r="AG301" s="33">
        <f t="shared" si="311"/>
        <v>3</v>
      </c>
      <c r="AH301" s="37">
        <f t="shared" si="298"/>
        <v>3.2085561497326198</v>
      </c>
      <c r="AI301" s="33">
        <f t="shared" si="299"/>
        <v>2</v>
      </c>
      <c r="AJ301" s="41">
        <f>'8.ANCTEPADU'!J332</f>
        <v>0</v>
      </c>
      <c r="AK301" s="33">
        <f t="shared" si="312"/>
        <v>2</v>
      </c>
      <c r="AL301" s="37">
        <f t="shared" si="300"/>
        <v>2.1390374331550799</v>
      </c>
      <c r="AM301" s="36">
        <f t="shared" si="301"/>
        <v>26</v>
      </c>
      <c r="AN301" s="36">
        <f>'1.DATA KIA'!AG287</f>
        <v>0</v>
      </c>
      <c r="AO301" s="33">
        <f t="shared" si="313"/>
        <v>26</v>
      </c>
      <c r="AP301" s="37" t="e">
        <f t="shared" si="314"/>
        <v>#DIV/0!</v>
      </c>
      <c r="AQ301" s="40"/>
      <c r="AR301" s="42">
        <f t="shared" si="302"/>
        <v>27</v>
      </c>
      <c r="AS301" s="36">
        <f>'1.DATA KIA'!AB287</f>
        <v>0</v>
      </c>
      <c r="AT301" s="33">
        <f t="shared" si="315"/>
        <v>27</v>
      </c>
      <c r="AU301" s="37">
        <f t="shared" si="316"/>
        <v>30.252100840336134</v>
      </c>
      <c r="AV301" s="40"/>
      <c r="AW301" s="36">
        <f t="shared" si="303"/>
        <v>4</v>
      </c>
      <c r="AX301" s="33">
        <f>'1.DATA KIA'!AF287</f>
        <v>0</v>
      </c>
      <c r="AY301" s="36">
        <f t="shared" si="317"/>
        <v>4</v>
      </c>
      <c r="AZ301" s="37">
        <f t="shared" si="318"/>
        <v>21.390374331550799</v>
      </c>
      <c r="BA301" s="38"/>
    </row>
    <row r="302" spans="1:54" ht="30" customHeight="1" x14ac:dyDescent="0.35">
      <c r="A302" s="33">
        <v>8</v>
      </c>
      <c r="B302" s="34" t="str">
        <f>PETUNJUK!B16</f>
        <v>Kaliombo</v>
      </c>
      <c r="C302" s="35">
        <f>'1.DATA KIA'!C288</f>
        <v>46.2</v>
      </c>
      <c r="D302" s="35">
        <f>'1.DATA KIA'!D288</f>
        <v>44.1</v>
      </c>
      <c r="E302" s="35">
        <f t="shared" si="288"/>
        <v>0</v>
      </c>
      <c r="F302" s="36">
        <f t="shared" si="289"/>
        <v>13</v>
      </c>
      <c r="G302" s="36">
        <f>'1.DATA KIA'!F288</f>
        <v>0</v>
      </c>
      <c r="H302" s="36">
        <f t="shared" si="304"/>
        <v>13</v>
      </c>
      <c r="I302" s="37">
        <f t="shared" si="290"/>
        <v>28.138528138528134</v>
      </c>
      <c r="J302" s="40"/>
      <c r="K302" s="36">
        <f t="shared" si="291"/>
        <v>13</v>
      </c>
      <c r="L302" s="33">
        <f>'1.DATA KIA'!J288</f>
        <v>0</v>
      </c>
      <c r="M302" s="36">
        <f t="shared" si="305"/>
        <v>13</v>
      </c>
      <c r="N302" s="37">
        <f t="shared" si="306"/>
        <v>29.478458049886619</v>
      </c>
      <c r="O302" s="40"/>
      <c r="P302" s="36">
        <f t="shared" si="292"/>
        <v>13</v>
      </c>
      <c r="Q302" s="33">
        <f>'1.DATA KIA'!M288</f>
        <v>0</v>
      </c>
      <c r="R302" s="36">
        <f t="shared" si="307"/>
        <v>13</v>
      </c>
      <c r="S302" s="37">
        <f t="shared" si="308"/>
        <v>29.478458049886619</v>
      </c>
      <c r="T302" s="40"/>
      <c r="U302" s="33">
        <f t="shared" si="293"/>
        <v>7</v>
      </c>
      <c r="V302" s="36">
        <f>'1.DATA KIA'!Y288</f>
        <v>0</v>
      </c>
      <c r="W302" s="33">
        <f t="shared" si="309"/>
        <v>7</v>
      </c>
      <c r="X302" s="37">
        <f t="shared" si="294"/>
        <v>75.757575757575751</v>
      </c>
      <c r="Y302" s="40"/>
      <c r="Z302" s="33">
        <f t="shared" si="295"/>
        <v>2</v>
      </c>
      <c r="AA302" s="36">
        <f>'1.DATA KIA'!Z288</f>
        <v>0</v>
      </c>
      <c r="AB302" s="33">
        <f t="shared" si="310"/>
        <v>2</v>
      </c>
      <c r="AC302" s="37">
        <f t="shared" si="296"/>
        <v>21.645021645021643</v>
      </c>
      <c r="AD302" s="40"/>
      <c r="AE302" s="33">
        <f t="shared" si="297"/>
        <v>0</v>
      </c>
      <c r="AF302" s="41">
        <f>'8.ANCTEPADU'!D333+'8.ANCTEPADU'!E333</f>
        <v>0</v>
      </c>
      <c r="AG302" s="33">
        <f t="shared" si="311"/>
        <v>0</v>
      </c>
      <c r="AH302" s="37">
        <f t="shared" si="298"/>
        <v>0</v>
      </c>
      <c r="AI302" s="33">
        <f t="shared" si="299"/>
        <v>1</v>
      </c>
      <c r="AJ302" s="41">
        <f>'8.ANCTEPADU'!J333</f>
        <v>0</v>
      </c>
      <c r="AK302" s="33">
        <f t="shared" si="312"/>
        <v>1</v>
      </c>
      <c r="AL302" s="37">
        <f t="shared" si="300"/>
        <v>2.1645021645021645</v>
      </c>
      <c r="AM302" s="36">
        <f t="shared" si="301"/>
        <v>13</v>
      </c>
      <c r="AN302" s="36">
        <f>'1.DATA KIA'!AG288</f>
        <v>0</v>
      </c>
      <c r="AO302" s="33">
        <f t="shared" si="313"/>
        <v>13</v>
      </c>
      <c r="AP302" s="37" t="e">
        <f t="shared" si="314"/>
        <v>#DIV/0!</v>
      </c>
      <c r="AQ302" s="40"/>
      <c r="AR302" s="42">
        <f t="shared" si="302"/>
        <v>13</v>
      </c>
      <c r="AS302" s="36">
        <f>'1.DATA KIA'!AB288</f>
        <v>0</v>
      </c>
      <c r="AT302" s="33">
        <f t="shared" si="315"/>
        <v>13</v>
      </c>
      <c r="AU302" s="37">
        <f t="shared" si="316"/>
        <v>29.478458049886619</v>
      </c>
      <c r="AV302" s="40"/>
      <c r="AW302" s="36">
        <f t="shared" si="303"/>
        <v>5</v>
      </c>
      <c r="AX302" s="33">
        <f>'1.DATA KIA'!AF288</f>
        <v>0</v>
      </c>
      <c r="AY302" s="36">
        <f t="shared" si="317"/>
        <v>5</v>
      </c>
      <c r="AZ302" s="37">
        <f t="shared" si="318"/>
        <v>54.112554112554115</v>
      </c>
      <c r="BA302" s="38"/>
    </row>
    <row r="303" spans="1:54" ht="30" customHeight="1" x14ac:dyDescent="0.35">
      <c r="A303" s="33">
        <v>9</v>
      </c>
      <c r="B303" s="34" t="str">
        <f>PETUNJUK!B17</f>
        <v>Gemulung</v>
      </c>
      <c r="C303" s="35">
        <f>'1.DATA KIA'!C289</f>
        <v>53.900000000000006</v>
      </c>
      <c r="D303" s="35">
        <f>'1.DATA KIA'!D289</f>
        <v>51.45</v>
      </c>
      <c r="E303" s="35">
        <f t="shared" si="288"/>
        <v>0</v>
      </c>
      <c r="F303" s="36">
        <f t="shared" si="289"/>
        <v>19</v>
      </c>
      <c r="G303" s="36">
        <f>'1.DATA KIA'!F289</f>
        <v>0</v>
      </c>
      <c r="H303" s="36">
        <f t="shared" si="304"/>
        <v>19</v>
      </c>
      <c r="I303" s="37">
        <f t="shared" si="290"/>
        <v>35.250463821892389</v>
      </c>
      <c r="J303" s="40"/>
      <c r="K303" s="36">
        <f t="shared" si="291"/>
        <v>19</v>
      </c>
      <c r="L303" s="33">
        <f>'1.DATA KIA'!J289</f>
        <v>0</v>
      </c>
      <c r="M303" s="36">
        <f t="shared" si="305"/>
        <v>19</v>
      </c>
      <c r="N303" s="37">
        <f t="shared" si="306"/>
        <v>36.929057337220598</v>
      </c>
      <c r="O303" s="40"/>
      <c r="P303" s="36">
        <f t="shared" si="292"/>
        <v>19</v>
      </c>
      <c r="Q303" s="33">
        <f>'1.DATA KIA'!M289</f>
        <v>0</v>
      </c>
      <c r="R303" s="36">
        <f t="shared" si="307"/>
        <v>19</v>
      </c>
      <c r="S303" s="37">
        <f t="shared" si="308"/>
        <v>36.929057337220598</v>
      </c>
      <c r="T303" s="40"/>
      <c r="U303" s="33">
        <f t="shared" si="293"/>
        <v>3</v>
      </c>
      <c r="V303" s="36">
        <f>'1.DATA KIA'!Y289</f>
        <v>0</v>
      </c>
      <c r="W303" s="33">
        <f t="shared" si="309"/>
        <v>3</v>
      </c>
      <c r="X303" s="37">
        <f t="shared" si="294"/>
        <v>27.829313543599255</v>
      </c>
      <c r="Y303" s="40"/>
      <c r="Z303" s="33">
        <f t="shared" si="295"/>
        <v>1</v>
      </c>
      <c r="AA303" s="36">
        <f>'1.DATA KIA'!Z289</f>
        <v>0</v>
      </c>
      <c r="AB303" s="33">
        <f t="shared" si="310"/>
        <v>1</v>
      </c>
      <c r="AC303" s="37">
        <f t="shared" si="296"/>
        <v>9.2764378478664185</v>
      </c>
      <c r="AD303" s="40"/>
      <c r="AE303" s="33">
        <f t="shared" si="297"/>
        <v>4</v>
      </c>
      <c r="AF303" s="41">
        <f>'8.ANCTEPADU'!D334+'8.ANCTEPADU'!E334</f>
        <v>0</v>
      </c>
      <c r="AG303" s="33">
        <f t="shared" si="311"/>
        <v>4</v>
      </c>
      <c r="AH303" s="37">
        <f t="shared" si="298"/>
        <v>7.4211502782931342</v>
      </c>
      <c r="AI303" s="33">
        <f t="shared" si="299"/>
        <v>1</v>
      </c>
      <c r="AJ303" s="41">
        <f>'8.ANCTEPADU'!J334</f>
        <v>0</v>
      </c>
      <c r="AK303" s="33">
        <f t="shared" si="312"/>
        <v>1</v>
      </c>
      <c r="AL303" s="37">
        <f t="shared" si="300"/>
        <v>1.8552875695732836</v>
      </c>
      <c r="AM303" s="36">
        <f t="shared" si="301"/>
        <v>20</v>
      </c>
      <c r="AN303" s="36">
        <f>'1.DATA KIA'!AG289</f>
        <v>0</v>
      </c>
      <c r="AO303" s="33">
        <f t="shared" si="313"/>
        <v>20</v>
      </c>
      <c r="AP303" s="37" t="e">
        <f t="shared" si="314"/>
        <v>#DIV/0!</v>
      </c>
      <c r="AQ303" s="40"/>
      <c r="AR303" s="42">
        <f t="shared" si="302"/>
        <v>20</v>
      </c>
      <c r="AS303" s="36">
        <f>'1.DATA KIA'!AB289</f>
        <v>0</v>
      </c>
      <c r="AT303" s="33">
        <f t="shared" si="315"/>
        <v>20</v>
      </c>
      <c r="AU303" s="37">
        <f t="shared" si="316"/>
        <v>38.872691933916421</v>
      </c>
      <c r="AV303" s="40"/>
      <c r="AW303" s="36">
        <f t="shared" si="303"/>
        <v>8</v>
      </c>
      <c r="AX303" s="33">
        <f>'1.DATA KIA'!AF289</f>
        <v>0</v>
      </c>
      <c r="AY303" s="36">
        <f t="shared" si="317"/>
        <v>8</v>
      </c>
      <c r="AZ303" s="37">
        <f t="shared" si="318"/>
        <v>74.211502782931348</v>
      </c>
      <c r="BA303" s="38"/>
    </row>
    <row r="304" spans="1:54" ht="30" customHeight="1" x14ac:dyDescent="0.35">
      <c r="A304" s="33">
        <v>10</v>
      </c>
      <c r="B304" s="34" t="str">
        <f>PETUNJUK!B18</f>
        <v>Pecangaan Wetan</v>
      </c>
      <c r="C304" s="35">
        <f>'1.DATA KIA'!C290</f>
        <v>50.6</v>
      </c>
      <c r="D304" s="35">
        <f>'1.DATA KIA'!D290</f>
        <v>48.300000000000004</v>
      </c>
      <c r="E304" s="35">
        <f t="shared" si="288"/>
        <v>0</v>
      </c>
      <c r="F304" s="36">
        <f t="shared" si="289"/>
        <v>15</v>
      </c>
      <c r="G304" s="36">
        <f>'1.DATA KIA'!F290</f>
        <v>0</v>
      </c>
      <c r="H304" s="36">
        <f t="shared" si="304"/>
        <v>15</v>
      </c>
      <c r="I304" s="37">
        <f t="shared" si="290"/>
        <v>29.644268774703558</v>
      </c>
      <c r="J304" s="40"/>
      <c r="K304" s="36">
        <f t="shared" si="291"/>
        <v>12</v>
      </c>
      <c r="L304" s="33">
        <f>'1.DATA KIA'!J290</f>
        <v>0</v>
      </c>
      <c r="M304" s="36">
        <f t="shared" si="305"/>
        <v>12</v>
      </c>
      <c r="N304" s="37">
        <f t="shared" si="306"/>
        <v>24.844720496894407</v>
      </c>
      <c r="O304" s="40"/>
      <c r="P304" s="36">
        <f t="shared" si="292"/>
        <v>10</v>
      </c>
      <c r="Q304" s="33">
        <f>'1.DATA KIA'!M290</f>
        <v>0</v>
      </c>
      <c r="R304" s="36">
        <f t="shared" si="307"/>
        <v>10</v>
      </c>
      <c r="S304" s="37">
        <f t="shared" si="308"/>
        <v>20.703933747412005</v>
      </c>
      <c r="T304" s="40"/>
      <c r="U304" s="33">
        <f t="shared" si="293"/>
        <v>4</v>
      </c>
      <c r="V304" s="36">
        <f>'1.DATA KIA'!Y290</f>
        <v>0</v>
      </c>
      <c r="W304" s="33">
        <f t="shared" si="309"/>
        <v>4</v>
      </c>
      <c r="X304" s="37">
        <f t="shared" si="294"/>
        <v>39.525691699604735</v>
      </c>
      <c r="Y304" s="40"/>
      <c r="Z304" s="33">
        <f t="shared" si="295"/>
        <v>0</v>
      </c>
      <c r="AA304" s="36">
        <f>'1.DATA KIA'!Z290</f>
        <v>0</v>
      </c>
      <c r="AB304" s="33">
        <f t="shared" si="310"/>
        <v>0</v>
      </c>
      <c r="AC304" s="37">
        <f t="shared" si="296"/>
        <v>0</v>
      </c>
      <c r="AD304" s="40"/>
      <c r="AE304" s="33">
        <f t="shared" si="297"/>
        <v>0</v>
      </c>
      <c r="AF304" s="41">
        <f>'8.ANCTEPADU'!D335+'8.ANCTEPADU'!E335</f>
        <v>0</v>
      </c>
      <c r="AG304" s="33">
        <f t="shared" si="311"/>
        <v>0</v>
      </c>
      <c r="AH304" s="37">
        <f t="shared" si="298"/>
        <v>0</v>
      </c>
      <c r="AI304" s="33">
        <f t="shared" si="299"/>
        <v>5</v>
      </c>
      <c r="AJ304" s="41">
        <f>'8.ANCTEPADU'!J335</f>
        <v>0</v>
      </c>
      <c r="AK304" s="33">
        <f t="shared" si="312"/>
        <v>5</v>
      </c>
      <c r="AL304" s="37">
        <f t="shared" si="300"/>
        <v>9.8814229249011856</v>
      </c>
      <c r="AM304" s="36">
        <f t="shared" si="301"/>
        <v>13</v>
      </c>
      <c r="AN304" s="36">
        <f>'1.DATA KIA'!AG290</f>
        <v>0</v>
      </c>
      <c r="AO304" s="33">
        <f t="shared" si="313"/>
        <v>13</v>
      </c>
      <c r="AP304" s="37" t="e">
        <f t="shared" si="314"/>
        <v>#DIV/0!</v>
      </c>
      <c r="AQ304" s="40"/>
      <c r="AR304" s="42">
        <f t="shared" si="302"/>
        <v>13</v>
      </c>
      <c r="AS304" s="36">
        <f>'1.DATA KIA'!AB290</f>
        <v>0</v>
      </c>
      <c r="AT304" s="33">
        <f t="shared" si="315"/>
        <v>13</v>
      </c>
      <c r="AU304" s="37">
        <f t="shared" si="316"/>
        <v>26.915113871635612</v>
      </c>
      <c r="AV304" s="40"/>
      <c r="AW304" s="36">
        <f t="shared" si="303"/>
        <v>1</v>
      </c>
      <c r="AX304" s="33">
        <f>'1.DATA KIA'!AF290</f>
        <v>0</v>
      </c>
      <c r="AY304" s="36">
        <f t="shared" si="317"/>
        <v>1</v>
      </c>
      <c r="AZ304" s="37">
        <f t="shared" si="318"/>
        <v>9.8814229249011838</v>
      </c>
      <c r="BA304" s="38"/>
    </row>
    <row r="305" spans="1:53" ht="30" customHeight="1" x14ac:dyDescent="0.35">
      <c r="A305" s="33">
        <v>11</v>
      </c>
      <c r="B305" s="34" t="str">
        <f>PETUNJUK!B19</f>
        <v>Krasak</v>
      </c>
      <c r="C305" s="35">
        <f>'1.DATA KIA'!C291</f>
        <v>117.7</v>
      </c>
      <c r="D305" s="35">
        <f>'1.DATA KIA'!D291</f>
        <v>112.35000000000001</v>
      </c>
      <c r="E305" s="35">
        <f t="shared" si="288"/>
        <v>0</v>
      </c>
      <c r="F305" s="36">
        <f t="shared" si="289"/>
        <v>45</v>
      </c>
      <c r="G305" s="36">
        <f>'1.DATA KIA'!F291</f>
        <v>0</v>
      </c>
      <c r="H305" s="36">
        <f t="shared" si="304"/>
        <v>45</v>
      </c>
      <c r="I305" s="37">
        <f t="shared" si="290"/>
        <v>38.232795242141037</v>
      </c>
      <c r="J305" s="40"/>
      <c r="K305" s="36">
        <f t="shared" si="291"/>
        <v>22</v>
      </c>
      <c r="L305" s="33">
        <f>'1.DATA KIA'!J291</f>
        <v>0</v>
      </c>
      <c r="M305" s="36">
        <f t="shared" si="305"/>
        <v>22</v>
      </c>
      <c r="N305" s="37">
        <f t="shared" si="306"/>
        <v>19.581664441477525</v>
      </c>
      <c r="O305" s="40"/>
      <c r="P305" s="36">
        <f t="shared" si="292"/>
        <v>29</v>
      </c>
      <c r="Q305" s="33">
        <f>'1.DATA KIA'!M291</f>
        <v>0</v>
      </c>
      <c r="R305" s="36">
        <f t="shared" si="307"/>
        <v>29</v>
      </c>
      <c r="S305" s="37">
        <f t="shared" si="308"/>
        <v>25.812194036493104</v>
      </c>
      <c r="T305" s="40"/>
      <c r="U305" s="33">
        <f t="shared" si="293"/>
        <v>5</v>
      </c>
      <c r="V305" s="36">
        <f>'1.DATA KIA'!Y291</f>
        <v>0</v>
      </c>
      <c r="W305" s="33">
        <f t="shared" si="309"/>
        <v>5</v>
      </c>
      <c r="X305" s="37">
        <f t="shared" si="294"/>
        <v>21.240441801189462</v>
      </c>
      <c r="Y305" s="40"/>
      <c r="Z305" s="33">
        <f t="shared" si="295"/>
        <v>6</v>
      </c>
      <c r="AA305" s="36">
        <f>'1.DATA KIA'!Z291</f>
        <v>0</v>
      </c>
      <c r="AB305" s="33">
        <f t="shared" si="310"/>
        <v>6</v>
      </c>
      <c r="AC305" s="37">
        <f t="shared" si="296"/>
        <v>25.488530161427352</v>
      </c>
      <c r="AD305" s="40"/>
      <c r="AE305" s="33">
        <f t="shared" si="297"/>
        <v>3</v>
      </c>
      <c r="AF305" s="41">
        <f>'8.ANCTEPADU'!D336+'8.ANCTEPADU'!E336</f>
        <v>0</v>
      </c>
      <c r="AG305" s="33">
        <f t="shared" si="311"/>
        <v>3</v>
      </c>
      <c r="AH305" s="37">
        <f t="shared" si="298"/>
        <v>2.5488530161427359</v>
      </c>
      <c r="AI305" s="33">
        <f t="shared" si="299"/>
        <v>4</v>
      </c>
      <c r="AJ305" s="41">
        <f>'8.ANCTEPADU'!J336</f>
        <v>0</v>
      </c>
      <c r="AK305" s="33">
        <f t="shared" si="312"/>
        <v>4</v>
      </c>
      <c r="AL305" s="37">
        <f t="shared" si="300"/>
        <v>3.3984706881903146</v>
      </c>
      <c r="AM305" s="36">
        <f t="shared" si="301"/>
        <v>29</v>
      </c>
      <c r="AN305" s="36">
        <f>'1.DATA KIA'!AG291</f>
        <v>0</v>
      </c>
      <c r="AO305" s="33">
        <f t="shared" si="313"/>
        <v>29</v>
      </c>
      <c r="AP305" s="37" t="e">
        <f t="shared" si="314"/>
        <v>#DIV/0!</v>
      </c>
      <c r="AQ305" s="40"/>
      <c r="AR305" s="42">
        <f t="shared" si="302"/>
        <v>29</v>
      </c>
      <c r="AS305" s="36">
        <f>'1.DATA KIA'!AB291</f>
        <v>0</v>
      </c>
      <c r="AT305" s="33">
        <f t="shared" si="315"/>
        <v>29</v>
      </c>
      <c r="AU305" s="37">
        <f t="shared" si="316"/>
        <v>25.812194036493104</v>
      </c>
      <c r="AV305" s="40"/>
      <c r="AW305" s="36">
        <f t="shared" si="303"/>
        <v>7</v>
      </c>
      <c r="AX305" s="33">
        <f>'1.DATA KIA'!AF291</f>
        <v>0</v>
      </c>
      <c r="AY305" s="36">
        <f t="shared" si="317"/>
        <v>7</v>
      </c>
      <c r="AZ305" s="37">
        <f t="shared" si="318"/>
        <v>29.73661852166525</v>
      </c>
      <c r="BA305" s="38"/>
    </row>
    <row r="306" spans="1:53" ht="30" customHeight="1" x14ac:dyDescent="0.35">
      <c r="A306" s="33">
        <v>12</v>
      </c>
      <c r="B306" s="34" t="str">
        <f>PETUNJUK!B20</f>
        <v>Gerdu</v>
      </c>
      <c r="C306" s="35">
        <f>'1.DATA KIA'!C292</f>
        <v>23.1</v>
      </c>
      <c r="D306" s="35">
        <f>'1.DATA KIA'!D292</f>
        <v>22.05</v>
      </c>
      <c r="E306" s="35">
        <f t="shared" si="288"/>
        <v>0</v>
      </c>
      <c r="F306" s="36">
        <f t="shared" si="289"/>
        <v>8</v>
      </c>
      <c r="G306" s="36">
        <f>'1.DATA KIA'!F292</f>
        <v>0</v>
      </c>
      <c r="H306" s="36">
        <f t="shared" si="304"/>
        <v>8</v>
      </c>
      <c r="I306" s="37">
        <f t="shared" si="290"/>
        <v>34.632034632034632</v>
      </c>
      <c r="J306" s="40"/>
      <c r="K306" s="36">
        <f t="shared" si="291"/>
        <v>8</v>
      </c>
      <c r="L306" s="33">
        <f>'1.DATA KIA'!J292</f>
        <v>0</v>
      </c>
      <c r="M306" s="36">
        <f t="shared" si="305"/>
        <v>8</v>
      </c>
      <c r="N306" s="37">
        <f t="shared" si="306"/>
        <v>36.281179138321995</v>
      </c>
      <c r="O306" s="40"/>
      <c r="P306" s="36">
        <f t="shared" si="292"/>
        <v>8</v>
      </c>
      <c r="Q306" s="33">
        <f>'1.DATA KIA'!M292</f>
        <v>0</v>
      </c>
      <c r="R306" s="36">
        <f t="shared" si="307"/>
        <v>8</v>
      </c>
      <c r="S306" s="37">
        <f t="shared" si="308"/>
        <v>36.281179138321995</v>
      </c>
      <c r="T306" s="40"/>
      <c r="U306" s="33">
        <f t="shared" si="293"/>
        <v>2</v>
      </c>
      <c r="V306" s="36">
        <f>'1.DATA KIA'!Y292</f>
        <v>0</v>
      </c>
      <c r="W306" s="33">
        <f t="shared" si="309"/>
        <v>2</v>
      </c>
      <c r="X306" s="37">
        <f t="shared" si="294"/>
        <v>43.290043290043286</v>
      </c>
      <c r="Y306" s="40"/>
      <c r="Z306" s="33">
        <f t="shared" si="295"/>
        <v>1</v>
      </c>
      <c r="AA306" s="36">
        <f>'1.DATA KIA'!Z292</f>
        <v>0</v>
      </c>
      <c r="AB306" s="33">
        <f t="shared" si="310"/>
        <v>1</v>
      </c>
      <c r="AC306" s="37">
        <f t="shared" si="296"/>
        <v>21.645021645021643</v>
      </c>
      <c r="AD306" s="40"/>
      <c r="AE306" s="33">
        <f t="shared" si="297"/>
        <v>0</v>
      </c>
      <c r="AF306" s="41">
        <f>'8.ANCTEPADU'!D337+'8.ANCTEPADU'!E337</f>
        <v>0</v>
      </c>
      <c r="AG306" s="33">
        <f t="shared" si="311"/>
        <v>0</v>
      </c>
      <c r="AH306" s="37">
        <f t="shared" si="298"/>
        <v>0</v>
      </c>
      <c r="AI306" s="33">
        <f t="shared" si="299"/>
        <v>1</v>
      </c>
      <c r="AJ306" s="41">
        <f>'8.ANCTEPADU'!J337</f>
        <v>0</v>
      </c>
      <c r="AK306" s="33">
        <f t="shared" si="312"/>
        <v>1</v>
      </c>
      <c r="AL306" s="37">
        <f t="shared" si="300"/>
        <v>4.329004329004329</v>
      </c>
      <c r="AM306" s="36">
        <f t="shared" si="301"/>
        <v>5</v>
      </c>
      <c r="AN306" s="36">
        <f>'1.DATA KIA'!AG292</f>
        <v>0</v>
      </c>
      <c r="AO306" s="33">
        <f>AN306+AM306</f>
        <v>5</v>
      </c>
      <c r="AP306" s="37" t="e">
        <f t="shared" si="314"/>
        <v>#DIV/0!</v>
      </c>
      <c r="AQ306" s="40"/>
      <c r="AR306" s="42">
        <f t="shared" si="302"/>
        <v>5</v>
      </c>
      <c r="AS306" s="36">
        <f>'1.DATA KIA'!AB292</f>
        <v>0</v>
      </c>
      <c r="AT306" s="33">
        <f>AS306+AR306</f>
        <v>5</v>
      </c>
      <c r="AU306" s="37">
        <f t="shared" si="316"/>
        <v>22.675736961451246</v>
      </c>
      <c r="AV306" s="40"/>
      <c r="AW306" s="36">
        <f t="shared" si="303"/>
        <v>2</v>
      </c>
      <c r="AX306" s="33">
        <f>'1.DATA KIA'!AF292</f>
        <v>0</v>
      </c>
      <c r="AY306" s="36">
        <f t="shared" si="317"/>
        <v>2</v>
      </c>
      <c r="AZ306" s="37">
        <f t="shared" si="318"/>
        <v>43.290043290043286</v>
      </c>
      <c r="BA306" s="38"/>
    </row>
    <row r="307" spans="1:53" ht="30" customHeight="1" x14ac:dyDescent="0.35">
      <c r="A307" s="33">
        <v>13</v>
      </c>
      <c r="B307" s="34">
        <f>PETUNJUK!B21</f>
        <v>0</v>
      </c>
      <c r="C307" s="35">
        <f>'1.DATA KIA'!C293</f>
        <v>0</v>
      </c>
      <c r="D307" s="35">
        <f>'1.DATA KIA'!D293</f>
        <v>0</v>
      </c>
      <c r="E307" s="35">
        <f t="shared" si="288"/>
        <v>0</v>
      </c>
      <c r="F307" s="36">
        <f t="shared" si="289"/>
        <v>0</v>
      </c>
      <c r="G307" s="36">
        <f>'1.DATA KIA'!F293</f>
        <v>0</v>
      </c>
      <c r="H307" s="36">
        <f t="shared" si="304"/>
        <v>0</v>
      </c>
      <c r="I307" s="37" t="e">
        <f t="shared" si="290"/>
        <v>#DIV/0!</v>
      </c>
      <c r="J307" s="40"/>
      <c r="K307" s="36">
        <f t="shared" si="291"/>
        <v>0</v>
      </c>
      <c r="L307" s="33">
        <f>'1.DATA KIA'!J293</f>
        <v>0</v>
      </c>
      <c r="M307" s="36">
        <f t="shared" si="305"/>
        <v>0</v>
      </c>
      <c r="N307" s="37" t="e">
        <f t="shared" si="306"/>
        <v>#DIV/0!</v>
      </c>
      <c r="O307" s="40"/>
      <c r="P307" s="36">
        <f t="shared" si="292"/>
        <v>0</v>
      </c>
      <c r="Q307" s="33">
        <f>'1.DATA KIA'!M293</f>
        <v>0</v>
      </c>
      <c r="R307" s="36">
        <f t="shared" si="307"/>
        <v>0</v>
      </c>
      <c r="S307" s="37" t="e">
        <f t="shared" si="308"/>
        <v>#DIV/0!</v>
      </c>
      <c r="T307" s="40"/>
      <c r="U307" s="33">
        <f t="shared" si="293"/>
        <v>0</v>
      </c>
      <c r="V307" s="36">
        <f>'1.DATA KIA'!Y293</f>
        <v>0</v>
      </c>
      <c r="W307" s="33">
        <f t="shared" si="309"/>
        <v>0</v>
      </c>
      <c r="X307" s="37" t="e">
        <f t="shared" si="294"/>
        <v>#DIV/0!</v>
      </c>
      <c r="Y307" s="40"/>
      <c r="Z307" s="33">
        <f t="shared" si="295"/>
        <v>0</v>
      </c>
      <c r="AA307" s="36">
        <f>'1.DATA KIA'!Z293</f>
        <v>0</v>
      </c>
      <c r="AB307" s="33">
        <f t="shared" si="310"/>
        <v>0</v>
      </c>
      <c r="AC307" s="37" t="e">
        <f t="shared" si="296"/>
        <v>#DIV/0!</v>
      </c>
      <c r="AD307" s="40"/>
      <c r="AE307" s="33">
        <f t="shared" si="297"/>
        <v>0</v>
      </c>
      <c r="AF307" s="41">
        <f>'8.ANCTEPADU'!D338+'8.ANCTEPADU'!E338</f>
        <v>0</v>
      </c>
      <c r="AG307" s="33">
        <f t="shared" si="311"/>
        <v>0</v>
      </c>
      <c r="AH307" s="37" t="e">
        <f t="shared" si="298"/>
        <v>#DIV/0!</v>
      </c>
      <c r="AI307" s="33">
        <f t="shared" si="299"/>
        <v>0</v>
      </c>
      <c r="AJ307" s="41">
        <f>'8.ANCTEPADU'!J338</f>
        <v>0</v>
      </c>
      <c r="AK307" s="33">
        <f t="shared" si="312"/>
        <v>0</v>
      </c>
      <c r="AL307" s="37" t="e">
        <f t="shared" si="300"/>
        <v>#DIV/0!</v>
      </c>
      <c r="AM307" s="36">
        <f t="shared" si="301"/>
        <v>0</v>
      </c>
      <c r="AN307" s="36">
        <f>'1.DATA KIA'!AG293</f>
        <v>0</v>
      </c>
      <c r="AO307" s="33">
        <f t="shared" ref="AO307:AO312" si="319">AN307+AM307</f>
        <v>0</v>
      </c>
      <c r="AP307" s="37" t="e">
        <f t="shared" si="314"/>
        <v>#DIV/0!</v>
      </c>
      <c r="AQ307" s="40"/>
      <c r="AR307" s="42">
        <f t="shared" si="302"/>
        <v>0</v>
      </c>
      <c r="AS307" s="36">
        <f>'1.DATA KIA'!AB293</f>
        <v>0</v>
      </c>
      <c r="AT307" s="33">
        <f t="shared" ref="AT307:AT312" si="320">AS307+AR307</f>
        <v>0</v>
      </c>
      <c r="AU307" s="37" t="e">
        <f t="shared" si="316"/>
        <v>#DIV/0!</v>
      </c>
      <c r="AV307" s="40"/>
      <c r="AW307" s="36">
        <f t="shared" si="303"/>
        <v>0</v>
      </c>
      <c r="AX307" s="33">
        <f>'1.DATA KIA'!AF293</f>
        <v>0</v>
      </c>
      <c r="AY307" s="36">
        <f t="shared" si="317"/>
        <v>0</v>
      </c>
      <c r="AZ307" s="37" t="e">
        <f t="shared" si="318"/>
        <v>#DIV/0!</v>
      </c>
      <c r="BA307" s="38"/>
    </row>
    <row r="308" spans="1:53" ht="30" customHeight="1" x14ac:dyDescent="0.35">
      <c r="A308" s="33">
        <v>14</v>
      </c>
      <c r="B308" s="34">
        <f>PETUNJUK!B22</f>
        <v>0</v>
      </c>
      <c r="C308" s="35">
        <f>'1.DATA KIA'!C294</f>
        <v>0</v>
      </c>
      <c r="D308" s="35">
        <f>'1.DATA KIA'!D294</f>
        <v>0</v>
      </c>
      <c r="E308" s="35">
        <f t="shared" si="288"/>
        <v>0</v>
      </c>
      <c r="F308" s="36">
        <f t="shared" si="289"/>
        <v>0</v>
      </c>
      <c r="G308" s="36">
        <f>'1.DATA KIA'!F294</f>
        <v>0</v>
      </c>
      <c r="H308" s="36">
        <f t="shared" si="304"/>
        <v>0</v>
      </c>
      <c r="I308" s="37" t="e">
        <f t="shared" si="290"/>
        <v>#DIV/0!</v>
      </c>
      <c r="J308" s="40"/>
      <c r="K308" s="36">
        <f t="shared" si="291"/>
        <v>0</v>
      </c>
      <c r="L308" s="33">
        <f>'1.DATA KIA'!J294</f>
        <v>0</v>
      </c>
      <c r="M308" s="36">
        <f t="shared" si="305"/>
        <v>0</v>
      </c>
      <c r="N308" s="37" t="e">
        <f t="shared" si="306"/>
        <v>#DIV/0!</v>
      </c>
      <c r="O308" s="40"/>
      <c r="P308" s="36">
        <f t="shared" si="292"/>
        <v>0</v>
      </c>
      <c r="Q308" s="33">
        <f>'1.DATA KIA'!M294</f>
        <v>0</v>
      </c>
      <c r="R308" s="36">
        <f t="shared" si="307"/>
        <v>0</v>
      </c>
      <c r="S308" s="37" t="e">
        <f t="shared" si="308"/>
        <v>#DIV/0!</v>
      </c>
      <c r="T308" s="40"/>
      <c r="U308" s="33">
        <f t="shared" si="293"/>
        <v>0</v>
      </c>
      <c r="V308" s="36">
        <f>'1.DATA KIA'!Y294</f>
        <v>0</v>
      </c>
      <c r="W308" s="33">
        <f t="shared" si="309"/>
        <v>0</v>
      </c>
      <c r="X308" s="37" t="e">
        <f t="shared" si="294"/>
        <v>#DIV/0!</v>
      </c>
      <c r="Y308" s="40"/>
      <c r="Z308" s="33">
        <f t="shared" si="295"/>
        <v>0</v>
      </c>
      <c r="AA308" s="36">
        <f>'1.DATA KIA'!Z294</f>
        <v>0</v>
      </c>
      <c r="AB308" s="33">
        <f t="shared" si="310"/>
        <v>0</v>
      </c>
      <c r="AC308" s="37" t="e">
        <f t="shared" si="296"/>
        <v>#DIV/0!</v>
      </c>
      <c r="AD308" s="40"/>
      <c r="AE308" s="33">
        <f t="shared" si="297"/>
        <v>0</v>
      </c>
      <c r="AF308" s="41">
        <f>'8.ANCTEPADU'!D339+'8.ANCTEPADU'!E339</f>
        <v>0</v>
      </c>
      <c r="AG308" s="33">
        <f t="shared" si="311"/>
        <v>0</v>
      </c>
      <c r="AH308" s="37" t="e">
        <f t="shared" si="298"/>
        <v>#DIV/0!</v>
      </c>
      <c r="AI308" s="33">
        <f t="shared" si="299"/>
        <v>0</v>
      </c>
      <c r="AJ308" s="41">
        <f>'8.ANCTEPADU'!J339</f>
        <v>0</v>
      </c>
      <c r="AK308" s="33">
        <f t="shared" si="312"/>
        <v>0</v>
      </c>
      <c r="AL308" s="37" t="e">
        <f t="shared" si="300"/>
        <v>#DIV/0!</v>
      </c>
      <c r="AM308" s="36">
        <f t="shared" si="301"/>
        <v>0</v>
      </c>
      <c r="AN308" s="36">
        <f>'1.DATA KIA'!AG294</f>
        <v>0</v>
      </c>
      <c r="AO308" s="33">
        <f t="shared" si="319"/>
        <v>0</v>
      </c>
      <c r="AP308" s="37" t="e">
        <f t="shared" si="314"/>
        <v>#DIV/0!</v>
      </c>
      <c r="AQ308" s="40"/>
      <c r="AR308" s="42">
        <f t="shared" si="302"/>
        <v>0</v>
      </c>
      <c r="AS308" s="36">
        <f>'1.DATA KIA'!AB294</f>
        <v>0</v>
      </c>
      <c r="AT308" s="33">
        <f t="shared" si="320"/>
        <v>0</v>
      </c>
      <c r="AU308" s="37" t="e">
        <f t="shared" si="316"/>
        <v>#DIV/0!</v>
      </c>
      <c r="AV308" s="40"/>
      <c r="AW308" s="36">
        <f t="shared" si="303"/>
        <v>0</v>
      </c>
      <c r="AX308" s="33">
        <f>'1.DATA KIA'!AF294</f>
        <v>0</v>
      </c>
      <c r="AY308" s="36">
        <f t="shared" si="317"/>
        <v>0</v>
      </c>
      <c r="AZ308" s="37" t="e">
        <f t="shared" si="318"/>
        <v>#DIV/0!</v>
      </c>
      <c r="BA308" s="38"/>
    </row>
    <row r="309" spans="1:53" ht="30" customHeight="1" x14ac:dyDescent="0.35">
      <c r="A309" s="33">
        <v>15</v>
      </c>
      <c r="B309" s="34">
        <f>PETUNJUK!B23</f>
        <v>0</v>
      </c>
      <c r="C309" s="35">
        <f>'1.DATA KIA'!C295</f>
        <v>0</v>
      </c>
      <c r="D309" s="35">
        <f>'1.DATA KIA'!D295</f>
        <v>0</v>
      </c>
      <c r="E309" s="35">
        <f t="shared" si="288"/>
        <v>0</v>
      </c>
      <c r="F309" s="36">
        <f t="shared" si="289"/>
        <v>0</v>
      </c>
      <c r="G309" s="36">
        <f>'1.DATA KIA'!F295</f>
        <v>0</v>
      </c>
      <c r="H309" s="36">
        <f t="shared" si="304"/>
        <v>0</v>
      </c>
      <c r="I309" s="37" t="e">
        <f t="shared" si="290"/>
        <v>#DIV/0!</v>
      </c>
      <c r="J309" s="40"/>
      <c r="K309" s="36">
        <f t="shared" si="291"/>
        <v>0</v>
      </c>
      <c r="L309" s="33">
        <f>'1.DATA KIA'!J295</f>
        <v>0</v>
      </c>
      <c r="M309" s="36">
        <f t="shared" si="305"/>
        <v>0</v>
      </c>
      <c r="N309" s="37" t="e">
        <f t="shared" si="306"/>
        <v>#DIV/0!</v>
      </c>
      <c r="O309" s="40"/>
      <c r="P309" s="36">
        <f t="shared" si="292"/>
        <v>0</v>
      </c>
      <c r="Q309" s="33">
        <f>'1.DATA KIA'!M295</f>
        <v>0</v>
      </c>
      <c r="R309" s="36">
        <f t="shared" si="307"/>
        <v>0</v>
      </c>
      <c r="S309" s="37" t="e">
        <f t="shared" si="308"/>
        <v>#DIV/0!</v>
      </c>
      <c r="T309" s="40"/>
      <c r="U309" s="33">
        <f t="shared" si="293"/>
        <v>0</v>
      </c>
      <c r="V309" s="36">
        <f>'1.DATA KIA'!Y295</f>
        <v>0</v>
      </c>
      <c r="W309" s="33">
        <f t="shared" si="309"/>
        <v>0</v>
      </c>
      <c r="X309" s="37" t="e">
        <f t="shared" si="294"/>
        <v>#DIV/0!</v>
      </c>
      <c r="Y309" s="40"/>
      <c r="Z309" s="33">
        <f t="shared" si="295"/>
        <v>0</v>
      </c>
      <c r="AA309" s="36">
        <f>'1.DATA KIA'!Z295</f>
        <v>0</v>
      </c>
      <c r="AB309" s="33">
        <f t="shared" si="310"/>
        <v>0</v>
      </c>
      <c r="AC309" s="37" t="e">
        <f t="shared" si="296"/>
        <v>#DIV/0!</v>
      </c>
      <c r="AD309" s="40"/>
      <c r="AE309" s="33">
        <f t="shared" si="297"/>
        <v>0</v>
      </c>
      <c r="AF309" s="41">
        <f>'8.ANCTEPADU'!D340+'8.ANCTEPADU'!E340</f>
        <v>0</v>
      </c>
      <c r="AG309" s="33">
        <f t="shared" si="311"/>
        <v>0</v>
      </c>
      <c r="AH309" s="37" t="e">
        <f t="shared" si="298"/>
        <v>#DIV/0!</v>
      </c>
      <c r="AI309" s="33">
        <f t="shared" si="299"/>
        <v>0</v>
      </c>
      <c r="AJ309" s="41">
        <f>'8.ANCTEPADU'!J340</f>
        <v>0</v>
      </c>
      <c r="AK309" s="33">
        <f t="shared" si="312"/>
        <v>0</v>
      </c>
      <c r="AL309" s="37" t="e">
        <f t="shared" si="300"/>
        <v>#DIV/0!</v>
      </c>
      <c r="AM309" s="36">
        <f t="shared" si="301"/>
        <v>0</v>
      </c>
      <c r="AN309" s="36">
        <f>'1.DATA KIA'!AG295</f>
        <v>0</v>
      </c>
      <c r="AO309" s="33">
        <f t="shared" si="319"/>
        <v>0</v>
      </c>
      <c r="AP309" s="37" t="e">
        <f t="shared" si="314"/>
        <v>#DIV/0!</v>
      </c>
      <c r="AQ309" s="40"/>
      <c r="AR309" s="42">
        <f t="shared" si="302"/>
        <v>0</v>
      </c>
      <c r="AS309" s="36">
        <f>'1.DATA KIA'!AB295</f>
        <v>0</v>
      </c>
      <c r="AT309" s="33">
        <f t="shared" si="320"/>
        <v>0</v>
      </c>
      <c r="AU309" s="37" t="e">
        <f t="shared" si="316"/>
        <v>#DIV/0!</v>
      </c>
      <c r="AV309" s="40"/>
      <c r="AW309" s="36">
        <f t="shared" si="303"/>
        <v>0</v>
      </c>
      <c r="AX309" s="33">
        <f>'1.DATA KIA'!AF295</f>
        <v>0</v>
      </c>
      <c r="AY309" s="36">
        <f t="shared" si="317"/>
        <v>0</v>
      </c>
      <c r="AZ309" s="37" t="e">
        <f t="shared" si="318"/>
        <v>#DIV/0!</v>
      </c>
      <c r="BA309" s="38"/>
    </row>
    <row r="310" spans="1:53" ht="30" customHeight="1" x14ac:dyDescent="0.35">
      <c r="A310" s="33">
        <v>16</v>
      </c>
      <c r="B310" s="34">
        <f>PETUNJUK!B24</f>
        <v>0</v>
      </c>
      <c r="C310" s="35">
        <f>'1.DATA KIA'!C296</f>
        <v>0</v>
      </c>
      <c r="D310" s="35">
        <f>'1.DATA KIA'!D296</f>
        <v>0</v>
      </c>
      <c r="E310" s="35">
        <f t="shared" si="288"/>
        <v>0</v>
      </c>
      <c r="F310" s="36">
        <f t="shared" si="289"/>
        <v>0</v>
      </c>
      <c r="G310" s="36">
        <f>'1.DATA KIA'!F296</f>
        <v>0</v>
      </c>
      <c r="H310" s="36">
        <f t="shared" si="304"/>
        <v>0</v>
      </c>
      <c r="I310" s="37" t="e">
        <f t="shared" si="290"/>
        <v>#DIV/0!</v>
      </c>
      <c r="J310" s="40"/>
      <c r="K310" s="36">
        <f t="shared" si="291"/>
        <v>0</v>
      </c>
      <c r="L310" s="33">
        <f>'1.DATA KIA'!J296</f>
        <v>0</v>
      </c>
      <c r="M310" s="36">
        <f t="shared" si="305"/>
        <v>0</v>
      </c>
      <c r="N310" s="37" t="e">
        <f t="shared" si="306"/>
        <v>#DIV/0!</v>
      </c>
      <c r="O310" s="40"/>
      <c r="P310" s="36">
        <f t="shared" si="292"/>
        <v>0</v>
      </c>
      <c r="Q310" s="33">
        <f>'1.DATA KIA'!M296</f>
        <v>0</v>
      </c>
      <c r="R310" s="36">
        <f t="shared" si="307"/>
        <v>0</v>
      </c>
      <c r="S310" s="37" t="e">
        <f t="shared" si="308"/>
        <v>#DIV/0!</v>
      </c>
      <c r="T310" s="40"/>
      <c r="U310" s="33">
        <f t="shared" si="293"/>
        <v>0</v>
      </c>
      <c r="V310" s="36">
        <f>'1.DATA KIA'!Y296</f>
        <v>0</v>
      </c>
      <c r="W310" s="33">
        <f t="shared" si="309"/>
        <v>0</v>
      </c>
      <c r="X310" s="37" t="e">
        <f t="shared" si="294"/>
        <v>#DIV/0!</v>
      </c>
      <c r="Y310" s="40"/>
      <c r="Z310" s="33">
        <f t="shared" si="295"/>
        <v>0</v>
      </c>
      <c r="AA310" s="36">
        <f>'1.DATA KIA'!Z296</f>
        <v>0</v>
      </c>
      <c r="AB310" s="33">
        <f t="shared" si="310"/>
        <v>0</v>
      </c>
      <c r="AC310" s="37" t="e">
        <f t="shared" si="296"/>
        <v>#DIV/0!</v>
      </c>
      <c r="AD310" s="40"/>
      <c r="AE310" s="33">
        <f t="shared" si="297"/>
        <v>0</v>
      </c>
      <c r="AF310" s="41">
        <f>'8.ANCTEPADU'!D341+'8.ANCTEPADU'!E341</f>
        <v>0</v>
      </c>
      <c r="AG310" s="33">
        <f t="shared" si="311"/>
        <v>0</v>
      </c>
      <c r="AH310" s="37" t="e">
        <f t="shared" si="298"/>
        <v>#DIV/0!</v>
      </c>
      <c r="AI310" s="33">
        <f t="shared" si="299"/>
        <v>0</v>
      </c>
      <c r="AJ310" s="41">
        <f>'8.ANCTEPADU'!J341</f>
        <v>0</v>
      </c>
      <c r="AK310" s="33">
        <f t="shared" si="312"/>
        <v>0</v>
      </c>
      <c r="AL310" s="37" t="e">
        <f t="shared" si="300"/>
        <v>#DIV/0!</v>
      </c>
      <c r="AM310" s="36">
        <f t="shared" si="301"/>
        <v>0</v>
      </c>
      <c r="AN310" s="36">
        <f>'1.DATA KIA'!AG296</f>
        <v>0</v>
      </c>
      <c r="AO310" s="33">
        <f t="shared" si="319"/>
        <v>0</v>
      </c>
      <c r="AP310" s="37" t="e">
        <f t="shared" si="314"/>
        <v>#DIV/0!</v>
      </c>
      <c r="AQ310" s="40"/>
      <c r="AR310" s="42">
        <f t="shared" si="302"/>
        <v>0</v>
      </c>
      <c r="AS310" s="36">
        <f>'1.DATA KIA'!AB296</f>
        <v>0</v>
      </c>
      <c r="AT310" s="33">
        <f t="shared" si="320"/>
        <v>0</v>
      </c>
      <c r="AU310" s="37" t="e">
        <f t="shared" si="316"/>
        <v>#DIV/0!</v>
      </c>
      <c r="AV310" s="40"/>
      <c r="AW310" s="36">
        <f t="shared" si="303"/>
        <v>0</v>
      </c>
      <c r="AX310" s="33">
        <f>'1.DATA KIA'!AF296</f>
        <v>0</v>
      </c>
      <c r="AY310" s="36">
        <f t="shared" si="317"/>
        <v>0</v>
      </c>
      <c r="AZ310" s="37" t="e">
        <f t="shared" si="318"/>
        <v>#DIV/0!</v>
      </c>
      <c r="BA310" s="38"/>
    </row>
    <row r="311" spans="1:53" ht="30" customHeight="1" x14ac:dyDescent="0.35">
      <c r="A311" s="33">
        <v>17</v>
      </c>
      <c r="B311" s="34">
        <f>PETUNJUK!B25</f>
        <v>0</v>
      </c>
      <c r="C311" s="35">
        <f>'1.DATA KIA'!C297</f>
        <v>0</v>
      </c>
      <c r="D311" s="35">
        <f>'1.DATA KIA'!D297</f>
        <v>0</v>
      </c>
      <c r="E311" s="35">
        <f t="shared" si="288"/>
        <v>0</v>
      </c>
      <c r="F311" s="36">
        <f t="shared" si="289"/>
        <v>0</v>
      </c>
      <c r="G311" s="36">
        <f>'1.DATA KIA'!F297</f>
        <v>0</v>
      </c>
      <c r="H311" s="36">
        <f t="shared" si="304"/>
        <v>0</v>
      </c>
      <c r="I311" s="37" t="e">
        <f t="shared" si="290"/>
        <v>#DIV/0!</v>
      </c>
      <c r="J311" s="40"/>
      <c r="K311" s="36">
        <f t="shared" si="291"/>
        <v>0</v>
      </c>
      <c r="L311" s="33">
        <f>'1.DATA KIA'!J297</f>
        <v>0</v>
      </c>
      <c r="M311" s="36">
        <f t="shared" si="305"/>
        <v>0</v>
      </c>
      <c r="N311" s="37" t="e">
        <f t="shared" si="306"/>
        <v>#DIV/0!</v>
      </c>
      <c r="O311" s="40"/>
      <c r="P311" s="36">
        <f t="shared" si="292"/>
        <v>0</v>
      </c>
      <c r="Q311" s="33">
        <f>'1.DATA KIA'!M297</f>
        <v>0</v>
      </c>
      <c r="R311" s="36">
        <f t="shared" si="307"/>
        <v>0</v>
      </c>
      <c r="S311" s="37" t="e">
        <f t="shared" si="308"/>
        <v>#DIV/0!</v>
      </c>
      <c r="T311" s="40"/>
      <c r="U311" s="33">
        <f t="shared" si="293"/>
        <v>0</v>
      </c>
      <c r="V311" s="36">
        <f>'1.DATA KIA'!Y297</f>
        <v>0</v>
      </c>
      <c r="W311" s="33">
        <f t="shared" si="309"/>
        <v>0</v>
      </c>
      <c r="X311" s="37" t="e">
        <f t="shared" si="294"/>
        <v>#DIV/0!</v>
      </c>
      <c r="Y311" s="40"/>
      <c r="Z311" s="33">
        <f t="shared" si="295"/>
        <v>0</v>
      </c>
      <c r="AA311" s="36">
        <f>'1.DATA KIA'!Z297</f>
        <v>0</v>
      </c>
      <c r="AB311" s="33">
        <f t="shared" si="310"/>
        <v>0</v>
      </c>
      <c r="AC311" s="37" t="e">
        <f t="shared" si="296"/>
        <v>#DIV/0!</v>
      </c>
      <c r="AD311" s="40"/>
      <c r="AE311" s="33">
        <f t="shared" si="297"/>
        <v>0</v>
      </c>
      <c r="AF311" s="41">
        <f>'8.ANCTEPADU'!D342+'8.ANCTEPADU'!E342</f>
        <v>0</v>
      </c>
      <c r="AG311" s="33">
        <f t="shared" si="311"/>
        <v>0</v>
      </c>
      <c r="AH311" s="37" t="e">
        <f t="shared" si="298"/>
        <v>#DIV/0!</v>
      </c>
      <c r="AI311" s="33">
        <f t="shared" si="299"/>
        <v>0</v>
      </c>
      <c r="AJ311" s="41">
        <f>'8.ANCTEPADU'!J342</f>
        <v>0</v>
      </c>
      <c r="AK311" s="33">
        <f t="shared" si="312"/>
        <v>0</v>
      </c>
      <c r="AL311" s="37" t="e">
        <f t="shared" si="300"/>
        <v>#DIV/0!</v>
      </c>
      <c r="AM311" s="36">
        <f t="shared" si="301"/>
        <v>0</v>
      </c>
      <c r="AN311" s="36">
        <f>'1.DATA KIA'!AG297</f>
        <v>0</v>
      </c>
      <c r="AO311" s="33">
        <f t="shared" si="319"/>
        <v>0</v>
      </c>
      <c r="AP311" s="37" t="e">
        <f t="shared" si="314"/>
        <v>#DIV/0!</v>
      </c>
      <c r="AQ311" s="40"/>
      <c r="AR311" s="42">
        <f t="shared" si="302"/>
        <v>0</v>
      </c>
      <c r="AS311" s="36">
        <f>'1.DATA KIA'!AB297</f>
        <v>0</v>
      </c>
      <c r="AT311" s="33">
        <f t="shared" si="320"/>
        <v>0</v>
      </c>
      <c r="AU311" s="37" t="e">
        <f t="shared" si="316"/>
        <v>#DIV/0!</v>
      </c>
      <c r="AV311" s="40"/>
      <c r="AW311" s="36">
        <f t="shared" si="303"/>
        <v>0</v>
      </c>
      <c r="AX311" s="33">
        <f>'1.DATA KIA'!AF297</f>
        <v>0</v>
      </c>
      <c r="AY311" s="36">
        <f t="shared" si="317"/>
        <v>0</v>
      </c>
      <c r="AZ311" s="37" t="e">
        <f t="shared" si="318"/>
        <v>#DIV/0!</v>
      </c>
      <c r="BA311" s="38"/>
    </row>
    <row r="312" spans="1:53" ht="30" customHeight="1" x14ac:dyDescent="0.35">
      <c r="A312" s="33">
        <v>18</v>
      </c>
      <c r="B312" s="34">
        <f>PETUNJUK!B26</f>
        <v>0</v>
      </c>
      <c r="C312" s="35">
        <f>'1.DATA KIA'!C298</f>
        <v>0</v>
      </c>
      <c r="D312" s="35">
        <f>'1.DATA KIA'!D298</f>
        <v>0</v>
      </c>
      <c r="E312" s="35">
        <f t="shared" si="288"/>
        <v>0</v>
      </c>
      <c r="F312" s="36">
        <f t="shared" si="289"/>
        <v>0</v>
      </c>
      <c r="G312" s="36">
        <f>'1.DATA KIA'!F298</f>
        <v>0</v>
      </c>
      <c r="H312" s="36">
        <f t="shared" si="304"/>
        <v>0</v>
      </c>
      <c r="I312" s="37" t="e">
        <f t="shared" si="290"/>
        <v>#DIV/0!</v>
      </c>
      <c r="J312" s="40"/>
      <c r="K312" s="36">
        <f t="shared" si="291"/>
        <v>0</v>
      </c>
      <c r="L312" s="33">
        <f>'1.DATA KIA'!J298</f>
        <v>0</v>
      </c>
      <c r="M312" s="36">
        <f t="shared" si="305"/>
        <v>0</v>
      </c>
      <c r="N312" s="37" t="e">
        <f t="shared" si="306"/>
        <v>#DIV/0!</v>
      </c>
      <c r="O312" s="40"/>
      <c r="P312" s="36">
        <f t="shared" si="292"/>
        <v>0</v>
      </c>
      <c r="Q312" s="33">
        <f>'1.DATA KIA'!M298</f>
        <v>0</v>
      </c>
      <c r="R312" s="36">
        <f t="shared" si="307"/>
        <v>0</v>
      </c>
      <c r="S312" s="37" t="e">
        <f t="shared" si="308"/>
        <v>#DIV/0!</v>
      </c>
      <c r="T312" s="40"/>
      <c r="U312" s="33">
        <f t="shared" si="293"/>
        <v>0</v>
      </c>
      <c r="V312" s="36">
        <f>'1.DATA KIA'!Y298</f>
        <v>0</v>
      </c>
      <c r="W312" s="33">
        <f t="shared" si="309"/>
        <v>0</v>
      </c>
      <c r="X312" s="37" t="e">
        <f t="shared" si="294"/>
        <v>#DIV/0!</v>
      </c>
      <c r="Y312" s="40"/>
      <c r="Z312" s="33">
        <f t="shared" si="295"/>
        <v>0</v>
      </c>
      <c r="AA312" s="36">
        <f>'1.DATA KIA'!Z298</f>
        <v>0</v>
      </c>
      <c r="AB312" s="33">
        <f t="shared" si="310"/>
        <v>0</v>
      </c>
      <c r="AC312" s="37" t="e">
        <f t="shared" si="296"/>
        <v>#DIV/0!</v>
      </c>
      <c r="AD312" s="40"/>
      <c r="AE312" s="33">
        <f t="shared" si="297"/>
        <v>0</v>
      </c>
      <c r="AF312" s="41">
        <f>'8.ANCTEPADU'!D343+'8.ANCTEPADU'!E343</f>
        <v>0</v>
      </c>
      <c r="AG312" s="33">
        <f t="shared" si="311"/>
        <v>0</v>
      </c>
      <c r="AH312" s="37" t="e">
        <f t="shared" si="298"/>
        <v>#DIV/0!</v>
      </c>
      <c r="AI312" s="33">
        <f t="shared" si="299"/>
        <v>0</v>
      </c>
      <c r="AJ312" s="41">
        <f>'8.ANCTEPADU'!J343</f>
        <v>0</v>
      </c>
      <c r="AK312" s="33">
        <f t="shared" si="312"/>
        <v>0</v>
      </c>
      <c r="AL312" s="37" t="e">
        <f t="shared" si="300"/>
        <v>#DIV/0!</v>
      </c>
      <c r="AM312" s="36">
        <f t="shared" si="301"/>
        <v>0</v>
      </c>
      <c r="AN312" s="36">
        <f>'1.DATA KIA'!AG298</f>
        <v>0</v>
      </c>
      <c r="AO312" s="33">
        <f t="shared" si="319"/>
        <v>0</v>
      </c>
      <c r="AP312" s="37" t="e">
        <f t="shared" si="314"/>
        <v>#DIV/0!</v>
      </c>
      <c r="AQ312" s="40"/>
      <c r="AR312" s="42">
        <f t="shared" si="302"/>
        <v>0</v>
      </c>
      <c r="AS312" s="36">
        <f>'1.DATA KIA'!AB298</f>
        <v>0</v>
      </c>
      <c r="AT312" s="33">
        <f t="shared" si="320"/>
        <v>0</v>
      </c>
      <c r="AU312" s="37" t="e">
        <f t="shared" si="316"/>
        <v>#DIV/0!</v>
      </c>
      <c r="AV312" s="40"/>
      <c r="AW312" s="36">
        <f t="shared" si="303"/>
        <v>0</v>
      </c>
      <c r="AX312" s="33">
        <f>'1.DATA KIA'!AF298</f>
        <v>0</v>
      </c>
      <c r="AY312" s="36">
        <f t="shared" si="317"/>
        <v>0</v>
      </c>
      <c r="AZ312" s="37" t="e">
        <f t="shared" si="318"/>
        <v>#DIV/0!</v>
      </c>
      <c r="BA312" s="38"/>
    </row>
    <row r="313" spans="1:53" ht="30" customHeight="1" x14ac:dyDescent="0.35">
      <c r="A313" s="33">
        <v>19</v>
      </c>
      <c r="B313" s="34">
        <f>PETUNJUK!B27</f>
        <v>0</v>
      </c>
      <c r="C313" s="35">
        <f>'1.DATA KIA'!C299</f>
        <v>0</v>
      </c>
      <c r="D313" s="35">
        <f>'1.DATA KIA'!D299</f>
        <v>0</v>
      </c>
      <c r="E313" s="35">
        <f>E277</f>
        <v>0</v>
      </c>
      <c r="F313" s="36">
        <f>H277</f>
        <v>0</v>
      </c>
      <c r="G313" s="36">
        <f>'1.DATA KIA'!F299</f>
        <v>0</v>
      </c>
      <c r="H313" s="36">
        <f>F313+G313</f>
        <v>0</v>
      </c>
      <c r="I313" s="37" t="e">
        <f>H313/C313*100</f>
        <v>#DIV/0!</v>
      </c>
      <c r="J313" s="40"/>
      <c r="K313" s="36">
        <f>M277</f>
        <v>0</v>
      </c>
      <c r="L313" s="33">
        <f>'1.DATA KIA'!J299</f>
        <v>0</v>
      </c>
      <c r="M313" s="36">
        <f>K313+L313</f>
        <v>0</v>
      </c>
      <c r="N313" s="37" t="e">
        <f t="shared" si="306"/>
        <v>#DIV/0!</v>
      </c>
      <c r="O313" s="40"/>
      <c r="P313" s="36">
        <f>R277</f>
        <v>0</v>
      </c>
      <c r="Q313" s="33">
        <f>'1.DATA KIA'!M299</f>
        <v>0</v>
      </c>
      <c r="R313" s="36">
        <f>P313+Q313</f>
        <v>0</v>
      </c>
      <c r="S313" s="37" t="e">
        <f t="shared" si="308"/>
        <v>#DIV/0!</v>
      </c>
      <c r="T313" s="40"/>
      <c r="U313" s="33">
        <f>W277</f>
        <v>0</v>
      </c>
      <c r="V313" s="36">
        <f>'1.DATA KIA'!Y299</f>
        <v>0</v>
      </c>
      <c r="W313" s="33">
        <f>U313+V313</f>
        <v>0</v>
      </c>
      <c r="X313" s="37" t="e">
        <f>W313/(20%*C313)*100</f>
        <v>#DIV/0!</v>
      </c>
      <c r="Y313" s="40"/>
      <c r="Z313" s="33">
        <f>AB277</f>
        <v>0</v>
      </c>
      <c r="AA313" s="36">
        <f>'1.DATA KIA'!Z299</f>
        <v>0</v>
      </c>
      <c r="AB313" s="33">
        <f>Z313+AA313</f>
        <v>0</v>
      </c>
      <c r="AC313" s="37" t="e">
        <f>AB313/(20%*C313)*100</f>
        <v>#DIV/0!</v>
      </c>
      <c r="AD313" s="40"/>
      <c r="AE313" s="33">
        <f>AG277</f>
        <v>0</v>
      </c>
      <c r="AF313" s="41">
        <f>'8.ANCTEPADU'!D344+'8.ANCTEPADU'!E344</f>
        <v>0</v>
      </c>
      <c r="AG313" s="33">
        <f>AE313+AF313</f>
        <v>0</v>
      </c>
      <c r="AH313" s="37" t="e">
        <f>AG313/C313*100</f>
        <v>#DIV/0!</v>
      </c>
      <c r="AI313" s="33">
        <f t="shared" si="299"/>
        <v>0</v>
      </c>
      <c r="AJ313" s="41">
        <f>'8.ANCTEPADU'!J344</f>
        <v>0</v>
      </c>
      <c r="AK313" s="33">
        <f>AI313+AJ313</f>
        <v>0</v>
      </c>
      <c r="AL313" s="37" t="e">
        <f>AK313/C313*100</f>
        <v>#DIV/0!</v>
      </c>
      <c r="AM313" s="36">
        <f>AO277</f>
        <v>0</v>
      </c>
      <c r="AN313" s="36">
        <f>'1.DATA KIA'!AG299</f>
        <v>0</v>
      </c>
      <c r="AO313" s="33">
        <f>AN313+AM313</f>
        <v>0</v>
      </c>
      <c r="AP313" s="37" t="e">
        <f>AO313/E313*100</f>
        <v>#DIV/0!</v>
      </c>
      <c r="AQ313" s="40"/>
      <c r="AR313" s="42">
        <f>AT277</f>
        <v>0</v>
      </c>
      <c r="AS313" s="36">
        <f>'1.DATA KIA'!AB299</f>
        <v>0</v>
      </c>
      <c r="AT313" s="33">
        <f>AS313+AR313</f>
        <v>0</v>
      </c>
      <c r="AU313" s="37" t="e">
        <f>AT313/D313*100</f>
        <v>#DIV/0!</v>
      </c>
      <c r="AV313" s="40"/>
      <c r="AW313" s="36">
        <f>AY277</f>
        <v>0</v>
      </c>
      <c r="AX313" s="33">
        <f>'1.DATA KIA'!AF299</f>
        <v>0</v>
      </c>
      <c r="AY313" s="36">
        <f>AW313+AX313</f>
        <v>0</v>
      </c>
      <c r="AZ313" s="37" t="e">
        <f>AY313/(20%*C313)*100</f>
        <v>#DIV/0!</v>
      </c>
      <c r="BA313" s="38"/>
    </row>
    <row r="314" spans="1:53" ht="30" customHeight="1" x14ac:dyDescent="0.35">
      <c r="A314" s="33">
        <v>20</v>
      </c>
      <c r="B314" s="34">
        <f>PETUNJUK!B28</f>
        <v>0</v>
      </c>
      <c r="C314" s="35">
        <f>'1.DATA KIA'!C300</f>
        <v>0</v>
      </c>
      <c r="D314" s="35">
        <f>'1.DATA KIA'!D300</f>
        <v>0</v>
      </c>
      <c r="E314" s="35">
        <f>E278</f>
        <v>0</v>
      </c>
      <c r="F314" s="36">
        <f>H278</f>
        <v>0</v>
      </c>
      <c r="G314" s="36">
        <f>'1.DATA KIA'!F300</f>
        <v>0</v>
      </c>
      <c r="H314" s="36">
        <f>F314+G314</f>
        <v>0</v>
      </c>
      <c r="I314" s="37" t="e">
        <f>H314/C314*100</f>
        <v>#DIV/0!</v>
      </c>
      <c r="J314" s="40"/>
      <c r="K314" s="36">
        <f>M278</f>
        <v>0</v>
      </c>
      <c r="L314" s="33">
        <f>'1.DATA KIA'!J300</f>
        <v>0</v>
      </c>
      <c r="M314" s="36">
        <f>K314+L314</f>
        <v>0</v>
      </c>
      <c r="N314" s="37" t="e">
        <f t="shared" si="306"/>
        <v>#DIV/0!</v>
      </c>
      <c r="O314" s="40"/>
      <c r="P314" s="36">
        <f>R278</f>
        <v>0</v>
      </c>
      <c r="Q314" s="33">
        <f>'1.DATA KIA'!M300</f>
        <v>0</v>
      </c>
      <c r="R314" s="36">
        <f>P314+Q314</f>
        <v>0</v>
      </c>
      <c r="S314" s="37" t="e">
        <f t="shared" si="308"/>
        <v>#DIV/0!</v>
      </c>
      <c r="T314" s="40"/>
      <c r="U314" s="33">
        <f>W278</f>
        <v>0</v>
      </c>
      <c r="V314" s="36">
        <f>'1.DATA KIA'!Y300</f>
        <v>0</v>
      </c>
      <c r="W314" s="33">
        <f>U314+V314</f>
        <v>0</v>
      </c>
      <c r="X314" s="37" t="e">
        <f>W314/(20%*C314)*100</f>
        <v>#DIV/0!</v>
      </c>
      <c r="Y314" s="40"/>
      <c r="Z314" s="33">
        <f>AB278</f>
        <v>0</v>
      </c>
      <c r="AA314" s="36">
        <f>'1.DATA KIA'!Z300</f>
        <v>0</v>
      </c>
      <c r="AB314" s="33">
        <f>Z314+AA314</f>
        <v>0</v>
      </c>
      <c r="AC314" s="37" t="e">
        <f>AB314/(20%*C314)*100</f>
        <v>#DIV/0!</v>
      </c>
      <c r="AD314" s="40"/>
      <c r="AE314" s="33">
        <f>AG278</f>
        <v>0</v>
      </c>
      <c r="AF314" s="41">
        <f>'8.ANCTEPADU'!D345+'8.ANCTEPADU'!E345</f>
        <v>0</v>
      </c>
      <c r="AG314" s="33">
        <f>AE314+AF314</f>
        <v>0</v>
      </c>
      <c r="AH314" s="37" t="e">
        <f>AG314/C314*100</f>
        <v>#DIV/0!</v>
      </c>
      <c r="AI314" s="33">
        <f t="shared" si="299"/>
        <v>0</v>
      </c>
      <c r="AJ314" s="41">
        <f>'8.ANCTEPADU'!J345</f>
        <v>0</v>
      </c>
      <c r="AK314" s="33">
        <f>AI314+AJ314</f>
        <v>0</v>
      </c>
      <c r="AL314" s="37" t="e">
        <f>AK314/C314*100</f>
        <v>#DIV/0!</v>
      </c>
      <c r="AM314" s="36">
        <f>AO278</f>
        <v>0</v>
      </c>
      <c r="AN314" s="36">
        <f>'1.DATA KIA'!AG300</f>
        <v>0</v>
      </c>
      <c r="AO314" s="33">
        <f>AN314+AM314</f>
        <v>0</v>
      </c>
      <c r="AP314" s="37" t="e">
        <f>AO314/E314*100</f>
        <v>#DIV/0!</v>
      </c>
      <c r="AQ314" s="40"/>
      <c r="AR314" s="42">
        <f>AT278</f>
        <v>0</v>
      </c>
      <c r="AS314" s="36">
        <f>'1.DATA KIA'!AB300</f>
        <v>0</v>
      </c>
      <c r="AT314" s="33">
        <f>AS314+AR314</f>
        <v>0</v>
      </c>
      <c r="AU314" s="37" t="e">
        <f>AT314/D314*100</f>
        <v>#DIV/0!</v>
      </c>
      <c r="AV314" s="40"/>
      <c r="AW314" s="36">
        <f>AY278</f>
        <v>0</v>
      </c>
      <c r="AX314" s="33">
        <f>'1.DATA KIA'!AF300</f>
        <v>0</v>
      </c>
      <c r="AY314" s="36">
        <f>AW314+AX314</f>
        <v>0</v>
      </c>
      <c r="AZ314" s="37" t="e">
        <f>AY314/(20%*C314)*100</f>
        <v>#DIV/0!</v>
      </c>
      <c r="BA314" s="38"/>
    </row>
    <row r="315" spans="1:53" ht="30" customHeight="1" x14ac:dyDescent="0.35">
      <c r="A315" s="33">
        <v>21</v>
      </c>
      <c r="B315" s="34">
        <f>PETUNJUK!B29</f>
        <v>0</v>
      </c>
      <c r="C315" s="35">
        <f>'1.DATA KIA'!C301</f>
        <v>0</v>
      </c>
      <c r="D315" s="35">
        <f>'1.DATA KIA'!D301</f>
        <v>0</v>
      </c>
      <c r="E315" s="35">
        <f>E279</f>
        <v>0</v>
      </c>
      <c r="F315" s="36">
        <f>H279</f>
        <v>0</v>
      </c>
      <c r="G315" s="36">
        <f>'1.DATA KIA'!F301</f>
        <v>0</v>
      </c>
      <c r="H315" s="36">
        <f>F315+G315</f>
        <v>0</v>
      </c>
      <c r="I315" s="37" t="e">
        <f>H315/C315*100</f>
        <v>#DIV/0!</v>
      </c>
      <c r="J315" s="40"/>
      <c r="K315" s="36">
        <f>M279</f>
        <v>0</v>
      </c>
      <c r="L315" s="33">
        <f>'1.DATA KIA'!J301</f>
        <v>0</v>
      </c>
      <c r="M315" s="36">
        <f>K315+L315</f>
        <v>0</v>
      </c>
      <c r="N315" s="37" t="e">
        <f t="shared" si="306"/>
        <v>#DIV/0!</v>
      </c>
      <c r="O315" s="40"/>
      <c r="P315" s="36">
        <f>R279</f>
        <v>0</v>
      </c>
      <c r="Q315" s="33">
        <f>'1.DATA KIA'!M301</f>
        <v>0</v>
      </c>
      <c r="R315" s="36">
        <f>P315+Q315</f>
        <v>0</v>
      </c>
      <c r="S315" s="37" t="e">
        <f t="shared" si="308"/>
        <v>#DIV/0!</v>
      </c>
      <c r="T315" s="40"/>
      <c r="U315" s="33">
        <f>W279</f>
        <v>0</v>
      </c>
      <c r="V315" s="36">
        <f>'1.DATA KIA'!Y301</f>
        <v>0</v>
      </c>
      <c r="W315" s="33">
        <f>U315+V315</f>
        <v>0</v>
      </c>
      <c r="X315" s="37" t="e">
        <f>W315/(20%*C315)*100</f>
        <v>#DIV/0!</v>
      </c>
      <c r="Y315" s="40"/>
      <c r="Z315" s="33">
        <f>AB279</f>
        <v>0</v>
      </c>
      <c r="AA315" s="36">
        <f>'1.DATA KIA'!Z301</f>
        <v>0</v>
      </c>
      <c r="AB315" s="33">
        <f>Z315+AA315</f>
        <v>0</v>
      </c>
      <c r="AC315" s="37" t="e">
        <f>AB315/(20%*C315)*100</f>
        <v>#DIV/0!</v>
      </c>
      <c r="AD315" s="40"/>
      <c r="AE315" s="33">
        <f>AG279</f>
        <v>0</v>
      </c>
      <c r="AF315" s="41">
        <f>'8.ANCTEPADU'!D346+'8.ANCTEPADU'!E346</f>
        <v>0</v>
      </c>
      <c r="AG315" s="33">
        <f>AE315+AF315</f>
        <v>0</v>
      </c>
      <c r="AH315" s="37" t="e">
        <f>AG315/C315*100</f>
        <v>#DIV/0!</v>
      </c>
      <c r="AI315" s="33">
        <f t="shared" si="299"/>
        <v>0</v>
      </c>
      <c r="AJ315" s="41">
        <f>'8.ANCTEPADU'!J346</f>
        <v>0</v>
      </c>
      <c r="AK315" s="33">
        <f>AI315+AJ315</f>
        <v>0</v>
      </c>
      <c r="AL315" s="37" t="e">
        <f>AK315/C315*100</f>
        <v>#DIV/0!</v>
      </c>
      <c r="AM315" s="36">
        <f>AO279</f>
        <v>0</v>
      </c>
      <c r="AN315" s="36">
        <f>'1.DATA KIA'!AG301</f>
        <v>0</v>
      </c>
      <c r="AO315" s="33">
        <f>AN315+AM315</f>
        <v>0</v>
      </c>
      <c r="AP315" s="37" t="e">
        <f>AO315/E315*100</f>
        <v>#DIV/0!</v>
      </c>
      <c r="AQ315" s="40"/>
      <c r="AR315" s="42">
        <f>AT279</f>
        <v>0</v>
      </c>
      <c r="AS315" s="36">
        <f>'1.DATA KIA'!AB301</f>
        <v>0</v>
      </c>
      <c r="AT315" s="33">
        <f>AS315+AR315</f>
        <v>0</v>
      </c>
      <c r="AU315" s="37" t="e">
        <f>AT315/D315*100</f>
        <v>#DIV/0!</v>
      </c>
      <c r="AV315" s="40"/>
      <c r="AW315" s="36">
        <f>AY279</f>
        <v>0</v>
      </c>
      <c r="AX315" s="33">
        <f>'1.DATA KIA'!AF301</f>
        <v>0</v>
      </c>
      <c r="AY315" s="36">
        <f>AW315+AX315</f>
        <v>0</v>
      </c>
      <c r="AZ315" s="37" t="e">
        <f>AY315/(20%*C315)*100</f>
        <v>#DIV/0!</v>
      </c>
      <c r="BA315" s="38"/>
    </row>
    <row r="316" spans="1:53" ht="30" customHeight="1" thickBot="1" x14ac:dyDescent="0.4">
      <c r="A316" s="46">
        <v>22</v>
      </c>
      <c r="B316" s="47">
        <f>PETUNJUK!B30</f>
        <v>0</v>
      </c>
      <c r="C316" s="48">
        <f>'1.DATA KIA'!C302</f>
        <v>0</v>
      </c>
      <c r="D316" s="48">
        <f>'1.DATA KIA'!D302</f>
        <v>0</v>
      </c>
      <c r="E316" s="48">
        <f>E280</f>
        <v>0</v>
      </c>
      <c r="F316" s="49">
        <f>H280</f>
        <v>0</v>
      </c>
      <c r="G316" s="49">
        <f>'1.DATA KIA'!F302</f>
        <v>0</v>
      </c>
      <c r="H316" s="49">
        <f>F316+G316</f>
        <v>0</v>
      </c>
      <c r="I316" s="50" t="e">
        <f>H316/C316*100</f>
        <v>#DIV/0!</v>
      </c>
      <c r="J316" s="53"/>
      <c r="K316" s="49">
        <f>M280</f>
        <v>0</v>
      </c>
      <c r="L316" s="46">
        <f>'1.DATA KIA'!J302</f>
        <v>0</v>
      </c>
      <c r="M316" s="49">
        <f>K316+L316</f>
        <v>0</v>
      </c>
      <c r="N316" s="37" t="e">
        <f t="shared" si="306"/>
        <v>#DIV/0!</v>
      </c>
      <c r="O316" s="53"/>
      <c r="P316" s="49">
        <f>R280</f>
        <v>0</v>
      </c>
      <c r="Q316" s="33">
        <f>'1.DATA KIA'!M302</f>
        <v>0</v>
      </c>
      <c r="R316" s="49">
        <f>P316+Q316</f>
        <v>0</v>
      </c>
      <c r="S316" s="37" t="e">
        <f t="shared" si="308"/>
        <v>#DIV/0!</v>
      </c>
      <c r="T316" s="53"/>
      <c r="U316" s="46">
        <f>W280</f>
        <v>0</v>
      </c>
      <c r="V316" s="49">
        <f>'1.DATA KIA'!Y302</f>
        <v>0</v>
      </c>
      <c r="W316" s="46">
        <f>U316+V316</f>
        <v>0</v>
      </c>
      <c r="X316" s="50" t="e">
        <f>W316/(20%*C316)*100</f>
        <v>#DIV/0!</v>
      </c>
      <c r="Y316" s="53"/>
      <c r="Z316" s="46">
        <f>AB280</f>
        <v>0</v>
      </c>
      <c r="AA316" s="49">
        <f>'1.DATA KIA'!Z302</f>
        <v>0</v>
      </c>
      <c r="AB316" s="46">
        <f>Z316+AA316</f>
        <v>0</v>
      </c>
      <c r="AC316" s="50" t="e">
        <f>AB316/(20%*C316)*100</f>
        <v>#DIV/0!</v>
      </c>
      <c r="AD316" s="53"/>
      <c r="AE316" s="46">
        <f>AG280</f>
        <v>0</v>
      </c>
      <c r="AF316" s="41">
        <f>'8.ANCTEPADU'!D347+'8.ANCTEPADU'!E347</f>
        <v>0</v>
      </c>
      <c r="AG316" s="46">
        <f>AE316+AF316</f>
        <v>0</v>
      </c>
      <c r="AH316" s="50" t="e">
        <f>AG316/C316*100</f>
        <v>#DIV/0!</v>
      </c>
      <c r="AI316" s="33">
        <f t="shared" si="299"/>
        <v>0</v>
      </c>
      <c r="AJ316" s="41">
        <f>'8.ANCTEPADU'!J347</f>
        <v>0</v>
      </c>
      <c r="AK316" s="46">
        <f>AI316+AJ316</f>
        <v>0</v>
      </c>
      <c r="AL316" s="50" t="e">
        <f>AK316/C316*100</f>
        <v>#DIV/0!</v>
      </c>
      <c r="AM316" s="49">
        <f>AO280</f>
        <v>0</v>
      </c>
      <c r="AN316" s="49">
        <f>'1.DATA KIA'!AG302</f>
        <v>0</v>
      </c>
      <c r="AO316" s="46">
        <f>AN316+AM316</f>
        <v>0</v>
      </c>
      <c r="AP316" s="50" t="e">
        <f>AO316/E316*100</f>
        <v>#DIV/0!</v>
      </c>
      <c r="AQ316" s="53"/>
      <c r="AR316" s="55">
        <f>AT280</f>
        <v>0</v>
      </c>
      <c r="AS316" s="49">
        <f>'1.DATA KIA'!AB302</f>
        <v>0</v>
      </c>
      <c r="AT316" s="46">
        <f>AS316+AR316</f>
        <v>0</v>
      </c>
      <c r="AU316" s="50" t="e">
        <f>AT316/D316*100</f>
        <v>#DIV/0!</v>
      </c>
      <c r="AV316" s="53"/>
      <c r="AW316" s="49">
        <f>AY280</f>
        <v>0</v>
      </c>
      <c r="AX316" s="46">
        <f>'1.DATA KIA'!AF302</f>
        <v>0</v>
      </c>
      <c r="AY316" s="49">
        <f>AW316+AX316</f>
        <v>0</v>
      </c>
      <c r="AZ316" s="50" t="e">
        <f>AY316/(20%*C316)*100</f>
        <v>#DIV/0!</v>
      </c>
      <c r="BA316" s="51"/>
    </row>
    <row r="317" spans="1:53" ht="30" customHeight="1" thickBot="1" x14ac:dyDescent="0.4">
      <c r="A317" s="354"/>
      <c r="B317" s="355" t="s">
        <v>18</v>
      </c>
      <c r="C317" s="347">
        <f>SUM(C295:C316)</f>
        <v>1067</v>
      </c>
      <c r="D317" s="347">
        <f t="shared" ref="D317:AY317" si="321">SUM(D295:D316)</f>
        <v>1018.5</v>
      </c>
      <c r="E317" s="347">
        <f t="shared" si="321"/>
        <v>0</v>
      </c>
      <c r="F317" s="347">
        <f t="shared" si="321"/>
        <v>374</v>
      </c>
      <c r="G317" s="347">
        <f t="shared" si="321"/>
        <v>0</v>
      </c>
      <c r="H317" s="347">
        <f t="shared" si="321"/>
        <v>374</v>
      </c>
      <c r="I317" s="357">
        <f>H317/C317*100</f>
        <v>35.051546391752574</v>
      </c>
      <c r="J317" s="347">
        <f t="shared" si="321"/>
        <v>0</v>
      </c>
      <c r="K317" s="347">
        <f t="shared" si="321"/>
        <v>283</v>
      </c>
      <c r="L317" s="347">
        <f t="shared" si="321"/>
        <v>0</v>
      </c>
      <c r="M317" s="347">
        <f t="shared" si="321"/>
        <v>283</v>
      </c>
      <c r="N317" s="357">
        <f>M317/D317*100</f>
        <v>27.785959744722632</v>
      </c>
      <c r="O317" s="347">
        <f t="shared" si="321"/>
        <v>0</v>
      </c>
      <c r="P317" s="347">
        <f t="shared" ref="P317:R317" si="322">SUM(P295:P316)</f>
        <v>309</v>
      </c>
      <c r="Q317" s="347">
        <f t="shared" si="322"/>
        <v>0</v>
      </c>
      <c r="R317" s="347">
        <f t="shared" si="322"/>
        <v>309</v>
      </c>
      <c r="S317" s="357">
        <f>R317/D317*100</f>
        <v>30.338733431516935</v>
      </c>
      <c r="T317" s="347">
        <f t="shared" ref="T317" si="323">SUM(T295:T316)</f>
        <v>0</v>
      </c>
      <c r="U317" s="347">
        <f t="shared" si="321"/>
        <v>92</v>
      </c>
      <c r="V317" s="347">
        <f t="shared" si="321"/>
        <v>0</v>
      </c>
      <c r="W317" s="347">
        <f t="shared" si="321"/>
        <v>92</v>
      </c>
      <c r="X317" s="357">
        <f>W317/(20%*C317)*100</f>
        <v>43.111527647610117</v>
      </c>
      <c r="Y317" s="347">
        <f t="shared" si="321"/>
        <v>0</v>
      </c>
      <c r="Z317" s="347">
        <f t="shared" si="321"/>
        <v>47</v>
      </c>
      <c r="AA317" s="347">
        <f t="shared" si="321"/>
        <v>0</v>
      </c>
      <c r="AB317" s="347">
        <f t="shared" si="321"/>
        <v>47</v>
      </c>
      <c r="AC317" s="357">
        <f>AB317/(20%*C317)*100</f>
        <v>22.024367385192125</v>
      </c>
      <c r="AD317" s="347">
        <f t="shared" si="321"/>
        <v>0</v>
      </c>
      <c r="AE317" s="347">
        <f t="shared" si="321"/>
        <v>32</v>
      </c>
      <c r="AF317" s="347">
        <f t="shared" si="321"/>
        <v>0</v>
      </c>
      <c r="AG317" s="347">
        <f t="shared" si="321"/>
        <v>32</v>
      </c>
      <c r="AH317" s="357">
        <f>AG317/C317*100</f>
        <v>2.999062792877226</v>
      </c>
      <c r="AI317" s="347">
        <f t="shared" si="321"/>
        <v>42</v>
      </c>
      <c r="AJ317" s="347">
        <f t="shared" si="321"/>
        <v>0</v>
      </c>
      <c r="AK317" s="347">
        <f t="shared" si="321"/>
        <v>42</v>
      </c>
      <c r="AL317" s="357">
        <f>AK317/C317*100</f>
        <v>3.936269915651359</v>
      </c>
      <c r="AM317" s="347">
        <f t="shared" si="321"/>
        <v>298</v>
      </c>
      <c r="AN317" s="347">
        <f t="shared" si="321"/>
        <v>0</v>
      </c>
      <c r="AO317" s="347">
        <f t="shared" si="321"/>
        <v>298</v>
      </c>
      <c r="AP317" s="357" t="e">
        <f>AO317/E317*100</f>
        <v>#DIV/0!</v>
      </c>
      <c r="AQ317" s="347">
        <f t="shared" si="321"/>
        <v>0</v>
      </c>
      <c r="AR317" s="347">
        <f t="shared" si="321"/>
        <v>298</v>
      </c>
      <c r="AS317" s="347">
        <f t="shared" si="321"/>
        <v>0</v>
      </c>
      <c r="AT317" s="347">
        <f t="shared" si="321"/>
        <v>298</v>
      </c>
      <c r="AU317" s="357">
        <f>AT317/D317*100</f>
        <v>29.258713794796272</v>
      </c>
      <c r="AV317" s="347">
        <f t="shared" si="321"/>
        <v>0</v>
      </c>
      <c r="AW317" s="347">
        <f t="shared" si="321"/>
        <v>69</v>
      </c>
      <c r="AX317" s="347">
        <f t="shared" si="321"/>
        <v>0</v>
      </c>
      <c r="AY317" s="347">
        <f t="shared" si="321"/>
        <v>69</v>
      </c>
      <c r="AZ317" s="357">
        <f>AY317/(20%*C317)*100</f>
        <v>32.333645735707591</v>
      </c>
      <c r="BA317" s="361"/>
    </row>
    <row r="318" spans="1:53" ht="12.75" customHeight="1" x14ac:dyDescent="0.35"/>
    <row r="319" spans="1:53" ht="12.75" customHeight="1" x14ac:dyDescent="0.35"/>
    <row r="320" spans="1:53" ht="12.75" customHeight="1" x14ac:dyDescent="0.35"/>
    <row r="323" spans="1:54" x14ac:dyDescent="0.35">
      <c r="A323" s="770" t="s">
        <v>19</v>
      </c>
      <c r="B323" s="770"/>
      <c r="C323" s="770"/>
      <c r="D323" s="770"/>
      <c r="E323" s="770"/>
      <c r="F323" s="770"/>
      <c r="G323" s="770"/>
      <c r="H323" s="770"/>
      <c r="I323" s="770"/>
      <c r="J323" s="770"/>
      <c r="K323" s="770"/>
      <c r="L323" s="770"/>
      <c r="M323" s="770"/>
      <c r="N323" s="770"/>
      <c r="O323" s="770"/>
      <c r="P323" s="770"/>
      <c r="Q323" s="770"/>
      <c r="R323" s="770"/>
      <c r="S323" s="770"/>
      <c r="T323" s="770"/>
      <c r="U323" s="770"/>
      <c r="V323" s="770"/>
      <c r="W323" s="770"/>
      <c r="X323" s="770"/>
      <c r="Y323" s="770"/>
      <c r="Z323" s="770"/>
      <c r="AA323" s="770"/>
      <c r="AB323" s="770"/>
      <c r="AC323" s="770"/>
      <c r="AD323" s="770"/>
      <c r="AE323" s="770"/>
      <c r="AF323" s="770"/>
      <c r="AG323" s="770"/>
      <c r="AH323" s="770"/>
      <c r="AI323" s="770"/>
      <c r="AJ323" s="770"/>
      <c r="AK323" s="770"/>
      <c r="AL323" s="770"/>
      <c r="AM323" s="770"/>
      <c r="AN323" s="770"/>
      <c r="AO323" s="770"/>
      <c r="AP323" s="770"/>
      <c r="AQ323" s="770"/>
      <c r="AR323" s="770"/>
      <c r="AS323" s="770"/>
      <c r="AT323" s="770"/>
      <c r="AU323" s="770"/>
      <c r="AV323" s="770"/>
      <c r="AW323" s="770"/>
      <c r="AX323" s="770"/>
      <c r="AY323" s="770"/>
      <c r="AZ323" s="770"/>
      <c r="BA323" s="770"/>
    </row>
    <row r="324" spans="1:54" ht="20.149999999999999" customHeight="1" x14ac:dyDescent="0.35">
      <c r="A324" s="31"/>
      <c r="B324" s="31" t="s">
        <v>175</v>
      </c>
      <c r="C324" s="345" t="str">
        <f>PETUNJUK!C5</f>
        <v>PECANGAAN</v>
      </c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</row>
    <row r="325" spans="1:54" ht="20.149999999999999" customHeight="1" x14ac:dyDescent="0.35">
      <c r="A325" s="30"/>
      <c r="B325" s="31" t="s">
        <v>170</v>
      </c>
      <c r="C325" s="32" t="str">
        <f>'1.DATA KIA'!C310</f>
        <v xml:space="preserve">OKTOBER </v>
      </c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</row>
    <row r="326" spans="1:54" x14ac:dyDescent="0.35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</row>
    <row r="327" spans="1:54" s="45" customFormat="1" ht="24.75" customHeight="1" x14ac:dyDescent="0.35">
      <c r="A327" s="774" t="s">
        <v>1</v>
      </c>
      <c r="B327" s="774" t="s">
        <v>2</v>
      </c>
      <c r="C327" s="777" t="s">
        <v>20</v>
      </c>
      <c r="D327" s="778"/>
      <c r="E327" s="778"/>
      <c r="F327" s="777" t="s">
        <v>21</v>
      </c>
      <c r="G327" s="778"/>
      <c r="H327" s="778"/>
      <c r="I327" s="778"/>
      <c r="J327" s="791"/>
      <c r="K327" s="777" t="s">
        <v>9</v>
      </c>
      <c r="L327" s="778"/>
      <c r="M327" s="778"/>
      <c r="N327" s="778"/>
      <c r="O327" s="791"/>
      <c r="P327" s="777" t="s">
        <v>289</v>
      </c>
      <c r="Q327" s="778"/>
      <c r="R327" s="778"/>
      <c r="S327" s="778"/>
      <c r="T327" s="791"/>
      <c r="U327" s="771" t="s">
        <v>22</v>
      </c>
      <c r="V327" s="772"/>
      <c r="W327" s="772"/>
      <c r="X327" s="772"/>
      <c r="Y327" s="772"/>
      <c r="Z327" s="772"/>
      <c r="AA327" s="772"/>
      <c r="AB327" s="772"/>
      <c r="AC327" s="772"/>
      <c r="AD327" s="773"/>
      <c r="AE327" s="771" t="s">
        <v>5</v>
      </c>
      <c r="AF327" s="772"/>
      <c r="AG327" s="772"/>
      <c r="AH327" s="772"/>
      <c r="AI327" s="772"/>
      <c r="AJ327" s="772"/>
      <c r="AK327" s="772"/>
      <c r="AL327" s="773"/>
      <c r="AM327" s="771" t="s">
        <v>23</v>
      </c>
      <c r="AN327" s="772"/>
      <c r="AO327" s="772"/>
      <c r="AP327" s="772"/>
      <c r="AQ327" s="773"/>
      <c r="AR327" s="779" t="s">
        <v>24</v>
      </c>
      <c r="AS327" s="780"/>
      <c r="AT327" s="780"/>
      <c r="AU327" s="780"/>
      <c r="AV327" s="781"/>
      <c r="AW327" s="779" t="s">
        <v>241</v>
      </c>
      <c r="AX327" s="780"/>
      <c r="AY327" s="780"/>
      <c r="AZ327" s="780"/>
      <c r="BA327" s="781"/>
      <c r="BB327" s="348"/>
    </row>
    <row r="328" spans="1:54" s="45" customFormat="1" ht="15.75" customHeight="1" x14ac:dyDescent="0.35">
      <c r="A328" s="775"/>
      <c r="B328" s="775"/>
      <c r="C328" s="767" t="s">
        <v>5</v>
      </c>
      <c r="D328" s="767" t="s">
        <v>6</v>
      </c>
      <c r="E328" s="767" t="s">
        <v>7</v>
      </c>
      <c r="F328" s="767" t="s">
        <v>26</v>
      </c>
      <c r="G328" s="767" t="s">
        <v>27</v>
      </c>
      <c r="H328" s="771" t="s">
        <v>28</v>
      </c>
      <c r="I328" s="773"/>
      <c r="J328" s="785" t="s">
        <v>29</v>
      </c>
      <c r="K328" s="785" t="s">
        <v>26</v>
      </c>
      <c r="L328" s="785" t="s">
        <v>27</v>
      </c>
      <c r="M328" s="771" t="s">
        <v>28</v>
      </c>
      <c r="N328" s="773"/>
      <c r="O328" s="785" t="s">
        <v>29</v>
      </c>
      <c r="P328" s="785" t="s">
        <v>26</v>
      </c>
      <c r="Q328" s="785" t="s">
        <v>27</v>
      </c>
      <c r="R328" s="771" t="s">
        <v>28</v>
      </c>
      <c r="S328" s="773"/>
      <c r="T328" s="785" t="s">
        <v>29</v>
      </c>
      <c r="U328" s="771" t="s">
        <v>30</v>
      </c>
      <c r="V328" s="772"/>
      <c r="W328" s="772"/>
      <c r="X328" s="772"/>
      <c r="Y328" s="773"/>
      <c r="Z328" s="771" t="s">
        <v>31</v>
      </c>
      <c r="AA328" s="772"/>
      <c r="AB328" s="772"/>
      <c r="AC328" s="772"/>
      <c r="AD328" s="773"/>
      <c r="AE328" s="771" t="s">
        <v>32</v>
      </c>
      <c r="AF328" s="772"/>
      <c r="AG328" s="772"/>
      <c r="AH328" s="773"/>
      <c r="AI328" s="771" t="s">
        <v>33</v>
      </c>
      <c r="AJ328" s="772"/>
      <c r="AK328" s="772"/>
      <c r="AL328" s="773"/>
      <c r="AM328" s="785" t="s">
        <v>34</v>
      </c>
      <c r="AN328" s="785" t="s">
        <v>35</v>
      </c>
      <c r="AO328" s="788" t="s">
        <v>36</v>
      </c>
      <c r="AP328" s="782" t="s">
        <v>37</v>
      </c>
      <c r="AQ328" s="785" t="s">
        <v>29</v>
      </c>
      <c r="AR328" s="785" t="s">
        <v>34</v>
      </c>
      <c r="AS328" s="785" t="s">
        <v>35</v>
      </c>
      <c r="AT328" s="788" t="s">
        <v>36</v>
      </c>
      <c r="AU328" s="782" t="s">
        <v>37</v>
      </c>
      <c r="AV328" s="785" t="s">
        <v>29</v>
      </c>
      <c r="AW328" s="785" t="s">
        <v>34</v>
      </c>
      <c r="AX328" s="785" t="s">
        <v>35</v>
      </c>
      <c r="AY328" s="788" t="s">
        <v>36</v>
      </c>
      <c r="AZ328" s="782" t="s">
        <v>37</v>
      </c>
      <c r="BA328" s="785" t="s">
        <v>29</v>
      </c>
      <c r="BB328" s="348"/>
    </row>
    <row r="329" spans="1:54" s="45" customFormat="1" ht="15.75" customHeight="1" x14ac:dyDescent="0.35">
      <c r="A329" s="775"/>
      <c r="B329" s="775"/>
      <c r="C329" s="768"/>
      <c r="D329" s="768"/>
      <c r="E329" s="768"/>
      <c r="F329" s="768"/>
      <c r="G329" s="768"/>
      <c r="H329" s="785" t="s">
        <v>36</v>
      </c>
      <c r="I329" s="782" t="s">
        <v>37</v>
      </c>
      <c r="J329" s="786"/>
      <c r="K329" s="786"/>
      <c r="L329" s="786"/>
      <c r="M329" s="785" t="s">
        <v>36</v>
      </c>
      <c r="N329" s="785" t="s">
        <v>37</v>
      </c>
      <c r="O329" s="786"/>
      <c r="P329" s="786"/>
      <c r="Q329" s="786"/>
      <c r="R329" s="785" t="s">
        <v>36</v>
      </c>
      <c r="S329" s="785" t="s">
        <v>37</v>
      </c>
      <c r="T329" s="786"/>
      <c r="U329" s="785" t="s">
        <v>26</v>
      </c>
      <c r="V329" s="785" t="s">
        <v>27</v>
      </c>
      <c r="W329" s="779" t="s">
        <v>28</v>
      </c>
      <c r="X329" s="781"/>
      <c r="Y329" s="785" t="s">
        <v>29</v>
      </c>
      <c r="Z329" s="785" t="s">
        <v>26</v>
      </c>
      <c r="AA329" s="785" t="s">
        <v>27</v>
      </c>
      <c r="AB329" s="779" t="s">
        <v>28</v>
      </c>
      <c r="AC329" s="781"/>
      <c r="AD329" s="785" t="s">
        <v>29</v>
      </c>
      <c r="AE329" s="771" t="s">
        <v>38</v>
      </c>
      <c r="AF329" s="772"/>
      <c r="AG329" s="772"/>
      <c r="AH329" s="773"/>
      <c r="AI329" s="771" t="s">
        <v>39</v>
      </c>
      <c r="AJ329" s="772"/>
      <c r="AK329" s="772"/>
      <c r="AL329" s="773"/>
      <c r="AM329" s="786"/>
      <c r="AN329" s="786"/>
      <c r="AO329" s="789"/>
      <c r="AP329" s="783"/>
      <c r="AQ329" s="786"/>
      <c r="AR329" s="786"/>
      <c r="AS329" s="786"/>
      <c r="AT329" s="789"/>
      <c r="AU329" s="783"/>
      <c r="AV329" s="786"/>
      <c r="AW329" s="786"/>
      <c r="AX329" s="786"/>
      <c r="AY329" s="789"/>
      <c r="AZ329" s="783"/>
      <c r="BA329" s="786"/>
      <c r="BB329" s="348"/>
    </row>
    <row r="330" spans="1:54" s="45" customFormat="1" ht="48.75" customHeight="1" x14ac:dyDescent="0.35">
      <c r="A330" s="776"/>
      <c r="B330" s="776"/>
      <c r="C330" s="769"/>
      <c r="D330" s="769"/>
      <c r="E330" s="769"/>
      <c r="F330" s="769"/>
      <c r="G330" s="769"/>
      <c r="H330" s="787"/>
      <c r="I330" s="784"/>
      <c r="J330" s="787"/>
      <c r="K330" s="787"/>
      <c r="L330" s="787"/>
      <c r="M330" s="787"/>
      <c r="N330" s="787"/>
      <c r="O330" s="787"/>
      <c r="P330" s="787"/>
      <c r="Q330" s="787"/>
      <c r="R330" s="787"/>
      <c r="S330" s="787"/>
      <c r="T330" s="787"/>
      <c r="U330" s="787"/>
      <c r="V330" s="787"/>
      <c r="W330" s="352" t="s">
        <v>36</v>
      </c>
      <c r="X330" s="353" t="s">
        <v>37</v>
      </c>
      <c r="Y330" s="787"/>
      <c r="Z330" s="787"/>
      <c r="AA330" s="787"/>
      <c r="AB330" s="352" t="s">
        <v>36</v>
      </c>
      <c r="AC330" s="353" t="s">
        <v>37</v>
      </c>
      <c r="AD330" s="787"/>
      <c r="AE330" s="352" t="s">
        <v>26</v>
      </c>
      <c r="AF330" s="352" t="s">
        <v>27</v>
      </c>
      <c r="AG330" s="352" t="s">
        <v>36</v>
      </c>
      <c r="AH330" s="353" t="s">
        <v>37</v>
      </c>
      <c r="AI330" s="352" t="s">
        <v>26</v>
      </c>
      <c r="AJ330" s="352" t="s">
        <v>27</v>
      </c>
      <c r="AK330" s="352" t="s">
        <v>36</v>
      </c>
      <c r="AL330" s="353" t="s">
        <v>37</v>
      </c>
      <c r="AM330" s="787"/>
      <c r="AN330" s="787"/>
      <c r="AO330" s="790"/>
      <c r="AP330" s="784"/>
      <c r="AQ330" s="787"/>
      <c r="AR330" s="787"/>
      <c r="AS330" s="787"/>
      <c r="AT330" s="790"/>
      <c r="AU330" s="784"/>
      <c r="AV330" s="787"/>
      <c r="AW330" s="787"/>
      <c r="AX330" s="787"/>
      <c r="AY330" s="790"/>
      <c r="AZ330" s="784"/>
      <c r="BA330" s="787"/>
      <c r="BB330" s="348"/>
    </row>
    <row r="331" spans="1:54" ht="30" customHeight="1" x14ac:dyDescent="0.35">
      <c r="A331" s="33">
        <v>1</v>
      </c>
      <c r="B331" s="34" t="str">
        <f>PETUNJUK!B9</f>
        <v>Pecangaan Kulon</v>
      </c>
      <c r="C331" s="35">
        <f>'1.DATA KIA'!C315</f>
        <v>101.2</v>
      </c>
      <c r="D331" s="35">
        <f>'1.DATA KIA'!D315</f>
        <v>96.600000000000009</v>
      </c>
      <c r="E331" s="35">
        <f t="shared" ref="E331:E348" si="324">E295</f>
        <v>0</v>
      </c>
      <c r="F331" s="36">
        <f t="shared" ref="F331:F348" si="325">H295</f>
        <v>30</v>
      </c>
      <c r="G331" s="36">
        <f>'1.DATA KIA'!F315</f>
        <v>0</v>
      </c>
      <c r="H331" s="36">
        <f>F331+G331</f>
        <v>30</v>
      </c>
      <c r="I331" s="37">
        <f t="shared" ref="I331:I348" si="326">H331/C331*100</f>
        <v>29.644268774703558</v>
      </c>
      <c r="J331" s="40"/>
      <c r="K331" s="36">
        <f t="shared" ref="K331:K348" si="327">M295</f>
        <v>28</v>
      </c>
      <c r="L331" s="33">
        <f>'1.DATA KIA'!J315</f>
        <v>0</v>
      </c>
      <c r="M331" s="36">
        <f>K331+L331</f>
        <v>28</v>
      </c>
      <c r="N331" s="37">
        <f>M331/D331*100</f>
        <v>28.985507246376805</v>
      </c>
      <c r="O331" s="40"/>
      <c r="P331" s="36">
        <f t="shared" ref="P331:P348" si="328">R295</f>
        <v>29</v>
      </c>
      <c r="Q331" s="33">
        <f>'1.DATA KIA'!M315</f>
        <v>0</v>
      </c>
      <c r="R331" s="36">
        <f>P331+Q331</f>
        <v>29</v>
      </c>
      <c r="S331" s="37">
        <f>R331/D331*100</f>
        <v>30.020703933747413</v>
      </c>
      <c r="T331" s="40"/>
      <c r="U331" s="33">
        <f t="shared" ref="U331:U348" si="329">W295</f>
        <v>10</v>
      </c>
      <c r="V331" s="36">
        <f>'1.DATA KIA'!Y315</f>
        <v>0</v>
      </c>
      <c r="W331" s="33">
        <f>U331+V331</f>
        <v>10</v>
      </c>
      <c r="X331" s="37">
        <f t="shared" ref="X331:X348" si="330">W331/(20%*C331)*100</f>
        <v>49.40711462450593</v>
      </c>
      <c r="Y331" s="40"/>
      <c r="Z331" s="33">
        <f t="shared" ref="Z331:Z348" si="331">AB295</f>
        <v>6</v>
      </c>
      <c r="AA331" s="36">
        <f>'1.DATA KIA'!Z315</f>
        <v>0</v>
      </c>
      <c r="AB331" s="33">
        <f>Z331+AA331</f>
        <v>6</v>
      </c>
      <c r="AC331" s="37">
        <f t="shared" ref="AC331:AC348" si="332">AB331/(20%*C331)*100</f>
        <v>29.644268774703551</v>
      </c>
      <c r="AD331" s="40"/>
      <c r="AE331" s="33">
        <f t="shared" ref="AE331:AE352" si="333">AG295</f>
        <v>3</v>
      </c>
      <c r="AF331" s="41">
        <f>'8.ANCTEPADU'!D361+'8.ANCTEPADU'!E361</f>
        <v>0</v>
      </c>
      <c r="AG331" s="33">
        <f>AE331+AF331</f>
        <v>3</v>
      </c>
      <c r="AH331" s="37">
        <f t="shared" ref="AH331:AH348" si="334">AG331/C331*100</f>
        <v>2.9644268774703555</v>
      </c>
      <c r="AI331" s="33">
        <f t="shared" ref="AI331:AI352" si="335">AK295</f>
        <v>1</v>
      </c>
      <c r="AJ331" s="41">
        <f>'8.ANCTEPADU'!J361</f>
        <v>0</v>
      </c>
      <c r="AK331" s="33">
        <f>AI331+AJ331</f>
        <v>1</v>
      </c>
      <c r="AL331" s="37">
        <f t="shared" ref="AL331:AL348" si="336">AK331/C331*100</f>
        <v>0.98814229249011865</v>
      </c>
      <c r="AM331" s="36">
        <f t="shared" ref="AM331:AM348" si="337">AO295</f>
        <v>29</v>
      </c>
      <c r="AN331" s="36">
        <f>'1.DATA KIA'!AG315</f>
        <v>0</v>
      </c>
      <c r="AO331" s="33">
        <f>AN331+AM331</f>
        <v>29</v>
      </c>
      <c r="AP331" s="37" t="e">
        <f>AO331/E331*100</f>
        <v>#DIV/0!</v>
      </c>
      <c r="AQ331" s="40"/>
      <c r="AR331" s="42">
        <f t="shared" ref="AR331:AR348" si="338">AT295</f>
        <v>29</v>
      </c>
      <c r="AS331" s="36">
        <f>'1.DATA KIA'!AB315</f>
        <v>0</v>
      </c>
      <c r="AT331" s="36">
        <f>AS331+AR331</f>
        <v>29</v>
      </c>
      <c r="AU331" s="37">
        <f>AT331/D331*100</f>
        <v>30.020703933747413</v>
      </c>
      <c r="AV331" s="40"/>
      <c r="AW331" s="36">
        <f t="shared" ref="AW331:AW348" si="339">AY295</f>
        <v>10</v>
      </c>
      <c r="AX331" s="33">
        <f>'1.DATA KIA'!AF315</f>
        <v>0</v>
      </c>
      <c r="AY331" s="36">
        <f>AW331+AX331</f>
        <v>10</v>
      </c>
      <c r="AZ331" s="37">
        <f>AY331/(20%*C331)*100</f>
        <v>49.40711462450593</v>
      </c>
      <c r="BA331" s="38"/>
    </row>
    <row r="332" spans="1:54" ht="30" customHeight="1" x14ac:dyDescent="0.35">
      <c r="A332" s="33">
        <v>2</v>
      </c>
      <c r="B332" s="34" t="str">
        <f>PETUNJUK!B10</f>
        <v>Rengging</v>
      </c>
      <c r="C332" s="35">
        <f>'1.DATA KIA'!C316</f>
        <v>111.10000000000001</v>
      </c>
      <c r="D332" s="35">
        <f>'1.DATA KIA'!D316</f>
        <v>106.05000000000001</v>
      </c>
      <c r="E332" s="35">
        <f t="shared" si="324"/>
        <v>0</v>
      </c>
      <c r="F332" s="36">
        <f t="shared" si="325"/>
        <v>54</v>
      </c>
      <c r="G332" s="36">
        <f>'1.DATA KIA'!F316</f>
        <v>0</v>
      </c>
      <c r="H332" s="36">
        <f t="shared" ref="H332:H348" si="340">F332+G332</f>
        <v>54</v>
      </c>
      <c r="I332" s="37">
        <f t="shared" si="326"/>
        <v>48.604860486048601</v>
      </c>
      <c r="J332" s="40"/>
      <c r="K332" s="36">
        <f t="shared" si="327"/>
        <v>21</v>
      </c>
      <c r="L332" s="33">
        <f>'1.DATA KIA'!J316</f>
        <v>0</v>
      </c>
      <c r="M332" s="36">
        <f t="shared" ref="M332:M348" si="341">K332+L332</f>
        <v>21</v>
      </c>
      <c r="N332" s="37">
        <f t="shared" ref="N332:N352" si="342">M332/D332*100</f>
        <v>19.801980198019802</v>
      </c>
      <c r="O332" s="40"/>
      <c r="P332" s="36">
        <f t="shared" si="328"/>
        <v>32</v>
      </c>
      <c r="Q332" s="33">
        <f>'1.DATA KIA'!M316</f>
        <v>0</v>
      </c>
      <c r="R332" s="36">
        <f t="shared" ref="R332:R348" si="343">P332+Q332</f>
        <v>32</v>
      </c>
      <c r="S332" s="37">
        <f t="shared" ref="S332:S352" si="344">R332/D332*100</f>
        <v>30.174446016030171</v>
      </c>
      <c r="T332" s="40"/>
      <c r="U332" s="33">
        <f t="shared" si="329"/>
        <v>8</v>
      </c>
      <c r="V332" s="36">
        <f>'1.DATA KIA'!Y316</f>
        <v>0</v>
      </c>
      <c r="W332" s="33">
        <f t="shared" ref="W332:W348" si="345">U332+V332</f>
        <v>8</v>
      </c>
      <c r="X332" s="37">
        <f t="shared" si="330"/>
        <v>36.003600360035996</v>
      </c>
      <c r="Y332" s="40"/>
      <c r="Z332" s="33">
        <f t="shared" si="331"/>
        <v>5</v>
      </c>
      <c r="AA332" s="36">
        <f>'1.DATA KIA'!Z316</f>
        <v>0</v>
      </c>
      <c r="AB332" s="33">
        <f t="shared" ref="AB332:AB348" si="346">Z332+AA332</f>
        <v>5</v>
      </c>
      <c r="AC332" s="37">
        <f t="shared" si="332"/>
        <v>22.5022502250225</v>
      </c>
      <c r="AD332" s="40"/>
      <c r="AE332" s="33">
        <f t="shared" si="333"/>
        <v>6</v>
      </c>
      <c r="AF332" s="41">
        <f>'8.ANCTEPADU'!D362+'8.ANCTEPADU'!E362</f>
        <v>0</v>
      </c>
      <c r="AG332" s="33">
        <f t="shared" ref="AG332:AG348" si="347">AE332+AF332</f>
        <v>6</v>
      </c>
      <c r="AH332" s="37">
        <f t="shared" si="334"/>
        <v>5.4005400540054005</v>
      </c>
      <c r="AI332" s="33">
        <f t="shared" si="335"/>
        <v>8</v>
      </c>
      <c r="AJ332" s="41">
        <f>'8.ANCTEPADU'!J362</f>
        <v>0</v>
      </c>
      <c r="AK332" s="33">
        <f t="shared" ref="AK332:AK348" si="348">AI332+AJ332</f>
        <v>8</v>
      </c>
      <c r="AL332" s="37">
        <f t="shared" si="336"/>
        <v>7.2007200720071998</v>
      </c>
      <c r="AM332" s="36">
        <f t="shared" si="337"/>
        <v>35</v>
      </c>
      <c r="AN332" s="36">
        <f>'1.DATA KIA'!AG316</f>
        <v>0</v>
      </c>
      <c r="AO332" s="33">
        <f t="shared" ref="AO332:AO341" si="349">AN332+AM332</f>
        <v>35</v>
      </c>
      <c r="AP332" s="37" t="e">
        <f t="shared" ref="AP332:AP348" si="350">AO332/E332*100</f>
        <v>#DIV/0!</v>
      </c>
      <c r="AQ332" s="40"/>
      <c r="AR332" s="42">
        <f t="shared" si="338"/>
        <v>34</v>
      </c>
      <c r="AS332" s="36">
        <f>'1.DATA KIA'!AB316</f>
        <v>0</v>
      </c>
      <c r="AT332" s="33">
        <f t="shared" ref="AT332:AT341" si="351">AS332+AR332</f>
        <v>34</v>
      </c>
      <c r="AU332" s="37">
        <f t="shared" ref="AU332:AU348" si="352">AT332/D332*100</f>
        <v>32.06034889203206</v>
      </c>
      <c r="AV332" s="40"/>
      <c r="AW332" s="36">
        <f t="shared" si="339"/>
        <v>4</v>
      </c>
      <c r="AX332" s="33">
        <f>'1.DATA KIA'!AF316</f>
        <v>0</v>
      </c>
      <c r="AY332" s="36">
        <f t="shared" ref="AY332:AY348" si="353">AW332+AX332</f>
        <v>4</v>
      </c>
      <c r="AZ332" s="37">
        <f t="shared" ref="AZ332:AZ348" si="354">AY332/(20%*C332)*100</f>
        <v>18.001800180017998</v>
      </c>
      <c r="BA332" s="38"/>
    </row>
    <row r="333" spans="1:54" ht="30" customHeight="1" x14ac:dyDescent="0.35">
      <c r="A333" s="33">
        <v>3</v>
      </c>
      <c r="B333" s="34" t="str">
        <f>PETUNJUK!B11</f>
        <v>Troso</v>
      </c>
      <c r="C333" s="35">
        <f>'1.DATA KIA'!C317</f>
        <v>205.70000000000002</v>
      </c>
      <c r="D333" s="35">
        <f>'1.DATA KIA'!D317</f>
        <v>196.35</v>
      </c>
      <c r="E333" s="35">
        <f t="shared" si="324"/>
        <v>0</v>
      </c>
      <c r="F333" s="36">
        <f t="shared" si="325"/>
        <v>78</v>
      </c>
      <c r="G333" s="36">
        <f>'1.DATA KIA'!F317</f>
        <v>0</v>
      </c>
      <c r="H333" s="36">
        <f t="shared" si="340"/>
        <v>78</v>
      </c>
      <c r="I333" s="37">
        <f t="shared" si="326"/>
        <v>37.919299951385511</v>
      </c>
      <c r="J333" s="40"/>
      <c r="K333" s="36">
        <f t="shared" si="327"/>
        <v>64</v>
      </c>
      <c r="L333" s="33">
        <f>'1.DATA KIA'!J317</f>
        <v>0</v>
      </c>
      <c r="M333" s="36">
        <f t="shared" si="341"/>
        <v>64</v>
      </c>
      <c r="N333" s="37">
        <f t="shared" si="342"/>
        <v>32.594856124267892</v>
      </c>
      <c r="O333" s="40"/>
      <c r="P333" s="36">
        <f t="shared" si="328"/>
        <v>78</v>
      </c>
      <c r="Q333" s="33">
        <f>'1.DATA KIA'!M317</f>
        <v>0</v>
      </c>
      <c r="R333" s="36">
        <f t="shared" si="343"/>
        <v>78</v>
      </c>
      <c r="S333" s="37">
        <f t="shared" si="344"/>
        <v>39.724980901451488</v>
      </c>
      <c r="T333" s="40"/>
      <c r="U333" s="33">
        <f t="shared" si="329"/>
        <v>23</v>
      </c>
      <c r="V333" s="36">
        <f>'1.DATA KIA'!Y317</f>
        <v>0</v>
      </c>
      <c r="W333" s="33">
        <f t="shared" si="345"/>
        <v>23</v>
      </c>
      <c r="X333" s="37">
        <f t="shared" si="330"/>
        <v>55.906660184735038</v>
      </c>
      <c r="Y333" s="40"/>
      <c r="Z333" s="33">
        <f t="shared" si="331"/>
        <v>11</v>
      </c>
      <c r="AA333" s="36">
        <f>'1.DATA KIA'!Z317</f>
        <v>0</v>
      </c>
      <c r="AB333" s="33">
        <f t="shared" si="346"/>
        <v>11</v>
      </c>
      <c r="AC333" s="37">
        <f t="shared" si="332"/>
        <v>26.737967914438499</v>
      </c>
      <c r="AD333" s="40"/>
      <c r="AE333" s="33">
        <f t="shared" si="333"/>
        <v>3</v>
      </c>
      <c r="AF333" s="41">
        <f>'8.ANCTEPADU'!D363+'8.ANCTEPADU'!E363</f>
        <v>0</v>
      </c>
      <c r="AG333" s="33">
        <f t="shared" si="347"/>
        <v>3</v>
      </c>
      <c r="AH333" s="37">
        <f t="shared" si="334"/>
        <v>1.4584346135148272</v>
      </c>
      <c r="AI333" s="33">
        <f t="shared" si="335"/>
        <v>11</v>
      </c>
      <c r="AJ333" s="41">
        <f>'8.ANCTEPADU'!J363</f>
        <v>0</v>
      </c>
      <c r="AK333" s="33">
        <f t="shared" si="348"/>
        <v>11</v>
      </c>
      <c r="AL333" s="37">
        <f t="shared" si="336"/>
        <v>5.3475935828877006</v>
      </c>
      <c r="AM333" s="36">
        <f t="shared" si="337"/>
        <v>60</v>
      </c>
      <c r="AN333" s="36">
        <f>'1.DATA KIA'!AG317</f>
        <v>0</v>
      </c>
      <c r="AO333" s="33">
        <f t="shared" si="349"/>
        <v>60</v>
      </c>
      <c r="AP333" s="37" t="e">
        <f t="shared" si="350"/>
        <v>#DIV/0!</v>
      </c>
      <c r="AQ333" s="40"/>
      <c r="AR333" s="42">
        <f t="shared" si="338"/>
        <v>60</v>
      </c>
      <c r="AS333" s="36">
        <f>'1.DATA KIA'!AB317</f>
        <v>0</v>
      </c>
      <c r="AT333" s="33">
        <f t="shared" si="351"/>
        <v>60</v>
      </c>
      <c r="AU333" s="37">
        <f t="shared" si="352"/>
        <v>30.557677616501145</v>
      </c>
      <c r="AV333" s="40"/>
      <c r="AW333" s="36">
        <f t="shared" si="339"/>
        <v>13</v>
      </c>
      <c r="AX333" s="33">
        <f>'1.DATA KIA'!AF317</f>
        <v>0</v>
      </c>
      <c r="AY333" s="36">
        <f t="shared" si="353"/>
        <v>13</v>
      </c>
      <c r="AZ333" s="37">
        <f t="shared" si="354"/>
        <v>31.599416626154586</v>
      </c>
      <c r="BA333" s="38"/>
    </row>
    <row r="334" spans="1:54" ht="30" customHeight="1" x14ac:dyDescent="0.35">
      <c r="A334" s="33">
        <v>4</v>
      </c>
      <c r="B334" s="34" t="str">
        <f>PETUNJUK!B12</f>
        <v>Ngeling</v>
      </c>
      <c r="C334" s="35">
        <f>'1.DATA KIA'!C318</f>
        <v>95.7</v>
      </c>
      <c r="D334" s="35">
        <f>'1.DATA KIA'!D318</f>
        <v>91.350000000000009</v>
      </c>
      <c r="E334" s="35">
        <f t="shared" si="324"/>
        <v>0</v>
      </c>
      <c r="F334" s="36">
        <f t="shared" si="325"/>
        <v>30</v>
      </c>
      <c r="G334" s="36">
        <f>'1.DATA KIA'!F318</f>
        <v>0</v>
      </c>
      <c r="H334" s="36">
        <f t="shared" si="340"/>
        <v>30</v>
      </c>
      <c r="I334" s="37">
        <f t="shared" si="326"/>
        <v>31.347962382445139</v>
      </c>
      <c r="J334" s="40"/>
      <c r="K334" s="36">
        <f t="shared" si="327"/>
        <v>28</v>
      </c>
      <c r="L334" s="33">
        <f>'1.DATA KIA'!J318</f>
        <v>0</v>
      </c>
      <c r="M334" s="36">
        <f t="shared" si="341"/>
        <v>28</v>
      </c>
      <c r="N334" s="37">
        <f t="shared" si="342"/>
        <v>30.651340996168582</v>
      </c>
      <c r="O334" s="40"/>
      <c r="P334" s="36">
        <f t="shared" si="328"/>
        <v>26</v>
      </c>
      <c r="Q334" s="33">
        <f>'1.DATA KIA'!M318</f>
        <v>0</v>
      </c>
      <c r="R334" s="36">
        <f t="shared" si="343"/>
        <v>26</v>
      </c>
      <c r="S334" s="37">
        <f t="shared" si="344"/>
        <v>28.461959496442251</v>
      </c>
      <c r="T334" s="40"/>
      <c r="U334" s="33">
        <f t="shared" si="329"/>
        <v>7</v>
      </c>
      <c r="V334" s="36">
        <f>'1.DATA KIA'!Y318</f>
        <v>0</v>
      </c>
      <c r="W334" s="33">
        <f t="shared" si="345"/>
        <v>7</v>
      </c>
      <c r="X334" s="37">
        <f t="shared" si="330"/>
        <v>36.572622779519328</v>
      </c>
      <c r="Y334" s="40"/>
      <c r="Z334" s="33">
        <f t="shared" si="331"/>
        <v>5</v>
      </c>
      <c r="AA334" s="36">
        <f>'1.DATA KIA'!Z318</f>
        <v>0</v>
      </c>
      <c r="AB334" s="33">
        <f t="shared" si="346"/>
        <v>5</v>
      </c>
      <c r="AC334" s="37">
        <f t="shared" si="332"/>
        <v>26.123301985370951</v>
      </c>
      <c r="AD334" s="40"/>
      <c r="AE334" s="33">
        <f t="shared" si="333"/>
        <v>5</v>
      </c>
      <c r="AF334" s="41">
        <f>'8.ANCTEPADU'!D364+'8.ANCTEPADU'!E364</f>
        <v>0</v>
      </c>
      <c r="AG334" s="33">
        <f t="shared" si="347"/>
        <v>5</v>
      </c>
      <c r="AH334" s="37">
        <f t="shared" si="334"/>
        <v>5.2246603970741896</v>
      </c>
      <c r="AI334" s="33">
        <f t="shared" si="335"/>
        <v>5</v>
      </c>
      <c r="AJ334" s="41">
        <f>'8.ANCTEPADU'!J364</f>
        <v>0</v>
      </c>
      <c r="AK334" s="33">
        <f t="shared" si="348"/>
        <v>5</v>
      </c>
      <c r="AL334" s="37">
        <f t="shared" si="336"/>
        <v>5.2246603970741896</v>
      </c>
      <c r="AM334" s="36">
        <f t="shared" si="337"/>
        <v>28</v>
      </c>
      <c r="AN334" s="36">
        <f>'1.DATA KIA'!AG318</f>
        <v>0</v>
      </c>
      <c r="AO334" s="33">
        <f t="shared" si="349"/>
        <v>28</v>
      </c>
      <c r="AP334" s="37" t="e">
        <f t="shared" si="350"/>
        <v>#DIV/0!</v>
      </c>
      <c r="AQ334" s="40"/>
      <c r="AR334" s="42">
        <f t="shared" si="338"/>
        <v>28</v>
      </c>
      <c r="AS334" s="36">
        <f>'1.DATA KIA'!AB318</f>
        <v>0</v>
      </c>
      <c r="AT334" s="33">
        <f t="shared" si="351"/>
        <v>28</v>
      </c>
      <c r="AU334" s="37">
        <f t="shared" si="352"/>
        <v>30.651340996168582</v>
      </c>
      <c r="AV334" s="40"/>
      <c r="AW334" s="36">
        <f t="shared" si="339"/>
        <v>10</v>
      </c>
      <c r="AX334" s="33">
        <f>'1.DATA KIA'!AF318</f>
        <v>0</v>
      </c>
      <c r="AY334" s="36">
        <f t="shared" si="353"/>
        <v>10</v>
      </c>
      <c r="AZ334" s="37">
        <f t="shared" si="354"/>
        <v>52.246603970741901</v>
      </c>
      <c r="BA334" s="38"/>
    </row>
    <row r="335" spans="1:54" ht="30" customHeight="1" x14ac:dyDescent="0.35">
      <c r="A335" s="33">
        <v>5</v>
      </c>
      <c r="B335" s="34" t="str">
        <f>PETUNJUK!B13</f>
        <v>Lebuawu</v>
      </c>
      <c r="C335" s="35">
        <f>'1.DATA KIA'!C319</f>
        <v>85.800000000000011</v>
      </c>
      <c r="D335" s="35">
        <f>'1.DATA KIA'!D319</f>
        <v>81.900000000000006</v>
      </c>
      <c r="E335" s="35">
        <f t="shared" si="324"/>
        <v>0</v>
      </c>
      <c r="F335" s="36">
        <f t="shared" si="325"/>
        <v>33</v>
      </c>
      <c r="G335" s="36">
        <f>'1.DATA KIA'!F319</f>
        <v>0</v>
      </c>
      <c r="H335" s="36">
        <f t="shared" si="340"/>
        <v>33</v>
      </c>
      <c r="I335" s="37">
        <f t="shared" si="326"/>
        <v>38.46153846153846</v>
      </c>
      <c r="J335" s="40"/>
      <c r="K335" s="36">
        <f t="shared" si="327"/>
        <v>25</v>
      </c>
      <c r="L335" s="33">
        <f>'1.DATA KIA'!J319</f>
        <v>0</v>
      </c>
      <c r="M335" s="36">
        <f t="shared" si="341"/>
        <v>25</v>
      </c>
      <c r="N335" s="37">
        <f t="shared" si="342"/>
        <v>30.525030525030523</v>
      </c>
      <c r="O335" s="40"/>
      <c r="P335" s="36">
        <f t="shared" si="328"/>
        <v>19</v>
      </c>
      <c r="Q335" s="33">
        <f>'1.DATA KIA'!M319</f>
        <v>0</v>
      </c>
      <c r="R335" s="36">
        <f t="shared" si="343"/>
        <v>19</v>
      </c>
      <c r="S335" s="37">
        <f t="shared" si="344"/>
        <v>23.199023199023198</v>
      </c>
      <c r="T335" s="40"/>
      <c r="U335" s="33">
        <f t="shared" si="329"/>
        <v>5</v>
      </c>
      <c r="V335" s="36">
        <f>'1.DATA KIA'!Y319</f>
        <v>0</v>
      </c>
      <c r="W335" s="33">
        <f t="shared" si="345"/>
        <v>5</v>
      </c>
      <c r="X335" s="37">
        <f t="shared" si="330"/>
        <v>29.137529137529132</v>
      </c>
      <c r="Y335" s="40"/>
      <c r="Z335" s="33">
        <f t="shared" si="331"/>
        <v>3</v>
      </c>
      <c r="AA335" s="36">
        <f>'1.DATA KIA'!Z319</f>
        <v>0</v>
      </c>
      <c r="AB335" s="33">
        <f t="shared" si="346"/>
        <v>3</v>
      </c>
      <c r="AC335" s="37">
        <f t="shared" si="332"/>
        <v>17.48251748251748</v>
      </c>
      <c r="AD335" s="40"/>
      <c r="AE335" s="33">
        <f t="shared" si="333"/>
        <v>2</v>
      </c>
      <c r="AF335" s="41">
        <f>'8.ANCTEPADU'!D365+'8.ANCTEPADU'!E365</f>
        <v>0</v>
      </c>
      <c r="AG335" s="33">
        <f t="shared" si="347"/>
        <v>2</v>
      </c>
      <c r="AH335" s="37">
        <f t="shared" si="334"/>
        <v>2.3310023310023307</v>
      </c>
      <c r="AI335" s="33">
        <f t="shared" si="335"/>
        <v>3</v>
      </c>
      <c r="AJ335" s="41">
        <f>'8.ANCTEPADU'!J365</f>
        <v>0</v>
      </c>
      <c r="AK335" s="33">
        <f t="shared" si="348"/>
        <v>3</v>
      </c>
      <c r="AL335" s="37">
        <f t="shared" si="336"/>
        <v>3.4965034965034962</v>
      </c>
      <c r="AM335" s="36">
        <f t="shared" si="337"/>
        <v>23</v>
      </c>
      <c r="AN335" s="36">
        <f>'1.DATA KIA'!AG319</f>
        <v>0</v>
      </c>
      <c r="AO335" s="33">
        <f t="shared" si="349"/>
        <v>23</v>
      </c>
      <c r="AP335" s="37" t="e">
        <f t="shared" si="350"/>
        <v>#DIV/0!</v>
      </c>
      <c r="AQ335" s="40"/>
      <c r="AR335" s="42">
        <f t="shared" si="338"/>
        <v>23</v>
      </c>
      <c r="AS335" s="36">
        <f>'1.DATA KIA'!AB319</f>
        <v>0</v>
      </c>
      <c r="AT335" s="33">
        <f t="shared" si="351"/>
        <v>23</v>
      </c>
      <c r="AU335" s="37">
        <f t="shared" si="352"/>
        <v>28.083028083028083</v>
      </c>
      <c r="AV335" s="40"/>
      <c r="AW335" s="36">
        <f t="shared" si="339"/>
        <v>1</v>
      </c>
      <c r="AX335" s="33">
        <f>'1.DATA KIA'!AF319</f>
        <v>0</v>
      </c>
      <c r="AY335" s="36">
        <f t="shared" si="353"/>
        <v>1</v>
      </c>
      <c r="AZ335" s="37">
        <f t="shared" si="354"/>
        <v>5.8275058275058269</v>
      </c>
      <c r="BA335" s="38"/>
    </row>
    <row r="336" spans="1:54" ht="30" customHeight="1" x14ac:dyDescent="0.35">
      <c r="A336" s="33">
        <v>6</v>
      </c>
      <c r="B336" s="34" t="str">
        <f>PETUNJUK!B14</f>
        <v>Pulodarat</v>
      </c>
      <c r="C336" s="35">
        <f>'1.DATA KIA'!C320</f>
        <v>82.5</v>
      </c>
      <c r="D336" s="35">
        <f>'1.DATA KIA'!D320</f>
        <v>78.75</v>
      </c>
      <c r="E336" s="35">
        <f t="shared" si="324"/>
        <v>0</v>
      </c>
      <c r="F336" s="36">
        <f t="shared" si="325"/>
        <v>18</v>
      </c>
      <c r="G336" s="36">
        <f>'1.DATA KIA'!F320</f>
        <v>0</v>
      </c>
      <c r="H336" s="36">
        <f t="shared" si="340"/>
        <v>18</v>
      </c>
      <c r="I336" s="37">
        <f t="shared" si="326"/>
        <v>21.818181818181817</v>
      </c>
      <c r="J336" s="40"/>
      <c r="K336" s="36">
        <f t="shared" si="327"/>
        <v>19</v>
      </c>
      <c r="L336" s="33">
        <f>'1.DATA KIA'!J320</f>
        <v>0</v>
      </c>
      <c r="M336" s="36">
        <f t="shared" si="341"/>
        <v>19</v>
      </c>
      <c r="N336" s="37">
        <f t="shared" si="342"/>
        <v>24.126984126984127</v>
      </c>
      <c r="O336" s="40"/>
      <c r="P336" s="36">
        <f t="shared" si="328"/>
        <v>19</v>
      </c>
      <c r="Q336" s="33">
        <f>'1.DATA KIA'!M320</f>
        <v>0</v>
      </c>
      <c r="R336" s="36">
        <f t="shared" si="343"/>
        <v>19</v>
      </c>
      <c r="S336" s="37">
        <f t="shared" si="344"/>
        <v>24.126984126984127</v>
      </c>
      <c r="T336" s="40"/>
      <c r="U336" s="33">
        <f t="shared" si="329"/>
        <v>4</v>
      </c>
      <c r="V336" s="36">
        <f>'1.DATA KIA'!Y320</f>
        <v>0</v>
      </c>
      <c r="W336" s="33">
        <f t="shared" si="345"/>
        <v>4</v>
      </c>
      <c r="X336" s="37">
        <f t="shared" si="330"/>
        <v>24.242424242424242</v>
      </c>
      <c r="Y336" s="40"/>
      <c r="Z336" s="33">
        <f t="shared" si="331"/>
        <v>2</v>
      </c>
      <c r="AA336" s="36">
        <f>'1.DATA KIA'!Z320</f>
        <v>0</v>
      </c>
      <c r="AB336" s="33">
        <f t="shared" si="346"/>
        <v>2</v>
      </c>
      <c r="AC336" s="37">
        <f t="shared" si="332"/>
        <v>12.121212121212121</v>
      </c>
      <c r="AD336" s="40"/>
      <c r="AE336" s="33">
        <f t="shared" si="333"/>
        <v>3</v>
      </c>
      <c r="AF336" s="41">
        <f>'8.ANCTEPADU'!D366+'8.ANCTEPADU'!E366</f>
        <v>0</v>
      </c>
      <c r="AG336" s="33">
        <f t="shared" si="347"/>
        <v>3</v>
      </c>
      <c r="AH336" s="37">
        <f t="shared" si="334"/>
        <v>3.6363636363636362</v>
      </c>
      <c r="AI336" s="33">
        <f t="shared" si="335"/>
        <v>0</v>
      </c>
      <c r="AJ336" s="41">
        <f>'8.ANCTEPADU'!J366</f>
        <v>0</v>
      </c>
      <c r="AK336" s="33">
        <f t="shared" si="348"/>
        <v>0</v>
      </c>
      <c r="AL336" s="37">
        <f t="shared" si="336"/>
        <v>0</v>
      </c>
      <c r="AM336" s="36">
        <f t="shared" si="337"/>
        <v>17</v>
      </c>
      <c r="AN336" s="36">
        <f>'1.DATA KIA'!AG320</f>
        <v>0</v>
      </c>
      <c r="AO336" s="33">
        <f t="shared" si="349"/>
        <v>17</v>
      </c>
      <c r="AP336" s="37" t="e">
        <f t="shared" si="350"/>
        <v>#DIV/0!</v>
      </c>
      <c r="AQ336" s="40"/>
      <c r="AR336" s="42">
        <f t="shared" si="338"/>
        <v>17</v>
      </c>
      <c r="AS336" s="36">
        <f>'1.DATA KIA'!AB320</f>
        <v>0</v>
      </c>
      <c r="AT336" s="33">
        <f t="shared" si="351"/>
        <v>17</v>
      </c>
      <c r="AU336" s="37">
        <f t="shared" si="352"/>
        <v>21.587301587301589</v>
      </c>
      <c r="AV336" s="40"/>
      <c r="AW336" s="36">
        <f t="shared" si="339"/>
        <v>4</v>
      </c>
      <c r="AX336" s="33">
        <f>'1.DATA KIA'!AF320</f>
        <v>0</v>
      </c>
      <c r="AY336" s="36">
        <f t="shared" si="353"/>
        <v>4</v>
      </c>
      <c r="AZ336" s="37">
        <f t="shared" si="354"/>
        <v>24.242424242424242</v>
      </c>
      <c r="BA336" s="38"/>
    </row>
    <row r="337" spans="1:53" ht="30" customHeight="1" x14ac:dyDescent="0.35">
      <c r="A337" s="33">
        <v>7</v>
      </c>
      <c r="B337" s="34" t="str">
        <f>PETUNJUK!B15</f>
        <v>Karangrandu</v>
      </c>
      <c r="C337" s="35">
        <f>'1.DATA KIA'!C321</f>
        <v>93.500000000000014</v>
      </c>
      <c r="D337" s="35">
        <f>'1.DATA KIA'!D321</f>
        <v>89.25</v>
      </c>
      <c r="E337" s="35">
        <f t="shared" si="324"/>
        <v>0</v>
      </c>
      <c r="F337" s="36">
        <f t="shared" si="325"/>
        <v>31</v>
      </c>
      <c r="G337" s="36">
        <f>'1.DATA KIA'!F321</f>
        <v>0</v>
      </c>
      <c r="H337" s="36">
        <f t="shared" si="340"/>
        <v>31</v>
      </c>
      <c r="I337" s="37">
        <f t="shared" si="326"/>
        <v>33.155080213903737</v>
      </c>
      <c r="J337" s="40"/>
      <c r="K337" s="36">
        <f t="shared" si="327"/>
        <v>24</v>
      </c>
      <c r="L337" s="33">
        <f>'1.DATA KIA'!J321</f>
        <v>0</v>
      </c>
      <c r="M337" s="36">
        <f t="shared" si="341"/>
        <v>24</v>
      </c>
      <c r="N337" s="37">
        <f t="shared" si="342"/>
        <v>26.890756302521009</v>
      </c>
      <c r="O337" s="40"/>
      <c r="P337" s="36">
        <f t="shared" si="328"/>
        <v>27</v>
      </c>
      <c r="Q337" s="33">
        <f>'1.DATA KIA'!M321</f>
        <v>0</v>
      </c>
      <c r="R337" s="36">
        <f t="shared" si="343"/>
        <v>27</v>
      </c>
      <c r="S337" s="37">
        <f t="shared" si="344"/>
        <v>30.252100840336134</v>
      </c>
      <c r="T337" s="40"/>
      <c r="U337" s="33">
        <f t="shared" si="329"/>
        <v>14</v>
      </c>
      <c r="V337" s="36">
        <f>'1.DATA KIA'!Y321</f>
        <v>0</v>
      </c>
      <c r="W337" s="33">
        <f t="shared" si="345"/>
        <v>14</v>
      </c>
      <c r="X337" s="37">
        <f t="shared" si="330"/>
        <v>74.866310160427801</v>
      </c>
      <c r="Y337" s="40"/>
      <c r="Z337" s="33">
        <f t="shared" si="331"/>
        <v>5</v>
      </c>
      <c r="AA337" s="36">
        <f>'1.DATA KIA'!Z321</f>
        <v>0</v>
      </c>
      <c r="AB337" s="33">
        <f t="shared" si="346"/>
        <v>5</v>
      </c>
      <c r="AC337" s="37">
        <f t="shared" si="332"/>
        <v>26.737967914438499</v>
      </c>
      <c r="AD337" s="40"/>
      <c r="AE337" s="33">
        <f t="shared" si="333"/>
        <v>3</v>
      </c>
      <c r="AF337" s="41">
        <f>'8.ANCTEPADU'!D367+'8.ANCTEPADU'!E367</f>
        <v>0</v>
      </c>
      <c r="AG337" s="33">
        <f t="shared" si="347"/>
        <v>3</v>
      </c>
      <c r="AH337" s="37">
        <f t="shared" si="334"/>
        <v>3.2085561497326198</v>
      </c>
      <c r="AI337" s="33">
        <f t="shared" si="335"/>
        <v>2</v>
      </c>
      <c r="AJ337" s="41">
        <f>'8.ANCTEPADU'!J367</f>
        <v>0</v>
      </c>
      <c r="AK337" s="33">
        <f t="shared" si="348"/>
        <v>2</v>
      </c>
      <c r="AL337" s="37">
        <f t="shared" si="336"/>
        <v>2.1390374331550799</v>
      </c>
      <c r="AM337" s="36">
        <f t="shared" si="337"/>
        <v>26</v>
      </c>
      <c r="AN337" s="36">
        <f>'1.DATA KIA'!AG321</f>
        <v>0</v>
      </c>
      <c r="AO337" s="33">
        <f t="shared" si="349"/>
        <v>26</v>
      </c>
      <c r="AP337" s="37" t="e">
        <f t="shared" si="350"/>
        <v>#DIV/0!</v>
      </c>
      <c r="AQ337" s="40"/>
      <c r="AR337" s="42">
        <f t="shared" si="338"/>
        <v>27</v>
      </c>
      <c r="AS337" s="36">
        <f>'1.DATA KIA'!AB321</f>
        <v>0</v>
      </c>
      <c r="AT337" s="33">
        <f t="shared" si="351"/>
        <v>27</v>
      </c>
      <c r="AU337" s="37">
        <f t="shared" si="352"/>
        <v>30.252100840336134</v>
      </c>
      <c r="AV337" s="40"/>
      <c r="AW337" s="36">
        <f t="shared" si="339"/>
        <v>4</v>
      </c>
      <c r="AX337" s="33">
        <f>'1.DATA KIA'!AF321</f>
        <v>0</v>
      </c>
      <c r="AY337" s="36">
        <f t="shared" si="353"/>
        <v>4</v>
      </c>
      <c r="AZ337" s="37">
        <f t="shared" si="354"/>
        <v>21.390374331550799</v>
      </c>
      <c r="BA337" s="38"/>
    </row>
    <row r="338" spans="1:53" ht="30" customHeight="1" x14ac:dyDescent="0.35">
      <c r="A338" s="33">
        <v>8</v>
      </c>
      <c r="B338" s="34" t="str">
        <f>PETUNJUK!B16</f>
        <v>Kaliombo</v>
      </c>
      <c r="C338" s="35">
        <f>'1.DATA KIA'!C322</f>
        <v>46.2</v>
      </c>
      <c r="D338" s="35">
        <f>'1.DATA KIA'!D322</f>
        <v>44.1</v>
      </c>
      <c r="E338" s="35">
        <f t="shared" si="324"/>
        <v>0</v>
      </c>
      <c r="F338" s="36">
        <f t="shared" si="325"/>
        <v>13</v>
      </c>
      <c r="G338" s="36">
        <f>'1.DATA KIA'!F322</f>
        <v>0</v>
      </c>
      <c r="H338" s="36">
        <f t="shared" si="340"/>
        <v>13</v>
      </c>
      <c r="I338" s="37">
        <f t="shared" si="326"/>
        <v>28.138528138528134</v>
      </c>
      <c r="J338" s="40"/>
      <c r="K338" s="36">
        <f t="shared" si="327"/>
        <v>13</v>
      </c>
      <c r="L338" s="33">
        <f>'1.DATA KIA'!J322</f>
        <v>0</v>
      </c>
      <c r="M338" s="36">
        <f t="shared" si="341"/>
        <v>13</v>
      </c>
      <c r="N338" s="37">
        <f t="shared" si="342"/>
        <v>29.478458049886619</v>
      </c>
      <c r="O338" s="40"/>
      <c r="P338" s="36">
        <f t="shared" si="328"/>
        <v>13</v>
      </c>
      <c r="Q338" s="33">
        <f>'1.DATA KIA'!M322</f>
        <v>0</v>
      </c>
      <c r="R338" s="36">
        <f t="shared" si="343"/>
        <v>13</v>
      </c>
      <c r="S338" s="37">
        <f t="shared" si="344"/>
        <v>29.478458049886619</v>
      </c>
      <c r="T338" s="40"/>
      <c r="U338" s="33">
        <f t="shared" si="329"/>
        <v>7</v>
      </c>
      <c r="V338" s="36">
        <f>'1.DATA KIA'!Y322</f>
        <v>0</v>
      </c>
      <c r="W338" s="33">
        <f t="shared" si="345"/>
        <v>7</v>
      </c>
      <c r="X338" s="37">
        <f t="shared" si="330"/>
        <v>75.757575757575751</v>
      </c>
      <c r="Y338" s="40"/>
      <c r="Z338" s="33">
        <f t="shared" si="331"/>
        <v>2</v>
      </c>
      <c r="AA338" s="36">
        <f>'1.DATA KIA'!Z322</f>
        <v>0</v>
      </c>
      <c r="AB338" s="33">
        <f t="shared" si="346"/>
        <v>2</v>
      </c>
      <c r="AC338" s="37">
        <f t="shared" si="332"/>
        <v>21.645021645021643</v>
      </c>
      <c r="AD338" s="40"/>
      <c r="AE338" s="33">
        <f t="shared" si="333"/>
        <v>0</v>
      </c>
      <c r="AF338" s="41">
        <f>'8.ANCTEPADU'!D368+'8.ANCTEPADU'!E368</f>
        <v>0</v>
      </c>
      <c r="AG338" s="33">
        <f t="shared" si="347"/>
        <v>0</v>
      </c>
      <c r="AH338" s="37">
        <f t="shared" si="334"/>
        <v>0</v>
      </c>
      <c r="AI338" s="33">
        <f t="shared" si="335"/>
        <v>1</v>
      </c>
      <c r="AJ338" s="41">
        <f>'8.ANCTEPADU'!J368</f>
        <v>0</v>
      </c>
      <c r="AK338" s="33">
        <f t="shared" si="348"/>
        <v>1</v>
      </c>
      <c r="AL338" s="37">
        <f t="shared" si="336"/>
        <v>2.1645021645021645</v>
      </c>
      <c r="AM338" s="36">
        <f t="shared" si="337"/>
        <v>13</v>
      </c>
      <c r="AN338" s="36">
        <f>'1.DATA KIA'!AG322</f>
        <v>0</v>
      </c>
      <c r="AO338" s="33">
        <f t="shared" si="349"/>
        <v>13</v>
      </c>
      <c r="AP338" s="37" t="e">
        <f t="shared" si="350"/>
        <v>#DIV/0!</v>
      </c>
      <c r="AQ338" s="40"/>
      <c r="AR338" s="42">
        <f t="shared" si="338"/>
        <v>13</v>
      </c>
      <c r="AS338" s="36">
        <f>'1.DATA KIA'!AB322</f>
        <v>0</v>
      </c>
      <c r="AT338" s="33">
        <f t="shared" si="351"/>
        <v>13</v>
      </c>
      <c r="AU338" s="37">
        <f t="shared" si="352"/>
        <v>29.478458049886619</v>
      </c>
      <c r="AV338" s="40"/>
      <c r="AW338" s="36">
        <f t="shared" si="339"/>
        <v>5</v>
      </c>
      <c r="AX338" s="33">
        <f>'1.DATA KIA'!AF322</f>
        <v>0</v>
      </c>
      <c r="AY338" s="36">
        <f t="shared" si="353"/>
        <v>5</v>
      </c>
      <c r="AZ338" s="37">
        <f t="shared" si="354"/>
        <v>54.112554112554115</v>
      </c>
      <c r="BA338" s="38"/>
    </row>
    <row r="339" spans="1:53" ht="30" customHeight="1" x14ac:dyDescent="0.35">
      <c r="A339" s="33">
        <v>9</v>
      </c>
      <c r="B339" s="34" t="str">
        <f>PETUNJUK!B17</f>
        <v>Gemulung</v>
      </c>
      <c r="C339" s="35">
        <f>'1.DATA KIA'!C323</f>
        <v>53.900000000000006</v>
      </c>
      <c r="D339" s="35">
        <f>'1.DATA KIA'!D323</f>
        <v>51.45</v>
      </c>
      <c r="E339" s="35">
        <f t="shared" si="324"/>
        <v>0</v>
      </c>
      <c r="F339" s="36">
        <f t="shared" si="325"/>
        <v>19</v>
      </c>
      <c r="G339" s="36">
        <f>'1.DATA KIA'!F323</f>
        <v>0</v>
      </c>
      <c r="H339" s="36">
        <f t="shared" si="340"/>
        <v>19</v>
      </c>
      <c r="I339" s="37">
        <f t="shared" si="326"/>
        <v>35.250463821892389</v>
      </c>
      <c r="J339" s="40"/>
      <c r="K339" s="36">
        <f t="shared" si="327"/>
        <v>19</v>
      </c>
      <c r="L339" s="33">
        <f>'1.DATA KIA'!J323</f>
        <v>0</v>
      </c>
      <c r="M339" s="36">
        <f t="shared" si="341"/>
        <v>19</v>
      </c>
      <c r="N339" s="37">
        <f t="shared" si="342"/>
        <v>36.929057337220598</v>
      </c>
      <c r="O339" s="40"/>
      <c r="P339" s="36">
        <f t="shared" si="328"/>
        <v>19</v>
      </c>
      <c r="Q339" s="33">
        <f>'1.DATA KIA'!M323</f>
        <v>0</v>
      </c>
      <c r="R339" s="36">
        <f t="shared" si="343"/>
        <v>19</v>
      </c>
      <c r="S339" s="37">
        <f t="shared" si="344"/>
        <v>36.929057337220598</v>
      </c>
      <c r="T339" s="40"/>
      <c r="U339" s="33">
        <f t="shared" si="329"/>
        <v>3</v>
      </c>
      <c r="V339" s="36">
        <f>'1.DATA KIA'!Y323</f>
        <v>0</v>
      </c>
      <c r="W339" s="33">
        <f t="shared" si="345"/>
        <v>3</v>
      </c>
      <c r="X339" s="37">
        <f t="shared" si="330"/>
        <v>27.829313543599255</v>
      </c>
      <c r="Y339" s="40"/>
      <c r="Z339" s="33">
        <f t="shared" si="331"/>
        <v>1</v>
      </c>
      <c r="AA339" s="36">
        <f>'1.DATA KIA'!Z323</f>
        <v>0</v>
      </c>
      <c r="AB339" s="33">
        <f t="shared" si="346"/>
        <v>1</v>
      </c>
      <c r="AC339" s="37">
        <f t="shared" si="332"/>
        <v>9.2764378478664185</v>
      </c>
      <c r="AD339" s="40"/>
      <c r="AE339" s="33">
        <f t="shared" si="333"/>
        <v>4</v>
      </c>
      <c r="AF339" s="41">
        <f>'8.ANCTEPADU'!D369+'8.ANCTEPADU'!E369</f>
        <v>0</v>
      </c>
      <c r="AG339" s="33">
        <f t="shared" si="347"/>
        <v>4</v>
      </c>
      <c r="AH339" s="37">
        <f t="shared" si="334"/>
        <v>7.4211502782931342</v>
      </c>
      <c r="AI339" s="33">
        <f t="shared" si="335"/>
        <v>1</v>
      </c>
      <c r="AJ339" s="41">
        <f>'8.ANCTEPADU'!J369</f>
        <v>0</v>
      </c>
      <c r="AK339" s="33">
        <f t="shared" si="348"/>
        <v>1</v>
      </c>
      <c r="AL339" s="37">
        <f t="shared" si="336"/>
        <v>1.8552875695732836</v>
      </c>
      <c r="AM339" s="36">
        <f t="shared" si="337"/>
        <v>20</v>
      </c>
      <c r="AN339" s="36">
        <f>'1.DATA KIA'!AG323</f>
        <v>0</v>
      </c>
      <c r="AO339" s="33">
        <f t="shared" si="349"/>
        <v>20</v>
      </c>
      <c r="AP339" s="37" t="e">
        <f t="shared" si="350"/>
        <v>#DIV/0!</v>
      </c>
      <c r="AQ339" s="40"/>
      <c r="AR339" s="42">
        <f t="shared" si="338"/>
        <v>20</v>
      </c>
      <c r="AS339" s="36">
        <f>'1.DATA KIA'!AB323</f>
        <v>0</v>
      </c>
      <c r="AT339" s="33">
        <f t="shared" si="351"/>
        <v>20</v>
      </c>
      <c r="AU339" s="37">
        <f t="shared" si="352"/>
        <v>38.872691933916421</v>
      </c>
      <c r="AV339" s="40"/>
      <c r="AW339" s="36">
        <f t="shared" si="339"/>
        <v>8</v>
      </c>
      <c r="AX339" s="33">
        <f>'1.DATA KIA'!AF323</f>
        <v>0</v>
      </c>
      <c r="AY339" s="36">
        <f t="shared" si="353"/>
        <v>8</v>
      </c>
      <c r="AZ339" s="37">
        <f t="shared" si="354"/>
        <v>74.211502782931348</v>
      </c>
      <c r="BA339" s="38"/>
    </row>
    <row r="340" spans="1:53" ht="30" customHeight="1" x14ac:dyDescent="0.35">
      <c r="A340" s="33">
        <v>10</v>
      </c>
      <c r="B340" s="34" t="str">
        <f>PETUNJUK!B18</f>
        <v>Pecangaan Wetan</v>
      </c>
      <c r="C340" s="35">
        <f>'1.DATA KIA'!C324</f>
        <v>50.6</v>
      </c>
      <c r="D340" s="35">
        <f>'1.DATA KIA'!D324</f>
        <v>48.300000000000004</v>
      </c>
      <c r="E340" s="35">
        <f t="shared" si="324"/>
        <v>0</v>
      </c>
      <c r="F340" s="36">
        <f t="shared" si="325"/>
        <v>15</v>
      </c>
      <c r="G340" s="36">
        <f>'1.DATA KIA'!F324</f>
        <v>0</v>
      </c>
      <c r="H340" s="36">
        <f t="shared" si="340"/>
        <v>15</v>
      </c>
      <c r="I340" s="37">
        <f t="shared" si="326"/>
        <v>29.644268774703558</v>
      </c>
      <c r="J340" s="40"/>
      <c r="K340" s="36">
        <f t="shared" si="327"/>
        <v>12</v>
      </c>
      <c r="L340" s="33">
        <f>'1.DATA KIA'!J324</f>
        <v>0</v>
      </c>
      <c r="M340" s="36">
        <f t="shared" si="341"/>
        <v>12</v>
      </c>
      <c r="N340" s="37">
        <f t="shared" si="342"/>
        <v>24.844720496894407</v>
      </c>
      <c r="O340" s="40"/>
      <c r="P340" s="36">
        <f t="shared" si="328"/>
        <v>10</v>
      </c>
      <c r="Q340" s="33">
        <f>'1.DATA KIA'!M324</f>
        <v>0</v>
      </c>
      <c r="R340" s="36">
        <f t="shared" si="343"/>
        <v>10</v>
      </c>
      <c r="S340" s="37">
        <f t="shared" si="344"/>
        <v>20.703933747412005</v>
      </c>
      <c r="T340" s="40"/>
      <c r="U340" s="33">
        <f t="shared" si="329"/>
        <v>4</v>
      </c>
      <c r="V340" s="36">
        <f>'1.DATA KIA'!Y324</f>
        <v>0</v>
      </c>
      <c r="W340" s="33">
        <f t="shared" si="345"/>
        <v>4</v>
      </c>
      <c r="X340" s="37">
        <f t="shared" si="330"/>
        <v>39.525691699604735</v>
      </c>
      <c r="Y340" s="40"/>
      <c r="Z340" s="33">
        <f t="shared" si="331"/>
        <v>0</v>
      </c>
      <c r="AA340" s="36">
        <f>'1.DATA KIA'!Z324</f>
        <v>0</v>
      </c>
      <c r="AB340" s="33">
        <f t="shared" si="346"/>
        <v>0</v>
      </c>
      <c r="AC340" s="37">
        <f t="shared" si="332"/>
        <v>0</v>
      </c>
      <c r="AD340" s="40"/>
      <c r="AE340" s="33">
        <f t="shared" si="333"/>
        <v>0</v>
      </c>
      <c r="AF340" s="41">
        <f>'8.ANCTEPADU'!D370+'8.ANCTEPADU'!E370</f>
        <v>0</v>
      </c>
      <c r="AG340" s="33">
        <f t="shared" si="347"/>
        <v>0</v>
      </c>
      <c r="AH340" s="37">
        <f t="shared" si="334"/>
        <v>0</v>
      </c>
      <c r="AI340" s="33">
        <f t="shared" si="335"/>
        <v>5</v>
      </c>
      <c r="AJ340" s="41">
        <f>'8.ANCTEPADU'!J370</f>
        <v>0</v>
      </c>
      <c r="AK340" s="33">
        <f t="shared" si="348"/>
        <v>5</v>
      </c>
      <c r="AL340" s="37">
        <f t="shared" si="336"/>
        <v>9.8814229249011856</v>
      </c>
      <c r="AM340" s="36">
        <f t="shared" si="337"/>
        <v>13</v>
      </c>
      <c r="AN340" s="36">
        <f>'1.DATA KIA'!AG324</f>
        <v>0</v>
      </c>
      <c r="AO340" s="33">
        <f t="shared" si="349"/>
        <v>13</v>
      </c>
      <c r="AP340" s="37" t="e">
        <f t="shared" si="350"/>
        <v>#DIV/0!</v>
      </c>
      <c r="AQ340" s="40"/>
      <c r="AR340" s="42">
        <f t="shared" si="338"/>
        <v>13</v>
      </c>
      <c r="AS340" s="36">
        <f>'1.DATA KIA'!AB324</f>
        <v>0</v>
      </c>
      <c r="AT340" s="33">
        <f t="shared" si="351"/>
        <v>13</v>
      </c>
      <c r="AU340" s="37">
        <f t="shared" si="352"/>
        <v>26.915113871635612</v>
      </c>
      <c r="AV340" s="40"/>
      <c r="AW340" s="36">
        <f t="shared" si="339"/>
        <v>1</v>
      </c>
      <c r="AX340" s="33">
        <f>'1.DATA KIA'!AF324</f>
        <v>0</v>
      </c>
      <c r="AY340" s="36">
        <f t="shared" si="353"/>
        <v>1</v>
      </c>
      <c r="AZ340" s="37">
        <f t="shared" si="354"/>
        <v>9.8814229249011838</v>
      </c>
      <c r="BA340" s="38"/>
    </row>
    <row r="341" spans="1:53" ht="30" customHeight="1" x14ac:dyDescent="0.35">
      <c r="A341" s="33">
        <v>11</v>
      </c>
      <c r="B341" s="34" t="str">
        <f>PETUNJUK!B19</f>
        <v>Krasak</v>
      </c>
      <c r="C341" s="35">
        <f>'1.DATA KIA'!C325</f>
        <v>117.7</v>
      </c>
      <c r="D341" s="35">
        <f>'1.DATA KIA'!D325</f>
        <v>112.35000000000001</v>
      </c>
      <c r="E341" s="35">
        <f t="shared" si="324"/>
        <v>0</v>
      </c>
      <c r="F341" s="36">
        <f t="shared" si="325"/>
        <v>45</v>
      </c>
      <c r="G341" s="36">
        <f>'1.DATA KIA'!F325</f>
        <v>0</v>
      </c>
      <c r="H341" s="36">
        <f t="shared" si="340"/>
        <v>45</v>
      </c>
      <c r="I341" s="37">
        <f t="shared" si="326"/>
        <v>38.232795242141037</v>
      </c>
      <c r="J341" s="40"/>
      <c r="K341" s="36">
        <f t="shared" si="327"/>
        <v>22</v>
      </c>
      <c r="L341" s="33">
        <f>'1.DATA KIA'!J325</f>
        <v>0</v>
      </c>
      <c r="M341" s="36">
        <f t="shared" si="341"/>
        <v>22</v>
      </c>
      <c r="N341" s="37">
        <f t="shared" si="342"/>
        <v>19.581664441477525</v>
      </c>
      <c r="O341" s="40"/>
      <c r="P341" s="36">
        <f t="shared" si="328"/>
        <v>29</v>
      </c>
      <c r="Q341" s="33">
        <f>'1.DATA KIA'!M325</f>
        <v>0</v>
      </c>
      <c r="R341" s="36">
        <f t="shared" si="343"/>
        <v>29</v>
      </c>
      <c r="S341" s="37">
        <f t="shared" si="344"/>
        <v>25.812194036493104</v>
      </c>
      <c r="T341" s="40"/>
      <c r="U341" s="33">
        <f t="shared" si="329"/>
        <v>5</v>
      </c>
      <c r="V341" s="36">
        <f>'1.DATA KIA'!Y325</f>
        <v>0</v>
      </c>
      <c r="W341" s="33">
        <f t="shared" si="345"/>
        <v>5</v>
      </c>
      <c r="X341" s="37">
        <f t="shared" si="330"/>
        <v>21.240441801189462</v>
      </c>
      <c r="Y341" s="40"/>
      <c r="Z341" s="33">
        <f t="shared" si="331"/>
        <v>6</v>
      </c>
      <c r="AA341" s="36">
        <f>'1.DATA KIA'!Z325</f>
        <v>0</v>
      </c>
      <c r="AB341" s="33">
        <f t="shared" si="346"/>
        <v>6</v>
      </c>
      <c r="AC341" s="37">
        <f t="shared" si="332"/>
        <v>25.488530161427352</v>
      </c>
      <c r="AD341" s="40"/>
      <c r="AE341" s="33">
        <f t="shared" si="333"/>
        <v>3</v>
      </c>
      <c r="AF341" s="41">
        <f>'8.ANCTEPADU'!D371+'8.ANCTEPADU'!E371</f>
        <v>0</v>
      </c>
      <c r="AG341" s="33">
        <f t="shared" si="347"/>
        <v>3</v>
      </c>
      <c r="AH341" s="37">
        <f t="shared" si="334"/>
        <v>2.5488530161427359</v>
      </c>
      <c r="AI341" s="33">
        <f t="shared" si="335"/>
        <v>4</v>
      </c>
      <c r="AJ341" s="41">
        <f>'8.ANCTEPADU'!J371</f>
        <v>0</v>
      </c>
      <c r="AK341" s="33">
        <f t="shared" si="348"/>
        <v>4</v>
      </c>
      <c r="AL341" s="37">
        <f t="shared" si="336"/>
        <v>3.3984706881903146</v>
      </c>
      <c r="AM341" s="36">
        <f t="shared" si="337"/>
        <v>29</v>
      </c>
      <c r="AN341" s="36">
        <f>'1.DATA KIA'!AG325</f>
        <v>0</v>
      </c>
      <c r="AO341" s="33">
        <f t="shared" si="349"/>
        <v>29</v>
      </c>
      <c r="AP341" s="37" t="e">
        <f t="shared" si="350"/>
        <v>#DIV/0!</v>
      </c>
      <c r="AQ341" s="40"/>
      <c r="AR341" s="42">
        <f t="shared" si="338"/>
        <v>29</v>
      </c>
      <c r="AS341" s="36">
        <f>'1.DATA KIA'!AB325</f>
        <v>0</v>
      </c>
      <c r="AT341" s="33">
        <f t="shared" si="351"/>
        <v>29</v>
      </c>
      <c r="AU341" s="37">
        <f t="shared" si="352"/>
        <v>25.812194036493104</v>
      </c>
      <c r="AV341" s="40"/>
      <c r="AW341" s="36">
        <f t="shared" si="339"/>
        <v>7</v>
      </c>
      <c r="AX341" s="33">
        <f>'1.DATA KIA'!AF325</f>
        <v>0</v>
      </c>
      <c r="AY341" s="36">
        <f t="shared" si="353"/>
        <v>7</v>
      </c>
      <c r="AZ341" s="37">
        <f t="shared" si="354"/>
        <v>29.73661852166525</v>
      </c>
      <c r="BA341" s="38"/>
    </row>
    <row r="342" spans="1:53" ht="30" customHeight="1" x14ac:dyDescent="0.35">
      <c r="A342" s="33">
        <v>12</v>
      </c>
      <c r="B342" s="34" t="str">
        <f>PETUNJUK!B20</f>
        <v>Gerdu</v>
      </c>
      <c r="C342" s="35">
        <f>'1.DATA KIA'!C326</f>
        <v>23.1</v>
      </c>
      <c r="D342" s="35">
        <f>'1.DATA KIA'!D326</f>
        <v>22.05</v>
      </c>
      <c r="E342" s="35">
        <f t="shared" si="324"/>
        <v>0</v>
      </c>
      <c r="F342" s="36">
        <f t="shared" si="325"/>
        <v>8</v>
      </c>
      <c r="G342" s="36">
        <f>'1.DATA KIA'!F326</f>
        <v>0</v>
      </c>
      <c r="H342" s="36">
        <f t="shared" si="340"/>
        <v>8</v>
      </c>
      <c r="I342" s="37">
        <f t="shared" si="326"/>
        <v>34.632034632034632</v>
      </c>
      <c r="J342" s="40"/>
      <c r="K342" s="36">
        <f t="shared" si="327"/>
        <v>8</v>
      </c>
      <c r="L342" s="33">
        <f>'1.DATA KIA'!J326</f>
        <v>0</v>
      </c>
      <c r="M342" s="36">
        <f t="shared" si="341"/>
        <v>8</v>
      </c>
      <c r="N342" s="37">
        <f t="shared" si="342"/>
        <v>36.281179138321995</v>
      </c>
      <c r="O342" s="40"/>
      <c r="P342" s="36">
        <f t="shared" si="328"/>
        <v>8</v>
      </c>
      <c r="Q342" s="33">
        <f>'1.DATA KIA'!M326</f>
        <v>0</v>
      </c>
      <c r="R342" s="36">
        <f t="shared" si="343"/>
        <v>8</v>
      </c>
      <c r="S342" s="37">
        <f t="shared" si="344"/>
        <v>36.281179138321995</v>
      </c>
      <c r="T342" s="40"/>
      <c r="U342" s="33">
        <f t="shared" si="329"/>
        <v>2</v>
      </c>
      <c r="V342" s="36">
        <f>'1.DATA KIA'!Y326</f>
        <v>0</v>
      </c>
      <c r="W342" s="33">
        <f t="shared" si="345"/>
        <v>2</v>
      </c>
      <c r="X342" s="37">
        <f t="shared" si="330"/>
        <v>43.290043290043286</v>
      </c>
      <c r="Y342" s="40"/>
      <c r="Z342" s="33">
        <f t="shared" si="331"/>
        <v>1</v>
      </c>
      <c r="AA342" s="36">
        <f>'1.DATA KIA'!Z326</f>
        <v>0</v>
      </c>
      <c r="AB342" s="33">
        <f t="shared" si="346"/>
        <v>1</v>
      </c>
      <c r="AC342" s="37">
        <f t="shared" si="332"/>
        <v>21.645021645021643</v>
      </c>
      <c r="AD342" s="40"/>
      <c r="AE342" s="33">
        <f t="shared" si="333"/>
        <v>0</v>
      </c>
      <c r="AF342" s="41">
        <f>'8.ANCTEPADU'!D372+'8.ANCTEPADU'!E372</f>
        <v>0</v>
      </c>
      <c r="AG342" s="33">
        <f t="shared" si="347"/>
        <v>0</v>
      </c>
      <c r="AH342" s="37">
        <f t="shared" si="334"/>
        <v>0</v>
      </c>
      <c r="AI342" s="33">
        <f t="shared" si="335"/>
        <v>1</v>
      </c>
      <c r="AJ342" s="41">
        <f>'8.ANCTEPADU'!J372</f>
        <v>0</v>
      </c>
      <c r="AK342" s="33">
        <f t="shared" si="348"/>
        <v>1</v>
      </c>
      <c r="AL342" s="37">
        <f t="shared" si="336"/>
        <v>4.329004329004329</v>
      </c>
      <c r="AM342" s="36">
        <f t="shared" si="337"/>
        <v>5</v>
      </c>
      <c r="AN342" s="36">
        <f>'1.DATA KIA'!AG326</f>
        <v>0</v>
      </c>
      <c r="AO342" s="33">
        <f>AN342+AM342</f>
        <v>5</v>
      </c>
      <c r="AP342" s="37" t="e">
        <f t="shared" si="350"/>
        <v>#DIV/0!</v>
      </c>
      <c r="AQ342" s="40"/>
      <c r="AR342" s="42">
        <f t="shared" si="338"/>
        <v>5</v>
      </c>
      <c r="AS342" s="36">
        <f>'1.DATA KIA'!AB326</f>
        <v>0</v>
      </c>
      <c r="AT342" s="33">
        <f>AS342+AR342</f>
        <v>5</v>
      </c>
      <c r="AU342" s="37">
        <f t="shared" si="352"/>
        <v>22.675736961451246</v>
      </c>
      <c r="AV342" s="40"/>
      <c r="AW342" s="36">
        <f t="shared" si="339"/>
        <v>2</v>
      </c>
      <c r="AX342" s="33">
        <f>'1.DATA KIA'!AF326</f>
        <v>0</v>
      </c>
      <c r="AY342" s="36">
        <f t="shared" si="353"/>
        <v>2</v>
      </c>
      <c r="AZ342" s="37">
        <f t="shared" si="354"/>
        <v>43.290043290043286</v>
      </c>
      <c r="BA342" s="38"/>
    </row>
    <row r="343" spans="1:53" ht="30" customHeight="1" x14ac:dyDescent="0.35">
      <c r="A343" s="33">
        <v>13</v>
      </c>
      <c r="B343" s="34">
        <f>PETUNJUK!B21</f>
        <v>0</v>
      </c>
      <c r="C343" s="35">
        <f>'1.DATA KIA'!C327</f>
        <v>0</v>
      </c>
      <c r="D343" s="35">
        <f>'1.DATA KIA'!D327</f>
        <v>0</v>
      </c>
      <c r="E343" s="35">
        <f t="shared" si="324"/>
        <v>0</v>
      </c>
      <c r="F343" s="36">
        <f t="shared" si="325"/>
        <v>0</v>
      </c>
      <c r="G343" s="36">
        <f>'1.DATA KIA'!F327</f>
        <v>0</v>
      </c>
      <c r="H343" s="36">
        <f t="shared" si="340"/>
        <v>0</v>
      </c>
      <c r="I343" s="37" t="e">
        <f t="shared" si="326"/>
        <v>#DIV/0!</v>
      </c>
      <c r="J343" s="40"/>
      <c r="K343" s="36">
        <f t="shared" si="327"/>
        <v>0</v>
      </c>
      <c r="L343" s="33">
        <f>'1.DATA KIA'!J327</f>
        <v>0</v>
      </c>
      <c r="M343" s="36">
        <f t="shared" si="341"/>
        <v>0</v>
      </c>
      <c r="N343" s="37" t="e">
        <f t="shared" si="342"/>
        <v>#DIV/0!</v>
      </c>
      <c r="O343" s="40"/>
      <c r="P343" s="36">
        <f t="shared" si="328"/>
        <v>0</v>
      </c>
      <c r="Q343" s="33">
        <f>'1.DATA KIA'!M327</f>
        <v>0</v>
      </c>
      <c r="R343" s="36">
        <f t="shared" si="343"/>
        <v>0</v>
      </c>
      <c r="S343" s="37" t="e">
        <f t="shared" si="344"/>
        <v>#DIV/0!</v>
      </c>
      <c r="T343" s="40"/>
      <c r="U343" s="33">
        <f t="shared" si="329"/>
        <v>0</v>
      </c>
      <c r="V343" s="36">
        <f>'1.DATA KIA'!Y327</f>
        <v>0</v>
      </c>
      <c r="W343" s="33">
        <f t="shared" si="345"/>
        <v>0</v>
      </c>
      <c r="X343" s="37" t="e">
        <f t="shared" si="330"/>
        <v>#DIV/0!</v>
      </c>
      <c r="Y343" s="40"/>
      <c r="Z343" s="33">
        <f t="shared" si="331"/>
        <v>0</v>
      </c>
      <c r="AA343" s="36">
        <f>'1.DATA KIA'!Z327</f>
        <v>0</v>
      </c>
      <c r="AB343" s="33">
        <f t="shared" si="346"/>
        <v>0</v>
      </c>
      <c r="AC343" s="37" t="e">
        <f t="shared" si="332"/>
        <v>#DIV/0!</v>
      </c>
      <c r="AD343" s="40"/>
      <c r="AE343" s="33">
        <f t="shared" si="333"/>
        <v>0</v>
      </c>
      <c r="AF343" s="41">
        <f>'8.ANCTEPADU'!D373+'8.ANCTEPADU'!E373</f>
        <v>0</v>
      </c>
      <c r="AG343" s="33">
        <f t="shared" si="347"/>
        <v>0</v>
      </c>
      <c r="AH343" s="37" t="e">
        <f t="shared" si="334"/>
        <v>#DIV/0!</v>
      </c>
      <c r="AI343" s="33">
        <f t="shared" si="335"/>
        <v>0</v>
      </c>
      <c r="AJ343" s="41">
        <f>'8.ANCTEPADU'!J373</f>
        <v>0</v>
      </c>
      <c r="AK343" s="33">
        <f t="shared" si="348"/>
        <v>0</v>
      </c>
      <c r="AL343" s="37" t="e">
        <f t="shared" si="336"/>
        <v>#DIV/0!</v>
      </c>
      <c r="AM343" s="36">
        <f t="shared" si="337"/>
        <v>0</v>
      </c>
      <c r="AN343" s="36">
        <f>'1.DATA KIA'!AG327</f>
        <v>0</v>
      </c>
      <c r="AO343" s="33">
        <f t="shared" ref="AO343:AO348" si="355">AN343+AM343</f>
        <v>0</v>
      </c>
      <c r="AP343" s="37" t="e">
        <f t="shared" si="350"/>
        <v>#DIV/0!</v>
      </c>
      <c r="AQ343" s="40"/>
      <c r="AR343" s="42">
        <f t="shared" si="338"/>
        <v>0</v>
      </c>
      <c r="AS343" s="36">
        <f>'1.DATA KIA'!AB327</f>
        <v>0</v>
      </c>
      <c r="AT343" s="33">
        <f t="shared" ref="AT343:AT348" si="356">AS343+AR343</f>
        <v>0</v>
      </c>
      <c r="AU343" s="37" t="e">
        <f t="shared" si="352"/>
        <v>#DIV/0!</v>
      </c>
      <c r="AV343" s="40"/>
      <c r="AW343" s="36">
        <f t="shared" si="339"/>
        <v>0</v>
      </c>
      <c r="AX343" s="33">
        <f>'1.DATA KIA'!AF327</f>
        <v>0</v>
      </c>
      <c r="AY343" s="36">
        <f t="shared" si="353"/>
        <v>0</v>
      </c>
      <c r="AZ343" s="37" t="e">
        <f t="shared" si="354"/>
        <v>#DIV/0!</v>
      </c>
      <c r="BA343" s="38"/>
    </row>
    <row r="344" spans="1:53" ht="30" customHeight="1" x14ac:dyDescent="0.35">
      <c r="A344" s="33">
        <v>14</v>
      </c>
      <c r="B344" s="34">
        <f>PETUNJUK!B22</f>
        <v>0</v>
      </c>
      <c r="C344" s="35">
        <f>'1.DATA KIA'!C328</f>
        <v>0</v>
      </c>
      <c r="D344" s="35">
        <f>'1.DATA KIA'!D328</f>
        <v>0</v>
      </c>
      <c r="E344" s="35">
        <f t="shared" si="324"/>
        <v>0</v>
      </c>
      <c r="F344" s="36">
        <f t="shared" si="325"/>
        <v>0</v>
      </c>
      <c r="G344" s="36">
        <f>'1.DATA KIA'!F328</f>
        <v>0</v>
      </c>
      <c r="H344" s="36">
        <f t="shared" si="340"/>
        <v>0</v>
      </c>
      <c r="I344" s="37" t="e">
        <f t="shared" si="326"/>
        <v>#DIV/0!</v>
      </c>
      <c r="J344" s="40"/>
      <c r="K344" s="36">
        <f t="shared" si="327"/>
        <v>0</v>
      </c>
      <c r="L344" s="33">
        <f>'1.DATA KIA'!J328</f>
        <v>0</v>
      </c>
      <c r="M344" s="36">
        <f t="shared" si="341"/>
        <v>0</v>
      </c>
      <c r="N344" s="37" t="e">
        <f t="shared" si="342"/>
        <v>#DIV/0!</v>
      </c>
      <c r="O344" s="40"/>
      <c r="P344" s="36">
        <f t="shared" si="328"/>
        <v>0</v>
      </c>
      <c r="Q344" s="33">
        <f>'1.DATA KIA'!M328</f>
        <v>0</v>
      </c>
      <c r="R344" s="36">
        <f t="shared" si="343"/>
        <v>0</v>
      </c>
      <c r="S344" s="37" t="e">
        <f t="shared" si="344"/>
        <v>#DIV/0!</v>
      </c>
      <c r="T344" s="40"/>
      <c r="U344" s="33">
        <f t="shared" si="329"/>
        <v>0</v>
      </c>
      <c r="V344" s="36">
        <f>'1.DATA KIA'!Y328</f>
        <v>0</v>
      </c>
      <c r="W344" s="33">
        <f t="shared" si="345"/>
        <v>0</v>
      </c>
      <c r="X344" s="37" t="e">
        <f t="shared" si="330"/>
        <v>#DIV/0!</v>
      </c>
      <c r="Y344" s="40"/>
      <c r="Z344" s="33">
        <f t="shared" si="331"/>
        <v>0</v>
      </c>
      <c r="AA344" s="36">
        <f>'1.DATA KIA'!Z328</f>
        <v>0</v>
      </c>
      <c r="AB344" s="33">
        <f t="shared" si="346"/>
        <v>0</v>
      </c>
      <c r="AC344" s="37" t="e">
        <f t="shared" si="332"/>
        <v>#DIV/0!</v>
      </c>
      <c r="AD344" s="40"/>
      <c r="AE344" s="33">
        <f t="shared" si="333"/>
        <v>0</v>
      </c>
      <c r="AF344" s="41">
        <f>'8.ANCTEPADU'!D374+'8.ANCTEPADU'!E374</f>
        <v>0</v>
      </c>
      <c r="AG344" s="33">
        <f t="shared" si="347"/>
        <v>0</v>
      </c>
      <c r="AH344" s="37" t="e">
        <f t="shared" si="334"/>
        <v>#DIV/0!</v>
      </c>
      <c r="AI344" s="33">
        <f t="shared" si="335"/>
        <v>0</v>
      </c>
      <c r="AJ344" s="41">
        <f>'8.ANCTEPADU'!J374</f>
        <v>0</v>
      </c>
      <c r="AK344" s="33">
        <f t="shared" si="348"/>
        <v>0</v>
      </c>
      <c r="AL344" s="37" t="e">
        <f t="shared" si="336"/>
        <v>#DIV/0!</v>
      </c>
      <c r="AM344" s="36">
        <f t="shared" si="337"/>
        <v>0</v>
      </c>
      <c r="AN344" s="36">
        <f>'1.DATA KIA'!AG328</f>
        <v>0</v>
      </c>
      <c r="AO344" s="33">
        <f t="shared" si="355"/>
        <v>0</v>
      </c>
      <c r="AP344" s="37" t="e">
        <f t="shared" si="350"/>
        <v>#DIV/0!</v>
      </c>
      <c r="AQ344" s="40"/>
      <c r="AR344" s="42">
        <f t="shared" si="338"/>
        <v>0</v>
      </c>
      <c r="AS344" s="36">
        <f>'1.DATA KIA'!AB328</f>
        <v>0</v>
      </c>
      <c r="AT344" s="33">
        <f t="shared" si="356"/>
        <v>0</v>
      </c>
      <c r="AU344" s="37" t="e">
        <f t="shared" si="352"/>
        <v>#DIV/0!</v>
      </c>
      <c r="AV344" s="40"/>
      <c r="AW344" s="36">
        <f t="shared" si="339"/>
        <v>0</v>
      </c>
      <c r="AX344" s="33">
        <f>'1.DATA KIA'!AF328</f>
        <v>0</v>
      </c>
      <c r="AY344" s="36">
        <f t="shared" si="353"/>
        <v>0</v>
      </c>
      <c r="AZ344" s="37" t="e">
        <f t="shared" si="354"/>
        <v>#DIV/0!</v>
      </c>
      <c r="BA344" s="38"/>
    </row>
    <row r="345" spans="1:53" ht="30" customHeight="1" x14ac:dyDescent="0.35">
      <c r="A345" s="33">
        <v>15</v>
      </c>
      <c r="B345" s="34">
        <f>PETUNJUK!B23</f>
        <v>0</v>
      </c>
      <c r="C345" s="35">
        <f>'1.DATA KIA'!C329</f>
        <v>0</v>
      </c>
      <c r="D345" s="35">
        <f>'1.DATA KIA'!D329</f>
        <v>0</v>
      </c>
      <c r="E345" s="35">
        <f t="shared" si="324"/>
        <v>0</v>
      </c>
      <c r="F345" s="36">
        <f t="shared" si="325"/>
        <v>0</v>
      </c>
      <c r="G345" s="36">
        <f>'1.DATA KIA'!F329</f>
        <v>0</v>
      </c>
      <c r="H345" s="36">
        <f t="shared" si="340"/>
        <v>0</v>
      </c>
      <c r="I345" s="37" t="e">
        <f t="shared" si="326"/>
        <v>#DIV/0!</v>
      </c>
      <c r="J345" s="40"/>
      <c r="K345" s="36">
        <f t="shared" si="327"/>
        <v>0</v>
      </c>
      <c r="L345" s="33">
        <f>'1.DATA KIA'!J329</f>
        <v>0</v>
      </c>
      <c r="M345" s="36">
        <f t="shared" si="341"/>
        <v>0</v>
      </c>
      <c r="N345" s="37" t="e">
        <f t="shared" si="342"/>
        <v>#DIV/0!</v>
      </c>
      <c r="O345" s="40"/>
      <c r="P345" s="36">
        <f t="shared" si="328"/>
        <v>0</v>
      </c>
      <c r="Q345" s="33">
        <f>'1.DATA KIA'!M329</f>
        <v>0</v>
      </c>
      <c r="R345" s="36">
        <f t="shared" si="343"/>
        <v>0</v>
      </c>
      <c r="S345" s="37" t="e">
        <f t="shared" si="344"/>
        <v>#DIV/0!</v>
      </c>
      <c r="T345" s="40"/>
      <c r="U345" s="33">
        <f t="shared" si="329"/>
        <v>0</v>
      </c>
      <c r="V345" s="36">
        <f>'1.DATA KIA'!Y329</f>
        <v>0</v>
      </c>
      <c r="W345" s="33">
        <f t="shared" si="345"/>
        <v>0</v>
      </c>
      <c r="X345" s="37" t="e">
        <f t="shared" si="330"/>
        <v>#DIV/0!</v>
      </c>
      <c r="Y345" s="40"/>
      <c r="Z345" s="33">
        <f t="shared" si="331"/>
        <v>0</v>
      </c>
      <c r="AA345" s="36">
        <f>'1.DATA KIA'!Z329</f>
        <v>0</v>
      </c>
      <c r="AB345" s="33">
        <f t="shared" si="346"/>
        <v>0</v>
      </c>
      <c r="AC345" s="37" t="e">
        <f t="shared" si="332"/>
        <v>#DIV/0!</v>
      </c>
      <c r="AD345" s="40"/>
      <c r="AE345" s="33">
        <f t="shared" si="333"/>
        <v>0</v>
      </c>
      <c r="AF345" s="41">
        <f>'8.ANCTEPADU'!D375+'8.ANCTEPADU'!E375</f>
        <v>0</v>
      </c>
      <c r="AG345" s="33">
        <f t="shared" si="347"/>
        <v>0</v>
      </c>
      <c r="AH345" s="37" t="e">
        <f t="shared" si="334"/>
        <v>#DIV/0!</v>
      </c>
      <c r="AI345" s="33">
        <f t="shared" si="335"/>
        <v>0</v>
      </c>
      <c r="AJ345" s="41">
        <f>'8.ANCTEPADU'!J375</f>
        <v>0</v>
      </c>
      <c r="AK345" s="33">
        <f t="shared" si="348"/>
        <v>0</v>
      </c>
      <c r="AL345" s="37" t="e">
        <f t="shared" si="336"/>
        <v>#DIV/0!</v>
      </c>
      <c r="AM345" s="36">
        <f t="shared" si="337"/>
        <v>0</v>
      </c>
      <c r="AN345" s="36">
        <f>'1.DATA KIA'!AG329</f>
        <v>0</v>
      </c>
      <c r="AO345" s="33">
        <f t="shared" si="355"/>
        <v>0</v>
      </c>
      <c r="AP345" s="37" t="e">
        <f t="shared" si="350"/>
        <v>#DIV/0!</v>
      </c>
      <c r="AQ345" s="40"/>
      <c r="AR345" s="42">
        <f t="shared" si="338"/>
        <v>0</v>
      </c>
      <c r="AS345" s="36">
        <f>'1.DATA KIA'!AB329</f>
        <v>0</v>
      </c>
      <c r="AT345" s="33">
        <f t="shared" si="356"/>
        <v>0</v>
      </c>
      <c r="AU345" s="37" t="e">
        <f t="shared" si="352"/>
        <v>#DIV/0!</v>
      </c>
      <c r="AV345" s="40"/>
      <c r="AW345" s="36">
        <f t="shared" si="339"/>
        <v>0</v>
      </c>
      <c r="AX345" s="33">
        <f>'1.DATA KIA'!AF329</f>
        <v>0</v>
      </c>
      <c r="AY345" s="36">
        <f t="shared" si="353"/>
        <v>0</v>
      </c>
      <c r="AZ345" s="37" t="e">
        <f t="shared" si="354"/>
        <v>#DIV/0!</v>
      </c>
      <c r="BA345" s="38"/>
    </row>
    <row r="346" spans="1:53" ht="30" customHeight="1" x14ac:dyDescent="0.35">
      <c r="A346" s="33">
        <v>16</v>
      </c>
      <c r="B346" s="34">
        <f>PETUNJUK!B24</f>
        <v>0</v>
      </c>
      <c r="C346" s="35">
        <f>'1.DATA KIA'!C330</f>
        <v>0</v>
      </c>
      <c r="D346" s="35">
        <f>'1.DATA KIA'!D330</f>
        <v>0</v>
      </c>
      <c r="E346" s="35">
        <f t="shared" si="324"/>
        <v>0</v>
      </c>
      <c r="F346" s="36">
        <f t="shared" si="325"/>
        <v>0</v>
      </c>
      <c r="G346" s="36">
        <f>'1.DATA KIA'!F330</f>
        <v>0</v>
      </c>
      <c r="H346" s="36">
        <f t="shared" si="340"/>
        <v>0</v>
      </c>
      <c r="I346" s="37" t="e">
        <f t="shared" si="326"/>
        <v>#DIV/0!</v>
      </c>
      <c r="J346" s="40"/>
      <c r="K346" s="36">
        <f t="shared" si="327"/>
        <v>0</v>
      </c>
      <c r="L346" s="33">
        <f>'1.DATA KIA'!J330</f>
        <v>0</v>
      </c>
      <c r="M346" s="36">
        <f t="shared" si="341"/>
        <v>0</v>
      </c>
      <c r="N346" s="37" t="e">
        <f t="shared" si="342"/>
        <v>#DIV/0!</v>
      </c>
      <c r="O346" s="40"/>
      <c r="P346" s="36">
        <f t="shared" si="328"/>
        <v>0</v>
      </c>
      <c r="Q346" s="33">
        <f>'1.DATA KIA'!M330</f>
        <v>0</v>
      </c>
      <c r="R346" s="36">
        <f t="shared" si="343"/>
        <v>0</v>
      </c>
      <c r="S346" s="37" t="e">
        <f t="shared" si="344"/>
        <v>#DIV/0!</v>
      </c>
      <c r="T346" s="40"/>
      <c r="U346" s="33">
        <f t="shared" si="329"/>
        <v>0</v>
      </c>
      <c r="V346" s="36">
        <f>'1.DATA KIA'!Y330</f>
        <v>0</v>
      </c>
      <c r="W346" s="33">
        <f t="shared" si="345"/>
        <v>0</v>
      </c>
      <c r="X346" s="37" t="e">
        <f t="shared" si="330"/>
        <v>#DIV/0!</v>
      </c>
      <c r="Y346" s="40"/>
      <c r="Z346" s="33">
        <f t="shared" si="331"/>
        <v>0</v>
      </c>
      <c r="AA346" s="36">
        <f>'1.DATA KIA'!Z330</f>
        <v>0</v>
      </c>
      <c r="AB346" s="33">
        <f t="shared" si="346"/>
        <v>0</v>
      </c>
      <c r="AC346" s="37" t="e">
        <f t="shared" si="332"/>
        <v>#DIV/0!</v>
      </c>
      <c r="AD346" s="40"/>
      <c r="AE346" s="33">
        <f t="shared" si="333"/>
        <v>0</v>
      </c>
      <c r="AF346" s="41">
        <f>'8.ANCTEPADU'!D376+'8.ANCTEPADU'!E376</f>
        <v>0</v>
      </c>
      <c r="AG346" s="33">
        <f t="shared" si="347"/>
        <v>0</v>
      </c>
      <c r="AH346" s="37" t="e">
        <f t="shared" si="334"/>
        <v>#DIV/0!</v>
      </c>
      <c r="AI346" s="33">
        <f t="shared" si="335"/>
        <v>0</v>
      </c>
      <c r="AJ346" s="41">
        <f>'8.ANCTEPADU'!J376</f>
        <v>0</v>
      </c>
      <c r="AK346" s="33">
        <f t="shared" si="348"/>
        <v>0</v>
      </c>
      <c r="AL346" s="37" t="e">
        <f t="shared" si="336"/>
        <v>#DIV/0!</v>
      </c>
      <c r="AM346" s="36">
        <f t="shared" si="337"/>
        <v>0</v>
      </c>
      <c r="AN346" s="36">
        <f>'1.DATA KIA'!AG330</f>
        <v>0</v>
      </c>
      <c r="AO346" s="33">
        <f t="shared" si="355"/>
        <v>0</v>
      </c>
      <c r="AP346" s="37" t="e">
        <f t="shared" si="350"/>
        <v>#DIV/0!</v>
      </c>
      <c r="AQ346" s="40"/>
      <c r="AR346" s="42">
        <f t="shared" si="338"/>
        <v>0</v>
      </c>
      <c r="AS346" s="36">
        <f>'1.DATA KIA'!AB330</f>
        <v>0</v>
      </c>
      <c r="AT346" s="33">
        <f t="shared" si="356"/>
        <v>0</v>
      </c>
      <c r="AU346" s="37" t="e">
        <f t="shared" si="352"/>
        <v>#DIV/0!</v>
      </c>
      <c r="AV346" s="40"/>
      <c r="AW346" s="36">
        <f t="shared" si="339"/>
        <v>0</v>
      </c>
      <c r="AX346" s="33">
        <f>'1.DATA KIA'!AF330</f>
        <v>0</v>
      </c>
      <c r="AY346" s="36">
        <f t="shared" si="353"/>
        <v>0</v>
      </c>
      <c r="AZ346" s="37" t="e">
        <f t="shared" si="354"/>
        <v>#DIV/0!</v>
      </c>
      <c r="BA346" s="38"/>
    </row>
    <row r="347" spans="1:53" ht="30" customHeight="1" x14ac:dyDescent="0.35">
      <c r="A347" s="33">
        <v>17</v>
      </c>
      <c r="B347" s="34">
        <f>PETUNJUK!B25</f>
        <v>0</v>
      </c>
      <c r="C347" s="35">
        <f>'1.DATA KIA'!C331</f>
        <v>0</v>
      </c>
      <c r="D347" s="35">
        <f>'1.DATA KIA'!D331</f>
        <v>0</v>
      </c>
      <c r="E347" s="35">
        <f t="shared" si="324"/>
        <v>0</v>
      </c>
      <c r="F347" s="36">
        <f t="shared" si="325"/>
        <v>0</v>
      </c>
      <c r="G347" s="36">
        <f>'1.DATA KIA'!F331</f>
        <v>0</v>
      </c>
      <c r="H347" s="36">
        <f t="shared" si="340"/>
        <v>0</v>
      </c>
      <c r="I347" s="37" t="e">
        <f t="shared" si="326"/>
        <v>#DIV/0!</v>
      </c>
      <c r="J347" s="40"/>
      <c r="K347" s="36">
        <f t="shared" si="327"/>
        <v>0</v>
      </c>
      <c r="L347" s="33">
        <f>'1.DATA KIA'!J331</f>
        <v>0</v>
      </c>
      <c r="M347" s="36">
        <f t="shared" si="341"/>
        <v>0</v>
      </c>
      <c r="N347" s="37" t="e">
        <f t="shared" si="342"/>
        <v>#DIV/0!</v>
      </c>
      <c r="O347" s="40"/>
      <c r="P347" s="36">
        <f t="shared" si="328"/>
        <v>0</v>
      </c>
      <c r="Q347" s="33">
        <f>'1.DATA KIA'!M331</f>
        <v>0</v>
      </c>
      <c r="R347" s="36">
        <f t="shared" si="343"/>
        <v>0</v>
      </c>
      <c r="S347" s="37" t="e">
        <f t="shared" si="344"/>
        <v>#DIV/0!</v>
      </c>
      <c r="T347" s="40"/>
      <c r="U347" s="33">
        <f t="shared" si="329"/>
        <v>0</v>
      </c>
      <c r="V347" s="36">
        <f>'1.DATA KIA'!Y331</f>
        <v>0</v>
      </c>
      <c r="W347" s="33">
        <f t="shared" si="345"/>
        <v>0</v>
      </c>
      <c r="X347" s="37" t="e">
        <f t="shared" si="330"/>
        <v>#DIV/0!</v>
      </c>
      <c r="Y347" s="40"/>
      <c r="Z347" s="33">
        <f t="shared" si="331"/>
        <v>0</v>
      </c>
      <c r="AA347" s="36">
        <f>'1.DATA KIA'!Z331</f>
        <v>0</v>
      </c>
      <c r="AB347" s="33">
        <f t="shared" si="346"/>
        <v>0</v>
      </c>
      <c r="AC347" s="37" t="e">
        <f t="shared" si="332"/>
        <v>#DIV/0!</v>
      </c>
      <c r="AD347" s="40"/>
      <c r="AE347" s="33">
        <f t="shared" si="333"/>
        <v>0</v>
      </c>
      <c r="AF347" s="41">
        <f>'8.ANCTEPADU'!D377+'8.ANCTEPADU'!E377</f>
        <v>0</v>
      </c>
      <c r="AG347" s="33">
        <f t="shared" si="347"/>
        <v>0</v>
      </c>
      <c r="AH347" s="37" t="e">
        <f t="shared" si="334"/>
        <v>#DIV/0!</v>
      </c>
      <c r="AI347" s="33">
        <f t="shared" si="335"/>
        <v>0</v>
      </c>
      <c r="AJ347" s="41">
        <f>'8.ANCTEPADU'!J377</f>
        <v>0</v>
      </c>
      <c r="AK347" s="33">
        <f t="shared" si="348"/>
        <v>0</v>
      </c>
      <c r="AL347" s="37" t="e">
        <f t="shared" si="336"/>
        <v>#DIV/0!</v>
      </c>
      <c r="AM347" s="36">
        <f t="shared" si="337"/>
        <v>0</v>
      </c>
      <c r="AN347" s="36">
        <f>'1.DATA KIA'!AG331</f>
        <v>0</v>
      </c>
      <c r="AO347" s="33">
        <f t="shared" si="355"/>
        <v>0</v>
      </c>
      <c r="AP347" s="37" t="e">
        <f t="shared" si="350"/>
        <v>#DIV/0!</v>
      </c>
      <c r="AQ347" s="40"/>
      <c r="AR347" s="42">
        <f t="shared" si="338"/>
        <v>0</v>
      </c>
      <c r="AS347" s="36">
        <f>'1.DATA KIA'!AB331</f>
        <v>0</v>
      </c>
      <c r="AT347" s="33">
        <f t="shared" si="356"/>
        <v>0</v>
      </c>
      <c r="AU347" s="37" t="e">
        <f t="shared" si="352"/>
        <v>#DIV/0!</v>
      </c>
      <c r="AV347" s="40"/>
      <c r="AW347" s="36">
        <f t="shared" si="339"/>
        <v>0</v>
      </c>
      <c r="AX347" s="33">
        <f>'1.DATA KIA'!AF331</f>
        <v>0</v>
      </c>
      <c r="AY347" s="36">
        <f t="shared" si="353"/>
        <v>0</v>
      </c>
      <c r="AZ347" s="37" t="e">
        <f t="shared" si="354"/>
        <v>#DIV/0!</v>
      </c>
      <c r="BA347" s="38"/>
    </row>
    <row r="348" spans="1:53" ht="30" customHeight="1" x14ac:dyDescent="0.35">
      <c r="A348" s="33">
        <v>18</v>
      </c>
      <c r="B348" s="34">
        <f>PETUNJUK!B26</f>
        <v>0</v>
      </c>
      <c r="C348" s="35">
        <f>'1.DATA KIA'!C332</f>
        <v>0</v>
      </c>
      <c r="D348" s="35">
        <f>'1.DATA KIA'!D332</f>
        <v>0</v>
      </c>
      <c r="E348" s="35">
        <f t="shared" si="324"/>
        <v>0</v>
      </c>
      <c r="F348" s="36">
        <f t="shared" si="325"/>
        <v>0</v>
      </c>
      <c r="G348" s="36">
        <f>'1.DATA KIA'!F332</f>
        <v>0</v>
      </c>
      <c r="H348" s="36">
        <f t="shared" si="340"/>
        <v>0</v>
      </c>
      <c r="I348" s="37" t="e">
        <f t="shared" si="326"/>
        <v>#DIV/0!</v>
      </c>
      <c r="J348" s="40"/>
      <c r="K348" s="36">
        <f t="shared" si="327"/>
        <v>0</v>
      </c>
      <c r="L348" s="33">
        <f>'1.DATA KIA'!J332</f>
        <v>0</v>
      </c>
      <c r="M348" s="36">
        <f t="shared" si="341"/>
        <v>0</v>
      </c>
      <c r="N348" s="37" t="e">
        <f t="shared" si="342"/>
        <v>#DIV/0!</v>
      </c>
      <c r="O348" s="40"/>
      <c r="P348" s="36">
        <f t="shared" si="328"/>
        <v>0</v>
      </c>
      <c r="Q348" s="33">
        <f>'1.DATA KIA'!M332</f>
        <v>0</v>
      </c>
      <c r="R348" s="36">
        <f t="shared" si="343"/>
        <v>0</v>
      </c>
      <c r="S348" s="37" t="e">
        <f t="shared" si="344"/>
        <v>#DIV/0!</v>
      </c>
      <c r="T348" s="40"/>
      <c r="U348" s="33">
        <f t="shared" si="329"/>
        <v>0</v>
      </c>
      <c r="V348" s="36">
        <f>'1.DATA KIA'!Y332</f>
        <v>0</v>
      </c>
      <c r="W348" s="33">
        <f t="shared" si="345"/>
        <v>0</v>
      </c>
      <c r="X348" s="37" t="e">
        <f t="shared" si="330"/>
        <v>#DIV/0!</v>
      </c>
      <c r="Y348" s="40"/>
      <c r="Z348" s="33">
        <f t="shared" si="331"/>
        <v>0</v>
      </c>
      <c r="AA348" s="36">
        <f>'1.DATA KIA'!Z332</f>
        <v>0</v>
      </c>
      <c r="AB348" s="33">
        <f t="shared" si="346"/>
        <v>0</v>
      </c>
      <c r="AC348" s="37" t="e">
        <f t="shared" si="332"/>
        <v>#DIV/0!</v>
      </c>
      <c r="AD348" s="40"/>
      <c r="AE348" s="33">
        <f t="shared" si="333"/>
        <v>0</v>
      </c>
      <c r="AF348" s="41">
        <f>'8.ANCTEPADU'!D378+'8.ANCTEPADU'!E378</f>
        <v>0</v>
      </c>
      <c r="AG348" s="33">
        <f t="shared" si="347"/>
        <v>0</v>
      </c>
      <c r="AH348" s="37" t="e">
        <f t="shared" si="334"/>
        <v>#DIV/0!</v>
      </c>
      <c r="AI348" s="33">
        <f t="shared" si="335"/>
        <v>0</v>
      </c>
      <c r="AJ348" s="41">
        <f>'8.ANCTEPADU'!J378</f>
        <v>0</v>
      </c>
      <c r="AK348" s="33">
        <f t="shared" si="348"/>
        <v>0</v>
      </c>
      <c r="AL348" s="37" t="e">
        <f t="shared" si="336"/>
        <v>#DIV/0!</v>
      </c>
      <c r="AM348" s="36">
        <f t="shared" si="337"/>
        <v>0</v>
      </c>
      <c r="AN348" s="36">
        <f>'1.DATA KIA'!AG332</f>
        <v>0</v>
      </c>
      <c r="AO348" s="33">
        <f t="shared" si="355"/>
        <v>0</v>
      </c>
      <c r="AP348" s="37" t="e">
        <f t="shared" si="350"/>
        <v>#DIV/0!</v>
      </c>
      <c r="AQ348" s="40"/>
      <c r="AR348" s="42">
        <f t="shared" si="338"/>
        <v>0</v>
      </c>
      <c r="AS348" s="36">
        <f>'1.DATA KIA'!AB332</f>
        <v>0</v>
      </c>
      <c r="AT348" s="33">
        <f t="shared" si="356"/>
        <v>0</v>
      </c>
      <c r="AU348" s="37" t="e">
        <f t="shared" si="352"/>
        <v>#DIV/0!</v>
      </c>
      <c r="AV348" s="40"/>
      <c r="AW348" s="36">
        <f t="shared" si="339"/>
        <v>0</v>
      </c>
      <c r="AX348" s="33">
        <f>'1.DATA KIA'!AF332</f>
        <v>0</v>
      </c>
      <c r="AY348" s="36">
        <f t="shared" si="353"/>
        <v>0</v>
      </c>
      <c r="AZ348" s="37" t="e">
        <f t="shared" si="354"/>
        <v>#DIV/0!</v>
      </c>
      <c r="BA348" s="38"/>
    </row>
    <row r="349" spans="1:53" ht="30" customHeight="1" x14ac:dyDescent="0.35">
      <c r="A349" s="33">
        <v>19</v>
      </c>
      <c r="B349" s="34">
        <f>PETUNJUK!B27</f>
        <v>0</v>
      </c>
      <c r="C349" s="35">
        <f>'1.DATA KIA'!C333</f>
        <v>0</v>
      </c>
      <c r="D349" s="35">
        <f>'1.DATA KIA'!D333</f>
        <v>0</v>
      </c>
      <c r="E349" s="35">
        <f>E313</f>
        <v>0</v>
      </c>
      <c r="F349" s="36">
        <f>H313</f>
        <v>0</v>
      </c>
      <c r="G349" s="36">
        <f>'1.DATA KIA'!F333</f>
        <v>0</v>
      </c>
      <c r="H349" s="36">
        <f>F349+G349</f>
        <v>0</v>
      </c>
      <c r="I349" s="37" t="e">
        <f>H349/C349*100</f>
        <v>#DIV/0!</v>
      </c>
      <c r="J349" s="40"/>
      <c r="K349" s="36">
        <f>M313</f>
        <v>0</v>
      </c>
      <c r="L349" s="33">
        <f>'1.DATA KIA'!J333</f>
        <v>0</v>
      </c>
      <c r="M349" s="36">
        <f>K349+L349</f>
        <v>0</v>
      </c>
      <c r="N349" s="37" t="e">
        <f t="shared" si="342"/>
        <v>#DIV/0!</v>
      </c>
      <c r="O349" s="40"/>
      <c r="P349" s="36">
        <f>R313</f>
        <v>0</v>
      </c>
      <c r="Q349" s="33">
        <f>'1.DATA KIA'!M333</f>
        <v>0</v>
      </c>
      <c r="R349" s="36">
        <f>P349+Q349</f>
        <v>0</v>
      </c>
      <c r="S349" s="37" t="e">
        <f t="shared" si="344"/>
        <v>#DIV/0!</v>
      </c>
      <c r="T349" s="40"/>
      <c r="U349" s="33">
        <f>W313</f>
        <v>0</v>
      </c>
      <c r="V349" s="36">
        <f>'1.DATA KIA'!Y333</f>
        <v>0</v>
      </c>
      <c r="W349" s="33">
        <f>U349+V349</f>
        <v>0</v>
      </c>
      <c r="X349" s="37" t="e">
        <f>W349/(20%*C349)*100</f>
        <v>#DIV/0!</v>
      </c>
      <c r="Y349" s="40"/>
      <c r="Z349" s="33">
        <f>AB313</f>
        <v>0</v>
      </c>
      <c r="AA349" s="36">
        <f>'1.DATA KIA'!Z333</f>
        <v>0</v>
      </c>
      <c r="AB349" s="33">
        <f>Z349+AA349</f>
        <v>0</v>
      </c>
      <c r="AC349" s="37" t="e">
        <f>AB349/(20%*C349)*100</f>
        <v>#DIV/0!</v>
      </c>
      <c r="AD349" s="40"/>
      <c r="AE349" s="33">
        <f t="shared" si="333"/>
        <v>0</v>
      </c>
      <c r="AF349" s="41">
        <f>'8.ANCTEPADU'!D379+'8.ANCTEPADU'!E379</f>
        <v>0</v>
      </c>
      <c r="AG349" s="33">
        <f>AE349+AF349</f>
        <v>0</v>
      </c>
      <c r="AH349" s="37" t="e">
        <f>AG349/C349*100</f>
        <v>#DIV/0!</v>
      </c>
      <c r="AI349" s="33">
        <f t="shared" si="335"/>
        <v>0</v>
      </c>
      <c r="AJ349" s="41">
        <f>'8.ANCTEPADU'!J379</f>
        <v>0</v>
      </c>
      <c r="AK349" s="33">
        <f>AI349+AJ349</f>
        <v>0</v>
      </c>
      <c r="AL349" s="37" t="e">
        <f>AK349/C349*100</f>
        <v>#DIV/0!</v>
      </c>
      <c r="AM349" s="36">
        <f>AO313</f>
        <v>0</v>
      </c>
      <c r="AN349" s="36">
        <f>'1.DATA KIA'!AG333</f>
        <v>0</v>
      </c>
      <c r="AO349" s="33">
        <f>AN349+AM349</f>
        <v>0</v>
      </c>
      <c r="AP349" s="37" t="e">
        <f>AO349/E349*100</f>
        <v>#DIV/0!</v>
      </c>
      <c r="AQ349" s="40"/>
      <c r="AR349" s="42">
        <f>AT313</f>
        <v>0</v>
      </c>
      <c r="AS349" s="36">
        <f>'1.DATA KIA'!AB333</f>
        <v>0</v>
      </c>
      <c r="AT349" s="33">
        <f>AS349+AR349</f>
        <v>0</v>
      </c>
      <c r="AU349" s="37" t="e">
        <f>AT349/D349*100</f>
        <v>#DIV/0!</v>
      </c>
      <c r="AV349" s="40"/>
      <c r="AW349" s="36">
        <f>AY313</f>
        <v>0</v>
      </c>
      <c r="AX349" s="33">
        <f>'1.DATA KIA'!AF333</f>
        <v>0</v>
      </c>
      <c r="AY349" s="36">
        <f>AW349+AX349</f>
        <v>0</v>
      </c>
      <c r="AZ349" s="37" t="e">
        <f>AY349/(20%*C349)*100</f>
        <v>#DIV/0!</v>
      </c>
      <c r="BA349" s="38"/>
    </row>
    <row r="350" spans="1:53" ht="30" customHeight="1" x14ac:dyDescent="0.35">
      <c r="A350" s="33">
        <v>20</v>
      </c>
      <c r="B350" s="34">
        <f>PETUNJUK!B28</f>
        <v>0</v>
      </c>
      <c r="C350" s="35">
        <f>'1.DATA KIA'!C334</f>
        <v>0</v>
      </c>
      <c r="D350" s="35">
        <f>'1.DATA KIA'!D334</f>
        <v>0</v>
      </c>
      <c r="E350" s="35">
        <f>E314</f>
        <v>0</v>
      </c>
      <c r="F350" s="36">
        <f>H314</f>
        <v>0</v>
      </c>
      <c r="G350" s="36">
        <f>'1.DATA KIA'!F334</f>
        <v>0</v>
      </c>
      <c r="H350" s="36">
        <f>F350+G350</f>
        <v>0</v>
      </c>
      <c r="I350" s="37" t="e">
        <f>H350/C350*100</f>
        <v>#DIV/0!</v>
      </c>
      <c r="J350" s="40"/>
      <c r="K350" s="36">
        <f>M314</f>
        <v>0</v>
      </c>
      <c r="L350" s="33">
        <f>'1.DATA KIA'!J334</f>
        <v>0</v>
      </c>
      <c r="M350" s="36">
        <f>K350+L350</f>
        <v>0</v>
      </c>
      <c r="N350" s="37" t="e">
        <f t="shared" si="342"/>
        <v>#DIV/0!</v>
      </c>
      <c r="O350" s="40"/>
      <c r="P350" s="36">
        <f>R314</f>
        <v>0</v>
      </c>
      <c r="Q350" s="33">
        <f>'1.DATA KIA'!M334</f>
        <v>0</v>
      </c>
      <c r="R350" s="36">
        <f>P350+Q350</f>
        <v>0</v>
      </c>
      <c r="S350" s="37" t="e">
        <f t="shared" si="344"/>
        <v>#DIV/0!</v>
      </c>
      <c r="T350" s="40"/>
      <c r="U350" s="33">
        <f>W314</f>
        <v>0</v>
      </c>
      <c r="V350" s="36">
        <f>'1.DATA KIA'!Y334</f>
        <v>0</v>
      </c>
      <c r="W350" s="33">
        <f>U350+V350</f>
        <v>0</v>
      </c>
      <c r="X350" s="37" t="e">
        <f>W350/(20%*C350)*100</f>
        <v>#DIV/0!</v>
      </c>
      <c r="Y350" s="40"/>
      <c r="Z350" s="33">
        <f>AB314</f>
        <v>0</v>
      </c>
      <c r="AA350" s="36">
        <f>'1.DATA KIA'!Z334</f>
        <v>0</v>
      </c>
      <c r="AB350" s="33">
        <f>Z350+AA350</f>
        <v>0</v>
      </c>
      <c r="AC350" s="37" t="e">
        <f>AB350/(20%*C350)*100</f>
        <v>#DIV/0!</v>
      </c>
      <c r="AD350" s="40"/>
      <c r="AE350" s="33">
        <f t="shared" si="333"/>
        <v>0</v>
      </c>
      <c r="AF350" s="41">
        <f>'8.ANCTEPADU'!D380+'8.ANCTEPADU'!E380</f>
        <v>0</v>
      </c>
      <c r="AG350" s="33">
        <f>AE350+AF350</f>
        <v>0</v>
      </c>
      <c r="AH350" s="37" t="e">
        <f>AG350/C350*100</f>
        <v>#DIV/0!</v>
      </c>
      <c r="AI350" s="33">
        <f t="shared" si="335"/>
        <v>0</v>
      </c>
      <c r="AJ350" s="41">
        <f>'8.ANCTEPADU'!J380</f>
        <v>0</v>
      </c>
      <c r="AK350" s="33">
        <f>AI350+AJ350</f>
        <v>0</v>
      </c>
      <c r="AL350" s="37" t="e">
        <f>AK350/C350*100</f>
        <v>#DIV/0!</v>
      </c>
      <c r="AM350" s="36">
        <f>AO314</f>
        <v>0</v>
      </c>
      <c r="AN350" s="36">
        <f>'1.DATA KIA'!AG334</f>
        <v>0</v>
      </c>
      <c r="AO350" s="33">
        <f>AN350+AM350</f>
        <v>0</v>
      </c>
      <c r="AP350" s="37" t="e">
        <f>AO350/E350*100</f>
        <v>#DIV/0!</v>
      </c>
      <c r="AQ350" s="40"/>
      <c r="AR350" s="42">
        <f>AT314</f>
        <v>0</v>
      </c>
      <c r="AS350" s="36">
        <f>'1.DATA KIA'!AB334</f>
        <v>0</v>
      </c>
      <c r="AT350" s="33">
        <f>AS350+AR350</f>
        <v>0</v>
      </c>
      <c r="AU350" s="37" t="e">
        <f>AT350/D350*100</f>
        <v>#DIV/0!</v>
      </c>
      <c r="AV350" s="40"/>
      <c r="AW350" s="36">
        <f>AY314</f>
        <v>0</v>
      </c>
      <c r="AX350" s="33">
        <f>'1.DATA KIA'!AF334</f>
        <v>0</v>
      </c>
      <c r="AY350" s="36">
        <f>AW350+AX350</f>
        <v>0</v>
      </c>
      <c r="AZ350" s="37" t="e">
        <f>AY350/(20%*C350)*100</f>
        <v>#DIV/0!</v>
      </c>
      <c r="BA350" s="38"/>
    </row>
    <row r="351" spans="1:53" ht="30" customHeight="1" x14ac:dyDescent="0.35">
      <c r="A351" s="33">
        <v>21</v>
      </c>
      <c r="B351" s="34">
        <f>PETUNJUK!B29</f>
        <v>0</v>
      </c>
      <c r="C351" s="35">
        <f>'1.DATA KIA'!C335</f>
        <v>0</v>
      </c>
      <c r="D351" s="35">
        <f>'1.DATA KIA'!D335</f>
        <v>0</v>
      </c>
      <c r="E351" s="35">
        <f>E315</f>
        <v>0</v>
      </c>
      <c r="F351" s="36">
        <f>H315</f>
        <v>0</v>
      </c>
      <c r="G351" s="36">
        <f>'1.DATA KIA'!F335</f>
        <v>0</v>
      </c>
      <c r="H351" s="36">
        <f>F351+G351</f>
        <v>0</v>
      </c>
      <c r="I351" s="37" t="e">
        <f>H351/C351*100</f>
        <v>#DIV/0!</v>
      </c>
      <c r="J351" s="40"/>
      <c r="K351" s="36">
        <f>M315</f>
        <v>0</v>
      </c>
      <c r="L351" s="33">
        <f>'1.DATA KIA'!J335</f>
        <v>0</v>
      </c>
      <c r="M351" s="36">
        <f>K351+L351</f>
        <v>0</v>
      </c>
      <c r="N351" s="37" t="e">
        <f t="shared" si="342"/>
        <v>#DIV/0!</v>
      </c>
      <c r="O351" s="40"/>
      <c r="P351" s="36">
        <f>R315</f>
        <v>0</v>
      </c>
      <c r="Q351" s="33">
        <f>'1.DATA KIA'!M335</f>
        <v>0</v>
      </c>
      <c r="R351" s="36">
        <f>P351+Q351</f>
        <v>0</v>
      </c>
      <c r="S351" s="37" t="e">
        <f t="shared" si="344"/>
        <v>#DIV/0!</v>
      </c>
      <c r="T351" s="40"/>
      <c r="U351" s="33">
        <f>W315</f>
        <v>0</v>
      </c>
      <c r="V351" s="36">
        <f>'1.DATA KIA'!Y335</f>
        <v>0</v>
      </c>
      <c r="W351" s="33">
        <f>U351+V351</f>
        <v>0</v>
      </c>
      <c r="X351" s="37" t="e">
        <f>W351/(20%*C351)*100</f>
        <v>#DIV/0!</v>
      </c>
      <c r="Y351" s="40"/>
      <c r="Z351" s="33">
        <f>AB315</f>
        <v>0</v>
      </c>
      <c r="AA351" s="36">
        <f>'1.DATA KIA'!Z335</f>
        <v>0</v>
      </c>
      <c r="AB351" s="33">
        <f>Z351+AA351</f>
        <v>0</v>
      </c>
      <c r="AC351" s="37" t="e">
        <f>AB351/(20%*C351)*100</f>
        <v>#DIV/0!</v>
      </c>
      <c r="AD351" s="40"/>
      <c r="AE351" s="33">
        <f t="shared" si="333"/>
        <v>0</v>
      </c>
      <c r="AF351" s="41">
        <f>'8.ANCTEPADU'!D381+'8.ANCTEPADU'!E381</f>
        <v>0</v>
      </c>
      <c r="AG351" s="33">
        <f>AE351+AF351</f>
        <v>0</v>
      </c>
      <c r="AH351" s="37" t="e">
        <f>AG351/C351*100</f>
        <v>#DIV/0!</v>
      </c>
      <c r="AI351" s="33">
        <f t="shared" si="335"/>
        <v>0</v>
      </c>
      <c r="AJ351" s="41">
        <f>'8.ANCTEPADU'!J381</f>
        <v>0</v>
      </c>
      <c r="AK351" s="33">
        <f>AI351+AJ351</f>
        <v>0</v>
      </c>
      <c r="AL351" s="37" t="e">
        <f>AK351/C351*100</f>
        <v>#DIV/0!</v>
      </c>
      <c r="AM351" s="36">
        <f>AO315</f>
        <v>0</v>
      </c>
      <c r="AN351" s="36">
        <f>'1.DATA KIA'!AG335</f>
        <v>0</v>
      </c>
      <c r="AO351" s="33">
        <f>AN351+AM351</f>
        <v>0</v>
      </c>
      <c r="AP351" s="37" t="e">
        <f>AO351/E351*100</f>
        <v>#DIV/0!</v>
      </c>
      <c r="AQ351" s="40"/>
      <c r="AR351" s="42">
        <f>AT315</f>
        <v>0</v>
      </c>
      <c r="AS351" s="36">
        <f>'1.DATA KIA'!AB335</f>
        <v>0</v>
      </c>
      <c r="AT351" s="33">
        <f>AS351+AR351</f>
        <v>0</v>
      </c>
      <c r="AU351" s="37" t="e">
        <f>AT351/D351*100</f>
        <v>#DIV/0!</v>
      </c>
      <c r="AV351" s="40"/>
      <c r="AW351" s="36">
        <f>AY315</f>
        <v>0</v>
      </c>
      <c r="AX351" s="33">
        <f>'1.DATA KIA'!AF335</f>
        <v>0</v>
      </c>
      <c r="AY351" s="36">
        <f>AW351+AX351</f>
        <v>0</v>
      </c>
      <c r="AZ351" s="37" t="e">
        <f>AY351/(20%*C351)*100</f>
        <v>#DIV/0!</v>
      </c>
      <c r="BA351" s="38"/>
    </row>
    <row r="352" spans="1:53" ht="30" customHeight="1" thickBot="1" x14ac:dyDescent="0.4">
      <c r="A352" s="46">
        <v>22</v>
      </c>
      <c r="B352" s="47">
        <f>PETUNJUK!B30</f>
        <v>0</v>
      </c>
      <c r="C352" s="48">
        <f>'1.DATA KIA'!C336</f>
        <v>0</v>
      </c>
      <c r="D352" s="48">
        <f>'1.DATA KIA'!D336</f>
        <v>0</v>
      </c>
      <c r="E352" s="48">
        <f>E316</f>
        <v>0</v>
      </c>
      <c r="F352" s="49">
        <f>H316</f>
        <v>0</v>
      </c>
      <c r="G352" s="49">
        <f>'1.DATA KIA'!F336</f>
        <v>0</v>
      </c>
      <c r="H352" s="49">
        <f>F352+G352</f>
        <v>0</v>
      </c>
      <c r="I352" s="50" t="e">
        <f>H352/C352*100</f>
        <v>#DIV/0!</v>
      </c>
      <c r="J352" s="53"/>
      <c r="K352" s="49">
        <f>M316</f>
        <v>0</v>
      </c>
      <c r="L352" s="46">
        <f>'1.DATA KIA'!J336</f>
        <v>0</v>
      </c>
      <c r="M352" s="49">
        <f>K352+L352</f>
        <v>0</v>
      </c>
      <c r="N352" s="37" t="e">
        <f t="shared" si="342"/>
        <v>#DIV/0!</v>
      </c>
      <c r="O352" s="53"/>
      <c r="P352" s="49">
        <f>R316</f>
        <v>0</v>
      </c>
      <c r="Q352" s="33">
        <f>'1.DATA KIA'!M336</f>
        <v>0</v>
      </c>
      <c r="R352" s="49">
        <f>P352+Q352</f>
        <v>0</v>
      </c>
      <c r="S352" s="37" t="e">
        <f t="shared" si="344"/>
        <v>#DIV/0!</v>
      </c>
      <c r="T352" s="53"/>
      <c r="U352" s="46">
        <f>W316</f>
        <v>0</v>
      </c>
      <c r="V352" s="49">
        <f>'1.DATA KIA'!Y336</f>
        <v>0</v>
      </c>
      <c r="W352" s="46">
        <f>U352+V352</f>
        <v>0</v>
      </c>
      <c r="X352" s="50" t="e">
        <f>W352/(20%*C352)*100</f>
        <v>#DIV/0!</v>
      </c>
      <c r="Y352" s="53"/>
      <c r="Z352" s="46">
        <f>AB316</f>
        <v>0</v>
      </c>
      <c r="AA352" s="49">
        <f>'1.DATA KIA'!Z336</f>
        <v>0</v>
      </c>
      <c r="AB352" s="46">
        <f>Z352+AA352</f>
        <v>0</v>
      </c>
      <c r="AC352" s="50" t="e">
        <f>AB352/(20%*C352)*100</f>
        <v>#DIV/0!</v>
      </c>
      <c r="AD352" s="53"/>
      <c r="AE352" s="33">
        <f t="shared" si="333"/>
        <v>0</v>
      </c>
      <c r="AF352" s="41">
        <f>'8.ANCTEPADU'!D382+'8.ANCTEPADU'!E382</f>
        <v>0</v>
      </c>
      <c r="AG352" s="46">
        <f>AE352+AF352</f>
        <v>0</v>
      </c>
      <c r="AH352" s="50" t="e">
        <f>AG352/C352*100</f>
        <v>#DIV/0!</v>
      </c>
      <c r="AI352" s="33">
        <f t="shared" si="335"/>
        <v>0</v>
      </c>
      <c r="AJ352" s="41">
        <f>'8.ANCTEPADU'!J382</f>
        <v>0</v>
      </c>
      <c r="AK352" s="46">
        <f>AI352+AJ352</f>
        <v>0</v>
      </c>
      <c r="AL352" s="50" t="e">
        <f>AK352/C352*100</f>
        <v>#DIV/0!</v>
      </c>
      <c r="AM352" s="49">
        <f>AO316</f>
        <v>0</v>
      </c>
      <c r="AN352" s="49">
        <f>'1.DATA KIA'!AG336</f>
        <v>0</v>
      </c>
      <c r="AO352" s="46">
        <f>AN352+AM352</f>
        <v>0</v>
      </c>
      <c r="AP352" s="50" t="e">
        <f>AO352/E352*100</f>
        <v>#DIV/0!</v>
      </c>
      <c r="AQ352" s="53"/>
      <c r="AR352" s="55">
        <f>AT316</f>
        <v>0</v>
      </c>
      <c r="AS352" s="49">
        <f>'1.DATA KIA'!AB336</f>
        <v>0</v>
      </c>
      <c r="AT352" s="46">
        <f>AS352+AR352</f>
        <v>0</v>
      </c>
      <c r="AU352" s="50" t="e">
        <f>AT352/D352*100</f>
        <v>#DIV/0!</v>
      </c>
      <c r="AV352" s="53"/>
      <c r="AW352" s="49">
        <f>AY316</f>
        <v>0</v>
      </c>
      <c r="AX352" s="46">
        <f>'1.DATA KIA'!AF336</f>
        <v>0</v>
      </c>
      <c r="AY352" s="49">
        <f>AW352+AX352</f>
        <v>0</v>
      </c>
      <c r="AZ352" s="50" t="e">
        <f>AY352/(20%*C352)*100</f>
        <v>#DIV/0!</v>
      </c>
      <c r="BA352" s="51"/>
    </row>
    <row r="353" spans="1:54" ht="30" customHeight="1" thickBot="1" x14ac:dyDescent="0.4">
      <c r="A353" s="354"/>
      <c r="B353" s="355" t="s">
        <v>18</v>
      </c>
      <c r="C353" s="347">
        <f>SUM(C331:C352)</f>
        <v>1067</v>
      </c>
      <c r="D353" s="347">
        <f t="shared" ref="D353:AY353" si="357">SUM(D331:D352)</f>
        <v>1018.5</v>
      </c>
      <c r="E353" s="347">
        <f t="shared" si="357"/>
        <v>0</v>
      </c>
      <c r="F353" s="347">
        <f t="shared" si="357"/>
        <v>374</v>
      </c>
      <c r="G353" s="347">
        <f t="shared" si="357"/>
        <v>0</v>
      </c>
      <c r="H353" s="347">
        <f t="shared" si="357"/>
        <v>374</v>
      </c>
      <c r="I353" s="357">
        <f>H353/C353*100</f>
        <v>35.051546391752574</v>
      </c>
      <c r="J353" s="347">
        <f t="shared" si="357"/>
        <v>0</v>
      </c>
      <c r="K353" s="347">
        <f t="shared" si="357"/>
        <v>283</v>
      </c>
      <c r="L353" s="347">
        <f t="shared" si="357"/>
        <v>0</v>
      </c>
      <c r="M353" s="347">
        <f t="shared" si="357"/>
        <v>283</v>
      </c>
      <c r="N353" s="357">
        <f>M353/D353*100</f>
        <v>27.785959744722632</v>
      </c>
      <c r="O353" s="347">
        <f t="shared" si="357"/>
        <v>0</v>
      </c>
      <c r="P353" s="347">
        <f t="shared" ref="P353:R353" si="358">SUM(P331:P352)</f>
        <v>309</v>
      </c>
      <c r="Q353" s="347">
        <f t="shared" si="358"/>
        <v>0</v>
      </c>
      <c r="R353" s="347">
        <f t="shared" si="358"/>
        <v>309</v>
      </c>
      <c r="S353" s="357">
        <f>R353/D353*100</f>
        <v>30.338733431516935</v>
      </c>
      <c r="T353" s="347">
        <f t="shared" ref="T353" si="359">SUM(T331:T352)</f>
        <v>0</v>
      </c>
      <c r="U353" s="347">
        <f t="shared" si="357"/>
        <v>92</v>
      </c>
      <c r="V353" s="347">
        <f t="shared" si="357"/>
        <v>0</v>
      </c>
      <c r="W353" s="347">
        <f t="shared" si="357"/>
        <v>92</v>
      </c>
      <c r="X353" s="357">
        <f>W353/(20%*C353)*100</f>
        <v>43.111527647610117</v>
      </c>
      <c r="Y353" s="347">
        <f t="shared" si="357"/>
        <v>0</v>
      </c>
      <c r="Z353" s="347">
        <f t="shared" si="357"/>
        <v>47</v>
      </c>
      <c r="AA353" s="347">
        <f t="shared" si="357"/>
        <v>0</v>
      </c>
      <c r="AB353" s="347">
        <f t="shared" si="357"/>
        <v>47</v>
      </c>
      <c r="AC353" s="357">
        <f>AB353/(20%*C353)*100</f>
        <v>22.024367385192125</v>
      </c>
      <c r="AD353" s="347">
        <f t="shared" si="357"/>
        <v>0</v>
      </c>
      <c r="AE353" s="347">
        <f t="shared" si="357"/>
        <v>32</v>
      </c>
      <c r="AF353" s="347">
        <f t="shared" si="357"/>
        <v>0</v>
      </c>
      <c r="AG353" s="347">
        <f t="shared" si="357"/>
        <v>32</v>
      </c>
      <c r="AH353" s="357">
        <f>AG353/C353*100</f>
        <v>2.999062792877226</v>
      </c>
      <c r="AI353" s="347">
        <f t="shared" si="357"/>
        <v>42</v>
      </c>
      <c r="AJ353" s="347">
        <f t="shared" si="357"/>
        <v>0</v>
      </c>
      <c r="AK353" s="347">
        <f t="shared" si="357"/>
        <v>42</v>
      </c>
      <c r="AL353" s="357">
        <f>AK353/C353*100</f>
        <v>3.936269915651359</v>
      </c>
      <c r="AM353" s="347">
        <f t="shared" si="357"/>
        <v>298</v>
      </c>
      <c r="AN353" s="347">
        <f t="shared" si="357"/>
        <v>0</v>
      </c>
      <c r="AO353" s="347">
        <f t="shared" si="357"/>
        <v>298</v>
      </c>
      <c r="AP353" s="357" t="e">
        <f>AO353/E353*100</f>
        <v>#DIV/0!</v>
      </c>
      <c r="AQ353" s="347">
        <f t="shared" si="357"/>
        <v>0</v>
      </c>
      <c r="AR353" s="347">
        <f t="shared" si="357"/>
        <v>298</v>
      </c>
      <c r="AS353" s="347">
        <f t="shared" si="357"/>
        <v>0</v>
      </c>
      <c r="AT353" s="347">
        <f t="shared" si="357"/>
        <v>298</v>
      </c>
      <c r="AU353" s="357">
        <f>AT353/D353*100</f>
        <v>29.258713794796272</v>
      </c>
      <c r="AV353" s="347">
        <f t="shared" si="357"/>
        <v>0</v>
      </c>
      <c r="AW353" s="347">
        <f t="shared" si="357"/>
        <v>69</v>
      </c>
      <c r="AX353" s="347">
        <f t="shared" si="357"/>
        <v>0</v>
      </c>
      <c r="AY353" s="347">
        <f t="shared" si="357"/>
        <v>69</v>
      </c>
      <c r="AZ353" s="357">
        <f>AY353/(20%*C353)*100</f>
        <v>32.333645735707591</v>
      </c>
      <c r="BA353" s="361"/>
    </row>
    <row r="359" spans="1:54" x14ac:dyDescent="0.35">
      <c r="A359" s="770" t="s">
        <v>19</v>
      </c>
      <c r="B359" s="770"/>
      <c r="C359" s="770"/>
      <c r="D359" s="770"/>
      <c r="E359" s="770"/>
      <c r="F359" s="770"/>
      <c r="G359" s="770"/>
      <c r="H359" s="770"/>
      <c r="I359" s="770"/>
      <c r="J359" s="770"/>
      <c r="K359" s="770"/>
      <c r="L359" s="770"/>
      <c r="M359" s="770"/>
      <c r="N359" s="770"/>
      <c r="O359" s="770"/>
      <c r="P359" s="770"/>
      <c r="Q359" s="770"/>
      <c r="R359" s="770"/>
      <c r="S359" s="770"/>
      <c r="T359" s="770"/>
      <c r="U359" s="770"/>
      <c r="V359" s="770"/>
      <c r="W359" s="770"/>
      <c r="X359" s="770"/>
      <c r="Y359" s="770"/>
      <c r="Z359" s="770"/>
      <c r="AA359" s="770"/>
      <c r="AB359" s="770"/>
      <c r="AC359" s="770"/>
      <c r="AD359" s="770"/>
      <c r="AE359" s="770"/>
      <c r="AF359" s="770"/>
      <c r="AG359" s="770"/>
      <c r="AH359" s="770"/>
      <c r="AI359" s="770"/>
      <c r="AJ359" s="770"/>
      <c r="AK359" s="770"/>
      <c r="AL359" s="770"/>
      <c r="AM359" s="770"/>
      <c r="AN359" s="770"/>
      <c r="AO359" s="770"/>
      <c r="AP359" s="770"/>
      <c r="AQ359" s="770"/>
      <c r="AR359" s="770"/>
      <c r="AS359" s="770"/>
      <c r="AT359" s="770"/>
      <c r="AU359" s="770"/>
      <c r="AV359" s="770"/>
      <c r="AW359" s="770"/>
      <c r="AX359" s="770"/>
      <c r="AY359" s="770"/>
      <c r="AZ359" s="770"/>
      <c r="BA359" s="770"/>
    </row>
    <row r="360" spans="1:54" ht="20.149999999999999" customHeight="1" x14ac:dyDescent="0.35">
      <c r="A360" s="31"/>
      <c r="B360" s="31" t="s">
        <v>175</v>
      </c>
      <c r="C360" s="345" t="str">
        <f>PETUNJUK!C5</f>
        <v>PECANGAAN</v>
      </c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</row>
    <row r="361" spans="1:54" ht="20.149999999999999" customHeight="1" x14ac:dyDescent="0.35">
      <c r="A361" s="30"/>
      <c r="B361" s="31" t="s">
        <v>170</v>
      </c>
      <c r="C361" s="32" t="str">
        <f>'1.DATA KIA'!C344</f>
        <v xml:space="preserve">NOPEMBER </v>
      </c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</row>
    <row r="362" spans="1:54" x14ac:dyDescent="0.35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</row>
    <row r="363" spans="1:54" s="14" customFormat="1" ht="21.75" customHeight="1" x14ac:dyDescent="0.35">
      <c r="A363" s="774" t="s">
        <v>1</v>
      </c>
      <c r="B363" s="774" t="s">
        <v>2</v>
      </c>
      <c r="C363" s="777" t="s">
        <v>20</v>
      </c>
      <c r="D363" s="778"/>
      <c r="E363" s="778"/>
      <c r="F363" s="777" t="s">
        <v>21</v>
      </c>
      <c r="G363" s="778"/>
      <c r="H363" s="778"/>
      <c r="I363" s="778"/>
      <c r="J363" s="791"/>
      <c r="K363" s="777" t="s">
        <v>9</v>
      </c>
      <c r="L363" s="778"/>
      <c r="M363" s="778"/>
      <c r="N363" s="778"/>
      <c r="O363" s="791"/>
      <c r="P363" s="777" t="s">
        <v>289</v>
      </c>
      <c r="Q363" s="778"/>
      <c r="R363" s="778"/>
      <c r="S363" s="778"/>
      <c r="T363" s="791"/>
      <c r="U363" s="771" t="s">
        <v>22</v>
      </c>
      <c r="V363" s="772"/>
      <c r="W363" s="772"/>
      <c r="X363" s="772"/>
      <c r="Y363" s="772"/>
      <c r="Z363" s="772"/>
      <c r="AA363" s="772"/>
      <c r="AB363" s="772"/>
      <c r="AC363" s="772"/>
      <c r="AD363" s="773"/>
      <c r="AE363" s="771" t="s">
        <v>5</v>
      </c>
      <c r="AF363" s="772"/>
      <c r="AG363" s="772"/>
      <c r="AH363" s="772"/>
      <c r="AI363" s="772"/>
      <c r="AJ363" s="772"/>
      <c r="AK363" s="772"/>
      <c r="AL363" s="773"/>
      <c r="AM363" s="771" t="s">
        <v>23</v>
      </c>
      <c r="AN363" s="772"/>
      <c r="AO363" s="772"/>
      <c r="AP363" s="772"/>
      <c r="AQ363" s="773"/>
      <c r="AR363" s="779" t="s">
        <v>24</v>
      </c>
      <c r="AS363" s="780"/>
      <c r="AT363" s="780"/>
      <c r="AU363" s="780"/>
      <c r="AV363" s="781"/>
      <c r="AW363" s="779" t="s">
        <v>241</v>
      </c>
      <c r="AX363" s="780"/>
      <c r="AY363" s="780"/>
      <c r="AZ363" s="780"/>
      <c r="BA363" s="781"/>
      <c r="BB363" s="348"/>
    </row>
    <row r="364" spans="1:54" s="14" customFormat="1" ht="19.5" customHeight="1" x14ac:dyDescent="0.35">
      <c r="A364" s="775"/>
      <c r="B364" s="775"/>
      <c r="C364" s="767" t="s">
        <v>5</v>
      </c>
      <c r="D364" s="767" t="s">
        <v>6</v>
      </c>
      <c r="E364" s="767" t="s">
        <v>7</v>
      </c>
      <c r="F364" s="767" t="s">
        <v>26</v>
      </c>
      <c r="G364" s="767" t="s">
        <v>27</v>
      </c>
      <c r="H364" s="771" t="s">
        <v>28</v>
      </c>
      <c r="I364" s="773"/>
      <c r="J364" s="785" t="s">
        <v>29</v>
      </c>
      <c r="K364" s="785" t="s">
        <v>26</v>
      </c>
      <c r="L364" s="785" t="s">
        <v>27</v>
      </c>
      <c r="M364" s="771" t="s">
        <v>28</v>
      </c>
      <c r="N364" s="773"/>
      <c r="O364" s="785" t="s">
        <v>29</v>
      </c>
      <c r="P364" s="785" t="s">
        <v>26</v>
      </c>
      <c r="Q364" s="785" t="s">
        <v>27</v>
      </c>
      <c r="R364" s="771" t="s">
        <v>28</v>
      </c>
      <c r="S364" s="773"/>
      <c r="T364" s="785" t="s">
        <v>29</v>
      </c>
      <c r="U364" s="771" t="s">
        <v>30</v>
      </c>
      <c r="V364" s="772"/>
      <c r="W364" s="772"/>
      <c r="X364" s="772"/>
      <c r="Y364" s="773"/>
      <c r="Z364" s="771" t="s">
        <v>31</v>
      </c>
      <c r="AA364" s="772"/>
      <c r="AB364" s="772"/>
      <c r="AC364" s="772"/>
      <c r="AD364" s="773"/>
      <c r="AE364" s="771" t="s">
        <v>32</v>
      </c>
      <c r="AF364" s="772"/>
      <c r="AG364" s="772"/>
      <c r="AH364" s="773"/>
      <c r="AI364" s="771" t="s">
        <v>33</v>
      </c>
      <c r="AJ364" s="772"/>
      <c r="AK364" s="772"/>
      <c r="AL364" s="773"/>
      <c r="AM364" s="785" t="s">
        <v>34</v>
      </c>
      <c r="AN364" s="785" t="s">
        <v>35</v>
      </c>
      <c r="AO364" s="788" t="s">
        <v>36</v>
      </c>
      <c r="AP364" s="782" t="s">
        <v>37</v>
      </c>
      <c r="AQ364" s="785" t="s">
        <v>29</v>
      </c>
      <c r="AR364" s="785" t="s">
        <v>34</v>
      </c>
      <c r="AS364" s="785" t="s">
        <v>35</v>
      </c>
      <c r="AT364" s="788" t="s">
        <v>36</v>
      </c>
      <c r="AU364" s="782" t="s">
        <v>37</v>
      </c>
      <c r="AV364" s="785" t="s">
        <v>29</v>
      </c>
      <c r="AW364" s="785" t="s">
        <v>34</v>
      </c>
      <c r="AX364" s="785" t="s">
        <v>35</v>
      </c>
      <c r="AY364" s="788" t="s">
        <v>36</v>
      </c>
      <c r="AZ364" s="782" t="s">
        <v>37</v>
      </c>
      <c r="BA364" s="785" t="s">
        <v>29</v>
      </c>
      <c r="BB364" s="348"/>
    </row>
    <row r="365" spans="1:54" s="14" customFormat="1" ht="18" customHeight="1" x14ac:dyDescent="0.35">
      <c r="A365" s="775"/>
      <c r="B365" s="775"/>
      <c r="C365" s="768"/>
      <c r="D365" s="768"/>
      <c r="E365" s="768"/>
      <c r="F365" s="768"/>
      <c r="G365" s="768"/>
      <c r="H365" s="785" t="s">
        <v>36</v>
      </c>
      <c r="I365" s="782" t="s">
        <v>37</v>
      </c>
      <c r="J365" s="786"/>
      <c r="K365" s="786"/>
      <c r="L365" s="786"/>
      <c r="M365" s="785" t="s">
        <v>36</v>
      </c>
      <c r="N365" s="785" t="s">
        <v>37</v>
      </c>
      <c r="O365" s="786"/>
      <c r="P365" s="786"/>
      <c r="Q365" s="786"/>
      <c r="R365" s="785" t="s">
        <v>36</v>
      </c>
      <c r="S365" s="785" t="s">
        <v>37</v>
      </c>
      <c r="T365" s="786"/>
      <c r="U365" s="785" t="s">
        <v>26</v>
      </c>
      <c r="V365" s="785" t="s">
        <v>27</v>
      </c>
      <c r="W365" s="779" t="s">
        <v>28</v>
      </c>
      <c r="X365" s="781"/>
      <c r="Y365" s="785" t="s">
        <v>29</v>
      </c>
      <c r="Z365" s="785" t="s">
        <v>26</v>
      </c>
      <c r="AA365" s="785" t="s">
        <v>27</v>
      </c>
      <c r="AB365" s="779" t="s">
        <v>28</v>
      </c>
      <c r="AC365" s="781"/>
      <c r="AD365" s="785" t="s">
        <v>29</v>
      </c>
      <c r="AE365" s="771" t="s">
        <v>38</v>
      </c>
      <c r="AF365" s="772"/>
      <c r="AG365" s="772"/>
      <c r="AH365" s="773"/>
      <c r="AI365" s="771" t="s">
        <v>39</v>
      </c>
      <c r="AJ365" s="772"/>
      <c r="AK365" s="772"/>
      <c r="AL365" s="773"/>
      <c r="AM365" s="786"/>
      <c r="AN365" s="786"/>
      <c r="AO365" s="789"/>
      <c r="AP365" s="783"/>
      <c r="AQ365" s="786"/>
      <c r="AR365" s="786"/>
      <c r="AS365" s="786"/>
      <c r="AT365" s="789"/>
      <c r="AU365" s="783"/>
      <c r="AV365" s="786"/>
      <c r="AW365" s="786"/>
      <c r="AX365" s="786"/>
      <c r="AY365" s="789"/>
      <c r="AZ365" s="783"/>
      <c r="BA365" s="786"/>
      <c r="BB365" s="348"/>
    </row>
    <row r="366" spans="1:54" s="14" customFormat="1" ht="52.5" customHeight="1" x14ac:dyDescent="0.35">
      <c r="A366" s="776"/>
      <c r="B366" s="776"/>
      <c r="C366" s="769"/>
      <c r="D366" s="769"/>
      <c r="E366" s="769"/>
      <c r="F366" s="769"/>
      <c r="G366" s="769"/>
      <c r="H366" s="787"/>
      <c r="I366" s="784"/>
      <c r="J366" s="787"/>
      <c r="K366" s="787"/>
      <c r="L366" s="787"/>
      <c r="M366" s="787"/>
      <c r="N366" s="787"/>
      <c r="O366" s="787"/>
      <c r="P366" s="787"/>
      <c r="Q366" s="787"/>
      <c r="R366" s="787"/>
      <c r="S366" s="787"/>
      <c r="T366" s="787"/>
      <c r="U366" s="787"/>
      <c r="V366" s="787"/>
      <c r="W366" s="352" t="s">
        <v>36</v>
      </c>
      <c r="X366" s="353" t="s">
        <v>37</v>
      </c>
      <c r="Y366" s="787"/>
      <c r="Z366" s="787"/>
      <c r="AA366" s="787"/>
      <c r="AB366" s="352" t="s">
        <v>36</v>
      </c>
      <c r="AC366" s="353" t="s">
        <v>37</v>
      </c>
      <c r="AD366" s="787"/>
      <c r="AE366" s="352" t="s">
        <v>26</v>
      </c>
      <c r="AF366" s="352" t="s">
        <v>27</v>
      </c>
      <c r="AG366" s="352" t="s">
        <v>36</v>
      </c>
      <c r="AH366" s="353" t="s">
        <v>37</v>
      </c>
      <c r="AI366" s="352" t="s">
        <v>26</v>
      </c>
      <c r="AJ366" s="352" t="s">
        <v>27</v>
      </c>
      <c r="AK366" s="352" t="s">
        <v>36</v>
      </c>
      <c r="AL366" s="353" t="s">
        <v>37</v>
      </c>
      <c r="AM366" s="787"/>
      <c r="AN366" s="787"/>
      <c r="AO366" s="790"/>
      <c r="AP366" s="784"/>
      <c r="AQ366" s="787"/>
      <c r="AR366" s="787"/>
      <c r="AS366" s="787"/>
      <c r="AT366" s="790"/>
      <c r="AU366" s="784"/>
      <c r="AV366" s="787"/>
      <c r="AW366" s="787"/>
      <c r="AX366" s="787"/>
      <c r="AY366" s="790"/>
      <c r="AZ366" s="784"/>
      <c r="BA366" s="787"/>
      <c r="BB366" s="348"/>
    </row>
    <row r="367" spans="1:54" ht="30" customHeight="1" x14ac:dyDescent="0.35">
      <c r="A367" s="33">
        <v>1</v>
      </c>
      <c r="B367" s="34" t="str">
        <f>PETUNJUK!B9</f>
        <v>Pecangaan Kulon</v>
      </c>
      <c r="C367" s="35">
        <f>'1.DATA KIA'!C349</f>
        <v>101.2</v>
      </c>
      <c r="D367" s="35">
        <f>'1.DATA KIA'!D349</f>
        <v>96.600000000000009</v>
      </c>
      <c r="E367" s="35">
        <f t="shared" ref="E367:E384" si="360">E331</f>
        <v>0</v>
      </c>
      <c r="F367" s="36">
        <f t="shared" ref="F367:F384" si="361">H331</f>
        <v>30</v>
      </c>
      <c r="G367" s="36">
        <f>'1.DATA KIA'!F349</f>
        <v>0</v>
      </c>
      <c r="H367" s="36">
        <f>F367+G367</f>
        <v>30</v>
      </c>
      <c r="I367" s="37">
        <f t="shared" ref="I367:I382" si="362">H367/C367*100</f>
        <v>29.644268774703558</v>
      </c>
      <c r="J367" s="40"/>
      <c r="K367" s="36">
        <f t="shared" ref="K367:K384" si="363">M331</f>
        <v>28</v>
      </c>
      <c r="L367" s="33">
        <f>'1.DATA KIA'!J349</f>
        <v>0</v>
      </c>
      <c r="M367" s="36">
        <f>K367+L367</f>
        <v>28</v>
      </c>
      <c r="N367" s="37">
        <f>M367/D367*100</f>
        <v>28.985507246376805</v>
      </c>
      <c r="O367" s="40"/>
      <c r="P367" s="36">
        <f t="shared" ref="P367:P384" si="364">R331</f>
        <v>29</v>
      </c>
      <c r="Q367" s="33">
        <f>'1.DATA KIA'!M349</f>
        <v>0</v>
      </c>
      <c r="R367" s="36">
        <f>P367+Q367</f>
        <v>29</v>
      </c>
      <c r="S367" s="37">
        <f>R367/D367*100</f>
        <v>30.020703933747413</v>
      </c>
      <c r="T367" s="40"/>
      <c r="U367" s="33">
        <f t="shared" ref="U367:U384" si="365">W331</f>
        <v>10</v>
      </c>
      <c r="V367" s="36">
        <f>'1.DATA KIA'!Y349</f>
        <v>0</v>
      </c>
      <c r="W367" s="33">
        <f>U367+V367</f>
        <v>10</v>
      </c>
      <c r="X367" s="37">
        <f t="shared" ref="X367:X382" si="366">W367/(20%*C367)*100</f>
        <v>49.40711462450593</v>
      </c>
      <c r="Y367" s="40"/>
      <c r="Z367" s="33">
        <f t="shared" ref="Z367:Z384" si="367">AB331</f>
        <v>6</v>
      </c>
      <c r="AA367" s="36">
        <f>'1.DATA KIA'!Z349</f>
        <v>0</v>
      </c>
      <c r="AB367" s="33">
        <f>Z367+AA367</f>
        <v>6</v>
      </c>
      <c r="AC367" s="37">
        <f t="shared" ref="AC367:AC382" si="368">AB367/(20%*C367)*100</f>
        <v>29.644268774703551</v>
      </c>
      <c r="AD367" s="40"/>
      <c r="AE367" s="33">
        <f t="shared" ref="AE367:AE384" si="369">AG331</f>
        <v>3</v>
      </c>
      <c r="AF367" s="41">
        <f>'8.ANCTEPADU'!D396+'8.ANCTEPADU'!E396</f>
        <v>0</v>
      </c>
      <c r="AG367" s="33">
        <f>AE367+AF367</f>
        <v>3</v>
      </c>
      <c r="AH367" s="37">
        <f t="shared" ref="AH367:AH382" si="370">AG367/C367*100</f>
        <v>2.9644268774703555</v>
      </c>
      <c r="AI367" s="33">
        <f t="shared" ref="AI367:AI384" si="371">AK331</f>
        <v>1</v>
      </c>
      <c r="AJ367" s="41">
        <f>'8.ANCTEPADU'!J396</f>
        <v>0</v>
      </c>
      <c r="AK367" s="33">
        <f>AI367+AJ367</f>
        <v>1</v>
      </c>
      <c r="AL367" s="37">
        <f t="shared" ref="AL367:AL382" si="372">AK367/C367*100</f>
        <v>0.98814229249011865</v>
      </c>
      <c r="AM367" s="36">
        <f t="shared" ref="AM367:AM384" si="373">AO331</f>
        <v>29</v>
      </c>
      <c r="AN367" s="36">
        <f>'1.DATA KIA'!AG349</f>
        <v>0</v>
      </c>
      <c r="AO367" s="33">
        <f>AN367+AM367</f>
        <v>29</v>
      </c>
      <c r="AP367" s="37" t="e">
        <f>AO367/E367*100</f>
        <v>#DIV/0!</v>
      </c>
      <c r="AQ367" s="40"/>
      <c r="AR367" s="42">
        <f t="shared" ref="AR367:AR384" si="374">AT331</f>
        <v>29</v>
      </c>
      <c r="AS367" s="36">
        <f>'1.DATA KIA'!AB349</f>
        <v>0</v>
      </c>
      <c r="AT367" s="36">
        <f>AS367+AR367</f>
        <v>29</v>
      </c>
      <c r="AU367" s="37">
        <f>AT367/D367*100</f>
        <v>30.020703933747413</v>
      </c>
      <c r="AV367" s="40"/>
      <c r="AW367" s="36">
        <f t="shared" ref="AW367:AW384" si="375">AY331</f>
        <v>10</v>
      </c>
      <c r="AX367" s="33">
        <f>'1.DATA KIA'!AF349</f>
        <v>0</v>
      </c>
      <c r="AY367" s="36">
        <f>AW367+AX367</f>
        <v>10</v>
      </c>
      <c r="AZ367" s="37">
        <f>AY367/(20%*C367)*100</f>
        <v>49.40711462450593</v>
      </c>
      <c r="BA367" s="38"/>
    </row>
    <row r="368" spans="1:54" ht="30" customHeight="1" x14ac:dyDescent="0.35">
      <c r="A368" s="33">
        <v>2</v>
      </c>
      <c r="B368" s="34" t="str">
        <f>PETUNJUK!B10</f>
        <v>Rengging</v>
      </c>
      <c r="C368" s="35">
        <f>'1.DATA KIA'!C350</f>
        <v>111.10000000000001</v>
      </c>
      <c r="D368" s="35">
        <f>'1.DATA KIA'!D350</f>
        <v>106.05000000000001</v>
      </c>
      <c r="E368" s="35">
        <f t="shared" si="360"/>
        <v>0</v>
      </c>
      <c r="F368" s="36">
        <f t="shared" si="361"/>
        <v>54</v>
      </c>
      <c r="G368" s="36">
        <f>'1.DATA KIA'!F350</f>
        <v>0</v>
      </c>
      <c r="H368" s="36">
        <f t="shared" ref="H368:H382" si="376">F368+G368</f>
        <v>54</v>
      </c>
      <c r="I368" s="37">
        <f t="shared" si="362"/>
        <v>48.604860486048601</v>
      </c>
      <c r="J368" s="40"/>
      <c r="K368" s="36">
        <f t="shared" si="363"/>
        <v>21</v>
      </c>
      <c r="L368" s="33">
        <f>'1.DATA KIA'!J350</f>
        <v>0</v>
      </c>
      <c r="M368" s="36">
        <f t="shared" ref="M368:M382" si="377">K368+L368</f>
        <v>21</v>
      </c>
      <c r="N368" s="37">
        <f t="shared" ref="N368:N388" si="378">M368/D368*100</f>
        <v>19.801980198019802</v>
      </c>
      <c r="O368" s="40"/>
      <c r="P368" s="36">
        <f t="shared" si="364"/>
        <v>32</v>
      </c>
      <c r="Q368" s="33">
        <f>'1.DATA KIA'!M350</f>
        <v>0</v>
      </c>
      <c r="R368" s="36">
        <f t="shared" ref="R368:R388" si="379">P368+Q368</f>
        <v>32</v>
      </c>
      <c r="S368" s="37">
        <f t="shared" ref="S368:S388" si="380">R368/D368*100</f>
        <v>30.174446016030171</v>
      </c>
      <c r="T368" s="40"/>
      <c r="U368" s="33">
        <f t="shared" si="365"/>
        <v>8</v>
      </c>
      <c r="V368" s="36">
        <f>'1.DATA KIA'!Y350</f>
        <v>0</v>
      </c>
      <c r="W368" s="33">
        <f t="shared" ref="W368:W382" si="381">U368+V368</f>
        <v>8</v>
      </c>
      <c r="X368" s="37">
        <f t="shared" si="366"/>
        <v>36.003600360035996</v>
      </c>
      <c r="Y368" s="40"/>
      <c r="Z368" s="33">
        <f t="shared" si="367"/>
        <v>5</v>
      </c>
      <c r="AA368" s="36">
        <f>'1.DATA KIA'!Z350</f>
        <v>0</v>
      </c>
      <c r="AB368" s="33">
        <f t="shared" ref="AB368:AB382" si="382">Z368+AA368</f>
        <v>5</v>
      </c>
      <c r="AC368" s="37">
        <f t="shared" si="368"/>
        <v>22.5022502250225</v>
      </c>
      <c r="AD368" s="40"/>
      <c r="AE368" s="33">
        <f t="shared" si="369"/>
        <v>6</v>
      </c>
      <c r="AF368" s="41">
        <f>'8.ANCTEPADU'!D397+'8.ANCTEPADU'!E397</f>
        <v>0</v>
      </c>
      <c r="AG368" s="33">
        <f t="shared" ref="AG368:AG382" si="383">AE368+AF368</f>
        <v>6</v>
      </c>
      <c r="AH368" s="37">
        <f t="shared" si="370"/>
        <v>5.4005400540054005</v>
      </c>
      <c r="AI368" s="33">
        <f t="shared" si="371"/>
        <v>8</v>
      </c>
      <c r="AJ368" s="41">
        <f>'8.ANCTEPADU'!J397</f>
        <v>0</v>
      </c>
      <c r="AK368" s="33">
        <f t="shared" ref="AK368:AK382" si="384">AI368+AJ368</f>
        <v>8</v>
      </c>
      <c r="AL368" s="37">
        <f t="shared" si="372"/>
        <v>7.2007200720071998</v>
      </c>
      <c r="AM368" s="36">
        <f t="shared" si="373"/>
        <v>35</v>
      </c>
      <c r="AN368" s="36">
        <f>'1.DATA KIA'!AG350</f>
        <v>0</v>
      </c>
      <c r="AO368" s="33">
        <f t="shared" ref="AO368:AO377" si="385">AN368+AM368</f>
        <v>35</v>
      </c>
      <c r="AP368" s="37" t="e">
        <f t="shared" ref="AP368:AP382" si="386">AO368/E368*100</f>
        <v>#DIV/0!</v>
      </c>
      <c r="AQ368" s="40"/>
      <c r="AR368" s="42">
        <f t="shared" si="374"/>
        <v>34</v>
      </c>
      <c r="AS368" s="36">
        <f>'1.DATA KIA'!AB350</f>
        <v>0</v>
      </c>
      <c r="AT368" s="33">
        <f t="shared" ref="AT368:AT377" si="387">AS368+AR368</f>
        <v>34</v>
      </c>
      <c r="AU368" s="37">
        <f t="shared" ref="AU368:AU382" si="388">AT368/D368*100</f>
        <v>32.06034889203206</v>
      </c>
      <c r="AV368" s="40"/>
      <c r="AW368" s="36">
        <f t="shared" si="375"/>
        <v>4</v>
      </c>
      <c r="AX368" s="33">
        <f>'1.DATA KIA'!AF350</f>
        <v>0</v>
      </c>
      <c r="AY368" s="36">
        <f t="shared" ref="AY368:AY382" si="389">AW368+AX368</f>
        <v>4</v>
      </c>
      <c r="AZ368" s="37">
        <f t="shared" ref="AZ368:AZ382" si="390">AY368/(20%*C368)*100</f>
        <v>18.001800180017998</v>
      </c>
      <c r="BA368" s="38"/>
    </row>
    <row r="369" spans="1:53" ht="30" customHeight="1" x14ac:dyDescent="0.35">
      <c r="A369" s="33">
        <v>3</v>
      </c>
      <c r="B369" s="34" t="str">
        <f>PETUNJUK!B11</f>
        <v>Troso</v>
      </c>
      <c r="C369" s="35">
        <f>'1.DATA KIA'!C351</f>
        <v>205.70000000000002</v>
      </c>
      <c r="D369" s="35">
        <f>'1.DATA KIA'!D351</f>
        <v>196.35</v>
      </c>
      <c r="E369" s="35">
        <f t="shared" si="360"/>
        <v>0</v>
      </c>
      <c r="F369" s="36">
        <f t="shared" si="361"/>
        <v>78</v>
      </c>
      <c r="G369" s="36">
        <f>'1.DATA KIA'!F351</f>
        <v>0</v>
      </c>
      <c r="H369" s="36">
        <f t="shared" si="376"/>
        <v>78</v>
      </c>
      <c r="I369" s="37">
        <f t="shared" si="362"/>
        <v>37.919299951385511</v>
      </c>
      <c r="J369" s="40"/>
      <c r="K369" s="36">
        <f t="shared" si="363"/>
        <v>64</v>
      </c>
      <c r="L369" s="33">
        <f>'1.DATA KIA'!J351</f>
        <v>0</v>
      </c>
      <c r="M369" s="36">
        <f t="shared" si="377"/>
        <v>64</v>
      </c>
      <c r="N369" s="37">
        <f t="shared" si="378"/>
        <v>32.594856124267892</v>
      </c>
      <c r="O369" s="40"/>
      <c r="P369" s="36">
        <f t="shared" si="364"/>
        <v>78</v>
      </c>
      <c r="Q369" s="33">
        <f>'1.DATA KIA'!M351</f>
        <v>0</v>
      </c>
      <c r="R369" s="36">
        <f t="shared" si="379"/>
        <v>78</v>
      </c>
      <c r="S369" s="37">
        <f t="shared" si="380"/>
        <v>39.724980901451488</v>
      </c>
      <c r="T369" s="40"/>
      <c r="U369" s="33">
        <f t="shared" si="365"/>
        <v>23</v>
      </c>
      <c r="V369" s="36">
        <f>'1.DATA KIA'!Y351</f>
        <v>0</v>
      </c>
      <c r="W369" s="33">
        <f t="shared" si="381"/>
        <v>23</v>
      </c>
      <c r="X369" s="37">
        <f t="shared" si="366"/>
        <v>55.906660184735038</v>
      </c>
      <c r="Y369" s="40"/>
      <c r="Z369" s="33">
        <f t="shared" si="367"/>
        <v>11</v>
      </c>
      <c r="AA369" s="36">
        <f>'1.DATA KIA'!Z351</f>
        <v>0</v>
      </c>
      <c r="AB369" s="33">
        <f t="shared" si="382"/>
        <v>11</v>
      </c>
      <c r="AC369" s="37">
        <f t="shared" si="368"/>
        <v>26.737967914438499</v>
      </c>
      <c r="AD369" s="40"/>
      <c r="AE369" s="33">
        <f t="shared" si="369"/>
        <v>3</v>
      </c>
      <c r="AF369" s="41">
        <f>'8.ANCTEPADU'!D398+'8.ANCTEPADU'!E398</f>
        <v>0</v>
      </c>
      <c r="AG369" s="33">
        <f t="shared" si="383"/>
        <v>3</v>
      </c>
      <c r="AH369" s="37">
        <f t="shared" si="370"/>
        <v>1.4584346135148272</v>
      </c>
      <c r="AI369" s="33">
        <f t="shared" si="371"/>
        <v>11</v>
      </c>
      <c r="AJ369" s="41">
        <f>'8.ANCTEPADU'!J398</f>
        <v>0</v>
      </c>
      <c r="AK369" s="33">
        <f t="shared" si="384"/>
        <v>11</v>
      </c>
      <c r="AL369" s="37">
        <f t="shared" si="372"/>
        <v>5.3475935828877006</v>
      </c>
      <c r="AM369" s="36">
        <f t="shared" si="373"/>
        <v>60</v>
      </c>
      <c r="AN369" s="36">
        <f>'1.DATA KIA'!AG351</f>
        <v>0</v>
      </c>
      <c r="AO369" s="33">
        <f t="shared" si="385"/>
        <v>60</v>
      </c>
      <c r="AP369" s="37" t="e">
        <f t="shared" si="386"/>
        <v>#DIV/0!</v>
      </c>
      <c r="AQ369" s="40"/>
      <c r="AR369" s="42">
        <f t="shared" si="374"/>
        <v>60</v>
      </c>
      <c r="AS369" s="36">
        <f>'1.DATA KIA'!AB351</f>
        <v>0</v>
      </c>
      <c r="AT369" s="33">
        <f t="shared" si="387"/>
        <v>60</v>
      </c>
      <c r="AU369" s="37">
        <f t="shared" si="388"/>
        <v>30.557677616501145</v>
      </c>
      <c r="AV369" s="40"/>
      <c r="AW369" s="36">
        <f t="shared" si="375"/>
        <v>13</v>
      </c>
      <c r="AX369" s="33">
        <f>'1.DATA KIA'!AF351</f>
        <v>0</v>
      </c>
      <c r="AY369" s="36">
        <f t="shared" si="389"/>
        <v>13</v>
      </c>
      <c r="AZ369" s="37">
        <f t="shared" si="390"/>
        <v>31.599416626154586</v>
      </c>
      <c r="BA369" s="38"/>
    </row>
    <row r="370" spans="1:53" ht="30" customHeight="1" x14ac:dyDescent="0.35">
      <c r="A370" s="33">
        <v>4</v>
      </c>
      <c r="B370" s="34" t="str">
        <f>PETUNJUK!B12</f>
        <v>Ngeling</v>
      </c>
      <c r="C370" s="35">
        <f>'1.DATA KIA'!C352</f>
        <v>95.7</v>
      </c>
      <c r="D370" s="35">
        <f>'1.DATA KIA'!D352</f>
        <v>91.350000000000009</v>
      </c>
      <c r="E370" s="35">
        <f t="shared" si="360"/>
        <v>0</v>
      </c>
      <c r="F370" s="36">
        <f t="shared" si="361"/>
        <v>30</v>
      </c>
      <c r="G370" s="36">
        <f>'1.DATA KIA'!F352</f>
        <v>0</v>
      </c>
      <c r="H370" s="36">
        <f t="shared" si="376"/>
        <v>30</v>
      </c>
      <c r="I370" s="37">
        <f t="shared" si="362"/>
        <v>31.347962382445139</v>
      </c>
      <c r="J370" s="40"/>
      <c r="K370" s="36">
        <f t="shared" si="363"/>
        <v>28</v>
      </c>
      <c r="L370" s="33">
        <f>'1.DATA KIA'!J352</f>
        <v>0</v>
      </c>
      <c r="M370" s="36">
        <f t="shared" si="377"/>
        <v>28</v>
      </c>
      <c r="N370" s="37">
        <f t="shared" si="378"/>
        <v>30.651340996168582</v>
      </c>
      <c r="O370" s="40"/>
      <c r="P370" s="36">
        <f t="shared" si="364"/>
        <v>26</v>
      </c>
      <c r="Q370" s="33">
        <f>'1.DATA KIA'!M352</f>
        <v>0</v>
      </c>
      <c r="R370" s="36">
        <f t="shared" si="379"/>
        <v>26</v>
      </c>
      <c r="S370" s="37">
        <f t="shared" si="380"/>
        <v>28.461959496442251</v>
      </c>
      <c r="T370" s="40"/>
      <c r="U370" s="33">
        <f t="shared" si="365"/>
        <v>7</v>
      </c>
      <c r="V370" s="36">
        <f>'1.DATA KIA'!Y352</f>
        <v>0</v>
      </c>
      <c r="W370" s="33">
        <f t="shared" si="381"/>
        <v>7</v>
      </c>
      <c r="X370" s="37">
        <f t="shared" si="366"/>
        <v>36.572622779519328</v>
      </c>
      <c r="Y370" s="40"/>
      <c r="Z370" s="33">
        <f t="shared" si="367"/>
        <v>5</v>
      </c>
      <c r="AA370" s="36">
        <f>'1.DATA KIA'!Z352</f>
        <v>0</v>
      </c>
      <c r="AB370" s="33">
        <f t="shared" si="382"/>
        <v>5</v>
      </c>
      <c r="AC370" s="37">
        <f t="shared" si="368"/>
        <v>26.123301985370951</v>
      </c>
      <c r="AD370" s="40"/>
      <c r="AE370" s="33">
        <f t="shared" si="369"/>
        <v>5</v>
      </c>
      <c r="AF370" s="41">
        <f>'8.ANCTEPADU'!D399+'8.ANCTEPADU'!E399</f>
        <v>0</v>
      </c>
      <c r="AG370" s="33">
        <f t="shared" si="383"/>
        <v>5</v>
      </c>
      <c r="AH370" s="37">
        <f t="shared" si="370"/>
        <v>5.2246603970741896</v>
      </c>
      <c r="AI370" s="33">
        <f t="shared" si="371"/>
        <v>5</v>
      </c>
      <c r="AJ370" s="41">
        <f>'8.ANCTEPADU'!J399</f>
        <v>0</v>
      </c>
      <c r="AK370" s="33">
        <f t="shared" si="384"/>
        <v>5</v>
      </c>
      <c r="AL370" s="37">
        <f t="shared" si="372"/>
        <v>5.2246603970741896</v>
      </c>
      <c r="AM370" s="36">
        <f t="shared" si="373"/>
        <v>28</v>
      </c>
      <c r="AN370" s="36">
        <f>'1.DATA KIA'!AG352</f>
        <v>0</v>
      </c>
      <c r="AO370" s="33">
        <f t="shared" si="385"/>
        <v>28</v>
      </c>
      <c r="AP370" s="37" t="e">
        <f t="shared" si="386"/>
        <v>#DIV/0!</v>
      </c>
      <c r="AQ370" s="40"/>
      <c r="AR370" s="42">
        <f t="shared" si="374"/>
        <v>28</v>
      </c>
      <c r="AS370" s="36">
        <f>'1.DATA KIA'!AB352</f>
        <v>0</v>
      </c>
      <c r="AT370" s="33">
        <f t="shared" si="387"/>
        <v>28</v>
      </c>
      <c r="AU370" s="37">
        <f t="shared" si="388"/>
        <v>30.651340996168582</v>
      </c>
      <c r="AV370" s="40"/>
      <c r="AW370" s="36">
        <f t="shared" si="375"/>
        <v>10</v>
      </c>
      <c r="AX370" s="33">
        <f>'1.DATA KIA'!AF352</f>
        <v>0</v>
      </c>
      <c r="AY370" s="36">
        <f t="shared" si="389"/>
        <v>10</v>
      </c>
      <c r="AZ370" s="37">
        <f t="shared" si="390"/>
        <v>52.246603970741901</v>
      </c>
      <c r="BA370" s="38"/>
    </row>
    <row r="371" spans="1:53" ht="30" customHeight="1" x14ac:dyDescent="0.35">
      <c r="A371" s="33">
        <v>5</v>
      </c>
      <c r="B371" s="34" t="str">
        <f>PETUNJUK!B13</f>
        <v>Lebuawu</v>
      </c>
      <c r="C371" s="35">
        <f>'1.DATA KIA'!C353</f>
        <v>85.800000000000011</v>
      </c>
      <c r="D371" s="35">
        <f>'1.DATA KIA'!D353</f>
        <v>81.900000000000006</v>
      </c>
      <c r="E371" s="35">
        <f t="shared" si="360"/>
        <v>0</v>
      </c>
      <c r="F371" s="36">
        <f t="shared" si="361"/>
        <v>33</v>
      </c>
      <c r="G371" s="36">
        <f>'1.DATA KIA'!F353</f>
        <v>0</v>
      </c>
      <c r="H371" s="36">
        <f t="shared" si="376"/>
        <v>33</v>
      </c>
      <c r="I371" s="37">
        <f t="shared" si="362"/>
        <v>38.46153846153846</v>
      </c>
      <c r="J371" s="40"/>
      <c r="K371" s="36">
        <f t="shared" si="363"/>
        <v>25</v>
      </c>
      <c r="L371" s="33">
        <f>'1.DATA KIA'!J353</f>
        <v>0</v>
      </c>
      <c r="M371" s="36">
        <f t="shared" si="377"/>
        <v>25</v>
      </c>
      <c r="N371" s="37">
        <f t="shared" si="378"/>
        <v>30.525030525030523</v>
      </c>
      <c r="O371" s="40"/>
      <c r="P371" s="36">
        <f t="shared" si="364"/>
        <v>19</v>
      </c>
      <c r="Q371" s="33">
        <f>'1.DATA KIA'!M353</f>
        <v>0</v>
      </c>
      <c r="R371" s="36">
        <f t="shared" si="379"/>
        <v>19</v>
      </c>
      <c r="S371" s="37">
        <f t="shared" si="380"/>
        <v>23.199023199023198</v>
      </c>
      <c r="T371" s="40"/>
      <c r="U371" s="33">
        <f t="shared" si="365"/>
        <v>5</v>
      </c>
      <c r="V371" s="36">
        <f>'1.DATA KIA'!Y353</f>
        <v>0</v>
      </c>
      <c r="W371" s="33">
        <f t="shared" si="381"/>
        <v>5</v>
      </c>
      <c r="X371" s="37">
        <f t="shared" si="366"/>
        <v>29.137529137529132</v>
      </c>
      <c r="Y371" s="40"/>
      <c r="Z371" s="33">
        <f t="shared" si="367"/>
        <v>3</v>
      </c>
      <c r="AA371" s="36">
        <f>'1.DATA KIA'!Z353</f>
        <v>0</v>
      </c>
      <c r="AB371" s="33">
        <f t="shared" si="382"/>
        <v>3</v>
      </c>
      <c r="AC371" s="37">
        <f t="shared" si="368"/>
        <v>17.48251748251748</v>
      </c>
      <c r="AD371" s="40"/>
      <c r="AE371" s="33">
        <f t="shared" si="369"/>
        <v>2</v>
      </c>
      <c r="AF371" s="41">
        <f>'8.ANCTEPADU'!D400+'8.ANCTEPADU'!E400</f>
        <v>0</v>
      </c>
      <c r="AG371" s="33">
        <f t="shared" si="383"/>
        <v>2</v>
      </c>
      <c r="AH371" s="37">
        <f t="shared" si="370"/>
        <v>2.3310023310023307</v>
      </c>
      <c r="AI371" s="33">
        <f t="shared" si="371"/>
        <v>3</v>
      </c>
      <c r="AJ371" s="41">
        <f>'8.ANCTEPADU'!J400</f>
        <v>0</v>
      </c>
      <c r="AK371" s="33">
        <f t="shared" si="384"/>
        <v>3</v>
      </c>
      <c r="AL371" s="37">
        <f t="shared" si="372"/>
        <v>3.4965034965034962</v>
      </c>
      <c r="AM371" s="36">
        <f t="shared" si="373"/>
        <v>23</v>
      </c>
      <c r="AN371" s="36">
        <f>'1.DATA KIA'!AG353</f>
        <v>0</v>
      </c>
      <c r="AO371" s="33">
        <f t="shared" si="385"/>
        <v>23</v>
      </c>
      <c r="AP371" s="37" t="e">
        <f t="shared" si="386"/>
        <v>#DIV/0!</v>
      </c>
      <c r="AQ371" s="40"/>
      <c r="AR371" s="42">
        <f t="shared" si="374"/>
        <v>23</v>
      </c>
      <c r="AS371" s="36">
        <f>'1.DATA KIA'!AB353</f>
        <v>0</v>
      </c>
      <c r="AT371" s="33">
        <f t="shared" si="387"/>
        <v>23</v>
      </c>
      <c r="AU371" s="37">
        <f t="shared" si="388"/>
        <v>28.083028083028083</v>
      </c>
      <c r="AV371" s="40"/>
      <c r="AW371" s="36">
        <f t="shared" si="375"/>
        <v>1</v>
      </c>
      <c r="AX371" s="33">
        <f>'1.DATA KIA'!AF353</f>
        <v>0</v>
      </c>
      <c r="AY371" s="36">
        <f t="shared" si="389"/>
        <v>1</v>
      </c>
      <c r="AZ371" s="37">
        <f t="shared" si="390"/>
        <v>5.8275058275058269</v>
      </c>
      <c r="BA371" s="38"/>
    </row>
    <row r="372" spans="1:53" ht="30" customHeight="1" x14ac:dyDescent="0.35">
      <c r="A372" s="33">
        <v>6</v>
      </c>
      <c r="B372" s="34" t="str">
        <f>PETUNJUK!B14</f>
        <v>Pulodarat</v>
      </c>
      <c r="C372" s="35">
        <f>'1.DATA KIA'!C354</f>
        <v>82.5</v>
      </c>
      <c r="D372" s="35">
        <f>'1.DATA KIA'!D354</f>
        <v>78.75</v>
      </c>
      <c r="E372" s="35">
        <f t="shared" si="360"/>
        <v>0</v>
      </c>
      <c r="F372" s="36">
        <f t="shared" si="361"/>
        <v>18</v>
      </c>
      <c r="G372" s="36">
        <f>'1.DATA KIA'!F354</f>
        <v>0</v>
      </c>
      <c r="H372" s="36">
        <f t="shared" si="376"/>
        <v>18</v>
      </c>
      <c r="I372" s="37">
        <f t="shared" si="362"/>
        <v>21.818181818181817</v>
      </c>
      <c r="J372" s="40"/>
      <c r="K372" s="36">
        <f t="shared" si="363"/>
        <v>19</v>
      </c>
      <c r="L372" s="33">
        <f>'1.DATA KIA'!J354</f>
        <v>0</v>
      </c>
      <c r="M372" s="36">
        <f t="shared" si="377"/>
        <v>19</v>
      </c>
      <c r="N372" s="37">
        <f t="shared" si="378"/>
        <v>24.126984126984127</v>
      </c>
      <c r="O372" s="40"/>
      <c r="P372" s="36">
        <f t="shared" si="364"/>
        <v>19</v>
      </c>
      <c r="Q372" s="33">
        <f>'1.DATA KIA'!M354</f>
        <v>0</v>
      </c>
      <c r="R372" s="36">
        <f t="shared" si="379"/>
        <v>19</v>
      </c>
      <c r="S372" s="37">
        <f t="shared" si="380"/>
        <v>24.126984126984127</v>
      </c>
      <c r="T372" s="40"/>
      <c r="U372" s="33">
        <f t="shared" si="365"/>
        <v>4</v>
      </c>
      <c r="V372" s="36">
        <f>'1.DATA KIA'!Y354</f>
        <v>0</v>
      </c>
      <c r="W372" s="33">
        <f t="shared" si="381"/>
        <v>4</v>
      </c>
      <c r="X372" s="37">
        <f t="shared" si="366"/>
        <v>24.242424242424242</v>
      </c>
      <c r="Y372" s="40"/>
      <c r="Z372" s="33">
        <f t="shared" si="367"/>
        <v>2</v>
      </c>
      <c r="AA372" s="36">
        <f>'1.DATA KIA'!Z354</f>
        <v>0</v>
      </c>
      <c r="AB372" s="33">
        <f t="shared" si="382"/>
        <v>2</v>
      </c>
      <c r="AC372" s="37">
        <f t="shared" si="368"/>
        <v>12.121212121212121</v>
      </c>
      <c r="AD372" s="40"/>
      <c r="AE372" s="33">
        <f t="shared" si="369"/>
        <v>3</v>
      </c>
      <c r="AF372" s="41">
        <f>'8.ANCTEPADU'!D401+'8.ANCTEPADU'!E401</f>
        <v>0</v>
      </c>
      <c r="AG372" s="33">
        <f t="shared" si="383"/>
        <v>3</v>
      </c>
      <c r="AH372" s="37">
        <f t="shared" si="370"/>
        <v>3.6363636363636362</v>
      </c>
      <c r="AI372" s="33">
        <f t="shared" si="371"/>
        <v>0</v>
      </c>
      <c r="AJ372" s="41">
        <f>'8.ANCTEPADU'!J401</f>
        <v>0</v>
      </c>
      <c r="AK372" s="33">
        <f t="shared" si="384"/>
        <v>0</v>
      </c>
      <c r="AL372" s="37">
        <f t="shared" si="372"/>
        <v>0</v>
      </c>
      <c r="AM372" s="36">
        <f t="shared" si="373"/>
        <v>17</v>
      </c>
      <c r="AN372" s="36">
        <f>'1.DATA KIA'!AG354</f>
        <v>0</v>
      </c>
      <c r="AO372" s="33">
        <f t="shared" si="385"/>
        <v>17</v>
      </c>
      <c r="AP372" s="37" t="e">
        <f t="shared" si="386"/>
        <v>#DIV/0!</v>
      </c>
      <c r="AQ372" s="40"/>
      <c r="AR372" s="42">
        <f t="shared" si="374"/>
        <v>17</v>
      </c>
      <c r="AS372" s="36">
        <f>'1.DATA KIA'!AB354</f>
        <v>0</v>
      </c>
      <c r="AT372" s="33">
        <f t="shared" si="387"/>
        <v>17</v>
      </c>
      <c r="AU372" s="37">
        <f t="shared" si="388"/>
        <v>21.587301587301589</v>
      </c>
      <c r="AV372" s="40"/>
      <c r="AW372" s="36">
        <f t="shared" si="375"/>
        <v>4</v>
      </c>
      <c r="AX372" s="33">
        <f>'1.DATA KIA'!AF354</f>
        <v>0</v>
      </c>
      <c r="AY372" s="36">
        <f t="shared" si="389"/>
        <v>4</v>
      </c>
      <c r="AZ372" s="37">
        <f t="shared" si="390"/>
        <v>24.242424242424242</v>
      </c>
      <c r="BA372" s="38"/>
    </row>
    <row r="373" spans="1:53" ht="30" customHeight="1" x14ac:dyDescent="0.35">
      <c r="A373" s="33">
        <v>7</v>
      </c>
      <c r="B373" s="34" t="str">
        <f>PETUNJUK!B15</f>
        <v>Karangrandu</v>
      </c>
      <c r="C373" s="35">
        <f>'1.DATA KIA'!C355</f>
        <v>93.500000000000014</v>
      </c>
      <c r="D373" s="35">
        <f>'1.DATA KIA'!D355</f>
        <v>89.25</v>
      </c>
      <c r="E373" s="35">
        <f t="shared" si="360"/>
        <v>0</v>
      </c>
      <c r="F373" s="36">
        <f t="shared" si="361"/>
        <v>31</v>
      </c>
      <c r="G373" s="36">
        <f>'1.DATA KIA'!F355</f>
        <v>0</v>
      </c>
      <c r="H373" s="36">
        <f t="shared" si="376"/>
        <v>31</v>
      </c>
      <c r="I373" s="37">
        <f t="shared" si="362"/>
        <v>33.155080213903737</v>
      </c>
      <c r="J373" s="40"/>
      <c r="K373" s="36">
        <f t="shared" si="363"/>
        <v>24</v>
      </c>
      <c r="L373" s="33">
        <f>'1.DATA KIA'!J355</f>
        <v>0</v>
      </c>
      <c r="M373" s="36">
        <f t="shared" si="377"/>
        <v>24</v>
      </c>
      <c r="N373" s="37">
        <f t="shared" si="378"/>
        <v>26.890756302521009</v>
      </c>
      <c r="O373" s="40"/>
      <c r="P373" s="36">
        <f t="shared" si="364"/>
        <v>27</v>
      </c>
      <c r="Q373" s="33">
        <f>'1.DATA KIA'!M355</f>
        <v>0</v>
      </c>
      <c r="R373" s="36">
        <f t="shared" si="379"/>
        <v>27</v>
      </c>
      <c r="S373" s="37">
        <f t="shared" si="380"/>
        <v>30.252100840336134</v>
      </c>
      <c r="T373" s="40"/>
      <c r="U373" s="33">
        <f t="shared" si="365"/>
        <v>14</v>
      </c>
      <c r="V373" s="36">
        <f>'1.DATA KIA'!Y355</f>
        <v>0</v>
      </c>
      <c r="W373" s="33">
        <f t="shared" si="381"/>
        <v>14</v>
      </c>
      <c r="X373" s="37">
        <f t="shared" si="366"/>
        <v>74.866310160427801</v>
      </c>
      <c r="Y373" s="40"/>
      <c r="Z373" s="33">
        <f t="shared" si="367"/>
        <v>5</v>
      </c>
      <c r="AA373" s="36">
        <f>'1.DATA KIA'!Z355</f>
        <v>0</v>
      </c>
      <c r="AB373" s="33">
        <f t="shared" si="382"/>
        <v>5</v>
      </c>
      <c r="AC373" s="37">
        <f t="shared" si="368"/>
        <v>26.737967914438499</v>
      </c>
      <c r="AD373" s="40"/>
      <c r="AE373" s="33">
        <f t="shared" si="369"/>
        <v>3</v>
      </c>
      <c r="AF373" s="41">
        <f>'8.ANCTEPADU'!D402+'8.ANCTEPADU'!E402</f>
        <v>0</v>
      </c>
      <c r="AG373" s="33">
        <f t="shared" si="383"/>
        <v>3</v>
      </c>
      <c r="AH373" s="37">
        <f t="shared" si="370"/>
        <v>3.2085561497326198</v>
      </c>
      <c r="AI373" s="33">
        <f t="shared" si="371"/>
        <v>2</v>
      </c>
      <c r="AJ373" s="41">
        <f>'8.ANCTEPADU'!J402</f>
        <v>0</v>
      </c>
      <c r="AK373" s="33">
        <f t="shared" si="384"/>
        <v>2</v>
      </c>
      <c r="AL373" s="37">
        <f t="shared" si="372"/>
        <v>2.1390374331550799</v>
      </c>
      <c r="AM373" s="36">
        <f t="shared" si="373"/>
        <v>26</v>
      </c>
      <c r="AN373" s="36">
        <f>'1.DATA KIA'!AG355</f>
        <v>0</v>
      </c>
      <c r="AO373" s="33">
        <f t="shared" si="385"/>
        <v>26</v>
      </c>
      <c r="AP373" s="37" t="e">
        <f t="shared" si="386"/>
        <v>#DIV/0!</v>
      </c>
      <c r="AQ373" s="40"/>
      <c r="AR373" s="42">
        <f t="shared" si="374"/>
        <v>27</v>
      </c>
      <c r="AS373" s="36">
        <f>'1.DATA KIA'!AB355</f>
        <v>0</v>
      </c>
      <c r="AT373" s="33">
        <f t="shared" si="387"/>
        <v>27</v>
      </c>
      <c r="AU373" s="37">
        <f t="shared" si="388"/>
        <v>30.252100840336134</v>
      </c>
      <c r="AV373" s="40"/>
      <c r="AW373" s="36">
        <f t="shared" si="375"/>
        <v>4</v>
      </c>
      <c r="AX373" s="33">
        <f>'1.DATA KIA'!AF355</f>
        <v>0</v>
      </c>
      <c r="AY373" s="36">
        <f t="shared" si="389"/>
        <v>4</v>
      </c>
      <c r="AZ373" s="37">
        <f t="shared" si="390"/>
        <v>21.390374331550799</v>
      </c>
      <c r="BA373" s="38"/>
    </row>
    <row r="374" spans="1:53" ht="30" customHeight="1" x14ac:dyDescent="0.35">
      <c r="A374" s="33">
        <v>8</v>
      </c>
      <c r="B374" s="34" t="str">
        <f>PETUNJUK!B16</f>
        <v>Kaliombo</v>
      </c>
      <c r="C374" s="35">
        <f>'1.DATA KIA'!C356</f>
        <v>46.2</v>
      </c>
      <c r="D374" s="35">
        <f>'1.DATA KIA'!D356</f>
        <v>44.1</v>
      </c>
      <c r="E374" s="35">
        <f t="shared" si="360"/>
        <v>0</v>
      </c>
      <c r="F374" s="36">
        <f t="shared" si="361"/>
        <v>13</v>
      </c>
      <c r="G374" s="36">
        <f>'1.DATA KIA'!F356</f>
        <v>0</v>
      </c>
      <c r="H374" s="36">
        <f t="shared" si="376"/>
        <v>13</v>
      </c>
      <c r="I374" s="37">
        <f t="shared" si="362"/>
        <v>28.138528138528134</v>
      </c>
      <c r="J374" s="40"/>
      <c r="K374" s="36">
        <f t="shared" si="363"/>
        <v>13</v>
      </c>
      <c r="L374" s="33">
        <f>'1.DATA KIA'!J356</f>
        <v>0</v>
      </c>
      <c r="M374" s="36">
        <f t="shared" si="377"/>
        <v>13</v>
      </c>
      <c r="N374" s="37">
        <f t="shared" si="378"/>
        <v>29.478458049886619</v>
      </c>
      <c r="O374" s="40"/>
      <c r="P374" s="36">
        <f t="shared" si="364"/>
        <v>13</v>
      </c>
      <c r="Q374" s="33">
        <f>'1.DATA KIA'!M356</f>
        <v>0</v>
      </c>
      <c r="R374" s="36">
        <f t="shared" si="379"/>
        <v>13</v>
      </c>
      <c r="S374" s="37">
        <f t="shared" si="380"/>
        <v>29.478458049886619</v>
      </c>
      <c r="T374" s="40"/>
      <c r="U374" s="33">
        <f t="shared" si="365"/>
        <v>7</v>
      </c>
      <c r="V374" s="36">
        <f>'1.DATA KIA'!Y356</f>
        <v>0</v>
      </c>
      <c r="W374" s="33">
        <f t="shared" si="381"/>
        <v>7</v>
      </c>
      <c r="X374" s="37">
        <f t="shared" si="366"/>
        <v>75.757575757575751</v>
      </c>
      <c r="Y374" s="40"/>
      <c r="Z374" s="33">
        <f t="shared" si="367"/>
        <v>2</v>
      </c>
      <c r="AA374" s="36">
        <f>'1.DATA KIA'!Z356</f>
        <v>0</v>
      </c>
      <c r="AB374" s="33">
        <f t="shared" si="382"/>
        <v>2</v>
      </c>
      <c r="AC374" s="37">
        <f t="shared" si="368"/>
        <v>21.645021645021643</v>
      </c>
      <c r="AD374" s="40"/>
      <c r="AE374" s="33">
        <f t="shared" si="369"/>
        <v>0</v>
      </c>
      <c r="AF374" s="41">
        <f>'8.ANCTEPADU'!D403+'8.ANCTEPADU'!E403</f>
        <v>0</v>
      </c>
      <c r="AG374" s="33">
        <f t="shared" si="383"/>
        <v>0</v>
      </c>
      <c r="AH374" s="37">
        <f t="shared" si="370"/>
        <v>0</v>
      </c>
      <c r="AI374" s="33">
        <f t="shared" si="371"/>
        <v>1</v>
      </c>
      <c r="AJ374" s="41">
        <f>'8.ANCTEPADU'!J403</f>
        <v>0</v>
      </c>
      <c r="AK374" s="33">
        <f t="shared" si="384"/>
        <v>1</v>
      </c>
      <c r="AL374" s="37">
        <f t="shared" si="372"/>
        <v>2.1645021645021645</v>
      </c>
      <c r="AM374" s="36">
        <f t="shared" si="373"/>
        <v>13</v>
      </c>
      <c r="AN374" s="36">
        <f>'1.DATA KIA'!AG356</f>
        <v>0</v>
      </c>
      <c r="AO374" s="33">
        <f t="shared" si="385"/>
        <v>13</v>
      </c>
      <c r="AP374" s="37" t="e">
        <f t="shared" si="386"/>
        <v>#DIV/0!</v>
      </c>
      <c r="AQ374" s="40"/>
      <c r="AR374" s="42">
        <f t="shared" si="374"/>
        <v>13</v>
      </c>
      <c r="AS374" s="36">
        <f>'1.DATA KIA'!AB356</f>
        <v>0</v>
      </c>
      <c r="AT374" s="33">
        <f t="shared" si="387"/>
        <v>13</v>
      </c>
      <c r="AU374" s="37">
        <f t="shared" si="388"/>
        <v>29.478458049886619</v>
      </c>
      <c r="AV374" s="40"/>
      <c r="AW374" s="36">
        <f t="shared" si="375"/>
        <v>5</v>
      </c>
      <c r="AX374" s="33">
        <f>'1.DATA KIA'!AF356</f>
        <v>0</v>
      </c>
      <c r="AY374" s="36">
        <f t="shared" si="389"/>
        <v>5</v>
      </c>
      <c r="AZ374" s="37">
        <f t="shared" si="390"/>
        <v>54.112554112554115</v>
      </c>
      <c r="BA374" s="38"/>
    </row>
    <row r="375" spans="1:53" ht="30" customHeight="1" x14ac:dyDescent="0.35">
      <c r="A375" s="33">
        <v>9</v>
      </c>
      <c r="B375" s="34" t="str">
        <f>PETUNJUK!B17</f>
        <v>Gemulung</v>
      </c>
      <c r="C375" s="35">
        <f>'1.DATA KIA'!C357</f>
        <v>53.900000000000006</v>
      </c>
      <c r="D375" s="35">
        <f>'1.DATA KIA'!D357</f>
        <v>51.45</v>
      </c>
      <c r="E375" s="35">
        <f t="shared" si="360"/>
        <v>0</v>
      </c>
      <c r="F375" s="36">
        <f t="shared" si="361"/>
        <v>19</v>
      </c>
      <c r="G375" s="36">
        <f>'1.DATA KIA'!F357</f>
        <v>0</v>
      </c>
      <c r="H375" s="36">
        <f t="shared" si="376"/>
        <v>19</v>
      </c>
      <c r="I375" s="37">
        <f t="shared" si="362"/>
        <v>35.250463821892389</v>
      </c>
      <c r="J375" s="40"/>
      <c r="K375" s="36">
        <f t="shared" si="363"/>
        <v>19</v>
      </c>
      <c r="L375" s="33">
        <f>'1.DATA KIA'!J357</f>
        <v>0</v>
      </c>
      <c r="M375" s="36">
        <f t="shared" si="377"/>
        <v>19</v>
      </c>
      <c r="N375" s="37">
        <f t="shared" si="378"/>
        <v>36.929057337220598</v>
      </c>
      <c r="O375" s="40"/>
      <c r="P375" s="36">
        <f t="shared" si="364"/>
        <v>19</v>
      </c>
      <c r="Q375" s="33">
        <f>'1.DATA KIA'!M357</f>
        <v>0</v>
      </c>
      <c r="R375" s="36">
        <f t="shared" si="379"/>
        <v>19</v>
      </c>
      <c r="S375" s="37">
        <f t="shared" si="380"/>
        <v>36.929057337220598</v>
      </c>
      <c r="T375" s="40"/>
      <c r="U375" s="33">
        <f t="shared" si="365"/>
        <v>3</v>
      </c>
      <c r="V375" s="36">
        <f>'1.DATA KIA'!Y357</f>
        <v>0</v>
      </c>
      <c r="W375" s="33">
        <f t="shared" si="381"/>
        <v>3</v>
      </c>
      <c r="X375" s="37">
        <f t="shared" si="366"/>
        <v>27.829313543599255</v>
      </c>
      <c r="Y375" s="40"/>
      <c r="Z375" s="33">
        <f t="shared" si="367"/>
        <v>1</v>
      </c>
      <c r="AA375" s="36">
        <f>'1.DATA KIA'!Z357</f>
        <v>0</v>
      </c>
      <c r="AB375" s="33">
        <f t="shared" si="382"/>
        <v>1</v>
      </c>
      <c r="AC375" s="37">
        <f t="shared" si="368"/>
        <v>9.2764378478664185</v>
      </c>
      <c r="AD375" s="40"/>
      <c r="AE375" s="33">
        <f t="shared" si="369"/>
        <v>4</v>
      </c>
      <c r="AF375" s="41">
        <f>'8.ANCTEPADU'!D404+'8.ANCTEPADU'!E404</f>
        <v>0</v>
      </c>
      <c r="AG375" s="33">
        <f t="shared" si="383"/>
        <v>4</v>
      </c>
      <c r="AH375" s="37">
        <f t="shared" si="370"/>
        <v>7.4211502782931342</v>
      </c>
      <c r="AI375" s="33">
        <f t="shared" si="371"/>
        <v>1</v>
      </c>
      <c r="AJ375" s="41">
        <f>'8.ANCTEPADU'!J404</f>
        <v>0</v>
      </c>
      <c r="AK375" s="33">
        <f t="shared" si="384"/>
        <v>1</v>
      </c>
      <c r="AL375" s="37">
        <f t="shared" si="372"/>
        <v>1.8552875695732836</v>
      </c>
      <c r="AM375" s="36">
        <f t="shared" si="373"/>
        <v>20</v>
      </c>
      <c r="AN375" s="36">
        <f>'1.DATA KIA'!AG357</f>
        <v>0</v>
      </c>
      <c r="AO375" s="33">
        <f t="shared" si="385"/>
        <v>20</v>
      </c>
      <c r="AP375" s="37" t="e">
        <f t="shared" si="386"/>
        <v>#DIV/0!</v>
      </c>
      <c r="AQ375" s="40"/>
      <c r="AR375" s="42">
        <f t="shared" si="374"/>
        <v>20</v>
      </c>
      <c r="AS375" s="36">
        <f>'1.DATA KIA'!AB357</f>
        <v>0</v>
      </c>
      <c r="AT375" s="33">
        <f t="shared" si="387"/>
        <v>20</v>
      </c>
      <c r="AU375" s="37">
        <f t="shared" si="388"/>
        <v>38.872691933916421</v>
      </c>
      <c r="AV375" s="40"/>
      <c r="AW375" s="36">
        <f t="shared" si="375"/>
        <v>8</v>
      </c>
      <c r="AX375" s="33">
        <f>'1.DATA KIA'!AF357</f>
        <v>0</v>
      </c>
      <c r="AY375" s="36">
        <f t="shared" si="389"/>
        <v>8</v>
      </c>
      <c r="AZ375" s="37">
        <f t="shared" si="390"/>
        <v>74.211502782931348</v>
      </c>
      <c r="BA375" s="38"/>
    </row>
    <row r="376" spans="1:53" ht="30" customHeight="1" x14ac:dyDescent="0.35">
      <c r="A376" s="33">
        <v>10</v>
      </c>
      <c r="B376" s="34" t="str">
        <f>PETUNJUK!B18</f>
        <v>Pecangaan Wetan</v>
      </c>
      <c r="C376" s="35">
        <f>'1.DATA KIA'!C358</f>
        <v>50.6</v>
      </c>
      <c r="D376" s="35">
        <f>'1.DATA KIA'!D358</f>
        <v>48.300000000000004</v>
      </c>
      <c r="E376" s="35">
        <f t="shared" si="360"/>
        <v>0</v>
      </c>
      <c r="F376" s="36">
        <f t="shared" si="361"/>
        <v>15</v>
      </c>
      <c r="G376" s="36">
        <f>'1.DATA KIA'!F358</f>
        <v>0</v>
      </c>
      <c r="H376" s="36">
        <f t="shared" si="376"/>
        <v>15</v>
      </c>
      <c r="I376" s="37">
        <f t="shared" si="362"/>
        <v>29.644268774703558</v>
      </c>
      <c r="J376" s="40"/>
      <c r="K376" s="36">
        <f t="shared" si="363"/>
        <v>12</v>
      </c>
      <c r="L376" s="33">
        <f>'1.DATA KIA'!J358</f>
        <v>0</v>
      </c>
      <c r="M376" s="36">
        <f t="shared" si="377"/>
        <v>12</v>
      </c>
      <c r="N376" s="37">
        <f t="shared" si="378"/>
        <v>24.844720496894407</v>
      </c>
      <c r="O376" s="40"/>
      <c r="P376" s="36">
        <f t="shared" si="364"/>
        <v>10</v>
      </c>
      <c r="Q376" s="33">
        <f>'1.DATA KIA'!M358</f>
        <v>0</v>
      </c>
      <c r="R376" s="36">
        <f t="shared" si="379"/>
        <v>10</v>
      </c>
      <c r="S376" s="37">
        <f t="shared" si="380"/>
        <v>20.703933747412005</v>
      </c>
      <c r="T376" s="40"/>
      <c r="U376" s="33">
        <f t="shared" si="365"/>
        <v>4</v>
      </c>
      <c r="V376" s="36">
        <f>'1.DATA KIA'!Y358</f>
        <v>0</v>
      </c>
      <c r="W376" s="33">
        <f t="shared" si="381"/>
        <v>4</v>
      </c>
      <c r="X376" s="37">
        <f t="shared" si="366"/>
        <v>39.525691699604735</v>
      </c>
      <c r="Y376" s="40"/>
      <c r="Z376" s="33">
        <f t="shared" si="367"/>
        <v>0</v>
      </c>
      <c r="AA376" s="36">
        <f>'1.DATA KIA'!Z358</f>
        <v>0</v>
      </c>
      <c r="AB376" s="33">
        <f t="shared" si="382"/>
        <v>0</v>
      </c>
      <c r="AC376" s="37">
        <f t="shared" si="368"/>
        <v>0</v>
      </c>
      <c r="AD376" s="40"/>
      <c r="AE376" s="33">
        <f t="shared" si="369"/>
        <v>0</v>
      </c>
      <c r="AF376" s="41">
        <f>'8.ANCTEPADU'!D405+'8.ANCTEPADU'!E405</f>
        <v>0</v>
      </c>
      <c r="AG376" s="33">
        <f t="shared" si="383"/>
        <v>0</v>
      </c>
      <c r="AH376" s="37">
        <f t="shared" si="370"/>
        <v>0</v>
      </c>
      <c r="AI376" s="33">
        <f t="shared" si="371"/>
        <v>5</v>
      </c>
      <c r="AJ376" s="41">
        <f>'8.ANCTEPADU'!J405</f>
        <v>0</v>
      </c>
      <c r="AK376" s="33">
        <f t="shared" si="384"/>
        <v>5</v>
      </c>
      <c r="AL376" s="37">
        <f t="shared" si="372"/>
        <v>9.8814229249011856</v>
      </c>
      <c r="AM376" s="36">
        <f t="shared" si="373"/>
        <v>13</v>
      </c>
      <c r="AN376" s="36">
        <f>'1.DATA KIA'!AG358</f>
        <v>0</v>
      </c>
      <c r="AO376" s="33">
        <f t="shared" si="385"/>
        <v>13</v>
      </c>
      <c r="AP376" s="37" t="e">
        <f t="shared" si="386"/>
        <v>#DIV/0!</v>
      </c>
      <c r="AQ376" s="40"/>
      <c r="AR376" s="42">
        <f t="shared" si="374"/>
        <v>13</v>
      </c>
      <c r="AS376" s="36">
        <f>'1.DATA KIA'!AB358</f>
        <v>0</v>
      </c>
      <c r="AT376" s="33">
        <f t="shared" si="387"/>
        <v>13</v>
      </c>
      <c r="AU376" s="37">
        <f t="shared" si="388"/>
        <v>26.915113871635612</v>
      </c>
      <c r="AV376" s="40"/>
      <c r="AW376" s="36">
        <f t="shared" si="375"/>
        <v>1</v>
      </c>
      <c r="AX376" s="33">
        <f>'1.DATA KIA'!AF358</f>
        <v>0</v>
      </c>
      <c r="AY376" s="36">
        <f t="shared" si="389"/>
        <v>1</v>
      </c>
      <c r="AZ376" s="37">
        <f t="shared" si="390"/>
        <v>9.8814229249011838</v>
      </c>
      <c r="BA376" s="38"/>
    </row>
    <row r="377" spans="1:53" ht="30" customHeight="1" x14ac:dyDescent="0.35">
      <c r="A377" s="33">
        <v>11</v>
      </c>
      <c r="B377" s="34" t="str">
        <f>PETUNJUK!B19</f>
        <v>Krasak</v>
      </c>
      <c r="C377" s="35">
        <f>'1.DATA KIA'!C359</f>
        <v>117.7</v>
      </c>
      <c r="D377" s="35">
        <f>'1.DATA KIA'!D359</f>
        <v>112.35000000000001</v>
      </c>
      <c r="E377" s="35">
        <f t="shared" si="360"/>
        <v>0</v>
      </c>
      <c r="F377" s="36">
        <f t="shared" si="361"/>
        <v>45</v>
      </c>
      <c r="G377" s="36">
        <f>'1.DATA KIA'!F359</f>
        <v>0</v>
      </c>
      <c r="H377" s="36">
        <f t="shared" si="376"/>
        <v>45</v>
      </c>
      <c r="I377" s="37">
        <f t="shared" si="362"/>
        <v>38.232795242141037</v>
      </c>
      <c r="J377" s="40"/>
      <c r="K377" s="36">
        <f t="shared" si="363"/>
        <v>22</v>
      </c>
      <c r="L377" s="33">
        <f>'1.DATA KIA'!J359</f>
        <v>0</v>
      </c>
      <c r="M377" s="36">
        <f t="shared" si="377"/>
        <v>22</v>
      </c>
      <c r="N377" s="37">
        <f t="shared" si="378"/>
        <v>19.581664441477525</v>
      </c>
      <c r="O377" s="40"/>
      <c r="P377" s="36">
        <f t="shared" si="364"/>
        <v>29</v>
      </c>
      <c r="Q377" s="33">
        <f>'1.DATA KIA'!M359</f>
        <v>0</v>
      </c>
      <c r="R377" s="36">
        <f t="shared" si="379"/>
        <v>29</v>
      </c>
      <c r="S377" s="37">
        <f t="shared" si="380"/>
        <v>25.812194036493104</v>
      </c>
      <c r="T377" s="40"/>
      <c r="U377" s="33">
        <f t="shared" si="365"/>
        <v>5</v>
      </c>
      <c r="V377" s="36">
        <f>'1.DATA KIA'!Y359</f>
        <v>0</v>
      </c>
      <c r="W377" s="33">
        <f t="shared" si="381"/>
        <v>5</v>
      </c>
      <c r="X377" s="37">
        <f t="shared" si="366"/>
        <v>21.240441801189462</v>
      </c>
      <c r="Y377" s="40"/>
      <c r="Z377" s="33">
        <f t="shared" si="367"/>
        <v>6</v>
      </c>
      <c r="AA377" s="36">
        <f>'1.DATA KIA'!Z359</f>
        <v>0</v>
      </c>
      <c r="AB377" s="33">
        <f t="shared" si="382"/>
        <v>6</v>
      </c>
      <c r="AC377" s="37">
        <f t="shared" si="368"/>
        <v>25.488530161427352</v>
      </c>
      <c r="AD377" s="40"/>
      <c r="AE377" s="33">
        <f t="shared" si="369"/>
        <v>3</v>
      </c>
      <c r="AF377" s="41">
        <f>'8.ANCTEPADU'!D406+'8.ANCTEPADU'!E406</f>
        <v>0</v>
      </c>
      <c r="AG377" s="33">
        <f t="shared" si="383"/>
        <v>3</v>
      </c>
      <c r="AH377" s="37">
        <f t="shared" si="370"/>
        <v>2.5488530161427359</v>
      </c>
      <c r="AI377" s="33">
        <f t="shared" si="371"/>
        <v>4</v>
      </c>
      <c r="AJ377" s="41">
        <f>'8.ANCTEPADU'!J406</f>
        <v>0</v>
      </c>
      <c r="AK377" s="33">
        <f t="shared" si="384"/>
        <v>4</v>
      </c>
      <c r="AL377" s="37">
        <f t="shared" si="372"/>
        <v>3.3984706881903146</v>
      </c>
      <c r="AM377" s="36">
        <f t="shared" si="373"/>
        <v>29</v>
      </c>
      <c r="AN377" s="36">
        <f>'1.DATA KIA'!AG359</f>
        <v>0</v>
      </c>
      <c r="AO377" s="33">
        <f t="shared" si="385"/>
        <v>29</v>
      </c>
      <c r="AP377" s="37" t="e">
        <f t="shared" si="386"/>
        <v>#DIV/0!</v>
      </c>
      <c r="AQ377" s="40"/>
      <c r="AR377" s="42">
        <f t="shared" si="374"/>
        <v>29</v>
      </c>
      <c r="AS377" s="36">
        <f>'1.DATA KIA'!AB359</f>
        <v>0</v>
      </c>
      <c r="AT377" s="33">
        <f t="shared" si="387"/>
        <v>29</v>
      </c>
      <c r="AU377" s="37">
        <f t="shared" si="388"/>
        <v>25.812194036493104</v>
      </c>
      <c r="AV377" s="40"/>
      <c r="AW377" s="36">
        <f t="shared" si="375"/>
        <v>7</v>
      </c>
      <c r="AX377" s="33">
        <f>'1.DATA KIA'!AF359</f>
        <v>0</v>
      </c>
      <c r="AY377" s="36">
        <f t="shared" si="389"/>
        <v>7</v>
      </c>
      <c r="AZ377" s="37">
        <f t="shared" si="390"/>
        <v>29.73661852166525</v>
      </c>
      <c r="BA377" s="38"/>
    </row>
    <row r="378" spans="1:53" ht="30" customHeight="1" x14ac:dyDescent="0.35">
      <c r="A378" s="33">
        <v>12</v>
      </c>
      <c r="B378" s="34" t="str">
        <f>PETUNJUK!B20</f>
        <v>Gerdu</v>
      </c>
      <c r="C378" s="35">
        <f>'1.DATA KIA'!C360</f>
        <v>23.1</v>
      </c>
      <c r="D378" s="35">
        <f>'1.DATA KIA'!D360</f>
        <v>22.05</v>
      </c>
      <c r="E378" s="35">
        <f t="shared" si="360"/>
        <v>0</v>
      </c>
      <c r="F378" s="36">
        <f t="shared" si="361"/>
        <v>8</v>
      </c>
      <c r="G378" s="36">
        <f>'1.DATA KIA'!F360</f>
        <v>0</v>
      </c>
      <c r="H378" s="36">
        <f t="shared" si="376"/>
        <v>8</v>
      </c>
      <c r="I378" s="37">
        <f t="shared" si="362"/>
        <v>34.632034632034632</v>
      </c>
      <c r="J378" s="40"/>
      <c r="K378" s="36">
        <f t="shared" si="363"/>
        <v>8</v>
      </c>
      <c r="L378" s="33">
        <f>'1.DATA KIA'!J360</f>
        <v>0</v>
      </c>
      <c r="M378" s="36">
        <f t="shared" si="377"/>
        <v>8</v>
      </c>
      <c r="N378" s="37">
        <f t="shared" si="378"/>
        <v>36.281179138321995</v>
      </c>
      <c r="O378" s="40"/>
      <c r="P378" s="36">
        <f t="shared" si="364"/>
        <v>8</v>
      </c>
      <c r="Q378" s="33">
        <f>'1.DATA KIA'!M360</f>
        <v>0</v>
      </c>
      <c r="R378" s="36">
        <f t="shared" si="379"/>
        <v>8</v>
      </c>
      <c r="S378" s="37">
        <f t="shared" si="380"/>
        <v>36.281179138321995</v>
      </c>
      <c r="T378" s="40"/>
      <c r="U378" s="33">
        <f t="shared" si="365"/>
        <v>2</v>
      </c>
      <c r="V378" s="36">
        <f>'1.DATA KIA'!Y360</f>
        <v>0</v>
      </c>
      <c r="W378" s="33">
        <f t="shared" si="381"/>
        <v>2</v>
      </c>
      <c r="X378" s="37">
        <f t="shared" si="366"/>
        <v>43.290043290043286</v>
      </c>
      <c r="Y378" s="40"/>
      <c r="Z378" s="33">
        <f t="shared" si="367"/>
        <v>1</v>
      </c>
      <c r="AA378" s="36">
        <f>'1.DATA KIA'!Z360</f>
        <v>0</v>
      </c>
      <c r="AB378" s="33">
        <f t="shared" si="382"/>
        <v>1</v>
      </c>
      <c r="AC378" s="37">
        <f t="shared" si="368"/>
        <v>21.645021645021643</v>
      </c>
      <c r="AD378" s="40"/>
      <c r="AE378" s="33">
        <f t="shared" si="369"/>
        <v>0</v>
      </c>
      <c r="AF378" s="41">
        <f>'8.ANCTEPADU'!D407+'8.ANCTEPADU'!E407</f>
        <v>0</v>
      </c>
      <c r="AG378" s="33">
        <f t="shared" si="383"/>
        <v>0</v>
      </c>
      <c r="AH378" s="37">
        <f t="shared" si="370"/>
        <v>0</v>
      </c>
      <c r="AI378" s="33">
        <f t="shared" si="371"/>
        <v>1</v>
      </c>
      <c r="AJ378" s="41">
        <f>'8.ANCTEPADU'!J407</f>
        <v>0</v>
      </c>
      <c r="AK378" s="33">
        <f t="shared" si="384"/>
        <v>1</v>
      </c>
      <c r="AL378" s="37">
        <f t="shared" si="372"/>
        <v>4.329004329004329</v>
      </c>
      <c r="AM378" s="36">
        <f t="shared" si="373"/>
        <v>5</v>
      </c>
      <c r="AN378" s="36">
        <f>'1.DATA KIA'!AG360</f>
        <v>0</v>
      </c>
      <c r="AO378" s="33">
        <f t="shared" ref="AO378:AO388" si="391">AN378+AM378</f>
        <v>5</v>
      </c>
      <c r="AP378" s="37" t="e">
        <f t="shared" si="386"/>
        <v>#DIV/0!</v>
      </c>
      <c r="AQ378" s="40"/>
      <c r="AR378" s="42">
        <f t="shared" si="374"/>
        <v>5</v>
      </c>
      <c r="AS378" s="36">
        <f>'1.DATA KIA'!AB360</f>
        <v>0</v>
      </c>
      <c r="AT378" s="33">
        <f t="shared" ref="AT378:AT388" si="392">AS378+AR378</f>
        <v>5</v>
      </c>
      <c r="AU378" s="37">
        <f t="shared" si="388"/>
        <v>22.675736961451246</v>
      </c>
      <c r="AV378" s="40"/>
      <c r="AW378" s="36">
        <f t="shared" si="375"/>
        <v>2</v>
      </c>
      <c r="AX378" s="33">
        <f>'1.DATA KIA'!AF360</f>
        <v>0</v>
      </c>
      <c r="AY378" s="36">
        <f t="shared" si="389"/>
        <v>2</v>
      </c>
      <c r="AZ378" s="37">
        <f t="shared" si="390"/>
        <v>43.290043290043286</v>
      </c>
      <c r="BA378" s="38"/>
    </row>
    <row r="379" spans="1:53" ht="30" customHeight="1" x14ac:dyDescent="0.35">
      <c r="A379" s="33">
        <v>13</v>
      </c>
      <c r="B379" s="34">
        <f>PETUNJUK!B21</f>
        <v>0</v>
      </c>
      <c r="C379" s="35">
        <f>'1.DATA KIA'!C361</f>
        <v>0</v>
      </c>
      <c r="D379" s="35">
        <f>'1.DATA KIA'!D361</f>
        <v>0</v>
      </c>
      <c r="E379" s="35">
        <f t="shared" si="360"/>
        <v>0</v>
      </c>
      <c r="F379" s="36">
        <f t="shared" si="361"/>
        <v>0</v>
      </c>
      <c r="G379" s="36">
        <f>'1.DATA KIA'!F361</f>
        <v>0</v>
      </c>
      <c r="H379" s="36">
        <f t="shared" si="376"/>
        <v>0</v>
      </c>
      <c r="I379" s="37" t="e">
        <f t="shared" si="362"/>
        <v>#DIV/0!</v>
      </c>
      <c r="J379" s="40"/>
      <c r="K379" s="36">
        <f t="shared" si="363"/>
        <v>0</v>
      </c>
      <c r="L379" s="33">
        <f>'1.DATA KIA'!J361</f>
        <v>0</v>
      </c>
      <c r="M379" s="36">
        <f t="shared" si="377"/>
        <v>0</v>
      </c>
      <c r="N379" s="37" t="e">
        <f t="shared" si="378"/>
        <v>#DIV/0!</v>
      </c>
      <c r="O379" s="40"/>
      <c r="P379" s="36">
        <f t="shared" si="364"/>
        <v>0</v>
      </c>
      <c r="Q379" s="33">
        <f>'1.DATA KIA'!M361</f>
        <v>0</v>
      </c>
      <c r="R379" s="36">
        <f t="shared" si="379"/>
        <v>0</v>
      </c>
      <c r="S379" s="37" t="e">
        <f t="shared" si="380"/>
        <v>#DIV/0!</v>
      </c>
      <c r="T379" s="40"/>
      <c r="U379" s="33">
        <f t="shared" si="365"/>
        <v>0</v>
      </c>
      <c r="V379" s="36">
        <f>'1.DATA KIA'!Y361</f>
        <v>0</v>
      </c>
      <c r="W379" s="33">
        <f t="shared" si="381"/>
        <v>0</v>
      </c>
      <c r="X379" s="37" t="e">
        <f t="shared" si="366"/>
        <v>#DIV/0!</v>
      </c>
      <c r="Y379" s="40"/>
      <c r="Z379" s="33">
        <f t="shared" si="367"/>
        <v>0</v>
      </c>
      <c r="AA379" s="36">
        <f>'1.DATA KIA'!Z361</f>
        <v>0</v>
      </c>
      <c r="AB379" s="33">
        <f t="shared" si="382"/>
        <v>0</v>
      </c>
      <c r="AC379" s="37" t="e">
        <f t="shared" si="368"/>
        <v>#DIV/0!</v>
      </c>
      <c r="AD379" s="40"/>
      <c r="AE379" s="33">
        <f t="shared" si="369"/>
        <v>0</v>
      </c>
      <c r="AF379" s="41">
        <f>'8.ANCTEPADU'!D408+'8.ANCTEPADU'!E408</f>
        <v>0</v>
      </c>
      <c r="AG379" s="33">
        <f t="shared" si="383"/>
        <v>0</v>
      </c>
      <c r="AH379" s="37" t="e">
        <f t="shared" si="370"/>
        <v>#DIV/0!</v>
      </c>
      <c r="AI379" s="33">
        <f t="shared" si="371"/>
        <v>0</v>
      </c>
      <c r="AJ379" s="41">
        <f>'8.ANCTEPADU'!J408</f>
        <v>0</v>
      </c>
      <c r="AK379" s="33">
        <f t="shared" si="384"/>
        <v>0</v>
      </c>
      <c r="AL379" s="37" t="e">
        <f t="shared" si="372"/>
        <v>#DIV/0!</v>
      </c>
      <c r="AM379" s="36">
        <f t="shared" si="373"/>
        <v>0</v>
      </c>
      <c r="AN379" s="36">
        <f>'1.DATA KIA'!AG361</f>
        <v>0</v>
      </c>
      <c r="AO379" s="33">
        <f t="shared" si="391"/>
        <v>0</v>
      </c>
      <c r="AP379" s="37" t="e">
        <f t="shared" si="386"/>
        <v>#DIV/0!</v>
      </c>
      <c r="AQ379" s="40"/>
      <c r="AR379" s="42">
        <f t="shared" si="374"/>
        <v>0</v>
      </c>
      <c r="AS379" s="36">
        <f>'1.DATA KIA'!AB361</f>
        <v>0</v>
      </c>
      <c r="AT379" s="33">
        <f t="shared" si="392"/>
        <v>0</v>
      </c>
      <c r="AU379" s="37" t="e">
        <f t="shared" si="388"/>
        <v>#DIV/0!</v>
      </c>
      <c r="AV379" s="40"/>
      <c r="AW379" s="36">
        <f t="shared" si="375"/>
        <v>0</v>
      </c>
      <c r="AX379" s="33">
        <f>'1.DATA KIA'!AF361</f>
        <v>0</v>
      </c>
      <c r="AY379" s="36">
        <f t="shared" si="389"/>
        <v>0</v>
      </c>
      <c r="AZ379" s="37" t="e">
        <f t="shared" si="390"/>
        <v>#DIV/0!</v>
      </c>
      <c r="BA379" s="38"/>
    </row>
    <row r="380" spans="1:53" ht="30" customHeight="1" x14ac:dyDescent="0.35">
      <c r="A380" s="33">
        <v>14</v>
      </c>
      <c r="B380" s="34">
        <f>PETUNJUK!B22</f>
        <v>0</v>
      </c>
      <c r="C380" s="35">
        <f>'1.DATA KIA'!C362</f>
        <v>0</v>
      </c>
      <c r="D380" s="35">
        <f>'1.DATA KIA'!D362</f>
        <v>0</v>
      </c>
      <c r="E380" s="35">
        <f t="shared" si="360"/>
        <v>0</v>
      </c>
      <c r="F380" s="36">
        <f t="shared" si="361"/>
        <v>0</v>
      </c>
      <c r="G380" s="36">
        <f>'1.DATA KIA'!F362</f>
        <v>0</v>
      </c>
      <c r="H380" s="36">
        <f t="shared" si="376"/>
        <v>0</v>
      </c>
      <c r="I380" s="37" t="e">
        <f t="shared" si="362"/>
        <v>#DIV/0!</v>
      </c>
      <c r="J380" s="40"/>
      <c r="K380" s="36">
        <f t="shared" si="363"/>
        <v>0</v>
      </c>
      <c r="L380" s="33">
        <f>'1.DATA KIA'!J362</f>
        <v>0</v>
      </c>
      <c r="M380" s="36">
        <f t="shared" si="377"/>
        <v>0</v>
      </c>
      <c r="N380" s="37" t="e">
        <f t="shared" si="378"/>
        <v>#DIV/0!</v>
      </c>
      <c r="O380" s="40"/>
      <c r="P380" s="36">
        <f t="shared" si="364"/>
        <v>0</v>
      </c>
      <c r="Q380" s="33">
        <f>'1.DATA KIA'!M362</f>
        <v>0</v>
      </c>
      <c r="R380" s="36">
        <f t="shared" si="379"/>
        <v>0</v>
      </c>
      <c r="S380" s="37" t="e">
        <f t="shared" si="380"/>
        <v>#DIV/0!</v>
      </c>
      <c r="T380" s="40"/>
      <c r="U380" s="33">
        <f t="shared" si="365"/>
        <v>0</v>
      </c>
      <c r="V380" s="36">
        <f>'1.DATA KIA'!Y362</f>
        <v>0</v>
      </c>
      <c r="W380" s="33">
        <f t="shared" si="381"/>
        <v>0</v>
      </c>
      <c r="X380" s="37" t="e">
        <f t="shared" si="366"/>
        <v>#DIV/0!</v>
      </c>
      <c r="Y380" s="40"/>
      <c r="Z380" s="33">
        <f t="shared" si="367"/>
        <v>0</v>
      </c>
      <c r="AA380" s="36">
        <f>'1.DATA KIA'!Z362</f>
        <v>0</v>
      </c>
      <c r="AB380" s="33">
        <f t="shared" si="382"/>
        <v>0</v>
      </c>
      <c r="AC380" s="37" t="e">
        <f t="shared" si="368"/>
        <v>#DIV/0!</v>
      </c>
      <c r="AD380" s="40"/>
      <c r="AE380" s="33">
        <f t="shared" si="369"/>
        <v>0</v>
      </c>
      <c r="AF380" s="41">
        <f>'8.ANCTEPADU'!D409+'8.ANCTEPADU'!E409</f>
        <v>0</v>
      </c>
      <c r="AG380" s="33">
        <f t="shared" si="383"/>
        <v>0</v>
      </c>
      <c r="AH380" s="37" t="e">
        <f t="shared" si="370"/>
        <v>#DIV/0!</v>
      </c>
      <c r="AI380" s="33">
        <f t="shared" si="371"/>
        <v>0</v>
      </c>
      <c r="AJ380" s="41">
        <f>'8.ANCTEPADU'!J409</f>
        <v>0</v>
      </c>
      <c r="AK380" s="33">
        <f t="shared" si="384"/>
        <v>0</v>
      </c>
      <c r="AL380" s="37" t="e">
        <f t="shared" si="372"/>
        <v>#DIV/0!</v>
      </c>
      <c r="AM380" s="36">
        <f t="shared" si="373"/>
        <v>0</v>
      </c>
      <c r="AN380" s="36">
        <f>'1.DATA KIA'!AG362</f>
        <v>0</v>
      </c>
      <c r="AO380" s="33">
        <f t="shared" si="391"/>
        <v>0</v>
      </c>
      <c r="AP380" s="37" t="e">
        <f t="shared" si="386"/>
        <v>#DIV/0!</v>
      </c>
      <c r="AQ380" s="40"/>
      <c r="AR380" s="42">
        <f t="shared" si="374"/>
        <v>0</v>
      </c>
      <c r="AS380" s="36">
        <f>'1.DATA KIA'!AB362</f>
        <v>0</v>
      </c>
      <c r="AT380" s="33">
        <f t="shared" si="392"/>
        <v>0</v>
      </c>
      <c r="AU380" s="37" t="e">
        <f t="shared" si="388"/>
        <v>#DIV/0!</v>
      </c>
      <c r="AV380" s="40"/>
      <c r="AW380" s="36">
        <f t="shared" si="375"/>
        <v>0</v>
      </c>
      <c r="AX380" s="33">
        <f>'1.DATA KIA'!AF362</f>
        <v>0</v>
      </c>
      <c r="AY380" s="36">
        <f t="shared" si="389"/>
        <v>0</v>
      </c>
      <c r="AZ380" s="37" t="e">
        <f t="shared" si="390"/>
        <v>#DIV/0!</v>
      </c>
      <c r="BA380" s="38"/>
    </row>
    <row r="381" spans="1:53" ht="30" customHeight="1" x14ac:dyDescent="0.35">
      <c r="A381" s="33">
        <v>15</v>
      </c>
      <c r="B381" s="34">
        <f>PETUNJUK!B23</f>
        <v>0</v>
      </c>
      <c r="C381" s="35">
        <f>'1.DATA KIA'!C363</f>
        <v>0</v>
      </c>
      <c r="D381" s="35">
        <f>'1.DATA KIA'!D363</f>
        <v>0</v>
      </c>
      <c r="E381" s="35">
        <f t="shared" si="360"/>
        <v>0</v>
      </c>
      <c r="F381" s="36">
        <f t="shared" si="361"/>
        <v>0</v>
      </c>
      <c r="G381" s="36">
        <f>'1.DATA KIA'!F363</f>
        <v>0</v>
      </c>
      <c r="H381" s="36">
        <f t="shared" si="376"/>
        <v>0</v>
      </c>
      <c r="I381" s="37" t="e">
        <f t="shared" si="362"/>
        <v>#DIV/0!</v>
      </c>
      <c r="J381" s="40"/>
      <c r="K381" s="36">
        <f t="shared" si="363"/>
        <v>0</v>
      </c>
      <c r="L381" s="33">
        <f>'1.DATA KIA'!J363</f>
        <v>0</v>
      </c>
      <c r="M381" s="36">
        <f t="shared" si="377"/>
        <v>0</v>
      </c>
      <c r="N381" s="37" t="e">
        <f t="shared" si="378"/>
        <v>#DIV/0!</v>
      </c>
      <c r="O381" s="40"/>
      <c r="P381" s="36">
        <f t="shared" si="364"/>
        <v>0</v>
      </c>
      <c r="Q381" s="33">
        <f>'1.DATA KIA'!M363</f>
        <v>0</v>
      </c>
      <c r="R381" s="36">
        <f t="shared" si="379"/>
        <v>0</v>
      </c>
      <c r="S381" s="37" t="e">
        <f t="shared" si="380"/>
        <v>#DIV/0!</v>
      </c>
      <c r="T381" s="40"/>
      <c r="U381" s="33">
        <f t="shared" si="365"/>
        <v>0</v>
      </c>
      <c r="V381" s="36">
        <f>'1.DATA KIA'!Y363</f>
        <v>0</v>
      </c>
      <c r="W381" s="33">
        <f t="shared" si="381"/>
        <v>0</v>
      </c>
      <c r="X381" s="37" t="e">
        <f t="shared" si="366"/>
        <v>#DIV/0!</v>
      </c>
      <c r="Y381" s="40"/>
      <c r="Z381" s="33">
        <f t="shared" si="367"/>
        <v>0</v>
      </c>
      <c r="AA381" s="36">
        <f>'1.DATA KIA'!Z363</f>
        <v>0</v>
      </c>
      <c r="AB381" s="33">
        <f t="shared" si="382"/>
        <v>0</v>
      </c>
      <c r="AC381" s="37" t="e">
        <f t="shared" si="368"/>
        <v>#DIV/0!</v>
      </c>
      <c r="AD381" s="40"/>
      <c r="AE381" s="33">
        <f t="shared" si="369"/>
        <v>0</v>
      </c>
      <c r="AF381" s="41">
        <f>'8.ANCTEPADU'!D410+'8.ANCTEPADU'!E410</f>
        <v>0</v>
      </c>
      <c r="AG381" s="33">
        <f t="shared" si="383"/>
        <v>0</v>
      </c>
      <c r="AH381" s="37" t="e">
        <f t="shared" si="370"/>
        <v>#DIV/0!</v>
      </c>
      <c r="AI381" s="33">
        <f t="shared" si="371"/>
        <v>0</v>
      </c>
      <c r="AJ381" s="41">
        <f>'8.ANCTEPADU'!J410</f>
        <v>0</v>
      </c>
      <c r="AK381" s="33">
        <f t="shared" si="384"/>
        <v>0</v>
      </c>
      <c r="AL381" s="37" t="e">
        <f t="shared" si="372"/>
        <v>#DIV/0!</v>
      </c>
      <c r="AM381" s="36">
        <f t="shared" si="373"/>
        <v>0</v>
      </c>
      <c r="AN381" s="36">
        <f>'1.DATA KIA'!AG363</f>
        <v>0</v>
      </c>
      <c r="AO381" s="33">
        <f t="shared" si="391"/>
        <v>0</v>
      </c>
      <c r="AP381" s="37" t="e">
        <f t="shared" si="386"/>
        <v>#DIV/0!</v>
      </c>
      <c r="AQ381" s="40"/>
      <c r="AR381" s="42">
        <f t="shared" si="374"/>
        <v>0</v>
      </c>
      <c r="AS381" s="36">
        <f>'1.DATA KIA'!AB363</f>
        <v>0</v>
      </c>
      <c r="AT381" s="33">
        <f t="shared" si="392"/>
        <v>0</v>
      </c>
      <c r="AU381" s="37" t="e">
        <f t="shared" si="388"/>
        <v>#DIV/0!</v>
      </c>
      <c r="AV381" s="40"/>
      <c r="AW381" s="36">
        <f t="shared" si="375"/>
        <v>0</v>
      </c>
      <c r="AX381" s="33">
        <f>'1.DATA KIA'!AF363</f>
        <v>0</v>
      </c>
      <c r="AY381" s="36">
        <f t="shared" si="389"/>
        <v>0</v>
      </c>
      <c r="AZ381" s="37" t="e">
        <f t="shared" si="390"/>
        <v>#DIV/0!</v>
      </c>
      <c r="BA381" s="38"/>
    </row>
    <row r="382" spans="1:53" ht="30" customHeight="1" x14ac:dyDescent="0.35">
      <c r="A382" s="33">
        <v>16</v>
      </c>
      <c r="B382" s="34">
        <f>PETUNJUK!B24</f>
        <v>0</v>
      </c>
      <c r="C382" s="35">
        <f>'1.DATA KIA'!C364</f>
        <v>0</v>
      </c>
      <c r="D382" s="35">
        <f>'1.DATA KIA'!D364</f>
        <v>0</v>
      </c>
      <c r="E382" s="35">
        <f t="shared" si="360"/>
        <v>0</v>
      </c>
      <c r="F382" s="36">
        <f t="shared" si="361"/>
        <v>0</v>
      </c>
      <c r="G382" s="36">
        <f>'1.DATA KIA'!F364</f>
        <v>0</v>
      </c>
      <c r="H382" s="36">
        <f t="shared" si="376"/>
        <v>0</v>
      </c>
      <c r="I382" s="37" t="e">
        <f t="shared" si="362"/>
        <v>#DIV/0!</v>
      </c>
      <c r="J382" s="40"/>
      <c r="K382" s="36">
        <f t="shared" si="363"/>
        <v>0</v>
      </c>
      <c r="L382" s="33">
        <f>'1.DATA KIA'!J364</f>
        <v>0</v>
      </c>
      <c r="M382" s="36">
        <f t="shared" si="377"/>
        <v>0</v>
      </c>
      <c r="N382" s="37" t="e">
        <f t="shared" si="378"/>
        <v>#DIV/0!</v>
      </c>
      <c r="O382" s="40"/>
      <c r="P382" s="36">
        <f t="shared" si="364"/>
        <v>0</v>
      </c>
      <c r="Q382" s="33">
        <f>'1.DATA KIA'!M364</f>
        <v>0</v>
      </c>
      <c r="R382" s="36">
        <f t="shared" si="379"/>
        <v>0</v>
      </c>
      <c r="S382" s="37" t="e">
        <f t="shared" si="380"/>
        <v>#DIV/0!</v>
      </c>
      <c r="T382" s="40"/>
      <c r="U382" s="33">
        <f t="shared" si="365"/>
        <v>0</v>
      </c>
      <c r="V382" s="36">
        <f>'1.DATA KIA'!Y364</f>
        <v>0</v>
      </c>
      <c r="W382" s="33">
        <f t="shared" si="381"/>
        <v>0</v>
      </c>
      <c r="X382" s="37" t="e">
        <f t="shared" si="366"/>
        <v>#DIV/0!</v>
      </c>
      <c r="Y382" s="40"/>
      <c r="Z382" s="33">
        <f t="shared" si="367"/>
        <v>0</v>
      </c>
      <c r="AA382" s="36">
        <f>'1.DATA KIA'!Z364</f>
        <v>0</v>
      </c>
      <c r="AB382" s="33">
        <f t="shared" si="382"/>
        <v>0</v>
      </c>
      <c r="AC382" s="37" t="e">
        <f t="shared" si="368"/>
        <v>#DIV/0!</v>
      </c>
      <c r="AD382" s="40"/>
      <c r="AE382" s="33">
        <f t="shared" si="369"/>
        <v>0</v>
      </c>
      <c r="AF382" s="41">
        <f>'8.ANCTEPADU'!D411+'8.ANCTEPADU'!E411</f>
        <v>0</v>
      </c>
      <c r="AG382" s="33">
        <f t="shared" si="383"/>
        <v>0</v>
      </c>
      <c r="AH382" s="37" t="e">
        <f t="shared" si="370"/>
        <v>#DIV/0!</v>
      </c>
      <c r="AI382" s="33">
        <f t="shared" si="371"/>
        <v>0</v>
      </c>
      <c r="AJ382" s="41">
        <f>'8.ANCTEPADU'!J411</f>
        <v>0</v>
      </c>
      <c r="AK382" s="33">
        <f t="shared" si="384"/>
        <v>0</v>
      </c>
      <c r="AL382" s="37" t="e">
        <f t="shared" si="372"/>
        <v>#DIV/0!</v>
      </c>
      <c r="AM382" s="36">
        <f t="shared" si="373"/>
        <v>0</v>
      </c>
      <c r="AN382" s="36">
        <f>'1.DATA KIA'!AG364</f>
        <v>0</v>
      </c>
      <c r="AO382" s="33">
        <f t="shared" si="391"/>
        <v>0</v>
      </c>
      <c r="AP382" s="37" t="e">
        <f t="shared" si="386"/>
        <v>#DIV/0!</v>
      </c>
      <c r="AQ382" s="40"/>
      <c r="AR382" s="42">
        <f t="shared" si="374"/>
        <v>0</v>
      </c>
      <c r="AS382" s="36">
        <f>'1.DATA KIA'!AB364</f>
        <v>0</v>
      </c>
      <c r="AT382" s="33">
        <f t="shared" si="392"/>
        <v>0</v>
      </c>
      <c r="AU382" s="37" t="e">
        <f t="shared" si="388"/>
        <v>#DIV/0!</v>
      </c>
      <c r="AV382" s="40"/>
      <c r="AW382" s="36">
        <f t="shared" si="375"/>
        <v>0</v>
      </c>
      <c r="AX382" s="33">
        <f>'1.DATA KIA'!AF364</f>
        <v>0</v>
      </c>
      <c r="AY382" s="36">
        <f t="shared" si="389"/>
        <v>0</v>
      </c>
      <c r="AZ382" s="37" t="e">
        <f t="shared" si="390"/>
        <v>#DIV/0!</v>
      </c>
      <c r="BA382" s="38"/>
    </row>
    <row r="383" spans="1:53" ht="30" customHeight="1" x14ac:dyDescent="0.35">
      <c r="A383" s="33">
        <v>17</v>
      </c>
      <c r="B383" s="34">
        <f>PETUNJUK!B25</f>
        <v>0</v>
      </c>
      <c r="C383" s="35">
        <f>'1.DATA KIA'!C365</f>
        <v>0</v>
      </c>
      <c r="D383" s="35">
        <f>'1.DATA KIA'!D365</f>
        <v>0</v>
      </c>
      <c r="E383" s="35">
        <f t="shared" si="360"/>
        <v>0</v>
      </c>
      <c r="F383" s="36">
        <f t="shared" si="361"/>
        <v>0</v>
      </c>
      <c r="G383" s="36">
        <f>'1.DATA KIA'!F365</f>
        <v>0</v>
      </c>
      <c r="H383" s="36">
        <f t="shared" ref="H383:H388" si="393">F383+G383</f>
        <v>0</v>
      </c>
      <c r="I383" s="37" t="e">
        <f t="shared" ref="I383:I389" si="394">H383/C383*100</f>
        <v>#DIV/0!</v>
      </c>
      <c r="J383" s="40"/>
      <c r="K383" s="36">
        <f t="shared" si="363"/>
        <v>0</v>
      </c>
      <c r="L383" s="33">
        <f>'1.DATA KIA'!J365</f>
        <v>0</v>
      </c>
      <c r="M383" s="36">
        <f t="shared" ref="M383:M388" si="395">K383+L383</f>
        <v>0</v>
      </c>
      <c r="N383" s="37" t="e">
        <f t="shared" si="378"/>
        <v>#DIV/0!</v>
      </c>
      <c r="O383" s="40"/>
      <c r="P383" s="36">
        <f t="shared" si="364"/>
        <v>0</v>
      </c>
      <c r="Q383" s="33">
        <f>'1.DATA KIA'!M365</f>
        <v>0</v>
      </c>
      <c r="R383" s="36">
        <f t="shared" si="379"/>
        <v>0</v>
      </c>
      <c r="S383" s="37" t="e">
        <f t="shared" si="380"/>
        <v>#DIV/0!</v>
      </c>
      <c r="T383" s="40"/>
      <c r="U383" s="33">
        <f t="shared" si="365"/>
        <v>0</v>
      </c>
      <c r="V383" s="36">
        <f>'1.DATA KIA'!Y365</f>
        <v>0</v>
      </c>
      <c r="W383" s="33">
        <f t="shared" ref="W383:W388" si="396">U383+V383</f>
        <v>0</v>
      </c>
      <c r="X383" s="37" t="e">
        <f t="shared" ref="X383:X389" si="397">W383/(20%*C383)*100</f>
        <v>#DIV/0!</v>
      </c>
      <c r="Y383" s="40"/>
      <c r="Z383" s="33">
        <f t="shared" si="367"/>
        <v>0</v>
      </c>
      <c r="AA383" s="36">
        <f>'1.DATA KIA'!Z365</f>
        <v>0</v>
      </c>
      <c r="AB383" s="33">
        <f t="shared" ref="AB383:AB388" si="398">Z383+AA383</f>
        <v>0</v>
      </c>
      <c r="AC383" s="37" t="e">
        <f t="shared" ref="AC383:AC389" si="399">AB383/(20%*C383)*100</f>
        <v>#DIV/0!</v>
      </c>
      <c r="AD383" s="40"/>
      <c r="AE383" s="33">
        <f t="shared" si="369"/>
        <v>0</v>
      </c>
      <c r="AF383" s="41">
        <f>'8.ANCTEPADU'!D412+'8.ANCTEPADU'!E412</f>
        <v>0</v>
      </c>
      <c r="AG383" s="33">
        <f t="shared" ref="AG383:AG388" si="400">AE383+AF383</f>
        <v>0</v>
      </c>
      <c r="AH383" s="37" t="e">
        <f t="shared" ref="AH383:AH389" si="401">AG383/C383*100</f>
        <v>#DIV/0!</v>
      </c>
      <c r="AI383" s="33">
        <f t="shared" si="371"/>
        <v>0</v>
      </c>
      <c r="AJ383" s="41">
        <f>'8.ANCTEPADU'!J412</f>
        <v>0</v>
      </c>
      <c r="AK383" s="33">
        <f t="shared" ref="AK383:AK388" si="402">AI383+AJ383</f>
        <v>0</v>
      </c>
      <c r="AL383" s="37" t="e">
        <f t="shared" ref="AL383:AL389" si="403">AK383/C383*100</f>
        <v>#DIV/0!</v>
      </c>
      <c r="AM383" s="36">
        <f t="shared" si="373"/>
        <v>0</v>
      </c>
      <c r="AN383" s="36">
        <f>'1.DATA KIA'!AG365</f>
        <v>0</v>
      </c>
      <c r="AO383" s="33">
        <f t="shared" si="391"/>
        <v>0</v>
      </c>
      <c r="AP383" s="37" t="e">
        <f t="shared" ref="AP383:AP389" si="404">AO383/E383*100</f>
        <v>#DIV/0!</v>
      </c>
      <c r="AQ383" s="40"/>
      <c r="AR383" s="42">
        <f t="shared" si="374"/>
        <v>0</v>
      </c>
      <c r="AS383" s="36">
        <f>'1.DATA KIA'!AB365</f>
        <v>0</v>
      </c>
      <c r="AT383" s="33">
        <f t="shared" si="392"/>
        <v>0</v>
      </c>
      <c r="AU383" s="37" t="e">
        <f t="shared" ref="AU383:AU389" si="405">AT383/D383*100</f>
        <v>#DIV/0!</v>
      </c>
      <c r="AV383" s="40"/>
      <c r="AW383" s="36">
        <f t="shared" si="375"/>
        <v>0</v>
      </c>
      <c r="AX383" s="33">
        <f>'1.DATA KIA'!AF365</f>
        <v>0</v>
      </c>
      <c r="AY383" s="36">
        <f t="shared" ref="AY383:AY388" si="406">AW383+AX383</f>
        <v>0</v>
      </c>
      <c r="AZ383" s="37" t="e">
        <f t="shared" ref="AZ383:AZ389" si="407">AY383/(20%*C383)*100</f>
        <v>#DIV/0!</v>
      </c>
      <c r="BA383" s="38"/>
    </row>
    <row r="384" spans="1:53" ht="30" customHeight="1" x14ac:dyDescent="0.35">
      <c r="A384" s="33">
        <v>18</v>
      </c>
      <c r="B384" s="34">
        <f>PETUNJUK!B26</f>
        <v>0</v>
      </c>
      <c r="C384" s="35">
        <f>'1.DATA KIA'!C366</f>
        <v>0</v>
      </c>
      <c r="D384" s="35">
        <f>'1.DATA KIA'!D366</f>
        <v>0</v>
      </c>
      <c r="E384" s="35">
        <f t="shared" si="360"/>
        <v>0</v>
      </c>
      <c r="F384" s="36">
        <f t="shared" si="361"/>
        <v>0</v>
      </c>
      <c r="G384" s="36">
        <f>'1.DATA KIA'!F366</f>
        <v>0</v>
      </c>
      <c r="H384" s="36">
        <f t="shared" si="393"/>
        <v>0</v>
      </c>
      <c r="I384" s="37" t="e">
        <f t="shared" si="394"/>
        <v>#DIV/0!</v>
      </c>
      <c r="J384" s="40"/>
      <c r="K384" s="36">
        <f t="shared" si="363"/>
        <v>0</v>
      </c>
      <c r="L384" s="33">
        <f>'1.DATA KIA'!J366</f>
        <v>0</v>
      </c>
      <c r="M384" s="36">
        <f t="shared" si="395"/>
        <v>0</v>
      </c>
      <c r="N384" s="37" t="e">
        <f t="shared" si="378"/>
        <v>#DIV/0!</v>
      </c>
      <c r="O384" s="40"/>
      <c r="P384" s="36">
        <f t="shared" si="364"/>
        <v>0</v>
      </c>
      <c r="Q384" s="33">
        <f>'1.DATA KIA'!M366</f>
        <v>0</v>
      </c>
      <c r="R384" s="36">
        <f t="shared" si="379"/>
        <v>0</v>
      </c>
      <c r="S384" s="37" t="e">
        <f t="shared" si="380"/>
        <v>#DIV/0!</v>
      </c>
      <c r="T384" s="40"/>
      <c r="U384" s="33">
        <f t="shared" si="365"/>
        <v>0</v>
      </c>
      <c r="V384" s="36">
        <f>'1.DATA KIA'!Y366</f>
        <v>0</v>
      </c>
      <c r="W384" s="33">
        <f t="shared" si="396"/>
        <v>0</v>
      </c>
      <c r="X384" s="37" t="e">
        <f t="shared" si="397"/>
        <v>#DIV/0!</v>
      </c>
      <c r="Y384" s="40"/>
      <c r="Z384" s="33">
        <f t="shared" si="367"/>
        <v>0</v>
      </c>
      <c r="AA384" s="36">
        <f>'1.DATA KIA'!Z366</f>
        <v>0</v>
      </c>
      <c r="AB384" s="33">
        <f t="shared" si="398"/>
        <v>0</v>
      </c>
      <c r="AC384" s="37" t="e">
        <f t="shared" si="399"/>
        <v>#DIV/0!</v>
      </c>
      <c r="AD384" s="40"/>
      <c r="AE384" s="33">
        <f t="shared" si="369"/>
        <v>0</v>
      </c>
      <c r="AF384" s="41">
        <f>'8.ANCTEPADU'!D413+'8.ANCTEPADU'!E413</f>
        <v>0</v>
      </c>
      <c r="AG384" s="33">
        <f t="shared" si="400"/>
        <v>0</v>
      </c>
      <c r="AH384" s="37" t="e">
        <f t="shared" si="401"/>
        <v>#DIV/0!</v>
      </c>
      <c r="AI384" s="33">
        <f t="shared" si="371"/>
        <v>0</v>
      </c>
      <c r="AJ384" s="41">
        <f>'8.ANCTEPADU'!J413</f>
        <v>0</v>
      </c>
      <c r="AK384" s="33">
        <f t="shared" si="402"/>
        <v>0</v>
      </c>
      <c r="AL384" s="37" t="e">
        <f t="shared" si="403"/>
        <v>#DIV/0!</v>
      </c>
      <c r="AM384" s="36">
        <f t="shared" si="373"/>
        <v>0</v>
      </c>
      <c r="AN384" s="36">
        <f>'1.DATA KIA'!AG366</f>
        <v>0</v>
      </c>
      <c r="AO384" s="33">
        <f t="shared" si="391"/>
        <v>0</v>
      </c>
      <c r="AP384" s="37" t="e">
        <f t="shared" si="404"/>
        <v>#DIV/0!</v>
      </c>
      <c r="AQ384" s="40"/>
      <c r="AR384" s="42">
        <f t="shared" si="374"/>
        <v>0</v>
      </c>
      <c r="AS384" s="36">
        <f>'1.DATA KIA'!AB366</f>
        <v>0</v>
      </c>
      <c r="AT384" s="33">
        <f t="shared" si="392"/>
        <v>0</v>
      </c>
      <c r="AU384" s="37" t="e">
        <f t="shared" si="405"/>
        <v>#DIV/0!</v>
      </c>
      <c r="AV384" s="40"/>
      <c r="AW384" s="36">
        <f t="shared" si="375"/>
        <v>0</v>
      </c>
      <c r="AX384" s="33">
        <f>'1.DATA KIA'!AF366</f>
        <v>0</v>
      </c>
      <c r="AY384" s="36">
        <f t="shared" si="406"/>
        <v>0</v>
      </c>
      <c r="AZ384" s="37" t="e">
        <f t="shared" si="407"/>
        <v>#DIV/0!</v>
      </c>
      <c r="BA384" s="38"/>
    </row>
    <row r="385" spans="1:54" ht="30" customHeight="1" x14ac:dyDescent="0.35">
      <c r="A385" s="33">
        <v>19</v>
      </c>
      <c r="B385" s="34">
        <f>PETUNJUK!B27</f>
        <v>0</v>
      </c>
      <c r="C385" s="35">
        <f>'1.DATA KIA'!C367</f>
        <v>0</v>
      </c>
      <c r="D385" s="35">
        <f>'1.DATA KIA'!D367</f>
        <v>0</v>
      </c>
      <c r="E385" s="35">
        <f>E349</f>
        <v>0</v>
      </c>
      <c r="F385" s="36">
        <f>H349</f>
        <v>0</v>
      </c>
      <c r="G385" s="36">
        <f>'1.DATA KIA'!F367</f>
        <v>0</v>
      </c>
      <c r="H385" s="36">
        <f t="shared" si="393"/>
        <v>0</v>
      </c>
      <c r="I385" s="37" t="e">
        <f t="shared" si="394"/>
        <v>#DIV/0!</v>
      </c>
      <c r="J385" s="40"/>
      <c r="K385" s="36">
        <f>M349</f>
        <v>0</v>
      </c>
      <c r="L385" s="33">
        <f>'1.DATA KIA'!J367</f>
        <v>0</v>
      </c>
      <c r="M385" s="36">
        <f t="shared" si="395"/>
        <v>0</v>
      </c>
      <c r="N385" s="37" t="e">
        <f t="shared" si="378"/>
        <v>#DIV/0!</v>
      </c>
      <c r="O385" s="40"/>
      <c r="P385" s="36">
        <f>R349</f>
        <v>0</v>
      </c>
      <c r="Q385" s="33">
        <f>'1.DATA KIA'!M367</f>
        <v>0</v>
      </c>
      <c r="R385" s="36">
        <f t="shared" si="379"/>
        <v>0</v>
      </c>
      <c r="S385" s="37" t="e">
        <f t="shared" si="380"/>
        <v>#DIV/0!</v>
      </c>
      <c r="T385" s="40"/>
      <c r="U385" s="33">
        <f>W349</f>
        <v>0</v>
      </c>
      <c r="V385" s="36">
        <f>'1.DATA KIA'!Y367</f>
        <v>0</v>
      </c>
      <c r="W385" s="33">
        <f t="shared" si="396"/>
        <v>0</v>
      </c>
      <c r="X385" s="37" t="e">
        <f t="shared" si="397"/>
        <v>#DIV/0!</v>
      </c>
      <c r="Y385" s="40"/>
      <c r="Z385" s="33">
        <f>AB349</f>
        <v>0</v>
      </c>
      <c r="AA385" s="36">
        <f>'1.DATA KIA'!Z367</f>
        <v>0</v>
      </c>
      <c r="AB385" s="33">
        <f t="shared" si="398"/>
        <v>0</v>
      </c>
      <c r="AC385" s="37" t="e">
        <f t="shared" si="399"/>
        <v>#DIV/0!</v>
      </c>
      <c r="AD385" s="40"/>
      <c r="AE385" s="33">
        <f>AG349</f>
        <v>0</v>
      </c>
      <c r="AF385" s="41">
        <f>'8.ANCTEPADU'!D418+'8.ANCTEPADU'!E418</f>
        <v>0</v>
      </c>
      <c r="AG385" s="33">
        <f t="shared" si="400"/>
        <v>0</v>
      </c>
      <c r="AH385" s="37" t="e">
        <f t="shared" si="401"/>
        <v>#DIV/0!</v>
      </c>
      <c r="AI385" s="33">
        <f>AK349</f>
        <v>0</v>
      </c>
      <c r="AJ385" s="41">
        <f>'8.ANCTEPADU'!J418</f>
        <v>0</v>
      </c>
      <c r="AK385" s="33">
        <f t="shared" si="402"/>
        <v>0</v>
      </c>
      <c r="AL385" s="37" t="e">
        <f t="shared" si="403"/>
        <v>#DIV/0!</v>
      </c>
      <c r="AM385" s="36">
        <f>AO349</f>
        <v>0</v>
      </c>
      <c r="AN385" s="36">
        <f>'1.DATA KIA'!AG367</f>
        <v>0</v>
      </c>
      <c r="AO385" s="33">
        <f t="shared" si="391"/>
        <v>0</v>
      </c>
      <c r="AP385" s="37" t="e">
        <f t="shared" si="404"/>
        <v>#DIV/0!</v>
      </c>
      <c r="AQ385" s="40"/>
      <c r="AR385" s="42">
        <f>AT349</f>
        <v>0</v>
      </c>
      <c r="AS385" s="36">
        <f>'1.DATA KIA'!AB367</f>
        <v>0</v>
      </c>
      <c r="AT385" s="33">
        <f t="shared" si="392"/>
        <v>0</v>
      </c>
      <c r="AU385" s="37" t="e">
        <f t="shared" si="405"/>
        <v>#DIV/0!</v>
      </c>
      <c r="AV385" s="40"/>
      <c r="AW385" s="36">
        <f>AY349</f>
        <v>0</v>
      </c>
      <c r="AX385" s="33">
        <f>'1.DATA KIA'!AF367</f>
        <v>0</v>
      </c>
      <c r="AY385" s="36">
        <f t="shared" si="406"/>
        <v>0</v>
      </c>
      <c r="AZ385" s="37" t="e">
        <f t="shared" si="407"/>
        <v>#DIV/0!</v>
      </c>
      <c r="BA385" s="38"/>
    </row>
    <row r="386" spans="1:54" ht="30" customHeight="1" x14ac:dyDescent="0.35">
      <c r="A386" s="33">
        <v>20</v>
      </c>
      <c r="B386" s="34">
        <f>PETUNJUK!B28</f>
        <v>0</v>
      </c>
      <c r="C386" s="35">
        <f>'1.DATA KIA'!C368</f>
        <v>0</v>
      </c>
      <c r="D386" s="35">
        <f>'1.DATA KIA'!D368</f>
        <v>0</v>
      </c>
      <c r="E386" s="35">
        <f>E350</f>
        <v>0</v>
      </c>
      <c r="F386" s="36">
        <f>H350</f>
        <v>0</v>
      </c>
      <c r="G386" s="36">
        <f>'1.DATA KIA'!F368</f>
        <v>0</v>
      </c>
      <c r="H386" s="36">
        <f t="shared" si="393"/>
        <v>0</v>
      </c>
      <c r="I386" s="37" t="e">
        <f t="shared" si="394"/>
        <v>#DIV/0!</v>
      </c>
      <c r="J386" s="40"/>
      <c r="K386" s="36">
        <f>M350</f>
        <v>0</v>
      </c>
      <c r="L386" s="33">
        <f>'1.DATA KIA'!J368</f>
        <v>0</v>
      </c>
      <c r="M386" s="36">
        <f t="shared" si="395"/>
        <v>0</v>
      </c>
      <c r="N386" s="37" t="e">
        <f t="shared" si="378"/>
        <v>#DIV/0!</v>
      </c>
      <c r="O386" s="40"/>
      <c r="P386" s="36">
        <f>R350</f>
        <v>0</v>
      </c>
      <c r="Q386" s="33">
        <f>'1.DATA KIA'!M368</f>
        <v>0</v>
      </c>
      <c r="R386" s="36">
        <f t="shared" si="379"/>
        <v>0</v>
      </c>
      <c r="S386" s="37" t="e">
        <f t="shared" si="380"/>
        <v>#DIV/0!</v>
      </c>
      <c r="T386" s="40"/>
      <c r="U386" s="33">
        <f>W350</f>
        <v>0</v>
      </c>
      <c r="V386" s="36">
        <f>'1.DATA KIA'!Y368</f>
        <v>0</v>
      </c>
      <c r="W386" s="33">
        <f t="shared" si="396"/>
        <v>0</v>
      </c>
      <c r="X386" s="37" t="e">
        <f t="shared" si="397"/>
        <v>#DIV/0!</v>
      </c>
      <c r="Y386" s="40"/>
      <c r="Z386" s="33">
        <f>AB350</f>
        <v>0</v>
      </c>
      <c r="AA386" s="36">
        <f>'1.DATA KIA'!Z368</f>
        <v>0</v>
      </c>
      <c r="AB386" s="33">
        <f t="shared" si="398"/>
        <v>0</v>
      </c>
      <c r="AC386" s="37" t="e">
        <f t="shared" si="399"/>
        <v>#DIV/0!</v>
      </c>
      <c r="AD386" s="40"/>
      <c r="AE386" s="33">
        <f>AG350</f>
        <v>0</v>
      </c>
      <c r="AF386" s="41">
        <f>'8.ANCTEPADU'!D419+'8.ANCTEPADU'!E419</f>
        <v>0</v>
      </c>
      <c r="AG386" s="33">
        <f t="shared" si="400"/>
        <v>0</v>
      </c>
      <c r="AH386" s="37" t="e">
        <f t="shared" si="401"/>
        <v>#DIV/0!</v>
      </c>
      <c r="AI386" s="33">
        <f>AK350</f>
        <v>0</v>
      </c>
      <c r="AJ386" s="41">
        <f>'8.ANCTEPADU'!J419</f>
        <v>0</v>
      </c>
      <c r="AK386" s="33">
        <f t="shared" si="402"/>
        <v>0</v>
      </c>
      <c r="AL386" s="37" t="e">
        <f t="shared" si="403"/>
        <v>#DIV/0!</v>
      </c>
      <c r="AM386" s="36">
        <f>AO350</f>
        <v>0</v>
      </c>
      <c r="AN386" s="36">
        <f>'1.DATA KIA'!AG368</f>
        <v>0</v>
      </c>
      <c r="AO386" s="33">
        <f t="shared" si="391"/>
        <v>0</v>
      </c>
      <c r="AP386" s="37" t="e">
        <f t="shared" si="404"/>
        <v>#DIV/0!</v>
      </c>
      <c r="AQ386" s="40"/>
      <c r="AR386" s="42">
        <f>AT350</f>
        <v>0</v>
      </c>
      <c r="AS386" s="36">
        <f>'1.DATA KIA'!AB368</f>
        <v>0</v>
      </c>
      <c r="AT386" s="33">
        <f t="shared" si="392"/>
        <v>0</v>
      </c>
      <c r="AU386" s="37" t="e">
        <f t="shared" si="405"/>
        <v>#DIV/0!</v>
      </c>
      <c r="AV386" s="40"/>
      <c r="AW386" s="36">
        <f>AY350</f>
        <v>0</v>
      </c>
      <c r="AX386" s="33">
        <f>'1.DATA KIA'!AF368</f>
        <v>0</v>
      </c>
      <c r="AY386" s="36">
        <f t="shared" si="406"/>
        <v>0</v>
      </c>
      <c r="AZ386" s="37" t="e">
        <f t="shared" si="407"/>
        <v>#DIV/0!</v>
      </c>
      <c r="BA386" s="38"/>
    </row>
    <row r="387" spans="1:54" ht="30" customHeight="1" x14ac:dyDescent="0.35">
      <c r="A387" s="33">
        <v>21</v>
      </c>
      <c r="B387" s="34">
        <f>PETUNJUK!B29</f>
        <v>0</v>
      </c>
      <c r="C387" s="35">
        <f>'1.DATA KIA'!C369</f>
        <v>0</v>
      </c>
      <c r="D387" s="35">
        <f>'1.DATA KIA'!D369</f>
        <v>0</v>
      </c>
      <c r="E387" s="35">
        <f>E351</f>
        <v>0</v>
      </c>
      <c r="F387" s="36">
        <f>H351</f>
        <v>0</v>
      </c>
      <c r="G387" s="36">
        <f>'1.DATA KIA'!F369</f>
        <v>0</v>
      </c>
      <c r="H387" s="36">
        <f t="shared" si="393"/>
        <v>0</v>
      </c>
      <c r="I387" s="37" t="e">
        <f t="shared" si="394"/>
        <v>#DIV/0!</v>
      </c>
      <c r="J387" s="40"/>
      <c r="K387" s="36">
        <f>M351</f>
        <v>0</v>
      </c>
      <c r="L387" s="33">
        <f>'1.DATA KIA'!J369</f>
        <v>0</v>
      </c>
      <c r="M387" s="36">
        <f t="shared" si="395"/>
        <v>0</v>
      </c>
      <c r="N387" s="37" t="e">
        <f t="shared" si="378"/>
        <v>#DIV/0!</v>
      </c>
      <c r="O387" s="40"/>
      <c r="P387" s="36">
        <f>R351</f>
        <v>0</v>
      </c>
      <c r="Q387" s="33">
        <f>'1.DATA KIA'!M369</f>
        <v>0</v>
      </c>
      <c r="R387" s="36">
        <f t="shared" si="379"/>
        <v>0</v>
      </c>
      <c r="S387" s="37" t="e">
        <f t="shared" si="380"/>
        <v>#DIV/0!</v>
      </c>
      <c r="T387" s="40"/>
      <c r="U387" s="33">
        <f>W351</f>
        <v>0</v>
      </c>
      <c r="V387" s="36">
        <f>'1.DATA KIA'!Y369</f>
        <v>0</v>
      </c>
      <c r="W387" s="33">
        <f t="shared" si="396"/>
        <v>0</v>
      </c>
      <c r="X387" s="37" t="e">
        <f t="shared" si="397"/>
        <v>#DIV/0!</v>
      </c>
      <c r="Y387" s="40"/>
      <c r="Z387" s="33">
        <f>AB351</f>
        <v>0</v>
      </c>
      <c r="AA387" s="36">
        <f>'1.DATA KIA'!Z369</f>
        <v>0</v>
      </c>
      <c r="AB387" s="33">
        <f t="shared" si="398"/>
        <v>0</v>
      </c>
      <c r="AC387" s="37" t="e">
        <f t="shared" si="399"/>
        <v>#DIV/0!</v>
      </c>
      <c r="AD387" s="40"/>
      <c r="AE387" s="33">
        <f>AG351</f>
        <v>0</v>
      </c>
      <c r="AF387" s="41">
        <f>'8.ANCTEPADU'!D420+'8.ANCTEPADU'!E420</f>
        <v>0</v>
      </c>
      <c r="AG387" s="33">
        <f t="shared" si="400"/>
        <v>0</v>
      </c>
      <c r="AH387" s="37" t="e">
        <f t="shared" si="401"/>
        <v>#DIV/0!</v>
      </c>
      <c r="AI387" s="33">
        <f>AK351</f>
        <v>0</v>
      </c>
      <c r="AJ387" s="41">
        <f>'8.ANCTEPADU'!J420</f>
        <v>0</v>
      </c>
      <c r="AK387" s="33">
        <f t="shared" si="402"/>
        <v>0</v>
      </c>
      <c r="AL387" s="37" t="e">
        <f t="shared" si="403"/>
        <v>#DIV/0!</v>
      </c>
      <c r="AM387" s="36">
        <f>AO351</f>
        <v>0</v>
      </c>
      <c r="AN387" s="36">
        <f>'1.DATA KIA'!AG369</f>
        <v>0</v>
      </c>
      <c r="AO387" s="33">
        <f t="shared" si="391"/>
        <v>0</v>
      </c>
      <c r="AP387" s="37" t="e">
        <f t="shared" si="404"/>
        <v>#DIV/0!</v>
      </c>
      <c r="AQ387" s="40"/>
      <c r="AR387" s="42">
        <f>AT351</f>
        <v>0</v>
      </c>
      <c r="AS387" s="36">
        <f>'1.DATA KIA'!AB369</f>
        <v>0</v>
      </c>
      <c r="AT387" s="33">
        <f t="shared" si="392"/>
        <v>0</v>
      </c>
      <c r="AU387" s="37" t="e">
        <f t="shared" si="405"/>
        <v>#DIV/0!</v>
      </c>
      <c r="AV387" s="40"/>
      <c r="AW387" s="36">
        <f>AY351</f>
        <v>0</v>
      </c>
      <c r="AX387" s="33">
        <f>'1.DATA KIA'!AF369</f>
        <v>0</v>
      </c>
      <c r="AY387" s="36">
        <f t="shared" si="406"/>
        <v>0</v>
      </c>
      <c r="AZ387" s="37" t="e">
        <f t="shared" si="407"/>
        <v>#DIV/0!</v>
      </c>
      <c r="BA387" s="38"/>
    </row>
    <row r="388" spans="1:54" ht="30" customHeight="1" thickBot="1" x14ac:dyDescent="0.4">
      <c r="A388" s="46">
        <v>22</v>
      </c>
      <c r="B388" s="47">
        <f>PETUNJUK!B30</f>
        <v>0</v>
      </c>
      <c r="C388" s="48">
        <f>'1.DATA KIA'!C370</f>
        <v>0</v>
      </c>
      <c r="D388" s="48">
        <f>'1.DATA KIA'!D370</f>
        <v>0</v>
      </c>
      <c r="E388" s="48">
        <f>E352</f>
        <v>0</v>
      </c>
      <c r="F388" s="49">
        <f>H352</f>
        <v>0</v>
      </c>
      <c r="G388" s="49">
        <f>'1.DATA KIA'!F370</f>
        <v>0</v>
      </c>
      <c r="H388" s="49">
        <f t="shared" si="393"/>
        <v>0</v>
      </c>
      <c r="I388" s="50" t="e">
        <f t="shared" si="394"/>
        <v>#DIV/0!</v>
      </c>
      <c r="J388" s="53"/>
      <c r="K388" s="49">
        <f>M352</f>
        <v>0</v>
      </c>
      <c r="L388" s="46">
        <f>'1.DATA KIA'!J370</f>
        <v>0</v>
      </c>
      <c r="M388" s="49">
        <f t="shared" si="395"/>
        <v>0</v>
      </c>
      <c r="N388" s="37" t="e">
        <f t="shared" si="378"/>
        <v>#DIV/0!</v>
      </c>
      <c r="O388" s="53"/>
      <c r="P388" s="49">
        <f>R352</f>
        <v>0</v>
      </c>
      <c r="Q388" s="33">
        <f>'1.DATA KIA'!M370</f>
        <v>0</v>
      </c>
      <c r="R388" s="49">
        <f t="shared" si="379"/>
        <v>0</v>
      </c>
      <c r="S388" s="37" t="e">
        <f t="shared" si="380"/>
        <v>#DIV/0!</v>
      </c>
      <c r="T388" s="53"/>
      <c r="U388" s="46">
        <f>W352</f>
        <v>0</v>
      </c>
      <c r="V388" s="49">
        <f>'1.DATA KIA'!Y370</f>
        <v>0</v>
      </c>
      <c r="W388" s="46">
        <f t="shared" si="396"/>
        <v>0</v>
      </c>
      <c r="X388" s="50" t="e">
        <f t="shared" si="397"/>
        <v>#DIV/0!</v>
      </c>
      <c r="Y388" s="53"/>
      <c r="Z388" s="46">
        <f>AB352</f>
        <v>0</v>
      </c>
      <c r="AA388" s="49">
        <f>'1.DATA KIA'!Z370</f>
        <v>0</v>
      </c>
      <c r="AB388" s="46">
        <f t="shared" si="398"/>
        <v>0</v>
      </c>
      <c r="AC388" s="50" t="e">
        <f t="shared" si="399"/>
        <v>#DIV/0!</v>
      </c>
      <c r="AD388" s="53"/>
      <c r="AE388" s="46">
        <f>AG352</f>
        <v>0</v>
      </c>
      <c r="AF388" s="54">
        <f>'8.ANCTEPADU'!D421+'8.ANCTEPADU'!E421</f>
        <v>0</v>
      </c>
      <c r="AG388" s="46">
        <f t="shared" si="400"/>
        <v>0</v>
      </c>
      <c r="AH388" s="50" t="e">
        <f t="shared" si="401"/>
        <v>#DIV/0!</v>
      </c>
      <c r="AI388" s="46">
        <f>AK352</f>
        <v>0</v>
      </c>
      <c r="AJ388" s="54">
        <f>'8.ANCTEPADU'!J421</f>
        <v>0</v>
      </c>
      <c r="AK388" s="46">
        <f t="shared" si="402"/>
        <v>0</v>
      </c>
      <c r="AL388" s="50" t="e">
        <f t="shared" si="403"/>
        <v>#DIV/0!</v>
      </c>
      <c r="AM388" s="49">
        <f>AO352</f>
        <v>0</v>
      </c>
      <c r="AN388" s="49">
        <f>'1.DATA KIA'!AG370</f>
        <v>0</v>
      </c>
      <c r="AO388" s="46">
        <f t="shared" si="391"/>
        <v>0</v>
      </c>
      <c r="AP388" s="50" t="e">
        <f t="shared" si="404"/>
        <v>#DIV/0!</v>
      </c>
      <c r="AQ388" s="53"/>
      <c r="AR388" s="55">
        <f>AT352</f>
        <v>0</v>
      </c>
      <c r="AS388" s="49">
        <f>'1.DATA KIA'!AB370</f>
        <v>0</v>
      </c>
      <c r="AT388" s="46">
        <f t="shared" si="392"/>
        <v>0</v>
      </c>
      <c r="AU388" s="50" t="e">
        <f t="shared" si="405"/>
        <v>#DIV/0!</v>
      </c>
      <c r="AV388" s="53"/>
      <c r="AW388" s="49">
        <f>AY352</f>
        <v>0</v>
      </c>
      <c r="AX388" s="46">
        <f>'1.DATA KIA'!AF370</f>
        <v>0</v>
      </c>
      <c r="AY388" s="49">
        <f t="shared" si="406"/>
        <v>0</v>
      </c>
      <c r="AZ388" s="50" t="e">
        <f t="shared" si="407"/>
        <v>#DIV/0!</v>
      </c>
      <c r="BA388" s="51"/>
    </row>
    <row r="389" spans="1:54" ht="30" customHeight="1" thickBot="1" x14ac:dyDescent="0.4">
      <c r="A389" s="354"/>
      <c r="B389" s="355" t="s">
        <v>18</v>
      </c>
      <c r="C389" s="347">
        <f>SUM(C367:C388)</f>
        <v>1067</v>
      </c>
      <c r="D389" s="347">
        <f t="shared" ref="D389:AY389" si="408">SUM(D367:D388)</f>
        <v>1018.5</v>
      </c>
      <c r="E389" s="347">
        <f t="shared" si="408"/>
        <v>0</v>
      </c>
      <c r="F389" s="347">
        <f t="shared" si="408"/>
        <v>374</v>
      </c>
      <c r="G389" s="347">
        <f t="shared" si="408"/>
        <v>0</v>
      </c>
      <c r="H389" s="347">
        <f t="shared" si="408"/>
        <v>374</v>
      </c>
      <c r="I389" s="357">
        <f t="shared" si="394"/>
        <v>35.051546391752574</v>
      </c>
      <c r="J389" s="347">
        <f t="shared" si="408"/>
        <v>0</v>
      </c>
      <c r="K389" s="347">
        <f t="shared" si="408"/>
        <v>283</v>
      </c>
      <c r="L389" s="347">
        <f t="shared" si="408"/>
        <v>0</v>
      </c>
      <c r="M389" s="347">
        <f t="shared" si="408"/>
        <v>283</v>
      </c>
      <c r="N389" s="357">
        <f>M389/D389*100</f>
        <v>27.785959744722632</v>
      </c>
      <c r="O389" s="347">
        <f t="shared" si="408"/>
        <v>0</v>
      </c>
      <c r="P389" s="347">
        <f t="shared" ref="P389:R389" si="409">SUM(P367:P388)</f>
        <v>309</v>
      </c>
      <c r="Q389" s="347">
        <f t="shared" si="409"/>
        <v>0</v>
      </c>
      <c r="R389" s="347">
        <f t="shared" si="409"/>
        <v>309</v>
      </c>
      <c r="S389" s="357">
        <f>R389/D389*100</f>
        <v>30.338733431516935</v>
      </c>
      <c r="T389" s="347">
        <f t="shared" ref="T389" si="410">SUM(T367:T388)</f>
        <v>0</v>
      </c>
      <c r="U389" s="347">
        <f t="shared" si="408"/>
        <v>92</v>
      </c>
      <c r="V389" s="347">
        <f t="shared" si="408"/>
        <v>0</v>
      </c>
      <c r="W389" s="347">
        <f t="shared" si="408"/>
        <v>92</v>
      </c>
      <c r="X389" s="357">
        <f t="shared" si="397"/>
        <v>43.111527647610117</v>
      </c>
      <c r="Y389" s="347">
        <f t="shared" si="408"/>
        <v>0</v>
      </c>
      <c r="Z389" s="347">
        <f t="shared" si="408"/>
        <v>47</v>
      </c>
      <c r="AA389" s="347">
        <f t="shared" si="408"/>
        <v>0</v>
      </c>
      <c r="AB389" s="347">
        <f t="shared" si="408"/>
        <v>47</v>
      </c>
      <c r="AC389" s="357">
        <f t="shared" si="399"/>
        <v>22.024367385192125</v>
      </c>
      <c r="AD389" s="347">
        <f t="shared" si="408"/>
        <v>0</v>
      </c>
      <c r="AE389" s="347">
        <f t="shared" si="408"/>
        <v>32</v>
      </c>
      <c r="AF389" s="347">
        <f t="shared" si="408"/>
        <v>0</v>
      </c>
      <c r="AG389" s="347">
        <f t="shared" si="408"/>
        <v>32</v>
      </c>
      <c r="AH389" s="357">
        <f t="shared" si="401"/>
        <v>2.999062792877226</v>
      </c>
      <c r="AI389" s="347">
        <f t="shared" si="408"/>
        <v>42</v>
      </c>
      <c r="AJ389" s="347">
        <f t="shared" si="408"/>
        <v>0</v>
      </c>
      <c r="AK389" s="347">
        <f t="shared" si="408"/>
        <v>42</v>
      </c>
      <c r="AL389" s="357">
        <f t="shared" si="403"/>
        <v>3.936269915651359</v>
      </c>
      <c r="AM389" s="347">
        <f t="shared" si="408"/>
        <v>298</v>
      </c>
      <c r="AN389" s="347">
        <f t="shared" si="408"/>
        <v>0</v>
      </c>
      <c r="AO389" s="347">
        <f t="shared" si="408"/>
        <v>298</v>
      </c>
      <c r="AP389" s="357" t="e">
        <f t="shared" si="404"/>
        <v>#DIV/0!</v>
      </c>
      <c r="AQ389" s="347">
        <f t="shared" si="408"/>
        <v>0</v>
      </c>
      <c r="AR389" s="347">
        <f t="shared" si="408"/>
        <v>298</v>
      </c>
      <c r="AS389" s="347">
        <f t="shared" si="408"/>
        <v>0</v>
      </c>
      <c r="AT389" s="347">
        <f t="shared" si="408"/>
        <v>298</v>
      </c>
      <c r="AU389" s="357">
        <f t="shared" si="405"/>
        <v>29.258713794796272</v>
      </c>
      <c r="AV389" s="347">
        <f t="shared" si="408"/>
        <v>0</v>
      </c>
      <c r="AW389" s="347">
        <f t="shared" si="408"/>
        <v>69</v>
      </c>
      <c r="AX389" s="347">
        <f t="shared" si="408"/>
        <v>0</v>
      </c>
      <c r="AY389" s="347">
        <f t="shared" si="408"/>
        <v>69</v>
      </c>
      <c r="AZ389" s="357">
        <f t="shared" si="407"/>
        <v>32.333645735707591</v>
      </c>
      <c r="BA389" s="361"/>
    </row>
    <row r="390" spans="1:54" ht="12.75" customHeight="1" x14ac:dyDescent="0.35"/>
    <row r="391" spans="1:54" ht="12.75" customHeight="1" x14ac:dyDescent="0.35"/>
    <row r="392" spans="1:54" ht="12.75" customHeight="1" x14ac:dyDescent="0.35"/>
    <row r="395" spans="1:54" x14ac:dyDescent="0.35">
      <c r="A395" s="770" t="s">
        <v>19</v>
      </c>
      <c r="B395" s="770"/>
      <c r="C395" s="770"/>
      <c r="D395" s="770"/>
      <c r="E395" s="770"/>
      <c r="F395" s="770"/>
      <c r="G395" s="770"/>
      <c r="H395" s="770"/>
      <c r="I395" s="770"/>
      <c r="J395" s="770"/>
      <c r="K395" s="770"/>
      <c r="L395" s="770"/>
      <c r="M395" s="770"/>
      <c r="N395" s="770"/>
      <c r="O395" s="770"/>
      <c r="P395" s="770"/>
      <c r="Q395" s="770"/>
      <c r="R395" s="770"/>
      <c r="S395" s="770"/>
      <c r="T395" s="770"/>
      <c r="U395" s="770"/>
      <c r="V395" s="770"/>
      <c r="W395" s="770"/>
      <c r="X395" s="770"/>
      <c r="Y395" s="770"/>
      <c r="Z395" s="770"/>
      <c r="AA395" s="770"/>
      <c r="AB395" s="770"/>
      <c r="AC395" s="770"/>
      <c r="AD395" s="770"/>
      <c r="AE395" s="770"/>
      <c r="AF395" s="770"/>
      <c r="AG395" s="770"/>
      <c r="AH395" s="770"/>
      <c r="AI395" s="770"/>
      <c r="AJ395" s="770"/>
      <c r="AK395" s="770"/>
      <c r="AL395" s="770"/>
      <c r="AM395" s="770"/>
      <c r="AN395" s="770"/>
      <c r="AO395" s="770"/>
      <c r="AP395" s="770"/>
      <c r="AQ395" s="770"/>
      <c r="AR395" s="770"/>
      <c r="AS395" s="770"/>
      <c r="AT395" s="770"/>
      <c r="AU395" s="770"/>
      <c r="AV395" s="770"/>
      <c r="AW395" s="770"/>
      <c r="AX395" s="770"/>
      <c r="AY395" s="770"/>
      <c r="AZ395" s="770"/>
      <c r="BA395" s="770"/>
    </row>
    <row r="396" spans="1:54" ht="20.149999999999999" customHeight="1" x14ac:dyDescent="0.35">
      <c r="A396" s="31"/>
      <c r="B396" s="31" t="s">
        <v>175</v>
      </c>
      <c r="C396" s="345" t="str">
        <f>PETUNJUK!C5</f>
        <v>PECANGAAN</v>
      </c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</row>
    <row r="397" spans="1:54" ht="20.149999999999999" customHeight="1" x14ac:dyDescent="0.35">
      <c r="A397" s="30"/>
      <c r="B397" s="31" t="s">
        <v>170</v>
      </c>
      <c r="C397" s="32" t="str">
        <f>'1.DATA KIA'!C378</f>
        <v xml:space="preserve">DESEMBER </v>
      </c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</row>
    <row r="398" spans="1:54" x14ac:dyDescent="0.35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</row>
    <row r="399" spans="1:54" s="14" customFormat="1" ht="22.5" customHeight="1" x14ac:dyDescent="0.35">
      <c r="A399" s="774" t="s">
        <v>1</v>
      </c>
      <c r="B399" s="774" t="s">
        <v>2</v>
      </c>
      <c r="C399" s="777" t="s">
        <v>20</v>
      </c>
      <c r="D399" s="778"/>
      <c r="E399" s="778"/>
      <c r="F399" s="777" t="s">
        <v>21</v>
      </c>
      <c r="G399" s="778"/>
      <c r="H399" s="778"/>
      <c r="I399" s="778"/>
      <c r="J399" s="791"/>
      <c r="K399" s="777" t="s">
        <v>9</v>
      </c>
      <c r="L399" s="778"/>
      <c r="M399" s="778"/>
      <c r="N399" s="778"/>
      <c r="O399" s="791"/>
      <c r="P399" s="777" t="s">
        <v>289</v>
      </c>
      <c r="Q399" s="778"/>
      <c r="R399" s="778"/>
      <c r="S399" s="778"/>
      <c r="T399" s="791"/>
      <c r="U399" s="771" t="s">
        <v>22</v>
      </c>
      <c r="V399" s="772"/>
      <c r="W399" s="772"/>
      <c r="X399" s="772"/>
      <c r="Y399" s="772"/>
      <c r="Z399" s="772"/>
      <c r="AA399" s="772"/>
      <c r="AB399" s="772"/>
      <c r="AC399" s="772"/>
      <c r="AD399" s="773"/>
      <c r="AE399" s="771" t="s">
        <v>5</v>
      </c>
      <c r="AF399" s="772"/>
      <c r="AG399" s="772"/>
      <c r="AH399" s="772"/>
      <c r="AI399" s="772"/>
      <c r="AJ399" s="772"/>
      <c r="AK399" s="772"/>
      <c r="AL399" s="773"/>
      <c r="AM399" s="771" t="s">
        <v>23</v>
      </c>
      <c r="AN399" s="772"/>
      <c r="AO399" s="772"/>
      <c r="AP399" s="772"/>
      <c r="AQ399" s="773"/>
      <c r="AR399" s="779" t="s">
        <v>24</v>
      </c>
      <c r="AS399" s="780"/>
      <c r="AT399" s="780"/>
      <c r="AU399" s="780"/>
      <c r="AV399" s="781"/>
      <c r="AW399" s="779" t="s">
        <v>241</v>
      </c>
      <c r="AX399" s="780"/>
      <c r="AY399" s="780"/>
      <c r="AZ399" s="780"/>
      <c r="BA399" s="781"/>
      <c r="BB399" s="348"/>
    </row>
    <row r="400" spans="1:54" s="14" customFormat="1" ht="15.75" customHeight="1" x14ac:dyDescent="0.35">
      <c r="A400" s="775"/>
      <c r="B400" s="775"/>
      <c r="C400" s="767" t="s">
        <v>5</v>
      </c>
      <c r="D400" s="767" t="s">
        <v>6</v>
      </c>
      <c r="E400" s="767" t="s">
        <v>7</v>
      </c>
      <c r="F400" s="767" t="s">
        <v>26</v>
      </c>
      <c r="G400" s="767" t="s">
        <v>27</v>
      </c>
      <c r="H400" s="771" t="s">
        <v>28</v>
      </c>
      <c r="I400" s="773"/>
      <c r="J400" s="785" t="s">
        <v>29</v>
      </c>
      <c r="K400" s="785" t="s">
        <v>26</v>
      </c>
      <c r="L400" s="785" t="s">
        <v>27</v>
      </c>
      <c r="M400" s="771" t="s">
        <v>28</v>
      </c>
      <c r="N400" s="773"/>
      <c r="O400" s="785" t="s">
        <v>29</v>
      </c>
      <c r="P400" s="785" t="s">
        <v>26</v>
      </c>
      <c r="Q400" s="785" t="s">
        <v>27</v>
      </c>
      <c r="R400" s="771" t="s">
        <v>28</v>
      </c>
      <c r="S400" s="773"/>
      <c r="T400" s="785" t="s">
        <v>29</v>
      </c>
      <c r="U400" s="771" t="s">
        <v>30</v>
      </c>
      <c r="V400" s="772"/>
      <c r="W400" s="772"/>
      <c r="X400" s="772"/>
      <c r="Y400" s="773"/>
      <c r="Z400" s="771" t="s">
        <v>31</v>
      </c>
      <c r="AA400" s="772"/>
      <c r="AB400" s="772"/>
      <c r="AC400" s="772"/>
      <c r="AD400" s="773"/>
      <c r="AE400" s="771" t="s">
        <v>32</v>
      </c>
      <c r="AF400" s="772"/>
      <c r="AG400" s="772"/>
      <c r="AH400" s="773"/>
      <c r="AI400" s="771" t="s">
        <v>33</v>
      </c>
      <c r="AJ400" s="772"/>
      <c r="AK400" s="772"/>
      <c r="AL400" s="773"/>
      <c r="AM400" s="785" t="s">
        <v>34</v>
      </c>
      <c r="AN400" s="785" t="s">
        <v>35</v>
      </c>
      <c r="AO400" s="788" t="s">
        <v>36</v>
      </c>
      <c r="AP400" s="782" t="s">
        <v>37</v>
      </c>
      <c r="AQ400" s="785" t="s">
        <v>29</v>
      </c>
      <c r="AR400" s="785" t="s">
        <v>34</v>
      </c>
      <c r="AS400" s="785" t="s">
        <v>35</v>
      </c>
      <c r="AT400" s="788" t="s">
        <v>36</v>
      </c>
      <c r="AU400" s="782" t="s">
        <v>37</v>
      </c>
      <c r="AV400" s="785" t="s">
        <v>29</v>
      </c>
      <c r="AW400" s="785" t="s">
        <v>34</v>
      </c>
      <c r="AX400" s="785" t="s">
        <v>35</v>
      </c>
      <c r="AY400" s="788" t="s">
        <v>36</v>
      </c>
      <c r="AZ400" s="782" t="s">
        <v>37</v>
      </c>
      <c r="BA400" s="785" t="s">
        <v>29</v>
      </c>
      <c r="BB400" s="348"/>
    </row>
    <row r="401" spans="1:54" s="14" customFormat="1" ht="15.75" customHeight="1" x14ac:dyDescent="0.35">
      <c r="A401" s="775"/>
      <c r="B401" s="775"/>
      <c r="C401" s="768"/>
      <c r="D401" s="768"/>
      <c r="E401" s="768"/>
      <c r="F401" s="768"/>
      <c r="G401" s="768"/>
      <c r="H401" s="785" t="s">
        <v>36</v>
      </c>
      <c r="I401" s="782" t="s">
        <v>37</v>
      </c>
      <c r="J401" s="786"/>
      <c r="K401" s="786"/>
      <c r="L401" s="786"/>
      <c r="M401" s="785" t="s">
        <v>36</v>
      </c>
      <c r="N401" s="785" t="s">
        <v>37</v>
      </c>
      <c r="O401" s="786"/>
      <c r="P401" s="786"/>
      <c r="Q401" s="786"/>
      <c r="R401" s="785" t="s">
        <v>36</v>
      </c>
      <c r="S401" s="785" t="s">
        <v>37</v>
      </c>
      <c r="T401" s="786"/>
      <c r="U401" s="785" t="s">
        <v>26</v>
      </c>
      <c r="V401" s="785" t="s">
        <v>27</v>
      </c>
      <c r="W401" s="779" t="s">
        <v>28</v>
      </c>
      <c r="X401" s="781"/>
      <c r="Y401" s="785" t="s">
        <v>29</v>
      </c>
      <c r="Z401" s="785" t="s">
        <v>26</v>
      </c>
      <c r="AA401" s="785" t="s">
        <v>27</v>
      </c>
      <c r="AB401" s="779" t="s">
        <v>28</v>
      </c>
      <c r="AC401" s="781"/>
      <c r="AD401" s="785" t="s">
        <v>29</v>
      </c>
      <c r="AE401" s="771" t="s">
        <v>38</v>
      </c>
      <c r="AF401" s="772"/>
      <c r="AG401" s="772"/>
      <c r="AH401" s="773"/>
      <c r="AI401" s="771" t="s">
        <v>39</v>
      </c>
      <c r="AJ401" s="772"/>
      <c r="AK401" s="772"/>
      <c r="AL401" s="773"/>
      <c r="AM401" s="786"/>
      <c r="AN401" s="786"/>
      <c r="AO401" s="789"/>
      <c r="AP401" s="783"/>
      <c r="AQ401" s="786"/>
      <c r="AR401" s="786"/>
      <c r="AS401" s="786"/>
      <c r="AT401" s="789"/>
      <c r="AU401" s="783"/>
      <c r="AV401" s="786"/>
      <c r="AW401" s="786"/>
      <c r="AX401" s="786"/>
      <c r="AY401" s="789"/>
      <c r="AZ401" s="783"/>
      <c r="BA401" s="786"/>
      <c r="BB401" s="348"/>
    </row>
    <row r="402" spans="1:54" s="14" customFormat="1" ht="48.75" customHeight="1" x14ac:dyDescent="0.35">
      <c r="A402" s="776"/>
      <c r="B402" s="776"/>
      <c r="C402" s="769"/>
      <c r="D402" s="769"/>
      <c r="E402" s="769"/>
      <c r="F402" s="769"/>
      <c r="G402" s="769"/>
      <c r="H402" s="787"/>
      <c r="I402" s="784"/>
      <c r="J402" s="787"/>
      <c r="K402" s="787"/>
      <c r="L402" s="787"/>
      <c r="M402" s="787"/>
      <c r="N402" s="787"/>
      <c r="O402" s="787"/>
      <c r="P402" s="787"/>
      <c r="Q402" s="787"/>
      <c r="R402" s="787"/>
      <c r="S402" s="787"/>
      <c r="T402" s="787"/>
      <c r="U402" s="787"/>
      <c r="V402" s="787"/>
      <c r="W402" s="352" t="s">
        <v>36</v>
      </c>
      <c r="X402" s="353" t="s">
        <v>37</v>
      </c>
      <c r="Y402" s="787"/>
      <c r="Z402" s="787"/>
      <c r="AA402" s="787"/>
      <c r="AB402" s="352" t="s">
        <v>36</v>
      </c>
      <c r="AC402" s="353" t="s">
        <v>37</v>
      </c>
      <c r="AD402" s="787"/>
      <c r="AE402" s="352" t="s">
        <v>26</v>
      </c>
      <c r="AF402" s="352" t="s">
        <v>27</v>
      </c>
      <c r="AG402" s="352" t="s">
        <v>36</v>
      </c>
      <c r="AH402" s="353" t="s">
        <v>37</v>
      </c>
      <c r="AI402" s="352" t="s">
        <v>26</v>
      </c>
      <c r="AJ402" s="352" t="s">
        <v>27</v>
      </c>
      <c r="AK402" s="352" t="s">
        <v>36</v>
      </c>
      <c r="AL402" s="353" t="s">
        <v>37</v>
      </c>
      <c r="AM402" s="787"/>
      <c r="AN402" s="787"/>
      <c r="AO402" s="790"/>
      <c r="AP402" s="784"/>
      <c r="AQ402" s="787"/>
      <c r="AR402" s="787"/>
      <c r="AS402" s="787"/>
      <c r="AT402" s="790"/>
      <c r="AU402" s="784"/>
      <c r="AV402" s="787"/>
      <c r="AW402" s="787"/>
      <c r="AX402" s="787"/>
      <c r="AY402" s="790"/>
      <c r="AZ402" s="784"/>
      <c r="BA402" s="787"/>
      <c r="BB402" s="348"/>
    </row>
    <row r="403" spans="1:54" ht="30" customHeight="1" x14ac:dyDescent="0.35">
      <c r="A403" s="33">
        <v>1</v>
      </c>
      <c r="B403" s="34" t="str">
        <f>PETUNJUK!B9</f>
        <v>Pecangaan Kulon</v>
      </c>
      <c r="C403" s="35">
        <f>'1.DATA KIA'!C383</f>
        <v>101.2</v>
      </c>
      <c r="D403" s="35">
        <f>'1.DATA KIA'!D383</f>
        <v>96.600000000000009</v>
      </c>
      <c r="E403" s="35">
        <f t="shared" ref="E403:E420" si="411">E367</f>
        <v>0</v>
      </c>
      <c r="F403" s="36">
        <f t="shared" ref="F403:F424" si="412">H367</f>
        <v>30</v>
      </c>
      <c r="G403" s="36">
        <f>'1.DATA KIA'!F383</f>
        <v>0</v>
      </c>
      <c r="H403" s="36">
        <f>F403+G403</f>
        <v>30</v>
      </c>
      <c r="I403" s="37">
        <f t="shared" ref="I403:I420" si="413">H403/C403*100</f>
        <v>29.644268774703558</v>
      </c>
      <c r="J403" s="40"/>
      <c r="K403" s="36">
        <f t="shared" ref="K403:K420" si="414">M367</f>
        <v>28</v>
      </c>
      <c r="L403" s="33">
        <f>'1.DATA KIA'!J383</f>
        <v>0</v>
      </c>
      <c r="M403" s="36">
        <f>K403+L403</f>
        <v>28</v>
      </c>
      <c r="N403" s="37">
        <f>M403/D403*100</f>
        <v>28.985507246376805</v>
      </c>
      <c r="O403" s="40"/>
      <c r="P403" s="36">
        <f t="shared" ref="P403:P420" si="415">R367</f>
        <v>29</v>
      </c>
      <c r="Q403" s="33">
        <f>'1.DATA KIA'!M383</f>
        <v>0</v>
      </c>
      <c r="R403" s="36">
        <f>P403+Q403</f>
        <v>29</v>
      </c>
      <c r="S403" s="37">
        <f>R403/D403*100</f>
        <v>30.020703933747413</v>
      </c>
      <c r="T403" s="40"/>
      <c r="U403" s="33">
        <f t="shared" ref="U403:U420" si="416">W367</f>
        <v>10</v>
      </c>
      <c r="V403" s="36">
        <f>'1.DATA KIA'!Y383</f>
        <v>0</v>
      </c>
      <c r="W403" s="33">
        <f>U403+V403</f>
        <v>10</v>
      </c>
      <c r="X403" s="37">
        <f t="shared" ref="X403:X420" si="417">W403/(20%*C403)*100</f>
        <v>49.40711462450593</v>
      </c>
      <c r="Y403" s="40"/>
      <c r="Z403" s="33">
        <f t="shared" ref="Z403:Z420" si="418">AB367</f>
        <v>6</v>
      </c>
      <c r="AA403" s="36">
        <f>'1.DATA KIA'!Z383</f>
        <v>0</v>
      </c>
      <c r="AB403" s="33">
        <f>Z403+AA403</f>
        <v>6</v>
      </c>
      <c r="AC403" s="37">
        <f t="shared" ref="AC403:AC420" si="419">AB403/(20%*C403)*100</f>
        <v>29.644268774703551</v>
      </c>
      <c r="AD403" s="40"/>
      <c r="AE403" s="33">
        <f t="shared" ref="AE403:AE424" si="420">AG367</f>
        <v>3</v>
      </c>
      <c r="AF403" s="41">
        <f>'8.ANCTEPADU'!D11+'8.ANCTEPADU'!E11</f>
        <v>2</v>
      </c>
      <c r="AG403" s="33">
        <f>AE403+AF403</f>
        <v>5</v>
      </c>
      <c r="AH403" s="37">
        <f t="shared" ref="AH403:AH420" si="421">AG403/C403*100</f>
        <v>4.9407114624505928</v>
      </c>
      <c r="AI403" s="33">
        <f t="shared" ref="AI403:AI420" si="422">AK367</f>
        <v>1</v>
      </c>
      <c r="AJ403" s="41">
        <f>'8.ANCTEPADU'!J11</f>
        <v>0</v>
      </c>
      <c r="AK403" s="33">
        <f>AI403+AJ403</f>
        <v>1</v>
      </c>
      <c r="AL403" s="37">
        <f t="shared" ref="AL403:AL420" si="423">AK403/C403*100</f>
        <v>0.98814229249011865</v>
      </c>
      <c r="AM403" s="36">
        <f t="shared" ref="AM403:AM420" si="424">AO367</f>
        <v>29</v>
      </c>
      <c r="AN403" s="36">
        <f>'1.DATA KIA'!AG383</f>
        <v>0</v>
      </c>
      <c r="AO403" s="33">
        <f>AN403+AM403</f>
        <v>29</v>
      </c>
      <c r="AP403" s="37" t="e">
        <f>AO403/E403*100</f>
        <v>#DIV/0!</v>
      </c>
      <c r="AQ403" s="40"/>
      <c r="AR403" s="42">
        <f t="shared" ref="AR403:AR420" si="425">AT367</f>
        <v>29</v>
      </c>
      <c r="AS403" s="36">
        <f>'1.DATA KIA'!AB383</f>
        <v>0</v>
      </c>
      <c r="AT403" s="36">
        <f>AS403+AR403</f>
        <v>29</v>
      </c>
      <c r="AU403" s="37">
        <f>AT403/D403*100</f>
        <v>30.020703933747413</v>
      </c>
      <c r="AV403" s="40"/>
      <c r="AW403" s="36">
        <f t="shared" ref="AW403:AW420" si="426">AY367</f>
        <v>10</v>
      </c>
      <c r="AX403" s="33">
        <f>'1.DATA KIA'!AF383</f>
        <v>0</v>
      </c>
      <c r="AY403" s="36">
        <f>AW403+AX403</f>
        <v>10</v>
      </c>
      <c r="AZ403" s="37">
        <f>AY403/(20%*C403)*100</f>
        <v>49.40711462450593</v>
      </c>
      <c r="BA403" s="38"/>
    </row>
    <row r="404" spans="1:54" ht="30" customHeight="1" x14ac:dyDescent="0.35">
      <c r="A404" s="33">
        <v>2</v>
      </c>
      <c r="B404" s="34" t="str">
        <f>PETUNJUK!B10</f>
        <v>Rengging</v>
      </c>
      <c r="C404" s="35">
        <f>'1.DATA KIA'!C384</f>
        <v>111.10000000000001</v>
      </c>
      <c r="D404" s="35">
        <f>'1.DATA KIA'!D384</f>
        <v>106.05000000000001</v>
      </c>
      <c r="E404" s="35">
        <f t="shared" si="411"/>
        <v>0</v>
      </c>
      <c r="F404" s="36">
        <f t="shared" si="412"/>
        <v>54</v>
      </c>
      <c r="G404" s="36">
        <f>'1.DATA KIA'!F384</f>
        <v>0</v>
      </c>
      <c r="H404" s="36">
        <f t="shared" ref="H404:H420" si="427">F404+G404</f>
        <v>54</v>
      </c>
      <c r="I404" s="37">
        <f t="shared" si="413"/>
        <v>48.604860486048601</v>
      </c>
      <c r="J404" s="40"/>
      <c r="K404" s="36">
        <f t="shared" si="414"/>
        <v>21</v>
      </c>
      <c r="L404" s="33">
        <f>'1.DATA KIA'!J384</f>
        <v>0</v>
      </c>
      <c r="M404" s="36">
        <f t="shared" ref="M404:M420" si="428">K404+L404</f>
        <v>21</v>
      </c>
      <c r="N404" s="37">
        <f t="shared" ref="N404:N424" si="429">M404/D404*100</f>
        <v>19.801980198019802</v>
      </c>
      <c r="O404" s="40"/>
      <c r="P404" s="36">
        <f t="shared" si="415"/>
        <v>32</v>
      </c>
      <c r="Q404" s="33">
        <f>'1.DATA KIA'!M384</f>
        <v>0</v>
      </c>
      <c r="R404" s="36">
        <f t="shared" ref="R404:R420" si="430">P404+Q404</f>
        <v>32</v>
      </c>
      <c r="S404" s="37">
        <f t="shared" ref="S404:S424" si="431">R404/D404*100</f>
        <v>30.174446016030171</v>
      </c>
      <c r="T404" s="40"/>
      <c r="U404" s="33">
        <f t="shared" si="416"/>
        <v>8</v>
      </c>
      <c r="V404" s="36">
        <f>'1.DATA KIA'!Y384</f>
        <v>0</v>
      </c>
      <c r="W404" s="33">
        <f t="shared" ref="W404:W420" si="432">U404+V404</f>
        <v>8</v>
      </c>
      <c r="X404" s="37">
        <f t="shared" si="417"/>
        <v>36.003600360035996</v>
      </c>
      <c r="Y404" s="40"/>
      <c r="Z404" s="33">
        <f t="shared" si="418"/>
        <v>5</v>
      </c>
      <c r="AA404" s="36">
        <f>'1.DATA KIA'!Z384</f>
        <v>0</v>
      </c>
      <c r="AB404" s="33">
        <f t="shared" ref="AB404:AB420" si="433">Z404+AA404</f>
        <v>5</v>
      </c>
      <c r="AC404" s="37">
        <f t="shared" si="419"/>
        <v>22.5022502250225</v>
      </c>
      <c r="AD404" s="40"/>
      <c r="AE404" s="33">
        <f t="shared" si="420"/>
        <v>6</v>
      </c>
      <c r="AF404" s="41">
        <f>'8.ANCTEPADU'!D432+'8.ANCTEPADU'!E432</f>
        <v>0</v>
      </c>
      <c r="AG404" s="33">
        <f t="shared" ref="AG404:AG421" si="434">AE404+AF404</f>
        <v>6</v>
      </c>
      <c r="AH404" s="37">
        <f t="shared" si="421"/>
        <v>5.4005400540054005</v>
      </c>
      <c r="AI404" s="33">
        <f t="shared" si="422"/>
        <v>8</v>
      </c>
      <c r="AJ404" s="41">
        <f>'8.ANCTEPADU'!J432</f>
        <v>0</v>
      </c>
      <c r="AK404" s="33">
        <f t="shared" ref="AK404:AK420" si="435">AI404+AJ404</f>
        <v>8</v>
      </c>
      <c r="AL404" s="37">
        <f t="shared" si="423"/>
        <v>7.2007200720071998</v>
      </c>
      <c r="AM404" s="36">
        <f t="shared" si="424"/>
        <v>35</v>
      </c>
      <c r="AN404" s="36">
        <f>'1.DATA KIA'!AG384</f>
        <v>0</v>
      </c>
      <c r="AO404" s="33">
        <f t="shared" ref="AO404:AO413" si="436">AN404+AM404</f>
        <v>35</v>
      </c>
      <c r="AP404" s="37" t="e">
        <f t="shared" ref="AP404:AP420" si="437">AO404/E404*100</f>
        <v>#DIV/0!</v>
      </c>
      <c r="AQ404" s="40"/>
      <c r="AR404" s="42">
        <f t="shared" si="425"/>
        <v>34</v>
      </c>
      <c r="AS404" s="36">
        <f>'1.DATA KIA'!AB384</f>
        <v>0</v>
      </c>
      <c r="AT404" s="33">
        <f t="shared" ref="AT404:AT413" si="438">AS404+AR404</f>
        <v>34</v>
      </c>
      <c r="AU404" s="37">
        <f t="shared" ref="AU404:AU420" si="439">AT404/D404*100</f>
        <v>32.06034889203206</v>
      </c>
      <c r="AV404" s="40"/>
      <c r="AW404" s="36">
        <f t="shared" si="426"/>
        <v>4</v>
      </c>
      <c r="AX404" s="33">
        <f>'1.DATA KIA'!AF384</f>
        <v>0</v>
      </c>
      <c r="AY404" s="36">
        <f t="shared" ref="AY404:AY420" si="440">AW404+AX404</f>
        <v>4</v>
      </c>
      <c r="AZ404" s="37">
        <f t="shared" ref="AZ404:AZ420" si="441">AY404/(20%*C404)*100</f>
        <v>18.001800180017998</v>
      </c>
      <c r="BA404" s="38"/>
    </row>
    <row r="405" spans="1:54" ht="30" customHeight="1" x14ac:dyDescent="0.35">
      <c r="A405" s="33">
        <v>3</v>
      </c>
      <c r="B405" s="34" t="str">
        <f>PETUNJUK!B11</f>
        <v>Troso</v>
      </c>
      <c r="C405" s="35">
        <f>'1.DATA KIA'!C385</f>
        <v>205.70000000000002</v>
      </c>
      <c r="D405" s="35">
        <f>'1.DATA KIA'!D385</f>
        <v>196.35</v>
      </c>
      <c r="E405" s="35">
        <f t="shared" si="411"/>
        <v>0</v>
      </c>
      <c r="F405" s="36">
        <f t="shared" si="412"/>
        <v>78</v>
      </c>
      <c r="G405" s="36">
        <f>'1.DATA KIA'!F385</f>
        <v>0</v>
      </c>
      <c r="H405" s="36">
        <f t="shared" si="427"/>
        <v>78</v>
      </c>
      <c r="I405" s="37">
        <f t="shared" si="413"/>
        <v>37.919299951385511</v>
      </c>
      <c r="J405" s="40"/>
      <c r="K405" s="36">
        <f t="shared" si="414"/>
        <v>64</v>
      </c>
      <c r="L405" s="33">
        <f>'1.DATA KIA'!J385</f>
        <v>0</v>
      </c>
      <c r="M405" s="36">
        <f t="shared" si="428"/>
        <v>64</v>
      </c>
      <c r="N405" s="37">
        <f t="shared" si="429"/>
        <v>32.594856124267892</v>
      </c>
      <c r="O405" s="40"/>
      <c r="P405" s="36">
        <f t="shared" si="415"/>
        <v>78</v>
      </c>
      <c r="Q405" s="33">
        <f>'1.DATA KIA'!M385</f>
        <v>0</v>
      </c>
      <c r="R405" s="36">
        <f t="shared" si="430"/>
        <v>78</v>
      </c>
      <c r="S405" s="37">
        <f t="shared" si="431"/>
        <v>39.724980901451488</v>
      </c>
      <c r="T405" s="40"/>
      <c r="U405" s="33">
        <f t="shared" si="416"/>
        <v>23</v>
      </c>
      <c r="V405" s="36">
        <f>'1.DATA KIA'!Y385</f>
        <v>0</v>
      </c>
      <c r="W405" s="33">
        <f t="shared" si="432"/>
        <v>23</v>
      </c>
      <c r="X405" s="37">
        <f t="shared" si="417"/>
        <v>55.906660184735038</v>
      </c>
      <c r="Y405" s="40"/>
      <c r="Z405" s="33">
        <f t="shared" si="418"/>
        <v>11</v>
      </c>
      <c r="AA405" s="36">
        <f>'1.DATA KIA'!Z385</f>
        <v>0</v>
      </c>
      <c r="AB405" s="33">
        <f t="shared" si="433"/>
        <v>11</v>
      </c>
      <c r="AC405" s="37">
        <f t="shared" si="419"/>
        <v>26.737967914438499</v>
      </c>
      <c r="AD405" s="40"/>
      <c r="AE405" s="33">
        <f t="shared" si="420"/>
        <v>3</v>
      </c>
      <c r="AF405" s="41">
        <f>'8.ANCTEPADU'!D433+'8.ANCTEPADU'!E433</f>
        <v>0</v>
      </c>
      <c r="AG405" s="33">
        <f t="shared" si="434"/>
        <v>3</v>
      </c>
      <c r="AH405" s="37">
        <f t="shared" si="421"/>
        <v>1.4584346135148272</v>
      </c>
      <c r="AI405" s="33">
        <f t="shared" si="422"/>
        <v>11</v>
      </c>
      <c r="AJ405" s="41">
        <f>'8.ANCTEPADU'!J433</f>
        <v>0</v>
      </c>
      <c r="AK405" s="33">
        <f t="shared" si="435"/>
        <v>11</v>
      </c>
      <c r="AL405" s="37">
        <f t="shared" si="423"/>
        <v>5.3475935828877006</v>
      </c>
      <c r="AM405" s="36">
        <f t="shared" si="424"/>
        <v>60</v>
      </c>
      <c r="AN405" s="36">
        <f>'1.DATA KIA'!AG385</f>
        <v>0</v>
      </c>
      <c r="AO405" s="33">
        <f t="shared" si="436"/>
        <v>60</v>
      </c>
      <c r="AP405" s="37" t="e">
        <f t="shared" si="437"/>
        <v>#DIV/0!</v>
      </c>
      <c r="AQ405" s="40"/>
      <c r="AR405" s="42">
        <f t="shared" si="425"/>
        <v>60</v>
      </c>
      <c r="AS405" s="36">
        <f>'1.DATA KIA'!AB385</f>
        <v>0</v>
      </c>
      <c r="AT405" s="33">
        <f t="shared" si="438"/>
        <v>60</v>
      </c>
      <c r="AU405" s="37">
        <f t="shared" si="439"/>
        <v>30.557677616501145</v>
      </c>
      <c r="AV405" s="40"/>
      <c r="AW405" s="36">
        <f t="shared" si="426"/>
        <v>13</v>
      </c>
      <c r="AX405" s="33">
        <f>'1.DATA KIA'!AF385</f>
        <v>0</v>
      </c>
      <c r="AY405" s="36">
        <f t="shared" si="440"/>
        <v>13</v>
      </c>
      <c r="AZ405" s="37">
        <f t="shared" si="441"/>
        <v>31.599416626154586</v>
      </c>
      <c r="BA405" s="38"/>
    </row>
    <row r="406" spans="1:54" ht="30" customHeight="1" x14ac:dyDescent="0.35">
      <c r="A406" s="33">
        <v>4</v>
      </c>
      <c r="B406" s="34" t="str">
        <f>PETUNJUK!B12</f>
        <v>Ngeling</v>
      </c>
      <c r="C406" s="35">
        <f>'1.DATA KIA'!C386</f>
        <v>95.7</v>
      </c>
      <c r="D406" s="35">
        <f>'1.DATA KIA'!D386</f>
        <v>91.350000000000009</v>
      </c>
      <c r="E406" s="35">
        <f t="shared" si="411"/>
        <v>0</v>
      </c>
      <c r="F406" s="36">
        <f t="shared" si="412"/>
        <v>30</v>
      </c>
      <c r="G406" s="36">
        <f>'1.DATA KIA'!F386</f>
        <v>0</v>
      </c>
      <c r="H406" s="36">
        <f t="shared" si="427"/>
        <v>30</v>
      </c>
      <c r="I406" s="37">
        <f t="shared" si="413"/>
        <v>31.347962382445139</v>
      </c>
      <c r="J406" s="40"/>
      <c r="K406" s="36">
        <f t="shared" si="414"/>
        <v>28</v>
      </c>
      <c r="L406" s="33">
        <f>'1.DATA KIA'!J386</f>
        <v>0</v>
      </c>
      <c r="M406" s="36">
        <f t="shared" si="428"/>
        <v>28</v>
      </c>
      <c r="N406" s="37">
        <f t="shared" si="429"/>
        <v>30.651340996168582</v>
      </c>
      <c r="O406" s="40"/>
      <c r="P406" s="36">
        <f t="shared" si="415"/>
        <v>26</v>
      </c>
      <c r="Q406" s="33">
        <f>'1.DATA KIA'!M386</f>
        <v>0</v>
      </c>
      <c r="R406" s="36">
        <f t="shared" si="430"/>
        <v>26</v>
      </c>
      <c r="S406" s="37">
        <f t="shared" si="431"/>
        <v>28.461959496442251</v>
      </c>
      <c r="T406" s="40"/>
      <c r="U406" s="33">
        <f t="shared" si="416"/>
        <v>7</v>
      </c>
      <c r="V406" s="36">
        <f>'1.DATA KIA'!Y386</f>
        <v>0</v>
      </c>
      <c r="W406" s="33">
        <f t="shared" si="432"/>
        <v>7</v>
      </c>
      <c r="X406" s="37">
        <f t="shared" si="417"/>
        <v>36.572622779519328</v>
      </c>
      <c r="Y406" s="40"/>
      <c r="Z406" s="33">
        <f t="shared" si="418"/>
        <v>5</v>
      </c>
      <c r="AA406" s="36">
        <f>'1.DATA KIA'!Z386</f>
        <v>0</v>
      </c>
      <c r="AB406" s="33">
        <f t="shared" si="433"/>
        <v>5</v>
      </c>
      <c r="AC406" s="37">
        <f t="shared" si="419"/>
        <v>26.123301985370951</v>
      </c>
      <c r="AD406" s="40"/>
      <c r="AE406" s="33">
        <f t="shared" si="420"/>
        <v>5</v>
      </c>
      <c r="AF406" s="41">
        <f>'8.ANCTEPADU'!D434+'8.ANCTEPADU'!E434</f>
        <v>0</v>
      </c>
      <c r="AG406" s="33">
        <f t="shared" si="434"/>
        <v>5</v>
      </c>
      <c r="AH406" s="37">
        <f t="shared" si="421"/>
        <v>5.2246603970741896</v>
      </c>
      <c r="AI406" s="33">
        <f t="shared" si="422"/>
        <v>5</v>
      </c>
      <c r="AJ406" s="41">
        <f>'8.ANCTEPADU'!J434</f>
        <v>0</v>
      </c>
      <c r="AK406" s="33">
        <f t="shared" si="435"/>
        <v>5</v>
      </c>
      <c r="AL406" s="37">
        <f t="shared" si="423"/>
        <v>5.2246603970741896</v>
      </c>
      <c r="AM406" s="36">
        <f t="shared" si="424"/>
        <v>28</v>
      </c>
      <c r="AN406" s="36">
        <f>'1.DATA KIA'!AG386</f>
        <v>0</v>
      </c>
      <c r="AO406" s="33">
        <f t="shared" si="436"/>
        <v>28</v>
      </c>
      <c r="AP406" s="37" t="e">
        <f t="shared" si="437"/>
        <v>#DIV/0!</v>
      </c>
      <c r="AQ406" s="40"/>
      <c r="AR406" s="42">
        <f t="shared" si="425"/>
        <v>28</v>
      </c>
      <c r="AS406" s="36">
        <f>'1.DATA KIA'!AB386</f>
        <v>0</v>
      </c>
      <c r="AT406" s="33">
        <f t="shared" si="438"/>
        <v>28</v>
      </c>
      <c r="AU406" s="37">
        <f t="shared" si="439"/>
        <v>30.651340996168582</v>
      </c>
      <c r="AV406" s="40"/>
      <c r="AW406" s="36">
        <f t="shared" si="426"/>
        <v>10</v>
      </c>
      <c r="AX406" s="33">
        <f>'1.DATA KIA'!AF386</f>
        <v>0</v>
      </c>
      <c r="AY406" s="36">
        <f t="shared" si="440"/>
        <v>10</v>
      </c>
      <c r="AZ406" s="37">
        <f t="shared" si="441"/>
        <v>52.246603970741901</v>
      </c>
      <c r="BA406" s="38"/>
    </row>
    <row r="407" spans="1:54" ht="30" customHeight="1" x14ac:dyDescent="0.35">
      <c r="A407" s="33">
        <v>5</v>
      </c>
      <c r="B407" s="34" t="str">
        <f>PETUNJUK!B13</f>
        <v>Lebuawu</v>
      </c>
      <c r="C407" s="35">
        <f>'1.DATA KIA'!C387</f>
        <v>85.800000000000011</v>
      </c>
      <c r="D407" s="35">
        <f>'1.DATA KIA'!D387</f>
        <v>81.900000000000006</v>
      </c>
      <c r="E407" s="35">
        <f t="shared" si="411"/>
        <v>0</v>
      </c>
      <c r="F407" s="36">
        <f t="shared" si="412"/>
        <v>33</v>
      </c>
      <c r="G407" s="36">
        <f>'1.DATA KIA'!F387</f>
        <v>0</v>
      </c>
      <c r="H407" s="36">
        <f t="shared" si="427"/>
        <v>33</v>
      </c>
      <c r="I407" s="37">
        <f t="shared" si="413"/>
        <v>38.46153846153846</v>
      </c>
      <c r="J407" s="40"/>
      <c r="K407" s="36">
        <f t="shared" si="414"/>
        <v>25</v>
      </c>
      <c r="L407" s="33">
        <f>'1.DATA KIA'!J387</f>
        <v>0</v>
      </c>
      <c r="M407" s="36">
        <f t="shared" si="428"/>
        <v>25</v>
      </c>
      <c r="N407" s="37">
        <f t="shared" si="429"/>
        <v>30.525030525030523</v>
      </c>
      <c r="O407" s="40"/>
      <c r="P407" s="36">
        <f t="shared" si="415"/>
        <v>19</v>
      </c>
      <c r="Q407" s="33">
        <f>'1.DATA KIA'!M387</f>
        <v>0</v>
      </c>
      <c r="R407" s="36">
        <f t="shared" si="430"/>
        <v>19</v>
      </c>
      <c r="S407" s="37">
        <f t="shared" si="431"/>
        <v>23.199023199023198</v>
      </c>
      <c r="T407" s="40"/>
      <c r="U407" s="33">
        <f t="shared" si="416"/>
        <v>5</v>
      </c>
      <c r="V407" s="36">
        <f>'1.DATA KIA'!Y387</f>
        <v>0</v>
      </c>
      <c r="W407" s="33">
        <f t="shared" si="432"/>
        <v>5</v>
      </c>
      <c r="X407" s="37">
        <f t="shared" si="417"/>
        <v>29.137529137529132</v>
      </c>
      <c r="Y407" s="40"/>
      <c r="Z407" s="33">
        <f t="shared" si="418"/>
        <v>3</v>
      </c>
      <c r="AA407" s="36">
        <f>'1.DATA KIA'!Z387</f>
        <v>0</v>
      </c>
      <c r="AB407" s="33">
        <f t="shared" si="433"/>
        <v>3</v>
      </c>
      <c r="AC407" s="37">
        <f t="shared" si="419"/>
        <v>17.48251748251748</v>
      </c>
      <c r="AD407" s="40"/>
      <c r="AE407" s="33">
        <f t="shared" si="420"/>
        <v>2</v>
      </c>
      <c r="AF407" s="41">
        <f>'8.ANCTEPADU'!D435+'8.ANCTEPADU'!E435</f>
        <v>0</v>
      </c>
      <c r="AG407" s="33">
        <f t="shared" si="434"/>
        <v>2</v>
      </c>
      <c r="AH407" s="37">
        <f t="shared" si="421"/>
        <v>2.3310023310023307</v>
      </c>
      <c r="AI407" s="33">
        <f t="shared" si="422"/>
        <v>3</v>
      </c>
      <c r="AJ407" s="41">
        <f>'8.ANCTEPADU'!J435</f>
        <v>0</v>
      </c>
      <c r="AK407" s="33">
        <f t="shared" si="435"/>
        <v>3</v>
      </c>
      <c r="AL407" s="37">
        <f t="shared" si="423"/>
        <v>3.4965034965034962</v>
      </c>
      <c r="AM407" s="36">
        <f t="shared" si="424"/>
        <v>23</v>
      </c>
      <c r="AN407" s="36">
        <f>'1.DATA KIA'!AG387</f>
        <v>0</v>
      </c>
      <c r="AO407" s="33">
        <f t="shared" si="436"/>
        <v>23</v>
      </c>
      <c r="AP407" s="37" t="e">
        <f t="shared" si="437"/>
        <v>#DIV/0!</v>
      </c>
      <c r="AQ407" s="40"/>
      <c r="AR407" s="42">
        <f t="shared" si="425"/>
        <v>23</v>
      </c>
      <c r="AS407" s="36">
        <f>'1.DATA KIA'!AB387</f>
        <v>0</v>
      </c>
      <c r="AT407" s="33">
        <f t="shared" si="438"/>
        <v>23</v>
      </c>
      <c r="AU407" s="37">
        <f t="shared" si="439"/>
        <v>28.083028083028083</v>
      </c>
      <c r="AV407" s="40"/>
      <c r="AW407" s="36">
        <f t="shared" si="426"/>
        <v>1</v>
      </c>
      <c r="AX407" s="33">
        <f>'1.DATA KIA'!AF387</f>
        <v>0</v>
      </c>
      <c r="AY407" s="36">
        <f t="shared" si="440"/>
        <v>1</v>
      </c>
      <c r="AZ407" s="37">
        <f t="shared" si="441"/>
        <v>5.8275058275058269</v>
      </c>
      <c r="BA407" s="38"/>
    </row>
    <row r="408" spans="1:54" ht="30" customHeight="1" x14ac:dyDescent="0.35">
      <c r="A408" s="33">
        <v>6</v>
      </c>
      <c r="B408" s="34" t="str">
        <f>PETUNJUK!B14</f>
        <v>Pulodarat</v>
      </c>
      <c r="C408" s="35">
        <f>'1.DATA KIA'!C388</f>
        <v>82.5</v>
      </c>
      <c r="D408" s="35">
        <f>'1.DATA KIA'!D388</f>
        <v>78.75</v>
      </c>
      <c r="E408" s="35">
        <f t="shared" si="411"/>
        <v>0</v>
      </c>
      <c r="F408" s="36">
        <f t="shared" si="412"/>
        <v>18</v>
      </c>
      <c r="G408" s="36">
        <f>'1.DATA KIA'!F388</f>
        <v>0</v>
      </c>
      <c r="H408" s="36">
        <f t="shared" si="427"/>
        <v>18</v>
      </c>
      <c r="I408" s="37">
        <f t="shared" si="413"/>
        <v>21.818181818181817</v>
      </c>
      <c r="J408" s="40"/>
      <c r="K408" s="36">
        <f t="shared" si="414"/>
        <v>19</v>
      </c>
      <c r="L408" s="33">
        <f>'1.DATA KIA'!J388</f>
        <v>0</v>
      </c>
      <c r="M408" s="36">
        <f t="shared" si="428"/>
        <v>19</v>
      </c>
      <c r="N408" s="37">
        <f t="shared" si="429"/>
        <v>24.126984126984127</v>
      </c>
      <c r="O408" s="40"/>
      <c r="P408" s="36">
        <f t="shared" si="415"/>
        <v>19</v>
      </c>
      <c r="Q408" s="33">
        <f>'1.DATA KIA'!M388</f>
        <v>0</v>
      </c>
      <c r="R408" s="36">
        <f t="shared" si="430"/>
        <v>19</v>
      </c>
      <c r="S408" s="37">
        <f t="shared" si="431"/>
        <v>24.126984126984127</v>
      </c>
      <c r="T408" s="40"/>
      <c r="U408" s="33">
        <f t="shared" si="416"/>
        <v>4</v>
      </c>
      <c r="V408" s="36">
        <f>'1.DATA KIA'!Y388</f>
        <v>0</v>
      </c>
      <c r="W408" s="33">
        <f t="shared" si="432"/>
        <v>4</v>
      </c>
      <c r="X408" s="37">
        <f t="shared" si="417"/>
        <v>24.242424242424242</v>
      </c>
      <c r="Y408" s="40"/>
      <c r="Z408" s="33">
        <f t="shared" si="418"/>
        <v>2</v>
      </c>
      <c r="AA408" s="36">
        <f>'1.DATA KIA'!Z388</f>
        <v>0</v>
      </c>
      <c r="AB408" s="33">
        <f t="shared" si="433"/>
        <v>2</v>
      </c>
      <c r="AC408" s="37">
        <f t="shared" si="419"/>
        <v>12.121212121212121</v>
      </c>
      <c r="AD408" s="40"/>
      <c r="AE408" s="33">
        <f t="shared" si="420"/>
        <v>3</v>
      </c>
      <c r="AF408" s="41">
        <f>'8.ANCTEPADU'!D436+'8.ANCTEPADU'!E436</f>
        <v>0</v>
      </c>
      <c r="AG408" s="33">
        <f t="shared" si="434"/>
        <v>3</v>
      </c>
      <c r="AH408" s="37">
        <f t="shared" si="421"/>
        <v>3.6363636363636362</v>
      </c>
      <c r="AI408" s="33">
        <f t="shared" si="422"/>
        <v>0</v>
      </c>
      <c r="AJ408" s="41">
        <f>'8.ANCTEPADU'!J436</f>
        <v>0</v>
      </c>
      <c r="AK408" s="33">
        <f t="shared" si="435"/>
        <v>0</v>
      </c>
      <c r="AL408" s="37">
        <f t="shared" si="423"/>
        <v>0</v>
      </c>
      <c r="AM408" s="36">
        <f t="shared" si="424"/>
        <v>17</v>
      </c>
      <c r="AN408" s="36">
        <f>'1.DATA KIA'!AG388</f>
        <v>0</v>
      </c>
      <c r="AO408" s="33">
        <f t="shared" si="436"/>
        <v>17</v>
      </c>
      <c r="AP408" s="37" t="e">
        <f t="shared" si="437"/>
        <v>#DIV/0!</v>
      </c>
      <c r="AQ408" s="40"/>
      <c r="AR408" s="42">
        <f t="shared" si="425"/>
        <v>17</v>
      </c>
      <c r="AS408" s="36">
        <f>'1.DATA KIA'!AB388</f>
        <v>0</v>
      </c>
      <c r="AT408" s="33">
        <f t="shared" si="438"/>
        <v>17</v>
      </c>
      <c r="AU408" s="37">
        <f t="shared" si="439"/>
        <v>21.587301587301589</v>
      </c>
      <c r="AV408" s="40"/>
      <c r="AW408" s="36">
        <f t="shared" si="426"/>
        <v>4</v>
      </c>
      <c r="AX408" s="33">
        <f>'1.DATA KIA'!AF388</f>
        <v>0</v>
      </c>
      <c r="AY408" s="36">
        <f t="shared" si="440"/>
        <v>4</v>
      </c>
      <c r="AZ408" s="37">
        <f t="shared" si="441"/>
        <v>24.242424242424242</v>
      </c>
      <c r="BA408" s="38"/>
    </row>
    <row r="409" spans="1:54" ht="30" customHeight="1" x14ac:dyDescent="0.35">
      <c r="A409" s="33">
        <v>7</v>
      </c>
      <c r="B409" s="34" t="str">
        <f>PETUNJUK!B15</f>
        <v>Karangrandu</v>
      </c>
      <c r="C409" s="35">
        <f>'1.DATA KIA'!C389</f>
        <v>93.500000000000014</v>
      </c>
      <c r="D409" s="35">
        <f>'1.DATA KIA'!D389</f>
        <v>89.25</v>
      </c>
      <c r="E409" s="35">
        <f t="shared" si="411"/>
        <v>0</v>
      </c>
      <c r="F409" s="36">
        <f t="shared" si="412"/>
        <v>31</v>
      </c>
      <c r="G409" s="36">
        <f>'1.DATA KIA'!F389</f>
        <v>0</v>
      </c>
      <c r="H409" s="36">
        <f t="shared" si="427"/>
        <v>31</v>
      </c>
      <c r="I409" s="37">
        <f t="shared" si="413"/>
        <v>33.155080213903737</v>
      </c>
      <c r="J409" s="40"/>
      <c r="K409" s="36">
        <f t="shared" si="414"/>
        <v>24</v>
      </c>
      <c r="L409" s="33">
        <f>'1.DATA KIA'!J389</f>
        <v>0</v>
      </c>
      <c r="M409" s="36">
        <f t="shared" si="428"/>
        <v>24</v>
      </c>
      <c r="N409" s="37">
        <f t="shared" si="429"/>
        <v>26.890756302521009</v>
      </c>
      <c r="O409" s="40"/>
      <c r="P409" s="36">
        <f t="shared" si="415"/>
        <v>27</v>
      </c>
      <c r="Q409" s="33">
        <f>'1.DATA KIA'!M389</f>
        <v>0</v>
      </c>
      <c r="R409" s="36">
        <f t="shared" si="430"/>
        <v>27</v>
      </c>
      <c r="S409" s="37">
        <f t="shared" si="431"/>
        <v>30.252100840336134</v>
      </c>
      <c r="T409" s="40"/>
      <c r="U409" s="33">
        <f t="shared" si="416"/>
        <v>14</v>
      </c>
      <c r="V409" s="36">
        <f>'1.DATA KIA'!Y389</f>
        <v>0</v>
      </c>
      <c r="W409" s="33">
        <f t="shared" si="432"/>
        <v>14</v>
      </c>
      <c r="X409" s="37">
        <f t="shared" si="417"/>
        <v>74.866310160427801</v>
      </c>
      <c r="Y409" s="40"/>
      <c r="Z409" s="33">
        <f t="shared" si="418"/>
        <v>5</v>
      </c>
      <c r="AA409" s="36">
        <f>'1.DATA KIA'!Z389</f>
        <v>0</v>
      </c>
      <c r="AB409" s="33">
        <f t="shared" si="433"/>
        <v>5</v>
      </c>
      <c r="AC409" s="37">
        <f t="shared" si="419"/>
        <v>26.737967914438499</v>
      </c>
      <c r="AD409" s="40"/>
      <c r="AE409" s="33">
        <f t="shared" si="420"/>
        <v>3</v>
      </c>
      <c r="AF409" s="41">
        <f>'8.ANCTEPADU'!D437+'8.ANCTEPADU'!E437</f>
        <v>0</v>
      </c>
      <c r="AG409" s="33">
        <f t="shared" si="434"/>
        <v>3</v>
      </c>
      <c r="AH409" s="37">
        <f t="shared" si="421"/>
        <v>3.2085561497326198</v>
      </c>
      <c r="AI409" s="33">
        <f t="shared" si="422"/>
        <v>2</v>
      </c>
      <c r="AJ409" s="41">
        <f>'8.ANCTEPADU'!J437</f>
        <v>0</v>
      </c>
      <c r="AK409" s="33">
        <f t="shared" si="435"/>
        <v>2</v>
      </c>
      <c r="AL409" s="37">
        <f t="shared" si="423"/>
        <v>2.1390374331550799</v>
      </c>
      <c r="AM409" s="36">
        <f t="shared" si="424"/>
        <v>26</v>
      </c>
      <c r="AN409" s="36">
        <f>'1.DATA KIA'!AG389</f>
        <v>0</v>
      </c>
      <c r="AO409" s="33">
        <f t="shared" si="436"/>
        <v>26</v>
      </c>
      <c r="AP409" s="37" t="e">
        <f t="shared" si="437"/>
        <v>#DIV/0!</v>
      </c>
      <c r="AQ409" s="40"/>
      <c r="AR409" s="42">
        <f t="shared" si="425"/>
        <v>27</v>
      </c>
      <c r="AS409" s="36">
        <f>'1.DATA KIA'!AB389</f>
        <v>0</v>
      </c>
      <c r="AT409" s="33">
        <f t="shared" si="438"/>
        <v>27</v>
      </c>
      <c r="AU409" s="37">
        <f t="shared" si="439"/>
        <v>30.252100840336134</v>
      </c>
      <c r="AV409" s="40"/>
      <c r="AW409" s="36">
        <f t="shared" si="426"/>
        <v>4</v>
      </c>
      <c r="AX409" s="33">
        <f>'1.DATA KIA'!AF389</f>
        <v>0</v>
      </c>
      <c r="AY409" s="36">
        <f t="shared" si="440"/>
        <v>4</v>
      </c>
      <c r="AZ409" s="37">
        <f t="shared" si="441"/>
        <v>21.390374331550799</v>
      </c>
      <c r="BA409" s="38"/>
    </row>
    <row r="410" spans="1:54" ht="30" customHeight="1" x14ac:dyDescent="0.35">
      <c r="A410" s="33">
        <v>8</v>
      </c>
      <c r="B410" s="34" t="str">
        <f>PETUNJUK!B16</f>
        <v>Kaliombo</v>
      </c>
      <c r="C410" s="35">
        <f>'1.DATA KIA'!C390</f>
        <v>46.2</v>
      </c>
      <c r="D410" s="35">
        <f>'1.DATA KIA'!D390</f>
        <v>44.1</v>
      </c>
      <c r="E410" s="35">
        <f t="shared" si="411"/>
        <v>0</v>
      </c>
      <c r="F410" s="36">
        <f t="shared" si="412"/>
        <v>13</v>
      </c>
      <c r="G410" s="36">
        <f>'1.DATA KIA'!F390</f>
        <v>0</v>
      </c>
      <c r="H410" s="36">
        <f t="shared" si="427"/>
        <v>13</v>
      </c>
      <c r="I410" s="37">
        <f t="shared" si="413"/>
        <v>28.138528138528134</v>
      </c>
      <c r="J410" s="40"/>
      <c r="K410" s="36">
        <f t="shared" si="414"/>
        <v>13</v>
      </c>
      <c r="L410" s="33">
        <f>'1.DATA KIA'!J390</f>
        <v>0</v>
      </c>
      <c r="M410" s="36">
        <f t="shared" si="428"/>
        <v>13</v>
      </c>
      <c r="N410" s="37">
        <f t="shared" si="429"/>
        <v>29.478458049886619</v>
      </c>
      <c r="O410" s="40"/>
      <c r="P410" s="36">
        <f t="shared" si="415"/>
        <v>13</v>
      </c>
      <c r="Q410" s="33">
        <f>'1.DATA KIA'!M390</f>
        <v>0</v>
      </c>
      <c r="R410" s="36">
        <f t="shared" si="430"/>
        <v>13</v>
      </c>
      <c r="S410" s="37">
        <f t="shared" si="431"/>
        <v>29.478458049886619</v>
      </c>
      <c r="T410" s="40"/>
      <c r="U410" s="33">
        <f t="shared" si="416"/>
        <v>7</v>
      </c>
      <c r="V410" s="36">
        <f>'1.DATA KIA'!Y390</f>
        <v>0</v>
      </c>
      <c r="W410" s="33">
        <f t="shared" si="432"/>
        <v>7</v>
      </c>
      <c r="X410" s="37">
        <f t="shared" si="417"/>
        <v>75.757575757575751</v>
      </c>
      <c r="Y410" s="40"/>
      <c r="Z410" s="33">
        <f t="shared" si="418"/>
        <v>2</v>
      </c>
      <c r="AA410" s="36">
        <f>'1.DATA KIA'!Z390</f>
        <v>0</v>
      </c>
      <c r="AB410" s="33">
        <f t="shared" si="433"/>
        <v>2</v>
      </c>
      <c r="AC410" s="37">
        <f t="shared" si="419"/>
        <v>21.645021645021643</v>
      </c>
      <c r="AD410" s="40"/>
      <c r="AE410" s="33">
        <f t="shared" si="420"/>
        <v>0</v>
      </c>
      <c r="AF410" s="41">
        <f>'8.ANCTEPADU'!D438+'8.ANCTEPADU'!E438</f>
        <v>0</v>
      </c>
      <c r="AG410" s="33">
        <f t="shared" si="434"/>
        <v>0</v>
      </c>
      <c r="AH410" s="37">
        <f t="shared" si="421"/>
        <v>0</v>
      </c>
      <c r="AI410" s="33">
        <f t="shared" si="422"/>
        <v>1</v>
      </c>
      <c r="AJ410" s="41">
        <f>'8.ANCTEPADU'!J438</f>
        <v>0</v>
      </c>
      <c r="AK410" s="33">
        <f t="shared" si="435"/>
        <v>1</v>
      </c>
      <c r="AL410" s="37">
        <f t="shared" si="423"/>
        <v>2.1645021645021645</v>
      </c>
      <c r="AM410" s="36">
        <f t="shared" si="424"/>
        <v>13</v>
      </c>
      <c r="AN410" s="36">
        <f>'1.DATA KIA'!AG390</f>
        <v>0</v>
      </c>
      <c r="AO410" s="33">
        <f t="shared" si="436"/>
        <v>13</v>
      </c>
      <c r="AP410" s="37" t="e">
        <f t="shared" si="437"/>
        <v>#DIV/0!</v>
      </c>
      <c r="AQ410" s="40"/>
      <c r="AR410" s="42">
        <f t="shared" si="425"/>
        <v>13</v>
      </c>
      <c r="AS410" s="36">
        <f>'1.DATA KIA'!AB390</f>
        <v>0</v>
      </c>
      <c r="AT410" s="33">
        <f t="shared" si="438"/>
        <v>13</v>
      </c>
      <c r="AU410" s="37">
        <f t="shared" si="439"/>
        <v>29.478458049886619</v>
      </c>
      <c r="AV410" s="40"/>
      <c r="AW410" s="36">
        <f t="shared" si="426"/>
        <v>5</v>
      </c>
      <c r="AX410" s="33">
        <f>'1.DATA KIA'!AF390</f>
        <v>0</v>
      </c>
      <c r="AY410" s="36">
        <f t="shared" si="440"/>
        <v>5</v>
      </c>
      <c r="AZ410" s="37">
        <f t="shared" si="441"/>
        <v>54.112554112554115</v>
      </c>
      <c r="BA410" s="38"/>
    </row>
    <row r="411" spans="1:54" ht="30" customHeight="1" x14ac:dyDescent="0.35">
      <c r="A411" s="33">
        <v>9</v>
      </c>
      <c r="B411" s="34" t="str">
        <f>PETUNJUK!B17</f>
        <v>Gemulung</v>
      </c>
      <c r="C411" s="35">
        <f>'1.DATA KIA'!C391</f>
        <v>53.900000000000006</v>
      </c>
      <c r="D411" s="35">
        <f>'1.DATA KIA'!D391</f>
        <v>51.45</v>
      </c>
      <c r="E411" s="35">
        <f t="shared" si="411"/>
        <v>0</v>
      </c>
      <c r="F411" s="36">
        <f t="shared" si="412"/>
        <v>19</v>
      </c>
      <c r="G411" s="36">
        <f>'1.DATA KIA'!F391</f>
        <v>0</v>
      </c>
      <c r="H411" s="36">
        <f t="shared" si="427"/>
        <v>19</v>
      </c>
      <c r="I411" s="37">
        <f t="shared" si="413"/>
        <v>35.250463821892389</v>
      </c>
      <c r="J411" s="40"/>
      <c r="K411" s="36">
        <f t="shared" si="414"/>
        <v>19</v>
      </c>
      <c r="L411" s="33">
        <f>'1.DATA KIA'!J391</f>
        <v>0</v>
      </c>
      <c r="M411" s="36">
        <f t="shared" si="428"/>
        <v>19</v>
      </c>
      <c r="N411" s="37">
        <f t="shared" si="429"/>
        <v>36.929057337220598</v>
      </c>
      <c r="O411" s="40"/>
      <c r="P411" s="36">
        <f t="shared" si="415"/>
        <v>19</v>
      </c>
      <c r="Q411" s="33">
        <f>'1.DATA KIA'!M391</f>
        <v>0</v>
      </c>
      <c r="R411" s="36">
        <f t="shared" si="430"/>
        <v>19</v>
      </c>
      <c r="S411" s="37">
        <f t="shared" si="431"/>
        <v>36.929057337220598</v>
      </c>
      <c r="T411" s="40"/>
      <c r="U411" s="33">
        <f t="shared" si="416"/>
        <v>3</v>
      </c>
      <c r="V411" s="36">
        <f>'1.DATA KIA'!Y391</f>
        <v>0</v>
      </c>
      <c r="W411" s="33">
        <f t="shared" si="432"/>
        <v>3</v>
      </c>
      <c r="X411" s="37">
        <f t="shared" si="417"/>
        <v>27.829313543599255</v>
      </c>
      <c r="Y411" s="40"/>
      <c r="Z411" s="33">
        <f t="shared" si="418"/>
        <v>1</v>
      </c>
      <c r="AA411" s="36">
        <f>'1.DATA KIA'!Z391</f>
        <v>0</v>
      </c>
      <c r="AB411" s="33">
        <f t="shared" si="433"/>
        <v>1</v>
      </c>
      <c r="AC411" s="37">
        <f t="shared" si="419"/>
        <v>9.2764378478664185</v>
      </c>
      <c r="AD411" s="40"/>
      <c r="AE411" s="33">
        <f t="shared" si="420"/>
        <v>4</v>
      </c>
      <c r="AF411" s="41">
        <f>'8.ANCTEPADU'!D439+'8.ANCTEPADU'!E439</f>
        <v>0</v>
      </c>
      <c r="AG411" s="33">
        <f t="shared" si="434"/>
        <v>4</v>
      </c>
      <c r="AH411" s="37">
        <f t="shared" si="421"/>
        <v>7.4211502782931342</v>
      </c>
      <c r="AI411" s="33">
        <f t="shared" si="422"/>
        <v>1</v>
      </c>
      <c r="AJ411" s="41">
        <f>'8.ANCTEPADU'!J439</f>
        <v>0</v>
      </c>
      <c r="AK411" s="33">
        <f t="shared" si="435"/>
        <v>1</v>
      </c>
      <c r="AL411" s="37">
        <f t="shared" si="423"/>
        <v>1.8552875695732836</v>
      </c>
      <c r="AM411" s="36">
        <f t="shared" si="424"/>
        <v>20</v>
      </c>
      <c r="AN411" s="36">
        <f>'1.DATA KIA'!AG391</f>
        <v>0</v>
      </c>
      <c r="AO411" s="33">
        <f t="shared" si="436"/>
        <v>20</v>
      </c>
      <c r="AP411" s="37" t="e">
        <f t="shared" si="437"/>
        <v>#DIV/0!</v>
      </c>
      <c r="AQ411" s="40"/>
      <c r="AR411" s="42">
        <f t="shared" si="425"/>
        <v>20</v>
      </c>
      <c r="AS411" s="36">
        <f>'1.DATA KIA'!AB391</f>
        <v>0</v>
      </c>
      <c r="AT411" s="33">
        <f t="shared" si="438"/>
        <v>20</v>
      </c>
      <c r="AU411" s="37">
        <f t="shared" si="439"/>
        <v>38.872691933916421</v>
      </c>
      <c r="AV411" s="40"/>
      <c r="AW411" s="36">
        <f t="shared" si="426"/>
        <v>8</v>
      </c>
      <c r="AX411" s="33">
        <f>'1.DATA KIA'!AF391</f>
        <v>0</v>
      </c>
      <c r="AY411" s="36">
        <f t="shared" si="440"/>
        <v>8</v>
      </c>
      <c r="AZ411" s="37">
        <f t="shared" si="441"/>
        <v>74.211502782931348</v>
      </c>
      <c r="BA411" s="38"/>
    </row>
    <row r="412" spans="1:54" ht="30" customHeight="1" x14ac:dyDescent="0.35">
      <c r="A412" s="33">
        <v>10</v>
      </c>
      <c r="B412" s="34" t="str">
        <f>PETUNJUK!B18</f>
        <v>Pecangaan Wetan</v>
      </c>
      <c r="C412" s="35">
        <f>'1.DATA KIA'!C392</f>
        <v>50.6</v>
      </c>
      <c r="D412" s="35">
        <f>'1.DATA KIA'!D392</f>
        <v>48.300000000000004</v>
      </c>
      <c r="E412" s="35">
        <f t="shared" si="411"/>
        <v>0</v>
      </c>
      <c r="F412" s="36">
        <f t="shared" si="412"/>
        <v>15</v>
      </c>
      <c r="G412" s="36">
        <f>'1.DATA KIA'!F392</f>
        <v>0</v>
      </c>
      <c r="H412" s="36">
        <f t="shared" si="427"/>
        <v>15</v>
      </c>
      <c r="I412" s="37">
        <f t="shared" si="413"/>
        <v>29.644268774703558</v>
      </c>
      <c r="J412" s="40"/>
      <c r="K412" s="36">
        <f t="shared" si="414"/>
        <v>12</v>
      </c>
      <c r="L412" s="33">
        <f>'1.DATA KIA'!J392</f>
        <v>0</v>
      </c>
      <c r="M412" s="36">
        <f t="shared" si="428"/>
        <v>12</v>
      </c>
      <c r="N412" s="37">
        <f t="shared" si="429"/>
        <v>24.844720496894407</v>
      </c>
      <c r="O412" s="40"/>
      <c r="P412" s="36">
        <f t="shared" si="415"/>
        <v>10</v>
      </c>
      <c r="Q412" s="33">
        <f>'1.DATA KIA'!M392</f>
        <v>0</v>
      </c>
      <c r="R412" s="36">
        <f t="shared" si="430"/>
        <v>10</v>
      </c>
      <c r="S412" s="37">
        <f t="shared" si="431"/>
        <v>20.703933747412005</v>
      </c>
      <c r="T412" s="40"/>
      <c r="U412" s="33">
        <f t="shared" si="416"/>
        <v>4</v>
      </c>
      <c r="V412" s="36">
        <f>'1.DATA KIA'!Y392</f>
        <v>0</v>
      </c>
      <c r="W412" s="33">
        <f t="shared" si="432"/>
        <v>4</v>
      </c>
      <c r="X412" s="37">
        <f t="shared" si="417"/>
        <v>39.525691699604735</v>
      </c>
      <c r="Y412" s="40"/>
      <c r="Z412" s="33">
        <f t="shared" si="418"/>
        <v>0</v>
      </c>
      <c r="AA412" s="36">
        <f>'1.DATA KIA'!Z392</f>
        <v>0</v>
      </c>
      <c r="AB412" s="33">
        <f t="shared" si="433"/>
        <v>0</v>
      </c>
      <c r="AC412" s="37">
        <f t="shared" si="419"/>
        <v>0</v>
      </c>
      <c r="AD412" s="40"/>
      <c r="AE412" s="33">
        <f t="shared" si="420"/>
        <v>0</v>
      </c>
      <c r="AF412" s="41">
        <f>'8.ANCTEPADU'!D440+'8.ANCTEPADU'!E440</f>
        <v>0</v>
      </c>
      <c r="AG412" s="33">
        <f t="shared" si="434"/>
        <v>0</v>
      </c>
      <c r="AH412" s="37">
        <f t="shared" si="421"/>
        <v>0</v>
      </c>
      <c r="AI412" s="33">
        <f t="shared" si="422"/>
        <v>5</v>
      </c>
      <c r="AJ412" s="41">
        <f>'8.ANCTEPADU'!J440</f>
        <v>0</v>
      </c>
      <c r="AK412" s="33">
        <f t="shared" si="435"/>
        <v>5</v>
      </c>
      <c r="AL412" s="37">
        <f t="shared" si="423"/>
        <v>9.8814229249011856</v>
      </c>
      <c r="AM412" s="36">
        <f t="shared" si="424"/>
        <v>13</v>
      </c>
      <c r="AN412" s="36">
        <f>'1.DATA KIA'!AG392</f>
        <v>0</v>
      </c>
      <c r="AO412" s="33">
        <f t="shared" si="436"/>
        <v>13</v>
      </c>
      <c r="AP412" s="37" t="e">
        <f t="shared" si="437"/>
        <v>#DIV/0!</v>
      </c>
      <c r="AQ412" s="40"/>
      <c r="AR412" s="42">
        <f t="shared" si="425"/>
        <v>13</v>
      </c>
      <c r="AS412" s="36">
        <f>'1.DATA KIA'!AB392</f>
        <v>0</v>
      </c>
      <c r="AT412" s="33">
        <f t="shared" si="438"/>
        <v>13</v>
      </c>
      <c r="AU412" s="37">
        <f t="shared" si="439"/>
        <v>26.915113871635612</v>
      </c>
      <c r="AV412" s="40"/>
      <c r="AW412" s="36">
        <f t="shared" si="426"/>
        <v>1</v>
      </c>
      <c r="AX412" s="33">
        <f>'1.DATA KIA'!AF392</f>
        <v>0</v>
      </c>
      <c r="AY412" s="36">
        <f t="shared" si="440"/>
        <v>1</v>
      </c>
      <c r="AZ412" s="37">
        <f t="shared" si="441"/>
        <v>9.8814229249011838</v>
      </c>
      <c r="BA412" s="38"/>
    </row>
    <row r="413" spans="1:54" ht="30" customHeight="1" x14ac:dyDescent="0.35">
      <c r="A413" s="33">
        <v>11</v>
      </c>
      <c r="B413" s="34" t="str">
        <f>PETUNJUK!B19</f>
        <v>Krasak</v>
      </c>
      <c r="C413" s="35">
        <f>'1.DATA KIA'!C393</f>
        <v>117.7</v>
      </c>
      <c r="D413" s="35">
        <f>'1.DATA KIA'!D393</f>
        <v>112.35000000000001</v>
      </c>
      <c r="E413" s="35">
        <f t="shared" si="411"/>
        <v>0</v>
      </c>
      <c r="F413" s="36">
        <f t="shared" si="412"/>
        <v>45</v>
      </c>
      <c r="G413" s="36">
        <f>'1.DATA KIA'!F393</f>
        <v>0</v>
      </c>
      <c r="H413" s="36">
        <f t="shared" si="427"/>
        <v>45</v>
      </c>
      <c r="I413" s="37">
        <f t="shared" si="413"/>
        <v>38.232795242141037</v>
      </c>
      <c r="J413" s="40"/>
      <c r="K413" s="36">
        <f t="shared" si="414"/>
        <v>22</v>
      </c>
      <c r="L413" s="33">
        <f>'1.DATA KIA'!J393</f>
        <v>0</v>
      </c>
      <c r="M413" s="36">
        <f t="shared" si="428"/>
        <v>22</v>
      </c>
      <c r="N413" s="37">
        <f t="shared" si="429"/>
        <v>19.581664441477525</v>
      </c>
      <c r="O413" s="40"/>
      <c r="P413" s="36">
        <f t="shared" si="415"/>
        <v>29</v>
      </c>
      <c r="Q413" s="33">
        <f>'1.DATA KIA'!M393</f>
        <v>0</v>
      </c>
      <c r="R413" s="36">
        <f t="shared" si="430"/>
        <v>29</v>
      </c>
      <c r="S413" s="37">
        <f t="shared" si="431"/>
        <v>25.812194036493104</v>
      </c>
      <c r="T413" s="40"/>
      <c r="U413" s="33">
        <f t="shared" si="416"/>
        <v>5</v>
      </c>
      <c r="V413" s="36">
        <f>'1.DATA KIA'!Y393</f>
        <v>0</v>
      </c>
      <c r="W413" s="33">
        <f t="shared" si="432"/>
        <v>5</v>
      </c>
      <c r="X413" s="37">
        <f t="shared" si="417"/>
        <v>21.240441801189462</v>
      </c>
      <c r="Y413" s="40"/>
      <c r="Z413" s="33">
        <f t="shared" si="418"/>
        <v>6</v>
      </c>
      <c r="AA413" s="36">
        <f>'1.DATA KIA'!Z393</f>
        <v>0</v>
      </c>
      <c r="AB413" s="33">
        <f t="shared" si="433"/>
        <v>6</v>
      </c>
      <c r="AC413" s="37">
        <f t="shared" si="419"/>
        <v>25.488530161427352</v>
      </c>
      <c r="AD413" s="40"/>
      <c r="AE413" s="33">
        <f t="shared" si="420"/>
        <v>3</v>
      </c>
      <c r="AF413" s="41">
        <f>'8.ANCTEPADU'!D441+'8.ANCTEPADU'!E441</f>
        <v>0</v>
      </c>
      <c r="AG413" s="33">
        <f t="shared" si="434"/>
        <v>3</v>
      </c>
      <c r="AH413" s="37">
        <f t="shared" si="421"/>
        <v>2.5488530161427359</v>
      </c>
      <c r="AI413" s="33">
        <f t="shared" si="422"/>
        <v>4</v>
      </c>
      <c r="AJ413" s="41">
        <f>'8.ANCTEPADU'!J441</f>
        <v>0</v>
      </c>
      <c r="AK413" s="33">
        <f t="shared" si="435"/>
        <v>4</v>
      </c>
      <c r="AL413" s="37">
        <f t="shared" si="423"/>
        <v>3.3984706881903146</v>
      </c>
      <c r="AM413" s="36">
        <f t="shared" si="424"/>
        <v>29</v>
      </c>
      <c r="AN413" s="36">
        <f>'1.DATA KIA'!AG393</f>
        <v>0</v>
      </c>
      <c r="AO413" s="33">
        <f t="shared" si="436"/>
        <v>29</v>
      </c>
      <c r="AP413" s="37" t="e">
        <f t="shared" si="437"/>
        <v>#DIV/0!</v>
      </c>
      <c r="AQ413" s="40"/>
      <c r="AR413" s="42">
        <f t="shared" si="425"/>
        <v>29</v>
      </c>
      <c r="AS413" s="36">
        <f>'1.DATA KIA'!AB393</f>
        <v>0</v>
      </c>
      <c r="AT413" s="33">
        <f t="shared" si="438"/>
        <v>29</v>
      </c>
      <c r="AU413" s="37">
        <f t="shared" si="439"/>
        <v>25.812194036493104</v>
      </c>
      <c r="AV413" s="40"/>
      <c r="AW413" s="36">
        <f t="shared" si="426"/>
        <v>7</v>
      </c>
      <c r="AX413" s="33">
        <f>'1.DATA KIA'!AF393</f>
        <v>0</v>
      </c>
      <c r="AY413" s="36">
        <f t="shared" si="440"/>
        <v>7</v>
      </c>
      <c r="AZ413" s="37">
        <f t="shared" si="441"/>
        <v>29.73661852166525</v>
      </c>
      <c r="BA413" s="38"/>
    </row>
    <row r="414" spans="1:54" ht="30" customHeight="1" x14ac:dyDescent="0.35">
      <c r="A414" s="33">
        <v>12</v>
      </c>
      <c r="B414" s="34" t="str">
        <f>PETUNJUK!B20</f>
        <v>Gerdu</v>
      </c>
      <c r="C414" s="35">
        <f>'1.DATA KIA'!C394</f>
        <v>23.1</v>
      </c>
      <c r="D414" s="35">
        <f>'1.DATA KIA'!D394</f>
        <v>22.05</v>
      </c>
      <c r="E414" s="35">
        <f t="shared" si="411"/>
        <v>0</v>
      </c>
      <c r="F414" s="36">
        <f t="shared" si="412"/>
        <v>8</v>
      </c>
      <c r="G414" s="36">
        <f>'1.DATA KIA'!F394</f>
        <v>0</v>
      </c>
      <c r="H414" s="36">
        <f t="shared" si="427"/>
        <v>8</v>
      </c>
      <c r="I414" s="37">
        <f t="shared" si="413"/>
        <v>34.632034632034632</v>
      </c>
      <c r="J414" s="40"/>
      <c r="K414" s="36">
        <f t="shared" si="414"/>
        <v>8</v>
      </c>
      <c r="L414" s="33">
        <f>'1.DATA KIA'!J394</f>
        <v>0</v>
      </c>
      <c r="M414" s="36">
        <f t="shared" si="428"/>
        <v>8</v>
      </c>
      <c r="N414" s="37">
        <f t="shared" si="429"/>
        <v>36.281179138321995</v>
      </c>
      <c r="O414" s="40"/>
      <c r="P414" s="36">
        <f t="shared" si="415"/>
        <v>8</v>
      </c>
      <c r="Q414" s="33">
        <f>'1.DATA KIA'!M394</f>
        <v>0</v>
      </c>
      <c r="R414" s="36">
        <f t="shared" si="430"/>
        <v>8</v>
      </c>
      <c r="S414" s="37">
        <f t="shared" si="431"/>
        <v>36.281179138321995</v>
      </c>
      <c r="T414" s="40"/>
      <c r="U414" s="33">
        <f t="shared" si="416"/>
        <v>2</v>
      </c>
      <c r="V414" s="36">
        <f>'1.DATA KIA'!Y394</f>
        <v>0</v>
      </c>
      <c r="W414" s="33">
        <f t="shared" si="432"/>
        <v>2</v>
      </c>
      <c r="X414" s="37">
        <f t="shared" si="417"/>
        <v>43.290043290043286</v>
      </c>
      <c r="Y414" s="40"/>
      <c r="Z414" s="33">
        <f t="shared" si="418"/>
        <v>1</v>
      </c>
      <c r="AA414" s="36">
        <f>'1.DATA KIA'!Z394</f>
        <v>0</v>
      </c>
      <c r="AB414" s="33">
        <f t="shared" si="433"/>
        <v>1</v>
      </c>
      <c r="AC414" s="37">
        <f t="shared" si="419"/>
        <v>21.645021645021643</v>
      </c>
      <c r="AD414" s="40"/>
      <c r="AE414" s="33">
        <f t="shared" si="420"/>
        <v>0</v>
      </c>
      <c r="AF414" s="41">
        <f>'8.ANCTEPADU'!D442+'8.ANCTEPADU'!E442</f>
        <v>0</v>
      </c>
      <c r="AG414" s="33">
        <f t="shared" si="434"/>
        <v>0</v>
      </c>
      <c r="AH414" s="37">
        <f t="shared" si="421"/>
        <v>0</v>
      </c>
      <c r="AI414" s="33">
        <f t="shared" si="422"/>
        <v>1</v>
      </c>
      <c r="AJ414" s="41">
        <f>'8.ANCTEPADU'!J442</f>
        <v>0</v>
      </c>
      <c r="AK414" s="33">
        <f t="shared" si="435"/>
        <v>1</v>
      </c>
      <c r="AL414" s="37">
        <f t="shared" si="423"/>
        <v>4.329004329004329</v>
      </c>
      <c r="AM414" s="36">
        <f t="shared" si="424"/>
        <v>5</v>
      </c>
      <c r="AN414" s="36">
        <f>'1.DATA KIA'!AG394</f>
        <v>0</v>
      </c>
      <c r="AO414" s="33">
        <f>AN414+AM414</f>
        <v>5</v>
      </c>
      <c r="AP414" s="37" t="e">
        <f t="shared" si="437"/>
        <v>#DIV/0!</v>
      </c>
      <c r="AQ414" s="40"/>
      <c r="AR414" s="42">
        <f t="shared" si="425"/>
        <v>5</v>
      </c>
      <c r="AS414" s="36">
        <f>'1.DATA KIA'!AB394</f>
        <v>0</v>
      </c>
      <c r="AT414" s="33">
        <f>AS414+AR414</f>
        <v>5</v>
      </c>
      <c r="AU414" s="37">
        <f t="shared" si="439"/>
        <v>22.675736961451246</v>
      </c>
      <c r="AV414" s="40"/>
      <c r="AW414" s="36">
        <f t="shared" si="426"/>
        <v>2</v>
      </c>
      <c r="AX414" s="33">
        <f>'1.DATA KIA'!AF394</f>
        <v>0</v>
      </c>
      <c r="AY414" s="36">
        <f t="shared" si="440"/>
        <v>2</v>
      </c>
      <c r="AZ414" s="37">
        <f t="shared" si="441"/>
        <v>43.290043290043286</v>
      </c>
      <c r="BA414" s="38"/>
    </row>
    <row r="415" spans="1:54" ht="30" customHeight="1" x14ac:dyDescent="0.35">
      <c r="A415" s="33">
        <v>13</v>
      </c>
      <c r="B415" s="34">
        <f>PETUNJUK!B21</f>
        <v>0</v>
      </c>
      <c r="C415" s="35">
        <f>'1.DATA KIA'!C395</f>
        <v>0</v>
      </c>
      <c r="D415" s="35">
        <f>'1.DATA KIA'!D395</f>
        <v>0</v>
      </c>
      <c r="E415" s="35">
        <f t="shared" si="411"/>
        <v>0</v>
      </c>
      <c r="F415" s="36">
        <f t="shared" si="412"/>
        <v>0</v>
      </c>
      <c r="G415" s="36">
        <f>'1.DATA KIA'!F395</f>
        <v>0</v>
      </c>
      <c r="H415" s="36">
        <f t="shared" si="427"/>
        <v>0</v>
      </c>
      <c r="I415" s="37" t="e">
        <f t="shared" si="413"/>
        <v>#DIV/0!</v>
      </c>
      <c r="J415" s="40"/>
      <c r="K415" s="36">
        <f t="shared" si="414"/>
        <v>0</v>
      </c>
      <c r="L415" s="33">
        <f>'1.DATA KIA'!J395</f>
        <v>0</v>
      </c>
      <c r="M415" s="36">
        <f t="shared" si="428"/>
        <v>0</v>
      </c>
      <c r="N415" s="37" t="e">
        <f t="shared" si="429"/>
        <v>#DIV/0!</v>
      </c>
      <c r="O415" s="40"/>
      <c r="P415" s="36">
        <f t="shared" si="415"/>
        <v>0</v>
      </c>
      <c r="Q415" s="33">
        <f>'1.DATA KIA'!M395</f>
        <v>0</v>
      </c>
      <c r="R415" s="36">
        <f t="shared" si="430"/>
        <v>0</v>
      </c>
      <c r="S415" s="37" t="e">
        <f t="shared" si="431"/>
        <v>#DIV/0!</v>
      </c>
      <c r="T415" s="40"/>
      <c r="U415" s="33">
        <f t="shared" si="416"/>
        <v>0</v>
      </c>
      <c r="V415" s="36">
        <f>'1.DATA KIA'!Y395</f>
        <v>0</v>
      </c>
      <c r="W415" s="33">
        <f t="shared" si="432"/>
        <v>0</v>
      </c>
      <c r="X415" s="37" t="e">
        <f t="shared" si="417"/>
        <v>#DIV/0!</v>
      </c>
      <c r="Y415" s="40"/>
      <c r="Z415" s="33">
        <f t="shared" si="418"/>
        <v>0</v>
      </c>
      <c r="AA415" s="36">
        <f>'1.DATA KIA'!Z395</f>
        <v>0</v>
      </c>
      <c r="AB415" s="33">
        <f t="shared" si="433"/>
        <v>0</v>
      </c>
      <c r="AC415" s="37" t="e">
        <f t="shared" si="419"/>
        <v>#DIV/0!</v>
      </c>
      <c r="AD415" s="40"/>
      <c r="AE415" s="33">
        <f t="shared" si="420"/>
        <v>0</v>
      </c>
      <c r="AF415" s="41">
        <f>'8.ANCTEPADU'!D443+'8.ANCTEPADU'!E443</f>
        <v>0</v>
      </c>
      <c r="AG415" s="33">
        <f t="shared" si="434"/>
        <v>0</v>
      </c>
      <c r="AH415" s="37" t="e">
        <f t="shared" si="421"/>
        <v>#DIV/0!</v>
      </c>
      <c r="AI415" s="33">
        <f t="shared" si="422"/>
        <v>0</v>
      </c>
      <c r="AJ415" s="41">
        <f>'8.ANCTEPADU'!J443</f>
        <v>0</v>
      </c>
      <c r="AK415" s="33">
        <f t="shared" si="435"/>
        <v>0</v>
      </c>
      <c r="AL415" s="37" t="e">
        <f t="shared" si="423"/>
        <v>#DIV/0!</v>
      </c>
      <c r="AM415" s="36">
        <f t="shared" si="424"/>
        <v>0</v>
      </c>
      <c r="AN415" s="36">
        <f>'1.DATA KIA'!AG395</f>
        <v>0</v>
      </c>
      <c r="AO415" s="33">
        <f t="shared" ref="AO415:AO420" si="442">AN415+AM415</f>
        <v>0</v>
      </c>
      <c r="AP415" s="37" t="e">
        <f t="shared" si="437"/>
        <v>#DIV/0!</v>
      </c>
      <c r="AQ415" s="40"/>
      <c r="AR415" s="42">
        <f t="shared" si="425"/>
        <v>0</v>
      </c>
      <c r="AS415" s="36">
        <f>'1.DATA KIA'!AB395</f>
        <v>0</v>
      </c>
      <c r="AT415" s="33">
        <f t="shared" ref="AT415:AT420" si="443">AS415+AR415</f>
        <v>0</v>
      </c>
      <c r="AU415" s="37" t="e">
        <f t="shared" si="439"/>
        <v>#DIV/0!</v>
      </c>
      <c r="AV415" s="40"/>
      <c r="AW415" s="36">
        <f t="shared" si="426"/>
        <v>0</v>
      </c>
      <c r="AX415" s="33">
        <f>'1.DATA KIA'!AF395</f>
        <v>0</v>
      </c>
      <c r="AY415" s="36">
        <f t="shared" si="440"/>
        <v>0</v>
      </c>
      <c r="AZ415" s="37" t="e">
        <f t="shared" si="441"/>
        <v>#DIV/0!</v>
      </c>
      <c r="BA415" s="38"/>
    </row>
    <row r="416" spans="1:54" ht="30" customHeight="1" x14ac:dyDescent="0.35">
      <c r="A416" s="33">
        <v>14</v>
      </c>
      <c r="B416" s="34">
        <f>PETUNJUK!B22</f>
        <v>0</v>
      </c>
      <c r="C416" s="35">
        <f>'1.DATA KIA'!C396</f>
        <v>0</v>
      </c>
      <c r="D416" s="35">
        <f>'1.DATA KIA'!D396</f>
        <v>0</v>
      </c>
      <c r="E416" s="35">
        <f t="shared" si="411"/>
        <v>0</v>
      </c>
      <c r="F416" s="36">
        <f t="shared" si="412"/>
        <v>0</v>
      </c>
      <c r="G416" s="36">
        <f>'1.DATA KIA'!F396</f>
        <v>0</v>
      </c>
      <c r="H416" s="36">
        <f t="shared" si="427"/>
        <v>0</v>
      </c>
      <c r="I416" s="37" t="e">
        <f t="shared" si="413"/>
        <v>#DIV/0!</v>
      </c>
      <c r="J416" s="40"/>
      <c r="K416" s="36">
        <f t="shared" si="414"/>
        <v>0</v>
      </c>
      <c r="L416" s="33">
        <f>'1.DATA KIA'!J396</f>
        <v>0</v>
      </c>
      <c r="M416" s="36">
        <f t="shared" si="428"/>
        <v>0</v>
      </c>
      <c r="N416" s="37" t="e">
        <f t="shared" si="429"/>
        <v>#DIV/0!</v>
      </c>
      <c r="O416" s="40"/>
      <c r="P416" s="36">
        <f t="shared" si="415"/>
        <v>0</v>
      </c>
      <c r="Q416" s="33">
        <f>'1.DATA KIA'!M396</f>
        <v>0</v>
      </c>
      <c r="R416" s="36">
        <f t="shared" si="430"/>
        <v>0</v>
      </c>
      <c r="S416" s="37" t="e">
        <f t="shared" si="431"/>
        <v>#DIV/0!</v>
      </c>
      <c r="T416" s="40"/>
      <c r="U416" s="33">
        <f t="shared" si="416"/>
        <v>0</v>
      </c>
      <c r="V416" s="36">
        <f>'1.DATA KIA'!Y396</f>
        <v>0</v>
      </c>
      <c r="W416" s="33">
        <f t="shared" si="432"/>
        <v>0</v>
      </c>
      <c r="X416" s="37" t="e">
        <f t="shared" si="417"/>
        <v>#DIV/0!</v>
      </c>
      <c r="Y416" s="40"/>
      <c r="Z416" s="33">
        <f t="shared" si="418"/>
        <v>0</v>
      </c>
      <c r="AA416" s="36">
        <f>'1.DATA KIA'!Z396</f>
        <v>0</v>
      </c>
      <c r="AB416" s="33">
        <f t="shared" si="433"/>
        <v>0</v>
      </c>
      <c r="AC416" s="37" t="e">
        <f t="shared" si="419"/>
        <v>#DIV/0!</v>
      </c>
      <c r="AD416" s="40"/>
      <c r="AE416" s="33">
        <f t="shared" si="420"/>
        <v>0</v>
      </c>
      <c r="AF416" s="41">
        <f>'8.ANCTEPADU'!D444+'8.ANCTEPADU'!E444</f>
        <v>0</v>
      </c>
      <c r="AG416" s="33">
        <f t="shared" si="434"/>
        <v>0</v>
      </c>
      <c r="AH416" s="37" t="e">
        <f t="shared" si="421"/>
        <v>#DIV/0!</v>
      </c>
      <c r="AI416" s="33">
        <f t="shared" si="422"/>
        <v>0</v>
      </c>
      <c r="AJ416" s="41">
        <f>'8.ANCTEPADU'!J444</f>
        <v>0</v>
      </c>
      <c r="AK416" s="33">
        <f t="shared" si="435"/>
        <v>0</v>
      </c>
      <c r="AL416" s="37" t="e">
        <f t="shared" si="423"/>
        <v>#DIV/0!</v>
      </c>
      <c r="AM416" s="36">
        <f t="shared" si="424"/>
        <v>0</v>
      </c>
      <c r="AN416" s="36">
        <f>'1.DATA KIA'!AG396</f>
        <v>0</v>
      </c>
      <c r="AO416" s="33">
        <f t="shared" si="442"/>
        <v>0</v>
      </c>
      <c r="AP416" s="37" t="e">
        <f t="shared" si="437"/>
        <v>#DIV/0!</v>
      </c>
      <c r="AQ416" s="40"/>
      <c r="AR416" s="42">
        <f t="shared" si="425"/>
        <v>0</v>
      </c>
      <c r="AS416" s="36">
        <f>'1.DATA KIA'!AB396</f>
        <v>0</v>
      </c>
      <c r="AT416" s="33">
        <f t="shared" si="443"/>
        <v>0</v>
      </c>
      <c r="AU416" s="37" t="e">
        <f t="shared" si="439"/>
        <v>#DIV/0!</v>
      </c>
      <c r="AV416" s="40"/>
      <c r="AW416" s="36">
        <f t="shared" si="426"/>
        <v>0</v>
      </c>
      <c r="AX416" s="33">
        <f>'1.DATA KIA'!AF396</f>
        <v>0</v>
      </c>
      <c r="AY416" s="36">
        <f t="shared" si="440"/>
        <v>0</v>
      </c>
      <c r="AZ416" s="37" t="e">
        <f t="shared" si="441"/>
        <v>#DIV/0!</v>
      </c>
      <c r="BA416" s="38"/>
    </row>
    <row r="417" spans="1:53" ht="30" customHeight="1" x14ac:dyDescent="0.35">
      <c r="A417" s="33">
        <v>15</v>
      </c>
      <c r="B417" s="34">
        <f>PETUNJUK!B23</f>
        <v>0</v>
      </c>
      <c r="C417" s="35">
        <f>'1.DATA KIA'!C397</f>
        <v>0</v>
      </c>
      <c r="D417" s="35">
        <f>'1.DATA KIA'!D397</f>
        <v>0</v>
      </c>
      <c r="E417" s="35">
        <f t="shared" si="411"/>
        <v>0</v>
      </c>
      <c r="F417" s="36">
        <f t="shared" si="412"/>
        <v>0</v>
      </c>
      <c r="G417" s="36">
        <f>'1.DATA KIA'!F397</f>
        <v>0</v>
      </c>
      <c r="H417" s="36">
        <f t="shared" si="427"/>
        <v>0</v>
      </c>
      <c r="I417" s="37" t="e">
        <f t="shared" si="413"/>
        <v>#DIV/0!</v>
      </c>
      <c r="J417" s="40"/>
      <c r="K417" s="36">
        <f t="shared" si="414"/>
        <v>0</v>
      </c>
      <c r="L417" s="33">
        <f>'1.DATA KIA'!J397</f>
        <v>0</v>
      </c>
      <c r="M417" s="36">
        <f t="shared" si="428"/>
        <v>0</v>
      </c>
      <c r="N417" s="37" t="e">
        <f t="shared" si="429"/>
        <v>#DIV/0!</v>
      </c>
      <c r="O417" s="40"/>
      <c r="P417" s="36">
        <f t="shared" si="415"/>
        <v>0</v>
      </c>
      <c r="Q417" s="33">
        <f>'1.DATA KIA'!M397</f>
        <v>0</v>
      </c>
      <c r="R417" s="36">
        <f t="shared" si="430"/>
        <v>0</v>
      </c>
      <c r="S417" s="37" t="e">
        <f t="shared" si="431"/>
        <v>#DIV/0!</v>
      </c>
      <c r="T417" s="40"/>
      <c r="U417" s="33">
        <f t="shared" si="416"/>
        <v>0</v>
      </c>
      <c r="V417" s="36">
        <f>'1.DATA KIA'!Y397</f>
        <v>0</v>
      </c>
      <c r="W417" s="33">
        <f t="shared" si="432"/>
        <v>0</v>
      </c>
      <c r="X417" s="37" t="e">
        <f t="shared" si="417"/>
        <v>#DIV/0!</v>
      </c>
      <c r="Y417" s="40"/>
      <c r="Z417" s="33">
        <f t="shared" si="418"/>
        <v>0</v>
      </c>
      <c r="AA417" s="36">
        <f>'1.DATA KIA'!Z397</f>
        <v>0</v>
      </c>
      <c r="AB417" s="33">
        <f t="shared" si="433"/>
        <v>0</v>
      </c>
      <c r="AC417" s="37" t="e">
        <f t="shared" si="419"/>
        <v>#DIV/0!</v>
      </c>
      <c r="AD417" s="40"/>
      <c r="AE417" s="33">
        <f t="shared" si="420"/>
        <v>0</v>
      </c>
      <c r="AF417" s="41">
        <f>'8.ANCTEPADU'!D445+'8.ANCTEPADU'!E445</f>
        <v>0</v>
      </c>
      <c r="AG417" s="33">
        <f t="shared" si="434"/>
        <v>0</v>
      </c>
      <c r="AH417" s="37" t="e">
        <f t="shared" si="421"/>
        <v>#DIV/0!</v>
      </c>
      <c r="AI417" s="33">
        <f t="shared" si="422"/>
        <v>0</v>
      </c>
      <c r="AJ417" s="41">
        <f>'8.ANCTEPADU'!J445</f>
        <v>0</v>
      </c>
      <c r="AK417" s="33">
        <f t="shared" si="435"/>
        <v>0</v>
      </c>
      <c r="AL417" s="37" t="e">
        <f t="shared" si="423"/>
        <v>#DIV/0!</v>
      </c>
      <c r="AM417" s="36">
        <f t="shared" si="424"/>
        <v>0</v>
      </c>
      <c r="AN417" s="36">
        <f>'1.DATA KIA'!AG397</f>
        <v>0</v>
      </c>
      <c r="AO417" s="33">
        <f t="shared" si="442"/>
        <v>0</v>
      </c>
      <c r="AP417" s="37" t="e">
        <f t="shared" si="437"/>
        <v>#DIV/0!</v>
      </c>
      <c r="AQ417" s="40"/>
      <c r="AR417" s="42">
        <f t="shared" si="425"/>
        <v>0</v>
      </c>
      <c r="AS417" s="36">
        <f>'1.DATA KIA'!AB397</f>
        <v>0</v>
      </c>
      <c r="AT417" s="33">
        <f t="shared" si="443"/>
        <v>0</v>
      </c>
      <c r="AU417" s="37" t="e">
        <f t="shared" si="439"/>
        <v>#DIV/0!</v>
      </c>
      <c r="AV417" s="40"/>
      <c r="AW417" s="36">
        <f t="shared" si="426"/>
        <v>0</v>
      </c>
      <c r="AX417" s="33">
        <f>'1.DATA KIA'!AF397</f>
        <v>0</v>
      </c>
      <c r="AY417" s="36">
        <f t="shared" si="440"/>
        <v>0</v>
      </c>
      <c r="AZ417" s="37" t="e">
        <f t="shared" si="441"/>
        <v>#DIV/0!</v>
      </c>
      <c r="BA417" s="38"/>
    </row>
    <row r="418" spans="1:53" ht="30" customHeight="1" x14ac:dyDescent="0.35">
      <c r="A418" s="33">
        <v>16</v>
      </c>
      <c r="B418" s="34">
        <f>PETUNJUK!B24</f>
        <v>0</v>
      </c>
      <c r="C418" s="35">
        <f>'1.DATA KIA'!C398</f>
        <v>0</v>
      </c>
      <c r="D418" s="35">
        <f>'1.DATA KIA'!D398</f>
        <v>0</v>
      </c>
      <c r="E418" s="35">
        <f t="shared" si="411"/>
        <v>0</v>
      </c>
      <c r="F418" s="36">
        <f t="shared" si="412"/>
        <v>0</v>
      </c>
      <c r="G418" s="36">
        <f>'1.DATA KIA'!F398</f>
        <v>0</v>
      </c>
      <c r="H418" s="36">
        <f t="shared" si="427"/>
        <v>0</v>
      </c>
      <c r="I418" s="37" t="e">
        <f t="shared" si="413"/>
        <v>#DIV/0!</v>
      </c>
      <c r="J418" s="40"/>
      <c r="K418" s="36">
        <f t="shared" si="414"/>
        <v>0</v>
      </c>
      <c r="L418" s="33">
        <f>'1.DATA KIA'!J398</f>
        <v>0</v>
      </c>
      <c r="M418" s="36">
        <f t="shared" si="428"/>
        <v>0</v>
      </c>
      <c r="N418" s="37" t="e">
        <f t="shared" si="429"/>
        <v>#DIV/0!</v>
      </c>
      <c r="O418" s="40"/>
      <c r="P418" s="36">
        <f t="shared" si="415"/>
        <v>0</v>
      </c>
      <c r="Q418" s="33">
        <f>'1.DATA KIA'!M398</f>
        <v>0</v>
      </c>
      <c r="R418" s="36">
        <f t="shared" si="430"/>
        <v>0</v>
      </c>
      <c r="S418" s="37" t="e">
        <f t="shared" si="431"/>
        <v>#DIV/0!</v>
      </c>
      <c r="T418" s="40"/>
      <c r="U418" s="33">
        <f t="shared" si="416"/>
        <v>0</v>
      </c>
      <c r="V418" s="36">
        <f>'1.DATA KIA'!Y398</f>
        <v>0</v>
      </c>
      <c r="W418" s="33">
        <f t="shared" si="432"/>
        <v>0</v>
      </c>
      <c r="X418" s="37" t="e">
        <f t="shared" si="417"/>
        <v>#DIV/0!</v>
      </c>
      <c r="Y418" s="40"/>
      <c r="Z418" s="33">
        <f t="shared" si="418"/>
        <v>0</v>
      </c>
      <c r="AA418" s="36">
        <f>'1.DATA KIA'!Z398</f>
        <v>0</v>
      </c>
      <c r="AB418" s="33">
        <f t="shared" si="433"/>
        <v>0</v>
      </c>
      <c r="AC418" s="37" t="e">
        <f t="shared" si="419"/>
        <v>#DIV/0!</v>
      </c>
      <c r="AD418" s="40"/>
      <c r="AE418" s="33">
        <f t="shared" si="420"/>
        <v>0</v>
      </c>
      <c r="AF418" s="41">
        <f>'8.ANCTEPADU'!D446+'8.ANCTEPADU'!E446</f>
        <v>0</v>
      </c>
      <c r="AG418" s="33">
        <f t="shared" si="434"/>
        <v>0</v>
      </c>
      <c r="AH418" s="37" t="e">
        <f t="shared" si="421"/>
        <v>#DIV/0!</v>
      </c>
      <c r="AI418" s="33">
        <f t="shared" si="422"/>
        <v>0</v>
      </c>
      <c r="AJ418" s="41">
        <f>'8.ANCTEPADU'!J446</f>
        <v>0</v>
      </c>
      <c r="AK418" s="33">
        <f t="shared" si="435"/>
        <v>0</v>
      </c>
      <c r="AL418" s="37" t="e">
        <f t="shared" si="423"/>
        <v>#DIV/0!</v>
      </c>
      <c r="AM418" s="36">
        <f t="shared" si="424"/>
        <v>0</v>
      </c>
      <c r="AN418" s="36">
        <f>'1.DATA KIA'!AG398</f>
        <v>0</v>
      </c>
      <c r="AO418" s="33">
        <f t="shared" si="442"/>
        <v>0</v>
      </c>
      <c r="AP418" s="37" t="e">
        <f t="shared" si="437"/>
        <v>#DIV/0!</v>
      </c>
      <c r="AQ418" s="40"/>
      <c r="AR418" s="42">
        <f t="shared" si="425"/>
        <v>0</v>
      </c>
      <c r="AS418" s="36">
        <f>'1.DATA KIA'!AB398</f>
        <v>0</v>
      </c>
      <c r="AT418" s="33">
        <f t="shared" si="443"/>
        <v>0</v>
      </c>
      <c r="AU418" s="37" t="e">
        <f t="shared" si="439"/>
        <v>#DIV/0!</v>
      </c>
      <c r="AV418" s="40"/>
      <c r="AW418" s="36">
        <f t="shared" si="426"/>
        <v>0</v>
      </c>
      <c r="AX418" s="33">
        <f>'1.DATA KIA'!AF398</f>
        <v>0</v>
      </c>
      <c r="AY418" s="36">
        <f t="shared" si="440"/>
        <v>0</v>
      </c>
      <c r="AZ418" s="37" t="e">
        <f t="shared" si="441"/>
        <v>#DIV/0!</v>
      </c>
      <c r="BA418" s="38"/>
    </row>
    <row r="419" spans="1:53" ht="30" customHeight="1" x14ac:dyDescent="0.35">
      <c r="A419" s="33">
        <v>17</v>
      </c>
      <c r="B419" s="34">
        <f>PETUNJUK!B25</f>
        <v>0</v>
      </c>
      <c r="C419" s="35">
        <f>'1.DATA KIA'!C399</f>
        <v>0</v>
      </c>
      <c r="D419" s="35">
        <f>'1.DATA KIA'!D399</f>
        <v>0</v>
      </c>
      <c r="E419" s="35">
        <f t="shared" si="411"/>
        <v>0</v>
      </c>
      <c r="F419" s="36">
        <f t="shared" si="412"/>
        <v>0</v>
      </c>
      <c r="G419" s="36">
        <f>'1.DATA KIA'!F399</f>
        <v>0</v>
      </c>
      <c r="H419" s="36">
        <f t="shared" si="427"/>
        <v>0</v>
      </c>
      <c r="I419" s="37" t="e">
        <f t="shared" si="413"/>
        <v>#DIV/0!</v>
      </c>
      <c r="J419" s="40"/>
      <c r="K419" s="36">
        <f t="shared" si="414"/>
        <v>0</v>
      </c>
      <c r="L419" s="33">
        <f>'1.DATA KIA'!J399</f>
        <v>0</v>
      </c>
      <c r="M419" s="36">
        <f t="shared" si="428"/>
        <v>0</v>
      </c>
      <c r="N419" s="37" t="e">
        <f t="shared" si="429"/>
        <v>#DIV/0!</v>
      </c>
      <c r="O419" s="40"/>
      <c r="P419" s="36">
        <f t="shared" si="415"/>
        <v>0</v>
      </c>
      <c r="Q419" s="33">
        <f>'1.DATA KIA'!M399</f>
        <v>0</v>
      </c>
      <c r="R419" s="36">
        <f t="shared" si="430"/>
        <v>0</v>
      </c>
      <c r="S419" s="37" t="e">
        <f t="shared" si="431"/>
        <v>#DIV/0!</v>
      </c>
      <c r="T419" s="40"/>
      <c r="U419" s="33">
        <f t="shared" si="416"/>
        <v>0</v>
      </c>
      <c r="V419" s="36">
        <f>'1.DATA KIA'!Y399</f>
        <v>0</v>
      </c>
      <c r="W419" s="33">
        <f t="shared" si="432"/>
        <v>0</v>
      </c>
      <c r="X419" s="37" t="e">
        <f t="shared" si="417"/>
        <v>#DIV/0!</v>
      </c>
      <c r="Y419" s="40"/>
      <c r="Z419" s="33">
        <f t="shared" si="418"/>
        <v>0</v>
      </c>
      <c r="AA419" s="36">
        <f>'1.DATA KIA'!Z399</f>
        <v>0</v>
      </c>
      <c r="AB419" s="33">
        <f t="shared" si="433"/>
        <v>0</v>
      </c>
      <c r="AC419" s="37" t="e">
        <f t="shared" si="419"/>
        <v>#DIV/0!</v>
      </c>
      <c r="AD419" s="40"/>
      <c r="AE419" s="33">
        <f t="shared" si="420"/>
        <v>0</v>
      </c>
      <c r="AF419" s="41">
        <f>'8.ANCTEPADU'!D447+'8.ANCTEPADU'!E447</f>
        <v>0</v>
      </c>
      <c r="AG419" s="33">
        <f t="shared" si="434"/>
        <v>0</v>
      </c>
      <c r="AH419" s="37" t="e">
        <f t="shared" si="421"/>
        <v>#DIV/0!</v>
      </c>
      <c r="AI419" s="33">
        <f t="shared" si="422"/>
        <v>0</v>
      </c>
      <c r="AJ419" s="41">
        <f>'8.ANCTEPADU'!J447</f>
        <v>0</v>
      </c>
      <c r="AK419" s="33">
        <f t="shared" si="435"/>
        <v>0</v>
      </c>
      <c r="AL419" s="37" t="e">
        <f t="shared" si="423"/>
        <v>#DIV/0!</v>
      </c>
      <c r="AM419" s="36">
        <f t="shared" si="424"/>
        <v>0</v>
      </c>
      <c r="AN419" s="36">
        <f>'1.DATA KIA'!AG399</f>
        <v>0</v>
      </c>
      <c r="AO419" s="33">
        <f t="shared" si="442"/>
        <v>0</v>
      </c>
      <c r="AP419" s="37" t="e">
        <f t="shared" si="437"/>
        <v>#DIV/0!</v>
      </c>
      <c r="AQ419" s="40"/>
      <c r="AR419" s="42">
        <f t="shared" si="425"/>
        <v>0</v>
      </c>
      <c r="AS419" s="36">
        <f>'1.DATA KIA'!AB399</f>
        <v>0</v>
      </c>
      <c r="AT419" s="33">
        <f t="shared" si="443"/>
        <v>0</v>
      </c>
      <c r="AU419" s="37" t="e">
        <f t="shared" si="439"/>
        <v>#DIV/0!</v>
      </c>
      <c r="AV419" s="40"/>
      <c r="AW419" s="36">
        <f t="shared" si="426"/>
        <v>0</v>
      </c>
      <c r="AX419" s="33">
        <f>'1.DATA KIA'!AF399</f>
        <v>0</v>
      </c>
      <c r="AY419" s="36">
        <f t="shared" si="440"/>
        <v>0</v>
      </c>
      <c r="AZ419" s="37" t="e">
        <f t="shared" si="441"/>
        <v>#DIV/0!</v>
      </c>
      <c r="BA419" s="38"/>
    </row>
    <row r="420" spans="1:53" ht="30" customHeight="1" x14ac:dyDescent="0.35">
      <c r="A420" s="33">
        <v>18</v>
      </c>
      <c r="B420" s="34">
        <f>PETUNJUK!B26</f>
        <v>0</v>
      </c>
      <c r="C420" s="35">
        <f>'1.DATA KIA'!C400</f>
        <v>0</v>
      </c>
      <c r="D420" s="35">
        <f>'1.DATA KIA'!D400</f>
        <v>0</v>
      </c>
      <c r="E420" s="35">
        <f t="shared" si="411"/>
        <v>0</v>
      </c>
      <c r="F420" s="36">
        <f t="shared" si="412"/>
        <v>0</v>
      </c>
      <c r="G420" s="36">
        <f>'1.DATA KIA'!F400</f>
        <v>0</v>
      </c>
      <c r="H420" s="36">
        <f t="shared" si="427"/>
        <v>0</v>
      </c>
      <c r="I420" s="37" t="e">
        <f t="shared" si="413"/>
        <v>#DIV/0!</v>
      </c>
      <c r="J420" s="40"/>
      <c r="K420" s="36">
        <f t="shared" si="414"/>
        <v>0</v>
      </c>
      <c r="L420" s="33">
        <f>'1.DATA KIA'!J400</f>
        <v>0</v>
      </c>
      <c r="M420" s="36">
        <f t="shared" si="428"/>
        <v>0</v>
      </c>
      <c r="N420" s="37" t="e">
        <f t="shared" si="429"/>
        <v>#DIV/0!</v>
      </c>
      <c r="O420" s="40"/>
      <c r="P420" s="36">
        <f t="shared" si="415"/>
        <v>0</v>
      </c>
      <c r="Q420" s="33">
        <f>'1.DATA KIA'!M400</f>
        <v>0</v>
      </c>
      <c r="R420" s="36">
        <f t="shared" si="430"/>
        <v>0</v>
      </c>
      <c r="S420" s="37" t="e">
        <f t="shared" si="431"/>
        <v>#DIV/0!</v>
      </c>
      <c r="T420" s="40"/>
      <c r="U420" s="33">
        <f t="shared" si="416"/>
        <v>0</v>
      </c>
      <c r="V420" s="36">
        <f>'1.DATA KIA'!Y400</f>
        <v>0</v>
      </c>
      <c r="W420" s="33">
        <f t="shared" si="432"/>
        <v>0</v>
      </c>
      <c r="X420" s="37" t="e">
        <f t="shared" si="417"/>
        <v>#DIV/0!</v>
      </c>
      <c r="Y420" s="40"/>
      <c r="Z420" s="33">
        <f t="shared" si="418"/>
        <v>0</v>
      </c>
      <c r="AA420" s="36">
        <f>'1.DATA KIA'!Z400</f>
        <v>0</v>
      </c>
      <c r="AB420" s="33">
        <f t="shared" si="433"/>
        <v>0</v>
      </c>
      <c r="AC420" s="37" t="e">
        <f t="shared" si="419"/>
        <v>#DIV/0!</v>
      </c>
      <c r="AD420" s="40"/>
      <c r="AE420" s="33">
        <f t="shared" si="420"/>
        <v>0</v>
      </c>
      <c r="AF420" s="41">
        <f>'8.ANCTEPADU'!D448+'8.ANCTEPADU'!E448</f>
        <v>0</v>
      </c>
      <c r="AG420" s="33">
        <f t="shared" si="434"/>
        <v>0</v>
      </c>
      <c r="AH420" s="37" t="e">
        <f t="shared" si="421"/>
        <v>#DIV/0!</v>
      </c>
      <c r="AI420" s="33">
        <f t="shared" si="422"/>
        <v>0</v>
      </c>
      <c r="AJ420" s="41">
        <f>'8.ANCTEPADU'!J448</f>
        <v>0</v>
      </c>
      <c r="AK420" s="33">
        <f t="shared" si="435"/>
        <v>0</v>
      </c>
      <c r="AL420" s="37" t="e">
        <f t="shared" si="423"/>
        <v>#DIV/0!</v>
      </c>
      <c r="AM420" s="36">
        <f t="shared" si="424"/>
        <v>0</v>
      </c>
      <c r="AN420" s="36">
        <f>'1.DATA KIA'!AG400</f>
        <v>0</v>
      </c>
      <c r="AO420" s="33">
        <f t="shared" si="442"/>
        <v>0</v>
      </c>
      <c r="AP420" s="37" t="e">
        <f t="shared" si="437"/>
        <v>#DIV/0!</v>
      </c>
      <c r="AQ420" s="40"/>
      <c r="AR420" s="42">
        <f t="shared" si="425"/>
        <v>0</v>
      </c>
      <c r="AS420" s="36">
        <f>'1.DATA KIA'!AB400</f>
        <v>0</v>
      </c>
      <c r="AT420" s="33">
        <f t="shared" si="443"/>
        <v>0</v>
      </c>
      <c r="AU420" s="37" t="e">
        <f t="shared" si="439"/>
        <v>#DIV/0!</v>
      </c>
      <c r="AV420" s="40"/>
      <c r="AW420" s="36">
        <f t="shared" si="426"/>
        <v>0</v>
      </c>
      <c r="AX420" s="33">
        <f>'1.DATA KIA'!AF400</f>
        <v>0</v>
      </c>
      <c r="AY420" s="36">
        <f t="shared" si="440"/>
        <v>0</v>
      </c>
      <c r="AZ420" s="37" t="e">
        <f t="shared" si="441"/>
        <v>#DIV/0!</v>
      </c>
      <c r="BA420" s="38"/>
    </row>
    <row r="421" spans="1:53" ht="30" customHeight="1" x14ac:dyDescent="0.35">
      <c r="A421" s="33">
        <v>19</v>
      </c>
      <c r="B421" s="34">
        <f>PETUNJUK!B27</f>
        <v>0</v>
      </c>
      <c r="C421" s="35">
        <f>'1.DATA KIA'!C401</f>
        <v>0</v>
      </c>
      <c r="D421" s="35">
        <f>'1.DATA KIA'!D401</f>
        <v>0</v>
      </c>
      <c r="E421" s="35">
        <f>E385</f>
        <v>0</v>
      </c>
      <c r="F421" s="36">
        <f t="shared" si="412"/>
        <v>0</v>
      </c>
      <c r="G421" s="36">
        <f>'1.DATA KIA'!F401</f>
        <v>0</v>
      </c>
      <c r="H421" s="36">
        <f>F421+G421</f>
        <v>0</v>
      </c>
      <c r="I421" s="37" t="e">
        <f>H421/C421*100</f>
        <v>#DIV/0!</v>
      </c>
      <c r="J421" s="40"/>
      <c r="K421" s="36">
        <f>M385</f>
        <v>0</v>
      </c>
      <c r="L421" s="33">
        <f>'1.DATA KIA'!J401</f>
        <v>0</v>
      </c>
      <c r="M421" s="36">
        <f>K421+L421</f>
        <v>0</v>
      </c>
      <c r="N421" s="37" t="e">
        <f t="shared" si="429"/>
        <v>#DIV/0!</v>
      </c>
      <c r="O421" s="40"/>
      <c r="P421" s="36">
        <f>R385</f>
        <v>0</v>
      </c>
      <c r="Q421" s="33">
        <f>'1.DATA KIA'!M401</f>
        <v>0</v>
      </c>
      <c r="R421" s="36">
        <f>P421+Q421</f>
        <v>0</v>
      </c>
      <c r="S421" s="37" t="e">
        <f t="shared" si="431"/>
        <v>#DIV/0!</v>
      </c>
      <c r="T421" s="40"/>
      <c r="U421" s="33">
        <f>W385</f>
        <v>0</v>
      </c>
      <c r="V421" s="36">
        <f>'1.DATA KIA'!Y401</f>
        <v>0</v>
      </c>
      <c r="W421" s="33">
        <f>U421+V421</f>
        <v>0</v>
      </c>
      <c r="X421" s="37" t="e">
        <f>W421/(20%*C421)*100</f>
        <v>#DIV/0!</v>
      </c>
      <c r="Y421" s="40"/>
      <c r="Z421" s="33">
        <f>AB385</f>
        <v>0</v>
      </c>
      <c r="AA421" s="36">
        <f>'1.DATA KIA'!Z401</f>
        <v>0</v>
      </c>
      <c r="AB421" s="33">
        <f>Z421+AA421</f>
        <v>0</v>
      </c>
      <c r="AC421" s="37" t="e">
        <f>AB421/(20%*C421)*100</f>
        <v>#DIV/0!</v>
      </c>
      <c r="AD421" s="40"/>
      <c r="AE421" s="33">
        <f t="shared" si="420"/>
        <v>0</v>
      </c>
      <c r="AF421" s="41">
        <f>'8.ANCTEPADU'!D453+'8.ANCTEPADU'!E453</f>
        <v>0</v>
      </c>
      <c r="AG421" s="33">
        <f t="shared" si="434"/>
        <v>0</v>
      </c>
      <c r="AH421" s="37" t="e">
        <f>AG421/C421*100</f>
        <v>#DIV/0!</v>
      </c>
      <c r="AI421" s="33">
        <f>AK385</f>
        <v>0</v>
      </c>
      <c r="AJ421" s="41">
        <f>'8.ANCTEPADU'!J453</f>
        <v>0</v>
      </c>
      <c r="AK421" s="33">
        <f>AI421+AJ421</f>
        <v>0</v>
      </c>
      <c r="AL421" s="37" t="e">
        <f>AK421/C421*100</f>
        <v>#DIV/0!</v>
      </c>
      <c r="AM421" s="36">
        <f>AO385</f>
        <v>0</v>
      </c>
      <c r="AN421" s="36">
        <f>'1.DATA KIA'!AG401</f>
        <v>0</v>
      </c>
      <c r="AO421" s="33">
        <f>AN421+AM421</f>
        <v>0</v>
      </c>
      <c r="AP421" s="37" t="e">
        <f>AO421/E421*100</f>
        <v>#DIV/0!</v>
      </c>
      <c r="AQ421" s="40"/>
      <c r="AR421" s="42">
        <f>AT385</f>
        <v>0</v>
      </c>
      <c r="AS421" s="36">
        <f>'1.DATA KIA'!AB401</f>
        <v>0</v>
      </c>
      <c r="AT421" s="33">
        <f>AS421+AR421</f>
        <v>0</v>
      </c>
      <c r="AU421" s="37" t="e">
        <f>AT421/D421*100</f>
        <v>#DIV/0!</v>
      </c>
      <c r="AV421" s="40"/>
      <c r="AW421" s="36">
        <f>AY385</f>
        <v>0</v>
      </c>
      <c r="AX421" s="33">
        <f>'1.DATA KIA'!AF401</f>
        <v>0</v>
      </c>
      <c r="AY421" s="36">
        <f>AW421+AX421</f>
        <v>0</v>
      </c>
      <c r="AZ421" s="37" t="e">
        <f>AY421/(20%*C421)*100</f>
        <v>#DIV/0!</v>
      </c>
      <c r="BA421" s="38"/>
    </row>
    <row r="422" spans="1:53" ht="30" customHeight="1" x14ac:dyDescent="0.35">
      <c r="A422" s="33">
        <v>20</v>
      </c>
      <c r="B422" s="34">
        <f>PETUNJUK!B28</f>
        <v>0</v>
      </c>
      <c r="C422" s="35">
        <f>'1.DATA KIA'!C402</f>
        <v>0</v>
      </c>
      <c r="D422" s="35">
        <f>'1.DATA KIA'!D402</f>
        <v>0</v>
      </c>
      <c r="E422" s="35">
        <f>E386</f>
        <v>0</v>
      </c>
      <c r="F422" s="36">
        <f t="shared" si="412"/>
        <v>0</v>
      </c>
      <c r="G422" s="36">
        <f>'1.DATA KIA'!F402</f>
        <v>0</v>
      </c>
      <c r="H422" s="36">
        <f>F422+G422</f>
        <v>0</v>
      </c>
      <c r="I422" s="37" t="e">
        <f>H422/C422*100</f>
        <v>#DIV/0!</v>
      </c>
      <c r="J422" s="40"/>
      <c r="K422" s="36">
        <f>M386</f>
        <v>0</v>
      </c>
      <c r="L422" s="33">
        <f>'1.DATA KIA'!J402</f>
        <v>0</v>
      </c>
      <c r="M422" s="36">
        <f>K422+L422</f>
        <v>0</v>
      </c>
      <c r="N422" s="37" t="e">
        <f t="shared" si="429"/>
        <v>#DIV/0!</v>
      </c>
      <c r="O422" s="40"/>
      <c r="P422" s="36">
        <f>R386</f>
        <v>0</v>
      </c>
      <c r="Q422" s="33">
        <f>'1.DATA KIA'!M402</f>
        <v>0</v>
      </c>
      <c r="R422" s="36">
        <f>P422+Q422</f>
        <v>0</v>
      </c>
      <c r="S422" s="37" t="e">
        <f t="shared" si="431"/>
        <v>#DIV/0!</v>
      </c>
      <c r="T422" s="40"/>
      <c r="U422" s="33">
        <f>W386</f>
        <v>0</v>
      </c>
      <c r="V422" s="36">
        <f>'1.DATA KIA'!Y402</f>
        <v>0</v>
      </c>
      <c r="W422" s="33">
        <f>U422+V422</f>
        <v>0</v>
      </c>
      <c r="X422" s="37" t="e">
        <f>W422/(20%*C422)*100</f>
        <v>#DIV/0!</v>
      </c>
      <c r="Y422" s="40"/>
      <c r="Z422" s="33">
        <f>AB386</f>
        <v>0</v>
      </c>
      <c r="AA422" s="36">
        <f>'1.DATA KIA'!Z402</f>
        <v>0</v>
      </c>
      <c r="AB422" s="33">
        <f>Z422+AA422</f>
        <v>0</v>
      </c>
      <c r="AC422" s="37" t="e">
        <f>AB422/(20%*C422)*100</f>
        <v>#DIV/0!</v>
      </c>
      <c r="AD422" s="40"/>
      <c r="AE422" s="33">
        <f t="shared" si="420"/>
        <v>0</v>
      </c>
      <c r="AF422" s="41">
        <f>'8.ANCTEPADU'!D454+'8.ANCTEPADU'!E454</f>
        <v>0</v>
      </c>
      <c r="AG422" s="33">
        <f>AE422+AF422</f>
        <v>0</v>
      </c>
      <c r="AH422" s="37" t="e">
        <f>AG422/C422*100</f>
        <v>#DIV/0!</v>
      </c>
      <c r="AI422" s="33">
        <f>AK386</f>
        <v>0</v>
      </c>
      <c r="AJ422" s="41">
        <f>'8.ANCTEPADU'!J454</f>
        <v>0</v>
      </c>
      <c r="AK422" s="33">
        <f>AI422+AJ422</f>
        <v>0</v>
      </c>
      <c r="AL422" s="37" t="e">
        <f>AK422/C422*100</f>
        <v>#DIV/0!</v>
      </c>
      <c r="AM422" s="36">
        <f>AO386</f>
        <v>0</v>
      </c>
      <c r="AN422" s="36">
        <f>'1.DATA KIA'!AG402</f>
        <v>0</v>
      </c>
      <c r="AO422" s="33">
        <f>AN422+AM422</f>
        <v>0</v>
      </c>
      <c r="AP422" s="37" t="e">
        <f>AO422/E422*100</f>
        <v>#DIV/0!</v>
      </c>
      <c r="AQ422" s="40"/>
      <c r="AR422" s="42">
        <f>AT386</f>
        <v>0</v>
      </c>
      <c r="AS422" s="36">
        <f>'1.DATA KIA'!AB402</f>
        <v>0</v>
      </c>
      <c r="AT422" s="33">
        <f>AS422+AR422</f>
        <v>0</v>
      </c>
      <c r="AU422" s="37" t="e">
        <f>AT422/D422*100</f>
        <v>#DIV/0!</v>
      </c>
      <c r="AV422" s="40"/>
      <c r="AW422" s="36">
        <f>AY386</f>
        <v>0</v>
      </c>
      <c r="AX422" s="33">
        <f>'1.DATA KIA'!AF402</f>
        <v>0</v>
      </c>
      <c r="AY422" s="36">
        <f>AW422+AX422</f>
        <v>0</v>
      </c>
      <c r="AZ422" s="37" t="e">
        <f>AY422/(20%*C422)*100</f>
        <v>#DIV/0!</v>
      </c>
      <c r="BA422" s="38"/>
    </row>
    <row r="423" spans="1:53" ht="30" customHeight="1" x14ac:dyDescent="0.35">
      <c r="A423" s="33">
        <v>21</v>
      </c>
      <c r="B423" s="34">
        <f>PETUNJUK!B29</f>
        <v>0</v>
      </c>
      <c r="C423" s="35">
        <f>'1.DATA KIA'!C403</f>
        <v>0</v>
      </c>
      <c r="D423" s="35">
        <f>'1.DATA KIA'!D403</f>
        <v>0</v>
      </c>
      <c r="E423" s="35">
        <f>E387</f>
        <v>0</v>
      </c>
      <c r="F423" s="36">
        <f t="shared" si="412"/>
        <v>0</v>
      </c>
      <c r="G423" s="36">
        <f>'1.DATA KIA'!F403</f>
        <v>0</v>
      </c>
      <c r="H423" s="36">
        <f>F423+G423</f>
        <v>0</v>
      </c>
      <c r="I423" s="37" t="e">
        <f>H423/C423*100</f>
        <v>#DIV/0!</v>
      </c>
      <c r="J423" s="40"/>
      <c r="K423" s="36">
        <f>M387</f>
        <v>0</v>
      </c>
      <c r="L423" s="33">
        <f>'1.DATA KIA'!J403</f>
        <v>0</v>
      </c>
      <c r="M423" s="36">
        <f>K423+L423</f>
        <v>0</v>
      </c>
      <c r="N423" s="37" t="e">
        <f t="shared" si="429"/>
        <v>#DIV/0!</v>
      </c>
      <c r="O423" s="40"/>
      <c r="P423" s="36">
        <f>R387</f>
        <v>0</v>
      </c>
      <c r="Q423" s="33">
        <f>'1.DATA KIA'!M403</f>
        <v>0</v>
      </c>
      <c r="R423" s="36">
        <f>P423+Q423</f>
        <v>0</v>
      </c>
      <c r="S423" s="37" t="e">
        <f t="shared" si="431"/>
        <v>#DIV/0!</v>
      </c>
      <c r="T423" s="40"/>
      <c r="U423" s="33">
        <f>W387</f>
        <v>0</v>
      </c>
      <c r="V423" s="36">
        <f>'1.DATA KIA'!Y403</f>
        <v>0</v>
      </c>
      <c r="W423" s="33">
        <f>U423+V423</f>
        <v>0</v>
      </c>
      <c r="X423" s="37" t="e">
        <f>W423/(20%*C423)*100</f>
        <v>#DIV/0!</v>
      </c>
      <c r="Y423" s="40"/>
      <c r="Z423" s="33">
        <f>AB387</f>
        <v>0</v>
      </c>
      <c r="AA423" s="36">
        <f>'1.DATA KIA'!Z403</f>
        <v>0</v>
      </c>
      <c r="AB423" s="33">
        <f>Z423+AA423</f>
        <v>0</v>
      </c>
      <c r="AC423" s="37" t="e">
        <f>AB423/(20%*C423)*100</f>
        <v>#DIV/0!</v>
      </c>
      <c r="AD423" s="40"/>
      <c r="AE423" s="33">
        <f t="shared" si="420"/>
        <v>0</v>
      </c>
      <c r="AF423" s="41">
        <f>'8.ANCTEPADU'!D455+'8.ANCTEPADU'!E455</f>
        <v>0</v>
      </c>
      <c r="AG423" s="33">
        <f>AE423+AF423</f>
        <v>0</v>
      </c>
      <c r="AH423" s="37" t="e">
        <f>AG423/C423*100</f>
        <v>#DIV/0!</v>
      </c>
      <c r="AI423" s="33">
        <f>AK387</f>
        <v>0</v>
      </c>
      <c r="AJ423" s="41">
        <f>'8.ANCTEPADU'!J455</f>
        <v>0</v>
      </c>
      <c r="AK423" s="33">
        <f>AI423+AJ423</f>
        <v>0</v>
      </c>
      <c r="AL423" s="37" t="e">
        <f>AK423/C423*100</f>
        <v>#DIV/0!</v>
      </c>
      <c r="AM423" s="36">
        <f>AO387</f>
        <v>0</v>
      </c>
      <c r="AN423" s="36">
        <f>'1.DATA KIA'!AG403</f>
        <v>0</v>
      </c>
      <c r="AO423" s="33">
        <f>AN423+AM423</f>
        <v>0</v>
      </c>
      <c r="AP423" s="37" t="e">
        <f>AO423/E423*100</f>
        <v>#DIV/0!</v>
      </c>
      <c r="AQ423" s="40"/>
      <c r="AR423" s="42">
        <f>AT387</f>
        <v>0</v>
      </c>
      <c r="AS423" s="36">
        <f>'1.DATA KIA'!AB403</f>
        <v>0</v>
      </c>
      <c r="AT423" s="33">
        <f>AS423+AR423</f>
        <v>0</v>
      </c>
      <c r="AU423" s="37" t="e">
        <f>AT423/D423*100</f>
        <v>#DIV/0!</v>
      </c>
      <c r="AV423" s="40"/>
      <c r="AW423" s="36">
        <f>AY387</f>
        <v>0</v>
      </c>
      <c r="AX423" s="33">
        <f>'1.DATA KIA'!AF403</f>
        <v>0</v>
      </c>
      <c r="AY423" s="36">
        <f>AW423+AX423</f>
        <v>0</v>
      </c>
      <c r="AZ423" s="37" t="e">
        <f>AY423/(20%*C423)*100</f>
        <v>#DIV/0!</v>
      </c>
      <c r="BA423" s="38"/>
    </row>
    <row r="424" spans="1:53" ht="30" customHeight="1" thickBot="1" x14ac:dyDescent="0.4">
      <c r="A424" s="46">
        <v>22</v>
      </c>
      <c r="B424" s="47">
        <f>PETUNJUK!B30</f>
        <v>0</v>
      </c>
      <c r="C424" s="48">
        <f>'1.DATA KIA'!C404</f>
        <v>0</v>
      </c>
      <c r="D424" s="48">
        <f>'1.DATA KIA'!D404</f>
        <v>0</v>
      </c>
      <c r="E424" s="48">
        <f>E388</f>
        <v>0</v>
      </c>
      <c r="F424" s="36">
        <f t="shared" si="412"/>
        <v>0</v>
      </c>
      <c r="G424" s="49">
        <f>'1.DATA KIA'!F404</f>
        <v>0</v>
      </c>
      <c r="H424" s="49">
        <f>F424+G424</f>
        <v>0</v>
      </c>
      <c r="I424" s="50" t="e">
        <f>H424/C424*100</f>
        <v>#DIV/0!</v>
      </c>
      <c r="J424" s="53"/>
      <c r="K424" s="49">
        <f>M388</f>
        <v>0</v>
      </c>
      <c r="L424" s="46">
        <f>'1.DATA KIA'!J404</f>
        <v>0</v>
      </c>
      <c r="M424" s="49">
        <f>K424+L424</f>
        <v>0</v>
      </c>
      <c r="N424" s="37" t="e">
        <f t="shared" si="429"/>
        <v>#DIV/0!</v>
      </c>
      <c r="O424" s="53"/>
      <c r="P424" s="49">
        <f>R388</f>
        <v>0</v>
      </c>
      <c r="Q424" s="33">
        <f>'1.DATA KIA'!M404</f>
        <v>0</v>
      </c>
      <c r="R424" s="49">
        <f>P424+Q424</f>
        <v>0</v>
      </c>
      <c r="S424" s="37" t="e">
        <f t="shared" si="431"/>
        <v>#DIV/0!</v>
      </c>
      <c r="T424" s="53"/>
      <c r="U424" s="46">
        <f>W388</f>
        <v>0</v>
      </c>
      <c r="V424" s="49">
        <f>'1.DATA KIA'!Y404</f>
        <v>0</v>
      </c>
      <c r="W424" s="46">
        <f>U424+V424</f>
        <v>0</v>
      </c>
      <c r="X424" s="50" t="e">
        <f>W424/(20%*C424)*100</f>
        <v>#DIV/0!</v>
      </c>
      <c r="Y424" s="53"/>
      <c r="Z424" s="46">
        <f>AB388</f>
        <v>0</v>
      </c>
      <c r="AA424" s="49">
        <f>'1.DATA KIA'!Z404</f>
        <v>0</v>
      </c>
      <c r="AB424" s="46">
        <f>Z424+AA424</f>
        <v>0</v>
      </c>
      <c r="AC424" s="50" t="e">
        <f>AB424/(20%*C424)*100</f>
        <v>#DIV/0!</v>
      </c>
      <c r="AD424" s="53"/>
      <c r="AE424" s="33">
        <f t="shared" si="420"/>
        <v>0</v>
      </c>
      <c r="AF424" s="54">
        <f>'8.ANCTEPADU'!D456+'8.ANCTEPADU'!E456</f>
        <v>0</v>
      </c>
      <c r="AG424" s="46">
        <f>AE424+AF424</f>
        <v>0</v>
      </c>
      <c r="AH424" s="50" t="e">
        <f>AG424/C424*100</f>
        <v>#DIV/0!</v>
      </c>
      <c r="AI424" s="46">
        <f>AK388</f>
        <v>0</v>
      </c>
      <c r="AJ424" s="54">
        <f>'8.ANCTEPADU'!J456</f>
        <v>0</v>
      </c>
      <c r="AK424" s="46">
        <f>AI424+AJ424</f>
        <v>0</v>
      </c>
      <c r="AL424" s="50" t="e">
        <f>AK424/C424*100</f>
        <v>#DIV/0!</v>
      </c>
      <c r="AM424" s="49">
        <f>AO388</f>
        <v>0</v>
      </c>
      <c r="AN424" s="49">
        <f>'1.DATA KIA'!AG404</f>
        <v>0</v>
      </c>
      <c r="AO424" s="46">
        <f>AN424+AM424</f>
        <v>0</v>
      </c>
      <c r="AP424" s="50" t="e">
        <f>AO424/E424*100</f>
        <v>#DIV/0!</v>
      </c>
      <c r="AQ424" s="53"/>
      <c r="AR424" s="55">
        <f>AT388</f>
        <v>0</v>
      </c>
      <c r="AS424" s="49">
        <f>'1.DATA KIA'!AB404</f>
        <v>0</v>
      </c>
      <c r="AT424" s="46">
        <f>AS424+AR424</f>
        <v>0</v>
      </c>
      <c r="AU424" s="50" t="e">
        <f>AT424/D424*100</f>
        <v>#DIV/0!</v>
      </c>
      <c r="AV424" s="53"/>
      <c r="AW424" s="49">
        <f>AY388</f>
        <v>0</v>
      </c>
      <c r="AX424" s="46">
        <f>'1.DATA KIA'!AF404</f>
        <v>0</v>
      </c>
      <c r="AY424" s="49">
        <f>AW424+AX424</f>
        <v>0</v>
      </c>
      <c r="AZ424" s="50" t="e">
        <f>AY424/(20%*C424)*100</f>
        <v>#DIV/0!</v>
      </c>
      <c r="BA424" s="51"/>
    </row>
    <row r="425" spans="1:53" ht="30" customHeight="1" thickBot="1" x14ac:dyDescent="0.4">
      <c r="A425" s="354"/>
      <c r="B425" s="355" t="s">
        <v>18</v>
      </c>
      <c r="C425" s="347">
        <f>SUM(C403:C424)</f>
        <v>1067</v>
      </c>
      <c r="D425" s="347">
        <f t="shared" ref="D425:AY425" si="444">SUM(D403:D424)</f>
        <v>1018.5</v>
      </c>
      <c r="E425" s="347">
        <f t="shared" si="444"/>
        <v>0</v>
      </c>
      <c r="F425" s="347">
        <f t="shared" si="444"/>
        <v>374</v>
      </c>
      <c r="G425" s="347">
        <f t="shared" si="444"/>
        <v>0</v>
      </c>
      <c r="H425" s="347">
        <f t="shared" si="444"/>
        <v>374</v>
      </c>
      <c r="I425" s="357">
        <f>H425/C425*100</f>
        <v>35.051546391752574</v>
      </c>
      <c r="J425" s="347">
        <f t="shared" si="444"/>
        <v>0</v>
      </c>
      <c r="K425" s="347">
        <f t="shared" si="444"/>
        <v>283</v>
      </c>
      <c r="L425" s="347">
        <f t="shared" si="444"/>
        <v>0</v>
      </c>
      <c r="M425" s="347">
        <f t="shared" si="444"/>
        <v>283</v>
      </c>
      <c r="N425" s="357">
        <f>M425/D425*100</f>
        <v>27.785959744722632</v>
      </c>
      <c r="O425" s="347">
        <f t="shared" si="444"/>
        <v>0</v>
      </c>
      <c r="P425" s="347">
        <f t="shared" ref="P425:R425" si="445">SUM(P403:P424)</f>
        <v>309</v>
      </c>
      <c r="Q425" s="347">
        <f t="shared" si="445"/>
        <v>0</v>
      </c>
      <c r="R425" s="347">
        <f t="shared" si="445"/>
        <v>309</v>
      </c>
      <c r="S425" s="357">
        <f>R425/D425*100</f>
        <v>30.338733431516935</v>
      </c>
      <c r="T425" s="347">
        <f t="shared" ref="T425" si="446">SUM(T403:T424)</f>
        <v>0</v>
      </c>
      <c r="U425" s="347">
        <f t="shared" si="444"/>
        <v>92</v>
      </c>
      <c r="V425" s="347">
        <f t="shared" si="444"/>
        <v>0</v>
      </c>
      <c r="W425" s="347">
        <f t="shared" si="444"/>
        <v>92</v>
      </c>
      <c r="X425" s="357">
        <f>W425/(20%*C425)*100</f>
        <v>43.111527647610117</v>
      </c>
      <c r="Y425" s="347">
        <f t="shared" si="444"/>
        <v>0</v>
      </c>
      <c r="Z425" s="347">
        <f t="shared" si="444"/>
        <v>47</v>
      </c>
      <c r="AA425" s="347">
        <f t="shared" si="444"/>
        <v>0</v>
      </c>
      <c r="AB425" s="347">
        <f t="shared" si="444"/>
        <v>47</v>
      </c>
      <c r="AC425" s="357">
        <f>AB425/(20%*C425)*100</f>
        <v>22.024367385192125</v>
      </c>
      <c r="AD425" s="347">
        <f t="shared" si="444"/>
        <v>0</v>
      </c>
      <c r="AE425" s="347">
        <f t="shared" si="444"/>
        <v>32</v>
      </c>
      <c r="AF425" s="347">
        <f t="shared" si="444"/>
        <v>2</v>
      </c>
      <c r="AG425" s="347">
        <f t="shared" si="444"/>
        <v>34</v>
      </c>
      <c r="AH425" s="357">
        <f>AG425/C425*100</f>
        <v>3.1865042174320526</v>
      </c>
      <c r="AI425" s="347">
        <f t="shared" si="444"/>
        <v>42</v>
      </c>
      <c r="AJ425" s="347">
        <f t="shared" si="444"/>
        <v>0</v>
      </c>
      <c r="AK425" s="347">
        <f t="shared" si="444"/>
        <v>42</v>
      </c>
      <c r="AL425" s="357">
        <f>AK425/C425*100</f>
        <v>3.936269915651359</v>
      </c>
      <c r="AM425" s="347">
        <f t="shared" si="444"/>
        <v>298</v>
      </c>
      <c r="AN425" s="347">
        <f t="shared" si="444"/>
        <v>0</v>
      </c>
      <c r="AO425" s="347">
        <f t="shared" si="444"/>
        <v>298</v>
      </c>
      <c r="AP425" s="357" t="e">
        <f>AO425/E425*100</f>
        <v>#DIV/0!</v>
      </c>
      <c r="AQ425" s="347">
        <f t="shared" si="444"/>
        <v>0</v>
      </c>
      <c r="AR425" s="347">
        <f t="shared" si="444"/>
        <v>298</v>
      </c>
      <c r="AS425" s="347">
        <f t="shared" si="444"/>
        <v>0</v>
      </c>
      <c r="AT425" s="347">
        <f t="shared" si="444"/>
        <v>298</v>
      </c>
      <c r="AU425" s="357">
        <f>AT425/D425*100</f>
        <v>29.258713794796272</v>
      </c>
      <c r="AV425" s="347">
        <f t="shared" si="444"/>
        <v>0</v>
      </c>
      <c r="AW425" s="347">
        <f t="shared" si="444"/>
        <v>69</v>
      </c>
      <c r="AX425" s="347">
        <f t="shared" si="444"/>
        <v>0</v>
      </c>
      <c r="AY425" s="347">
        <f t="shared" si="444"/>
        <v>69</v>
      </c>
      <c r="AZ425" s="357">
        <f>AY425/(20%*C425)*100</f>
        <v>32.333645735707591</v>
      </c>
      <c r="BA425" s="361"/>
    </row>
  </sheetData>
  <mergeCells count="744">
    <mergeCell ref="P363:T363"/>
    <mergeCell ref="P364:P366"/>
    <mergeCell ref="Q364:Q366"/>
    <mergeCell ref="R364:S364"/>
    <mergeCell ref="T364:T366"/>
    <mergeCell ref="R365:R366"/>
    <mergeCell ref="S365:S366"/>
    <mergeCell ref="P399:T399"/>
    <mergeCell ref="P400:P402"/>
    <mergeCell ref="Q400:Q402"/>
    <mergeCell ref="R400:S400"/>
    <mergeCell ref="T400:T402"/>
    <mergeCell ref="R401:R402"/>
    <mergeCell ref="S401:S402"/>
    <mergeCell ref="P291:T291"/>
    <mergeCell ref="P292:P294"/>
    <mergeCell ref="Q292:Q294"/>
    <mergeCell ref="R292:S292"/>
    <mergeCell ref="T292:T294"/>
    <mergeCell ref="R293:R294"/>
    <mergeCell ref="S293:S294"/>
    <mergeCell ref="P327:T327"/>
    <mergeCell ref="P328:P330"/>
    <mergeCell ref="Q328:Q330"/>
    <mergeCell ref="R328:S328"/>
    <mergeCell ref="T328:T330"/>
    <mergeCell ref="R329:R330"/>
    <mergeCell ref="S329:S330"/>
    <mergeCell ref="P219:T219"/>
    <mergeCell ref="P220:P222"/>
    <mergeCell ref="Q220:Q222"/>
    <mergeCell ref="R220:S220"/>
    <mergeCell ref="T220:T222"/>
    <mergeCell ref="R221:R222"/>
    <mergeCell ref="S221:S222"/>
    <mergeCell ref="P255:T255"/>
    <mergeCell ref="P256:P258"/>
    <mergeCell ref="Q256:Q258"/>
    <mergeCell ref="R256:S256"/>
    <mergeCell ref="T256:T258"/>
    <mergeCell ref="R257:R258"/>
    <mergeCell ref="S257:S258"/>
    <mergeCell ref="P147:T147"/>
    <mergeCell ref="P148:P150"/>
    <mergeCell ref="Q148:Q150"/>
    <mergeCell ref="R148:S148"/>
    <mergeCell ref="T148:T150"/>
    <mergeCell ref="R149:R150"/>
    <mergeCell ref="S149:S150"/>
    <mergeCell ref="P183:T183"/>
    <mergeCell ref="P184:P186"/>
    <mergeCell ref="Q184:Q186"/>
    <mergeCell ref="R184:S184"/>
    <mergeCell ref="T184:T186"/>
    <mergeCell ref="R185:R186"/>
    <mergeCell ref="S185:S186"/>
    <mergeCell ref="P75:T75"/>
    <mergeCell ref="P76:P78"/>
    <mergeCell ref="Q76:Q78"/>
    <mergeCell ref="R76:S76"/>
    <mergeCell ref="T76:T78"/>
    <mergeCell ref="R77:R78"/>
    <mergeCell ref="S77:S78"/>
    <mergeCell ref="P111:T111"/>
    <mergeCell ref="P112:P114"/>
    <mergeCell ref="Q112:Q114"/>
    <mergeCell ref="R112:S112"/>
    <mergeCell ref="T112:T114"/>
    <mergeCell ref="R113:R114"/>
    <mergeCell ref="S113:S114"/>
    <mergeCell ref="P5:T5"/>
    <mergeCell ref="P6:P8"/>
    <mergeCell ref="Q6:Q8"/>
    <mergeCell ref="R6:S6"/>
    <mergeCell ref="T6:T8"/>
    <mergeCell ref="R7:R8"/>
    <mergeCell ref="S7:S8"/>
    <mergeCell ref="P39:T39"/>
    <mergeCell ref="P40:P42"/>
    <mergeCell ref="Q40:Q42"/>
    <mergeCell ref="R40:S40"/>
    <mergeCell ref="T40:T42"/>
    <mergeCell ref="R41:R42"/>
    <mergeCell ref="S41:S42"/>
    <mergeCell ref="AR363:AV363"/>
    <mergeCell ref="AR364:AR366"/>
    <mergeCell ref="AS364:AS366"/>
    <mergeCell ref="AT364:AT366"/>
    <mergeCell ref="AU364:AU366"/>
    <mergeCell ref="AV364:AV366"/>
    <mergeCell ref="AR399:AV399"/>
    <mergeCell ref="AR400:AR402"/>
    <mergeCell ref="AS400:AS402"/>
    <mergeCell ref="AT400:AT402"/>
    <mergeCell ref="AU400:AU402"/>
    <mergeCell ref="AV400:AV402"/>
    <mergeCell ref="AS220:AS222"/>
    <mergeCell ref="AT220:AT222"/>
    <mergeCell ref="AU220:AU222"/>
    <mergeCell ref="AV220:AV222"/>
    <mergeCell ref="AR255:AV255"/>
    <mergeCell ref="AR256:AR258"/>
    <mergeCell ref="AS256:AS258"/>
    <mergeCell ref="AT256:AT258"/>
    <mergeCell ref="AU256:AU258"/>
    <mergeCell ref="AV256:AV258"/>
    <mergeCell ref="AR147:AV147"/>
    <mergeCell ref="AR148:AR150"/>
    <mergeCell ref="AS148:AS150"/>
    <mergeCell ref="AT148:AT150"/>
    <mergeCell ref="AU148:AU150"/>
    <mergeCell ref="AV148:AV150"/>
    <mergeCell ref="AR183:AV183"/>
    <mergeCell ref="AR184:AR186"/>
    <mergeCell ref="AS184:AS186"/>
    <mergeCell ref="AT184:AT186"/>
    <mergeCell ref="AU184:AU186"/>
    <mergeCell ref="AV184:AV186"/>
    <mergeCell ref="AS76:AS78"/>
    <mergeCell ref="AT76:AT78"/>
    <mergeCell ref="AU76:AU78"/>
    <mergeCell ref="AV76:AV78"/>
    <mergeCell ref="AR111:AV111"/>
    <mergeCell ref="AR112:AR114"/>
    <mergeCell ref="AS112:AS114"/>
    <mergeCell ref="AT112:AT114"/>
    <mergeCell ref="AU112:AU114"/>
    <mergeCell ref="AV112:AV114"/>
    <mergeCell ref="AS6:AS8"/>
    <mergeCell ref="AT6:AT8"/>
    <mergeCell ref="AU6:AU8"/>
    <mergeCell ref="AV6:AV8"/>
    <mergeCell ref="AR39:AV39"/>
    <mergeCell ref="AR40:AR42"/>
    <mergeCell ref="AS40:AS42"/>
    <mergeCell ref="AT40:AT42"/>
    <mergeCell ref="AU40:AU42"/>
    <mergeCell ref="AV40:AV42"/>
    <mergeCell ref="A1:BA1"/>
    <mergeCell ref="W7:X7"/>
    <mergeCell ref="Y7:Y8"/>
    <mergeCell ref="Z7:Z8"/>
    <mergeCell ref="AX6:AX8"/>
    <mergeCell ref="AY6:AY8"/>
    <mergeCell ref="AZ6:AZ8"/>
    <mergeCell ref="AP6:AP8"/>
    <mergeCell ref="AW6:AW8"/>
    <mergeCell ref="BA6:BA8"/>
    <mergeCell ref="H7:H8"/>
    <mergeCell ref="I7:I8"/>
    <mergeCell ref="M7:M8"/>
    <mergeCell ref="N7:N8"/>
    <mergeCell ref="U7:U8"/>
    <mergeCell ref="AI6:AL6"/>
    <mergeCell ref="AM6:AM8"/>
    <mergeCell ref="AA7:AA8"/>
    <mergeCell ref="A5:A8"/>
    <mergeCell ref="B5:B8"/>
    <mergeCell ref="C5:E5"/>
    <mergeCell ref="F5:J5"/>
    <mergeCell ref="AR5:AV5"/>
    <mergeCell ref="AR6:AR8"/>
    <mergeCell ref="K5:O5"/>
    <mergeCell ref="C6:C8"/>
    <mergeCell ref="D6:D8"/>
    <mergeCell ref="F6:F8"/>
    <mergeCell ref="G6:G8"/>
    <mergeCell ref="U5:AD5"/>
    <mergeCell ref="AE5:AL5"/>
    <mergeCell ref="AW5:BA5"/>
    <mergeCell ref="AM5:AQ5"/>
    <mergeCell ref="AN6:AN8"/>
    <mergeCell ref="AO6:AO8"/>
    <mergeCell ref="V7:V8"/>
    <mergeCell ref="AQ6:AQ8"/>
    <mergeCell ref="AI7:AL7"/>
    <mergeCell ref="H6:I6"/>
    <mergeCell ref="J6:J8"/>
    <mergeCell ref="K6:K8"/>
    <mergeCell ref="M6:N6"/>
    <mergeCell ref="O6:O8"/>
    <mergeCell ref="U6:Y6"/>
    <mergeCell ref="L6:L8"/>
    <mergeCell ref="Z6:AD6"/>
    <mergeCell ref="AB7:AC7"/>
    <mergeCell ref="AE6:AH6"/>
    <mergeCell ref="AD7:AD8"/>
    <mergeCell ref="G40:G42"/>
    <mergeCell ref="H40:I40"/>
    <mergeCell ref="J40:J42"/>
    <mergeCell ref="K40:K42"/>
    <mergeCell ref="L40:L42"/>
    <mergeCell ref="A35:BA35"/>
    <mergeCell ref="AZ40:AZ42"/>
    <mergeCell ref="A39:A42"/>
    <mergeCell ref="B39:B42"/>
    <mergeCell ref="C39:E39"/>
    <mergeCell ref="F39:J39"/>
    <mergeCell ref="K39:O39"/>
    <mergeCell ref="U39:AD39"/>
    <mergeCell ref="O40:O42"/>
    <mergeCell ref="U40:Y40"/>
    <mergeCell ref="Z40:AD40"/>
    <mergeCell ref="AA41:AA42"/>
    <mergeCell ref="AE39:AL39"/>
    <mergeCell ref="AM39:AQ39"/>
    <mergeCell ref="AW39:BA39"/>
    <mergeCell ref="C40:C42"/>
    <mergeCell ref="D40:D42"/>
    <mergeCell ref="AE7:AH7"/>
    <mergeCell ref="F40:F42"/>
    <mergeCell ref="AY40:AY42"/>
    <mergeCell ref="M40:N40"/>
    <mergeCell ref="AB41:AC41"/>
    <mergeCell ref="AD41:AD42"/>
    <mergeCell ref="V41:V42"/>
    <mergeCell ref="W41:X41"/>
    <mergeCell ref="Y41:Y42"/>
    <mergeCell ref="Z41:Z42"/>
    <mergeCell ref="BA40:BA42"/>
    <mergeCell ref="H41:H42"/>
    <mergeCell ref="I41:I42"/>
    <mergeCell ref="M41:M42"/>
    <mergeCell ref="N41:N42"/>
    <mergeCell ref="U41:U42"/>
    <mergeCell ref="AQ40:AQ42"/>
    <mergeCell ref="AM40:AM42"/>
    <mergeCell ref="AE40:AH40"/>
    <mergeCell ref="AE41:AH41"/>
    <mergeCell ref="AW40:AW42"/>
    <mergeCell ref="AX40:AX42"/>
    <mergeCell ref="AN40:AN42"/>
    <mergeCell ref="AO40:AO42"/>
    <mergeCell ref="AP40:AP42"/>
    <mergeCell ref="AI40:AL40"/>
    <mergeCell ref="AI41:AL41"/>
    <mergeCell ref="A71:BA71"/>
    <mergeCell ref="U75:AD75"/>
    <mergeCell ref="AE75:AL75"/>
    <mergeCell ref="AM75:AQ75"/>
    <mergeCell ref="A75:A78"/>
    <mergeCell ref="B75:B78"/>
    <mergeCell ref="F75:J75"/>
    <mergeCell ref="C76:C78"/>
    <mergeCell ref="D76:D78"/>
    <mergeCell ref="K76:K78"/>
    <mergeCell ref="L76:L78"/>
    <mergeCell ref="J76:J78"/>
    <mergeCell ref="M76:N76"/>
    <mergeCell ref="O76:O78"/>
    <mergeCell ref="U76:Y76"/>
    <mergeCell ref="W77:X77"/>
    <mergeCell ref="K75:O75"/>
    <mergeCell ref="AM76:AM78"/>
    <mergeCell ref="Z76:AD76"/>
    <mergeCell ref="AE76:AH76"/>
    <mergeCell ref="AI76:AL76"/>
    <mergeCell ref="C75:E75"/>
    <mergeCell ref="F76:F78"/>
    <mergeCell ref="AR75:AV75"/>
    <mergeCell ref="H76:I76"/>
    <mergeCell ref="AE77:AH77"/>
    <mergeCell ref="AN76:AN78"/>
    <mergeCell ref="AI77:AL77"/>
    <mergeCell ref="AW75:BA75"/>
    <mergeCell ref="Y77:Y78"/>
    <mergeCell ref="AQ76:AQ78"/>
    <mergeCell ref="AW76:AW78"/>
    <mergeCell ref="AX76:AX78"/>
    <mergeCell ref="AY76:AY78"/>
    <mergeCell ref="AZ76:AZ78"/>
    <mergeCell ref="AD77:AD78"/>
    <mergeCell ref="AO76:AO78"/>
    <mergeCell ref="AP76:AP78"/>
    <mergeCell ref="Z77:Z78"/>
    <mergeCell ref="BA76:BA78"/>
    <mergeCell ref="H77:H78"/>
    <mergeCell ref="I77:I78"/>
    <mergeCell ref="M77:M78"/>
    <mergeCell ref="N77:N78"/>
    <mergeCell ref="U77:U78"/>
    <mergeCell ref="V77:V78"/>
    <mergeCell ref="AA77:AA78"/>
    <mergeCell ref="AR76:AR78"/>
    <mergeCell ref="AB77:AC77"/>
    <mergeCell ref="A107:BA107"/>
    <mergeCell ref="U111:AD111"/>
    <mergeCell ref="AE111:AL111"/>
    <mergeCell ref="AM111:AQ111"/>
    <mergeCell ref="A111:A114"/>
    <mergeCell ref="B111:B114"/>
    <mergeCell ref="F111:J111"/>
    <mergeCell ref="C112:C114"/>
    <mergeCell ref="D112:D114"/>
    <mergeCell ref="K112:K114"/>
    <mergeCell ref="L112:L114"/>
    <mergeCell ref="J112:J114"/>
    <mergeCell ref="M112:N112"/>
    <mergeCell ref="O112:O114"/>
    <mergeCell ref="H112:I112"/>
    <mergeCell ref="U112:Y112"/>
    <mergeCell ref="K111:O111"/>
    <mergeCell ref="AM112:AM114"/>
    <mergeCell ref="Z112:AD112"/>
    <mergeCell ref="AE112:AH112"/>
    <mergeCell ref="AI112:AL112"/>
    <mergeCell ref="C111:E111"/>
    <mergeCell ref="G76:G78"/>
    <mergeCell ref="G112:G114"/>
    <mergeCell ref="AN112:AN114"/>
    <mergeCell ref="AI113:AL113"/>
    <mergeCell ref="AW111:BA111"/>
    <mergeCell ref="Y113:Y114"/>
    <mergeCell ref="AQ112:AQ114"/>
    <mergeCell ref="AW112:AW114"/>
    <mergeCell ref="AX112:AX114"/>
    <mergeCell ref="AY112:AY114"/>
    <mergeCell ref="AZ112:AZ114"/>
    <mergeCell ref="AD113:AD114"/>
    <mergeCell ref="AE113:AH113"/>
    <mergeCell ref="AO112:AO114"/>
    <mergeCell ref="AP112:AP114"/>
    <mergeCell ref="Z113:Z114"/>
    <mergeCell ref="BA112:BA114"/>
    <mergeCell ref="H113:H114"/>
    <mergeCell ref="I113:I114"/>
    <mergeCell ref="M113:M114"/>
    <mergeCell ref="N113:N114"/>
    <mergeCell ref="U113:U114"/>
    <mergeCell ref="V113:V114"/>
    <mergeCell ref="W113:X113"/>
    <mergeCell ref="AA113:AA114"/>
    <mergeCell ref="AB113:AC113"/>
    <mergeCell ref="A143:BA143"/>
    <mergeCell ref="U147:AD147"/>
    <mergeCell ref="AE147:AL147"/>
    <mergeCell ref="AM147:AQ147"/>
    <mergeCell ref="A147:A150"/>
    <mergeCell ref="B147:B150"/>
    <mergeCell ref="F147:J147"/>
    <mergeCell ref="C148:C150"/>
    <mergeCell ref="D148:D150"/>
    <mergeCell ref="K148:K150"/>
    <mergeCell ref="L148:L150"/>
    <mergeCell ref="J148:J150"/>
    <mergeCell ref="F148:F150"/>
    <mergeCell ref="G148:G150"/>
    <mergeCell ref="H148:I148"/>
    <mergeCell ref="M148:N148"/>
    <mergeCell ref="O148:O150"/>
    <mergeCell ref="U148:Y148"/>
    <mergeCell ref="K147:O147"/>
    <mergeCell ref="AM148:AM150"/>
    <mergeCell ref="Z148:AD148"/>
    <mergeCell ref="F112:F114"/>
    <mergeCell ref="AE148:AH148"/>
    <mergeCell ref="AI148:AL148"/>
    <mergeCell ref="C147:E147"/>
    <mergeCell ref="AN148:AN150"/>
    <mergeCell ref="AI149:AL149"/>
    <mergeCell ref="AW147:BA147"/>
    <mergeCell ref="Y149:Y150"/>
    <mergeCell ref="AQ148:AQ150"/>
    <mergeCell ref="AW148:AW150"/>
    <mergeCell ref="AX148:AX150"/>
    <mergeCell ref="AY148:AY150"/>
    <mergeCell ref="AZ148:AZ150"/>
    <mergeCell ref="AD149:AD150"/>
    <mergeCell ref="AE149:AH149"/>
    <mergeCell ref="AO148:AO150"/>
    <mergeCell ref="AP148:AP150"/>
    <mergeCell ref="Z149:Z150"/>
    <mergeCell ref="BA148:BA150"/>
    <mergeCell ref="H149:H150"/>
    <mergeCell ref="I149:I150"/>
    <mergeCell ref="M149:M150"/>
    <mergeCell ref="N149:N150"/>
    <mergeCell ref="U149:U150"/>
    <mergeCell ref="V149:V150"/>
    <mergeCell ref="W149:X149"/>
    <mergeCell ref="AA149:AA150"/>
    <mergeCell ref="AB149:AC149"/>
    <mergeCell ref="A179:BA179"/>
    <mergeCell ref="U183:AD183"/>
    <mergeCell ref="AE183:AL183"/>
    <mergeCell ref="AM183:AQ183"/>
    <mergeCell ref="A183:A186"/>
    <mergeCell ref="B183:B186"/>
    <mergeCell ref="F183:J183"/>
    <mergeCell ref="C184:C186"/>
    <mergeCell ref="D184:D186"/>
    <mergeCell ref="K184:K186"/>
    <mergeCell ref="L184:L186"/>
    <mergeCell ref="J184:J186"/>
    <mergeCell ref="F184:F186"/>
    <mergeCell ref="G184:G186"/>
    <mergeCell ref="H184:I184"/>
    <mergeCell ref="M184:N184"/>
    <mergeCell ref="O184:O186"/>
    <mergeCell ref="U184:Y184"/>
    <mergeCell ref="K183:O183"/>
    <mergeCell ref="AM184:AM186"/>
    <mergeCell ref="Z184:AD184"/>
    <mergeCell ref="AE184:AH184"/>
    <mergeCell ref="AI184:AL184"/>
    <mergeCell ref="C183:E183"/>
    <mergeCell ref="AN184:AN186"/>
    <mergeCell ref="AI185:AL185"/>
    <mergeCell ref="AW183:BA183"/>
    <mergeCell ref="Y185:Y186"/>
    <mergeCell ref="AQ184:AQ186"/>
    <mergeCell ref="AW184:AW186"/>
    <mergeCell ref="AX184:AX186"/>
    <mergeCell ref="AY184:AY186"/>
    <mergeCell ref="AZ184:AZ186"/>
    <mergeCell ref="AD185:AD186"/>
    <mergeCell ref="AE185:AH185"/>
    <mergeCell ref="AO184:AO186"/>
    <mergeCell ref="AP184:AP186"/>
    <mergeCell ref="Z185:Z186"/>
    <mergeCell ref="BA184:BA186"/>
    <mergeCell ref="H185:H186"/>
    <mergeCell ref="I185:I186"/>
    <mergeCell ref="M185:M186"/>
    <mergeCell ref="N185:N186"/>
    <mergeCell ref="U185:U186"/>
    <mergeCell ref="V185:V186"/>
    <mergeCell ref="W185:X185"/>
    <mergeCell ref="AA185:AA186"/>
    <mergeCell ref="AB185:AC185"/>
    <mergeCell ref="A215:BA215"/>
    <mergeCell ref="U219:AD219"/>
    <mergeCell ref="AE219:AL219"/>
    <mergeCell ref="AM219:AQ219"/>
    <mergeCell ref="A219:A222"/>
    <mergeCell ref="B219:B222"/>
    <mergeCell ref="F219:J219"/>
    <mergeCell ref="C220:C222"/>
    <mergeCell ref="D220:D222"/>
    <mergeCell ref="K220:K222"/>
    <mergeCell ref="L220:L222"/>
    <mergeCell ref="J220:J222"/>
    <mergeCell ref="F220:F222"/>
    <mergeCell ref="G220:G222"/>
    <mergeCell ref="H220:I220"/>
    <mergeCell ref="M220:N220"/>
    <mergeCell ref="O220:O222"/>
    <mergeCell ref="U220:Y220"/>
    <mergeCell ref="K219:O219"/>
    <mergeCell ref="AR219:AV219"/>
    <mergeCell ref="Z220:AD220"/>
    <mergeCell ref="AE220:AH220"/>
    <mergeCell ref="AI220:AL220"/>
    <mergeCell ref="C219:E219"/>
    <mergeCell ref="AN220:AN222"/>
    <mergeCell ref="AI221:AL221"/>
    <mergeCell ref="AW219:BA219"/>
    <mergeCell ref="Y221:Y222"/>
    <mergeCell ref="AQ220:AQ222"/>
    <mergeCell ref="AW220:AW222"/>
    <mergeCell ref="AX220:AX222"/>
    <mergeCell ref="AY220:AY222"/>
    <mergeCell ref="AZ220:AZ222"/>
    <mergeCell ref="AD221:AD222"/>
    <mergeCell ref="AE221:AH221"/>
    <mergeCell ref="AO220:AO222"/>
    <mergeCell ref="AP220:AP222"/>
    <mergeCell ref="Z221:Z222"/>
    <mergeCell ref="BA220:BA222"/>
    <mergeCell ref="H221:H222"/>
    <mergeCell ref="I221:I222"/>
    <mergeCell ref="M221:M222"/>
    <mergeCell ref="N221:N222"/>
    <mergeCell ref="AR220:AR222"/>
    <mergeCell ref="U221:U222"/>
    <mergeCell ref="V221:V222"/>
    <mergeCell ref="W221:X221"/>
    <mergeCell ref="AA221:AA222"/>
    <mergeCell ref="AB221:AC221"/>
    <mergeCell ref="A251:BA251"/>
    <mergeCell ref="U255:AD255"/>
    <mergeCell ref="AE255:AL255"/>
    <mergeCell ref="AM255:AQ255"/>
    <mergeCell ref="A255:A258"/>
    <mergeCell ref="B255:B258"/>
    <mergeCell ref="F255:J255"/>
    <mergeCell ref="F256:F258"/>
    <mergeCell ref="G256:G258"/>
    <mergeCell ref="H256:I256"/>
    <mergeCell ref="C256:C258"/>
    <mergeCell ref="D256:D258"/>
    <mergeCell ref="J256:J258"/>
    <mergeCell ref="M256:N256"/>
    <mergeCell ref="AX256:AX258"/>
    <mergeCell ref="O256:O258"/>
    <mergeCell ref="U256:Y256"/>
    <mergeCell ref="AN256:AN258"/>
    <mergeCell ref="AM220:AM222"/>
    <mergeCell ref="C255:E255"/>
    <mergeCell ref="AI257:AL257"/>
    <mergeCell ref="Z257:Z258"/>
    <mergeCell ref="K256:K258"/>
    <mergeCell ref="L256:L258"/>
    <mergeCell ref="H257:H258"/>
    <mergeCell ref="I257:I258"/>
    <mergeCell ref="M257:M258"/>
    <mergeCell ref="N257:N258"/>
    <mergeCell ref="U257:U258"/>
    <mergeCell ref="V257:V258"/>
    <mergeCell ref="W257:X257"/>
    <mergeCell ref="K291:O291"/>
    <mergeCell ref="Z292:AD292"/>
    <mergeCell ref="AE292:AH292"/>
    <mergeCell ref="F291:J291"/>
    <mergeCell ref="AW255:BA255"/>
    <mergeCell ref="Y257:Y258"/>
    <mergeCell ref="AQ256:AQ258"/>
    <mergeCell ref="AW256:AW258"/>
    <mergeCell ref="AB257:AC257"/>
    <mergeCell ref="AY256:AY258"/>
    <mergeCell ref="AZ256:AZ258"/>
    <mergeCell ref="AD257:AD258"/>
    <mergeCell ref="AE257:AH257"/>
    <mergeCell ref="AO256:AO258"/>
    <mergeCell ref="AP256:AP258"/>
    <mergeCell ref="BA256:BA258"/>
    <mergeCell ref="AA257:AA258"/>
    <mergeCell ref="K255:O255"/>
    <mergeCell ref="AM256:AM258"/>
    <mergeCell ref="Z256:AD256"/>
    <mergeCell ref="AE256:AH256"/>
    <mergeCell ref="AI256:AL256"/>
    <mergeCell ref="AR291:AV291"/>
    <mergeCell ref="AR292:AR294"/>
    <mergeCell ref="H293:H294"/>
    <mergeCell ref="I293:I294"/>
    <mergeCell ref="M293:M294"/>
    <mergeCell ref="N293:N294"/>
    <mergeCell ref="U293:U294"/>
    <mergeCell ref="Y293:Y294"/>
    <mergeCell ref="AQ292:AQ294"/>
    <mergeCell ref="AW292:AW294"/>
    <mergeCell ref="AX292:AX294"/>
    <mergeCell ref="M292:N292"/>
    <mergeCell ref="Z293:Z294"/>
    <mergeCell ref="AN292:AN294"/>
    <mergeCell ref="AI293:AL293"/>
    <mergeCell ref="H292:I292"/>
    <mergeCell ref="K292:K294"/>
    <mergeCell ref="L292:L294"/>
    <mergeCell ref="J292:J294"/>
    <mergeCell ref="AS292:AS294"/>
    <mergeCell ref="AT292:AT294"/>
    <mergeCell ref="AU292:AU294"/>
    <mergeCell ref="AV292:AV294"/>
    <mergeCell ref="AZ328:AZ330"/>
    <mergeCell ref="AD329:AD330"/>
    <mergeCell ref="AI292:AL292"/>
    <mergeCell ref="AA293:AA294"/>
    <mergeCell ref="AB293:AC293"/>
    <mergeCell ref="AY292:AY294"/>
    <mergeCell ref="AZ292:AZ294"/>
    <mergeCell ref="AD293:AD294"/>
    <mergeCell ref="BA292:BA294"/>
    <mergeCell ref="AA329:AA330"/>
    <mergeCell ref="AB329:AC329"/>
    <mergeCell ref="AM327:AQ327"/>
    <mergeCell ref="AW328:AW330"/>
    <mergeCell ref="AX328:AX330"/>
    <mergeCell ref="AE327:AL327"/>
    <mergeCell ref="AY328:AY330"/>
    <mergeCell ref="BA328:BA330"/>
    <mergeCell ref="AR327:AV327"/>
    <mergeCell ref="AR328:AR330"/>
    <mergeCell ref="AS328:AS330"/>
    <mergeCell ref="AT328:AT330"/>
    <mergeCell ref="AU328:AU330"/>
    <mergeCell ref="AV328:AV330"/>
    <mergeCell ref="A327:A330"/>
    <mergeCell ref="C327:E327"/>
    <mergeCell ref="AE293:AH293"/>
    <mergeCell ref="AO292:AO294"/>
    <mergeCell ref="AP292:AP294"/>
    <mergeCell ref="B327:B330"/>
    <mergeCell ref="O292:O294"/>
    <mergeCell ref="U292:Y292"/>
    <mergeCell ref="AM292:AM294"/>
    <mergeCell ref="C328:C330"/>
    <mergeCell ref="D328:D330"/>
    <mergeCell ref="K328:K330"/>
    <mergeCell ref="L328:L330"/>
    <mergeCell ref="V293:V294"/>
    <mergeCell ref="W293:X293"/>
    <mergeCell ref="J328:J330"/>
    <mergeCell ref="K327:O327"/>
    <mergeCell ref="A323:BA323"/>
    <mergeCell ref="U327:AD327"/>
    <mergeCell ref="M328:N328"/>
    <mergeCell ref="O328:O330"/>
    <mergeCell ref="AW327:BA327"/>
    <mergeCell ref="Y329:Y330"/>
    <mergeCell ref="AQ328:AQ330"/>
    <mergeCell ref="U328:Y328"/>
    <mergeCell ref="AM328:AM330"/>
    <mergeCell ref="Z328:AD328"/>
    <mergeCell ref="AE328:AH328"/>
    <mergeCell ref="AI328:AL328"/>
    <mergeCell ref="AO328:AO330"/>
    <mergeCell ref="AP328:AP330"/>
    <mergeCell ref="Z329:Z330"/>
    <mergeCell ref="AE329:AH329"/>
    <mergeCell ref="F327:J327"/>
    <mergeCell ref="F328:F330"/>
    <mergeCell ref="G328:G330"/>
    <mergeCell ref="H328:I328"/>
    <mergeCell ref="W329:X329"/>
    <mergeCell ref="AN328:AN330"/>
    <mergeCell ref="AI329:AL329"/>
    <mergeCell ref="F363:J363"/>
    <mergeCell ref="F364:F366"/>
    <mergeCell ref="G364:G366"/>
    <mergeCell ref="H329:H330"/>
    <mergeCell ref="I329:I330"/>
    <mergeCell ref="M329:M330"/>
    <mergeCell ref="N329:N330"/>
    <mergeCell ref="U329:U330"/>
    <mergeCell ref="V329:V330"/>
    <mergeCell ref="K363:O363"/>
    <mergeCell ref="U363:AD363"/>
    <mergeCell ref="AE363:AL363"/>
    <mergeCell ref="A359:BA359"/>
    <mergeCell ref="A363:A366"/>
    <mergeCell ref="B363:B366"/>
    <mergeCell ref="C363:E363"/>
    <mergeCell ref="AM363:AQ363"/>
    <mergeCell ref="AW363:BA363"/>
    <mergeCell ref="C364:C366"/>
    <mergeCell ref="D364:D366"/>
    <mergeCell ref="K364:K366"/>
    <mergeCell ref="L364:L366"/>
    <mergeCell ref="M364:N364"/>
    <mergeCell ref="AX364:AX366"/>
    <mergeCell ref="Z364:AD364"/>
    <mergeCell ref="AE364:AH364"/>
    <mergeCell ref="H364:I364"/>
    <mergeCell ref="J364:J366"/>
    <mergeCell ref="I365:I366"/>
    <mergeCell ref="AI364:AL364"/>
    <mergeCell ref="N365:N366"/>
    <mergeCell ref="Y365:Y366"/>
    <mergeCell ref="AM364:AM366"/>
    <mergeCell ref="AN364:AN366"/>
    <mergeCell ref="AI365:AL365"/>
    <mergeCell ref="Z365:Z366"/>
    <mergeCell ref="AE365:AH365"/>
    <mergeCell ref="AB365:AC365"/>
    <mergeCell ref="AD365:AD366"/>
    <mergeCell ref="AO364:AO366"/>
    <mergeCell ref="AP364:AP366"/>
    <mergeCell ref="AY364:AY366"/>
    <mergeCell ref="AZ364:AZ366"/>
    <mergeCell ref="BA364:BA366"/>
    <mergeCell ref="C399:E399"/>
    <mergeCell ref="F399:J399"/>
    <mergeCell ref="K399:O399"/>
    <mergeCell ref="U399:AD399"/>
    <mergeCell ref="AA365:AA366"/>
    <mergeCell ref="H365:H366"/>
    <mergeCell ref="AW399:BA399"/>
    <mergeCell ref="M365:M366"/>
    <mergeCell ref="AE399:AL399"/>
    <mergeCell ref="AM399:AQ399"/>
    <mergeCell ref="A395:BA395"/>
    <mergeCell ref="O364:O366"/>
    <mergeCell ref="U364:Y364"/>
    <mergeCell ref="U365:U366"/>
    <mergeCell ref="V365:V366"/>
    <mergeCell ref="W365:X365"/>
    <mergeCell ref="AQ364:AQ366"/>
    <mergeCell ref="AW364:AW366"/>
    <mergeCell ref="I401:I402"/>
    <mergeCell ref="N401:N402"/>
    <mergeCell ref="U401:U402"/>
    <mergeCell ref="U400:Y400"/>
    <mergeCell ref="M401:M402"/>
    <mergeCell ref="J400:J402"/>
    <mergeCell ref="K400:K402"/>
    <mergeCell ref="Y401:Y402"/>
    <mergeCell ref="A399:A402"/>
    <mergeCell ref="B399:B402"/>
    <mergeCell ref="C400:C402"/>
    <mergeCell ref="D400:D402"/>
    <mergeCell ref="H401:H402"/>
    <mergeCell ref="H400:I400"/>
    <mergeCell ref="F400:F402"/>
    <mergeCell ref="G400:G402"/>
    <mergeCell ref="AZ400:AZ402"/>
    <mergeCell ref="BA400:BA402"/>
    <mergeCell ref="L400:L402"/>
    <mergeCell ref="M400:N400"/>
    <mergeCell ref="AB401:AC401"/>
    <mergeCell ref="AY400:AY402"/>
    <mergeCell ref="AN400:AN402"/>
    <mergeCell ref="AI401:AL401"/>
    <mergeCell ref="W401:X401"/>
    <mergeCell ref="AA401:AA402"/>
    <mergeCell ref="AQ400:AQ402"/>
    <mergeCell ref="AP400:AP402"/>
    <mergeCell ref="AD401:AD402"/>
    <mergeCell ref="Z401:Z402"/>
    <mergeCell ref="O400:O402"/>
    <mergeCell ref="AE401:AH401"/>
    <mergeCell ref="V401:V402"/>
    <mergeCell ref="AW400:AW402"/>
    <mergeCell ref="AX400:AX402"/>
    <mergeCell ref="Z400:AD400"/>
    <mergeCell ref="AE400:AH400"/>
    <mergeCell ref="AI400:AL400"/>
    <mergeCell ref="AM400:AM402"/>
    <mergeCell ref="AO400:AO402"/>
    <mergeCell ref="E328:E330"/>
    <mergeCell ref="E364:E366"/>
    <mergeCell ref="E400:E402"/>
    <mergeCell ref="E6:E8"/>
    <mergeCell ref="E40:E42"/>
    <mergeCell ref="E76:E78"/>
    <mergeCell ref="E112:E114"/>
    <mergeCell ref="E148:E150"/>
    <mergeCell ref="E184:E186"/>
    <mergeCell ref="E220:E222"/>
    <mergeCell ref="E256:E258"/>
    <mergeCell ref="E292:E294"/>
    <mergeCell ref="A287:BA287"/>
    <mergeCell ref="U291:AD291"/>
    <mergeCell ref="AE291:AL291"/>
    <mergeCell ref="AM291:AQ291"/>
    <mergeCell ref="A291:A294"/>
    <mergeCell ref="B291:B294"/>
    <mergeCell ref="C291:E291"/>
    <mergeCell ref="F292:F294"/>
    <mergeCell ref="G292:G294"/>
    <mergeCell ref="C292:C294"/>
    <mergeCell ref="D292:D294"/>
    <mergeCell ref="AW291:BA291"/>
  </mergeCells>
  <phoneticPr fontId="0" type="noConversion"/>
  <printOptions horizontalCentered="1"/>
  <pageMargins left="1.2598425196850394" right="7.874015748031496E-2" top="0.23622047244094491" bottom="0.23622047244094491" header="0.23622047244094491" footer="0.23622047244094491"/>
  <pageSetup paperSize="256" scale="54" orientation="landscape" horizontalDpi="4294967293" r:id="rId1"/>
  <colBreaks count="1" manualBreakCount="1">
    <brk id="52" max="1048575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0C0"/>
    <pageSetUpPr fitToPage="1"/>
  </sheetPr>
  <dimension ref="A1:AM475"/>
  <sheetViews>
    <sheetView topLeftCell="E113" zoomScale="55" zoomScaleNormal="55" workbookViewId="0">
      <selection activeCell="S114" sqref="S114"/>
    </sheetView>
  </sheetViews>
  <sheetFormatPr defaultColWidth="9.1796875" defaultRowHeight="15.5" x14ac:dyDescent="0.35"/>
  <cols>
    <col min="1" max="1" width="4.453125" style="77" customWidth="1"/>
    <col min="2" max="2" width="17.54296875" style="389" customWidth="1"/>
    <col min="3" max="3" width="12.1796875" style="29" customWidth="1"/>
    <col min="4" max="4" width="10.54296875" style="29" customWidth="1"/>
    <col min="5" max="5" width="9.453125" style="29" customWidth="1"/>
    <col min="6" max="6" width="10.453125" style="29" customWidth="1"/>
    <col min="7" max="10" width="9.453125" style="29" customWidth="1"/>
    <col min="11" max="11" width="7.81640625" style="29" customWidth="1"/>
    <col min="12" max="12" width="7.7265625" style="29" customWidth="1"/>
    <col min="13" max="13" width="9.453125" style="29" customWidth="1"/>
    <col min="14" max="14" width="8.1796875" style="29" customWidth="1"/>
    <col min="15" max="15" width="8.54296875" style="29" customWidth="1"/>
    <col min="16" max="17" width="8.1796875" style="29" customWidth="1"/>
    <col min="18" max="18" width="8.453125" style="29" customWidth="1"/>
    <col min="19" max="19" width="8.54296875" style="29" customWidth="1"/>
    <col min="20" max="20" width="8.453125" style="29" customWidth="1"/>
    <col min="21" max="22" width="7.1796875" style="29" customWidth="1"/>
    <col min="23" max="35" width="9.81640625" style="29" customWidth="1"/>
    <col min="36" max="36" width="7.1796875" style="29" customWidth="1"/>
    <col min="37" max="37" width="13.453125" style="29" customWidth="1"/>
    <col min="38" max="38" width="15" style="29" customWidth="1"/>
    <col min="39" max="39" width="16" style="29" customWidth="1"/>
    <col min="40" max="16384" width="9.1796875" style="2"/>
  </cols>
  <sheetData>
    <row r="1" spans="1:39" s="67" customFormat="1" x14ac:dyDescent="0.35">
      <c r="A1" s="802" t="s">
        <v>300</v>
      </c>
      <c r="B1" s="802"/>
      <c r="C1" s="802"/>
      <c r="D1" s="802"/>
      <c r="E1" s="802"/>
      <c r="F1" s="802"/>
      <c r="G1" s="802"/>
      <c r="H1" s="802"/>
      <c r="I1" s="802"/>
      <c r="J1" s="802"/>
      <c r="K1" s="802"/>
      <c r="L1" s="802"/>
      <c r="M1" s="802"/>
      <c r="N1" s="802"/>
      <c r="O1" s="802"/>
      <c r="P1" s="802"/>
      <c r="Q1" s="802"/>
      <c r="R1" s="802"/>
      <c r="S1" s="802"/>
      <c r="T1" s="802"/>
      <c r="U1" s="802"/>
      <c r="V1" s="802"/>
      <c r="W1" s="802"/>
      <c r="X1" s="802"/>
      <c r="Y1" s="802"/>
      <c r="Z1" s="802"/>
      <c r="AA1" s="802"/>
      <c r="AB1" s="802"/>
      <c r="AC1" s="802"/>
      <c r="AD1" s="802"/>
      <c r="AE1" s="802"/>
      <c r="AF1" s="802"/>
      <c r="AG1" s="802"/>
      <c r="AH1" s="802"/>
      <c r="AI1" s="802"/>
      <c r="AJ1" s="802"/>
      <c r="AK1" s="29"/>
      <c r="AL1" s="29"/>
      <c r="AM1" s="29"/>
    </row>
    <row r="2" spans="1:39" s="67" customFormat="1" x14ac:dyDescent="0.35">
      <c r="A2" s="363"/>
      <c r="B2" s="363"/>
      <c r="C2" s="632"/>
      <c r="D2" s="632"/>
      <c r="E2" s="632"/>
      <c r="F2" s="632"/>
      <c r="G2" s="632"/>
      <c r="H2" s="632"/>
      <c r="I2" s="632"/>
      <c r="J2" s="632"/>
      <c r="K2" s="632"/>
      <c r="L2" s="632"/>
      <c r="M2" s="632"/>
      <c r="N2" s="632"/>
      <c r="O2" s="632"/>
      <c r="P2" s="632"/>
      <c r="Q2" s="632"/>
      <c r="R2" s="632"/>
      <c r="S2" s="632"/>
      <c r="T2" s="632"/>
      <c r="U2" s="632"/>
      <c r="V2" s="632"/>
      <c r="W2" s="632"/>
      <c r="X2" s="632"/>
      <c r="Y2" s="632"/>
      <c r="Z2" s="632"/>
      <c r="AA2" s="632"/>
      <c r="AB2" s="632"/>
      <c r="AC2" s="632"/>
      <c r="AD2" s="632"/>
      <c r="AE2" s="632"/>
      <c r="AF2" s="632"/>
      <c r="AG2" s="632"/>
      <c r="AH2" s="632"/>
      <c r="AI2" s="632"/>
      <c r="AJ2" s="632"/>
      <c r="AK2" s="29"/>
      <c r="AL2" s="29"/>
      <c r="AM2" s="29"/>
    </row>
    <row r="3" spans="1:39" s="67" customFormat="1" x14ac:dyDescent="0.35">
      <c r="A3" s="364" t="s">
        <v>40</v>
      </c>
      <c r="B3" s="365"/>
      <c r="C3" s="633" t="s">
        <v>176</v>
      </c>
      <c r="D3" s="638"/>
      <c r="E3" s="638"/>
      <c r="F3" s="638"/>
      <c r="G3" s="638"/>
      <c r="H3" s="638"/>
      <c r="I3" s="638"/>
      <c r="J3" s="638"/>
      <c r="K3" s="638"/>
      <c r="L3" s="638"/>
      <c r="M3" s="638"/>
      <c r="N3" s="633" t="s">
        <v>176</v>
      </c>
      <c r="O3" s="638" t="str">
        <f>PETUNJUK!C5</f>
        <v>PECANGAAN</v>
      </c>
      <c r="P3" s="638"/>
      <c r="Q3" s="638"/>
      <c r="R3" s="638"/>
      <c r="S3" s="638"/>
      <c r="T3" s="638"/>
      <c r="U3" s="638"/>
      <c r="V3" s="638"/>
      <c r="W3" s="638"/>
      <c r="X3" s="638"/>
      <c r="Y3" s="638"/>
      <c r="Z3" s="638"/>
      <c r="AA3" s="638"/>
      <c r="AB3" s="638"/>
      <c r="AC3" s="638"/>
      <c r="AD3" s="638"/>
      <c r="AE3" s="638"/>
      <c r="AF3" s="638"/>
      <c r="AG3" s="638"/>
      <c r="AH3" s="638"/>
      <c r="AI3" s="638"/>
      <c r="AJ3" s="638"/>
      <c r="AK3" s="29"/>
      <c r="AL3" s="29"/>
      <c r="AM3" s="29"/>
    </row>
    <row r="4" spans="1:39" s="67" customFormat="1" x14ac:dyDescent="0.35">
      <c r="A4" s="366" t="s">
        <v>0</v>
      </c>
      <c r="B4" s="367"/>
      <c r="C4" s="639" t="s">
        <v>176</v>
      </c>
      <c r="D4" s="633"/>
      <c r="E4" s="633"/>
      <c r="F4" s="640"/>
      <c r="G4" s="640"/>
      <c r="H4" s="640"/>
      <c r="I4" s="640"/>
      <c r="J4" s="640"/>
      <c r="K4" s="640"/>
      <c r="L4" s="640"/>
      <c r="M4" s="633"/>
      <c r="N4" s="639" t="s">
        <v>176</v>
      </c>
      <c r="O4" s="641" t="s">
        <v>137</v>
      </c>
      <c r="P4" s="633"/>
      <c r="Q4" s="633"/>
      <c r="R4" s="633"/>
      <c r="S4" s="633"/>
      <c r="T4" s="633"/>
      <c r="U4" s="633"/>
      <c r="V4" s="633"/>
      <c r="W4" s="633"/>
      <c r="X4" s="633"/>
      <c r="Y4" s="633"/>
      <c r="Z4" s="640"/>
      <c r="AA4" s="640"/>
      <c r="AB4" s="640"/>
      <c r="AC4" s="640"/>
      <c r="AD4" s="640"/>
      <c r="AE4" s="640"/>
      <c r="AF4" s="640"/>
      <c r="AG4" s="640"/>
      <c r="AH4" s="640"/>
      <c r="AI4" s="640"/>
      <c r="AJ4" s="640"/>
      <c r="AK4" s="29"/>
      <c r="AL4" s="29"/>
      <c r="AM4" s="29"/>
    </row>
    <row r="5" spans="1:39" s="68" customFormat="1" ht="16.5" customHeight="1" x14ac:dyDescent="0.3">
      <c r="A5" s="799" t="s">
        <v>1</v>
      </c>
      <c r="B5" s="799" t="s">
        <v>2</v>
      </c>
      <c r="C5" s="794" t="s">
        <v>301</v>
      </c>
      <c r="D5" s="795"/>
      <c r="E5" s="795"/>
      <c r="F5" s="795"/>
      <c r="G5" s="795"/>
      <c r="H5" s="795"/>
      <c r="I5" s="795"/>
      <c r="J5" s="795"/>
      <c r="K5" s="795"/>
      <c r="L5" s="795"/>
      <c r="M5" s="795"/>
      <c r="N5" s="795"/>
      <c r="O5" s="795"/>
      <c r="P5" s="795"/>
      <c r="Q5" s="795"/>
      <c r="R5" s="795"/>
      <c r="S5" s="795"/>
      <c r="T5" s="795"/>
      <c r="U5" s="795"/>
      <c r="V5" s="795"/>
      <c r="W5" s="795"/>
      <c r="X5" s="795"/>
      <c r="Y5" s="795"/>
      <c r="Z5" s="795"/>
      <c r="AA5" s="795"/>
      <c r="AB5" s="795"/>
      <c r="AC5" s="795"/>
      <c r="AD5" s="795"/>
      <c r="AE5" s="795"/>
      <c r="AF5" s="795"/>
      <c r="AG5" s="795"/>
      <c r="AH5" s="795"/>
      <c r="AI5" s="795"/>
      <c r="AJ5" s="796"/>
      <c r="AK5" s="792" t="s">
        <v>307</v>
      </c>
      <c r="AL5" s="792" t="s">
        <v>308</v>
      </c>
      <c r="AM5" s="792" t="s">
        <v>309</v>
      </c>
    </row>
    <row r="6" spans="1:39" s="68" customFormat="1" ht="113.25" customHeight="1" x14ac:dyDescent="0.3">
      <c r="A6" s="800"/>
      <c r="B6" s="800"/>
      <c r="C6" s="368" t="s">
        <v>55</v>
      </c>
      <c r="D6" s="369" t="s">
        <v>190</v>
      </c>
      <c r="E6" s="369" t="s">
        <v>43</v>
      </c>
      <c r="F6" s="369" t="s">
        <v>53</v>
      </c>
      <c r="G6" s="369" t="s">
        <v>302</v>
      </c>
      <c r="H6" s="369" t="s">
        <v>303</v>
      </c>
      <c r="I6" s="369" t="s">
        <v>294</v>
      </c>
      <c r="J6" s="369" t="s">
        <v>304</v>
      </c>
      <c r="K6" s="369" t="s">
        <v>305</v>
      </c>
      <c r="L6" s="369" t="s">
        <v>306</v>
      </c>
      <c r="M6" s="369" t="s">
        <v>44</v>
      </c>
      <c r="N6" s="370" t="s">
        <v>178</v>
      </c>
      <c r="O6" s="369" t="s">
        <v>41</v>
      </c>
      <c r="P6" s="369" t="s">
        <v>180</v>
      </c>
      <c r="Q6" s="369" t="s">
        <v>42</v>
      </c>
      <c r="R6" s="369" t="s">
        <v>45</v>
      </c>
      <c r="S6" s="369" t="s">
        <v>46</v>
      </c>
      <c r="T6" s="369" t="s">
        <v>47</v>
      </c>
      <c r="U6" s="369" t="s">
        <v>48</v>
      </c>
      <c r="V6" s="369" t="s">
        <v>49</v>
      </c>
      <c r="W6" s="369" t="s">
        <v>50</v>
      </c>
      <c r="X6" s="369" t="s">
        <v>51</v>
      </c>
      <c r="Y6" s="369" t="s">
        <v>52</v>
      </c>
      <c r="Z6" s="369" t="s">
        <v>54</v>
      </c>
      <c r="AA6" s="369" t="s">
        <v>56</v>
      </c>
      <c r="AB6" s="369" t="s">
        <v>57</v>
      </c>
      <c r="AC6" s="369" t="s">
        <v>58</v>
      </c>
      <c r="AD6" s="369" t="s">
        <v>59</v>
      </c>
      <c r="AE6" s="369" t="s">
        <v>60</v>
      </c>
      <c r="AF6" s="370" t="s">
        <v>179</v>
      </c>
      <c r="AG6" s="370" t="s">
        <v>310</v>
      </c>
      <c r="AH6" s="369" t="s">
        <v>33</v>
      </c>
      <c r="AI6" s="369" t="s">
        <v>61</v>
      </c>
      <c r="AJ6" s="369" t="s">
        <v>18</v>
      </c>
      <c r="AK6" s="793"/>
      <c r="AL6" s="793"/>
      <c r="AM6" s="793"/>
    </row>
    <row r="7" spans="1:39" ht="18" customHeight="1" x14ac:dyDescent="0.3">
      <c r="A7" s="371">
        <v>1</v>
      </c>
      <c r="B7" s="716" t="str">
        <f>PETUNJUK!B9</f>
        <v>Pecangaan Kulon</v>
      </c>
      <c r="C7" s="373"/>
      <c r="D7" s="373"/>
      <c r="E7" s="373">
        <v>1</v>
      </c>
      <c r="F7" s="373"/>
      <c r="G7" s="373"/>
      <c r="H7" s="373"/>
      <c r="I7" s="373"/>
      <c r="J7" s="373"/>
      <c r="K7" s="373"/>
      <c r="L7" s="373"/>
      <c r="M7" s="373"/>
      <c r="N7" s="373"/>
      <c r="O7" s="373"/>
      <c r="P7" s="373"/>
      <c r="Q7" s="373"/>
      <c r="R7" s="373"/>
      <c r="S7" s="373"/>
      <c r="T7" s="373"/>
      <c r="U7" s="373"/>
      <c r="V7" s="373"/>
      <c r="W7" s="373"/>
      <c r="X7" s="373"/>
      <c r="Y7" s="373"/>
      <c r="Z7" s="373"/>
      <c r="AA7" s="373"/>
      <c r="AB7" s="373"/>
      <c r="AC7" s="373"/>
      <c r="AD7" s="373"/>
      <c r="AE7" s="373"/>
      <c r="AF7" s="373"/>
      <c r="AG7" s="373"/>
      <c r="AH7" s="373"/>
      <c r="AI7" s="373"/>
      <c r="AJ7" s="373">
        <f>SUM(C7:AI7)</f>
        <v>1</v>
      </c>
      <c r="AK7" s="373"/>
      <c r="AL7" s="373">
        <v>1</v>
      </c>
      <c r="AM7" s="373"/>
    </row>
    <row r="8" spans="1:39" ht="18" customHeight="1" x14ac:dyDescent="0.3">
      <c r="A8" s="371">
        <v>2</v>
      </c>
      <c r="B8" s="716" t="str">
        <f>PETUNJUK!B10</f>
        <v>Rengging</v>
      </c>
      <c r="C8" s="373"/>
      <c r="D8" s="373"/>
      <c r="E8" s="373"/>
      <c r="F8" s="373"/>
      <c r="G8" s="373"/>
      <c r="H8" s="373"/>
      <c r="I8" s="373"/>
      <c r="J8" s="373"/>
      <c r="K8" s="373"/>
      <c r="L8" s="373"/>
      <c r="M8" s="373">
        <v>1</v>
      </c>
      <c r="N8" s="373"/>
      <c r="O8" s="373">
        <v>1</v>
      </c>
      <c r="P8" s="373"/>
      <c r="Q8" s="373"/>
      <c r="R8" s="373"/>
      <c r="S8" s="373"/>
      <c r="T8" s="373"/>
      <c r="U8" s="373"/>
      <c r="V8" s="373"/>
      <c r="W8" s="373"/>
      <c r="X8" s="373"/>
      <c r="Y8" s="373"/>
      <c r="Z8" s="373"/>
      <c r="AA8" s="373"/>
      <c r="AB8" s="373"/>
      <c r="AC8" s="373"/>
      <c r="AD8" s="373"/>
      <c r="AE8" s="373"/>
      <c r="AF8" s="373"/>
      <c r="AG8" s="373"/>
      <c r="AH8" s="373"/>
      <c r="AI8" s="373"/>
      <c r="AJ8" s="373">
        <f t="shared" ref="AJ8:AJ18" si="0">SUM(C8:AI8)</f>
        <v>2</v>
      </c>
      <c r="AK8" s="373">
        <v>1</v>
      </c>
      <c r="AL8" s="373">
        <v>1</v>
      </c>
      <c r="AM8" s="373"/>
    </row>
    <row r="9" spans="1:39" ht="18" customHeight="1" x14ac:dyDescent="0.3">
      <c r="A9" s="371">
        <v>3</v>
      </c>
      <c r="B9" s="716" t="str">
        <f>PETUNJUK!B11</f>
        <v>Troso</v>
      </c>
      <c r="C9" s="373"/>
      <c r="D9" s="373"/>
      <c r="E9" s="373">
        <v>1</v>
      </c>
      <c r="F9" s="373"/>
      <c r="G9" s="373"/>
      <c r="H9" s="373"/>
      <c r="I9" s="373"/>
      <c r="J9" s="373"/>
      <c r="K9" s="373"/>
      <c r="L9" s="373"/>
      <c r="M9" s="373"/>
      <c r="N9" s="373"/>
      <c r="O9" s="373">
        <v>2</v>
      </c>
      <c r="P9" s="373"/>
      <c r="Q9" s="373">
        <v>1</v>
      </c>
      <c r="R9" s="373"/>
      <c r="S9" s="373"/>
      <c r="T9" s="373"/>
      <c r="U9" s="373"/>
      <c r="V9" s="373"/>
      <c r="W9" s="373"/>
      <c r="X9" s="373"/>
      <c r="Y9" s="373"/>
      <c r="Z9" s="373"/>
      <c r="AA9" s="373"/>
      <c r="AB9" s="373"/>
      <c r="AC9" s="373"/>
      <c r="AD9" s="373"/>
      <c r="AE9" s="373"/>
      <c r="AF9" s="373"/>
      <c r="AG9" s="373"/>
      <c r="AH9" s="373"/>
      <c r="AI9" s="373"/>
      <c r="AJ9" s="373">
        <f t="shared" si="0"/>
        <v>4</v>
      </c>
      <c r="AK9" s="373">
        <v>2</v>
      </c>
      <c r="AL9" s="373">
        <v>2</v>
      </c>
      <c r="AM9" s="373"/>
    </row>
    <row r="10" spans="1:39" ht="18" customHeight="1" x14ac:dyDescent="0.3">
      <c r="A10" s="371">
        <v>4</v>
      </c>
      <c r="B10" s="716" t="str">
        <f>PETUNJUK!B12</f>
        <v>Ngeling</v>
      </c>
      <c r="C10" s="373"/>
      <c r="D10" s="373"/>
      <c r="E10" s="373">
        <v>1</v>
      </c>
      <c r="F10" s="373"/>
      <c r="G10" s="373"/>
      <c r="H10" s="373"/>
      <c r="I10" s="373"/>
      <c r="J10" s="373"/>
      <c r="K10" s="373"/>
      <c r="L10" s="373"/>
      <c r="M10" s="373"/>
      <c r="N10" s="373">
        <v>1</v>
      </c>
      <c r="O10" s="373">
        <v>1</v>
      </c>
      <c r="P10" s="373"/>
      <c r="Q10" s="373"/>
      <c r="R10" s="373"/>
      <c r="S10" s="373"/>
      <c r="T10" s="373"/>
      <c r="U10" s="373"/>
      <c r="V10" s="373"/>
      <c r="W10" s="373"/>
      <c r="X10" s="373"/>
      <c r="Y10" s="373"/>
      <c r="Z10" s="373"/>
      <c r="AA10" s="373"/>
      <c r="AB10" s="373"/>
      <c r="AC10" s="373"/>
      <c r="AD10" s="373"/>
      <c r="AE10" s="373"/>
      <c r="AF10" s="373"/>
      <c r="AG10" s="373"/>
      <c r="AH10" s="373"/>
      <c r="AI10" s="373"/>
      <c r="AJ10" s="373">
        <f t="shared" si="0"/>
        <v>3</v>
      </c>
      <c r="AK10" s="373"/>
      <c r="AL10" s="373">
        <v>3</v>
      </c>
      <c r="AM10" s="373"/>
    </row>
    <row r="11" spans="1:39" ht="18" customHeight="1" x14ac:dyDescent="0.3">
      <c r="A11" s="371">
        <v>5</v>
      </c>
      <c r="B11" s="716" t="str">
        <f>PETUNJUK!B13</f>
        <v>Lebuawu</v>
      </c>
      <c r="C11" s="373"/>
      <c r="D11" s="373"/>
      <c r="E11" s="373"/>
      <c r="F11" s="373"/>
      <c r="G11" s="373"/>
      <c r="H11" s="373"/>
      <c r="I11" s="373"/>
      <c r="J11" s="373"/>
      <c r="K11" s="373"/>
      <c r="L11" s="373"/>
      <c r="M11" s="373"/>
      <c r="N11" s="373"/>
      <c r="O11" s="373"/>
      <c r="P11" s="373"/>
      <c r="Q11" s="373"/>
      <c r="R11" s="373"/>
      <c r="S11" s="373"/>
      <c r="T11" s="373"/>
      <c r="U11" s="373"/>
      <c r="V11" s="373"/>
      <c r="W11" s="373"/>
      <c r="X11" s="373"/>
      <c r="Y11" s="373"/>
      <c r="Z11" s="373"/>
      <c r="AA11" s="373"/>
      <c r="AB11" s="373"/>
      <c r="AC11" s="373"/>
      <c r="AD11" s="373"/>
      <c r="AE11" s="373"/>
      <c r="AF11" s="373"/>
      <c r="AG11" s="373"/>
      <c r="AH11" s="373"/>
      <c r="AI11" s="373"/>
      <c r="AJ11" s="373">
        <f t="shared" si="0"/>
        <v>0</v>
      </c>
      <c r="AK11" s="373"/>
      <c r="AL11" s="373"/>
      <c r="AM11" s="373"/>
    </row>
    <row r="12" spans="1:39" ht="18" customHeight="1" x14ac:dyDescent="0.3">
      <c r="A12" s="371">
        <v>6</v>
      </c>
      <c r="B12" s="716" t="str">
        <f>PETUNJUK!B14</f>
        <v>Pulodarat</v>
      </c>
      <c r="C12" s="373"/>
      <c r="D12" s="373"/>
      <c r="E12" s="373"/>
      <c r="F12" s="373"/>
      <c r="G12" s="373"/>
      <c r="H12" s="373"/>
      <c r="I12" s="373"/>
      <c r="J12" s="373"/>
      <c r="K12" s="373"/>
      <c r="L12" s="373"/>
      <c r="M12" s="373"/>
      <c r="N12" s="373"/>
      <c r="O12" s="373"/>
      <c r="P12" s="373"/>
      <c r="Q12" s="373"/>
      <c r="R12" s="373"/>
      <c r="S12" s="373"/>
      <c r="T12" s="373"/>
      <c r="U12" s="373"/>
      <c r="V12" s="373"/>
      <c r="W12" s="373"/>
      <c r="X12" s="373"/>
      <c r="Y12" s="373"/>
      <c r="Z12" s="373"/>
      <c r="AA12" s="373"/>
      <c r="AB12" s="373"/>
      <c r="AC12" s="373"/>
      <c r="AD12" s="373"/>
      <c r="AE12" s="373"/>
      <c r="AF12" s="373"/>
      <c r="AG12" s="373"/>
      <c r="AH12" s="373"/>
      <c r="AI12" s="373"/>
      <c r="AJ12" s="373">
        <f t="shared" si="0"/>
        <v>0</v>
      </c>
      <c r="AK12" s="373"/>
      <c r="AL12" s="373"/>
      <c r="AM12" s="373"/>
    </row>
    <row r="13" spans="1:39" ht="18" customHeight="1" x14ac:dyDescent="0.3">
      <c r="A13" s="371">
        <v>7</v>
      </c>
      <c r="B13" s="716" t="str">
        <f>PETUNJUK!B15</f>
        <v>Karangrandu</v>
      </c>
      <c r="C13" s="373"/>
      <c r="D13" s="373"/>
      <c r="E13" s="373"/>
      <c r="F13" s="373"/>
      <c r="G13" s="373"/>
      <c r="H13" s="373"/>
      <c r="I13" s="373"/>
      <c r="J13" s="373"/>
      <c r="K13" s="373"/>
      <c r="L13" s="373"/>
      <c r="M13" s="373"/>
      <c r="N13" s="373"/>
      <c r="O13" s="373"/>
      <c r="P13" s="373"/>
      <c r="Q13" s="373"/>
      <c r="R13" s="373"/>
      <c r="S13" s="373"/>
      <c r="T13" s="373"/>
      <c r="U13" s="373"/>
      <c r="V13" s="373"/>
      <c r="W13" s="373"/>
      <c r="X13" s="373"/>
      <c r="Y13" s="373"/>
      <c r="Z13" s="373"/>
      <c r="AA13" s="373"/>
      <c r="AB13" s="373"/>
      <c r="AC13" s="373"/>
      <c r="AD13" s="373"/>
      <c r="AE13" s="373"/>
      <c r="AF13" s="373"/>
      <c r="AG13" s="373"/>
      <c r="AH13" s="373"/>
      <c r="AI13" s="373"/>
      <c r="AJ13" s="373">
        <f t="shared" si="0"/>
        <v>0</v>
      </c>
      <c r="AK13" s="373"/>
      <c r="AL13" s="373"/>
      <c r="AM13" s="373"/>
    </row>
    <row r="14" spans="1:39" ht="18" customHeight="1" x14ac:dyDescent="0.3">
      <c r="A14" s="371">
        <v>8</v>
      </c>
      <c r="B14" s="716" t="str">
        <f>PETUNJUK!B16</f>
        <v>Kaliombo</v>
      </c>
      <c r="C14" s="373"/>
      <c r="D14" s="373"/>
      <c r="E14" s="373"/>
      <c r="F14" s="373"/>
      <c r="G14" s="373"/>
      <c r="H14" s="373"/>
      <c r="I14" s="373"/>
      <c r="J14" s="373"/>
      <c r="K14" s="373"/>
      <c r="L14" s="373"/>
      <c r="M14" s="373"/>
      <c r="N14" s="373"/>
      <c r="O14" s="373"/>
      <c r="P14" s="373"/>
      <c r="Q14" s="373"/>
      <c r="R14" s="373"/>
      <c r="S14" s="373"/>
      <c r="T14" s="373"/>
      <c r="U14" s="373"/>
      <c r="V14" s="373"/>
      <c r="W14" s="373"/>
      <c r="X14" s="373"/>
      <c r="Y14" s="373"/>
      <c r="Z14" s="373"/>
      <c r="AA14" s="373"/>
      <c r="AB14" s="373"/>
      <c r="AC14" s="373"/>
      <c r="AD14" s="373"/>
      <c r="AE14" s="373"/>
      <c r="AF14" s="373"/>
      <c r="AG14" s="373"/>
      <c r="AH14" s="373"/>
      <c r="AI14" s="373"/>
      <c r="AJ14" s="373">
        <f t="shared" si="0"/>
        <v>0</v>
      </c>
      <c r="AK14" s="373"/>
      <c r="AL14" s="373"/>
      <c r="AM14" s="373"/>
    </row>
    <row r="15" spans="1:39" ht="18" customHeight="1" x14ac:dyDescent="0.3">
      <c r="A15" s="371">
        <v>9</v>
      </c>
      <c r="B15" s="716" t="str">
        <f>PETUNJUK!B17</f>
        <v>Gemulung</v>
      </c>
      <c r="C15" s="373"/>
      <c r="D15" s="373"/>
      <c r="E15" s="373"/>
      <c r="F15" s="373"/>
      <c r="G15" s="373"/>
      <c r="H15" s="373"/>
      <c r="I15" s="373"/>
      <c r="J15" s="373"/>
      <c r="K15" s="373"/>
      <c r="L15" s="373"/>
      <c r="M15" s="373"/>
      <c r="N15" s="373"/>
      <c r="O15" s="373">
        <v>1</v>
      </c>
      <c r="P15" s="373"/>
      <c r="Q15" s="373"/>
      <c r="R15" s="373"/>
      <c r="S15" s="373"/>
      <c r="T15" s="373"/>
      <c r="U15" s="373"/>
      <c r="V15" s="373"/>
      <c r="W15" s="373"/>
      <c r="X15" s="373"/>
      <c r="Y15" s="373"/>
      <c r="Z15" s="373"/>
      <c r="AA15" s="373"/>
      <c r="AB15" s="373"/>
      <c r="AC15" s="373"/>
      <c r="AD15" s="373"/>
      <c r="AE15" s="373"/>
      <c r="AF15" s="373"/>
      <c r="AG15" s="373"/>
      <c r="AH15" s="373"/>
      <c r="AI15" s="373"/>
      <c r="AJ15" s="373">
        <f t="shared" si="0"/>
        <v>1</v>
      </c>
      <c r="AK15" s="373"/>
      <c r="AL15" s="373">
        <v>1</v>
      </c>
      <c r="AM15" s="373"/>
    </row>
    <row r="16" spans="1:39" ht="18" customHeight="1" x14ac:dyDescent="0.3">
      <c r="A16" s="371">
        <v>10</v>
      </c>
      <c r="B16" s="716" t="str">
        <f>PETUNJUK!B18</f>
        <v>Pecangaan Wetan</v>
      </c>
      <c r="C16" s="373"/>
      <c r="D16" s="373"/>
      <c r="E16" s="373"/>
      <c r="F16" s="373"/>
      <c r="G16" s="373"/>
      <c r="H16" s="373"/>
      <c r="I16" s="373"/>
      <c r="J16" s="373"/>
      <c r="K16" s="373"/>
      <c r="L16" s="373"/>
      <c r="M16" s="373"/>
      <c r="N16" s="373"/>
      <c r="O16" s="373"/>
      <c r="P16" s="373"/>
      <c r="Q16" s="373"/>
      <c r="R16" s="373"/>
      <c r="S16" s="373"/>
      <c r="T16" s="373"/>
      <c r="U16" s="373"/>
      <c r="V16" s="373"/>
      <c r="W16" s="373"/>
      <c r="X16" s="373"/>
      <c r="Y16" s="373"/>
      <c r="Z16" s="373"/>
      <c r="AA16" s="373"/>
      <c r="AB16" s="373"/>
      <c r="AC16" s="373"/>
      <c r="AD16" s="373"/>
      <c r="AE16" s="373"/>
      <c r="AF16" s="373"/>
      <c r="AG16" s="373"/>
      <c r="AH16" s="373"/>
      <c r="AI16" s="373"/>
      <c r="AJ16" s="373">
        <f t="shared" si="0"/>
        <v>0</v>
      </c>
      <c r="AK16" s="373"/>
      <c r="AL16" s="373"/>
      <c r="AM16" s="373"/>
    </row>
    <row r="17" spans="1:39" ht="18" customHeight="1" x14ac:dyDescent="0.3">
      <c r="A17" s="371">
        <v>11</v>
      </c>
      <c r="B17" s="716" t="str">
        <f>PETUNJUK!B19</f>
        <v>Krasak</v>
      </c>
      <c r="C17" s="373"/>
      <c r="D17" s="373"/>
      <c r="E17" s="373">
        <v>1</v>
      </c>
      <c r="F17" s="373"/>
      <c r="G17" s="373"/>
      <c r="H17" s="373"/>
      <c r="I17" s="373"/>
      <c r="J17" s="373"/>
      <c r="K17" s="373">
        <v>1</v>
      </c>
      <c r="L17" s="373"/>
      <c r="M17" s="373"/>
      <c r="N17" s="373"/>
      <c r="O17" s="373">
        <v>2</v>
      </c>
      <c r="P17" s="373"/>
      <c r="Q17" s="373"/>
      <c r="R17" s="373"/>
      <c r="S17" s="373"/>
      <c r="T17" s="373"/>
      <c r="U17" s="373"/>
      <c r="V17" s="373"/>
      <c r="W17" s="373"/>
      <c r="X17" s="373"/>
      <c r="Y17" s="373"/>
      <c r="Z17" s="373"/>
      <c r="AA17" s="373"/>
      <c r="AB17" s="373"/>
      <c r="AC17" s="373"/>
      <c r="AD17" s="373"/>
      <c r="AE17" s="373"/>
      <c r="AF17" s="373"/>
      <c r="AG17" s="373"/>
      <c r="AH17" s="373"/>
      <c r="AI17" s="373"/>
      <c r="AJ17" s="373">
        <f t="shared" si="0"/>
        <v>4</v>
      </c>
      <c r="AK17" s="373">
        <v>1</v>
      </c>
      <c r="AL17" s="373">
        <v>2</v>
      </c>
      <c r="AM17" s="373"/>
    </row>
    <row r="18" spans="1:39" ht="18" customHeight="1" x14ac:dyDescent="0.3">
      <c r="A18" s="371">
        <v>12</v>
      </c>
      <c r="B18" s="716" t="str">
        <f>PETUNJUK!B20</f>
        <v>Gerdu</v>
      </c>
      <c r="C18" s="373"/>
      <c r="D18" s="373"/>
      <c r="E18" s="373"/>
      <c r="F18" s="373"/>
      <c r="G18" s="373"/>
      <c r="H18" s="373"/>
      <c r="I18" s="373"/>
      <c r="J18" s="373"/>
      <c r="K18" s="373"/>
      <c r="L18" s="373"/>
      <c r="M18" s="373"/>
      <c r="N18" s="373"/>
      <c r="O18" s="373">
        <v>1</v>
      </c>
      <c r="P18" s="373"/>
      <c r="Q18" s="373"/>
      <c r="R18" s="373"/>
      <c r="S18" s="373"/>
      <c r="T18" s="373"/>
      <c r="U18" s="373"/>
      <c r="V18" s="373"/>
      <c r="W18" s="373"/>
      <c r="X18" s="373"/>
      <c r="Y18" s="373"/>
      <c r="Z18" s="373"/>
      <c r="AA18" s="373"/>
      <c r="AB18" s="373"/>
      <c r="AC18" s="373"/>
      <c r="AD18" s="373"/>
      <c r="AE18" s="373"/>
      <c r="AF18" s="373"/>
      <c r="AG18" s="373"/>
      <c r="AH18" s="373"/>
      <c r="AI18" s="373"/>
      <c r="AJ18" s="373">
        <f t="shared" si="0"/>
        <v>1</v>
      </c>
      <c r="AK18" s="373"/>
      <c r="AL18" s="373">
        <v>1</v>
      </c>
      <c r="AM18" s="373"/>
    </row>
    <row r="19" spans="1:39" ht="18" customHeight="1" x14ac:dyDescent="0.3">
      <c r="A19" s="371">
        <v>13</v>
      </c>
      <c r="B19" s="372">
        <f>PETUNJUK!B21</f>
        <v>0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3"/>
      <c r="M19" s="373"/>
      <c r="N19" s="373"/>
      <c r="O19" s="373"/>
      <c r="P19" s="373"/>
      <c r="Q19" s="373"/>
      <c r="R19" s="373"/>
      <c r="S19" s="373"/>
      <c r="T19" s="373"/>
      <c r="U19" s="373"/>
      <c r="V19" s="373"/>
      <c r="W19" s="373"/>
      <c r="X19" s="373"/>
      <c r="Y19" s="373"/>
      <c r="Z19" s="373"/>
      <c r="AA19" s="373"/>
      <c r="AB19" s="373"/>
      <c r="AC19" s="373"/>
      <c r="AD19" s="373"/>
      <c r="AE19" s="373"/>
      <c r="AF19" s="373"/>
      <c r="AG19" s="373"/>
      <c r="AH19" s="373"/>
      <c r="AI19" s="373"/>
      <c r="AJ19" s="373"/>
      <c r="AK19" s="373"/>
      <c r="AL19" s="373"/>
      <c r="AM19" s="373"/>
    </row>
    <row r="20" spans="1:39" ht="18" customHeight="1" x14ac:dyDescent="0.3">
      <c r="A20" s="371">
        <v>14</v>
      </c>
      <c r="B20" s="372">
        <f>PETUNJUK!B22</f>
        <v>0</v>
      </c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3"/>
      <c r="N20" s="373"/>
      <c r="O20" s="373"/>
      <c r="P20" s="373"/>
      <c r="Q20" s="373"/>
      <c r="R20" s="373"/>
      <c r="S20" s="373"/>
      <c r="T20" s="373"/>
      <c r="U20" s="373"/>
      <c r="V20" s="373"/>
      <c r="W20" s="373"/>
      <c r="X20" s="373"/>
      <c r="Y20" s="373"/>
      <c r="Z20" s="373"/>
      <c r="AA20" s="373"/>
      <c r="AB20" s="373"/>
      <c r="AC20" s="373"/>
      <c r="AD20" s="373"/>
      <c r="AE20" s="373"/>
      <c r="AF20" s="373"/>
      <c r="AG20" s="373"/>
      <c r="AH20" s="373"/>
      <c r="AI20" s="373"/>
      <c r="AJ20" s="373"/>
      <c r="AK20" s="373"/>
      <c r="AL20" s="373"/>
      <c r="AM20" s="373"/>
    </row>
    <row r="21" spans="1:39" ht="18" customHeight="1" x14ac:dyDescent="0.3">
      <c r="A21" s="371">
        <v>15</v>
      </c>
      <c r="B21" s="372">
        <f>PETUNJUK!B23</f>
        <v>0</v>
      </c>
      <c r="C21" s="373"/>
      <c r="D21" s="373"/>
      <c r="E21" s="373"/>
      <c r="F21" s="373"/>
      <c r="G21" s="373"/>
      <c r="H21" s="373"/>
      <c r="I21" s="373"/>
      <c r="J21" s="373"/>
      <c r="K21" s="373"/>
      <c r="L21" s="373"/>
      <c r="M21" s="373"/>
      <c r="N21" s="373"/>
      <c r="O21" s="373"/>
      <c r="P21" s="373"/>
      <c r="Q21" s="373"/>
      <c r="R21" s="373"/>
      <c r="S21" s="373"/>
      <c r="T21" s="373"/>
      <c r="U21" s="373"/>
      <c r="V21" s="373"/>
      <c r="W21" s="373"/>
      <c r="X21" s="373"/>
      <c r="Y21" s="373"/>
      <c r="Z21" s="373"/>
      <c r="AA21" s="373"/>
      <c r="AB21" s="373"/>
      <c r="AC21" s="373"/>
      <c r="AD21" s="373"/>
      <c r="AE21" s="373"/>
      <c r="AF21" s="373"/>
      <c r="AG21" s="373"/>
      <c r="AH21" s="373"/>
      <c r="AI21" s="373"/>
      <c r="AJ21" s="373"/>
      <c r="AK21" s="373"/>
      <c r="AL21" s="373"/>
      <c r="AM21" s="373"/>
    </row>
    <row r="22" spans="1:39" ht="18" customHeight="1" x14ac:dyDescent="0.3">
      <c r="A22" s="371">
        <v>16</v>
      </c>
      <c r="B22" s="372">
        <f>PETUNJUK!B24</f>
        <v>0</v>
      </c>
      <c r="C22" s="373"/>
      <c r="D22" s="373"/>
      <c r="E22" s="373"/>
      <c r="F22" s="373"/>
      <c r="G22" s="373"/>
      <c r="H22" s="373"/>
      <c r="I22" s="373"/>
      <c r="J22" s="373"/>
      <c r="K22" s="373"/>
      <c r="L22" s="373"/>
      <c r="M22" s="373"/>
      <c r="N22" s="373"/>
      <c r="O22" s="373"/>
      <c r="P22" s="373"/>
      <c r="Q22" s="373"/>
      <c r="R22" s="373"/>
      <c r="S22" s="373"/>
      <c r="T22" s="373"/>
      <c r="U22" s="373"/>
      <c r="V22" s="373"/>
      <c r="W22" s="373"/>
      <c r="X22" s="373"/>
      <c r="Y22" s="373"/>
      <c r="Z22" s="373"/>
      <c r="AA22" s="373"/>
      <c r="AB22" s="373"/>
      <c r="AC22" s="373"/>
      <c r="AD22" s="373"/>
      <c r="AE22" s="373"/>
      <c r="AF22" s="373"/>
      <c r="AG22" s="373"/>
      <c r="AH22" s="373"/>
      <c r="AI22" s="373"/>
      <c r="AJ22" s="373"/>
      <c r="AK22" s="373"/>
      <c r="AL22" s="373"/>
      <c r="AM22" s="373"/>
    </row>
    <row r="23" spans="1:39" ht="18" customHeight="1" x14ac:dyDescent="0.3">
      <c r="A23" s="371">
        <v>17</v>
      </c>
      <c r="B23" s="372">
        <f>PETUNJUK!B25</f>
        <v>0</v>
      </c>
      <c r="C23" s="373"/>
      <c r="D23" s="373"/>
      <c r="E23" s="373"/>
      <c r="F23" s="373"/>
      <c r="G23" s="373"/>
      <c r="H23" s="373"/>
      <c r="I23" s="373"/>
      <c r="J23" s="373"/>
      <c r="K23" s="373"/>
      <c r="L23" s="373"/>
      <c r="M23" s="373"/>
      <c r="N23" s="373"/>
      <c r="O23" s="373"/>
      <c r="P23" s="373"/>
      <c r="Q23" s="373"/>
      <c r="R23" s="373"/>
      <c r="S23" s="373"/>
      <c r="T23" s="373"/>
      <c r="U23" s="373"/>
      <c r="V23" s="373"/>
      <c r="W23" s="373"/>
      <c r="X23" s="373"/>
      <c r="Y23" s="373"/>
      <c r="Z23" s="373"/>
      <c r="AA23" s="373"/>
      <c r="AB23" s="373"/>
      <c r="AC23" s="373"/>
      <c r="AD23" s="373"/>
      <c r="AE23" s="373"/>
      <c r="AF23" s="373"/>
      <c r="AG23" s="373"/>
      <c r="AH23" s="373"/>
      <c r="AI23" s="373"/>
      <c r="AJ23" s="373"/>
      <c r="AK23" s="373"/>
      <c r="AL23" s="373"/>
      <c r="AM23" s="373"/>
    </row>
    <row r="24" spans="1:39" ht="18" customHeight="1" x14ac:dyDescent="0.3">
      <c r="A24" s="371">
        <v>18</v>
      </c>
      <c r="B24" s="372">
        <f>PETUNJUK!B26</f>
        <v>0</v>
      </c>
      <c r="C24" s="373"/>
      <c r="D24" s="373"/>
      <c r="E24" s="373"/>
      <c r="F24" s="373"/>
      <c r="G24" s="373"/>
      <c r="H24" s="373"/>
      <c r="I24" s="373"/>
      <c r="J24" s="373"/>
      <c r="K24" s="373"/>
      <c r="L24" s="373"/>
      <c r="M24" s="373"/>
      <c r="N24" s="373"/>
      <c r="O24" s="373"/>
      <c r="P24" s="373"/>
      <c r="Q24" s="373"/>
      <c r="R24" s="373"/>
      <c r="S24" s="373"/>
      <c r="T24" s="373"/>
      <c r="U24" s="373"/>
      <c r="V24" s="373"/>
      <c r="W24" s="373"/>
      <c r="X24" s="373"/>
      <c r="Y24" s="373"/>
      <c r="Z24" s="373"/>
      <c r="AA24" s="373"/>
      <c r="AB24" s="373"/>
      <c r="AC24" s="373"/>
      <c r="AD24" s="373"/>
      <c r="AE24" s="373"/>
      <c r="AF24" s="373"/>
      <c r="AG24" s="373"/>
      <c r="AH24" s="373"/>
      <c r="AI24" s="373"/>
      <c r="AJ24" s="373"/>
      <c r="AK24" s="373"/>
      <c r="AL24" s="373"/>
      <c r="AM24" s="373"/>
    </row>
    <row r="25" spans="1:39" ht="18" customHeight="1" x14ac:dyDescent="0.3">
      <c r="A25" s="371">
        <v>19</v>
      </c>
      <c r="B25" s="372">
        <f>PETUNJUK!B27</f>
        <v>0</v>
      </c>
      <c r="C25" s="373"/>
      <c r="D25" s="373"/>
      <c r="E25" s="373"/>
      <c r="F25" s="373"/>
      <c r="G25" s="373"/>
      <c r="H25" s="373"/>
      <c r="I25" s="373"/>
      <c r="J25" s="373"/>
      <c r="K25" s="373"/>
      <c r="L25" s="373"/>
      <c r="M25" s="373"/>
      <c r="N25" s="373"/>
      <c r="O25" s="373"/>
      <c r="P25" s="373"/>
      <c r="Q25" s="373"/>
      <c r="R25" s="373"/>
      <c r="S25" s="373"/>
      <c r="T25" s="373"/>
      <c r="U25" s="373"/>
      <c r="V25" s="373"/>
      <c r="W25" s="373"/>
      <c r="X25" s="373"/>
      <c r="Y25" s="373"/>
      <c r="Z25" s="373"/>
      <c r="AA25" s="373"/>
      <c r="AB25" s="373"/>
      <c r="AC25" s="373"/>
      <c r="AD25" s="373"/>
      <c r="AE25" s="373"/>
      <c r="AF25" s="373"/>
      <c r="AG25" s="373"/>
      <c r="AH25" s="373"/>
      <c r="AI25" s="373"/>
      <c r="AJ25" s="373"/>
      <c r="AK25" s="373"/>
      <c r="AL25" s="373"/>
      <c r="AM25" s="373"/>
    </row>
    <row r="26" spans="1:39" ht="18" customHeight="1" x14ac:dyDescent="0.3">
      <c r="A26" s="371">
        <v>20</v>
      </c>
      <c r="B26" s="372">
        <f>PETUNJUK!B28</f>
        <v>0</v>
      </c>
      <c r="C26" s="373"/>
      <c r="D26" s="373"/>
      <c r="E26" s="373"/>
      <c r="F26" s="373"/>
      <c r="G26" s="373"/>
      <c r="H26" s="373"/>
      <c r="I26" s="373"/>
      <c r="J26" s="373"/>
      <c r="K26" s="373"/>
      <c r="L26" s="373"/>
      <c r="M26" s="373"/>
      <c r="N26" s="373"/>
      <c r="O26" s="373"/>
      <c r="P26" s="373"/>
      <c r="Q26" s="373"/>
      <c r="R26" s="373"/>
      <c r="S26" s="373"/>
      <c r="T26" s="373"/>
      <c r="U26" s="373"/>
      <c r="V26" s="373"/>
      <c r="W26" s="373"/>
      <c r="X26" s="373"/>
      <c r="Y26" s="373"/>
      <c r="Z26" s="373"/>
      <c r="AA26" s="373"/>
      <c r="AB26" s="373"/>
      <c r="AC26" s="373"/>
      <c r="AD26" s="373"/>
      <c r="AE26" s="373"/>
      <c r="AF26" s="373"/>
      <c r="AG26" s="373"/>
      <c r="AH26" s="373"/>
      <c r="AI26" s="373"/>
      <c r="AJ26" s="373"/>
      <c r="AK26" s="373"/>
      <c r="AL26" s="373"/>
      <c r="AM26" s="373"/>
    </row>
    <row r="27" spans="1:39" ht="18" customHeight="1" x14ac:dyDescent="0.3">
      <c r="A27" s="371">
        <v>21</v>
      </c>
      <c r="B27" s="372">
        <f>PETUNJUK!B29</f>
        <v>0</v>
      </c>
      <c r="C27" s="373"/>
      <c r="D27" s="373"/>
      <c r="E27" s="373"/>
      <c r="F27" s="373"/>
      <c r="G27" s="373"/>
      <c r="H27" s="373"/>
      <c r="I27" s="373"/>
      <c r="J27" s="373"/>
      <c r="K27" s="373"/>
      <c r="L27" s="373"/>
      <c r="M27" s="373"/>
      <c r="N27" s="373"/>
      <c r="O27" s="373"/>
      <c r="P27" s="373"/>
      <c r="Q27" s="373"/>
      <c r="R27" s="373"/>
      <c r="S27" s="373"/>
      <c r="T27" s="373"/>
      <c r="U27" s="373"/>
      <c r="V27" s="373"/>
      <c r="W27" s="373"/>
      <c r="X27" s="373"/>
      <c r="Y27" s="373"/>
      <c r="Z27" s="373"/>
      <c r="AA27" s="373"/>
      <c r="AB27" s="373"/>
      <c r="AC27" s="373"/>
      <c r="AD27" s="373"/>
      <c r="AE27" s="373"/>
      <c r="AF27" s="373"/>
      <c r="AG27" s="373"/>
      <c r="AH27" s="373"/>
      <c r="AI27" s="373"/>
      <c r="AJ27" s="373"/>
      <c r="AK27" s="373"/>
      <c r="AL27" s="373"/>
      <c r="AM27" s="373"/>
    </row>
    <row r="28" spans="1:39" ht="18" customHeight="1" thickBot="1" x14ac:dyDescent="0.35">
      <c r="A28" s="374">
        <v>22</v>
      </c>
      <c r="B28" s="375">
        <f>PETUNJUK!B30</f>
        <v>0</v>
      </c>
      <c r="C28" s="382"/>
      <c r="D28" s="382"/>
      <c r="E28" s="382"/>
      <c r="F28" s="382"/>
      <c r="G28" s="382"/>
      <c r="H28" s="382"/>
      <c r="I28" s="382"/>
      <c r="J28" s="382"/>
      <c r="K28" s="382"/>
      <c r="L28" s="382"/>
      <c r="M28" s="382"/>
      <c r="N28" s="382"/>
      <c r="O28" s="382"/>
      <c r="P28" s="382"/>
      <c r="Q28" s="382"/>
      <c r="R28" s="382"/>
      <c r="S28" s="382"/>
      <c r="T28" s="382"/>
      <c r="U28" s="382"/>
      <c r="V28" s="382"/>
      <c r="W28" s="382"/>
      <c r="X28" s="382"/>
      <c r="Y28" s="382"/>
      <c r="Z28" s="382"/>
      <c r="AA28" s="382"/>
      <c r="AB28" s="382"/>
      <c r="AC28" s="382"/>
      <c r="AD28" s="382"/>
      <c r="AE28" s="382"/>
      <c r="AF28" s="382"/>
      <c r="AG28" s="382"/>
      <c r="AH28" s="382"/>
      <c r="AI28" s="382"/>
      <c r="AJ28" s="373"/>
      <c r="AK28" s="382"/>
      <c r="AL28" s="382"/>
      <c r="AM28" s="382"/>
    </row>
    <row r="29" spans="1:39" ht="18" customHeight="1" thickBot="1" x14ac:dyDescent="0.35">
      <c r="A29" s="803" t="s">
        <v>62</v>
      </c>
      <c r="B29" s="805"/>
      <c r="C29" s="376">
        <f>SUM(C7:C28)</f>
        <v>0</v>
      </c>
      <c r="D29" s="376">
        <f t="shared" ref="D29:AM29" si="1">SUM(D7:D28)</f>
        <v>0</v>
      </c>
      <c r="E29" s="376">
        <f t="shared" si="1"/>
        <v>4</v>
      </c>
      <c r="F29" s="376">
        <f t="shared" si="1"/>
        <v>0</v>
      </c>
      <c r="G29" s="376">
        <f t="shared" si="1"/>
        <v>0</v>
      </c>
      <c r="H29" s="376">
        <f t="shared" si="1"/>
        <v>0</v>
      </c>
      <c r="I29" s="376">
        <f t="shared" si="1"/>
        <v>0</v>
      </c>
      <c r="J29" s="376">
        <f t="shared" si="1"/>
        <v>0</v>
      </c>
      <c r="K29" s="376">
        <f t="shared" si="1"/>
        <v>1</v>
      </c>
      <c r="L29" s="376">
        <f t="shared" si="1"/>
        <v>0</v>
      </c>
      <c r="M29" s="376">
        <f t="shared" si="1"/>
        <v>1</v>
      </c>
      <c r="N29" s="376">
        <f t="shared" si="1"/>
        <v>1</v>
      </c>
      <c r="O29" s="376">
        <f t="shared" si="1"/>
        <v>8</v>
      </c>
      <c r="P29" s="376">
        <f t="shared" si="1"/>
        <v>0</v>
      </c>
      <c r="Q29" s="376">
        <f t="shared" si="1"/>
        <v>1</v>
      </c>
      <c r="R29" s="376">
        <f t="shared" si="1"/>
        <v>0</v>
      </c>
      <c r="S29" s="376">
        <f t="shared" si="1"/>
        <v>0</v>
      </c>
      <c r="T29" s="376">
        <f t="shared" si="1"/>
        <v>0</v>
      </c>
      <c r="U29" s="376">
        <f t="shared" si="1"/>
        <v>0</v>
      </c>
      <c r="V29" s="376">
        <f t="shared" si="1"/>
        <v>0</v>
      </c>
      <c r="W29" s="376">
        <f t="shared" si="1"/>
        <v>0</v>
      </c>
      <c r="X29" s="376">
        <f t="shared" si="1"/>
        <v>0</v>
      </c>
      <c r="Y29" s="376">
        <f t="shared" si="1"/>
        <v>0</v>
      </c>
      <c r="Z29" s="376">
        <f t="shared" si="1"/>
        <v>0</v>
      </c>
      <c r="AA29" s="376">
        <f t="shared" si="1"/>
        <v>0</v>
      </c>
      <c r="AB29" s="376">
        <f t="shared" si="1"/>
        <v>0</v>
      </c>
      <c r="AC29" s="376">
        <f t="shared" si="1"/>
        <v>0</v>
      </c>
      <c r="AD29" s="376">
        <f t="shared" si="1"/>
        <v>0</v>
      </c>
      <c r="AE29" s="376">
        <f t="shared" si="1"/>
        <v>0</v>
      </c>
      <c r="AF29" s="376">
        <f t="shared" si="1"/>
        <v>0</v>
      </c>
      <c r="AG29" s="376">
        <f t="shared" si="1"/>
        <v>0</v>
      </c>
      <c r="AH29" s="376">
        <f t="shared" si="1"/>
        <v>0</v>
      </c>
      <c r="AI29" s="376">
        <f t="shared" si="1"/>
        <v>0</v>
      </c>
      <c r="AJ29" s="376">
        <f t="shared" si="1"/>
        <v>16</v>
      </c>
      <c r="AK29" s="376">
        <f t="shared" si="1"/>
        <v>4</v>
      </c>
      <c r="AL29" s="376">
        <f t="shared" si="1"/>
        <v>11</v>
      </c>
      <c r="AM29" s="376">
        <f t="shared" si="1"/>
        <v>0</v>
      </c>
    </row>
    <row r="30" spans="1:39" x14ac:dyDescent="0.3">
      <c r="A30" s="378"/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79"/>
      <c r="M30" s="379"/>
      <c r="N30" s="379"/>
      <c r="O30" s="379"/>
      <c r="P30" s="379"/>
      <c r="Q30" s="379"/>
      <c r="R30" s="379"/>
      <c r="S30" s="379"/>
      <c r="T30" s="379"/>
      <c r="U30" s="379"/>
      <c r="V30" s="379"/>
      <c r="W30" s="379"/>
      <c r="X30" s="379"/>
      <c r="Y30" s="379"/>
      <c r="Z30" s="379"/>
      <c r="AA30" s="379"/>
      <c r="AB30" s="379"/>
      <c r="AC30" s="379"/>
      <c r="AD30" s="379"/>
      <c r="AE30" s="379"/>
      <c r="AF30" s="379"/>
      <c r="AG30" s="379"/>
      <c r="AH30" s="379"/>
      <c r="AI30" s="379"/>
      <c r="AJ30" s="379"/>
    </row>
    <row r="31" spans="1:39" x14ac:dyDescent="0.35">
      <c r="A31" s="235"/>
      <c r="B31" s="235" t="s">
        <v>63</v>
      </c>
      <c r="C31" s="378"/>
      <c r="D31" s="378"/>
      <c r="E31" s="378"/>
      <c r="F31" s="378"/>
      <c r="G31" s="378"/>
      <c r="H31" s="378"/>
      <c r="I31" s="378"/>
      <c r="J31" s="378"/>
      <c r="K31" s="378"/>
      <c r="L31" s="378"/>
      <c r="M31" s="378"/>
      <c r="N31" s="801" t="s">
        <v>181</v>
      </c>
      <c r="O31" s="801"/>
      <c r="P31" s="801"/>
      <c r="Q31" s="801"/>
      <c r="R31" s="801"/>
      <c r="S31" s="801"/>
      <c r="T31" s="801"/>
      <c r="U31" s="801"/>
      <c r="V31" s="801"/>
      <c r="W31" s="801"/>
      <c r="X31" s="801"/>
      <c r="Y31" s="801"/>
      <c r="Z31" s="801"/>
      <c r="AA31" s="801"/>
      <c r="AB31" s="801"/>
      <c r="AC31" s="801"/>
      <c r="AD31" s="801"/>
      <c r="AE31" s="801"/>
      <c r="AF31" s="801"/>
      <c r="AG31" s="801"/>
      <c r="AH31" s="801"/>
      <c r="AI31" s="801"/>
      <c r="AJ31" s="378"/>
    </row>
    <row r="36" spans="1:39" x14ac:dyDescent="0.35">
      <c r="A36" s="802" t="s">
        <v>177</v>
      </c>
      <c r="B36" s="802"/>
      <c r="C36" s="802"/>
      <c r="D36" s="802"/>
      <c r="E36" s="802"/>
      <c r="F36" s="802"/>
      <c r="G36" s="802"/>
      <c r="H36" s="802"/>
      <c r="I36" s="802"/>
      <c r="J36" s="802"/>
      <c r="K36" s="802"/>
      <c r="L36" s="802"/>
      <c r="M36" s="802"/>
      <c r="N36" s="802"/>
      <c r="O36" s="802"/>
      <c r="P36" s="802"/>
      <c r="Q36" s="802"/>
      <c r="R36" s="802"/>
      <c r="S36" s="802"/>
      <c r="T36" s="802"/>
      <c r="U36" s="802"/>
      <c r="V36" s="802"/>
      <c r="W36" s="802"/>
      <c r="X36" s="802"/>
      <c r="Y36" s="802"/>
      <c r="Z36" s="802"/>
      <c r="AA36" s="802"/>
      <c r="AB36" s="802"/>
      <c r="AC36" s="802"/>
      <c r="AD36" s="802"/>
      <c r="AE36" s="802"/>
      <c r="AF36" s="802"/>
      <c r="AG36" s="802"/>
      <c r="AH36" s="802"/>
      <c r="AI36" s="802"/>
      <c r="AJ36" s="802"/>
    </row>
    <row r="37" spans="1:39" x14ac:dyDescent="0.35">
      <c r="A37" s="363"/>
      <c r="B37" s="363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2"/>
      <c r="P37" s="632"/>
      <c r="Q37" s="632"/>
      <c r="R37" s="632"/>
      <c r="S37" s="632"/>
      <c r="T37" s="632"/>
      <c r="U37" s="632"/>
      <c r="V37" s="632"/>
      <c r="W37" s="632"/>
      <c r="X37" s="632"/>
      <c r="Y37" s="632"/>
      <c r="Z37" s="632"/>
      <c r="AA37" s="632"/>
      <c r="AB37" s="632"/>
      <c r="AC37" s="632"/>
      <c r="AD37" s="632"/>
      <c r="AE37" s="632"/>
      <c r="AF37" s="632"/>
      <c r="AG37" s="632"/>
      <c r="AH37" s="632"/>
      <c r="AI37" s="632"/>
      <c r="AJ37" s="632"/>
    </row>
    <row r="38" spans="1:39" x14ac:dyDescent="0.35">
      <c r="A38" s="364" t="s">
        <v>40</v>
      </c>
      <c r="B38" s="365"/>
      <c r="C38" s="638"/>
      <c r="D38" s="638"/>
      <c r="E38" s="638"/>
      <c r="F38" s="638"/>
      <c r="G38" s="638"/>
      <c r="H38" s="638"/>
      <c r="I38" s="638"/>
      <c r="J38" s="638"/>
      <c r="K38" s="638"/>
      <c r="L38" s="638"/>
      <c r="M38" s="638"/>
      <c r="N38" s="633" t="s">
        <v>176</v>
      </c>
      <c r="O38" s="638" t="str">
        <f>PETUNJUK!C5</f>
        <v>PECANGAAN</v>
      </c>
      <c r="P38" s="638"/>
      <c r="Q38" s="638"/>
      <c r="R38" s="638"/>
      <c r="S38" s="638"/>
      <c r="T38" s="638"/>
      <c r="U38" s="638"/>
      <c r="V38" s="638"/>
      <c r="W38" s="638"/>
      <c r="X38" s="638"/>
      <c r="Y38" s="638"/>
      <c r="Z38" s="638"/>
      <c r="AA38" s="638"/>
      <c r="AB38" s="638"/>
      <c r="AC38" s="638"/>
      <c r="AD38" s="638"/>
      <c r="AE38" s="638"/>
      <c r="AF38" s="638"/>
      <c r="AG38" s="638"/>
      <c r="AH38" s="638"/>
      <c r="AI38" s="638"/>
      <c r="AJ38" s="638"/>
    </row>
    <row r="39" spans="1:39" x14ac:dyDescent="0.35">
      <c r="A39" s="366" t="s">
        <v>0</v>
      </c>
      <c r="B39" s="367"/>
      <c r="C39" s="640"/>
      <c r="D39" s="633"/>
      <c r="E39" s="633"/>
      <c r="F39" s="640"/>
      <c r="G39" s="640"/>
      <c r="H39" s="640"/>
      <c r="I39" s="640"/>
      <c r="J39" s="640"/>
      <c r="K39" s="640"/>
      <c r="L39" s="640"/>
      <c r="M39" s="633"/>
      <c r="N39" s="639" t="s">
        <v>176</v>
      </c>
      <c r="O39" s="641" t="str">
        <f>'1.DATA KIA'!C38</f>
        <v xml:space="preserve">PEBRUARI </v>
      </c>
      <c r="P39" s="633"/>
      <c r="Q39" s="633"/>
      <c r="R39" s="633"/>
      <c r="S39" s="633"/>
      <c r="T39" s="633"/>
      <c r="U39" s="633"/>
      <c r="V39" s="633"/>
      <c r="W39" s="633"/>
      <c r="X39" s="633"/>
      <c r="Y39" s="633"/>
      <c r="Z39" s="640"/>
      <c r="AA39" s="640"/>
      <c r="AB39" s="640"/>
      <c r="AC39" s="640"/>
      <c r="AD39" s="640"/>
      <c r="AE39" s="640"/>
      <c r="AF39" s="640"/>
      <c r="AG39" s="640"/>
      <c r="AH39" s="640"/>
      <c r="AI39" s="640"/>
      <c r="AJ39" s="640"/>
    </row>
    <row r="40" spans="1:39" ht="12.75" customHeight="1" x14ac:dyDescent="0.3">
      <c r="A40" s="799" t="s">
        <v>1</v>
      </c>
      <c r="B40" s="799" t="s">
        <v>2</v>
      </c>
      <c r="C40" s="794" t="s">
        <v>301</v>
      </c>
      <c r="D40" s="795"/>
      <c r="E40" s="795"/>
      <c r="F40" s="795"/>
      <c r="G40" s="795"/>
      <c r="H40" s="795"/>
      <c r="I40" s="795"/>
      <c r="J40" s="795"/>
      <c r="K40" s="795"/>
      <c r="L40" s="795"/>
      <c r="M40" s="795"/>
      <c r="N40" s="795"/>
      <c r="O40" s="795"/>
      <c r="P40" s="795"/>
      <c r="Q40" s="795"/>
      <c r="R40" s="795"/>
      <c r="S40" s="795"/>
      <c r="T40" s="795"/>
      <c r="U40" s="795"/>
      <c r="V40" s="795"/>
      <c r="W40" s="795"/>
      <c r="X40" s="795"/>
      <c r="Y40" s="795"/>
      <c r="Z40" s="795"/>
      <c r="AA40" s="795"/>
      <c r="AB40" s="795"/>
      <c r="AC40" s="795"/>
      <c r="AD40" s="795"/>
      <c r="AE40" s="795"/>
      <c r="AF40" s="795"/>
      <c r="AG40" s="795"/>
      <c r="AH40" s="795"/>
      <c r="AI40" s="795"/>
      <c r="AJ40" s="796"/>
      <c r="AK40" s="792" t="s">
        <v>307</v>
      </c>
      <c r="AL40" s="792" t="s">
        <v>308</v>
      </c>
      <c r="AM40" s="792" t="s">
        <v>309</v>
      </c>
    </row>
    <row r="41" spans="1:39" ht="94.5" customHeight="1" x14ac:dyDescent="0.3">
      <c r="A41" s="800"/>
      <c r="B41" s="800"/>
      <c r="C41" s="368" t="s">
        <v>55</v>
      </c>
      <c r="D41" s="369" t="s">
        <v>190</v>
      </c>
      <c r="E41" s="369" t="s">
        <v>43</v>
      </c>
      <c r="F41" s="369" t="s">
        <v>53</v>
      </c>
      <c r="G41" s="369" t="s">
        <v>302</v>
      </c>
      <c r="H41" s="369" t="s">
        <v>303</v>
      </c>
      <c r="I41" s="369" t="s">
        <v>294</v>
      </c>
      <c r="J41" s="369" t="s">
        <v>304</v>
      </c>
      <c r="K41" s="369" t="s">
        <v>305</v>
      </c>
      <c r="L41" s="369" t="s">
        <v>306</v>
      </c>
      <c r="M41" s="369" t="s">
        <v>44</v>
      </c>
      <c r="N41" s="370" t="s">
        <v>178</v>
      </c>
      <c r="O41" s="369" t="s">
        <v>41</v>
      </c>
      <c r="P41" s="369" t="s">
        <v>180</v>
      </c>
      <c r="Q41" s="369" t="s">
        <v>42</v>
      </c>
      <c r="R41" s="369" t="s">
        <v>45</v>
      </c>
      <c r="S41" s="369" t="s">
        <v>46</v>
      </c>
      <c r="T41" s="369" t="s">
        <v>47</v>
      </c>
      <c r="U41" s="369" t="s">
        <v>48</v>
      </c>
      <c r="V41" s="369" t="s">
        <v>49</v>
      </c>
      <c r="W41" s="369" t="s">
        <v>50</v>
      </c>
      <c r="X41" s="369" t="s">
        <v>51</v>
      </c>
      <c r="Y41" s="369" t="s">
        <v>52</v>
      </c>
      <c r="Z41" s="369" t="s">
        <v>54</v>
      </c>
      <c r="AA41" s="369" t="s">
        <v>56</v>
      </c>
      <c r="AB41" s="369" t="s">
        <v>57</v>
      </c>
      <c r="AC41" s="369" t="s">
        <v>58</v>
      </c>
      <c r="AD41" s="369" t="s">
        <v>59</v>
      </c>
      <c r="AE41" s="369" t="s">
        <v>60</v>
      </c>
      <c r="AF41" s="370" t="s">
        <v>179</v>
      </c>
      <c r="AG41" s="370" t="s">
        <v>310</v>
      </c>
      <c r="AH41" s="369" t="s">
        <v>33</v>
      </c>
      <c r="AI41" s="369" t="s">
        <v>61</v>
      </c>
      <c r="AJ41" s="369" t="s">
        <v>18</v>
      </c>
      <c r="AK41" s="793"/>
      <c r="AL41" s="793"/>
      <c r="AM41" s="793"/>
    </row>
    <row r="42" spans="1:39" ht="18" customHeight="1" x14ac:dyDescent="0.3">
      <c r="A42" s="371">
        <v>1</v>
      </c>
      <c r="B42" s="372" t="str">
        <f>PETUNJUK!B9</f>
        <v>Pecangaan Kulon</v>
      </c>
      <c r="C42" s="373"/>
      <c r="D42" s="373"/>
      <c r="E42" s="373">
        <v>1</v>
      </c>
      <c r="F42" s="373"/>
      <c r="G42" s="373"/>
      <c r="H42" s="373"/>
      <c r="I42" s="373"/>
      <c r="J42" s="373"/>
      <c r="K42" s="373"/>
      <c r="L42" s="373"/>
      <c r="M42" s="373"/>
      <c r="N42" s="373"/>
      <c r="O42" s="373">
        <v>2</v>
      </c>
      <c r="P42" s="373"/>
      <c r="Q42" s="373"/>
      <c r="R42" s="373"/>
      <c r="S42" s="373"/>
      <c r="T42" s="373"/>
      <c r="U42" s="373"/>
      <c r="V42" s="373"/>
      <c r="W42" s="373"/>
      <c r="X42" s="373"/>
      <c r="Y42" s="373"/>
      <c r="Z42" s="373"/>
      <c r="AA42" s="373"/>
      <c r="AB42" s="373"/>
      <c r="AC42" s="373"/>
      <c r="AD42" s="373"/>
      <c r="AE42" s="373"/>
      <c r="AF42" s="373">
        <v>1</v>
      </c>
      <c r="AG42" s="373"/>
      <c r="AH42" s="373"/>
      <c r="AI42" s="373"/>
      <c r="AJ42" s="373">
        <f t="shared" ref="AJ42:AJ53" si="2">SUM(C42:AI42)</f>
        <v>4</v>
      </c>
      <c r="AK42" s="373"/>
      <c r="AL42" s="373"/>
      <c r="AM42" s="373"/>
    </row>
    <row r="43" spans="1:39" ht="18" customHeight="1" x14ac:dyDescent="0.3">
      <c r="A43" s="371">
        <v>2</v>
      </c>
      <c r="B43" s="372" t="str">
        <f>PETUNJUK!B10</f>
        <v>Rengging</v>
      </c>
      <c r="C43" s="373"/>
      <c r="D43" s="373"/>
      <c r="E43" s="373"/>
      <c r="F43" s="373"/>
      <c r="G43" s="373"/>
      <c r="H43" s="373"/>
      <c r="I43" s="373"/>
      <c r="J43" s="373"/>
      <c r="K43" s="373"/>
      <c r="L43" s="373"/>
      <c r="M43" s="373"/>
      <c r="N43" s="373"/>
      <c r="O43" s="373"/>
      <c r="P43" s="373"/>
      <c r="Q43" s="373"/>
      <c r="R43" s="373"/>
      <c r="S43" s="373"/>
      <c r="T43" s="373"/>
      <c r="U43" s="373"/>
      <c r="V43" s="373"/>
      <c r="W43" s="373"/>
      <c r="X43" s="373"/>
      <c r="Y43" s="373"/>
      <c r="Z43" s="373"/>
      <c r="AA43" s="373"/>
      <c r="AB43" s="373"/>
      <c r="AC43" s="373"/>
      <c r="AD43" s="373"/>
      <c r="AE43" s="373"/>
      <c r="AF43" s="373"/>
      <c r="AG43" s="373"/>
      <c r="AH43" s="373"/>
      <c r="AI43" s="373"/>
      <c r="AJ43" s="373">
        <f t="shared" si="2"/>
        <v>0</v>
      </c>
      <c r="AK43" s="373"/>
      <c r="AL43" s="373"/>
      <c r="AM43" s="373"/>
    </row>
    <row r="44" spans="1:39" ht="18" customHeight="1" x14ac:dyDescent="0.3">
      <c r="A44" s="371">
        <v>3</v>
      </c>
      <c r="B44" s="372" t="str">
        <f>PETUNJUK!B11</f>
        <v>Troso</v>
      </c>
      <c r="C44" s="373"/>
      <c r="D44" s="373"/>
      <c r="E44" s="373"/>
      <c r="F44" s="373"/>
      <c r="G44" s="373"/>
      <c r="H44" s="373"/>
      <c r="I44" s="373"/>
      <c r="J44" s="373"/>
      <c r="K44" s="373"/>
      <c r="L44" s="373"/>
      <c r="M44" s="373">
        <v>1</v>
      </c>
      <c r="N44" s="373"/>
      <c r="O44" s="373">
        <v>1</v>
      </c>
      <c r="P44" s="373"/>
      <c r="Q44" s="373"/>
      <c r="R44" s="373"/>
      <c r="S44" s="373"/>
      <c r="T44" s="373"/>
      <c r="U44" s="373"/>
      <c r="V44" s="373"/>
      <c r="W44" s="373"/>
      <c r="X44" s="373"/>
      <c r="Y44" s="373"/>
      <c r="Z44" s="373"/>
      <c r="AA44" s="373"/>
      <c r="AB44" s="373"/>
      <c r="AC44" s="373"/>
      <c r="AD44" s="373"/>
      <c r="AE44" s="373"/>
      <c r="AF44" s="373"/>
      <c r="AG44" s="373"/>
      <c r="AH44" s="373"/>
      <c r="AI44" s="373"/>
      <c r="AJ44" s="373">
        <f t="shared" si="2"/>
        <v>2</v>
      </c>
      <c r="AK44" s="373"/>
      <c r="AL44" s="373"/>
      <c r="AM44" s="373"/>
    </row>
    <row r="45" spans="1:39" ht="18" customHeight="1" x14ac:dyDescent="0.3">
      <c r="A45" s="371">
        <v>4</v>
      </c>
      <c r="B45" s="372" t="str">
        <f>PETUNJUK!B12</f>
        <v>Ngeling</v>
      </c>
      <c r="C45" s="373"/>
      <c r="D45" s="373"/>
      <c r="E45" s="373"/>
      <c r="F45" s="373"/>
      <c r="G45" s="373"/>
      <c r="H45" s="373"/>
      <c r="I45" s="373"/>
      <c r="J45" s="373"/>
      <c r="K45" s="373"/>
      <c r="L45" s="373"/>
      <c r="M45" s="373"/>
      <c r="N45" s="373"/>
      <c r="O45" s="373">
        <v>2</v>
      </c>
      <c r="P45" s="373"/>
      <c r="Q45" s="373"/>
      <c r="R45" s="373"/>
      <c r="S45" s="373"/>
      <c r="T45" s="373"/>
      <c r="U45" s="373"/>
      <c r="V45" s="373"/>
      <c r="W45" s="373"/>
      <c r="X45" s="373"/>
      <c r="Y45" s="373"/>
      <c r="Z45" s="373"/>
      <c r="AA45" s="373"/>
      <c r="AB45" s="373"/>
      <c r="AC45" s="373"/>
      <c r="AD45" s="373"/>
      <c r="AE45" s="373"/>
      <c r="AF45" s="373"/>
      <c r="AG45" s="373"/>
      <c r="AH45" s="373"/>
      <c r="AI45" s="373">
        <v>1</v>
      </c>
      <c r="AJ45" s="373">
        <f t="shared" si="2"/>
        <v>3</v>
      </c>
      <c r="AK45" s="373"/>
      <c r="AL45" s="373"/>
      <c r="AM45" s="373"/>
    </row>
    <row r="46" spans="1:39" ht="18" customHeight="1" x14ac:dyDescent="0.3">
      <c r="A46" s="371">
        <v>5</v>
      </c>
      <c r="B46" s="372" t="str">
        <f>PETUNJUK!B13</f>
        <v>Lebuawu</v>
      </c>
      <c r="C46" s="373"/>
      <c r="D46" s="373"/>
      <c r="E46" s="373"/>
      <c r="F46" s="373"/>
      <c r="G46" s="373"/>
      <c r="H46" s="373"/>
      <c r="I46" s="373"/>
      <c r="J46" s="373"/>
      <c r="K46" s="373"/>
      <c r="L46" s="373"/>
      <c r="M46" s="373"/>
      <c r="N46" s="373"/>
      <c r="O46" s="373"/>
      <c r="P46" s="373"/>
      <c r="Q46" s="373"/>
      <c r="R46" s="373"/>
      <c r="S46" s="373"/>
      <c r="T46" s="373"/>
      <c r="U46" s="373"/>
      <c r="V46" s="373"/>
      <c r="W46" s="373"/>
      <c r="X46" s="373"/>
      <c r="Y46" s="373"/>
      <c r="Z46" s="373"/>
      <c r="AA46" s="373"/>
      <c r="AB46" s="373"/>
      <c r="AC46" s="373"/>
      <c r="AD46" s="373"/>
      <c r="AE46" s="373"/>
      <c r="AF46" s="373"/>
      <c r="AG46" s="373"/>
      <c r="AH46" s="373"/>
      <c r="AI46" s="373"/>
      <c r="AJ46" s="373">
        <f t="shared" si="2"/>
        <v>0</v>
      </c>
      <c r="AK46" s="373"/>
      <c r="AL46" s="373"/>
      <c r="AM46" s="373"/>
    </row>
    <row r="47" spans="1:39" ht="18" customHeight="1" x14ac:dyDescent="0.3">
      <c r="A47" s="371">
        <v>6</v>
      </c>
      <c r="B47" s="372" t="str">
        <f>PETUNJUK!B14</f>
        <v>Pulodarat</v>
      </c>
      <c r="C47" s="373"/>
      <c r="D47" s="373"/>
      <c r="E47" s="373"/>
      <c r="F47" s="373"/>
      <c r="G47" s="373"/>
      <c r="H47" s="373"/>
      <c r="I47" s="373"/>
      <c r="J47" s="373"/>
      <c r="K47" s="373"/>
      <c r="L47" s="373"/>
      <c r="M47" s="373"/>
      <c r="N47" s="373"/>
      <c r="O47" s="373">
        <v>1</v>
      </c>
      <c r="P47" s="373"/>
      <c r="Q47" s="373"/>
      <c r="R47" s="373"/>
      <c r="S47" s="373"/>
      <c r="T47" s="373"/>
      <c r="U47" s="373">
        <v>1</v>
      </c>
      <c r="V47" s="373"/>
      <c r="W47" s="373"/>
      <c r="X47" s="373"/>
      <c r="Y47" s="373"/>
      <c r="Z47" s="373"/>
      <c r="AA47" s="373"/>
      <c r="AB47" s="373"/>
      <c r="AC47" s="373"/>
      <c r="AD47" s="373"/>
      <c r="AE47" s="373"/>
      <c r="AF47" s="373"/>
      <c r="AG47" s="373"/>
      <c r="AH47" s="373"/>
      <c r="AI47" s="373"/>
      <c r="AJ47" s="373">
        <f t="shared" si="2"/>
        <v>2</v>
      </c>
      <c r="AK47" s="373"/>
      <c r="AL47" s="373"/>
      <c r="AM47" s="373"/>
    </row>
    <row r="48" spans="1:39" ht="18" customHeight="1" x14ac:dyDescent="0.3">
      <c r="A48" s="371">
        <v>7</v>
      </c>
      <c r="B48" s="372" t="str">
        <f>PETUNJUK!B15</f>
        <v>Karangrandu</v>
      </c>
      <c r="C48" s="373"/>
      <c r="D48" s="373"/>
      <c r="E48" s="373"/>
      <c r="F48" s="373"/>
      <c r="G48" s="373"/>
      <c r="H48" s="373"/>
      <c r="I48" s="373"/>
      <c r="J48" s="373"/>
      <c r="K48" s="373"/>
      <c r="L48" s="373"/>
      <c r="M48" s="373"/>
      <c r="N48" s="373"/>
      <c r="O48" s="373">
        <v>1</v>
      </c>
      <c r="P48" s="373"/>
      <c r="Q48" s="373"/>
      <c r="R48" s="373"/>
      <c r="S48" s="373"/>
      <c r="T48" s="373"/>
      <c r="U48" s="373">
        <v>1</v>
      </c>
      <c r="V48" s="373"/>
      <c r="W48" s="373"/>
      <c r="X48" s="373"/>
      <c r="Y48" s="373"/>
      <c r="Z48" s="373"/>
      <c r="AA48" s="373"/>
      <c r="AB48" s="373"/>
      <c r="AC48" s="373"/>
      <c r="AD48" s="373"/>
      <c r="AE48" s="373"/>
      <c r="AF48" s="373"/>
      <c r="AG48" s="373"/>
      <c r="AH48" s="373"/>
      <c r="AI48" s="373"/>
      <c r="AJ48" s="373">
        <f t="shared" si="2"/>
        <v>2</v>
      </c>
      <c r="AK48" s="373"/>
      <c r="AL48" s="373"/>
      <c r="AM48" s="373"/>
    </row>
    <row r="49" spans="1:39" ht="18" customHeight="1" x14ac:dyDescent="0.3">
      <c r="A49" s="371">
        <v>8</v>
      </c>
      <c r="B49" s="372" t="str">
        <f>PETUNJUK!B16</f>
        <v>Kaliombo</v>
      </c>
      <c r="C49" s="373"/>
      <c r="D49" s="373"/>
      <c r="E49" s="373"/>
      <c r="F49" s="373"/>
      <c r="G49" s="373"/>
      <c r="H49" s="373"/>
      <c r="I49" s="373"/>
      <c r="J49" s="373"/>
      <c r="K49" s="373"/>
      <c r="L49" s="373"/>
      <c r="M49" s="373">
        <v>1</v>
      </c>
      <c r="N49" s="373"/>
      <c r="O49" s="373">
        <v>1</v>
      </c>
      <c r="P49" s="373"/>
      <c r="Q49" s="373"/>
      <c r="R49" s="373"/>
      <c r="S49" s="373">
        <v>1</v>
      </c>
      <c r="T49" s="373"/>
      <c r="U49" s="373"/>
      <c r="V49" s="373"/>
      <c r="W49" s="373"/>
      <c r="X49" s="373"/>
      <c r="Y49" s="373"/>
      <c r="Z49" s="373"/>
      <c r="AA49" s="373"/>
      <c r="AB49" s="373"/>
      <c r="AC49" s="373"/>
      <c r="AD49" s="373"/>
      <c r="AE49" s="373"/>
      <c r="AF49" s="373"/>
      <c r="AG49" s="373"/>
      <c r="AH49" s="373"/>
      <c r="AI49" s="373"/>
      <c r="AJ49" s="373">
        <f t="shared" si="2"/>
        <v>3</v>
      </c>
      <c r="AK49" s="373"/>
      <c r="AL49" s="373"/>
      <c r="AM49" s="373"/>
    </row>
    <row r="50" spans="1:39" ht="18" customHeight="1" x14ac:dyDescent="0.3">
      <c r="A50" s="371">
        <v>9</v>
      </c>
      <c r="B50" s="372" t="str">
        <f>PETUNJUK!B17</f>
        <v>Gemulung</v>
      </c>
      <c r="C50" s="373"/>
      <c r="D50" s="373"/>
      <c r="E50" s="373"/>
      <c r="F50" s="373"/>
      <c r="G50" s="373"/>
      <c r="H50" s="373"/>
      <c r="I50" s="373"/>
      <c r="J50" s="373"/>
      <c r="K50" s="373"/>
      <c r="L50" s="373"/>
      <c r="M50" s="373"/>
      <c r="N50" s="373"/>
      <c r="O50" s="373"/>
      <c r="P50" s="373"/>
      <c r="Q50" s="373"/>
      <c r="R50" s="373"/>
      <c r="S50" s="373"/>
      <c r="T50" s="373"/>
      <c r="U50" s="373"/>
      <c r="V50" s="373"/>
      <c r="W50" s="373"/>
      <c r="X50" s="373"/>
      <c r="Y50" s="373"/>
      <c r="Z50" s="373"/>
      <c r="AA50" s="373"/>
      <c r="AB50" s="373"/>
      <c r="AC50" s="373"/>
      <c r="AD50" s="373"/>
      <c r="AE50" s="373"/>
      <c r="AF50" s="373"/>
      <c r="AG50" s="373"/>
      <c r="AH50" s="373"/>
      <c r="AI50" s="373">
        <v>1</v>
      </c>
      <c r="AJ50" s="373">
        <f t="shared" si="2"/>
        <v>1</v>
      </c>
      <c r="AK50" s="373"/>
      <c r="AL50" s="373"/>
      <c r="AM50" s="373"/>
    </row>
    <row r="51" spans="1:39" ht="18" customHeight="1" x14ac:dyDescent="0.3">
      <c r="A51" s="371">
        <v>10</v>
      </c>
      <c r="B51" s="372" t="str">
        <f>PETUNJUK!B18</f>
        <v>Pecangaan Wetan</v>
      </c>
      <c r="C51" s="373"/>
      <c r="D51" s="373"/>
      <c r="E51" s="373"/>
      <c r="F51" s="373"/>
      <c r="G51" s="373"/>
      <c r="H51" s="373"/>
      <c r="I51" s="373"/>
      <c r="J51" s="373"/>
      <c r="K51" s="373"/>
      <c r="L51" s="373"/>
      <c r="M51" s="373"/>
      <c r="N51" s="373"/>
      <c r="O51" s="373">
        <v>1</v>
      </c>
      <c r="P51" s="373"/>
      <c r="Q51" s="373"/>
      <c r="R51" s="373"/>
      <c r="S51" s="373"/>
      <c r="T51" s="373"/>
      <c r="U51" s="373"/>
      <c r="V51" s="373"/>
      <c r="W51" s="373"/>
      <c r="X51" s="373"/>
      <c r="Y51" s="373"/>
      <c r="Z51" s="373"/>
      <c r="AA51" s="373"/>
      <c r="AB51" s="373"/>
      <c r="AC51" s="373"/>
      <c r="AD51" s="373"/>
      <c r="AE51" s="373"/>
      <c r="AF51" s="373"/>
      <c r="AG51" s="373"/>
      <c r="AH51" s="373"/>
      <c r="AI51" s="373"/>
      <c r="AJ51" s="373">
        <f t="shared" si="2"/>
        <v>1</v>
      </c>
      <c r="AK51" s="373"/>
      <c r="AL51" s="373"/>
      <c r="AM51" s="373"/>
    </row>
    <row r="52" spans="1:39" ht="18" customHeight="1" x14ac:dyDescent="0.3">
      <c r="A52" s="371">
        <v>11</v>
      </c>
      <c r="B52" s="372" t="str">
        <f>PETUNJUK!B19</f>
        <v>Krasak</v>
      </c>
      <c r="C52" s="373"/>
      <c r="D52" s="373"/>
      <c r="E52" s="373">
        <v>1</v>
      </c>
      <c r="F52" s="373"/>
      <c r="G52" s="373"/>
      <c r="H52" s="373"/>
      <c r="I52" s="373"/>
      <c r="J52" s="373"/>
      <c r="K52" s="373"/>
      <c r="L52" s="373"/>
      <c r="M52" s="373"/>
      <c r="N52" s="373"/>
      <c r="O52" s="373"/>
      <c r="P52" s="373"/>
      <c r="Q52" s="373"/>
      <c r="R52" s="373"/>
      <c r="S52" s="373"/>
      <c r="T52" s="373"/>
      <c r="U52" s="373"/>
      <c r="V52" s="373"/>
      <c r="W52" s="373"/>
      <c r="X52" s="373"/>
      <c r="Y52" s="373"/>
      <c r="Z52" s="373"/>
      <c r="AA52" s="373"/>
      <c r="AB52" s="373"/>
      <c r="AC52" s="373"/>
      <c r="AD52" s="373"/>
      <c r="AE52" s="373"/>
      <c r="AF52" s="373"/>
      <c r="AG52" s="373"/>
      <c r="AH52" s="373"/>
      <c r="AI52" s="373"/>
      <c r="AJ52" s="373">
        <f t="shared" si="2"/>
        <v>1</v>
      </c>
      <c r="AK52" s="373"/>
      <c r="AL52" s="373"/>
      <c r="AM52" s="373"/>
    </row>
    <row r="53" spans="1:39" ht="18" customHeight="1" x14ac:dyDescent="0.3">
      <c r="A53" s="371">
        <v>12</v>
      </c>
      <c r="B53" s="372" t="str">
        <f>PETUNJUK!B20</f>
        <v>Gerdu</v>
      </c>
      <c r="C53" s="373"/>
      <c r="D53" s="373"/>
      <c r="E53" s="373"/>
      <c r="F53" s="373"/>
      <c r="G53" s="373"/>
      <c r="H53" s="373"/>
      <c r="I53" s="373"/>
      <c r="J53" s="373"/>
      <c r="K53" s="373"/>
      <c r="L53" s="373"/>
      <c r="M53" s="373"/>
      <c r="N53" s="373"/>
      <c r="O53" s="373"/>
      <c r="P53" s="373"/>
      <c r="Q53" s="373"/>
      <c r="R53" s="373"/>
      <c r="S53" s="373"/>
      <c r="T53" s="373"/>
      <c r="U53" s="373"/>
      <c r="V53" s="373"/>
      <c r="W53" s="373"/>
      <c r="X53" s="373"/>
      <c r="Y53" s="373"/>
      <c r="Z53" s="373"/>
      <c r="AA53" s="373"/>
      <c r="AB53" s="373"/>
      <c r="AC53" s="373"/>
      <c r="AD53" s="373"/>
      <c r="AE53" s="373"/>
      <c r="AF53" s="373"/>
      <c r="AG53" s="373"/>
      <c r="AH53" s="373"/>
      <c r="AI53" s="373"/>
      <c r="AJ53" s="373">
        <f t="shared" si="2"/>
        <v>0</v>
      </c>
      <c r="AK53" s="373"/>
      <c r="AL53" s="373"/>
      <c r="AM53" s="373"/>
    </row>
    <row r="54" spans="1:39" ht="18" customHeight="1" x14ac:dyDescent="0.3">
      <c r="A54" s="371">
        <v>13</v>
      </c>
      <c r="B54" s="372">
        <f>PETUNJUK!B21</f>
        <v>0</v>
      </c>
      <c r="C54" s="373"/>
      <c r="D54" s="373"/>
      <c r="E54" s="373"/>
      <c r="F54" s="373"/>
      <c r="G54" s="373"/>
      <c r="H54" s="373"/>
      <c r="I54" s="373"/>
      <c r="J54" s="373"/>
      <c r="K54" s="373"/>
      <c r="L54" s="373"/>
      <c r="M54" s="373"/>
      <c r="N54" s="373"/>
      <c r="O54" s="373"/>
      <c r="P54" s="373"/>
      <c r="Q54" s="373"/>
      <c r="R54" s="373"/>
      <c r="S54" s="373"/>
      <c r="T54" s="373"/>
      <c r="U54" s="373"/>
      <c r="V54" s="373"/>
      <c r="W54" s="373"/>
      <c r="X54" s="373"/>
      <c r="Y54" s="373"/>
      <c r="Z54" s="373"/>
      <c r="AA54" s="373"/>
      <c r="AB54" s="373"/>
      <c r="AC54" s="373"/>
      <c r="AD54" s="373"/>
      <c r="AE54" s="373"/>
      <c r="AF54" s="373"/>
      <c r="AG54" s="373"/>
      <c r="AH54" s="373"/>
      <c r="AI54" s="373"/>
      <c r="AJ54" s="373"/>
      <c r="AK54" s="373"/>
      <c r="AL54" s="373"/>
      <c r="AM54" s="373"/>
    </row>
    <row r="55" spans="1:39" ht="18" customHeight="1" x14ac:dyDescent="0.3">
      <c r="A55" s="371">
        <v>14</v>
      </c>
      <c r="B55" s="372">
        <f>PETUNJUK!B22</f>
        <v>0</v>
      </c>
      <c r="C55" s="373"/>
      <c r="D55" s="373"/>
      <c r="E55" s="373"/>
      <c r="F55" s="373"/>
      <c r="G55" s="373"/>
      <c r="H55" s="373"/>
      <c r="I55" s="373"/>
      <c r="J55" s="373"/>
      <c r="K55" s="373"/>
      <c r="L55" s="373"/>
      <c r="M55" s="373"/>
      <c r="N55" s="373"/>
      <c r="O55" s="373"/>
      <c r="P55" s="373"/>
      <c r="Q55" s="373"/>
      <c r="R55" s="373"/>
      <c r="S55" s="373"/>
      <c r="T55" s="373"/>
      <c r="U55" s="373"/>
      <c r="V55" s="373"/>
      <c r="W55" s="373"/>
      <c r="X55" s="373"/>
      <c r="Y55" s="373"/>
      <c r="Z55" s="373"/>
      <c r="AA55" s="373"/>
      <c r="AB55" s="373"/>
      <c r="AC55" s="373"/>
      <c r="AD55" s="373"/>
      <c r="AE55" s="373"/>
      <c r="AF55" s="373"/>
      <c r="AG55" s="373"/>
      <c r="AH55" s="373"/>
      <c r="AI55" s="373"/>
      <c r="AJ55" s="373"/>
      <c r="AK55" s="373"/>
      <c r="AL55" s="373"/>
      <c r="AM55" s="373"/>
    </row>
    <row r="56" spans="1:39" ht="18" customHeight="1" x14ac:dyDescent="0.3">
      <c r="A56" s="371">
        <v>15</v>
      </c>
      <c r="B56" s="372">
        <f>PETUNJUK!B23</f>
        <v>0</v>
      </c>
      <c r="C56" s="373"/>
      <c r="D56" s="373"/>
      <c r="E56" s="373"/>
      <c r="F56" s="373"/>
      <c r="G56" s="373"/>
      <c r="H56" s="373"/>
      <c r="I56" s="373"/>
      <c r="J56" s="373"/>
      <c r="K56" s="373"/>
      <c r="L56" s="373"/>
      <c r="M56" s="373"/>
      <c r="N56" s="373"/>
      <c r="O56" s="373"/>
      <c r="P56" s="373"/>
      <c r="Q56" s="373"/>
      <c r="R56" s="373"/>
      <c r="S56" s="373"/>
      <c r="T56" s="373"/>
      <c r="U56" s="373"/>
      <c r="V56" s="373"/>
      <c r="W56" s="373"/>
      <c r="X56" s="373"/>
      <c r="Y56" s="373"/>
      <c r="Z56" s="373"/>
      <c r="AA56" s="373"/>
      <c r="AB56" s="373"/>
      <c r="AC56" s="373"/>
      <c r="AD56" s="373"/>
      <c r="AE56" s="373"/>
      <c r="AF56" s="373"/>
      <c r="AG56" s="373"/>
      <c r="AH56" s="373"/>
      <c r="AI56" s="373"/>
      <c r="AJ56" s="373"/>
      <c r="AK56" s="373"/>
      <c r="AL56" s="373"/>
      <c r="AM56" s="373"/>
    </row>
    <row r="57" spans="1:39" ht="18" customHeight="1" x14ac:dyDescent="0.3">
      <c r="A57" s="371">
        <v>16</v>
      </c>
      <c r="B57" s="372">
        <f>PETUNJUK!B24</f>
        <v>0</v>
      </c>
      <c r="C57" s="373"/>
      <c r="D57" s="373"/>
      <c r="E57" s="373"/>
      <c r="F57" s="373"/>
      <c r="G57" s="373"/>
      <c r="H57" s="373"/>
      <c r="I57" s="373"/>
      <c r="J57" s="373"/>
      <c r="K57" s="373"/>
      <c r="L57" s="373"/>
      <c r="M57" s="373"/>
      <c r="N57" s="373"/>
      <c r="O57" s="373"/>
      <c r="P57" s="373"/>
      <c r="Q57" s="373"/>
      <c r="R57" s="373"/>
      <c r="S57" s="373"/>
      <c r="T57" s="373"/>
      <c r="U57" s="373"/>
      <c r="V57" s="373"/>
      <c r="W57" s="373"/>
      <c r="X57" s="373"/>
      <c r="Y57" s="373"/>
      <c r="Z57" s="373"/>
      <c r="AA57" s="373"/>
      <c r="AB57" s="373"/>
      <c r="AC57" s="373"/>
      <c r="AD57" s="373"/>
      <c r="AE57" s="373"/>
      <c r="AF57" s="373"/>
      <c r="AG57" s="373"/>
      <c r="AH57" s="373"/>
      <c r="AI57" s="373"/>
      <c r="AJ57" s="373"/>
      <c r="AK57" s="373"/>
      <c r="AL57" s="373"/>
      <c r="AM57" s="373"/>
    </row>
    <row r="58" spans="1:39" ht="18" customHeight="1" x14ac:dyDescent="0.3">
      <c r="A58" s="371">
        <v>17</v>
      </c>
      <c r="B58" s="372">
        <f>PETUNJUK!B25</f>
        <v>0</v>
      </c>
      <c r="C58" s="373"/>
      <c r="D58" s="373"/>
      <c r="E58" s="373"/>
      <c r="F58" s="373"/>
      <c r="G58" s="373"/>
      <c r="H58" s="373"/>
      <c r="I58" s="373"/>
      <c r="J58" s="373"/>
      <c r="K58" s="373"/>
      <c r="L58" s="373"/>
      <c r="M58" s="373"/>
      <c r="N58" s="373"/>
      <c r="O58" s="373"/>
      <c r="P58" s="373"/>
      <c r="Q58" s="373"/>
      <c r="R58" s="373"/>
      <c r="S58" s="373"/>
      <c r="T58" s="373"/>
      <c r="U58" s="373"/>
      <c r="V58" s="373"/>
      <c r="W58" s="373"/>
      <c r="X58" s="373"/>
      <c r="Y58" s="373"/>
      <c r="Z58" s="373"/>
      <c r="AA58" s="373"/>
      <c r="AB58" s="373"/>
      <c r="AC58" s="373"/>
      <c r="AD58" s="373"/>
      <c r="AE58" s="373"/>
      <c r="AF58" s="373"/>
      <c r="AG58" s="373"/>
      <c r="AH58" s="373"/>
      <c r="AI58" s="373"/>
      <c r="AJ58" s="373"/>
      <c r="AK58" s="373"/>
      <c r="AL58" s="373"/>
      <c r="AM58" s="373"/>
    </row>
    <row r="59" spans="1:39" ht="18" customHeight="1" x14ac:dyDescent="0.3">
      <c r="A59" s="371">
        <v>18</v>
      </c>
      <c r="B59" s="372">
        <f>PETUNJUK!B26</f>
        <v>0</v>
      </c>
      <c r="C59" s="373"/>
      <c r="D59" s="373"/>
      <c r="E59" s="373"/>
      <c r="F59" s="373"/>
      <c r="G59" s="373"/>
      <c r="H59" s="373"/>
      <c r="I59" s="373"/>
      <c r="J59" s="373"/>
      <c r="K59" s="373"/>
      <c r="L59" s="373"/>
      <c r="M59" s="373"/>
      <c r="N59" s="373"/>
      <c r="O59" s="373"/>
      <c r="P59" s="373"/>
      <c r="Q59" s="373"/>
      <c r="R59" s="373"/>
      <c r="S59" s="373"/>
      <c r="T59" s="373"/>
      <c r="U59" s="373"/>
      <c r="V59" s="373"/>
      <c r="W59" s="373"/>
      <c r="X59" s="373"/>
      <c r="Y59" s="373"/>
      <c r="Z59" s="373"/>
      <c r="AA59" s="373"/>
      <c r="AB59" s="373"/>
      <c r="AC59" s="373"/>
      <c r="AD59" s="373"/>
      <c r="AE59" s="373"/>
      <c r="AF59" s="373"/>
      <c r="AG59" s="373"/>
      <c r="AH59" s="373"/>
      <c r="AI59" s="373"/>
      <c r="AJ59" s="373"/>
      <c r="AK59" s="373"/>
      <c r="AL59" s="373"/>
      <c r="AM59" s="373"/>
    </row>
    <row r="60" spans="1:39" ht="18" customHeight="1" x14ac:dyDescent="0.3">
      <c r="A60" s="371">
        <v>19</v>
      </c>
      <c r="B60" s="372">
        <f>PETUNJUK!B27</f>
        <v>0</v>
      </c>
      <c r="C60" s="373"/>
      <c r="D60" s="373"/>
      <c r="E60" s="373"/>
      <c r="F60" s="373"/>
      <c r="G60" s="373"/>
      <c r="H60" s="373"/>
      <c r="I60" s="373"/>
      <c r="J60" s="373"/>
      <c r="K60" s="373"/>
      <c r="L60" s="373"/>
      <c r="M60" s="373"/>
      <c r="N60" s="373"/>
      <c r="O60" s="373"/>
      <c r="P60" s="373"/>
      <c r="Q60" s="373"/>
      <c r="R60" s="373"/>
      <c r="S60" s="373"/>
      <c r="T60" s="373"/>
      <c r="U60" s="373"/>
      <c r="V60" s="373"/>
      <c r="W60" s="373"/>
      <c r="X60" s="373"/>
      <c r="Y60" s="373"/>
      <c r="Z60" s="373"/>
      <c r="AA60" s="373"/>
      <c r="AB60" s="373"/>
      <c r="AC60" s="373"/>
      <c r="AD60" s="373"/>
      <c r="AE60" s="373"/>
      <c r="AF60" s="373"/>
      <c r="AG60" s="373"/>
      <c r="AH60" s="373"/>
      <c r="AI60" s="373"/>
      <c r="AJ60" s="373"/>
      <c r="AK60" s="373"/>
      <c r="AL60" s="373"/>
      <c r="AM60" s="373"/>
    </row>
    <row r="61" spans="1:39" ht="18" customHeight="1" x14ac:dyDescent="0.3">
      <c r="A61" s="371">
        <v>20</v>
      </c>
      <c r="B61" s="372">
        <f>PETUNJUK!B28</f>
        <v>0</v>
      </c>
      <c r="C61" s="373"/>
      <c r="D61" s="373"/>
      <c r="E61" s="373"/>
      <c r="F61" s="373"/>
      <c r="G61" s="373"/>
      <c r="H61" s="373"/>
      <c r="I61" s="373"/>
      <c r="J61" s="373"/>
      <c r="K61" s="373"/>
      <c r="L61" s="373"/>
      <c r="M61" s="373"/>
      <c r="N61" s="373"/>
      <c r="O61" s="373"/>
      <c r="P61" s="373"/>
      <c r="Q61" s="373"/>
      <c r="R61" s="373"/>
      <c r="S61" s="373"/>
      <c r="T61" s="373"/>
      <c r="U61" s="373"/>
      <c r="V61" s="373"/>
      <c r="W61" s="373"/>
      <c r="X61" s="373"/>
      <c r="Y61" s="373"/>
      <c r="Z61" s="373"/>
      <c r="AA61" s="373"/>
      <c r="AB61" s="373"/>
      <c r="AC61" s="373"/>
      <c r="AD61" s="373"/>
      <c r="AE61" s="373"/>
      <c r="AF61" s="373"/>
      <c r="AG61" s="373"/>
      <c r="AH61" s="373"/>
      <c r="AI61" s="373"/>
      <c r="AJ61" s="373"/>
      <c r="AK61" s="373"/>
      <c r="AL61" s="373"/>
      <c r="AM61" s="373"/>
    </row>
    <row r="62" spans="1:39" ht="18" customHeight="1" x14ac:dyDescent="0.3">
      <c r="A62" s="371">
        <v>21</v>
      </c>
      <c r="B62" s="372">
        <f>PETUNJUK!B29</f>
        <v>0</v>
      </c>
      <c r="C62" s="373"/>
      <c r="D62" s="373"/>
      <c r="E62" s="373"/>
      <c r="F62" s="373"/>
      <c r="G62" s="373"/>
      <c r="H62" s="373"/>
      <c r="I62" s="373"/>
      <c r="J62" s="373"/>
      <c r="K62" s="373"/>
      <c r="L62" s="373"/>
      <c r="M62" s="373"/>
      <c r="N62" s="373"/>
      <c r="O62" s="373"/>
      <c r="P62" s="373"/>
      <c r="Q62" s="373"/>
      <c r="R62" s="373"/>
      <c r="S62" s="373"/>
      <c r="T62" s="373"/>
      <c r="U62" s="373"/>
      <c r="V62" s="373"/>
      <c r="W62" s="373"/>
      <c r="X62" s="373"/>
      <c r="Y62" s="373"/>
      <c r="Z62" s="373"/>
      <c r="AA62" s="373"/>
      <c r="AB62" s="373"/>
      <c r="AC62" s="373"/>
      <c r="AD62" s="373"/>
      <c r="AE62" s="373"/>
      <c r="AF62" s="373"/>
      <c r="AG62" s="373"/>
      <c r="AH62" s="373"/>
      <c r="AI62" s="373"/>
      <c r="AJ62" s="373"/>
      <c r="AK62" s="373"/>
      <c r="AL62" s="373"/>
      <c r="AM62" s="373"/>
    </row>
    <row r="63" spans="1:39" ht="18" customHeight="1" x14ac:dyDescent="0.3">
      <c r="A63" s="371">
        <v>22</v>
      </c>
      <c r="B63" s="372">
        <f>PETUNJUK!B30</f>
        <v>0</v>
      </c>
      <c r="C63" s="382"/>
      <c r="D63" s="382"/>
      <c r="E63" s="382"/>
      <c r="F63" s="382"/>
      <c r="G63" s="382"/>
      <c r="H63" s="382"/>
      <c r="I63" s="382"/>
      <c r="J63" s="382"/>
      <c r="K63" s="382"/>
      <c r="L63" s="382"/>
      <c r="M63" s="382"/>
      <c r="N63" s="382"/>
      <c r="O63" s="382"/>
      <c r="P63" s="382"/>
      <c r="Q63" s="382"/>
      <c r="R63" s="382"/>
      <c r="S63" s="382"/>
      <c r="T63" s="382"/>
      <c r="U63" s="382"/>
      <c r="V63" s="382"/>
      <c r="W63" s="382"/>
      <c r="X63" s="382"/>
      <c r="Y63" s="382"/>
      <c r="Z63" s="382"/>
      <c r="AA63" s="382"/>
      <c r="AB63" s="382"/>
      <c r="AC63" s="382"/>
      <c r="AD63" s="382"/>
      <c r="AE63" s="382"/>
      <c r="AF63" s="382"/>
      <c r="AG63" s="382"/>
      <c r="AH63" s="382"/>
      <c r="AI63" s="382"/>
      <c r="AJ63" s="373"/>
      <c r="AK63" s="382"/>
      <c r="AL63" s="382"/>
      <c r="AM63" s="382"/>
    </row>
    <row r="64" spans="1:39" ht="18" customHeight="1" x14ac:dyDescent="0.3">
      <c r="A64" s="806" t="s">
        <v>62</v>
      </c>
      <c r="B64" s="807"/>
      <c r="C64" s="380">
        <f t="shared" ref="C64:AM64" si="3">SUM(C42:C63)</f>
        <v>0</v>
      </c>
      <c r="D64" s="380">
        <f t="shared" si="3"/>
        <v>0</v>
      </c>
      <c r="E64" s="380">
        <f t="shared" si="3"/>
        <v>2</v>
      </c>
      <c r="F64" s="380">
        <f t="shared" si="3"/>
        <v>0</v>
      </c>
      <c r="G64" s="380">
        <f t="shared" si="3"/>
        <v>0</v>
      </c>
      <c r="H64" s="380">
        <f t="shared" si="3"/>
        <v>0</v>
      </c>
      <c r="I64" s="380">
        <f t="shared" si="3"/>
        <v>0</v>
      </c>
      <c r="J64" s="380">
        <f t="shared" si="3"/>
        <v>0</v>
      </c>
      <c r="K64" s="380">
        <f t="shared" si="3"/>
        <v>0</v>
      </c>
      <c r="L64" s="380">
        <f t="shared" si="3"/>
        <v>0</v>
      </c>
      <c r="M64" s="380">
        <f t="shared" si="3"/>
        <v>2</v>
      </c>
      <c r="N64" s="380">
        <f t="shared" si="3"/>
        <v>0</v>
      </c>
      <c r="O64" s="380">
        <f t="shared" si="3"/>
        <v>9</v>
      </c>
      <c r="P64" s="380">
        <f t="shared" si="3"/>
        <v>0</v>
      </c>
      <c r="Q64" s="380">
        <f t="shared" si="3"/>
        <v>0</v>
      </c>
      <c r="R64" s="380">
        <f t="shared" si="3"/>
        <v>0</v>
      </c>
      <c r="S64" s="380">
        <f t="shared" si="3"/>
        <v>1</v>
      </c>
      <c r="T64" s="380">
        <f t="shared" si="3"/>
        <v>0</v>
      </c>
      <c r="U64" s="380">
        <f t="shared" si="3"/>
        <v>2</v>
      </c>
      <c r="V64" s="380">
        <f t="shared" si="3"/>
        <v>0</v>
      </c>
      <c r="W64" s="380">
        <f t="shared" si="3"/>
        <v>0</v>
      </c>
      <c r="X64" s="380">
        <f t="shared" si="3"/>
        <v>0</v>
      </c>
      <c r="Y64" s="380">
        <f t="shared" si="3"/>
        <v>0</v>
      </c>
      <c r="Z64" s="380">
        <f t="shared" si="3"/>
        <v>0</v>
      </c>
      <c r="AA64" s="380">
        <f t="shared" si="3"/>
        <v>0</v>
      </c>
      <c r="AB64" s="380">
        <f t="shared" si="3"/>
        <v>0</v>
      </c>
      <c r="AC64" s="380">
        <f t="shared" si="3"/>
        <v>0</v>
      </c>
      <c r="AD64" s="380">
        <f t="shared" si="3"/>
        <v>0</v>
      </c>
      <c r="AE64" s="380">
        <f t="shared" si="3"/>
        <v>0</v>
      </c>
      <c r="AF64" s="380">
        <f t="shared" si="3"/>
        <v>1</v>
      </c>
      <c r="AG64" s="380">
        <f t="shared" si="3"/>
        <v>0</v>
      </c>
      <c r="AH64" s="380">
        <f t="shared" si="3"/>
        <v>0</v>
      </c>
      <c r="AI64" s="380">
        <f t="shared" si="3"/>
        <v>2</v>
      </c>
      <c r="AJ64" s="380">
        <f t="shared" si="3"/>
        <v>19</v>
      </c>
      <c r="AK64" s="380">
        <f t="shared" si="3"/>
        <v>0</v>
      </c>
      <c r="AL64" s="380">
        <f t="shared" si="3"/>
        <v>0</v>
      </c>
      <c r="AM64" s="380">
        <f t="shared" si="3"/>
        <v>0</v>
      </c>
    </row>
    <row r="65" spans="1:39" x14ac:dyDescent="0.35">
      <c r="A65" s="235"/>
      <c r="B65" s="235" t="s">
        <v>63</v>
      </c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801" t="s">
        <v>181</v>
      </c>
      <c r="O65" s="801"/>
      <c r="P65" s="801"/>
      <c r="Q65" s="801"/>
      <c r="R65" s="801"/>
      <c r="S65" s="801"/>
      <c r="T65" s="801"/>
      <c r="U65" s="801"/>
      <c r="V65" s="801"/>
      <c r="W65" s="801"/>
      <c r="X65" s="801"/>
      <c r="Y65" s="801"/>
      <c r="Z65" s="801"/>
      <c r="AA65" s="801"/>
      <c r="AB65" s="801"/>
      <c r="AC65" s="801"/>
      <c r="AD65" s="801"/>
      <c r="AE65" s="801"/>
      <c r="AF65" s="801"/>
      <c r="AG65" s="801"/>
      <c r="AH65" s="801"/>
      <c r="AI65" s="801"/>
      <c r="AJ65" s="378"/>
    </row>
    <row r="70" spans="1:39" x14ac:dyDescent="0.35">
      <c r="A70" s="802" t="s">
        <v>177</v>
      </c>
      <c r="B70" s="802"/>
      <c r="C70" s="802"/>
      <c r="D70" s="802"/>
      <c r="E70" s="802"/>
      <c r="F70" s="802"/>
      <c r="G70" s="802"/>
      <c r="H70" s="802"/>
      <c r="I70" s="802"/>
      <c r="J70" s="802"/>
      <c r="K70" s="802"/>
      <c r="L70" s="802"/>
      <c r="M70" s="802"/>
      <c r="N70" s="802"/>
      <c r="O70" s="802"/>
      <c r="P70" s="802"/>
      <c r="Q70" s="802"/>
      <c r="R70" s="802"/>
      <c r="S70" s="802"/>
      <c r="T70" s="802"/>
      <c r="U70" s="802"/>
      <c r="V70" s="802"/>
      <c r="W70" s="802"/>
      <c r="X70" s="802"/>
      <c r="Y70" s="802"/>
      <c r="Z70" s="802"/>
      <c r="AA70" s="802"/>
      <c r="AB70" s="802"/>
      <c r="AC70" s="802"/>
      <c r="AD70" s="802"/>
      <c r="AE70" s="802"/>
      <c r="AF70" s="802"/>
      <c r="AG70" s="802"/>
      <c r="AH70" s="802"/>
      <c r="AI70" s="802"/>
      <c r="AJ70" s="802"/>
    </row>
    <row r="71" spans="1:39" x14ac:dyDescent="0.35">
      <c r="A71" s="363"/>
      <c r="B71" s="363"/>
      <c r="C71" s="632"/>
      <c r="D71" s="632"/>
      <c r="E71" s="632"/>
      <c r="F71" s="632"/>
      <c r="G71" s="632"/>
      <c r="H71" s="632"/>
      <c r="I71" s="632"/>
      <c r="J71" s="632"/>
      <c r="K71" s="632"/>
      <c r="L71" s="632"/>
      <c r="M71" s="632"/>
      <c r="N71" s="632"/>
      <c r="O71" s="632"/>
      <c r="P71" s="632"/>
      <c r="Q71" s="632"/>
      <c r="R71" s="632"/>
      <c r="S71" s="632"/>
      <c r="T71" s="632"/>
      <c r="U71" s="632"/>
      <c r="V71" s="632"/>
      <c r="W71" s="632"/>
      <c r="X71" s="632"/>
      <c r="Y71" s="632"/>
      <c r="Z71" s="632"/>
      <c r="AA71" s="632"/>
      <c r="AB71" s="632"/>
      <c r="AC71" s="632"/>
      <c r="AD71" s="632"/>
      <c r="AE71" s="632"/>
      <c r="AF71" s="632"/>
      <c r="AG71" s="632"/>
      <c r="AH71" s="632"/>
      <c r="AI71" s="632"/>
      <c r="AJ71" s="632"/>
    </row>
    <row r="72" spans="1:39" x14ac:dyDescent="0.35">
      <c r="A72" s="364" t="s">
        <v>40</v>
      </c>
      <c r="B72" s="365"/>
      <c r="C72" s="638"/>
      <c r="D72" s="638"/>
      <c r="E72" s="638"/>
      <c r="F72" s="638"/>
      <c r="G72" s="638"/>
      <c r="H72" s="638"/>
      <c r="I72" s="638"/>
      <c r="J72" s="638"/>
      <c r="K72" s="638"/>
      <c r="L72" s="638"/>
      <c r="M72" s="638"/>
      <c r="N72" s="633" t="s">
        <v>176</v>
      </c>
      <c r="O72" s="638" t="str">
        <f>PETUNJUK!C5</f>
        <v>PECANGAAN</v>
      </c>
      <c r="P72" s="638"/>
      <c r="Q72" s="638"/>
      <c r="R72" s="638"/>
      <c r="S72" s="638"/>
      <c r="T72" s="638"/>
      <c r="U72" s="638"/>
      <c r="V72" s="638"/>
      <c r="W72" s="638"/>
      <c r="X72" s="638"/>
      <c r="Y72" s="638"/>
      <c r="Z72" s="638"/>
      <c r="AA72" s="638"/>
      <c r="AB72" s="638"/>
      <c r="AC72" s="638"/>
      <c r="AD72" s="638"/>
      <c r="AE72" s="638"/>
      <c r="AF72" s="638"/>
      <c r="AG72" s="638"/>
      <c r="AH72" s="638"/>
      <c r="AI72" s="638"/>
      <c r="AJ72" s="638"/>
    </row>
    <row r="73" spans="1:39" x14ac:dyDescent="0.35">
      <c r="A73" s="366" t="s">
        <v>0</v>
      </c>
      <c r="B73" s="367"/>
      <c r="C73" s="640"/>
      <c r="D73" s="633"/>
      <c r="E73" s="633"/>
      <c r="F73" s="640"/>
      <c r="G73" s="640"/>
      <c r="H73" s="640"/>
      <c r="I73" s="640"/>
      <c r="J73" s="640"/>
      <c r="K73" s="640"/>
      <c r="L73" s="640"/>
      <c r="M73" s="633"/>
      <c r="N73" s="639" t="s">
        <v>176</v>
      </c>
      <c r="O73" s="642" t="str">
        <f>'1.DATA KIA'!C72</f>
        <v xml:space="preserve">MARET </v>
      </c>
      <c r="P73" s="633"/>
      <c r="Q73" s="633"/>
      <c r="R73" s="633"/>
      <c r="S73" s="633"/>
      <c r="T73" s="633"/>
      <c r="U73" s="633"/>
      <c r="V73" s="633"/>
      <c r="W73" s="633"/>
      <c r="X73" s="633"/>
      <c r="Y73" s="633"/>
      <c r="Z73" s="640"/>
      <c r="AA73" s="640"/>
      <c r="AB73" s="640"/>
      <c r="AC73" s="640"/>
      <c r="AD73" s="640"/>
      <c r="AE73" s="640"/>
      <c r="AF73" s="640"/>
      <c r="AG73" s="640"/>
      <c r="AH73" s="640"/>
      <c r="AI73" s="640"/>
      <c r="AJ73" s="640"/>
    </row>
    <row r="74" spans="1:39" ht="12.75" customHeight="1" x14ac:dyDescent="0.3">
      <c r="A74" s="799" t="s">
        <v>1</v>
      </c>
      <c r="B74" s="799" t="s">
        <v>2</v>
      </c>
      <c r="C74" s="794" t="s">
        <v>301</v>
      </c>
      <c r="D74" s="795"/>
      <c r="E74" s="795"/>
      <c r="F74" s="795"/>
      <c r="G74" s="795"/>
      <c r="H74" s="795"/>
      <c r="I74" s="795"/>
      <c r="J74" s="795"/>
      <c r="K74" s="795"/>
      <c r="L74" s="795"/>
      <c r="M74" s="795"/>
      <c r="N74" s="795"/>
      <c r="O74" s="795"/>
      <c r="P74" s="795"/>
      <c r="Q74" s="795"/>
      <c r="R74" s="795"/>
      <c r="S74" s="795"/>
      <c r="T74" s="795"/>
      <c r="U74" s="795"/>
      <c r="V74" s="795"/>
      <c r="W74" s="795"/>
      <c r="X74" s="795"/>
      <c r="Y74" s="795"/>
      <c r="Z74" s="795"/>
      <c r="AA74" s="795"/>
      <c r="AB74" s="795"/>
      <c r="AC74" s="795"/>
      <c r="AD74" s="795"/>
      <c r="AE74" s="795"/>
      <c r="AF74" s="795"/>
      <c r="AG74" s="795"/>
      <c r="AH74" s="795"/>
      <c r="AI74" s="795"/>
      <c r="AJ74" s="796"/>
      <c r="AK74" s="792" t="s">
        <v>307</v>
      </c>
      <c r="AL74" s="792" t="s">
        <v>308</v>
      </c>
      <c r="AM74" s="792" t="s">
        <v>309</v>
      </c>
    </row>
    <row r="75" spans="1:39" ht="108.75" customHeight="1" x14ac:dyDescent="0.3">
      <c r="A75" s="800"/>
      <c r="B75" s="800"/>
      <c r="C75" s="368" t="s">
        <v>55</v>
      </c>
      <c r="D75" s="369" t="s">
        <v>190</v>
      </c>
      <c r="E75" s="369" t="s">
        <v>43</v>
      </c>
      <c r="F75" s="369" t="s">
        <v>53</v>
      </c>
      <c r="G75" s="369" t="s">
        <v>302</v>
      </c>
      <c r="H75" s="369" t="s">
        <v>303</v>
      </c>
      <c r="I75" s="369" t="s">
        <v>294</v>
      </c>
      <c r="J75" s="369" t="s">
        <v>304</v>
      </c>
      <c r="K75" s="369" t="s">
        <v>305</v>
      </c>
      <c r="L75" s="369" t="s">
        <v>306</v>
      </c>
      <c r="M75" s="369" t="s">
        <v>44</v>
      </c>
      <c r="N75" s="370" t="s">
        <v>178</v>
      </c>
      <c r="O75" s="369" t="s">
        <v>41</v>
      </c>
      <c r="P75" s="369" t="s">
        <v>180</v>
      </c>
      <c r="Q75" s="369" t="s">
        <v>42</v>
      </c>
      <c r="R75" s="369" t="s">
        <v>45</v>
      </c>
      <c r="S75" s="369" t="s">
        <v>46</v>
      </c>
      <c r="T75" s="369" t="s">
        <v>47</v>
      </c>
      <c r="U75" s="369" t="s">
        <v>48</v>
      </c>
      <c r="V75" s="369" t="s">
        <v>49</v>
      </c>
      <c r="W75" s="369" t="s">
        <v>50</v>
      </c>
      <c r="X75" s="369" t="s">
        <v>51</v>
      </c>
      <c r="Y75" s="369" t="s">
        <v>52</v>
      </c>
      <c r="Z75" s="369" t="s">
        <v>54</v>
      </c>
      <c r="AA75" s="369" t="s">
        <v>56</v>
      </c>
      <c r="AB75" s="369" t="s">
        <v>57</v>
      </c>
      <c r="AC75" s="369" t="s">
        <v>58</v>
      </c>
      <c r="AD75" s="369" t="s">
        <v>59</v>
      </c>
      <c r="AE75" s="369" t="s">
        <v>60</v>
      </c>
      <c r="AF75" s="370" t="s">
        <v>179</v>
      </c>
      <c r="AG75" s="370" t="s">
        <v>310</v>
      </c>
      <c r="AH75" s="369" t="s">
        <v>33</v>
      </c>
      <c r="AI75" s="369" t="s">
        <v>61</v>
      </c>
      <c r="AJ75" s="369" t="s">
        <v>18</v>
      </c>
      <c r="AK75" s="793"/>
      <c r="AL75" s="793"/>
      <c r="AM75" s="793"/>
    </row>
    <row r="76" spans="1:39" ht="18" customHeight="1" x14ac:dyDescent="0.3">
      <c r="A76" s="371">
        <v>1</v>
      </c>
      <c r="B76" s="372" t="str">
        <f>PETUNJUK!B9</f>
        <v>Pecangaan Kulon</v>
      </c>
      <c r="C76" s="717"/>
      <c r="D76" s="717"/>
      <c r="E76" s="717"/>
      <c r="F76" s="717"/>
      <c r="G76" s="717"/>
      <c r="H76" s="717"/>
      <c r="I76" s="717"/>
      <c r="J76" s="717"/>
      <c r="K76" s="717"/>
      <c r="L76" s="717"/>
      <c r="M76" s="717"/>
      <c r="N76" s="717"/>
      <c r="O76" s="717">
        <v>1</v>
      </c>
      <c r="P76" s="717"/>
      <c r="Q76" s="717"/>
      <c r="R76" s="717"/>
      <c r="S76" s="717"/>
      <c r="T76" s="717"/>
      <c r="U76" s="717"/>
      <c r="V76" s="717"/>
      <c r="W76" s="717"/>
      <c r="X76" s="717"/>
      <c r="Y76" s="717"/>
      <c r="Z76" s="717"/>
      <c r="AA76" s="717"/>
      <c r="AB76" s="717"/>
      <c r="AC76" s="717"/>
      <c r="AD76" s="717"/>
      <c r="AE76" s="717"/>
      <c r="AF76" s="717"/>
      <c r="AG76" s="717"/>
      <c r="AH76" s="717"/>
      <c r="AI76" s="717"/>
      <c r="AJ76" s="373">
        <f t="shared" ref="AJ76:AJ87" si="4">SUM(C76:AI76)</f>
        <v>1</v>
      </c>
      <c r="AK76" s="373"/>
      <c r="AL76" s="373"/>
      <c r="AM76" s="373"/>
    </row>
    <row r="77" spans="1:39" ht="18" customHeight="1" x14ac:dyDescent="0.3">
      <c r="A77" s="371">
        <v>2</v>
      </c>
      <c r="B77" s="372" t="str">
        <f>PETUNJUK!B10</f>
        <v>Rengging</v>
      </c>
      <c r="C77" s="717"/>
      <c r="D77" s="717"/>
      <c r="E77" s="717"/>
      <c r="F77" s="717"/>
      <c r="G77" s="717"/>
      <c r="H77" s="717"/>
      <c r="I77" s="717"/>
      <c r="J77" s="717"/>
      <c r="K77" s="717"/>
      <c r="L77" s="717"/>
      <c r="M77" s="717"/>
      <c r="N77" s="717"/>
      <c r="O77" s="717"/>
      <c r="P77" s="717"/>
      <c r="Q77" s="717"/>
      <c r="R77" s="717"/>
      <c r="S77" s="717"/>
      <c r="T77" s="717">
        <v>1</v>
      </c>
      <c r="U77" s="717"/>
      <c r="V77" s="717"/>
      <c r="W77" s="717"/>
      <c r="X77" s="717"/>
      <c r="Y77" s="717"/>
      <c r="Z77" s="717"/>
      <c r="AA77" s="717"/>
      <c r="AB77" s="717"/>
      <c r="AC77" s="717"/>
      <c r="AD77" s="717"/>
      <c r="AE77" s="717"/>
      <c r="AF77" s="717"/>
      <c r="AG77" s="717"/>
      <c r="AH77" s="717"/>
      <c r="AI77" s="717"/>
      <c r="AJ77" s="373">
        <f t="shared" si="4"/>
        <v>1</v>
      </c>
      <c r="AK77" s="373"/>
      <c r="AL77" s="373"/>
      <c r="AM77" s="373"/>
    </row>
    <row r="78" spans="1:39" ht="18" customHeight="1" x14ac:dyDescent="0.3">
      <c r="A78" s="371">
        <v>3</v>
      </c>
      <c r="B78" s="372" t="str">
        <f>PETUNJUK!B11</f>
        <v>Troso</v>
      </c>
      <c r="C78" s="717"/>
      <c r="D78" s="717"/>
      <c r="E78" s="717">
        <v>1</v>
      </c>
      <c r="F78" s="717"/>
      <c r="G78" s="717"/>
      <c r="H78" s="717"/>
      <c r="I78" s="717"/>
      <c r="J78" s="717"/>
      <c r="K78" s="717"/>
      <c r="L78" s="717"/>
      <c r="M78" s="717"/>
      <c r="N78" s="717"/>
      <c r="O78" s="717"/>
      <c r="P78" s="717"/>
      <c r="Q78" s="717"/>
      <c r="R78" s="717"/>
      <c r="S78" s="717"/>
      <c r="T78" s="717"/>
      <c r="U78" s="717"/>
      <c r="V78" s="717">
        <v>1</v>
      </c>
      <c r="W78" s="717"/>
      <c r="X78" s="717"/>
      <c r="Y78" s="717"/>
      <c r="Z78" s="717"/>
      <c r="AA78" s="717"/>
      <c r="AB78" s="717"/>
      <c r="AC78" s="717"/>
      <c r="AD78" s="717"/>
      <c r="AE78" s="717"/>
      <c r="AF78" s="717"/>
      <c r="AG78" s="717"/>
      <c r="AH78" s="717"/>
      <c r="AI78" s="717"/>
      <c r="AJ78" s="373">
        <f t="shared" si="4"/>
        <v>2</v>
      </c>
      <c r="AK78" s="373"/>
      <c r="AL78" s="373"/>
      <c r="AM78" s="373"/>
    </row>
    <row r="79" spans="1:39" ht="18" customHeight="1" x14ac:dyDescent="0.3">
      <c r="A79" s="371">
        <v>4</v>
      </c>
      <c r="B79" s="372" t="str">
        <f>PETUNJUK!B12</f>
        <v>Ngeling</v>
      </c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7"/>
      <c r="P79" s="717"/>
      <c r="Q79" s="717"/>
      <c r="R79" s="717"/>
      <c r="S79" s="717"/>
      <c r="T79" s="717"/>
      <c r="U79" s="717"/>
      <c r="V79" s="717"/>
      <c r="W79" s="717"/>
      <c r="X79" s="717"/>
      <c r="Y79" s="717"/>
      <c r="Z79" s="717"/>
      <c r="AA79" s="717"/>
      <c r="AB79" s="717"/>
      <c r="AC79" s="717"/>
      <c r="AD79" s="717"/>
      <c r="AE79" s="717"/>
      <c r="AF79" s="717"/>
      <c r="AG79" s="717"/>
      <c r="AH79" s="717"/>
      <c r="AI79" s="717"/>
      <c r="AJ79" s="373">
        <f t="shared" si="4"/>
        <v>0</v>
      </c>
      <c r="AK79" s="373"/>
      <c r="AL79" s="373"/>
      <c r="AM79" s="373"/>
    </row>
    <row r="80" spans="1:39" ht="18" customHeight="1" x14ac:dyDescent="0.3">
      <c r="A80" s="371">
        <v>5</v>
      </c>
      <c r="B80" s="372" t="str">
        <f>PETUNJUK!B13</f>
        <v>Lebuawu</v>
      </c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7"/>
      <c r="P80" s="717"/>
      <c r="Q80" s="717"/>
      <c r="R80" s="717"/>
      <c r="S80" s="717"/>
      <c r="T80" s="717"/>
      <c r="U80" s="717"/>
      <c r="V80" s="717"/>
      <c r="W80" s="717"/>
      <c r="X80" s="717"/>
      <c r="Y80" s="717"/>
      <c r="Z80" s="717"/>
      <c r="AA80" s="717"/>
      <c r="AB80" s="717"/>
      <c r="AC80" s="717"/>
      <c r="AD80" s="717"/>
      <c r="AE80" s="717"/>
      <c r="AF80" s="717"/>
      <c r="AG80" s="717"/>
      <c r="AH80" s="717"/>
      <c r="AI80" s="717"/>
      <c r="AJ80" s="373">
        <f t="shared" si="4"/>
        <v>0</v>
      </c>
      <c r="AK80" s="373"/>
      <c r="AL80" s="373"/>
      <c r="AM80" s="373"/>
    </row>
    <row r="81" spans="1:39" ht="18" customHeight="1" x14ac:dyDescent="0.3">
      <c r="A81" s="371">
        <v>6</v>
      </c>
      <c r="B81" s="372" t="str">
        <f>PETUNJUK!B14</f>
        <v>Pulodarat</v>
      </c>
      <c r="C81" s="717"/>
      <c r="D81" s="717"/>
      <c r="E81" s="717"/>
      <c r="F81" s="717"/>
      <c r="G81" s="717"/>
      <c r="H81" s="717"/>
      <c r="I81" s="717"/>
      <c r="J81" s="717"/>
      <c r="K81" s="717"/>
      <c r="L81" s="717"/>
      <c r="M81" s="717"/>
      <c r="N81" s="717"/>
      <c r="O81" s="717"/>
      <c r="P81" s="717"/>
      <c r="Q81" s="717"/>
      <c r="R81" s="717"/>
      <c r="S81" s="717"/>
      <c r="T81" s="717"/>
      <c r="U81" s="717"/>
      <c r="V81" s="717"/>
      <c r="W81" s="717"/>
      <c r="X81" s="717"/>
      <c r="Y81" s="717"/>
      <c r="Z81" s="717"/>
      <c r="AA81" s="717"/>
      <c r="AB81" s="717"/>
      <c r="AC81" s="717"/>
      <c r="AD81" s="717"/>
      <c r="AE81" s="717"/>
      <c r="AF81" s="717">
        <v>1</v>
      </c>
      <c r="AG81" s="717"/>
      <c r="AH81" s="717"/>
      <c r="AI81" s="717"/>
      <c r="AJ81" s="373">
        <f t="shared" si="4"/>
        <v>1</v>
      </c>
      <c r="AK81" s="373"/>
      <c r="AL81" s="373"/>
      <c r="AM81" s="373"/>
    </row>
    <row r="82" spans="1:39" ht="18" customHeight="1" x14ac:dyDescent="0.3">
      <c r="A82" s="371">
        <v>7</v>
      </c>
      <c r="B82" s="372" t="str">
        <f>PETUNJUK!B15</f>
        <v>Karangrandu</v>
      </c>
      <c r="C82" s="717"/>
      <c r="D82" s="717"/>
      <c r="E82" s="717"/>
      <c r="F82" s="717"/>
      <c r="G82" s="717"/>
      <c r="H82" s="717"/>
      <c r="I82" s="717"/>
      <c r="J82" s="717"/>
      <c r="K82" s="717"/>
      <c r="L82" s="717"/>
      <c r="M82" s="717"/>
      <c r="N82" s="717">
        <v>1</v>
      </c>
      <c r="O82" s="717"/>
      <c r="P82" s="717"/>
      <c r="Q82" s="717"/>
      <c r="R82" s="717"/>
      <c r="S82" s="717"/>
      <c r="T82" s="717"/>
      <c r="U82" s="717"/>
      <c r="V82" s="717"/>
      <c r="W82" s="717"/>
      <c r="X82" s="717"/>
      <c r="Y82" s="717"/>
      <c r="Z82" s="717"/>
      <c r="AA82" s="717"/>
      <c r="AB82" s="717"/>
      <c r="AC82" s="717"/>
      <c r="AD82" s="717"/>
      <c r="AE82" s="717"/>
      <c r="AF82" s="717"/>
      <c r="AG82" s="717"/>
      <c r="AH82" s="717"/>
      <c r="AI82" s="717"/>
      <c r="AJ82" s="373">
        <f t="shared" si="4"/>
        <v>1</v>
      </c>
      <c r="AK82" s="373"/>
      <c r="AL82" s="373"/>
      <c r="AM82" s="373"/>
    </row>
    <row r="83" spans="1:39" ht="18" customHeight="1" x14ac:dyDescent="0.3">
      <c r="A83" s="371">
        <v>8</v>
      </c>
      <c r="B83" s="372" t="str">
        <f>PETUNJUK!B16</f>
        <v>Kaliombo</v>
      </c>
      <c r="C83" s="717"/>
      <c r="D83" s="717"/>
      <c r="E83" s="717"/>
      <c r="F83" s="717"/>
      <c r="G83" s="717"/>
      <c r="H83" s="717"/>
      <c r="I83" s="717"/>
      <c r="J83" s="717"/>
      <c r="K83" s="717"/>
      <c r="L83" s="717"/>
      <c r="M83" s="717"/>
      <c r="N83" s="717"/>
      <c r="O83" s="717">
        <v>1</v>
      </c>
      <c r="P83" s="717"/>
      <c r="Q83" s="717"/>
      <c r="R83" s="717"/>
      <c r="S83" s="717"/>
      <c r="T83" s="717"/>
      <c r="U83" s="717"/>
      <c r="V83" s="717"/>
      <c r="W83" s="717"/>
      <c r="X83" s="717"/>
      <c r="Y83" s="717"/>
      <c r="Z83" s="717"/>
      <c r="AA83" s="717"/>
      <c r="AB83" s="717"/>
      <c r="AC83" s="717"/>
      <c r="AD83" s="717"/>
      <c r="AE83" s="717"/>
      <c r="AF83" s="717"/>
      <c r="AG83" s="717"/>
      <c r="AH83" s="717"/>
      <c r="AI83" s="717"/>
      <c r="AJ83" s="373">
        <f t="shared" si="4"/>
        <v>1</v>
      </c>
      <c r="AK83" s="373"/>
      <c r="AL83" s="373"/>
      <c r="AM83" s="373"/>
    </row>
    <row r="84" spans="1:39" ht="18" customHeight="1" x14ac:dyDescent="0.3">
      <c r="A84" s="371">
        <v>9</v>
      </c>
      <c r="B84" s="372" t="str">
        <f>PETUNJUK!B17</f>
        <v>Gemulung</v>
      </c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7">
        <v>3</v>
      </c>
      <c r="P84" s="717"/>
      <c r="Q84" s="717"/>
      <c r="R84" s="717"/>
      <c r="S84" s="717"/>
      <c r="T84" s="717"/>
      <c r="U84" s="717"/>
      <c r="V84" s="717">
        <v>1</v>
      </c>
      <c r="W84" s="717"/>
      <c r="X84" s="717"/>
      <c r="Y84" s="717"/>
      <c r="Z84" s="717"/>
      <c r="AA84" s="717"/>
      <c r="AB84" s="717"/>
      <c r="AC84" s="717"/>
      <c r="AD84" s="717"/>
      <c r="AE84" s="717"/>
      <c r="AF84" s="717"/>
      <c r="AG84" s="717"/>
      <c r="AH84" s="717"/>
      <c r="AI84" s="717"/>
      <c r="AJ84" s="373">
        <f t="shared" si="4"/>
        <v>4</v>
      </c>
      <c r="AK84" s="373"/>
      <c r="AL84" s="373"/>
      <c r="AM84" s="373"/>
    </row>
    <row r="85" spans="1:39" ht="18" customHeight="1" x14ac:dyDescent="0.3">
      <c r="A85" s="371">
        <v>10</v>
      </c>
      <c r="B85" s="372" t="str">
        <f>PETUNJUK!B18</f>
        <v>Pecangaan Wetan</v>
      </c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7"/>
      <c r="P85" s="717"/>
      <c r="Q85" s="717"/>
      <c r="R85" s="717"/>
      <c r="S85" s="717"/>
      <c r="T85" s="717"/>
      <c r="U85" s="717"/>
      <c r="V85" s="717"/>
      <c r="W85" s="717"/>
      <c r="X85" s="717"/>
      <c r="Y85" s="717"/>
      <c r="Z85" s="717"/>
      <c r="AA85" s="717"/>
      <c r="AB85" s="717"/>
      <c r="AC85" s="717"/>
      <c r="AD85" s="717"/>
      <c r="AE85" s="717"/>
      <c r="AF85" s="717"/>
      <c r="AG85" s="717"/>
      <c r="AH85" s="717"/>
      <c r="AI85" s="717"/>
      <c r="AJ85" s="373">
        <f t="shared" si="4"/>
        <v>0</v>
      </c>
      <c r="AK85" s="373"/>
      <c r="AL85" s="373"/>
      <c r="AM85" s="373"/>
    </row>
    <row r="86" spans="1:39" ht="18" customHeight="1" x14ac:dyDescent="0.3">
      <c r="A86" s="371">
        <v>11</v>
      </c>
      <c r="B86" s="372" t="str">
        <f>PETUNJUK!B19</f>
        <v>Krasak</v>
      </c>
      <c r="C86" s="717"/>
      <c r="D86" s="717"/>
      <c r="E86" s="717"/>
      <c r="F86" s="717"/>
      <c r="G86" s="717"/>
      <c r="H86" s="717"/>
      <c r="I86" s="717"/>
      <c r="J86" s="717"/>
      <c r="K86" s="717"/>
      <c r="L86" s="717"/>
      <c r="M86" s="717"/>
      <c r="N86" s="717"/>
      <c r="O86" s="717"/>
      <c r="P86" s="717"/>
      <c r="Q86" s="717"/>
      <c r="R86" s="717"/>
      <c r="S86" s="717"/>
      <c r="T86" s="717"/>
      <c r="U86" s="717"/>
      <c r="V86" s="717"/>
      <c r="W86" s="717"/>
      <c r="X86" s="717"/>
      <c r="Y86" s="717"/>
      <c r="Z86" s="717"/>
      <c r="AA86" s="717"/>
      <c r="AB86" s="717"/>
      <c r="AC86" s="717"/>
      <c r="AD86" s="717"/>
      <c r="AE86" s="717"/>
      <c r="AF86" s="717"/>
      <c r="AG86" s="717"/>
      <c r="AH86" s="717"/>
      <c r="AI86" s="717"/>
      <c r="AJ86" s="373">
        <f t="shared" si="4"/>
        <v>0</v>
      </c>
      <c r="AK86" s="373"/>
      <c r="AL86" s="373"/>
      <c r="AM86" s="373"/>
    </row>
    <row r="87" spans="1:39" ht="18" customHeight="1" x14ac:dyDescent="0.3">
      <c r="A87" s="371">
        <v>12</v>
      </c>
      <c r="B87" s="372" t="str">
        <f>PETUNJUK!B20</f>
        <v>Gerdu</v>
      </c>
      <c r="C87" s="717"/>
      <c r="D87" s="717"/>
      <c r="E87" s="717"/>
      <c r="F87" s="717"/>
      <c r="G87" s="717"/>
      <c r="H87" s="717"/>
      <c r="I87" s="717"/>
      <c r="J87" s="717"/>
      <c r="K87" s="717"/>
      <c r="L87" s="717"/>
      <c r="M87" s="717"/>
      <c r="N87" s="717"/>
      <c r="O87" s="717"/>
      <c r="P87" s="717"/>
      <c r="Q87" s="717"/>
      <c r="R87" s="717"/>
      <c r="S87" s="717"/>
      <c r="T87" s="717"/>
      <c r="U87" s="717"/>
      <c r="V87" s="717"/>
      <c r="W87" s="717"/>
      <c r="X87" s="717"/>
      <c r="Y87" s="717"/>
      <c r="Z87" s="717"/>
      <c r="AA87" s="717"/>
      <c r="AB87" s="717"/>
      <c r="AC87" s="717"/>
      <c r="AD87" s="717"/>
      <c r="AE87" s="717"/>
      <c r="AF87" s="717"/>
      <c r="AG87" s="717"/>
      <c r="AH87" s="717"/>
      <c r="AI87" s="717"/>
      <c r="AJ87" s="373">
        <f t="shared" si="4"/>
        <v>0</v>
      </c>
      <c r="AK87" s="373"/>
      <c r="AL87" s="373"/>
      <c r="AM87" s="373"/>
    </row>
    <row r="88" spans="1:39" ht="18" customHeight="1" x14ac:dyDescent="0.3">
      <c r="A88" s="371">
        <v>13</v>
      </c>
      <c r="B88" s="372">
        <f>PETUNJUK!B21</f>
        <v>0</v>
      </c>
      <c r="C88" s="373"/>
      <c r="D88" s="373"/>
      <c r="E88" s="373"/>
      <c r="F88" s="373"/>
      <c r="G88" s="373"/>
      <c r="H88" s="373"/>
      <c r="I88" s="373"/>
      <c r="J88" s="373"/>
      <c r="K88" s="373"/>
      <c r="L88" s="373"/>
      <c r="M88" s="373"/>
      <c r="N88" s="373"/>
      <c r="O88" s="373"/>
      <c r="P88" s="373"/>
      <c r="Q88" s="373"/>
      <c r="R88" s="373"/>
      <c r="S88" s="373"/>
      <c r="T88" s="373"/>
      <c r="U88" s="373"/>
      <c r="V88" s="373"/>
      <c r="W88" s="373"/>
      <c r="X88" s="373"/>
      <c r="Y88" s="373"/>
      <c r="Z88" s="373"/>
      <c r="AA88" s="373"/>
      <c r="AB88" s="373"/>
      <c r="AC88" s="373"/>
      <c r="AD88" s="373"/>
      <c r="AE88" s="373"/>
      <c r="AF88" s="373"/>
      <c r="AG88" s="373"/>
      <c r="AH88" s="373"/>
      <c r="AI88" s="373"/>
      <c r="AJ88" s="373"/>
      <c r="AK88" s="373"/>
      <c r="AL88" s="373"/>
      <c r="AM88" s="373"/>
    </row>
    <row r="89" spans="1:39" ht="18" customHeight="1" x14ac:dyDescent="0.3">
      <c r="A89" s="371">
        <v>14</v>
      </c>
      <c r="B89" s="372">
        <f>PETUNJUK!B22</f>
        <v>0</v>
      </c>
      <c r="C89" s="373"/>
      <c r="D89" s="373"/>
      <c r="E89" s="373"/>
      <c r="F89" s="373"/>
      <c r="G89" s="373"/>
      <c r="H89" s="373"/>
      <c r="I89" s="373"/>
      <c r="J89" s="373"/>
      <c r="K89" s="373"/>
      <c r="L89" s="373"/>
      <c r="M89" s="373"/>
      <c r="N89" s="373"/>
      <c r="O89" s="373"/>
      <c r="P89" s="373"/>
      <c r="Q89" s="373"/>
      <c r="R89" s="373"/>
      <c r="S89" s="373"/>
      <c r="T89" s="373"/>
      <c r="U89" s="373"/>
      <c r="V89" s="373"/>
      <c r="W89" s="373"/>
      <c r="X89" s="373"/>
      <c r="Y89" s="373"/>
      <c r="Z89" s="373"/>
      <c r="AA89" s="373"/>
      <c r="AB89" s="373"/>
      <c r="AC89" s="373"/>
      <c r="AD89" s="373"/>
      <c r="AE89" s="373"/>
      <c r="AF89" s="373"/>
      <c r="AG89" s="373"/>
      <c r="AH89" s="373"/>
      <c r="AI89" s="373"/>
      <c r="AJ89" s="373"/>
      <c r="AK89" s="373"/>
      <c r="AL89" s="373"/>
      <c r="AM89" s="373"/>
    </row>
    <row r="90" spans="1:39" ht="18" customHeight="1" x14ac:dyDescent="0.3">
      <c r="A90" s="371">
        <v>15</v>
      </c>
      <c r="B90" s="372">
        <f>PETUNJUK!B23</f>
        <v>0</v>
      </c>
      <c r="C90" s="373"/>
      <c r="D90" s="373"/>
      <c r="E90" s="373"/>
      <c r="F90" s="373"/>
      <c r="G90" s="373"/>
      <c r="H90" s="373"/>
      <c r="I90" s="373"/>
      <c r="J90" s="373"/>
      <c r="K90" s="373"/>
      <c r="L90" s="373"/>
      <c r="M90" s="373"/>
      <c r="N90" s="373"/>
      <c r="O90" s="373"/>
      <c r="P90" s="373"/>
      <c r="Q90" s="373"/>
      <c r="R90" s="373"/>
      <c r="S90" s="373"/>
      <c r="T90" s="373"/>
      <c r="U90" s="373"/>
      <c r="V90" s="373"/>
      <c r="W90" s="373"/>
      <c r="X90" s="373"/>
      <c r="Y90" s="373"/>
      <c r="Z90" s="373"/>
      <c r="AA90" s="373"/>
      <c r="AB90" s="373"/>
      <c r="AC90" s="373"/>
      <c r="AD90" s="373"/>
      <c r="AE90" s="373"/>
      <c r="AF90" s="373"/>
      <c r="AG90" s="373"/>
      <c r="AH90" s="373"/>
      <c r="AI90" s="373"/>
      <c r="AJ90" s="373"/>
      <c r="AK90" s="373"/>
      <c r="AL90" s="373"/>
      <c r="AM90" s="373"/>
    </row>
    <row r="91" spans="1:39" ht="18" customHeight="1" x14ac:dyDescent="0.3">
      <c r="A91" s="371">
        <v>16</v>
      </c>
      <c r="B91" s="372">
        <f>PETUNJUK!B24</f>
        <v>0</v>
      </c>
      <c r="C91" s="373"/>
      <c r="D91" s="373"/>
      <c r="E91" s="373"/>
      <c r="F91" s="373"/>
      <c r="G91" s="373"/>
      <c r="H91" s="373"/>
      <c r="I91" s="373"/>
      <c r="J91" s="373"/>
      <c r="K91" s="373"/>
      <c r="L91" s="373"/>
      <c r="M91" s="373"/>
      <c r="N91" s="373"/>
      <c r="O91" s="373"/>
      <c r="P91" s="373"/>
      <c r="Q91" s="373"/>
      <c r="R91" s="373"/>
      <c r="S91" s="373"/>
      <c r="T91" s="373"/>
      <c r="U91" s="373"/>
      <c r="V91" s="373"/>
      <c r="W91" s="373"/>
      <c r="X91" s="373"/>
      <c r="Y91" s="373"/>
      <c r="Z91" s="373"/>
      <c r="AA91" s="373"/>
      <c r="AB91" s="373"/>
      <c r="AC91" s="373"/>
      <c r="AD91" s="373"/>
      <c r="AE91" s="373"/>
      <c r="AF91" s="373"/>
      <c r="AG91" s="373"/>
      <c r="AH91" s="373"/>
      <c r="AI91" s="373"/>
      <c r="AJ91" s="373"/>
      <c r="AK91" s="373"/>
      <c r="AL91" s="373"/>
      <c r="AM91" s="373"/>
    </row>
    <row r="92" spans="1:39" ht="18" customHeight="1" x14ac:dyDescent="0.3">
      <c r="A92" s="371">
        <v>17</v>
      </c>
      <c r="B92" s="372">
        <f>PETUNJUK!B25</f>
        <v>0</v>
      </c>
      <c r="C92" s="373"/>
      <c r="D92" s="373"/>
      <c r="E92" s="373"/>
      <c r="F92" s="373"/>
      <c r="G92" s="373"/>
      <c r="H92" s="373"/>
      <c r="I92" s="373"/>
      <c r="J92" s="373"/>
      <c r="K92" s="373"/>
      <c r="L92" s="373"/>
      <c r="M92" s="373"/>
      <c r="N92" s="373"/>
      <c r="O92" s="373"/>
      <c r="P92" s="373"/>
      <c r="Q92" s="373"/>
      <c r="R92" s="373"/>
      <c r="S92" s="373"/>
      <c r="T92" s="373"/>
      <c r="U92" s="373"/>
      <c r="V92" s="373"/>
      <c r="W92" s="373"/>
      <c r="X92" s="373"/>
      <c r="Y92" s="373"/>
      <c r="Z92" s="373"/>
      <c r="AA92" s="373"/>
      <c r="AB92" s="373"/>
      <c r="AC92" s="373"/>
      <c r="AD92" s="373"/>
      <c r="AE92" s="373"/>
      <c r="AF92" s="373"/>
      <c r="AG92" s="373"/>
      <c r="AH92" s="373"/>
      <c r="AI92" s="373"/>
      <c r="AJ92" s="373"/>
      <c r="AK92" s="373"/>
      <c r="AL92" s="373"/>
      <c r="AM92" s="373"/>
    </row>
    <row r="93" spans="1:39" ht="18" customHeight="1" x14ac:dyDescent="0.3">
      <c r="A93" s="371">
        <v>18</v>
      </c>
      <c r="B93" s="372">
        <f>PETUNJUK!B26</f>
        <v>0</v>
      </c>
      <c r="C93" s="373"/>
      <c r="D93" s="373"/>
      <c r="E93" s="373"/>
      <c r="F93" s="373"/>
      <c r="G93" s="373"/>
      <c r="H93" s="373"/>
      <c r="I93" s="373"/>
      <c r="J93" s="373"/>
      <c r="K93" s="373"/>
      <c r="L93" s="373"/>
      <c r="M93" s="373"/>
      <c r="N93" s="373"/>
      <c r="O93" s="373"/>
      <c r="P93" s="373"/>
      <c r="Q93" s="373"/>
      <c r="R93" s="373"/>
      <c r="S93" s="373"/>
      <c r="T93" s="373"/>
      <c r="U93" s="373"/>
      <c r="V93" s="373"/>
      <c r="W93" s="373"/>
      <c r="X93" s="373"/>
      <c r="Y93" s="373"/>
      <c r="Z93" s="373"/>
      <c r="AA93" s="373"/>
      <c r="AB93" s="373"/>
      <c r="AC93" s="373"/>
      <c r="AD93" s="373"/>
      <c r="AE93" s="373"/>
      <c r="AF93" s="373"/>
      <c r="AG93" s="373"/>
      <c r="AH93" s="373"/>
      <c r="AI93" s="373"/>
      <c r="AJ93" s="373"/>
      <c r="AK93" s="373"/>
      <c r="AL93" s="373"/>
      <c r="AM93" s="373"/>
    </row>
    <row r="94" spans="1:39" ht="18" customHeight="1" x14ac:dyDescent="0.3">
      <c r="A94" s="371">
        <v>19</v>
      </c>
      <c r="B94" s="372">
        <f>PETUNJUK!B27</f>
        <v>0</v>
      </c>
      <c r="C94" s="373"/>
      <c r="D94" s="373"/>
      <c r="E94" s="373"/>
      <c r="F94" s="373"/>
      <c r="G94" s="373"/>
      <c r="H94" s="373"/>
      <c r="I94" s="373"/>
      <c r="J94" s="373"/>
      <c r="K94" s="373"/>
      <c r="L94" s="373"/>
      <c r="M94" s="373"/>
      <c r="N94" s="373"/>
      <c r="O94" s="373"/>
      <c r="P94" s="373"/>
      <c r="Q94" s="373"/>
      <c r="R94" s="373"/>
      <c r="S94" s="373"/>
      <c r="T94" s="373"/>
      <c r="U94" s="373"/>
      <c r="V94" s="373"/>
      <c r="W94" s="373"/>
      <c r="X94" s="373"/>
      <c r="Y94" s="373"/>
      <c r="Z94" s="373"/>
      <c r="AA94" s="373"/>
      <c r="AB94" s="373"/>
      <c r="AC94" s="373"/>
      <c r="AD94" s="373"/>
      <c r="AE94" s="373"/>
      <c r="AF94" s="373"/>
      <c r="AG94" s="373"/>
      <c r="AH94" s="373"/>
      <c r="AI94" s="373"/>
      <c r="AJ94" s="373"/>
      <c r="AK94" s="373"/>
      <c r="AL94" s="373"/>
      <c r="AM94" s="373"/>
    </row>
    <row r="95" spans="1:39" ht="18" customHeight="1" x14ac:dyDescent="0.3">
      <c r="A95" s="371">
        <v>20</v>
      </c>
      <c r="B95" s="372">
        <f>PETUNJUK!B28</f>
        <v>0</v>
      </c>
      <c r="C95" s="373"/>
      <c r="D95" s="373"/>
      <c r="E95" s="373"/>
      <c r="F95" s="373"/>
      <c r="G95" s="373"/>
      <c r="H95" s="373"/>
      <c r="I95" s="373"/>
      <c r="J95" s="373"/>
      <c r="K95" s="373"/>
      <c r="L95" s="373"/>
      <c r="M95" s="373"/>
      <c r="N95" s="373"/>
      <c r="O95" s="373"/>
      <c r="P95" s="373"/>
      <c r="Q95" s="373"/>
      <c r="R95" s="373"/>
      <c r="S95" s="373"/>
      <c r="T95" s="373"/>
      <c r="U95" s="373"/>
      <c r="V95" s="373"/>
      <c r="W95" s="373"/>
      <c r="X95" s="373"/>
      <c r="Y95" s="373"/>
      <c r="Z95" s="373"/>
      <c r="AA95" s="373"/>
      <c r="AB95" s="373"/>
      <c r="AC95" s="373"/>
      <c r="AD95" s="373"/>
      <c r="AE95" s="373"/>
      <c r="AF95" s="373"/>
      <c r="AG95" s="373"/>
      <c r="AH95" s="373"/>
      <c r="AI95" s="373"/>
      <c r="AJ95" s="373"/>
      <c r="AK95" s="373"/>
      <c r="AL95" s="373"/>
      <c r="AM95" s="373"/>
    </row>
    <row r="96" spans="1:39" ht="18" customHeight="1" x14ac:dyDescent="0.3">
      <c r="A96" s="371">
        <v>21</v>
      </c>
      <c r="B96" s="372">
        <f>PETUNJUK!B29</f>
        <v>0</v>
      </c>
      <c r="C96" s="373"/>
      <c r="D96" s="373"/>
      <c r="E96" s="373"/>
      <c r="F96" s="373"/>
      <c r="G96" s="373"/>
      <c r="H96" s="373"/>
      <c r="I96" s="373"/>
      <c r="J96" s="373"/>
      <c r="K96" s="373"/>
      <c r="L96" s="373"/>
      <c r="M96" s="373"/>
      <c r="N96" s="373"/>
      <c r="O96" s="373"/>
      <c r="P96" s="373"/>
      <c r="Q96" s="373"/>
      <c r="R96" s="373"/>
      <c r="S96" s="373"/>
      <c r="T96" s="373"/>
      <c r="U96" s="373"/>
      <c r="V96" s="373"/>
      <c r="W96" s="373"/>
      <c r="X96" s="373"/>
      <c r="Y96" s="373"/>
      <c r="Z96" s="373"/>
      <c r="AA96" s="373"/>
      <c r="AB96" s="373"/>
      <c r="AC96" s="373"/>
      <c r="AD96" s="373"/>
      <c r="AE96" s="373"/>
      <c r="AF96" s="373"/>
      <c r="AG96" s="373"/>
      <c r="AH96" s="373"/>
      <c r="AI96" s="373"/>
      <c r="AJ96" s="373"/>
      <c r="AK96" s="373"/>
      <c r="AL96" s="373"/>
      <c r="AM96" s="373"/>
    </row>
    <row r="97" spans="1:39" ht="18" customHeight="1" x14ac:dyDescent="0.3">
      <c r="A97" s="371">
        <v>22</v>
      </c>
      <c r="B97" s="372">
        <f>PETUNJUK!B30</f>
        <v>0</v>
      </c>
      <c r="C97" s="382"/>
      <c r="D97" s="382"/>
      <c r="E97" s="382"/>
      <c r="F97" s="382"/>
      <c r="G97" s="382"/>
      <c r="H97" s="382"/>
      <c r="I97" s="382"/>
      <c r="J97" s="382"/>
      <c r="K97" s="382"/>
      <c r="L97" s="382"/>
      <c r="M97" s="382"/>
      <c r="N97" s="382"/>
      <c r="O97" s="382"/>
      <c r="P97" s="382"/>
      <c r="Q97" s="382"/>
      <c r="R97" s="382"/>
      <c r="S97" s="382"/>
      <c r="T97" s="382"/>
      <c r="U97" s="382"/>
      <c r="V97" s="382"/>
      <c r="W97" s="382"/>
      <c r="X97" s="382"/>
      <c r="Y97" s="382"/>
      <c r="Z97" s="382"/>
      <c r="AA97" s="382"/>
      <c r="AB97" s="382"/>
      <c r="AC97" s="382"/>
      <c r="AD97" s="382"/>
      <c r="AE97" s="382"/>
      <c r="AF97" s="382"/>
      <c r="AG97" s="382"/>
      <c r="AH97" s="382"/>
      <c r="AI97" s="382"/>
      <c r="AJ97" s="373"/>
      <c r="AK97" s="382"/>
      <c r="AL97" s="382"/>
      <c r="AM97" s="382"/>
    </row>
    <row r="98" spans="1:39" ht="18" customHeight="1" x14ac:dyDescent="0.3">
      <c r="A98" s="806" t="s">
        <v>62</v>
      </c>
      <c r="B98" s="807"/>
      <c r="C98" s="380">
        <f t="shared" ref="C98:AM98" si="5">SUM(C76:C97)</f>
        <v>0</v>
      </c>
      <c r="D98" s="380">
        <f t="shared" si="5"/>
        <v>0</v>
      </c>
      <c r="E98" s="380">
        <f t="shared" si="5"/>
        <v>1</v>
      </c>
      <c r="F98" s="380">
        <f t="shared" si="5"/>
        <v>0</v>
      </c>
      <c r="G98" s="380">
        <f t="shared" si="5"/>
        <v>0</v>
      </c>
      <c r="H98" s="380">
        <f t="shared" si="5"/>
        <v>0</v>
      </c>
      <c r="I98" s="380">
        <f t="shared" si="5"/>
        <v>0</v>
      </c>
      <c r="J98" s="380">
        <f t="shared" si="5"/>
        <v>0</v>
      </c>
      <c r="K98" s="380">
        <f t="shared" si="5"/>
        <v>0</v>
      </c>
      <c r="L98" s="380">
        <f t="shared" si="5"/>
        <v>0</v>
      </c>
      <c r="M98" s="380">
        <f t="shared" si="5"/>
        <v>0</v>
      </c>
      <c r="N98" s="380">
        <f t="shared" si="5"/>
        <v>1</v>
      </c>
      <c r="O98" s="380">
        <f t="shared" si="5"/>
        <v>5</v>
      </c>
      <c r="P98" s="380">
        <f t="shared" si="5"/>
        <v>0</v>
      </c>
      <c r="Q98" s="380">
        <f t="shared" si="5"/>
        <v>0</v>
      </c>
      <c r="R98" s="380">
        <f t="shared" si="5"/>
        <v>0</v>
      </c>
      <c r="S98" s="380">
        <f t="shared" si="5"/>
        <v>0</v>
      </c>
      <c r="T98" s="380">
        <f t="shared" si="5"/>
        <v>1</v>
      </c>
      <c r="U98" s="380">
        <f t="shared" si="5"/>
        <v>0</v>
      </c>
      <c r="V98" s="380">
        <f t="shared" si="5"/>
        <v>2</v>
      </c>
      <c r="W98" s="380">
        <f t="shared" si="5"/>
        <v>0</v>
      </c>
      <c r="X98" s="380">
        <f t="shared" si="5"/>
        <v>0</v>
      </c>
      <c r="Y98" s="380">
        <f t="shared" si="5"/>
        <v>0</v>
      </c>
      <c r="Z98" s="380">
        <f t="shared" si="5"/>
        <v>0</v>
      </c>
      <c r="AA98" s="380">
        <f t="shared" si="5"/>
        <v>0</v>
      </c>
      <c r="AB98" s="380">
        <f t="shared" si="5"/>
        <v>0</v>
      </c>
      <c r="AC98" s="380">
        <f t="shared" si="5"/>
        <v>0</v>
      </c>
      <c r="AD98" s="380">
        <f t="shared" si="5"/>
        <v>0</v>
      </c>
      <c r="AE98" s="380">
        <f t="shared" si="5"/>
        <v>0</v>
      </c>
      <c r="AF98" s="380">
        <f t="shared" si="5"/>
        <v>1</v>
      </c>
      <c r="AG98" s="380">
        <f t="shared" si="5"/>
        <v>0</v>
      </c>
      <c r="AH98" s="380">
        <f t="shared" si="5"/>
        <v>0</v>
      </c>
      <c r="AI98" s="380">
        <f t="shared" si="5"/>
        <v>0</v>
      </c>
      <c r="AJ98" s="380">
        <f t="shared" si="5"/>
        <v>11</v>
      </c>
      <c r="AK98" s="380">
        <f t="shared" si="5"/>
        <v>0</v>
      </c>
      <c r="AL98" s="380">
        <f t="shared" si="5"/>
        <v>0</v>
      </c>
      <c r="AM98" s="380">
        <f t="shared" si="5"/>
        <v>0</v>
      </c>
    </row>
    <row r="99" spans="1:39" x14ac:dyDescent="0.35">
      <c r="A99" s="235"/>
      <c r="B99" s="235" t="s">
        <v>63</v>
      </c>
      <c r="C99" s="378"/>
      <c r="D99" s="378"/>
      <c r="E99" s="378"/>
      <c r="F99" s="378"/>
      <c r="G99" s="378"/>
      <c r="H99" s="378"/>
      <c r="I99" s="378"/>
      <c r="J99" s="378"/>
      <c r="K99" s="378"/>
      <c r="L99" s="378"/>
      <c r="M99" s="378"/>
      <c r="N99" s="801" t="s">
        <v>181</v>
      </c>
      <c r="O99" s="801"/>
      <c r="P99" s="801"/>
      <c r="Q99" s="801"/>
      <c r="R99" s="801"/>
      <c r="S99" s="801"/>
      <c r="T99" s="801"/>
      <c r="U99" s="801"/>
      <c r="V99" s="801"/>
      <c r="W99" s="801"/>
      <c r="X99" s="801"/>
      <c r="Y99" s="801"/>
      <c r="Z99" s="801"/>
      <c r="AA99" s="801"/>
      <c r="AB99" s="801"/>
      <c r="AC99" s="801"/>
      <c r="AD99" s="801"/>
      <c r="AE99" s="801"/>
      <c r="AF99" s="801"/>
      <c r="AG99" s="801"/>
      <c r="AH99" s="801"/>
      <c r="AI99" s="801"/>
      <c r="AJ99" s="378"/>
    </row>
    <row r="105" spans="1:39" x14ac:dyDescent="0.35">
      <c r="A105" s="802" t="s">
        <v>177</v>
      </c>
      <c r="B105" s="802"/>
      <c r="C105" s="802"/>
      <c r="D105" s="802"/>
      <c r="E105" s="802"/>
      <c r="F105" s="802"/>
      <c r="G105" s="802"/>
      <c r="H105" s="802"/>
      <c r="I105" s="802"/>
      <c r="J105" s="802"/>
      <c r="K105" s="802"/>
      <c r="L105" s="802"/>
      <c r="M105" s="802"/>
      <c r="N105" s="802"/>
      <c r="O105" s="802"/>
      <c r="P105" s="802"/>
      <c r="Q105" s="802"/>
      <c r="R105" s="802"/>
      <c r="S105" s="802"/>
      <c r="T105" s="802"/>
      <c r="U105" s="802"/>
      <c r="V105" s="802"/>
      <c r="W105" s="802"/>
      <c r="X105" s="802"/>
      <c r="Y105" s="802"/>
      <c r="Z105" s="802"/>
      <c r="AA105" s="802"/>
      <c r="AB105" s="802"/>
      <c r="AC105" s="802"/>
      <c r="AD105" s="802"/>
      <c r="AE105" s="802"/>
      <c r="AF105" s="802"/>
      <c r="AG105" s="802"/>
      <c r="AH105" s="802"/>
      <c r="AI105" s="802"/>
      <c r="AJ105" s="802"/>
    </row>
    <row r="106" spans="1:39" x14ac:dyDescent="0.35">
      <c r="A106" s="363"/>
      <c r="B106" s="363"/>
      <c r="C106" s="632"/>
      <c r="D106" s="632"/>
      <c r="E106" s="632"/>
      <c r="F106" s="632"/>
      <c r="G106" s="632"/>
      <c r="H106" s="632"/>
      <c r="I106" s="632"/>
      <c r="J106" s="632"/>
      <c r="K106" s="632"/>
      <c r="L106" s="632"/>
      <c r="M106" s="632"/>
      <c r="N106" s="632"/>
      <c r="O106" s="632"/>
      <c r="P106" s="632"/>
      <c r="Q106" s="632"/>
      <c r="R106" s="632"/>
      <c r="S106" s="632"/>
      <c r="T106" s="632"/>
      <c r="U106" s="632"/>
      <c r="V106" s="632"/>
      <c r="W106" s="632"/>
      <c r="X106" s="632"/>
      <c r="Y106" s="632"/>
      <c r="Z106" s="632"/>
      <c r="AA106" s="632"/>
      <c r="AB106" s="632"/>
      <c r="AC106" s="632"/>
      <c r="AD106" s="632"/>
      <c r="AE106" s="632"/>
      <c r="AF106" s="632"/>
      <c r="AG106" s="632"/>
      <c r="AH106" s="632"/>
      <c r="AI106" s="632"/>
      <c r="AJ106" s="632"/>
    </row>
    <row r="107" spans="1:39" x14ac:dyDescent="0.35">
      <c r="A107" s="364" t="s">
        <v>40</v>
      </c>
      <c r="B107" s="365"/>
      <c r="C107" s="638"/>
      <c r="D107" s="638"/>
      <c r="E107" s="638"/>
      <c r="F107" s="638"/>
      <c r="G107" s="638"/>
      <c r="H107" s="638"/>
      <c r="I107" s="638"/>
      <c r="J107" s="638"/>
      <c r="K107" s="638"/>
      <c r="L107" s="638"/>
      <c r="M107" s="638"/>
      <c r="N107" s="633" t="s">
        <v>176</v>
      </c>
      <c r="O107" s="638" t="str">
        <f>PETUNJUK!C5</f>
        <v>PECANGAAN</v>
      </c>
      <c r="P107" s="638"/>
      <c r="Q107" s="638"/>
      <c r="R107" s="638"/>
      <c r="S107" s="638"/>
      <c r="T107" s="638"/>
      <c r="U107" s="638"/>
      <c r="V107" s="638"/>
      <c r="W107" s="638"/>
      <c r="X107" s="638"/>
      <c r="Y107" s="638"/>
      <c r="Z107" s="638"/>
      <c r="AA107" s="638"/>
      <c r="AB107" s="638"/>
      <c r="AC107" s="638"/>
      <c r="AD107" s="638"/>
      <c r="AE107" s="638"/>
      <c r="AF107" s="638"/>
      <c r="AG107" s="638"/>
      <c r="AH107" s="638"/>
      <c r="AI107" s="638"/>
      <c r="AJ107" s="638"/>
    </row>
    <row r="108" spans="1:39" x14ac:dyDescent="0.35">
      <c r="A108" s="366" t="s">
        <v>0</v>
      </c>
      <c r="B108" s="367"/>
      <c r="C108" s="640"/>
      <c r="D108" s="633"/>
      <c r="E108" s="633"/>
      <c r="F108" s="640"/>
      <c r="G108" s="640"/>
      <c r="H108" s="640"/>
      <c r="I108" s="640"/>
      <c r="J108" s="640"/>
      <c r="K108" s="640"/>
      <c r="L108" s="640"/>
      <c r="M108" s="633"/>
      <c r="N108" s="639" t="s">
        <v>176</v>
      </c>
      <c r="O108" s="642" t="str">
        <f>'1.DATA KIA'!C106</f>
        <v xml:space="preserve">APRIL </v>
      </c>
      <c r="P108" s="633"/>
      <c r="Q108" s="633"/>
      <c r="R108" s="633"/>
      <c r="S108" s="633"/>
      <c r="T108" s="633"/>
      <c r="U108" s="633"/>
      <c r="V108" s="633"/>
      <c r="W108" s="633"/>
      <c r="X108" s="633"/>
      <c r="Y108" s="633"/>
      <c r="Z108" s="640"/>
      <c r="AA108" s="640"/>
      <c r="AB108" s="640"/>
      <c r="AC108" s="640"/>
      <c r="AD108" s="640"/>
      <c r="AE108" s="640"/>
      <c r="AF108" s="640"/>
      <c r="AG108" s="640"/>
      <c r="AH108" s="640"/>
      <c r="AI108" s="640"/>
      <c r="AJ108" s="640"/>
    </row>
    <row r="109" spans="1:39" s="72" customFormat="1" ht="15.75" customHeight="1" x14ac:dyDescent="0.3">
      <c r="A109" s="799" t="s">
        <v>1</v>
      </c>
      <c r="B109" s="799" t="s">
        <v>2</v>
      </c>
      <c r="C109" s="794" t="s">
        <v>301</v>
      </c>
      <c r="D109" s="795"/>
      <c r="E109" s="795"/>
      <c r="F109" s="795"/>
      <c r="G109" s="795"/>
      <c r="H109" s="795"/>
      <c r="I109" s="795"/>
      <c r="J109" s="795"/>
      <c r="K109" s="795"/>
      <c r="L109" s="795"/>
      <c r="M109" s="795"/>
      <c r="N109" s="795"/>
      <c r="O109" s="795"/>
      <c r="P109" s="795"/>
      <c r="Q109" s="795"/>
      <c r="R109" s="795"/>
      <c r="S109" s="795"/>
      <c r="T109" s="795"/>
      <c r="U109" s="795"/>
      <c r="V109" s="795"/>
      <c r="W109" s="795"/>
      <c r="X109" s="795"/>
      <c r="Y109" s="795"/>
      <c r="Z109" s="795"/>
      <c r="AA109" s="795"/>
      <c r="AB109" s="795"/>
      <c r="AC109" s="795"/>
      <c r="AD109" s="795"/>
      <c r="AE109" s="795"/>
      <c r="AF109" s="795"/>
      <c r="AG109" s="795"/>
      <c r="AH109" s="795"/>
      <c r="AI109" s="795"/>
      <c r="AJ109" s="796"/>
      <c r="AK109" s="792" t="s">
        <v>307</v>
      </c>
      <c r="AL109" s="792" t="s">
        <v>308</v>
      </c>
      <c r="AM109" s="792" t="s">
        <v>309</v>
      </c>
    </row>
    <row r="110" spans="1:39" s="72" customFormat="1" ht="110.25" customHeight="1" x14ac:dyDescent="0.3">
      <c r="A110" s="800"/>
      <c r="B110" s="800"/>
      <c r="C110" s="368" t="s">
        <v>55</v>
      </c>
      <c r="D110" s="369" t="s">
        <v>190</v>
      </c>
      <c r="E110" s="369" t="s">
        <v>43</v>
      </c>
      <c r="F110" s="369" t="s">
        <v>53</v>
      </c>
      <c r="G110" s="369" t="s">
        <v>302</v>
      </c>
      <c r="H110" s="369" t="s">
        <v>303</v>
      </c>
      <c r="I110" s="369" t="s">
        <v>294</v>
      </c>
      <c r="J110" s="369" t="s">
        <v>304</v>
      </c>
      <c r="K110" s="369" t="s">
        <v>305</v>
      </c>
      <c r="L110" s="369" t="s">
        <v>306</v>
      </c>
      <c r="M110" s="369" t="s">
        <v>44</v>
      </c>
      <c r="N110" s="370" t="s">
        <v>178</v>
      </c>
      <c r="O110" s="369" t="s">
        <v>41</v>
      </c>
      <c r="P110" s="369" t="s">
        <v>180</v>
      </c>
      <c r="Q110" s="369" t="s">
        <v>42</v>
      </c>
      <c r="R110" s="369" t="s">
        <v>45</v>
      </c>
      <c r="S110" s="369" t="s">
        <v>46</v>
      </c>
      <c r="T110" s="369" t="s">
        <v>47</v>
      </c>
      <c r="U110" s="369" t="s">
        <v>48</v>
      </c>
      <c r="V110" s="369" t="s">
        <v>49</v>
      </c>
      <c r="W110" s="369" t="s">
        <v>50</v>
      </c>
      <c r="X110" s="369" t="s">
        <v>51</v>
      </c>
      <c r="Y110" s="369" t="s">
        <v>52</v>
      </c>
      <c r="Z110" s="369" t="s">
        <v>54</v>
      </c>
      <c r="AA110" s="369" t="s">
        <v>56</v>
      </c>
      <c r="AB110" s="369" t="s">
        <v>57</v>
      </c>
      <c r="AC110" s="369" t="s">
        <v>58</v>
      </c>
      <c r="AD110" s="369" t="s">
        <v>59</v>
      </c>
      <c r="AE110" s="369" t="s">
        <v>60</v>
      </c>
      <c r="AF110" s="370" t="s">
        <v>179</v>
      </c>
      <c r="AG110" s="370" t="s">
        <v>310</v>
      </c>
      <c r="AH110" s="369" t="s">
        <v>33</v>
      </c>
      <c r="AI110" s="369" t="s">
        <v>61</v>
      </c>
      <c r="AJ110" s="369" t="s">
        <v>18</v>
      </c>
      <c r="AK110" s="793"/>
      <c r="AL110" s="793"/>
      <c r="AM110" s="793"/>
    </row>
    <row r="111" spans="1:39" ht="18" customHeight="1" x14ac:dyDescent="0.3">
      <c r="A111" s="371">
        <v>1</v>
      </c>
      <c r="B111" s="716" t="str">
        <f>PETUNJUK!B9</f>
        <v>Pecangaan Kulon</v>
      </c>
      <c r="C111" s="373"/>
      <c r="D111" s="373"/>
      <c r="E111" s="373">
        <v>1</v>
      </c>
      <c r="F111" s="373"/>
      <c r="G111" s="373"/>
      <c r="H111" s="373"/>
      <c r="I111" s="373"/>
      <c r="J111" s="373"/>
      <c r="K111" s="373"/>
      <c r="L111" s="373"/>
      <c r="M111" s="373">
        <v>1</v>
      </c>
      <c r="N111" s="373">
        <v>1</v>
      </c>
      <c r="O111" s="373">
        <v>1</v>
      </c>
      <c r="P111" s="373"/>
      <c r="Q111" s="373"/>
      <c r="R111" s="373"/>
      <c r="S111" s="373"/>
      <c r="T111" s="373"/>
      <c r="U111" s="373"/>
      <c r="V111" s="373"/>
      <c r="W111" s="373"/>
      <c r="X111" s="373"/>
      <c r="Y111" s="373"/>
      <c r="Z111" s="373"/>
      <c r="AA111" s="373"/>
      <c r="AB111" s="373"/>
      <c r="AC111" s="373"/>
      <c r="AD111" s="373"/>
      <c r="AE111" s="373"/>
      <c r="AF111" s="373"/>
      <c r="AG111" s="373"/>
      <c r="AH111" s="373"/>
      <c r="AI111" s="373"/>
      <c r="AJ111" s="373">
        <f t="shared" ref="AJ111:AJ122" si="6">SUM(C111:AI111)</f>
        <v>4</v>
      </c>
      <c r="AK111" s="373"/>
      <c r="AL111" s="373"/>
      <c r="AM111" s="373"/>
    </row>
    <row r="112" spans="1:39" ht="18" customHeight="1" x14ac:dyDescent="0.3">
      <c r="A112" s="371">
        <v>2</v>
      </c>
      <c r="B112" s="716" t="str">
        <f>PETUNJUK!B10</f>
        <v>Rengging</v>
      </c>
      <c r="C112" s="373"/>
      <c r="D112" s="373"/>
      <c r="E112" s="373"/>
      <c r="F112" s="373"/>
      <c r="G112" s="373"/>
      <c r="H112" s="373"/>
      <c r="I112" s="373"/>
      <c r="J112" s="373"/>
      <c r="K112" s="373"/>
      <c r="L112" s="373"/>
      <c r="M112" s="373"/>
      <c r="N112" s="373">
        <v>1</v>
      </c>
      <c r="O112" s="373"/>
      <c r="P112" s="373"/>
      <c r="Q112" s="373"/>
      <c r="R112" s="373"/>
      <c r="S112" s="373"/>
      <c r="T112" s="373"/>
      <c r="U112" s="373"/>
      <c r="V112" s="373"/>
      <c r="W112" s="373"/>
      <c r="X112" s="373"/>
      <c r="Y112" s="373"/>
      <c r="Z112" s="373"/>
      <c r="AA112" s="373"/>
      <c r="AB112" s="373"/>
      <c r="AC112" s="373"/>
      <c r="AD112" s="373"/>
      <c r="AE112" s="373"/>
      <c r="AF112" s="373"/>
      <c r="AG112" s="373"/>
      <c r="AH112" s="373"/>
      <c r="AI112" s="373"/>
      <c r="AJ112" s="373">
        <f t="shared" si="6"/>
        <v>1</v>
      </c>
      <c r="AK112" s="373"/>
      <c r="AL112" s="373"/>
      <c r="AM112" s="373"/>
    </row>
    <row r="113" spans="1:39" ht="18" customHeight="1" x14ac:dyDescent="0.3">
      <c r="A113" s="371">
        <v>3</v>
      </c>
      <c r="B113" s="716" t="str">
        <f>PETUNJUK!B11</f>
        <v>Troso</v>
      </c>
      <c r="C113" s="373">
        <v>1</v>
      </c>
      <c r="D113" s="373"/>
      <c r="E113" s="373"/>
      <c r="F113" s="373"/>
      <c r="G113" s="373"/>
      <c r="H113" s="373"/>
      <c r="I113" s="373"/>
      <c r="J113" s="373"/>
      <c r="K113" s="373"/>
      <c r="L113" s="373"/>
      <c r="M113" s="373">
        <v>2</v>
      </c>
      <c r="N113" s="373"/>
      <c r="O113" s="373">
        <v>1</v>
      </c>
      <c r="P113" s="373"/>
      <c r="Q113" s="373"/>
      <c r="R113" s="373"/>
      <c r="S113" s="373">
        <v>1</v>
      </c>
      <c r="T113" s="373"/>
      <c r="U113" s="373"/>
      <c r="V113" s="373"/>
      <c r="W113" s="373"/>
      <c r="X113" s="373"/>
      <c r="Y113" s="373"/>
      <c r="Z113" s="373"/>
      <c r="AA113" s="373"/>
      <c r="AB113" s="373"/>
      <c r="AC113" s="373"/>
      <c r="AD113" s="373"/>
      <c r="AE113" s="373"/>
      <c r="AF113" s="373"/>
      <c r="AG113" s="373"/>
      <c r="AH113" s="373"/>
      <c r="AI113" s="373"/>
      <c r="AJ113" s="373">
        <f t="shared" si="6"/>
        <v>5</v>
      </c>
      <c r="AK113" s="373">
        <v>4</v>
      </c>
      <c r="AL113" s="373"/>
      <c r="AM113" s="373"/>
    </row>
    <row r="114" spans="1:39" ht="18" customHeight="1" x14ac:dyDescent="0.3">
      <c r="A114" s="371">
        <v>4</v>
      </c>
      <c r="B114" s="716" t="str">
        <f>PETUNJUK!B12</f>
        <v>Ngeling</v>
      </c>
      <c r="C114" s="373"/>
      <c r="D114" s="373"/>
      <c r="E114" s="373">
        <v>1</v>
      </c>
      <c r="F114" s="373"/>
      <c r="G114" s="373"/>
      <c r="H114" s="373"/>
      <c r="I114" s="373"/>
      <c r="J114" s="373"/>
      <c r="K114" s="373"/>
      <c r="L114" s="373"/>
      <c r="M114" s="373"/>
      <c r="N114" s="373"/>
      <c r="O114" s="373">
        <v>2</v>
      </c>
      <c r="P114" s="373"/>
      <c r="Q114" s="373"/>
      <c r="R114" s="373"/>
      <c r="S114" s="373"/>
      <c r="T114" s="373"/>
      <c r="U114" s="373"/>
      <c r="V114" s="373">
        <v>1</v>
      </c>
      <c r="W114" s="373"/>
      <c r="X114" s="373"/>
      <c r="Y114" s="373"/>
      <c r="Z114" s="373"/>
      <c r="AA114" s="373"/>
      <c r="AB114" s="373"/>
      <c r="AC114" s="373"/>
      <c r="AD114" s="373"/>
      <c r="AE114" s="373"/>
      <c r="AF114" s="373"/>
      <c r="AG114" s="373"/>
      <c r="AH114" s="373"/>
      <c r="AI114" s="373"/>
      <c r="AJ114" s="373">
        <f t="shared" si="6"/>
        <v>4</v>
      </c>
      <c r="AK114" s="373"/>
      <c r="AL114" s="373"/>
      <c r="AM114" s="373"/>
    </row>
    <row r="115" spans="1:39" ht="18" customHeight="1" x14ac:dyDescent="0.3">
      <c r="A115" s="371">
        <v>5</v>
      </c>
      <c r="B115" s="716" t="str">
        <f>PETUNJUK!B13</f>
        <v>Lebuawu</v>
      </c>
      <c r="C115" s="373"/>
      <c r="D115" s="373"/>
      <c r="E115" s="373">
        <v>1</v>
      </c>
      <c r="F115" s="373"/>
      <c r="G115" s="373"/>
      <c r="H115" s="373"/>
      <c r="I115" s="373"/>
      <c r="J115" s="373"/>
      <c r="K115" s="373"/>
      <c r="L115" s="373"/>
      <c r="M115" s="373"/>
      <c r="N115" s="373"/>
      <c r="O115" s="373"/>
      <c r="P115" s="373"/>
      <c r="Q115" s="373"/>
      <c r="R115" s="373"/>
      <c r="S115" s="373"/>
      <c r="T115" s="373"/>
      <c r="U115" s="373"/>
      <c r="V115" s="373"/>
      <c r="W115" s="373"/>
      <c r="X115" s="373"/>
      <c r="Y115" s="373"/>
      <c r="Z115" s="373"/>
      <c r="AA115" s="373"/>
      <c r="AB115" s="373"/>
      <c r="AC115" s="373"/>
      <c r="AD115" s="373"/>
      <c r="AE115" s="373"/>
      <c r="AF115" s="373"/>
      <c r="AG115" s="373"/>
      <c r="AH115" s="373"/>
      <c r="AI115" s="373"/>
      <c r="AJ115" s="373">
        <f t="shared" si="6"/>
        <v>1</v>
      </c>
      <c r="AK115" s="373"/>
      <c r="AL115" s="373"/>
      <c r="AM115" s="373"/>
    </row>
    <row r="116" spans="1:39" ht="18" customHeight="1" x14ac:dyDescent="0.3">
      <c r="A116" s="371">
        <v>6</v>
      </c>
      <c r="B116" s="716" t="str">
        <f>PETUNJUK!B14</f>
        <v>Pulodarat</v>
      </c>
      <c r="C116" s="373"/>
      <c r="D116" s="373"/>
      <c r="E116" s="373"/>
      <c r="F116" s="373"/>
      <c r="G116" s="373"/>
      <c r="H116" s="373"/>
      <c r="I116" s="373"/>
      <c r="J116" s="373"/>
      <c r="K116" s="373"/>
      <c r="L116" s="373"/>
      <c r="M116" s="373"/>
      <c r="N116" s="373"/>
      <c r="O116" s="373">
        <v>1</v>
      </c>
      <c r="P116" s="373"/>
      <c r="Q116" s="373"/>
      <c r="R116" s="373"/>
      <c r="S116" s="373"/>
      <c r="T116" s="373"/>
      <c r="U116" s="373"/>
      <c r="V116" s="373"/>
      <c r="W116" s="373"/>
      <c r="X116" s="373"/>
      <c r="Y116" s="373"/>
      <c r="Z116" s="373"/>
      <c r="AA116" s="373"/>
      <c r="AB116" s="373"/>
      <c r="AC116" s="373"/>
      <c r="AD116" s="373"/>
      <c r="AE116" s="373"/>
      <c r="AF116" s="373"/>
      <c r="AG116" s="373"/>
      <c r="AH116" s="373"/>
      <c r="AI116" s="373"/>
      <c r="AJ116" s="373">
        <f t="shared" si="6"/>
        <v>1</v>
      </c>
      <c r="AK116" s="373"/>
      <c r="AL116" s="373"/>
      <c r="AM116" s="373"/>
    </row>
    <row r="117" spans="1:39" ht="18" customHeight="1" x14ac:dyDescent="0.3">
      <c r="A117" s="371">
        <v>7</v>
      </c>
      <c r="B117" s="716" t="str">
        <f>PETUNJUK!B15</f>
        <v>Karangrandu</v>
      </c>
      <c r="C117" s="373"/>
      <c r="D117" s="373"/>
      <c r="E117" s="373"/>
      <c r="F117" s="373"/>
      <c r="G117" s="373"/>
      <c r="H117" s="373"/>
      <c r="I117" s="373"/>
      <c r="J117" s="373"/>
      <c r="K117" s="373"/>
      <c r="L117" s="373"/>
      <c r="M117" s="373"/>
      <c r="N117" s="373">
        <v>1</v>
      </c>
      <c r="O117" s="373"/>
      <c r="P117" s="373"/>
      <c r="Q117" s="373"/>
      <c r="R117" s="373"/>
      <c r="S117" s="373"/>
      <c r="T117" s="373"/>
      <c r="U117" s="373"/>
      <c r="V117" s="373"/>
      <c r="W117" s="373"/>
      <c r="X117" s="373"/>
      <c r="Y117" s="373"/>
      <c r="Z117" s="373"/>
      <c r="AA117" s="373"/>
      <c r="AB117" s="373"/>
      <c r="AC117" s="373"/>
      <c r="AD117" s="373"/>
      <c r="AE117" s="373"/>
      <c r="AF117" s="373"/>
      <c r="AG117" s="373"/>
      <c r="AH117" s="373"/>
      <c r="AI117" s="373"/>
      <c r="AJ117" s="373">
        <f t="shared" si="6"/>
        <v>1</v>
      </c>
      <c r="AK117" s="373"/>
      <c r="AL117" s="373"/>
      <c r="AM117" s="373"/>
    </row>
    <row r="118" spans="1:39" ht="18" customHeight="1" x14ac:dyDescent="0.3">
      <c r="A118" s="371">
        <v>8</v>
      </c>
      <c r="B118" s="716" t="str">
        <f>PETUNJUK!B16</f>
        <v>Kaliombo</v>
      </c>
      <c r="C118" s="373"/>
      <c r="D118" s="373"/>
      <c r="E118" s="373"/>
      <c r="F118" s="373"/>
      <c r="G118" s="373"/>
      <c r="H118" s="373"/>
      <c r="I118" s="373"/>
      <c r="J118" s="373"/>
      <c r="K118" s="373"/>
      <c r="L118" s="373"/>
      <c r="M118" s="373"/>
      <c r="N118" s="373"/>
      <c r="O118" s="373">
        <v>1</v>
      </c>
      <c r="P118" s="373"/>
      <c r="Q118" s="373"/>
      <c r="R118" s="373"/>
      <c r="S118" s="373"/>
      <c r="T118" s="373"/>
      <c r="U118" s="373"/>
      <c r="V118" s="373"/>
      <c r="W118" s="373"/>
      <c r="X118" s="373"/>
      <c r="Y118" s="373"/>
      <c r="Z118" s="373"/>
      <c r="AA118" s="373"/>
      <c r="AB118" s="373"/>
      <c r="AC118" s="373"/>
      <c r="AD118" s="373"/>
      <c r="AE118" s="373"/>
      <c r="AF118" s="373"/>
      <c r="AG118" s="373"/>
      <c r="AH118" s="373"/>
      <c r="AI118" s="373"/>
      <c r="AJ118" s="373">
        <f t="shared" si="6"/>
        <v>1</v>
      </c>
      <c r="AK118" s="373"/>
      <c r="AL118" s="373"/>
      <c r="AM118" s="373"/>
    </row>
    <row r="119" spans="1:39" ht="18" customHeight="1" x14ac:dyDescent="0.3">
      <c r="A119" s="371">
        <v>9</v>
      </c>
      <c r="B119" s="716" t="str">
        <f>PETUNJUK!B17</f>
        <v>Gemulung</v>
      </c>
      <c r="C119" s="373"/>
      <c r="D119" s="373"/>
      <c r="E119" s="373">
        <v>1</v>
      </c>
      <c r="F119" s="373"/>
      <c r="G119" s="373"/>
      <c r="H119" s="373"/>
      <c r="I119" s="373"/>
      <c r="J119" s="373"/>
      <c r="K119" s="373"/>
      <c r="L119" s="373"/>
      <c r="M119" s="373"/>
      <c r="N119" s="373"/>
      <c r="O119" s="373">
        <v>1</v>
      </c>
      <c r="P119" s="373"/>
      <c r="Q119" s="373"/>
      <c r="R119" s="373"/>
      <c r="S119" s="373"/>
      <c r="T119" s="373"/>
      <c r="U119" s="373"/>
      <c r="V119" s="373"/>
      <c r="W119" s="373"/>
      <c r="X119" s="373"/>
      <c r="Y119" s="373"/>
      <c r="Z119" s="373"/>
      <c r="AA119" s="373"/>
      <c r="AB119" s="373"/>
      <c r="AC119" s="373"/>
      <c r="AD119" s="373"/>
      <c r="AE119" s="373"/>
      <c r="AF119" s="373"/>
      <c r="AG119" s="373"/>
      <c r="AH119" s="373"/>
      <c r="AI119" s="373"/>
      <c r="AJ119" s="373">
        <f t="shared" si="6"/>
        <v>2</v>
      </c>
      <c r="AK119" s="373"/>
      <c r="AL119" s="373"/>
      <c r="AM119" s="373"/>
    </row>
    <row r="120" spans="1:39" ht="18" customHeight="1" x14ac:dyDescent="0.3">
      <c r="A120" s="371">
        <v>10</v>
      </c>
      <c r="B120" s="716" t="str">
        <f>PETUNJUK!B18</f>
        <v>Pecangaan Wetan</v>
      </c>
      <c r="C120" s="373"/>
      <c r="D120" s="373"/>
      <c r="E120" s="373"/>
      <c r="F120" s="373"/>
      <c r="G120" s="373"/>
      <c r="H120" s="373"/>
      <c r="I120" s="373"/>
      <c r="J120" s="373"/>
      <c r="K120" s="373"/>
      <c r="L120" s="373"/>
      <c r="M120" s="373"/>
      <c r="N120" s="373"/>
      <c r="O120" s="373"/>
      <c r="P120" s="373"/>
      <c r="Q120" s="373"/>
      <c r="R120" s="373"/>
      <c r="S120" s="373"/>
      <c r="T120" s="373"/>
      <c r="U120" s="373"/>
      <c r="V120" s="373"/>
      <c r="W120" s="373"/>
      <c r="X120" s="373"/>
      <c r="Y120" s="373"/>
      <c r="Z120" s="373"/>
      <c r="AA120" s="373"/>
      <c r="AB120" s="373"/>
      <c r="AC120" s="373"/>
      <c r="AD120" s="373"/>
      <c r="AE120" s="373"/>
      <c r="AF120" s="373"/>
      <c r="AG120" s="373"/>
      <c r="AH120" s="373"/>
      <c r="AI120" s="373"/>
      <c r="AJ120" s="373">
        <f t="shared" si="6"/>
        <v>0</v>
      </c>
      <c r="AK120" s="373"/>
      <c r="AL120" s="373"/>
      <c r="AM120" s="373"/>
    </row>
    <row r="121" spans="1:39" ht="18" customHeight="1" x14ac:dyDescent="0.3">
      <c r="A121" s="371">
        <v>11</v>
      </c>
      <c r="B121" s="716" t="str">
        <f>PETUNJUK!B19</f>
        <v>Krasak</v>
      </c>
      <c r="C121" s="373"/>
      <c r="D121" s="373"/>
      <c r="E121" s="373"/>
      <c r="F121" s="373"/>
      <c r="G121" s="373"/>
      <c r="H121" s="373"/>
      <c r="I121" s="373"/>
      <c r="J121" s="373"/>
      <c r="K121" s="373"/>
      <c r="L121" s="373"/>
      <c r="M121" s="373"/>
      <c r="N121" s="373"/>
      <c r="O121" s="373">
        <v>2</v>
      </c>
      <c r="P121" s="373"/>
      <c r="Q121" s="373"/>
      <c r="R121" s="373"/>
      <c r="S121" s="373"/>
      <c r="T121" s="373"/>
      <c r="U121" s="373"/>
      <c r="V121" s="373"/>
      <c r="W121" s="373"/>
      <c r="X121" s="373"/>
      <c r="Y121" s="373"/>
      <c r="Z121" s="373"/>
      <c r="AA121" s="373"/>
      <c r="AB121" s="373"/>
      <c r="AC121" s="373"/>
      <c r="AD121" s="373"/>
      <c r="AE121" s="373"/>
      <c r="AF121" s="373"/>
      <c r="AG121" s="373"/>
      <c r="AH121" s="373"/>
      <c r="AI121" s="373"/>
      <c r="AJ121" s="373">
        <f t="shared" si="6"/>
        <v>2</v>
      </c>
      <c r="AK121" s="373"/>
      <c r="AL121" s="373"/>
      <c r="AM121" s="373"/>
    </row>
    <row r="122" spans="1:39" ht="18" customHeight="1" x14ac:dyDescent="0.3">
      <c r="A122" s="371">
        <v>12</v>
      </c>
      <c r="B122" s="716" t="str">
        <f>PETUNJUK!B20</f>
        <v>Gerdu</v>
      </c>
      <c r="C122" s="373"/>
      <c r="D122" s="373"/>
      <c r="E122" s="373"/>
      <c r="F122" s="373"/>
      <c r="G122" s="373"/>
      <c r="H122" s="373"/>
      <c r="I122" s="373"/>
      <c r="J122" s="373"/>
      <c r="K122" s="373"/>
      <c r="L122" s="373"/>
      <c r="M122" s="373"/>
      <c r="N122" s="373">
        <v>1</v>
      </c>
      <c r="O122" s="373"/>
      <c r="P122" s="373"/>
      <c r="Q122" s="373"/>
      <c r="R122" s="373"/>
      <c r="S122" s="373"/>
      <c r="T122" s="373"/>
      <c r="U122" s="373"/>
      <c r="V122" s="373"/>
      <c r="W122" s="373"/>
      <c r="X122" s="373"/>
      <c r="Y122" s="373"/>
      <c r="Z122" s="373"/>
      <c r="AA122" s="373"/>
      <c r="AB122" s="373"/>
      <c r="AC122" s="373"/>
      <c r="AD122" s="373"/>
      <c r="AE122" s="373"/>
      <c r="AF122" s="373"/>
      <c r="AG122" s="373"/>
      <c r="AH122" s="373"/>
      <c r="AI122" s="373"/>
      <c r="AJ122" s="373">
        <f t="shared" si="6"/>
        <v>1</v>
      </c>
      <c r="AK122" s="373"/>
      <c r="AL122" s="373"/>
      <c r="AM122" s="373"/>
    </row>
    <row r="123" spans="1:39" ht="18" customHeight="1" x14ac:dyDescent="0.3">
      <c r="A123" s="371">
        <v>13</v>
      </c>
      <c r="B123" s="372">
        <f>PETUNJUK!B21</f>
        <v>0</v>
      </c>
      <c r="C123" s="373"/>
      <c r="D123" s="373"/>
      <c r="E123" s="373"/>
      <c r="F123" s="373"/>
      <c r="G123" s="373"/>
      <c r="H123" s="373"/>
      <c r="I123" s="373"/>
      <c r="J123" s="373"/>
      <c r="K123" s="373"/>
      <c r="L123" s="373"/>
      <c r="M123" s="373"/>
      <c r="N123" s="373"/>
      <c r="O123" s="373"/>
      <c r="P123" s="373"/>
      <c r="Q123" s="373"/>
      <c r="R123" s="373"/>
      <c r="S123" s="373"/>
      <c r="T123" s="373"/>
      <c r="U123" s="373"/>
      <c r="V123" s="373"/>
      <c r="W123" s="373"/>
      <c r="X123" s="373"/>
      <c r="Y123" s="373"/>
      <c r="Z123" s="373"/>
      <c r="AA123" s="373"/>
      <c r="AB123" s="373"/>
      <c r="AC123" s="373"/>
      <c r="AD123" s="373"/>
      <c r="AE123" s="373"/>
      <c r="AF123" s="373"/>
      <c r="AG123" s="373"/>
      <c r="AH123" s="373"/>
      <c r="AI123" s="373"/>
      <c r="AJ123" s="373"/>
      <c r="AK123" s="373"/>
      <c r="AL123" s="373"/>
      <c r="AM123" s="373"/>
    </row>
    <row r="124" spans="1:39" ht="18" customHeight="1" x14ac:dyDescent="0.3">
      <c r="A124" s="371">
        <v>14</v>
      </c>
      <c r="B124" s="372">
        <f>PETUNJUK!B22</f>
        <v>0</v>
      </c>
      <c r="C124" s="373"/>
      <c r="D124" s="373"/>
      <c r="E124" s="373"/>
      <c r="F124" s="373"/>
      <c r="G124" s="373"/>
      <c r="H124" s="373"/>
      <c r="I124" s="373"/>
      <c r="J124" s="373"/>
      <c r="K124" s="373"/>
      <c r="L124" s="373"/>
      <c r="M124" s="373"/>
      <c r="N124" s="373"/>
      <c r="O124" s="373"/>
      <c r="P124" s="373"/>
      <c r="Q124" s="373"/>
      <c r="R124" s="373"/>
      <c r="S124" s="373"/>
      <c r="T124" s="373"/>
      <c r="U124" s="373"/>
      <c r="V124" s="373"/>
      <c r="W124" s="373"/>
      <c r="X124" s="373"/>
      <c r="Y124" s="373"/>
      <c r="Z124" s="373"/>
      <c r="AA124" s="373"/>
      <c r="AB124" s="373"/>
      <c r="AC124" s="373"/>
      <c r="AD124" s="373"/>
      <c r="AE124" s="373"/>
      <c r="AF124" s="373"/>
      <c r="AG124" s="373"/>
      <c r="AH124" s="373"/>
      <c r="AI124" s="373"/>
      <c r="AJ124" s="373"/>
      <c r="AK124" s="373"/>
      <c r="AL124" s="373"/>
      <c r="AM124" s="373"/>
    </row>
    <row r="125" spans="1:39" ht="18" customHeight="1" x14ac:dyDescent="0.3">
      <c r="A125" s="371">
        <v>15</v>
      </c>
      <c r="B125" s="372">
        <f>PETUNJUK!B23</f>
        <v>0</v>
      </c>
      <c r="C125" s="373"/>
      <c r="D125" s="373"/>
      <c r="E125" s="373"/>
      <c r="F125" s="373"/>
      <c r="G125" s="373"/>
      <c r="H125" s="373"/>
      <c r="I125" s="373"/>
      <c r="J125" s="373"/>
      <c r="K125" s="373"/>
      <c r="L125" s="373"/>
      <c r="M125" s="373"/>
      <c r="N125" s="373"/>
      <c r="O125" s="373"/>
      <c r="P125" s="373"/>
      <c r="Q125" s="373"/>
      <c r="R125" s="373"/>
      <c r="S125" s="373"/>
      <c r="T125" s="373"/>
      <c r="U125" s="373"/>
      <c r="V125" s="373"/>
      <c r="W125" s="373"/>
      <c r="X125" s="373"/>
      <c r="Y125" s="373"/>
      <c r="Z125" s="373"/>
      <c r="AA125" s="373"/>
      <c r="AB125" s="373"/>
      <c r="AC125" s="373"/>
      <c r="AD125" s="373"/>
      <c r="AE125" s="373"/>
      <c r="AF125" s="373"/>
      <c r="AG125" s="373"/>
      <c r="AH125" s="373"/>
      <c r="AI125" s="373"/>
      <c r="AJ125" s="373"/>
      <c r="AK125" s="373"/>
      <c r="AL125" s="373"/>
      <c r="AM125" s="373"/>
    </row>
    <row r="126" spans="1:39" ht="18" customHeight="1" x14ac:dyDescent="0.3">
      <c r="A126" s="371">
        <v>16</v>
      </c>
      <c r="B126" s="372">
        <f>PETUNJUK!B24</f>
        <v>0</v>
      </c>
      <c r="C126" s="373"/>
      <c r="D126" s="373"/>
      <c r="E126" s="373"/>
      <c r="F126" s="373"/>
      <c r="G126" s="373"/>
      <c r="H126" s="373"/>
      <c r="I126" s="373"/>
      <c r="J126" s="373"/>
      <c r="K126" s="373"/>
      <c r="L126" s="373"/>
      <c r="M126" s="373"/>
      <c r="N126" s="373"/>
      <c r="O126" s="373"/>
      <c r="P126" s="373"/>
      <c r="Q126" s="373"/>
      <c r="R126" s="373"/>
      <c r="S126" s="373"/>
      <c r="T126" s="373"/>
      <c r="U126" s="373"/>
      <c r="V126" s="373"/>
      <c r="W126" s="373"/>
      <c r="X126" s="373"/>
      <c r="Y126" s="373"/>
      <c r="Z126" s="373"/>
      <c r="AA126" s="373"/>
      <c r="AB126" s="373"/>
      <c r="AC126" s="373"/>
      <c r="AD126" s="373"/>
      <c r="AE126" s="373"/>
      <c r="AF126" s="373"/>
      <c r="AG126" s="373"/>
      <c r="AH126" s="373"/>
      <c r="AI126" s="373"/>
      <c r="AJ126" s="373"/>
      <c r="AK126" s="373"/>
      <c r="AL126" s="373"/>
      <c r="AM126" s="373"/>
    </row>
    <row r="127" spans="1:39" ht="18" customHeight="1" x14ac:dyDescent="0.3">
      <c r="A127" s="371">
        <v>17</v>
      </c>
      <c r="B127" s="372">
        <f>PETUNJUK!B25</f>
        <v>0</v>
      </c>
      <c r="C127" s="373"/>
      <c r="D127" s="373"/>
      <c r="E127" s="373"/>
      <c r="F127" s="373"/>
      <c r="G127" s="373"/>
      <c r="H127" s="373"/>
      <c r="I127" s="373"/>
      <c r="J127" s="373"/>
      <c r="K127" s="373"/>
      <c r="L127" s="373"/>
      <c r="M127" s="373"/>
      <c r="N127" s="373"/>
      <c r="O127" s="373"/>
      <c r="P127" s="373"/>
      <c r="Q127" s="373"/>
      <c r="R127" s="373"/>
      <c r="S127" s="373"/>
      <c r="T127" s="373"/>
      <c r="U127" s="373"/>
      <c r="V127" s="373"/>
      <c r="W127" s="373"/>
      <c r="X127" s="373"/>
      <c r="Y127" s="373"/>
      <c r="Z127" s="373"/>
      <c r="AA127" s="373"/>
      <c r="AB127" s="373"/>
      <c r="AC127" s="373"/>
      <c r="AD127" s="373"/>
      <c r="AE127" s="373"/>
      <c r="AF127" s="373"/>
      <c r="AG127" s="373"/>
      <c r="AH127" s="373"/>
      <c r="AI127" s="373"/>
      <c r="AJ127" s="373"/>
      <c r="AK127" s="373"/>
      <c r="AL127" s="373"/>
      <c r="AM127" s="373"/>
    </row>
    <row r="128" spans="1:39" ht="18" customHeight="1" x14ac:dyDescent="0.3">
      <c r="A128" s="371">
        <v>18</v>
      </c>
      <c r="B128" s="372">
        <f>PETUNJUK!B26</f>
        <v>0</v>
      </c>
      <c r="C128" s="373"/>
      <c r="D128" s="373"/>
      <c r="E128" s="373"/>
      <c r="F128" s="373"/>
      <c r="G128" s="373"/>
      <c r="H128" s="373"/>
      <c r="I128" s="373"/>
      <c r="J128" s="373"/>
      <c r="K128" s="373"/>
      <c r="L128" s="373"/>
      <c r="M128" s="373"/>
      <c r="N128" s="373"/>
      <c r="O128" s="373"/>
      <c r="P128" s="373"/>
      <c r="Q128" s="373"/>
      <c r="R128" s="373"/>
      <c r="S128" s="373"/>
      <c r="T128" s="373"/>
      <c r="U128" s="373"/>
      <c r="V128" s="373"/>
      <c r="W128" s="373"/>
      <c r="X128" s="373"/>
      <c r="Y128" s="373"/>
      <c r="Z128" s="373"/>
      <c r="AA128" s="373"/>
      <c r="AB128" s="373"/>
      <c r="AC128" s="373"/>
      <c r="AD128" s="373"/>
      <c r="AE128" s="373"/>
      <c r="AF128" s="373"/>
      <c r="AG128" s="373"/>
      <c r="AH128" s="373"/>
      <c r="AI128" s="373"/>
      <c r="AJ128" s="373"/>
      <c r="AK128" s="373"/>
      <c r="AL128" s="373"/>
      <c r="AM128" s="373"/>
    </row>
    <row r="129" spans="1:39" ht="18" customHeight="1" x14ac:dyDescent="0.3">
      <c r="A129" s="371">
        <v>19</v>
      </c>
      <c r="B129" s="372">
        <f>PETUNJUK!B27</f>
        <v>0</v>
      </c>
      <c r="C129" s="373"/>
      <c r="D129" s="373"/>
      <c r="E129" s="373"/>
      <c r="F129" s="373"/>
      <c r="G129" s="373"/>
      <c r="H129" s="373"/>
      <c r="I129" s="373"/>
      <c r="J129" s="373"/>
      <c r="K129" s="373"/>
      <c r="L129" s="373"/>
      <c r="M129" s="373"/>
      <c r="N129" s="373"/>
      <c r="O129" s="373"/>
      <c r="P129" s="373"/>
      <c r="Q129" s="373"/>
      <c r="R129" s="373"/>
      <c r="S129" s="373"/>
      <c r="T129" s="373"/>
      <c r="U129" s="373"/>
      <c r="V129" s="373"/>
      <c r="W129" s="373"/>
      <c r="X129" s="373"/>
      <c r="Y129" s="373"/>
      <c r="Z129" s="373"/>
      <c r="AA129" s="373"/>
      <c r="AB129" s="373"/>
      <c r="AC129" s="373"/>
      <c r="AD129" s="373"/>
      <c r="AE129" s="373"/>
      <c r="AF129" s="373"/>
      <c r="AG129" s="373"/>
      <c r="AH129" s="373"/>
      <c r="AI129" s="373"/>
      <c r="AJ129" s="373"/>
      <c r="AK129" s="373"/>
      <c r="AL129" s="373"/>
      <c r="AM129" s="373"/>
    </row>
    <row r="130" spans="1:39" ht="18" customHeight="1" x14ac:dyDescent="0.3">
      <c r="A130" s="371">
        <v>20</v>
      </c>
      <c r="B130" s="372">
        <f>PETUNJUK!B28</f>
        <v>0</v>
      </c>
      <c r="C130" s="373"/>
      <c r="D130" s="373"/>
      <c r="E130" s="373"/>
      <c r="F130" s="373"/>
      <c r="G130" s="373"/>
      <c r="H130" s="373"/>
      <c r="I130" s="373"/>
      <c r="J130" s="373"/>
      <c r="K130" s="373"/>
      <c r="L130" s="373"/>
      <c r="M130" s="373"/>
      <c r="N130" s="373"/>
      <c r="O130" s="373"/>
      <c r="P130" s="373"/>
      <c r="Q130" s="373"/>
      <c r="R130" s="373"/>
      <c r="S130" s="373"/>
      <c r="T130" s="373"/>
      <c r="U130" s="373"/>
      <c r="V130" s="373"/>
      <c r="W130" s="373"/>
      <c r="X130" s="373"/>
      <c r="Y130" s="373"/>
      <c r="Z130" s="373"/>
      <c r="AA130" s="373"/>
      <c r="AB130" s="373"/>
      <c r="AC130" s="373"/>
      <c r="AD130" s="373"/>
      <c r="AE130" s="373"/>
      <c r="AF130" s="373"/>
      <c r="AG130" s="373"/>
      <c r="AH130" s="373"/>
      <c r="AI130" s="373"/>
      <c r="AJ130" s="373"/>
      <c r="AK130" s="373"/>
      <c r="AL130" s="373"/>
      <c r="AM130" s="373"/>
    </row>
    <row r="131" spans="1:39" ht="18" customHeight="1" x14ac:dyDescent="0.3">
      <c r="A131" s="371">
        <v>21</v>
      </c>
      <c r="B131" s="372">
        <f>PETUNJUK!B29</f>
        <v>0</v>
      </c>
      <c r="C131" s="373"/>
      <c r="D131" s="373"/>
      <c r="E131" s="373"/>
      <c r="F131" s="373"/>
      <c r="G131" s="373"/>
      <c r="H131" s="373"/>
      <c r="I131" s="373"/>
      <c r="J131" s="373"/>
      <c r="K131" s="373"/>
      <c r="L131" s="373"/>
      <c r="M131" s="373"/>
      <c r="N131" s="373"/>
      <c r="O131" s="373"/>
      <c r="P131" s="373"/>
      <c r="Q131" s="373"/>
      <c r="R131" s="373"/>
      <c r="S131" s="373"/>
      <c r="T131" s="373"/>
      <c r="U131" s="373"/>
      <c r="V131" s="373"/>
      <c r="W131" s="373"/>
      <c r="X131" s="373"/>
      <c r="Y131" s="373"/>
      <c r="Z131" s="373"/>
      <c r="AA131" s="373"/>
      <c r="AB131" s="373"/>
      <c r="AC131" s="373"/>
      <c r="AD131" s="373"/>
      <c r="AE131" s="373"/>
      <c r="AF131" s="373"/>
      <c r="AG131" s="373"/>
      <c r="AH131" s="373"/>
      <c r="AI131" s="373"/>
      <c r="AJ131" s="373"/>
      <c r="AK131" s="373"/>
      <c r="AL131" s="373"/>
      <c r="AM131" s="373"/>
    </row>
    <row r="132" spans="1:39" ht="18" customHeight="1" thickBot="1" x14ac:dyDescent="0.35">
      <c r="A132" s="381">
        <v>22</v>
      </c>
      <c r="B132" s="372">
        <f>PETUNJUK!B30</f>
        <v>0</v>
      </c>
      <c r="C132" s="382"/>
      <c r="D132" s="382"/>
      <c r="E132" s="382"/>
      <c r="F132" s="382"/>
      <c r="G132" s="382"/>
      <c r="H132" s="382"/>
      <c r="I132" s="382"/>
      <c r="J132" s="382"/>
      <c r="K132" s="382"/>
      <c r="L132" s="382"/>
      <c r="M132" s="382"/>
      <c r="N132" s="382"/>
      <c r="O132" s="382"/>
      <c r="P132" s="382"/>
      <c r="Q132" s="382"/>
      <c r="R132" s="382"/>
      <c r="S132" s="382"/>
      <c r="T132" s="382"/>
      <c r="U132" s="382"/>
      <c r="V132" s="382"/>
      <c r="W132" s="382"/>
      <c r="X132" s="382"/>
      <c r="Y132" s="382"/>
      <c r="Z132" s="382"/>
      <c r="AA132" s="382"/>
      <c r="AB132" s="382"/>
      <c r="AC132" s="382"/>
      <c r="AD132" s="382"/>
      <c r="AE132" s="382"/>
      <c r="AF132" s="382"/>
      <c r="AG132" s="382"/>
      <c r="AH132" s="382"/>
      <c r="AI132" s="382"/>
      <c r="AJ132" s="373"/>
      <c r="AK132" s="382"/>
      <c r="AL132" s="382"/>
      <c r="AM132" s="382"/>
    </row>
    <row r="133" spans="1:39" ht="18" customHeight="1" thickBot="1" x14ac:dyDescent="0.35">
      <c r="A133" s="803" t="s">
        <v>62</v>
      </c>
      <c r="B133" s="805"/>
      <c r="C133" s="376">
        <f t="shared" ref="C133:AM133" si="7">SUM(C111:C132)</f>
        <v>1</v>
      </c>
      <c r="D133" s="376">
        <f t="shared" si="7"/>
        <v>0</v>
      </c>
      <c r="E133" s="376">
        <f t="shared" si="7"/>
        <v>4</v>
      </c>
      <c r="F133" s="376">
        <f t="shared" si="7"/>
        <v>0</v>
      </c>
      <c r="G133" s="376">
        <f t="shared" si="7"/>
        <v>0</v>
      </c>
      <c r="H133" s="376">
        <f t="shared" si="7"/>
        <v>0</v>
      </c>
      <c r="I133" s="376">
        <f t="shared" si="7"/>
        <v>0</v>
      </c>
      <c r="J133" s="376">
        <f t="shared" si="7"/>
        <v>0</v>
      </c>
      <c r="K133" s="376">
        <f t="shared" si="7"/>
        <v>0</v>
      </c>
      <c r="L133" s="376">
        <f t="shared" si="7"/>
        <v>0</v>
      </c>
      <c r="M133" s="376">
        <f t="shared" si="7"/>
        <v>3</v>
      </c>
      <c r="N133" s="376">
        <f t="shared" si="7"/>
        <v>4</v>
      </c>
      <c r="O133" s="376">
        <f t="shared" si="7"/>
        <v>9</v>
      </c>
      <c r="P133" s="376">
        <f t="shared" si="7"/>
        <v>0</v>
      </c>
      <c r="Q133" s="376">
        <f t="shared" si="7"/>
        <v>0</v>
      </c>
      <c r="R133" s="376">
        <f t="shared" si="7"/>
        <v>0</v>
      </c>
      <c r="S133" s="376">
        <f t="shared" si="7"/>
        <v>1</v>
      </c>
      <c r="T133" s="376">
        <f t="shared" si="7"/>
        <v>0</v>
      </c>
      <c r="U133" s="376">
        <f t="shared" si="7"/>
        <v>0</v>
      </c>
      <c r="V133" s="376">
        <f t="shared" si="7"/>
        <v>1</v>
      </c>
      <c r="W133" s="376">
        <f t="shared" si="7"/>
        <v>0</v>
      </c>
      <c r="X133" s="376">
        <f t="shared" si="7"/>
        <v>0</v>
      </c>
      <c r="Y133" s="376">
        <f t="shared" si="7"/>
        <v>0</v>
      </c>
      <c r="Z133" s="376">
        <f t="shared" si="7"/>
        <v>0</v>
      </c>
      <c r="AA133" s="376">
        <f t="shared" si="7"/>
        <v>0</v>
      </c>
      <c r="AB133" s="376">
        <f t="shared" si="7"/>
        <v>0</v>
      </c>
      <c r="AC133" s="376">
        <f t="shared" si="7"/>
        <v>0</v>
      </c>
      <c r="AD133" s="376">
        <f t="shared" si="7"/>
        <v>0</v>
      </c>
      <c r="AE133" s="376">
        <f t="shared" si="7"/>
        <v>0</v>
      </c>
      <c r="AF133" s="376">
        <f t="shared" si="7"/>
        <v>0</v>
      </c>
      <c r="AG133" s="376">
        <f t="shared" si="7"/>
        <v>0</v>
      </c>
      <c r="AH133" s="376">
        <f t="shared" si="7"/>
        <v>0</v>
      </c>
      <c r="AI133" s="376">
        <f t="shared" si="7"/>
        <v>0</v>
      </c>
      <c r="AJ133" s="376">
        <f t="shared" si="7"/>
        <v>23</v>
      </c>
      <c r="AK133" s="376">
        <f t="shared" si="7"/>
        <v>4</v>
      </c>
      <c r="AL133" s="376">
        <f t="shared" si="7"/>
        <v>0</v>
      </c>
      <c r="AM133" s="377">
        <f t="shared" si="7"/>
        <v>0</v>
      </c>
    </row>
    <row r="134" spans="1:39" x14ac:dyDescent="0.35">
      <c r="A134" s="235"/>
      <c r="B134" s="235" t="s">
        <v>63</v>
      </c>
      <c r="C134" s="378"/>
      <c r="D134" s="378"/>
      <c r="E134" s="378"/>
      <c r="F134" s="378"/>
      <c r="G134" s="378"/>
      <c r="H134" s="378"/>
      <c r="I134" s="378"/>
      <c r="J134" s="378"/>
      <c r="K134" s="378"/>
      <c r="L134" s="378"/>
      <c r="M134" s="378"/>
      <c r="N134" s="801" t="s">
        <v>181</v>
      </c>
      <c r="O134" s="801"/>
      <c r="P134" s="801"/>
      <c r="Q134" s="801"/>
      <c r="R134" s="801"/>
      <c r="S134" s="801"/>
      <c r="T134" s="801"/>
      <c r="U134" s="801"/>
      <c r="V134" s="801"/>
      <c r="W134" s="801"/>
      <c r="X134" s="801"/>
      <c r="Y134" s="801"/>
      <c r="Z134" s="801"/>
      <c r="AA134" s="801"/>
      <c r="AB134" s="801"/>
      <c r="AC134" s="801"/>
      <c r="AD134" s="801"/>
      <c r="AE134" s="801"/>
      <c r="AF134" s="801"/>
      <c r="AG134" s="801"/>
      <c r="AH134" s="801"/>
      <c r="AI134" s="801"/>
      <c r="AJ134" s="378"/>
    </row>
    <row r="139" spans="1:39" x14ac:dyDescent="0.35">
      <c r="A139" s="802" t="s">
        <v>177</v>
      </c>
      <c r="B139" s="802"/>
      <c r="C139" s="802"/>
      <c r="D139" s="802"/>
      <c r="E139" s="802"/>
      <c r="F139" s="802"/>
      <c r="G139" s="802"/>
      <c r="H139" s="802"/>
      <c r="I139" s="802"/>
      <c r="J139" s="802"/>
      <c r="K139" s="802"/>
      <c r="L139" s="802"/>
      <c r="M139" s="802"/>
      <c r="N139" s="802"/>
      <c r="O139" s="802"/>
      <c r="P139" s="802"/>
      <c r="Q139" s="802"/>
      <c r="R139" s="802"/>
      <c r="S139" s="802"/>
      <c r="T139" s="802"/>
      <c r="U139" s="802"/>
      <c r="V139" s="802"/>
      <c r="W139" s="802"/>
      <c r="X139" s="802"/>
      <c r="Y139" s="802"/>
      <c r="Z139" s="802"/>
      <c r="AA139" s="802"/>
      <c r="AB139" s="802"/>
      <c r="AC139" s="802"/>
      <c r="AD139" s="802"/>
      <c r="AE139" s="802"/>
      <c r="AF139" s="802"/>
      <c r="AG139" s="802"/>
      <c r="AH139" s="802"/>
      <c r="AI139" s="802"/>
      <c r="AJ139" s="802"/>
    </row>
    <row r="140" spans="1:39" x14ac:dyDescent="0.35">
      <c r="A140" s="363"/>
      <c r="B140" s="363"/>
      <c r="C140" s="632"/>
      <c r="D140" s="632"/>
      <c r="E140" s="632"/>
      <c r="F140" s="632"/>
      <c r="G140" s="632"/>
      <c r="H140" s="632"/>
      <c r="I140" s="632"/>
      <c r="J140" s="632"/>
      <c r="K140" s="632"/>
      <c r="L140" s="632"/>
      <c r="M140" s="632"/>
      <c r="N140" s="632"/>
      <c r="O140" s="632"/>
      <c r="P140" s="632"/>
      <c r="Q140" s="632"/>
      <c r="R140" s="632"/>
      <c r="S140" s="632"/>
      <c r="T140" s="632"/>
      <c r="U140" s="632"/>
      <c r="V140" s="632"/>
      <c r="W140" s="632"/>
      <c r="X140" s="632"/>
      <c r="Y140" s="632"/>
      <c r="Z140" s="632"/>
      <c r="AA140" s="632"/>
      <c r="AB140" s="632"/>
      <c r="AC140" s="632"/>
      <c r="AD140" s="632"/>
      <c r="AE140" s="632"/>
      <c r="AF140" s="632"/>
      <c r="AG140" s="632"/>
      <c r="AH140" s="632"/>
      <c r="AI140" s="632"/>
      <c r="AJ140" s="632"/>
    </row>
    <row r="141" spans="1:39" x14ac:dyDescent="0.35">
      <c r="A141" s="364" t="s">
        <v>40</v>
      </c>
      <c r="B141" s="365"/>
      <c r="C141" s="638"/>
      <c r="D141" s="638"/>
      <c r="E141" s="638"/>
      <c r="F141" s="638"/>
      <c r="G141" s="638"/>
      <c r="H141" s="638"/>
      <c r="I141" s="638"/>
      <c r="J141" s="638"/>
      <c r="K141" s="638"/>
      <c r="L141" s="638"/>
      <c r="M141" s="638"/>
      <c r="N141" s="633" t="s">
        <v>176</v>
      </c>
      <c r="O141" s="638" t="str">
        <f>PETUNJUK!C5</f>
        <v>PECANGAAN</v>
      </c>
      <c r="P141" s="638"/>
      <c r="Q141" s="638"/>
      <c r="R141" s="638"/>
      <c r="S141" s="638"/>
      <c r="T141" s="638"/>
      <c r="U141" s="638"/>
      <c r="V141" s="638"/>
      <c r="W141" s="638"/>
      <c r="X141" s="638"/>
      <c r="Y141" s="638"/>
      <c r="Z141" s="638"/>
      <c r="AA141" s="638"/>
      <c r="AB141" s="638"/>
      <c r="AC141" s="638"/>
      <c r="AD141" s="638"/>
      <c r="AE141" s="638"/>
      <c r="AF141" s="638"/>
      <c r="AG141" s="638"/>
      <c r="AH141" s="638"/>
      <c r="AI141" s="638"/>
      <c r="AJ141" s="638"/>
    </row>
    <row r="142" spans="1:39" x14ac:dyDescent="0.35">
      <c r="A142" s="366" t="s">
        <v>0</v>
      </c>
      <c r="B142" s="367"/>
      <c r="C142" s="640"/>
      <c r="D142" s="633"/>
      <c r="E142" s="633"/>
      <c r="F142" s="640"/>
      <c r="G142" s="640"/>
      <c r="H142" s="640"/>
      <c r="I142" s="640"/>
      <c r="J142" s="640"/>
      <c r="K142" s="640"/>
      <c r="L142" s="640"/>
      <c r="M142" s="633"/>
      <c r="N142" s="639" t="s">
        <v>176</v>
      </c>
      <c r="O142" s="642" t="str">
        <f>'1.DATA KIA'!C140</f>
        <v xml:space="preserve">MEI </v>
      </c>
      <c r="P142" s="633"/>
      <c r="Q142" s="633"/>
      <c r="R142" s="633"/>
      <c r="S142" s="633"/>
      <c r="T142" s="633"/>
      <c r="U142" s="633"/>
      <c r="V142" s="633"/>
      <c r="W142" s="633"/>
      <c r="X142" s="633"/>
      <c r="Y142" s="633"/>
      <c r="Z142" s="640"/>
      <c r="AA142" s="640"/>
      <c r="AB142" s="640"/>
      <c r="AC142" s="640"/>
      <c r="AD142" s="640"/>
      <c r="AE142" s="640"/>
      <c r="AF142" s="640"/>
      <c r="AG142" s="640"/>
      <c r="AH142" s="640"/>
      <c r="AI142" s="640"/>
      <c r="AJ142" s="640"/>
    </row>
    <row r="143" spans="1:39" ht="12.75" customHeight="1" x14ac:dyDescent="0.3">
      <c r="A143" s="799" t="s">
        <v>1</v>
      </c>
      <c r="B143" s="799" t="s">
        <v>2</v>
      </c>
      <c r="C143" s="794" t="s">
        <v>301</v>
      </c>
      <c r="D143" s="795"/>
      <c r="E143" s="795"/>
      <c r="F143" s="795"/>
      <c r="G143" s="795"/>
      <c r="H143" s="795"/>
      <c r="I143" s="795"/>
      <c r="J143" s="795"/>
      <c r="K143" s="795"/>
      <c r="L143" s="795"/>
      <c r="M143" s="795"/>
      <c r="N143" s="795"/>
      <c r="O143" s="795"/>
      <c r="P143" s="795"/>
      <c r="Q143" s="795"/>
      <c r="R143" s="795"/>
      <c r="S143" s="795"/>
      <c r="T143" s="795"/>
      <c r="U143" s="795"/>
      <c r="V143" s="795"/>
      <c r="W143" s="795"/>
      <c r="X143" s="795"/>
      <c r="Y143" s="795"/>
      <c r="Z143" s="795"/>
      <c r="AA143" s="795"/>
      <c r="AB143" s="795"/>
      <c r="AC143" s="795"/>
      <c r="AD143" s="795"/>
      <c r="AE143" s="795"/>
      <c r="AF143" s="795"/>
      <c r="AG143" s="795"/>
      <c r="AH143" s="795"/>
      <c r="AI143" s="795"/>
      <c r="AJ143" s="796"/>
      <c r="AK143" s="792" t="s">
        <v>307</v>
      </c>
      <c r="AL143" s="792" t="s">
        <v>308</v>
      </c>
      <c r="AM143" s="792" t="s">
        <v>309</v>
      </c>
    </row>
    <row r="144" spans="1:39" ht="107.25" customHeight="1" x14ac:dyDescent="0.3">
      <c r="A144" s="800"/>
      <c r="B144" s="800"/>
      <c r="C144" s="368" t="s">
        <v>55</v>
      </c>
      <c r="D144" s="369" t="s">
        <v>190</v>
      </c>
      <c r="E144" s="369" t="s">
        <v>43</v>
      </c>
      <c r="F144" s="369" t="s">
        <v>53</v>
      </c>
      <c r="G144" s="369" t="s">
        <v>302</v>
      </c>
      <c r="H144" s="369" t="s">
        <v>303</v>
      </c>
      <c r="I144" s="369" t="s">
        <v>294</v>
      </c>
      <c r="J144" s="369" t="s">
        <v>304</v>
      </c>
      <c r="K144" s="369" t="s">
        <v>305</v>
      </c>
      <c r="L144" s="369" t="s">
        <v>306</v>
      </c>
      <c r="M144" s="369" t="s">
        <v>44</v>
      </c>
      <c r="N144" s="370" t="s">
        <v>178</v>
      </c>
      <c r="O144" s="369" t="s">
        <v>41</v>
      </c>
      <c r="P144" s="369" t="s">
        <v>180</v>
      </c>
      <c r="Q144" s="369" t="s">
        <v>42</v>
      </c>
      <c r="R144" s="369" t="s">
        <v>45</v>
      </c>
      <c r="S144" s="369" t="s">
        <v>46</v>
      </c>
      <c r="T144" s="369" t="s">
        <v>47</v>
      </c>
      <c r="U144" s="369" t="s">
        <v>48</v>
      </c>
      <c r="V144" s="369" t="s">
        <v>49</v>
      </c>
      <c r="W144" s="369" t="s">
        <v>50</v>
      </c>
      <c r="X144" s="369" t="s">
        <v>51</v>
      </c>
      <c r="Y144" s="369" t="s">
        <v>52</v>
      </c>
      <c r="Z144" s="369" t="s">
        <v>54</v>
      </c>
      <c r="AA144" s="369" t="s">
        <v>56</v>
      </c>
      <c r="AB144" s="369" t="s">
        <v>57</v>
      </c>
      <c r="AC144" s="369" t="s">
        <v>58</v>
      </c>
      <c r="AD144" s="369" t="s">
        <v>59</v>
      </c>
      <c r="AE144" s="369" t="s">
        <v>60</v>
      </c>
      <c r="AF144" s="370" t="s">
        <v>179</v>
      </c>
      <c r="AG144" s="370" t="s">
        <v>310</v>
      </c>
      <c r="AH144" s="369" t="s">
        <v>33</v>
      </c>
      <c r="AI144" s="369" t="s">
        <v>61</v>
      </c>
      <c r="AJ144" s="369" t="s">
        <v>18</v>
      </c>
      <c r="AK144" s="793"/>
      <c r="AL144" s="793"/>
      <c r="AM144" s="793"/>
    </row>
    <row r="145" spans="1:39" ht="18" customHeight="1" x14ac:dyDescent="0.3">
      <c r="A145" s="371">
        <v>1</v>
      </c>
      <c r="B145" s="372" t="str">
        <f>PETUNJUK!B9</f>
        <v>Pecangaan Kulon</v>
      </c>
      <c r="C145" s="373"/>
      <c r="D145" s="373"/>
      <c r="E145" s="373"/>
      <c r="F145" s="373"/>
      <c r="G145" s="373"/>
      <c r="H145" s="373"/>
      <c r="I145" s="373"/>
      <c r="J145" s="373"/>
      <c r="K145" s="373"/>
      <c r="L145" s="373"/>
      <c r="M145" s="373"/>
      <c r="N145" s="373"/>
      <c r="O145" s="373"/>
      <c r="P145" s="373"/>
      <c r="Q145" s="373"/>
      <c r="R145" s="373"/>
      <c r="S145" s="373"/>
      <c r="T145" s="373"/>
      <c r="U145" s="373"/>
      <c r="V145" s="373"/>
      <c r="W145" s="373"/>
      <c r="X145" s="373"/>
      <c r="Y145" s="373"/>
      <c r="Z145" s="373"/>
      <c r="AA145" s="373"/>
      <c r="AB145" s="373"/>
      <c r="AC145" s="373"/>
      <c r="AD145" s="373"/>
      <c r="AE145" s="373"/>
      <c r="AF145" s="373"/>
      <c r="AG145" s="373"/>
      <c r="AH145" s="373"/>
      <c r="AI145" s="373"/>
      <c r="AJ145" s="373"/>
      <c r="AK145" s="373"/>
      <c r="AL145" s="373"/>
      <c r="AM145" s="373"/>
    </row>
    <row r="146" spans="1:39" ht="18" customHeight="1" x14ac:dyDescent="0.3">
      <c r="A146" s="371">
        <v>2</v>
      </c>
      <c r="B146" s="372" t="str">
        <f>PETUNJUK!B10</f>
        <v>Rengging</v>
      </c>
      <c r="C146" s="373"/>
      <c r="D146" s="373"/>
      <c r="E146" s="373"/>
      <c r="F146" s="373"/>
      <c r="G146" s="373"/>
      <c r="H146" s="373"/>
      <c r="I146" s="373"/>
      <c r="J146" s="373"/>
      <c r="K146" s="373"/>
      <c r="L146" s="373"/>
      <c r="M146" s="373"/>
      <c r="N146" s="373"/>
      <c r="O146" s="373"/>
      <c r="P146" s="373"/>
      <c r="Q146" s="373"/>
      <c r="R146" s="373"/>
      <c r="S146" s="373"/>
      <c r="T146" s="373"/>
      <c r="U146" s="373"/>
      <c r="V146" s="373"/>
      <c r="W146" s="373"/>
      <c r="X146" s="373"/>
      <c r="Y146" s="373"/>
      <c r="Z146" s="373"/>
      <c r="AA146" s="373"/>
      <c r="AB146" s="373"/>
      <c r="AC146" s="373"/>
      <c r="AD146" s="373"/>
      <c r="AE146" s="373"/>
      <c r="AF146" s="373"/>
      <c r="AG146" s="373"/>
      <c r="AH146" s="373"/>
      <c r="AI146" s="373"/>
      <c r="AJ146" s="373"/>
      <c r="AK146" s="373"/>
      <c r="AL146" s="373"/>
      <c r="AM146" s="373"/>
    </row>
    <row r="147" spans="1:39" ht="18" customHeight="1" x14ac:dyDescent="0.3">
      <c r="A147" s="371">
        <v>3</v>
      </c>
      <c r="B147" s="372" t="str">
        <f>PETUNJUK!B11</f>
        <v>Troso</v>
      </c>
      <c r="C147" s="373"/>
      <c r="D147" s="373"/>
      <c r="E147" s="373"/>
      <c r="F147" s="373"/>
      <c r="G147" s="373"/>
      <c r="H147" s="373"/>
      <c r="I147" s="373"/>
      <c r="J147" s="373"/>
      <c r="K147" s="373"/>
      <c r="L147" s="373"/>
      <c r="M147" s="373"/>
      <c r="N147" s="373"/>
      <c r="O147" s="373"/>
      <c r="P147" s="373"/>
      <c r="Q147" s="373"/>
      <c r="R147" s="373"/>
      <c r="S147" s="373"/>
      <c r="T147" s="373"/>
      <c r="U147" s="373"/>
      <c r="V147" s="373"/>
      <c r="W147" s="373"/>
      <c r="X147" s="373"/>
      <c r="Y147" s="373"/>
      <c r="Z147" s="373"/>
      <c r="AA147" s="373"/>
      <c r="AB147" s="373"/>
      <c r="AC147" s="373"/>
      <c r="AD147" s="373"/>
      <c r="AE147" s="373"/>
      <c r="AF147" s="373"/>
      <c r="AG147" s="373"/>
      <c r="AH147" s="373"/>
      <c r="AI147" s="373"/>
      <c r="AJ147" s="373"/>
      <c r="AK147" s="373"/>
      <c r="AL147" s="373"/>
      <c r="AM147" s="373"/>
    </row>
    <row r="148" spans="1:39" ht="18" customHeight="1" x14ac:dyDescent="0.3">
      <c r="A148" s="371">
        <v>4</v>
      </c>
      <c r="B148" s="372" t="str">
        <f>PETUNJUK!B12</f>
        <v>Ngeling</v>
      </c>
      <c r="C148" s="373"/>
      <c r="D148" s="373"/>
      <c r="E148" s="373"/>
      <c r="F148" s="373"/>
      <c r="G148" s="373"/>
      <c r="H148" s="373"/>
      <c r="I148" s="373"/>
      <c r="J148" s="373"/>
      <c r="K148" s="373"/>
      <c r="L148" s="373"/>
      <c r="M148" s="373"/>
      <c r="N148" s="373"/>
      <c r="O148" s="373"/>
      <c r="P148" s="373"/>
      <c r="Q148" s="373"/>
      <c r="R148" s="373"/>
      <c r="S148" s="373"/>
      <c r="T148" s="373"/>
      <c r="U148" s="373"/>
      <c r="V148" s="373"/>
      <c r="W148" s="373"/>
      <c r="X148" s="373"/>
      <c r="Y148" s="373"/>
      <c r="Z148" s="373"/>
      <c r="AA148" s="373"/>
      <c r="AB148" s="373"/>
      <c r="AC148" s="373"/>
      <c r="AD148" s="373"/>
      <c r="AE148" s="373"/>
      <c r="AF148" s="373"/>
      <c r="AG148" s="373"/>
      <c r="AH148" s="373"/>
      <c r="AI148" s="373"/>
      <c r="AJ148" s="373"/>
      <c r="AK148" s="373"/>
      <c r="AL148" s="373"/>
      <c r="AM148" s="373"/>
    </row>
    <row r="149" spans="1:39" ht="18" customHeight="1" x14ac:dyDescent="0.3">
      <c r="A149" s="371">
        <v>5</v>
      </c>
      <c r="B149" s="372" t="str">
        <f>PETUNJUK!B13</f>
        <v>Lebuawu</v>
      </c>
      <c r="C149" s="373"/>
      <c r="D149" s="373"/>
      <c r="E149" s="373"/>
      <c r="F149" s="373"/>
      <c r="G149" s="373"/>
      <c r="H149" s="373"/>
      <c r="I149" s="373"/>
      <c r="J149" s="373"/>
      <c r="K149" s="373"/>
      <c r="L149" s="373"/>
      <c r="M149" s="373"/>
      <c r="N149" s="373"/>
      <c r="O149" s="373"/>
      <c r="P149" s="373"/>
      <c r="Q149" s="373"/>
      <c r="R149" s="373"/>
      <c r="S149" s="373"/>
      <c r="T149" s="373"/>
      <c r="U149" s="373"/>
      <c r="V149" s="373"/>
      <c r="W149" s="373"/>
      <c r="X149" s="373"/>
      <c r="Y149" s="373"/>
      <c r="Z149" s="373"/>
      <c r="AA149" s="373"/>
      <c r="AB149" s="373"/>
      <c r="AC149" s="373"/>
      <c r="AD149" s="373"/>
      <c r="AE149" s="373"/>
      <c r="AF149" s="373"/>
      <c r="AG149" s="373"/>
      <c r="AH149" s="373"/>
      <c r="AI149" s="373"/>
      <c r="AJ149" s="373"/>
      <c r="AK149" s="373"/>
      <c r="AL149" s="373"/>
      <c r="AM149" s="373"/>
    </row>
    <row r="150" spans="1:39" ht="18" customHeight="1" x14ac:dyDescent="0.3">
      <c r="A150" s="371">
        <v>6</v>
      </c>
      <c r="B150" s="372" t="str">
        <f>PETUNJUK!B14</f>
        <v>Pulodarat</v>
      </c>
      <c r="C150" s="373"/>
      <c r="D150" s="373"/>
      <c r="E150" s="373"/>
      <c r="F150" s="373"/>
      <c r="G150" s="373"/>
      <c r="H150" s="373"/>
      <c r="I150" s="373"/>
      <c r="J150" s="373"/>
      <c r="K150" s="373"/>
      <c r="L150" s="373"/>
      <c r="M150" s="373"/>
      <c r="N150" s="373"/>
      <c r="O150" s="373"/>
      <c r="P150" s="373"/>
      <c r="Q150" s="373"/>
      <c r="R150" s="373"/>
      <c r="S150" s="373"/>
      <c r="T150" s="373"/>
      <c r="U150" s="373"/>
      <c r="V150" s="373"/>
      <c r="W150" s="373"/>
      <c r="X150" s="373"/>
      <c r="Y150" s="373"/>
      <c r="Z150" s="373"/>
      <c r="AA150" s="373"/>
      <c r="AB150" s="373"/>
      <c r="AC150" s="373"/>
      <c r="AD150" s="373"/>
      <c r="AE150" s="373"/>
      <c r="AF150" s="373"/>
      <c r="AG150" s="373"/>
      <c r="AH150" s="373"/>
      <c r="AI150" s="373"/>
      <c r="AJ150" s="373"/>
      <c r="AK150" s="373"/>
      <c r="AL150" s="373"/>
      <c r="AM150" s="373"/>
    </row>
    <row r="151" spans="1:39" ht="18" customHeight="1" x14ac:dyDescent="0.3">
      <c r="A151" s="371">
        <v>7</v>
      </c>
      <c r="B151" s="372" t="str">
        <f>PETUNJUK!B15</f>
        <v>Karangrandu</v>
      </c>
      <c r="C151" s="373"/>
      <c r="D151" s="373"/>
      <c r="E151" s="373"/>
      <c r="F151" s="373"/>
      <c r="G151" s="373"/>
      <c r="H151" s="373"/>
      <c r="I151" s="373"/>
      <c r="J151" s="373"/>
      <c r="K151" s="373"/>
      <c r="L151" s="373"/>
      <c r="M151" s="373"/>
      <c r="N151" s="373"/>
      <c r="O151" s="373"/>
      <c r="P151" s="373"/>
      <c r="Q151" s="373"/>
      <c r="R151" s="373"/>
      <c r="S151" s="373"/>
      <c r="T151" s="373"/>
      <c r="U151" s="373"/>
      <c r="V151" s="373"/>
      <c r="W151" s="373"/>
      <c r="X151" s="373"/>
      <c r="Y151" s="373"/>
      <c r="Z151" s="373"/>
      <c r="AA151" s="373"/>
      <c r="AB151" s="373"/>
      <c r="AC151" s="373"/>
      <c r="AD151" s="373"/>
      <c r="AE151" s="373"/>
      <c r="AF151" s="373"/>
      <c r="AG151" s="373"/>
      <c r="AH151" s="373"/>
      <c r="AI151" s="373"/>
      <c r="AJ151" s="373"/>
      <c r="AK151" s="373"/>
      <c r="AL151" s="373"/>
      <c r="AM151" s="373"/>
    </row>
    <row r="152" spans="1:39" ht="18" customHeight="1" x14ac:dyDescent="0.3">
      <c r="A152" s="371">
        <v>8</v>
      </c>
      <c r="B152" s="372" t="str">
        <f>PETUNJUK!B16</f>
        <v>Kaliombo</v>
      </c>
      <c r="C152" s="373"/>
      <c r="D152" s="373"/>
      <c r="E152" s="373"/>
      <c r="F152" s="373"/>
      <c r="G152" s="373"/>
      <c r="H152" s="373"/>
      <c r="I152" s="373"/>
      <c r="J152" s="373"/>
      <c r="K152" s="373"/>
      <c r="L152" s="373"/>
      <c r="M152" s="373"/>
      <c r="N152" s="373"/>
      <c r="O152" s="373"/>
      <c r="P152" s="373"/>
      <c r="Q152" s="373"/>
      <c r="R152" s="373"/>
      <c r="S152" s="373"/>
      <c r="T152" s="373"/>
      <c r="U152" s="373"/>
      <c r="V152" s="373"/>
      <c r="W152" s="373"/>
      <c r="X152" s="373"/>
      <c r="Y152" s="373"/>
      <c r="Z152" s="373"/>
      <c r="AA152" s="373"/>
      <c r="AB152" s="373"/>
      <c r="AC152" s="373"/>
      <c r="AD152" s="373"/>
      <c r="AE152" s="373"/>
      <c r="AF152" s="373"/>
      <c r="AG152" s="373"/>
      <c r="AH152" s="373"/>
      <c r="AI152" s="373"/>
      <c r="AJ152" s="373"/>
      <c r="AK152" s="373"/>
      <c r="AL152" s="373"/>
      <c r="AM152" s="373"/>
    </row>
    <row r="153" spans="1:39" ht="18" customHeight="1" x14ac:dyDescent="0.3">
      <c r="A153" s="371">
        <v>9</v>
      </c>
      <c r="B153" s="372" t="str">
        <f>PETUNJUK!B17</f>
        <v>Gemulung</v>
      </c>
      <c r="C153" s="373"/>
      <c r="D153" s="373"/>
      <c r="E153" s="373"/>
      <c r="F153" s="373"/>
      <c r="G153" s="373"/>
      <c r="H153" s="373"/>
      <c r="I153" s="373"/>
      <c r="J153" s="373"/>
      <c r="K153" s="373"/>
      <c r="L153" s="373"/>
      <c r="M153" s="373"/>
      <c r="N153" s="373"/>
      <c r="O153" s="373"/>
      <c r="P153" s="373"/>
      <c r="Q153" s="373"/>
      <c r="R153" s="373"/>
      <c r="S153" s="373"/>
      <c r="T153" s="373"/>
      <c r="U153" s="373"/>
      <c r="V153" s="373"/>
      <c r="W153" s="373"/>
      <c r="X153" s="373"/>
      <c r="Y153" s="373"/>
      <c r="Z153" s="373"/>
      <c r="AA153" s="373"/>
      <c r="AB153" s="373"/>
      <c r="AC153" s="373"/>
      <c r="AD153" s="373"/>
      <c r="AE153" s="373"/>
      <c r="AF153" s="373"/>
      <c r="AG153" s="373"/>
      <c r="AH153" s="373"/>
      <c r="AI153" s="373"/>
      <c r="AJ153" s="373"/>
      <c r="AK153" s="373"/>
      <c r="AL153" s="373"/>
      <c r="AM153" s="373"/>
    </row>
    <row r="154" spans="1:39" ht="18" customHeight="1" x14ac:dyDescent="0.3">
      <c r="A154" s="371">
        <v>10</v>
      </c>
      <c r="B154" s="372" t="str">
        <f>PETUNJUK!B18</f>
        <v>Pecangaan Wetan</v>
      </c>
      <c r="C154" s="373"/>
      <c r="D154" s="373"/>
      <c r="E154" s="373"/>
      <c r="F154" s="373"/>
      <c r="G154" s="373"/>
      <c r="H154" s="373"/>
      <c r="I154" s="373"/>
      <c r="J154" s="373"/>
      <c r="K154" s="373"/>
      <c r="L154" s="373"/>
      <c r="M154" s="373"/>
      <c r="N154" s="373"/>
      <c r="O154" s="373"/>
      <c r="P154" s="373"/>
      <c r="Q154" s="373"/>
      <c r="R154" s="373"/>
      <c r="S154" s="373"/>
      <c r="T154" s="373"/>
      <c r="U154" s="373"/>
      <c r="V154" s="373"/>
      <c r="W154" s="373"/>
      <c r="X154" s="373"/>
      <c r="Y154" s="373"/>
      <c r="Z154" s="373"/>
      <c r="AA154" s="373"/>
      <c r="AB154" s="373"/>
      <c r="AC154" s="373"/>
      <c r="AD154" s="373"/>
      <c r="AE154" s="373"/>
      <c r="AF154" s="373"/>
      <c r="AG154" s="373"/>
      <c r="AH154" s="373"/>
      <c r="AI154" s="373"/>
      <c r="AJ154" s="373"/>
      <c r="AK154" s="373"/>
      <c r="AL154" s="373"/>
      <c r="AM154" s="373"/>
    </row>
    <row r="155" spans="1:39" ht="18" customHeight="1" x14ac:dyDescent="0.3">
      <c r="A155" s="371">
        <v>11</v>
      </c>
      <c r="B155" s="372" t="str">
        <f>PETUNJUK!B19</f>
        <v>Krasak</v>
      </c>
      <c r="C155" s="373"/>
      <c r="D155" s="373"/>
      <c r="E155" s="373"/>
      <c r="F155" s="373"/>
      <c r="G155" s="373"/>
      <c r="H155" s="373"/>
      <c r="I155" s="373"/>
      <c r="J155" s="373"/>
      <c r="K155" s="373"/>
      <c r="L155" s="373"/>
      <c r="M155" s="373"/>
      <c r="N155" s="373"/>
      <c r="O155" s="373"/>
      <c r="P155" s="373"/>
      <c r="Q155" s="373"/>
      <c r="R155" s="373"/>
      <c r="S155" s="373"/>
      <c r="T155" s="373"/>
      <c r="U155" s="373"/>
      <c r="V155" s="373"/>
      <c r="W155" s="373"/>
      <c r="X155" s="373"/>
      <c r="Y155" s="373"/>
      <c r="Z155" s="373"/>
      <c r="AA155" s="373"/>
      <c r="AB155" s="373"/>
      <c r="AC155" s="373"/>
      <c r="AD155" s="373"/>
      <c r="AE155" s="373"/>
      <c r="AF155" s="373"/>
      <c r="AG155" s="373"/>
      <c r="AH155" s="373"/>
      <c r="AI155" s="373"/>
      <c r="AJ155" s="373"/>
      <c r="AK155" s="373"/>
      <c r="AL155" s="373"/>
      <c r="AM155" s="373"/>
    </row>
    <row r="156" spans="1:39" ht="18" customHeight="1" x14ac:dyDescent="0.3">
      <c r="A156" s="371">
        <v>12</v>
      </c>
      <c r="B156" s="372" t="str">
        <f>PETUNJUK!B20</f>
        <v>Gerdu</v>
      </c>
      <c r="C156" s="373"/>
      <c r="D156" s="373"/>
      <c r="E156" s="373"/>
      <c r="F156" s="373"/>
      <c r="G156" s="373"/>
      <c r="H156" s="373"/>
      <c r="I156" s="373"/>
      <c r="J156" s="373"/>
      <c r="K156" s="373"/>
      <c r="L156" s="373"/>
      <c r="M156" s="373"/>
      <c r="N156" s="373"/>
      <c r="O156" s="373"/>
      <c r="P156" s="373"/>
      <c r="Q156" s="373"/>
      <c r="R156" s="373"/>
      <c r="S156" s="373"/>
      <c r="T156" s="373"/>
      <c r="U156" s="373"/>
      <c r="V156" s="373"/>
      <c r="W156" s="373"/>
      <c r="X156" s="373"/>
      <c r="Y156" s="373"/>
      <c r="Z156" s="373"/>
      <c r="AA156" s="373"/>
      <c r="AB156" s="373"/>
      <c r="AC156" s="373"/>
      <c r="AD156" s="373"/>
      <c r="AE156" s="373"/>
      <c r="AF156" s="373"/>
      <c r="AG156" s="373"/>
      <c r="AH156" s="373"/>
      <c r="AI156" s="373"/>
      <c r="AJ156" s="373"/>
      <c r="AK156" s="373"/>
      <c r="AL156" s="373"/>
      <c r="AM156" s="373"/>
    </row>
    <row r="157" spans="1:39" ht="18" customHeight="1" x14ac:dyDescent="0.3">
      <c r="A157" s="371">
        <v>13</v>
      </c>
      <c r="B157" s="372">
        <f>PETUNJUK!B21</f>
        <v>0</v>
      </c>
      <c r="C157" s="373"/>
      <c r="D157" s="373"/>
      <c r="E157" s="373"/>
      <c r="F157" s="373"/>
      <c r="G157" s="373"/>
      <c r="H157" s="373"/>
      <c r="I157" s="373"/>
      <c r="J157" s="373"/>
      <c r="K157" s="373"/>
      <c r="L157" s="373"/>
      <c r="M157" s="373"/>
      <c r="N157" s="373"/>
      <c r="O157" s="373"/>
      <c r="P157" s="373"/>
      <c r="Q157" s="373"/>
      <c r="R157" s="373"/>
      <c r="S157" s="373"/>
      <c r="T157" s="373"/>
      <c r="U157" s="373"/>
      <c r="V157" s="373"/>
      <c r="W157" s="373"/>
      <c r="X157" s="373"/>
      <c r="Y157" s="373"/>
      <c r="Z157" s="373"/>
      <c r="AA157" s="373"/>
      <c r="AB157" s="373"/>
      <c r="AC157" s="373"/>
      <c r="AD157" s="373"/>
      <c r="AE157" s="373"/>
      <c r="AF157" s="373"/>
      <c r="AG157" s="373"/>
      <c r="AH157" s="373"/>
      <c r="AI157" s="373"/>
      <c r="AJ157" s="373"/>
      <c r="AK157" s="373"/>
      <c r="AL157" s="373"/>
      <c r="AM157" s="373"/>
    </row>
    <row r="158" spans="1:39" ht="18" customHeight="1" x14ac:dyDescent="0.3">
      <c r="A158" s="371">
        <v>14</v>
      </c>
      <c r="B158" s="372">
        <f>PETUNJUK!B22</f>
        <v>0</v>
      </c>
      <c r="C158" s="373"/>
      <c r="D158" s="373"/>
      <c r="E158" s="373"/>
      <c r="F158" s="373"/>
      <c r="G158" s="373"/>
      <c r="H158" s="373"/>
      <c r="I158" s="373"/>
      <c r="J158" s="373"/>
      <c r="K158" s="373"/>
      <c r="L158" s="373"/>
      <c r="M158" s="373"/>
      <c r="N158" s="373"/>
      <c r="O158" s="373"/>
      <c r="P158" s="373"/>
      <c r="Q158" s="373"/>
      <c r="R158" s="373"/>
      <c r="S158" s="373"/>
      <c r="T158" s="373"/>
      <c r="U158" s="373"/>
      <c r="V158" s="373"/>
      <c r="W158" s="373"/>
      <c r="X158" s="373"/>
      <c r="Y158" s="373"/>
      <c r="Z158" s="373"/>
      <c r="AA158" s="373"/>
      <c r="AB158" s="373"/>
      <c r="AC158" s="373"/>
      <c r="AD158" s="373"/>
      <c r="AE158" s="373"/>
      <c r="AF158" s="373"/>
      <c r="AG158" s="373"/>
      <c r="AH158" s="373"/>
      <c r="AI158" s="373"/>
      <c r="AJ158" s="373"/>
      <c r="AK158" s="373"/>
      <c r="AL158" s="373"/>
      <c r="AM158" s="373"/>
    </row>
    <row r="159" spans="1:39" ht="18" customHeight="1" x14ac:dyDescent="0.3">
      <c r="A159" s="371">
        <v>15</v>
      </c>
      <c r="B159" s="372">
        <f>PETUNJUK!B23</f>
        <v>0</v>
      </c>
      <c r="C159" s="373"/>
      <c r="D159" s="373"/>
      <c r="E159" s="373"/>
      <c r="F159" s="373"/>
      <c r="G159" s="373"/>
      <c r="H159" s="373"/>
      <c r="I159" s="373"/>
      <c r="J159" s="373"/>
      <c r="K159" s="373"/>
      <c r="L159" s="373"/>
      <c r="M159" s="373"/>
      <c r="N159" s="373"/>
      <c r="O159" s="373"/>
      <c r="P159" s="373"/>
      <c r="Q159" s="373"/>
      <c r="R159" s="373"/>
      <c r="S159" s="373"/>
      <c r="T159" s="373"/>
      <c r="U159" s="373"/>
      <c r="V159" s="373"/>
      <c r="W159" s="373"/>
      <c r="X159" s="373"/>
      <c r="Y159" s="373"/>
      <c r="Z159" s="373"/>
      <c r="AA159" s="373"/>
      <c r="AB159" s="373"/>
      <c r="AC159" s="373"/>
      <c r="AD159" s="373"/>
      <c r="AE159" s="373"/>
      <c r="AF159" s="373"/>
      <c r="AG159" s="373"/>
      <c r="AH159" s="373"/>
      <c r="AI159" s="373"/>
      <c r="AJ159" s="373"/>
      <c r="AK159" s="373"/>
      <c r="AL159" s="373"/>
      <c r="AM159" s="373"/>
    </row>
    <row r="160" spans="1:39" ht="18" customHeight="1" x14ac:dyDescent="0.3">
      <c r="A160" s="371">
        <v>16</v>
      </c>
      <c r="B160" s="372">
        <f>PETUNJUK!B24</f>
        <v>0</v>
      </c>
      <c r="C160" s="373"/>
      <c r="D160" s="373"/>
      <c r="E160" s="373"/>
      <c r="F160" s="373"/>
      <c r="G160" s="373"/>
      <c r="H160" s="373"/>
      <c r="I160" s="373"/>
      <c r="J160" s="373"/>
      <c r="K160" s="373"/>
      <c r="L160" s="373"/>
      <c r="M160" s="373"/>
      <c r="N160" s="373"/>
      <c r="O160" s="373"/>
      <c r="P160" s="373"/>
      <c r="Q160" s="373"/>
      <c r="R160" s="373"/>
      <c r="S160" s="373"/>
      <c r="T160" s="373"/>
      <c r="U160" s="373"/>
      <c r="V160" s="373"/>
      <c r="W160" s="373"/>
      <c r="X160" s="373"/>
      <c r="Y160" s="373"/>
      <c r="Z160" s="373"/>
      <c r="AA160" s="373"/>
      <c r="AB160" s="373"/>
      <c r="AC160" s="373"/>
      <c r="AD160" s="373"/>
      <c r="AE160" s="373"/>
      <c r="AF160" s="373"/>
      <c r="AG160" s="373"/>
      <c r="AH160" s="373"/>
      <c r="AI160" s="373"/>
      <c r="AJ160" s="373"/>
      <c r="AK160" s="373"/>
      <c r="AL160" s="373"/>
      <c r="AM160" s="373"/>
    </row>
    <row r="161" spans="1:39" ht="18" customHeight="1" x14ac:dyDescent="0.3">
      <c r="A161" s="371">
        <v>17</v>
      </c>
      <c r="B161" s="372">
        <f>PETUNJUK!B25</f>
        <v>0</v>
      </c>
      <c r="C161" s="373"/>
      <c r="D161" s="373"/>
      <c r="E161" s="373"/>
      <c r="F161" s="373"/>
      <c r="G161" s="373"/>
      <c r="H161" s="373"/>
      <c r="I161" s="373"/>
      <c r="J161" s="373"/>
      <c r="K161" s="373"/>
      <c r="L161" s="373"/>
      <c r="M161" s="373"/>
      <c r="N161" s="373"/>
      <c r="O161" s="373"/>
      <c r="P161" s="373"/>
      <c r="Q161" s="373"/>
      <c r="R161" s="373"/>
      <c r="S161" s="373"/>
      <c r="T161" s="373"/>
      <c r="U161" s="373"/>
      <c r="V161" s="373"/>
      <c r="W161" s="373"/>
      <c r="X161" s="373"/>
      <c r="Y161" s="373"/>
      <c r="Z161" s="373"/>
      <c r="AA161" s="373"/>
      <c r="AB161" s="373"/>
      <c r="AC161" s="373"/>
      <c r="AD161" s="373"/>
      <c r="AE161" s="373"/>
      <c r="AF161" s="373"/>
      <c r="AG161" s="373"/>
      <c r="AH161" s="373"/>
      <c r="AI161" s="373"/>
      <c r="AJ161" s="373"/>
      <c r="AK161" s="373"/>
      <c r="AL161" s="373"/>
      <c r="AM161" s="373"/>
    </row>
    <row r="162" spans="1:39" ht="18" customHeight="1" x14ac:dyDescent="0.3">
      <c r="A162" s="371">
        <v>18</v>
      </c>
      <c r="B162" s="372">
        <f>PETUNJUK!B26</f>
        <v>0</v>
      </c>
      <c r="C162" s="373"/>
      <c r="D162" s="373"/>
      <c r="E162" s="373"/>
      <c r="F162" s="373"/>
      <c r="G162" s="373"/>
      <c r="H162" s="373"/>
      <c r="I162" s="373"/>
      <c r="J162" s="373"/>
      <c r="K162" s="373"/>
      <c r="L162" s="373"/>
      <c r="M162" s="373"/>
      <c r="N162" s="373"/>
      <c r="O162" s="373"/>
      <c r="P162" s="373"/>
      <c r="Q162" s="373"/>
      <c r="R162" s="373"/>
      <c r="S162" s="373"/>
      <c r="T162" s="373"/>
      <c r="U162" s="373"/>
      <c r="V162" s="373"/>
      <c r="W162" s="373"/>
      <c r="X162" s="373"/>
      <c r="Y162" s="373"/>
      <c r="Z162" s="373"/>
      <c r="AA162" s="373"/>
      <c r="AB162" s="373"/>
      <c r="AC162" s="373"/>
      <c r="AD162" s="373"/>
      <c r="AE162" s="373"/>
      <c r="AF162" s="373"/>
      <c r="AG162" s="373"/>
      <c r="AH162" s="373"/>
      <c r="AI162" s="373"/>
      <c r="AJ162" s="373"/>
      <c r="AK162" s="373"/>
      <c r="AL162" s="373"/>
      <c r="AM162" s="373"/>
    </row>
    <row r="163" spans="1:39" ht="18" customHeight="1" x14ac:dyDescent="0.3">
      <c r="A163" s="371">
        <v>19</v>
      </c>
      <c r="B163" s="372">
        <f>PETUNJUK!B27</f>
        <v>0</v>
      </c>
      <c r="C163" s="373"/>
      <c r="D163" s="373"/>
      <c r="E163" s="373"/>
      <c r="F163" s="373"/>
      <c r="G163" s="373"/>
      <c r="H163" s="373"/>
      <c r="I163" s="373"/>
      <c r="J163" s="373"/>
      <c r="K163" s="373"/>
      <c r="L163" s="373"/>
      <c r="M163" s="373"/>
      <c r="N163" s="373"/>
      <c r="O163" s="373"/>
      <c r="P163" s="373"/>
      <c r="Q163" s="373"/>
      <c r="R163" s="373"/>
      <c r="S163" s="373"/>
      <c r="T163" s="373"/>
      <c r="U163" s="373"/>
      <c r="V163" s="373"/>
      <c r="W163" s="373"/>
      <c r="X163" s="373"/>
      <c r="Y163" s="373"/>
      <c r="Z163" s="373"/>
      <c r="AA163" s="373"/>
      <c r="AB163" s="373"/>
      <c r="AC163" s="373"/>
      <c r="AD163" s="373"/>
      <c r="AE163" s="373"/>
      <c r="AF163" s="373"/>
      <c r="AG163" s="373"/>
      <c r="AH163" s="373"/>
      <c r="AI163" s="373"/>
      <c r="AJ163" s="373"/>
      <c r="AK163" s="373"/>
      <c r="AL163" s="373"/>
      <c r="AM163" s="373"/>
    </row>
    <row r="164" spans="1:39" ht="18" customHeight="1" x14ac:dyDescent="0.3">
      <c r="A164" s="371">
        <v>20</v>
      </c>
      <c r="B164" s="372">
        <f>PETUNJUK!B28</f>
        <v>0</v>
      </c>
      <c r="C164" s="373"/>
      <c r="D164" s="373"/>
      <c r="E164" s="373"/>
      <c r="F164" s="373"/>
      <c r="G164" s="373"/>
      <c r="H164" s="373"/>
      <c r="I164" s="373"/>
      <c r="J164" s="373"/>
      <c r="K164" s="373"/>
      <c r="L164" s="373"/>
      <c r="M164" s="373"/>
      <c r="N164" s="373"/>
      <c r="O164" s="373"/>
      <c r="P164" s="373"/>
      <c r="Q164" s="373"/>
      <c r="R164" s="373"/>
      <c r="S164" s="373"/>
      <c r="T164" s="373"/>
      <c r="U164" s="373"/>
      <c r="V164" s="373"/>
      <c r="W164" s="373"/>
      <c r="X164" s="373"/>
      <c r="Y164" s="373"/>
      <c r="Z164" s="373"/>
      <c r="AA164" s="373"/>
      <c r="AB164" s="373"/>
      <c r="AC164" s="373"/>
      <c r="AD164" s="373"/>
      <c r="AE164" s="373"/>
      <c r="AF164" s="373"/>
      <c r="AG164" s="373"/>
      <c r="AH164" s="373"/>
      <c r="AI164" s="373"/>
      <c r="AJ164" s="373"/>
      <c r="AK164" s="373"/>
      <c r="AL164" s="373"/>
      <c r="AM164" s="373"/>
    </row>
    <row r="165" spans="1:39" ht="18" customHeight="1" x14ac:dyDescent="0.3">
      <c r="A165" s="371">
        <v>21</v>
      </c>
      <c r="B165" s="372">
        <f>PETUNJUK!B29</f>
        <v>0</v>
      </c>
      <c r="C165" s="373"/>
      <c r="D165" s="373"/>
      <c r="E165" s="373"/>
      <c r="F165" s="373"/>
      <c r="G165" s="373"/>
      <c r="H165" s="373"/>
      <c r="I165" s="373"/>
      <c r="J165" s="373"/>
      <c r="K165" s="373"/>
      <c r="L165" s="373"/>
      <c r="M165" s="373"/>
      <c r="N165" s="373"/>
      <c r="O165" s="373"/>
      <c r="P165" s="373"/>
      <c r="Q165" s="373"/>
      <c r="R165" s="373"/>
      <c r="S165" s="373"/>
      <c r="T165" s="373"/>
      <c r="U165" s="373"/>
      <c r="V165" s="373"/>
      <c r="W165" s="373"/>
      <c r="X165" s="373"/>
      <c r="Y165" s="373"/>
      <c r="Z165" s="373"/>
      <c r="AA165" s="373"/>
      <c r="AB165" s="373"/>
      <c r="AC165" s="373"/>
      <c r="AD165" s="373"/>
      <c r="AE165" s="373"/>
      <c r="AF165" s="373"/>
      <c r="AG165" s="373"/>
      <c r="AH165" s="373"/>
      <c r="AI165" s="373"/>
      <c r="AJ165" s="373"/>
      <c r="AK165" s="373"/>
      <c r="AL165" s="373"/>
      <c r="AM165" s="373"/>
    </row>
    <row r="166" spans="1:39" ht="18" customHeight="1" thickBot="1" x14ac:dyDescent="0.35">
      <c r="A166" s="381">
        <v>22</v>
      </c>
      <c r="B166" s="372">
        <f>PETUNJUK!B30</f>
        <v>0</v>
      </c>
      <c r="C166" s="382"/>
      <c r="D166" s="382"/>
      <c r="E166" s="382"/>
      <c r="F166" s="382"/>
      <c r="G166" s="382"/>
      <c r="H166" s="382"/>
      <c r="I166" s="382"/>
      <c r="J166" s="382"/>
      <c r="K166" s="382"/>
      <c r="L166" s="382"/>
      <c r="M166" s="382"/>
      <c r="N166" s="382"/>
      <c r="O166" s="382"/>
      <c r="P166" s="382"/>
      <c r="Q166" s="382"/>
      <c r="R166" s="382"/>
      <c r="S166" s="382"/>
      <c r="T166" s="382"/>
      <c r="U166" s="382"/>
      <c r="V166" s="382"/>
      <c r="W166" s="382"/>
      <c r="X166" s="382"/>
      <c r="Y166" s="382"/>
      <c r="Z166" s="382"/>
      <c r="AA166" s="382"/>
      <c r="AB166" s="382"/>
      <c r="AC166" s="382"/>
      <c r="AD166" s="382"/>
      <c r="AE166" s="382"/>
      <c r="AF166" s="382"/>
      <c r="AG166" s="382"/>
      <c r="AH166" s="382"/>
      <c r="AI166" s="382"/>
      <c r="AJ166" s="373"/>
      <c r="AK166" s="382"/>
      <c r="AL166" s="382"/>
      <c r="AM166" s="382"/>
    </row>
    <row r="167" spans="1:39" ht="18" customHeight="1" thickBot="1" x14ac:dyDescent="0.35">
      <c r="A167" s="803" t="s">
        <v>62</v>
      </c>
      <c r="B167" s="805"/>
      <c r="C167" s="376">
        <f t="shared" ref="C167:AM167" si="8">SUM(C145:C166)</f>
        <v>0</v>
      </c>
      <c r="D167" s="376">
        <f t="shared" si="8"/>
        <v>0</v>
      </c>
      <c r="E167" s="376">
        <f t="shared" si="8"/>
        <v>0</v>
      </c>
      <c r="F167" s="376">
        <f t="shared" si="8"/>
        <v>0</v>
      </c>
      <c r="G167" s="376">
        <f t="shared" si="8"/>
        <v>0</v>
      </c>
      <c r="H167" s="376">
        <f t="shared" si="8"/>
        <v>0</v>
      </c>
      <c r="I167" s="376">
        <f t="shared" si="8"/>
        <v>0</v>
      </c>
      <c r="J167" s="376">
        <f t="shared" si="8"/>
        <v>0</v>
      </c>
      <c r="K167" s="376">
        <f t="shared" si="8"/>
        <v>0</v>
      </c>
      <c r="L167" s="376">
        <f t="shared" si="8"/>
        <v>0</v>
      </c>
      <c r="M167" s="376">
        <f t="shared" si="8"/>
        <v>0</v>
      </c>
      <c r="N167" s="376">
        <f t="shared" si="8"/>
        <v>0</v>
      </c>
      <c r="O167" s="376">
        <f t="shared" si="8"/>
        <v>0</v>
      </c>
      <c r="P167" s="376">
        <f t="shared" si="8"/>
        <v>0</v>
      </c>
      <c r="Q167" s="376">
        <f t="shared" si="8"/>
        <v>0</v>
      </c>
      <c r="R167" s="376">
        <f t="shared" si="8"/>
        <v>0</v>
      </c>
      <c r="S167" s="376">
        <f t="shared" si="8"/>
        <v>0</v>
      </c>
      <c r="T167" s="376">
        <f t="shared" si="8"/>
        <v>0</v>
      </c>
      <c r="U167" s="376">
        <f t="shared" si="8"/>
        <v>0</v>
      </c>
      <c r="V167" s="376">
        <f t="shared" si="8"/>
        <v>0</v>
      </c>
      <c r="W167" s="376">
        <f t="shared" si="8"/>
        <v>0</v>
      </c>
      <c r="X167" s="376">
        <f t="shared" si="8"/>
        <v>0</v>
      </c>
      <c r="Y167" s="376">
        <f t="shared" si="8"/>
        <v>0</v>
      </c>
      <c r="Z167" s="376">
        <f t="shared" si="8"/>
        <v>0</v>
      </c>
      <c r="AA167" s="376">
        <f t="shared" si="8"/>
        <v>0</v>
      </c>
      <c r="AB167" s="376">
        <f t="shared" si="8"/>
        <v>0</v>
      </c>
      <c r="AC167" s="376">
        <f t="shared" si="8"/>
        <v>0</v>
      </c>
      <c r="AD167" s="376">
        <f t="shared" si="8"/>
        <v>0</v>
      </c>
      <c r="AE167" s="376">
        <f t="shared" si="8"/>
        <v>0</v>
      </c>
      <c r="AF167" s="376">
        <f t="shared" si="8"/>
        <v>0</v>
      </c>
      <c r="AG167" s="376">
        <f t="shared" si="8"/>
        <v>0</v>
      </c>
      <c r="AH167" s="376">
        <f t="shared" si="8"/>
        <v>0</v>
      </c>
      <c r="AI167" s="376">
        <f t="shared" si="8"/>
        <v>0</v>
      </c>
      <c r="AJ167" s="376">
        <f t="shared" si="8"/>
        <v>0</v>
      </c>
      <c r="AK167" s="376">
        <f t="shared" si="8"/>
        <v>0</v>
      </c>
      <c r="AL167" s="376">
        <f t="shared" si="8"/>
        <v>0</v>
      </c>
      <c r="AM167" s="377">
        <f t="shared" si="8"/>
        <v>0</v>
      </c>
    </row>
    <row r="168" spans="1:39" x14ac:dyDescent="0.35">
      <c r="A168" s="235"/>
      <c r="B168" s="235" t="s">
        <v>63</v>
      </c>
      <c r="C168" s="378"/>
      <c r="D168" s="378"/>
      <c r="E168" s="378"/>
      <c r="F168" s="378"/>
      <c r="G168" s="378"/>
      <c r="H168" s="378"/>
      <c r="I168" s="378"/>
      <c r="J168" s="378"/>
      <c r="K168" s="378"/>
      <c r="L168" s="378"/>
      <c r="M168" s="378"/>
      <c r="N168" s="801" t="s">
        <v>181</v>
      </c>
      <c r="O168" s="801"/>
      <c r="P168" s="801"/>
      <c r="Q168" s="801"/>
      <c r="R168" s="801"/>
      <c r="S168" s="801"/>
      <c r="T168" s="801"/>
      <c r="U168" s="801"/>
      <c r="V168" s="801"/>
      <c r="W168" s="801"/>
      <c r="X168" s="801"/>
      <c r="Y168" s="801"/>
      <c r="Z168" s="801"/>
      <c r="AA168" s="801"/>
      <c r="AB168" s="801"/>
      <c r="AC168" s="801"/>
      <c r="AD168" s="801"/>
      <c r="AE168" s="801"/>
      <c r="AF168" s="801"/>
      <c r="AG168" s="801"/>
      <c r="AH168" s="801"/>
      <c r="AI168" s="801"/>
      <c r="AJ168" s="378"/>
    </row>
    <row r="173" spans="1:39" x14ac:dyDescent="0.35">
      <c r="A173" s="802" t="s">
        <v>177</v>
      </c>
      <c r="B173" s="802"/>
      <c r="C173" s="802"/>
      <c r="D173" s="802"/>
      <c r="E173" s="802"/>
      <c r="F173" s="802"/>
      <c r="G173" s="802"/>
      <c r="H173" s="802"/>
      <c r="I173" s="802"/>
      <c r="J173" s="802"/>
      <c r="K173" s="802"/>
      <c r="L173" s="802"/>
      <c r="M173" s="802"/>
      <c r="N173" s="802"/>
      <c r="O173" s="802"/>
      <c r="P173" s="802"/>
      <c r="Q173" s="802"/>
      <c r="R173" s="802"/>
      <c r="S173" s="802"/>
      <c r="T173" s="802"/>
      <c r="U173" s="802"/>
      <c r="V173" s="802"/>
      <c r="W173" s="802"/>
      <c r="X173" s="802"/>
      <c r="Y173" s="802"/>
      <c r="Z173" s="802"/>
      <c r="AA173" s="802"/>
      <c r="AB173" s="802"/>
      <c r="AC173" s="802"/>
      <c r="AD173" s="802"/>
      <c r="AE173" s="802"/>
      <c r="AF173" s="802"/>
      <c r="AG173" s="802"/>
      <c r="AH173" s="802"/>
      <c r="AI173" s="802"/>
      <c r="AJ173" s="802"/>
    </row>
    <row r="174" spans="1:39" x14ac:dyDescent="0.35">
      <c r="A174" s="363"/>
      <c r="B174" s="363"/>
      <c r="C174" s="632"/>
      <c r="D174" s="632"/>
      <c r="E174" s="632"/>
      <c r="F174" s="632"/>
      <c r="G174" s="632"/>
      <c r="H174" s="632"/>
      <c r="I174" s="632"/>
      <c r="J174" s="632"/>
      <c r="K174" s="632"/>
      <c r="L174" s="632"/>
      <c r="M174" s="632"/>
      <c r="N174" s="632"/>
      <c r="O174" s="632"/>
      <c r="P174" s="632"/>
      <c r="Q174" s="632"/>
      <c r="R174" s="632"/>
      <c r="S174" s="632"/>
      <c r="T174" s="632"/>
      <c r="U174" s="632"/>
      <c r="V174" s="632"/>
      <c r="W174" s="632"/>
      <c r="X174" s="632"/>
      <c r="Y174" s="632"/>
      <c r="Z174" s="632"/>
      <c r="AA174" s="632"/>
      <c r="AB174" s="632"/>
      <c r="AC174" s="632"/>
      <c r="AD174" s="632"/>
      <c r="AE174" s="632"/>
      <c r="AF174" s="632"/>
      <c r="AG174" s="632"/>
      <c r="AH174" s="632"/>
      <c r="AI174" s="632"/>
      <c r="AJ174" s="632"/>
    </row>
    <row r="175" spans="1:39" x14ac:dyDescent="0.35">
      <c r="A175" s="364" t="s">
        <v>40</v>
      </c>
      <c r="B175" s="365"/>
      <c r="C175" s="638"/>
      <c r="D175" s="638"/>
      <c r="E175" s="638"/>
      <c r="F175" s="638"/>
      <c r="G175" s="638"/>
      <c r="H175" s="638"/>
      <c r="I175" s="638"/>
      <c r="J175" s="638"/>
      <c r="K175" s="638"/>
      <c r="L175" s="638"/>
      <c r="M175" s="638"/>
      <c r="N175" s="633" t="s">
        <v>176</v>
      </c>
      <c r="O175" s="638" t="str">
        <f>PETUNJUK!C5</f>
        <v>PECANGAAN</v>
      </c>
      <c r="P175" s="638"/>
      <c r="Q175" s="638"/>
      <c r="R175" s="638"/>
      <c r="S175" s="638"/>
      <c r="T175" s="638"/>
      <c r="U175" s="638"/>
      <c r="V175" s="638"/>
      <c r="W175" s="638"/>
      <c r="X175" s="638"/>
      <c r="Y175" s="638"/>
      <c r="Z175" s="638"/>
      <c r="AA175" s="638"/>
      <c r="AB175" s="638"/>
      <c r="AC175" s="638"/>
      <c r="AD175" s="638"/>
      <c r="AE175" s="638"/>
      <c r="AF175" s="638"/>
      <c r="AG175" s="638"/>
      <c r="AH175" s="638"/>
      <c r="AI175" s="638"/>
      <c r="AJ175" s="638"/>
    </row>
    <row r="176" spans="1:39" x14ac:dyDescent="0.35">
      <c r="A176" s="366" t="s">
        <v>0</v>
      </c>
      <c r="B176" s="367"/>
      <c r="C176" s="640"/>
      <c r="D176" s="633"/>
      <c r="E176" s="633"/>
      <c r="F176" s="640"/>
      <c r="G176" s="640"/>
      <c r="H176" s="640"/>
      <c r="I176" s="640"/>
      <c r="J176" s="640"/>
      <c r="K176" s="640"/>
      <c r="L176" s="640"/>
      <c r="M176" s="633"/>
      <c r="N176" s="639" t="s">
        <v>176</v>
      </c>
      <c r="O176" s="642" t="str">
        <f>'1.DATA KIA'!C174</f>
        <v xml:space="preserve">JUNI </v>
      </c>
      <c r="P176" s="633"/>
      <c r="Q176" s="633"/>
      <c r="R176" s="633"/>
      <c r="S176" s="633"/>
      <c r="T176" s="633"/>
      <c r="U176" s="633"/>
      <c r="V176" s="633"/>
      <c r="W176" s="633"/>
      <c r="X176" s="633"/>
      <c r="Y176" s="633"/>
      <c r="Z176" s="640"/>
      <c r="AA176" s="640"/>
      <c r="AB176" s="640"/>
      <c r="AC176" s="640"/>
      <c r="AD176" s="640"/>
      <c r="AE176" s="640"/>
      <c r="AF176" s="640"/>
      <c r="AG176" s="640"/>
      <c r="AH176" s="640"/>
      <c r="AI176" s="640"/>
      <c r="AJ176" s="640"/>
    </row>
    <row r="177" spans="1:39" s="68" customFormat="1" ht="12.75" customHeight="1" x14ac:dyDescent="0.3">
      <c r="A177" s="799" t="s">
        <v>1</v>
      </c>
      <c r="B177" s="799" t="s">
        <v>2</v>
      </c>
      <c r="C177" s="794" t="s">
        <v>301</v>
      </c>
      <c r="D177" s="795"/>
      <c r="E177" s="795"/>
      <c r="F177" s="795"/>
      <c r="G177" s="795"/>
      <c r="H177" s="795"/>
      <c r="I177" s="795"/>
      <c r="J177" s="795"/>
      <c r="K177" s="795"/>
      <c r="L177" s="795"/>
      <c r="M177" s="795"/>
      <c r="N177" s="795"/>
      <c r="O177" s="795"/>
      <c r="P177" s="795"/>
      <c r="Q177" s="795"/>
      <c r="R177" s="795"/>
      <c r="S177" s="795"/>
      <c r="T177" s="795"/>
      <c r="U177" s="795"/>
      <c r="V177" s="795"/>
      <c r="W177" s="795"/>
      <c r="X177" s="795"/>
      <c r="Y177" s="795"/>
      <c r="Z177" s="795"/>
      <c r="AA177" s="795"/>
      <c r="AB177" s="795"/>
      <c r="AC177" s="795"/>
      <c r="AD177" s="795"/>
      <c r="AE177" s="795"/>
      <c r="AF177" s="795"/>
      <c r="AG177" s="795"/>
      <c r="AH177" s="795"/>
      <c r="AI177" s="795"/>
      <c r="AJ177" s="796"/>
      <c r="AK177" s="792" t="s">
        <v>307</v>
      </c>
      <c r="AL177" s="792" t="s">
        <v>308</v>
      </c>
      <c r="AM177" s="792" t="s">
        <v>309</v>
      </c>
    </row>
    <row r="178" spans="1:39" s="68" customFormat="1" ht="109.5" customHeight="1" x14ac:dyDescent="0.3">
      <c r="A178" s="800"/>
      <c r="B178" s="800"/>
      <c r="C178" s="368" t="s">
        <v>55</v>
      </c>
      <c r="D178" s="369" t="s">
        <v>190</v>
      </c>
      <c r="E178" s="369" t="s">
        <v>43</v>
      </c>
      <c r="F178" s="369" t="s">
        <v>53</v>
      </c>
      <c r="G178" s="369" t="s">
        <v>302</v>
      </c>
      <c r="H178" s="369" t="s">
        <v>303</v>
      </c>
      <c r="I178" s="369" t="s">
        <v>294</v>
      </c>
      <c r="J178" s="369" t="s">
        <v>304</v>
      </c>
      <c r="K178" s="369" t="s">
        <v>305</v>
      </c>
      <c r="L178" s="369" t="s">
        <v>306</v>
      </c>
      <c r="M178" s="369" t="s">
        <v>44</v>
      </c>
      <c r="N178" s="370" t="s">
        <v>178</v>
      </c>
      <c r="O178" s="369" t="s">
        <v>41</v>
      </c>
      <c r="P178" s="369" t="s">
        <v>180</v>
      </c>
      <c r="Q178" s="369" t="s">
        <v>42</v>
      </c>
      <c r="R178" s="369" t="s">
        <v>45</v>
      </c>
      <c r="S178" s="369" t="s">
        <v>46</v>
      </c>
      <c r="T178" s="369" t="s">
        <v>47</v>
      </c>
      <c r="U178" s="369" t="s">
        <v>48</v>
      </c>
      <c r="V178" s="369" t="s">
        <v>49</v>
      </c>
      <c r="W178" s="369" t="s">
        <v>50</v>
      </c>
      <c r="X178" s="369" t="s">
        <v>51</v>
      </c>
      <c r="Y178" s="369" t="s">
        <v>52</v>
      </c>
      <c r="Z178" s="369" t="s">
        <v>54</v>
      </c>
      <c r="AA178" s="369" t="s">
        <v>56</v>
      </c>
      <c r="AB178" s="369" t="s">
        <v>57</v>
      </c>
      <c r="AC178" s="369" t="s">
        <v>58</v>
      </c>
      <c r="AD178" s="369" t="s">
        <v>59</v>
      </c>
      <c r="AE178" s="369" t="s">
        <v>60</v>
      </c>
      <c r="AF178" s="370" t="s">
        <v>179</v>
      </c>
      <c r="AG178" s="370" t="s">
        <v>310</v>
      </c>
      <c r="AH178" s="369" t="s">
        <v>33</v>
      </c>
      <c r="AI178" s="369" t="s">
        <v>61</v>
      </c>
      <c r="AJ178" s="369" t="s">
        <v>18</v>
      </c>
      <c r="AK178" s="793"/>
      <c r="AL178" s="793"/>
      <c r="AM178" s="793"/>
    </row>
    <row r="179" spans="1:39" ht="18" customHeight="1" x14ac:dyDescent="0.3">
      <c r="A179" s="371">
        <v>1</v>
      </c>
      <c r="B179" s="372" t="str">
        <f>PETUNJUK!B9</f>
        <v>Pecangaan Kulon</v>
      </c>
      <c r="C179" s="373"/>
      <c r="D179" s="373"/>
      <c r="E179" s="373"/>
      <c r="F179" s="373"/>
      <c r="G179" s="373"/>
      <c r="H179" s="373"/>
      <c r="I179" s="373"/>
      <c r="J179" s="373"/>
      <c r="K179" s="373"/>
      <c r="L179" s="373"/>
      <c r="M179" s="373"/>
      <c r="N179" s="373"/>
      <c r="O179" s="373"/>
      <c r="P179" s="373"/>
      <c r="Q179" s="373"/>
      <c r="R179" s="373"/>
      <c r="S179" s="373"/>
      <c r="T179" s="373"/>
      <c r="U179" s="373"/>
      <c r="V179" s="373"/>
      <c r="W179" s="373"/>
      <c r="X179" s="373"/>
      <c r="Y179" s="373"/>
      <c r="Z179" s="373"/>
      <c r="AA179" s="373"/>
      <c r="AB179" s="373"/>
      <c r="AC179" s="373"/>
      <c r="AD179" s="373"/>
      <c r="AE179" s="373"/>
      <c r="AF179" s="373"/>
      <c r="AG179" s="373"/>
      <c r="AH179" s="373"/>
      <c r="AI179" s="373"/>
      <c r="AJ179" s="373"/>
      <c r="AK179" s="373"/>
      <c r="AL179" s="373"/>
      <c r="AM179" s="373"/>
    </row>
    <row r="180" spans="1:39" ht="18" customHeight="1" x14ac:dyDescent="0.3">
      <c r="A180" s="371">
        <v>2</v>
      </c>
      <c r="B180" s="372" t="str">
        <f>PETUNJUK!B10</f>
        <v>Rengging</v>
      </c>
      <c r="C180" s="373"/>
      <c r="D180" s="373"/>
      <c r="E180" s="373"/>
      <c r="F180" s="373"/>
      <c r="G180" s="373"/>
      <c r="H180" s="373"/>
      <c r="I180" s="373"/>
      <c r="J180" s="373"/>
      <c r="K180" s="373"/>
      <c r="L180" s="373"/>
      <c r="M180" s="373"/>
      <c r="N180" s="373"/>
      <c r="O180" s="373"/>
      <c r="P180" s="373"/>
      <c r="Q180" s="373"/>
      <c r="R180" s="373"/>
      <c r="S180" s="373"/>
      <c r="T180" s="373"/>
      <c r="U180" s="373"/>
      <c r="V180" s="373"/>
      <c r="W180" s="373"/>
      <c r="X180" s="373"/>
      <c r="Y180" s="373"/>
      <c r="Z180" s="373"/>
      <c r="AA180" s="373"/>
      <c r="AB180" s="373"/>
      <c r="AC180" s="373"/>
      <c r="AD180" s="373"/>
      <c r="AE180" s="373"/>
      <c r="AF180" s="373"/>
      <c r="AG180" s="373"/>
      <c r="AH180" s="373"/>
      <c r="AI180" s="373"/>
      <c r="AJ180" s="373"/>
      <c r="AK180" s="373"/>
      <c r="AL180" s="373"/>
      <c r="AM180" s="373"/>
    </row>
    <row r="181" spans="1:39" ht="18" customHeight="1" x14ac:dyDescent="0.3">
      <c r="A181" s="371">
        <v>3</v>
      </c>
      <c r="B181" s="372" t="str">
        <f>PETUNJUK!B11</f>
        <v>Troso</v>
      </c>
      <c r="C181" s="373"/>
      <c r="D181" s="373"/>
      <c r="E181" s="373"/>
      <c r="F181" s="373"/>
      <c r="G181" s="373"/>
      <c r="H181" s="373"/>
      <c r="I181" s="373"/>
      <c r="J181" s="373"/>
      <c r="K181" s="373"/>
      <c r="L181" s="373"/>
      <c r="M181" s="373"/>
      <c r="N181" s="373"/>
      <c r="O181" s="373"/>
      <c r="P181" s="373"/>
      <c r="Q181" s="373"/>
      <c r="R181" s="373"/>
      <c r="S181" s="373"/>
      <c r="T181" s="373"/>
      <c r="U181" s="373"/>
      <c r="V181" s="373"/>
      <c r="W181" s="373"/>
      <c r="X181" s="373"/>
      <c r="Y181" s="373"/>
      <c r="Z181" s="373"/>
      <c r="AA181" s="373"/>
      <c r="AB181" s="373"/>
      <c r="AC181" s="373"/>
      <c r="AD181" s="373"/>
      <c r="AE181" s="373"/>
      <c r="AF181" s="373"/>
      <c r="AG181" s="373"/>
      <c r="AH181" s="373"/>
      <c r="AI181" s="373"/>
      <c r="AJ181" s="373"/>
      <c r="AK181" s="373"/>
      <c r="AL181" s="373"/>
      <c r="AM181" s="373"/>
    </row>
    <row r="182" spans="1:39" ht="18" customHeight="1" x14ac:dyDescent="0.3">
      <c r="A182" s="371">
        <v>4</v>
      </c>
      <c r="B182" s="372" t="str">
        <f>PETUNJUK!B12</f>
        <v>Ngeling</v>
      </c>
      <c r="C182" s="373"/>
      <c r="D182" s="373"/>
      <c r="E182" s="373"/>
      <c r="F182" s="373"/>
      <c r="G182" s="373"/>
      <c r="H182" s="373"/>
      <c r="I182" s="373"/>
      <c r="J182" s="373"/>
      <c r="K182" s="373"/>
      <c r="L182" s="373"/>
      <c r="M182" s="373"/>
      <c r="N182" s="373"/>
      <c r="O182" s="373"/>
      <c r="P182" s="373"/>
      <c r="Q182" s="373"/>
      <c r="R182" s="373"/>
      <c r="S182" s="373"/>
      <c r="T182" s="373"/>
      <c r="U182" s="373"/>
      <c r="V182" s="373"/>
      <c r="W182" s="373"/>
      <c r="X182" s="373"/>
      <c r="Y182" s="373"/>
      <c r="Z182" s="373"/>
      <c r="AA182" s="373"/>
      <c r="AB182" s="373"/>
      <c r="AC182" s="373"/>
      <c r="AD182" s="373"/>
      <c r="AE182" s="373"/>
      <c r="AF182" s="373"/>
      <c r="AG182" s="373"/>
      <c r="AH182" s="373"/>
      <c r="AI182" s="373"/>
      <c r="AJ182" s="373"/>
      <c r="AK182" s="373"/>
      <c r="AL182" s="373"/>
      <c r="AM182" s="373"/>
    </row>
    <row r="183" spans="1:39" ht="18" customHeight="1" x14ac:dyDescent="0.3">
      <c r="A183" s="371">
        <v>5</v>
      </c>
      <c r="B183" s="372" t="str">
        <f>PETUNJUK!B13</f>
        <v>Lebuawu</v>
      </c>
      <c r="C183" s="373"/>
      <c r="D183" s="373"/>
      <c r="E183" s="373"/>
      <c r="F183" s="373"/>
      <c r="G183" s="373"/>
      <c r="H183" s="373"/>
      <c r="I183" s="373"/>
      <c r="J183" s="373"/>
      <c r="K183" s="373"/>
      <c r="L183" s="373"/>
      <c r="M183" s="373"/>
      <c r="N183" s="373"/>
      <c r="O183" s="373"/>
      <c r="P183" s="373"/>
      <c r="Q183" s="373"/>
      <c r="R183" s="373"/>
      <c r="S183" s="373"/>
      <c r="T183" s="373"/>
      <c r="U183" s="373"/>
      <c r="V183" s="373"/>
      <c r="W183" s="373"/>
      <c r="X183" s="373"/>
      <c r="Y183" s="373"/>
      <c r="Z183" s="373"/>
      <c r="AA183" s="373"/>
      <c r="AB183" s="373"/>
      <c r="AC183" s="373"/>
      <c r="AD183" s="373"/>
      <c r="AE183" s="373"/>
      <c r="AF183" s="373"/>
      <c r="AG183" s="373"/>
      <c r="AH183" s="373"/>
      <c r="AI183" s="373"/>
      <c r="AJ183" s="373"/>
      <c r="AK183" s="373"/>
      <c r="AL183" s="373"/>
      <c r="AM183" s="373"/>
    </row>
    <row r="184" spans="1:39" ht="18" customHeight="1" x14ac:dyDescent="0.3">
      <c r="A184" s="371">
        <v>6</v>
      </c>
      <c r="B184" s="372" t="str">
        <f>PETUNJUK!B14</f>
        <v>Pulodarat</v>
      </c>
      <c r="C184" s="373"/>
      <c r="D184" s="373"/>
      <c r="E184" s="373"/>
      <c r="F184" s="373"/>
      <c r="G184" s="373"/>
      <c r="H184" s="373"/>
      <c r="I184" s="373"/>
      <c r="J184" s="373"/>
      <c r="K184" s="373"/>
      <c r="L184" s="373"/>
      <c r="M184" s="373"/>
      <c r="N184" s="373"/>
      <c r="O184" s="373"/>
      <c r="P184" s="373"/>
      <c r="Q184" s="373"/>
      <c r="R184" s="373"/>
      <c r="S184" s="373"/>
      <c r="T184" s="373"/>
      <c r="U184" s="373"/>
      <c r="V184" s="373"/>
      <c r="W184" s="373"/>
      <c r="X184" s="373"/>
      <c r="Y184" s="373"/>
      <c r="Z184" s="373"/>
      <c r="AA184" s="373"/>
      <c r="AB184" s="373"/>
      <c r="AC184" s="373"/>
      <c r="AD184" s="373"/>
      <c r="AE184" s="373"/>
      <c r="AF184" s="373"/>
      <c r="AG184" s="373"/>
      <c r="AH184" s="373"/>
      <c r="AI184" s="373"/>
      <c r="AJ184" s="373"/>
      <c r="AK184" s="373"/>
      <c r="AL184" s="373"/>
      <c r="AM184" s="373"/>
    </row>
    <row r="185" spans="1:39" ht="18" customHeight="1" x14ac:dyDescent="0.3">
      <c r="A185" s="371">
        <v>7</v>
      </c>
      <c r="B185" s="372" t="str">
        <f>PETUNJUK!B15</f>
        <v>Karangrandu</v>
      </c>
      <c r="C185" s="373"/>
      <c r="D185" s="373"/>
      <c r="E185" s="373"/>
      <c r="F185" s="373"/>
      <c r="G185" s="373"/>
      <c r="H185" s="373"/>
      <c r="I185" s="373"/>
      <c r="J185" s="373"/>
      <c r="K185" s="373"/>
      <c r="L185" s="373"/>
      <c r="M185" s="373"/>
      <c r="N185" s="373"/>
      <c r="O185" s="373"/>
      <c r="P185" s="373"/>
      <c r="Q185" s="373"/>
      <c r="R185" s="373"/>
      <c r="S185" s="373"/>
      <c r="T185" s="373"/>
      <c r="U185" s="373"/>
      <c r="V185" s="373"/>
      <c r="W185" s="373"/>
      <c r="X185" s="373"/>
      <c r="Y185" s="373"/>
      <c r="Z185" s="373"/>
      <c r="AA185" s="373"/>
      <c r="AB185" s="373"/>
      <c r="AC185" s="373"/>
      <c r="AD185" s="373"/>
      <c r="AE185" s="373"/>
      <c r="AF185" s="373"/>
      <c r="AG185" s="373"/>
      <c r="AH185" s="373"/>
      <c r="AI185" s="373"/>
      <c r="AJ185" s="373"/>
      <c r="AK185" s="373"/>
      <c r="AL185" s="373"/>
      <c r="AM185" s="373"/>
    </row>
    <row r="186" spans="1:39" ht="18" customHeight="1" x14ac:dyDescent="0.3">
      <c r="A186" s="371">
        <v>8</v>
      </c>
      <c r="B186" s="372" t="str">
        <f>PETUNJUK!B16</f>
        <v>Kaliombo</v>
      </c>
      <c r="C186" s="373"/>
      <c r="D186" s="373"/>
      <c r="E186" s="373"/>
      <c r="F186" s="373"/>
      <c r="G186" s="373"/>
      <c r="H186" s="373"/>
      <c r="I186" s="373"/>
      <c r="J186" s="373"/>
      <c r="K186" s="373"/>
      <c r="L186" s="373"/>
      <c r="M186" s="373"/>
      <c r="N186" s="373"/>
      <c r="O186" s="373"/>
      <c r="P186" s="373"/>
      <c r="Q186" s="373"/>
      <c r="R186" s="373"/>
      <c r="S186" s="373"/>
      <c r="T186" s="373"/>
      <c r="U186" s="373"/>
      <c r="V186" s="373"/>
      <c r="W186" s="373"/>
      <c r="X186" s="373"/>
      <c r="Y186" s="373"/>
      <c r="Z186" s="373"/>
      <c r="AA186" s="373"/>
      <c r="AB186" s="373"/>
      <c r="AC186" s="373"/>
      <c r="AD186" s="373"/>
      <c r="AE186" s="373"/>
      <c r="AF186" s="373"/>
      <c r="AG186" s="373"/>
      <c r="AH186" s="373"/>
      <c r="AI186" s="373"/>
      <c r="AJ186" s="373"/>
      <c r="AK186" s="373"/>
      <c r="AL186" s="373"/>
      <c r="AM186" s="373"/>
    </row>
    <row r="187" spans="1:39" ht="18" customHeight="1" x14ac:dyDescent="0.3">
      <c r="A187" s="371">
        <v>9</v>
      </c>
      <c r="B187" s="372" t="str">
        <f>PETUNJUK!B17</f>
        <v>Gemulung</v>
      </c>
      <c r="C187" s="373"/>
      <c r="D187" s="373"/>
      <c r="E187" s="373"/>
      <c r="F187" s="373"/>
      <c r="G187" s="373"/>
      <c r="H187" s="373"/>
      <c r="I187" s="373"/>
      <c r="J187" s="373"/>
      <c r="K187" s="373"/>
      <c r="L187" s="373"/>
      <c r="M187" s="373"/>
      <c r="N187" s="373"/>
      <c r="O187" s="373"/>
      <c r="P187" s="373"/>
      <c r="Q187" s="373"/>
      <c r="R187" s="373"/>
      <c r="S187" s="373"/>
      <c r="T187" s="373"/>
      <c r="U187" s="373"/>
      <c r="V187" s="373"/>
      <c r="W187" s="373"/>
      <c r="X187" s="373"/>
      <c r="Y187" s="373"/>
      <c r="Z187" s="373"/>
      <c r="AA187" s="373"/>
      <c r="AB187" s="373"/>
      <c r="AC187" s="373"/>
      <c r="AD187" s="373"/>
      <c r="AE187" s="373"/>
      <c r="AF187" s="373"/>
      <c r="AG187" s="373"/>
      <c r="AH187" s="373"/>
      <c r="AI187" s="373"/>
      <c r="AJ187" s="373"/>
      <c r="AK187" s="373"/>
      <c r="AL187" s="373"/>
      <c r="AM187" s="373"/>
    </row>
    <row r="188" spans="1:39" ht="18" customHeight="1" x14ac:dyDescent="0.3">
      <c r="A188" s="371">
        <v>10</v>
      </c>
      <c r="B188" s="372" t="str">
        <f>PETUNJUK!B18</f>
        <v>Pecangaan Wetan</v>
      </c>
      <c r="C188" s="373"/>
      <c r="D188" s="373"/>
      <c r="E188" s="373"/>
      <c r="F188" s="373"/>
      <c r="G188" s="373"/>
      <c r="H188" s="373"/>
      <c r="I188" s="373"/>
      <c r="J188" s="373"/>
      <c r="K188" s="373"/>
      <c r="L188" s="373"/>
      <c r="M188" s="373"/>
      <c r="N188" s="373"/>
      <c r="O188" s="373"/>
      <c r="P188" s="373"/>
      <c r="Q188" s="373"/>
      <c r="R188" s="373"/>
      <c r="S188" s="373"/>
      <c r="T188" s="373"/>
      <c r="U188" s="373"/>
      <c r="V188" s="373"/>
      <c r="W188" s="373"/>
      <c r="X188" s="373"/>
      <c r="Y188" s="373"/>
      <c r="Z188" s="373"/>
      <c r="AA188" s="373"/>
      <c r="AB188" s="373"/>
      <c r="AC188" s="373"/>
      <c r="AD188" s="373"/>
      <c r="AE188" s="373"/>
      <c r="AF188" s="373"/>
      <c r="AG188" s="373"/>
      <c r="AH188" s="373"/>
      <c r="AI188" s="373"/>
      <c r="AJ188" s="373"/>
      <c r="AK188" s="373"/>
      <c r="AL188" s="373"/>
      <c r="AM188" s="373"/>
    </row>
    <row r="189" spans="1:39" ht="18" customHeight="1" x14ac:dyDescent="0.3">
      <c r="A189" s="371">
        <v>11</v>
      </c>
      <c r="B189" s="372" t="str">
        <f>PETUNJUK!B19</f>
        <v>Krasak</v>
      </c>
      <c r="C189" s="373"/>
      <c r="D189" s="373"/>
      <c r="E189" s="373"/>
      <c r="F189" s="373"/>
      <c r="G189" s="373"/>
      <c r="H189" s="373"/>
      <c r="I189" s="373"/>
      <c r="J189" s="373"/>
      <c r="K189" s="373"/>
      <c r="L189" s="373"/>
      <c r="M189" s="373"/>
      <c r="N189" s="373"/>
      <c r="O189" s="373"/>
      <c r="P189" s="373"/>
      <c r="Q189" s="373"/>
      <c r="R189" s="373"/>
      <c r="S189" s="373"/>
      <c r="T189" s="373"/>
      <c r="U189" s="373"/>
      <c r="V189" s="373"/>
      <c r="W189" s="373"/>
      <c r="X189" s="373"/>
      <c r="Y189" s="373"/>
      <c r="Z189" s="373"/>
      <c r="AA189" s="373"/>
      <c r="AB189" s="373"/>
      <c r="AC189" s="373"/>
      <c r="AD189" s="373"/>
      <c r="AE189" s="373"/>
      <c r="AF189" s="373"/>
      <c r="AG189" s="373"/>
      <c r="AH189" s="373"/>
      <c r="AI189" s="373"/>
      <c r="AJ189" s="373"/>
      <c r="AK189" s="373"/>
      <c r="AL189" s="373"/>
      <c r="AM189" s="373"/>
    </row>
    <row r="190" spans="1:39" ht="18" customHeight="1" x14ac:dyDescent="0.3">
      <c r="A190" s="371">
        <v>12</v>
      </c>
      <c r="B190" s="372" t="str">
        <f>PETUNJUK!B20</f>
        <v>Gerdu</v>
      </c>
      <c r="C190" s="373"/>
      <c r="D190" s="373"/>
      <c r="E190" s="373"/>
      <c r="F190" s="373"/>
      <c r="G190" s="373"/>
      <c r="H190" s="373"/>
      <c r="I190" s="373"/>
      <c r="J190" s="373"/>
      <c r="K190" s="373"/>
      <c r="L190" s="373"/>
      <c r="M190" s="373"/>
      <c r="N190" s="373"/>
      <c r="O190" s="373"/>
      <c r="P190" s="373"/>
      <c r="Q190" s="373"/>
      <c r="R190" s="373"/>
      <c r="S190" s="373"/>
      <c r="T190" s="373"/>
      <c r="U190" s="373"/>
      <c r="V190" s="373"/>
      <c r="W190" s="373"/>
      <c r="X190" s="373"/>
      <c r="Y190" s="373"/>
      <c r="Z190" s="373"/>
      <c r="AA190" s="373"/>
      <c r="AB190" s="373"/>
      <c r="AC190" s="373"/>
      <c r="AD190" s="373"/>
      <c r="AE190" s="373"/>
      <c r="AF190" s="373"/>
      <c r="AG190" s="373"/>
      <c r="AH190" s="373"/>
      <c r="AI190" s="373"/>
      <c r="AJ190" s="373"/>
      <c r="AK190" s="373"/>
      <c r="AL190" s="373"/>
      <c r="AM190" s="373"/>
    </row>
    <row r="191" spans="1:39" ht="18" customHeight="1" x14ac:dyDescent="0.3">
      <c r="A191" s="371">
        <v>13</v>
      </c>
      <c r="B191" s="372">
        <f>PETUNJUK!B21</f>
        <v>0</v>
      </c>
      <c r="C191" s="373"/>
      <c r="D191" s="373"/>
      <c r="E191" s="373"/>
      <c r="F191" s="373"/>
      <c r="G191" s="373"/>
      <c r="H191" s="373"/>
      <c r="I191" s="373"/>
      <c r="J191" s="373"/>
      <c r="K191" s="373"/>
      <c r="L191" s="373"/>
      <c r="M191" s="373"/>
      <c r="N191" s="373"/>
      <c r="O191" s="373"/>
      <c r="P191" s="373"/>
      <c r="Q191" s="373"/>
      <c r="R191" s="373"/>
      <c r="S191" s="373"/>
      <c r="T191" s="373"/>
      <c r="U191" s="373"/>
      <c r="V191" s="373"/>
      <c r="W191" s="373"/>
      <c r="X191" s="373"/>
      <c r="Y191" s="373"/>
      <c r="Z191" s="373"/>
      <c r="AA191" s="373"/>
      <c r="AB191" s="373"/>
      <c r="AC191" s="373"/>
      <c r="AD191" s="373"/>
      <c r="AE191" s="373"/>
      <c r="AF191" s="373"/>
      <c r="AG191" s="373"/>
      <c r="AH191" s="373"/>
      <c r="AI191" s="373"/>
      <c r="AJ191" s="373"/>
      <c r="AK191" s="373"/>
      <c r="AL191" s="373"/>
      <c r="AM191" s="373"/>
    </row>
    <row r="192" spans="1:39" ht="18" customHeight="1" x14ac:dyDescent="0.3">
      <c r="A192" s="371">
        <v>14</v>
      </c>
      <c r="B192" s="372">
        <f>PETUNJUK!B22</f>
        <v>0</v>
      </c>
      <c r="C192" s="373"/>
      <c r="D192" s="373"/>
      <c r="E192" s="373"/>
      <c r="F192" s="373"/>
      <c r="G192" s="373"/>
      <c r="H192" s="373"/>
      <c r="I192" s="373"/>
      <c r="J192" s="373"/>
      <c r="K192" s="373"/>
      <c r="L192" s="373"/>
      <c r="M192" s="373"/>
      <c r="N192" s="373"/>
      <c r="O192" s="373"/>
      <c r="P192" s="373"/>
      <c r="Q192" s="373"/>
      <c r="R192" s="373"/>
      <c r="S192" s="373"/>
      <c r="T192" s="373"/>
      <c r="U192" s="373"/>
      <c r="V192" s="373"/>
      <c r="W192" s="373"/>
      <c r="X192" s="373"/>
      <c r="Y192" s="373"/>
      <c r="Z192" s="373"/>
      <c r="AA192" s="373"/>
      <c r="AB192" s="373"/>
      <c r="AC192" s="373"/>
      <c r="AD192" s="373"/>
      <c r="AE192" s="373"/>
      <c r="AF192" s="373"/>
      <c r="AG192" s="373"/>
      <c r="AH192" s="373"/>
      <c r="AI192" s="373"/>
      <c r="AJ192" s="373"/>
      <c r="AK192" s="373"/>
      <c r="AL192" s="373"/>
      <c r="AM192" s="373"/>
    </row>
    <row r="193" spans="1:39" ht="18" customHeight="1" x14ac:dyDescent="0.3">
      <c r="A193" s="371">
        <v>15</v>
      </c>
      <c r="B193" s="372">
        <f>PETUNJUK!B23</f>
        <v>0</v>
      </c>
      <c r="C193" s="373"/>
      <c r="D193" s="373"/>
      <c r="E193" s="373"/>
      <c r="F193" s="373"/>
      <c r="G193" s="373"/>
      <c r="H193" s="373"/>
      <c r="I193" s="373"/>
      <c r="J193" s="373"/>
      <c r="K193" s="373"/>
      <c r="L193" s="373"/>
      <c r="M193" s="373"/>
      <c r="N193" s="373"/>
      <c r="O193" s="373"/>
      <c r="P193" s="373"/>
      <c r="Q193" s="373"/>
      <c r="R193" s="373"/>
      <c r="S193" s="373"/>
      <c r="T193" s="373"/>
      <c r="U193" s="373"/>
      <c r="V193" s="373"/>
      <c r="W193" s="373"/>
      <c r="X193" s="373"/>
      <c r="Y193" s="373"/>
      <c r="Z193" s="373"/>
      <c r="AA193" s="373"/>
      <c r="AB193" s="373"/>
      <c r="AC193" s="373"/>
      <c r="AD193" s="373"/>
      <c r="AE193" s="373"/>
      <c r="AF193" s="373"/>
      <c r="AG193" s="373"/>
      <c r="AH193" s="373"/>
      <c r="AI193" s="373"/>
      <c r="AJ193" s="373"/>
      <c r="AK193" s="373"/>
      <c r="AL193" s="373"/>
      <c r="AM193" s="373"/>
    </row>
    <row r="194" spans="1:39" ht="18" customHeight="1" x14ac:dyDescent="0.3">
      <c r="A194" s="371">
        <v>16</v>
      </c>
      <c r="B194" s="372">
        <f>PETUNJUK!B24</f>
        <v>0</v>
      </c>
      <c r="C194" s="373"/>
      <c r="D194" s="373"/>
      <c r="E194" s="373"/>
      <c r="F194" s="373"/>
      <c r="G194" s="373"/>
      <c r="H194" s="373"/>
      <c r="I194" s="373"/>
      <c r="J194" s="373"/>
      <c r="K194" s="373"/>
      <c r="L194" s="373"/>
      <c r="M194" s="373"/>
      <c r="N194" s="373"/>
      <c r="O194" s="373"/>
      <c r="P194" s="373"/>
      <c r="Q194" s="373"/>
      <c r="R194" s="373"/>
      <c r="S194" s="373"/>
      <c r="T194" s="373"/>
      <c r="U194" s="373"/>
      <c r="V194" s="373"/>
      <c r="W194" s="373"/>
      <c r="X194" s="373"/>
      <c r="Y194" s="373"/>
      <c r="Z194" s="373"/>
      <c r="AA194" s="373"/>
      <c r="AB194" s="373"/>
      <c r="AC194" s="373"/>
      <c r="AD194" s="373"/>
      <c r="AE194" s="373"/>
      <c r="AF194" s="373"/>
      <c r="AG194" s="373"/>
      <c r="AH194" s="373"/>
      <c r="AI194" s="373"/>
      <c r="AJ194" s="373"/>
      <c r="AK194" s="373"/>
      <c r="AL194" s="373"/>
      <c r="AM194" s="373"/>
    </row>
    <row r="195" spans="1:39" ht="18" customHeight="1" x14ac:dyDescent="0.3">
      <c r="A195" s="371">
        <v>17</v>
      </c>
      <c r="B195" s="372">
        <f>PETUNJUK!B25</f>
        <v>0</v>
      </c>
      <c r="C195" s="373"/>
      <c r="D195" s="373"/>
      <c r="E195" s="373"/>
      <c r="F195" s="373"/>
      <c r="G195" s="373"/>
      <c r="H195" s="373"/>
      <c r="I195" s="373"/>
      <c r="J195" s="373"/>
      <c r="K195" s="373"/>
      <c r="L195" s="373"/>
      <c r="M195" s="373"/>
      <c r="N195" s="373"/>
      <c r="O195" s="373"/>
      <c r="P195" s="373"/>
      <c r="Q195" s="373"/>
      <c r="R195" s="373"/>
      <c r="S195" s="373"/>
      <c r="T195" s="373"/>
      <c r="U195" s="373"/>
      <c r="V195" s="373"/>
      <c r="W195" s="373"/>
      <c r="X195" s="373"/>
      <c r="Y195" s="373"/>
      <c r="Z195" s="373"/>
      <c r="AA195" s="373"/>
      <c r="AB195" s="373"/>
      <c r="AC195" s="373"/>
      <c r="AD195" s="373"/>
      <c r="AE195" s="373"/>
      <c r="AF195" s="373"/>
      <c r="AG195" s="373"/>
      <c r="AH195" s="373"/>
      <c r="AI195" s="373"/>
      <c r="AJ195" s="373"/>
      <c r="AK195" s="373"/>
      <c r="AL195" s="373"/>
      <c r="AM195" s="373"/>
    </row>
    <row r="196" spans="1:39" ht="18" customHeight="1" x14ac:dyDescent="0.3">
      <c r="A196" s="371">
        <v>18</v>
      </c>
      <c r="B196" s="372">
        <f>PETUNJUK!B26</f>
        <v>0</v>
      </c>
      <c r="C196" s="373"/>
      <c r="D196" s="373"/>
      <c r="E196" s="373"/>
      <c r="F196" s="373"/>
      <c r="G196" s="373"/>
      <c r="H196" s="373"/>
      <c r="I196" s="373"/>
      <c r="J196" s="373"/>
      <c r="K196" s="373"/>
      <c r="L196" s="373"/>
      <c r="M196" s="373"/>
      <c r="N196" s="373"/>
      <c r="O196" s="373"/>
      <c r="P196" s="373"/>
      <c r="Q196" s="373"/>
      <c r="R196" s="373"/>
      <c r="S196" s="373"/>
      <c r="T196" s="373"/>
      <c r="U196" s="373"/>
      <c r="V196" s="373"/>
      <c r="W196" s="373"/>
      <c r="X196" s="373"/>
      <c r="Y196" s="373"/>
      <c r="Z196" s="373"/>
      <c r="AA196" s="373"/>
      <c r="AB196" s="373"/>
      <c r="AC196" s="373"/>
      <c r="AD196" s="373"/>
      <c r="AE196" s="373"/>
      <c r="AF196" s="373"/>
      <c r="AG196" s="373"/>
      <c r="AH196" s="373"/>
      <c r="AI196" s="373"/>
      <c r="AJ196" s="373"/>
      <c r="AK196" s="373"/>
      <c r="AL196" s="373"/>
      <c r="AM196" s="373"/>
    </row>
    <row r="197" spans="1:39" ht="18" customHeight="1" x14ac:dyDescent="0.3">
      <c r="A197" s="371">
        <v>19</v>
      </c>
      <c r="B197" s="372">
        <f>PETUNJUK!B27</f>
        <v>0</v>
      </c>
      <c r="C197" s="373"/>
      <c r="D197" s="373"/>
      <c r="E197" s="373"/>
      <c r="F197" s="373"/>
      <c r="G197" s="373"/>
      <c r="H197" s="373"/>
      <c r="I197" s="373"/>
      <c r="J197" s="373"/>
      <c r="K197" s="373"/>
      <c r="L197" s="373"/>
      <c r="M197" s="373"/>
      <c r="N197" s="373"/>
      <c r="O197" s="373"/>
      <c r="P197" s="373"/>
      <c r="Q197" s="373"/>
      <c r="R197" s="373"/>
      <c r="S197" s="373"/>
      <c r="T197" s="373"/>
      <c r="U197" s="373"/>
      <c r="V197" s="373"/>
      <c r="W197" s="373"/>
      <c r="X197" s="373"/>
      <c r="Y197" s="373"/>
      <c r="Z197" s="373"/>
      <c r="AA197" s="373"/>
      <c r="AB197" s="373"/>
      <c r="AC197" s="373"/>
      <c r="AD197" s="373"/>
      <c r="AE197" s="373"/>
      <c r="AF197" s="373"/>
      <c r="AG197" s="373"/>
      <c r="AH197" s="373"/>
      <c r="AI197" s="373"/>
      <c r="AJ197" s="373"/>
      <c r="AK197" s="373"/>
      <c r="AL197" s="373"/>
      <c r="AM197" s="373"/>
    </row>
    <row r="198" spans="1:39" ht="18" customHeight="1" x14ac:dyDescent="0.3">
      <c r="A198" s="371">
        <v>20</v>
      </c>
      <c r="B198" s="372">
        <f>PETUNJUK!B28</f>
        <v>0</v>
      </c>
      <c r="C198" s="373"/>
      <c r="D198" s="373"/>
      <c r="E198" s="373"/>
      <c r="F198" s="373"/>
      <c r="G198" s="373"/>
      <c r="H198" s="373"/>
      <c r="I198" s="373"/>
      <c r="J198" s="373"/>
      <c r="K198" s="373"/>
      <c r="L198" s="373"/>
      <c r="M198" s="373"/>
      <c r="N198" s="373"/>
      <c r="O198" s="373"/>
      <c r="P198" s="373"/>
      <c r="Q198" s="373"/>
      <c r="R198" s="373"/>
      <c r="S198" s="373"/>
      <c r="T198" s="373"/>
      <c r="U198" s="373"/>
      <c r="V198" s="373"/>
      <c r="W198" s="373"/>
      <c r="X198" s="373"/>
      <c r="Y198" s="373"/>
      <c r="Z198" s="373"/>
      <c r="AA198" s="373"/>
      <c r="AB198" s="373"/>
      <c r="AC198" s="373"/>
      <c r="AD198" s="373"/>
      <c r="AE198" s="373"/>
      <c r="AF198" s="373"/>
      <c r="AG198" s="373"/>
      <c r="AH198" s="373"/>
      <c r="AI198" s="373"/>
      <c r="AJ198" s="373"/>
      <c r="AK198" s="373"/>
      <c r="AL198" s="373"/>
      <c r="AM198" s="373"/>
    </row>
    <row r="199" spans="1:39" ht="18" customHeight="1" x14ac:dyDescent="0.3">
      <c r="A199" s="371">
        <v>21</v>
      </c>
      <c r="B199" s="372">
        <f>PETUNJUK!B29</f>
        <v>0</v>
      </c>
      <c r="C199" s="373"/>
      <c r="D199" s="373"/>
      <c r="E199" s="373"/>
      <c r="F199" s="373"/>
      <c r="G199" s="373"/>
      <c r="H199" s="373"/>
      <c r="I199" s="373"/>
      <c r="J199" s="373"/>
      <c r="K199" s="373"/>
      <c r="L199" s="373"/>
      <c r="M199" s="373"/>
      <c r="N199" s="373"/>
      <c r="O199" s="373"/>
      <c r="P199" s="373"/>
      <c r="Q199" s="373"/>
      <c r="R199" s="373"/>
      <c r="S199" s="373"/>
      <c r="T199" s="373"/>
      <c r="U199" s="373"/>
      <c r="V199" s="373"/>
      <c r="W199" s="373"/>
      <c r="X199" s="373"/>
      <c r="Y199" s="373"/>
      <c r="Z199" s="373"/>
      <c r="AA199" s="373"/>
      <c r="AB199" s="373"/>
      <c r="AC199" s="373"/>
      <c r="AD199" s="373"/>
      <c r="AE199" s="373"/>
      <c r="AF199" s="373"/>
      <c r="AG199" s="373"/>
      <c r="AH199" s="373"/>
      <c r="AI199" s="373"/>
      <c r="AJ199" s="373"/>
      <c r="AK199" s="373"/>
      <c r="AL199" s="373"/>
      <c r="AM199" s="373"/>
    </row>
    <row r="200" spans="1:39" ht="18" customHeight="1" thickBot="1" x14ac:dyDescent="0.35">
      <c r="A200" s="381">
        <v>22</v>
      </c>
      <c r="B200" s="372">
        <f>PETUNJUK!B30</f>
        <v>0</v>
      </c>
      <c r="C200" s="382"/>
      <c r="D200" s="382"/>
      <c r="E200" s="382"/>
      <c r="F200" s="382"/>
      <c r="G200" s="382"/>
      <c r="H200" s="382"/>
      <c r="I200" s="382"/>
      <c r="J200" s="382"/>
      <c r="K200" s="382"/>
      <c r="L200" s="382"/>
      <c r="M200" s="382"/>
      <c r="N200" s="382"/>
      <c r="O200" s="382"/>
      <c r="P200" s="382"/>
      <c r="Q200" s="382"/>
      <c r="R200" s="382"/>
      <c r="S200" s="382"/>
      <c r="T200" s="382"/>
      <c r="U200" s="382"/>
      <c r="V200" s="382"/>
      <c r="W200" s="382"/>
      <c r="X200" s="382"/>
      <c r="Y200" s="382"/>
      <c r="Z200" s="382"/>
      <c r="AA200" s="382"/>
      <c r="AB200" s="382"/>
      <c r="AC200" s="382"/>
      <c r="AD200" s="382"/>
      <c r="AE200" s="382"/>
      <c r="AF200" s="382"/>
      <c r="AG200" s="382"/>
      <c r="AH200" s="382"/>
      <c r="AI200" s="382"/>
      <c r="AJ200" s="373"/>
      <c r="AK200" s="382"/>
      <c r="AL200" s="382"/>
      <c r="AM200" s="382"/>
    </row>
    <row r="201" spans="1:39" ht="18" customHeight="1" thickBot="1" x14ac:dyDescent="0.35">
      <c r="A201" s="803" t="s">
        <v>62</v>
      </c>
      <c r="B201" s="805"/>
      <c r="C201" s="376">
        <f t="shared" ref="C201:AM201" si="9">SUM(C179:C200)</f>
        <v>0</v>
      </c>
      <c r="D201" s="376">
        <f t="shared" si="9"/>
        <v>0</v>
      </c>
      <c r="E201" s="376">
        <f t="shared" si="9"/>
        <v>0</v>
      </c>
      <c r="F201" s="376">
        <f t="shared" si="9"/>
        <v>0</v>
      </c>
      <c r="G201" s="376">
        <f t="shared" si="9"/>
        <v>0</v>
      </c>
      <c r="H201" s="376">
        <f t="shared" si="9"/>
        <v>0</v>
      </c>
      <c r="I201" s="376">
        <f t="shared" si="9"/>
        <v>0</v>
      </c>
      <c r="J201" s="376">
        <f t="shared" si="9"/>
        <v>0</v>
      </c>
      <c r="K201" s="376">
        <f t="shared" si="9"/>
        <v>0</v>
      </c>
      <c r="L201" s="376">
        <f t="shared" si="9"/>
        <v>0</v>
      </c>
      <c r="M201" s="376">
        <f t="shared" si="9"/>
        <v>0</v>
      </c>
      <c r="N201" s="376">
        <f t="shared" si="9"/>
        <v>0</v>
      </c>
      <c r="O201" s="376">
        <f t="shared" si="9"/>
        <v>0</v>
      </c>
      <c r="P201" s="376">
        <f t="shared" si="9"/>
        <v>0</v>
      </c>
      <c r="Q201" s="376">
        <f t="shared" si="9"/>
        <v>0</v>
      </c>
      <c r="R201" s="376">
        <f t="shared" si="9"/>
        <v>0</v>
      </c>
      <c r="S201" s="376">
        <f t="shared" si="9"/>
        <v>0</v>
      </c>
      <c r="T201" s="376">
        <f t="shared" si="9"/>
        <v>0</v>
      </c>
      <c r="U201" s="376">
        <f t="shared" si="9"/>
        <v>0</v>
      </c>
      <c r="V201" s="376">
        <f t="shared" si="9"/>
        <v>0</v>
      </c>
      <c r="W201" s="376">
        <f t="shared" si="9"/>
        <v>0</v>
      </c>
      <c r="X201" s="376">
        <f t="shared" si="9"/>
        <v>0</v>
      </c>
      <c r="Y201" s="376">
        <f t="shared" si="9"/>
        <v>0</v>
      </c>
      <c r="Z201" s="376">
        <f t="shared" si="9"/>
        <v>0</v>
      </c>
      <c r="AA201" s="376">
        <f t="shared" si="9"/>
        <v>0</v>
      </c>
      <c r="AB201" s="376">
        <f t="shared" si="9"/>
        <v>0</v>
      </c>
      <c r="AC201" s="376">
        <f t="shared" si="9"/>
        <v>0</v>
      </c>
      <c r="AD201" s="376">
        <f t="shared" si="9"/>
        <v>0</v>
      </c>
      <c r="AE201" s="376">
        <f t="shared" si="9"/>
        <v>0</v>
      </c>
      <c r="AF201" s="376">
        <f t="shared" si="9"/>
        <v>0</v>
      </c>
      <c r="AG201" s="376">
        <f t="shared" si="9"/>
        <v>0</v>
      </c>
      <c r="AH201" s="376">
        <f t="shared" si="9"/>
        <v>0</v>
      </c>
      <c r="AI201" s="376">
        <f t="shared" si="9"/>
        <v>0</v>
      </c>
      <c r="AJ201" s="376">
        <f t="shared" si="9"/>
        <v>0</v>
      </c>
      <c r="AK201" s="376">
        <f t="shared" si="9"/>
        <v>0</v>
      </c>
      <c r="AL201" s="376">
        <f t="shared" si="9"/>
        <v>0</v>
      </c>
      <c r="AM201" s="377">
        <f t="shared" si="9"/>
        <v>0</v>
      </c>
    </row>
    <row r="202" spans="1:39" x14ac:dyDescent="0.35">
      <c r="A202" s="235"/>
      <c r="B202" s="235" t="s">
        <v>63</v>
      </c>
      <c r="C202" s="378"/>
      <c r="D202" s="378"/>
      <c r="E202" s="378"/>
      <c r="F202" s="378"/>
      <c r="G202" s="378"/>
      <c r="H202" s="378"/>
      <c r="I202" s="378"/>
      <c r="J202" s="378"/>
      <c r="K202" s="378"/>
      <c r="L202" s="378"/>
      <c r="M202" s="378"/>
      <c r="N202" s="801" t="s">
        <v>181</v>
      </c>
      <c r="O202" s="801"/>
      <c r="P202" s="801"/>
      <c r="Q202" s="801"/>
      <c r="R202" s="801"/>
      <c r="S202" s="801"/>
      <c r="T202" s="801"/>
      <c r="U202" s="801"/>
      <c r="V202" s="801"/>
      <c r="W202" s="801"/>
      <c r="X202" s="801"/>
      <c r="Y202" s="801"/>
      <c r="Z202" s="801"/>
      <c r="AA202" s="801"/>
      <c r="AB202" s="801"/>
      <c r="AC202" s="801"/>
      <c r="AD202" s="801"/>
      <c r="AE202" s="801"/>
      <c r="AF202" s="801"/>
      <c r="AG202" s="801"/>
      <c r="AH202" s="801"/>
      <c r="AI202" s="801"/>
      <c r="AJ202" s="378"/>
    </row>
    <row r="208" spans="1:39" x14ac:dyDescent="0.35">
      <c r="A208" s="802" t="s">
        <v>177</v>
      </c>
      <c r="B208" s="802"/>
      <c r="C208" s="802"/>
      <c r="D208" s="802"/>
      <c r="E208" s="802"/>
      <c r="F208" s="802"/>
      <c r="G208" s="802"/>
      <c r="H208" s="802"/>
      <c r="I208" s="802"/>
      <c r="J208" s="802"/>
      <c r="K208" s="802"/>
      <c r="L208" s="802"/>
      <c r="M208" s="802"/>
      <c r="N208" s="802"/>
      <c r="O208" s="802"/>
      <c r="P208" s="802"/>
      <c r="Q208" s="802"/>
      <c r="R208" s="802"/>
      <c r="S208" s="802"/>
      <c r="T208" s="802"/>
      <c r="U208" s="802"/>
      <c r="V208" s="802"/>
      <c r="W208" s="802"/>
      <c r="X208" s="802"/>
      <c r="Y208" s="802"/>
      <c r="Z208" s="802"/>
      <c r="AA208" s="802"/>
      <c r="AB208" s="802"/>
      <c r="AC208" s="802"/>
      <c r="AD208" s="802"/>
      <c r="AE208" s="802"/>
      <c r="AF208" s="802"/>
      <c r="AG208" s="802"/>
      <c r="AH208" s="802"/>
      <c r="AI208" s="802"/>
      <c r="AJ208" s="802"/>
    </row>
    <row r="209" spans="1:39" x14ac:dyDescent="0.35">
      <c r="A209" s="363"/>
      <c r="B209" s="363"/>
      <c r="C209" s="632"/>
      <c r="D209" s="632"/>
      <c r="E209" s="632"/>
      <c r="F209" s="632"/>
      <c r="G209" s="632"/>
      <c r="H209" s="632"/>
      <c r="I209" s="632"/>
      <c r="J209" s="632"/>
      <c r="K209" s="632"/>
      <c r="L209" s="632"/>
      <c r="M209" s="632"/>
      <c r="N209" s="632"/>
      <c r="O209" s="632"/>
      <c r="P209" s="632"/>
      <c r="Q209" s="632"/>
      <c r="R209" s="632"/>
      <c r="S209" s="632"/>
      <c r="T209" s="632"/>
      <c r="U209" s="632"/>
      <c r="V209" s="632"/>
      <c r="W209" s="632"/>
      <c r="X209" s="632"/>
      <c r="Y209" s="632"/>
      <c r="Z209" s="632"/>
      <c r="AA209" s="632"/>
      <c r="AB209" s="632"/>
      <c r="AC209" s="632"/>
      <c r="AD209" s="632"/>
      <c r="AE209" s="632"/>
      <c r="AF209" s="632"/>
      <c r="AG209" s="632"/>
      <c r="AH209" s="632"/>
      <c r="AI209" s="632"/>
      <c r="AJ209" s="632"/>
    </row>
    <row r="210" spans="1:39" x14ac:dyDescent="0.35">
      <c r="A210" s="364" t="s">
        <v>40</v>
      </c>
      <c r="B210" s="365"/>
      <c r="C210" s="638"/>
      <c r="D210" s="638"/>
      <c r="E210" s="638"/>
      <c r="F210" s="638"/>
      <c r="G210" s="638"/>
      <c r="H210" s="638"/>
      <c r="I210" s="638"/>
      <c r="J210" s="638"/>
      <c r="K210" s="638"/>
      <c r="L210" s="638"/>
      <c r="M210" s="638"/>
      <c r="N210" s="633" t="s">
        <v>176</v>
      </c>
      <c r="O210" s="638" t="str">
        <f>PETUNJUK!C5</f>
        <v>PECANGAAN</v>
      </c>
      <c r="P210" s="638"/>
      <c r="Q210" s="638"/>
      <c r="R210" s="638"/>
      <c r="S210" s="638"/>
      <c r="T210" s="638"/>
      <c r="U210" s="638"/>
      <c r="V210" s="638"/>
      <c r="W210" s="638"/>
      <c r="X210" s="638"/>
      <c r="Y210" s="638"/>
      <c r="Z210" s="638"/>
      <c r="AA210" s="638"/>
      <c r="AB210" s="638"/>
      <c r="AC210" s="638"/>
      <c r="AD210" s="638"/>
      <c r="AE210" s="638"/>
      <c r="AF210" s="638"/>
      <c r="AG210" s="638"/>
      <c r="AH210" s="638"/>
      <c r="AI210" s="638"/>
      <c r="AJ210" s="638"/>
    </row>
    <row r="211" spans="1:39" x14ac:dyDescent="0.35">
      <c r="A211" s="366" t="s">
        <v>0</v>
      </c>
      <c r="B211" s="367"/>
      <c r="C211" s="640"/>
      <c r="D211" s="633"/>
      <c r="E211" s="633"/>
      <c r="F211" s="640"/>
      <c r="G211" s="640"/>
      <c r="H211" s="640"/>
      <c r="I211" s="640"/>
      <c r="J211" s="640"/>
      <c r="K211" s="640"/>
      <c r="L211" s="640"/>
      <c r="M211" s="633"/>
      <c r="N211" s="639" t="s">
        <v>176</v>
      </c>
      <c r="O211" s="642" t="str">
        <f>'1.DATA KIA'!C208</f>
        <v xml:space="preserve">JULI </v>
      </c>
      <c r="P211" s="633"/>
      <c r="Q211" s="633"/>
      <c r="R211" s="633"/>
      <c r="S211" s="633"/>
      <c r="T211" s="633"/>
      <c r="U211" s="633"/>
      <c r="V211" s="633"/>
      <c r="W211" s="633"/>
      <c r="X211" s="633"/>
      <c r="Y211" s="633"/>
      <c r="Z211" s="640"/>
      <c r="AA211" s="640"/>
      <c r="AB211" s="640"/>
      <c r="AC211" s="640"/>
      <c r="AD211" s="640"/>
      <c r="AE211" s="640"/>
      <c r="AF211" s="640"/>
      <c r="AG211" s="640"/>
      <c r="AH211" s="640"/>
      <c r="AI211" s="640"/>
      <c r="AJ211" s="640"/>
    </row>
    <row r="212" spans="1:39" s="68" customFormat="1" ht="12.75" customHeight="1" x14ac:dyDescent="0.3">
      <c r="A212" s="799" t="s">
        <v>1</v>
      </c>
      <c r="B212" s="799" t="s">
        <v>2</v>
      </c>
      <c r="C212" s="794" t="s">
        <v>301</v>
      </c>
      <c r="D212" s="795"/>
      <c r="E212" s="795"/>
      <c r="F212" s="795"/>
      <c r="G212" s="795"/>
      <c r="H212" s="795"/>
      <c r="I212" s="795"/>
      <c r="J212" s="795"/>
      <c r="K212" s="795"/>
      <c r="L212" s="795"/>
      <c r="M212" s="795"/>
      <c r="N212" s="795"/>
      <c r="O212" s="795"/>
      <c r="P212" s="795"/>
      <c r="Q212" s="795"/>
      <c r="R212" s="795"/>
      <c r="S212" s="795"/>
      <c r="T212" s="795"/>
      <c r="U212" s="795"/>
      <c r="V212" s="795"/>
      <c r="W212" s="795"/>
      <c r="X212" s="795"/>
      <c r="Y212" s="795"/>
      <c r="Z212" s="795"/>
      <c r="AA212" s="795"/>
      <c r="AB212" s="795"/>
      <c r="AC212" s="795"/>
      <c r="AD212" s="795"/>
      <c r="AE212" s="795"/>
      <c r="AF212" s="795"/>
      <c r="AG212" s="795"/>
      <c r="AH212" s="795"/>
      <c r="AI212" s="795"/>
      <c r="AJ212" s="796"/>
      <c r="AK212" s="792" t="s">
        <v>307</v>
      </c>
      <c r="AL212" s="792" t="s">
        <v>308</v>
      </c>
      <c r="AM212" s="792" t="s">
        <v>309</v>
      </c>
    </row>
    <row r="213" spans="1:39" s="68" customFormat="1" ht="108" customHeight="1" x14ac:dyDescent="0.3">
      <c r="A213" s="800"/>
      <c r="B213" s="800"/>
      <c r="C213" s="368" t="s">
        <v>55</v>
      </c>
      <c r="D213" s="369" t="s">
        <v>190</v>
      </c>
      <c r="E213" s="369" t="s">
        <v>43</v>
      </c>
      <c r="F213" s="369" t="s">
        <v>53</v>
      </c>
      <c r="G213" s="369" t="s">
        <v>302</v>
      </c>
      <c r="H213" s="369" t="s">
        <v>303</v>
      </c>
      <c r="I213" s="369" t="s">
        <v>294</v>
      </c>
      <c r="J213" s="369" t="s">
        <v>304</v>
      </c>
      <c r="K213" s="369" t="s">
        <v>305</v>
      </c>
      <c r="L213" s="369" t="s">
        <v>306</v>
      </c>
      <c r="M213" s="369" t="s">
        <v>44</v>
      </c>
      <c r="N213" s="370" t="s">
        <v>178</v>
      </c>
      <c r="O213" s="369" t="s">
        <v>41</v>
      </c>
      <c r="P213" s="369" t="s">
        <v>180</v>
      </c>
      <c r="Q213" s="369" t="s">
        <v>42</v>
      </c>
      <c r="R213" s="369" t="s">
        <v>45</v>
      </c>
      <c r="S213" s="369" t="s">
        <v>46</v>
      </c>
      <c r="T213" s="369" t="s">
        <v>47</v>
      </c>
      <c r="U213" s="369" t="s">
        <v>48</v>
      </c>
      <c r="V213" s="369" t="s">
        <v>49</v>
      </c>
      <c r="W213" s="369" t="s">
        <v>50</v>
      </c>
      <c r="X213" s="369" t="s">
        <v>51</v>
      </c>
      <c r="Y213" s="369" t="s">
        <v>52</v>
      </c>
      <c r="Z213" s="369" t="s">
        <v>54</v>
      </c>
      <c r="AA213" s="369" t="s">
        <v>56</v>
      </c>
      <c r="AB213" s="369" t="s">
        <v>57</v>
      </c>
      <c r="AC213" s="369" t="s">
        <v>58</v>
      </c>
      <c r="AD213" s="369" t="s">
        <v>59</v>
      </c>
      <c r="AE213" s="369" t="s">
        <v>60</v>
      </c>
      <c r="AF213" s="370" t="s">
        <v>179</v>
      </c>
      <c r="AG213" s="370" t="s">
        <v>310</v>
      </c>
      <c r="AH213" s="369" t="s">
        <v>33</v>
      </c>
      <c r="AI213" s="369" t="s">
        <v>61</v>
      </c>
      <c r="AJ213" s="369" t="s">
        <v>18</v>
      </c>
      <c r="AK213" s="793"/>
      <c r="AL213" s="793"/>
      <c r="AM213" s="793"/>
    </row>
    <row r="214" spans="1:39" ht="18" customHeight="1" x14ac:dyDescent="0.3">
      <c r="A214" s="371">
        <v>1</v>
      </c>
      <c r="B214" s="372" t="str">
        <f>PETUNJUK!B9</f>
        <v>Pecangaan Kulon</v>
      </c>
      <c r="C214" s="373"/>
      <c r="D214" s="373"/>
      <c r="E214" s="373"/>
      <c r="F214" s="373"/>
      <c r="G214" s="373"/>
      <c r="H214" s="373"/>
      <c r="I214" s="373"/>
      <c r="J214" s="373"/>
      <c r="K214" s="373"/>
      <c r="L214" s="373"/>
      <c r="M214" s="373"/>
      <c r="N214" s="373"/>
      <c r="O214" s="373"/>
      <c r="P214" s="373"/>
      <c r="Q214" s="373"/>
      <c r="R214" s="373"/>
      <c r="S214" s="373"/>
      <c r="T214" s="373"/>
      <c r="U214" s="373"/>
      <c r="V214" s="373"/>
      <c r="W214" s="373"/>
      <c r="X214" s="373"/>
      <c r="Y214" s="373"/>
      <c r="Z214" s="373"/>
      <c r="AA214" s="373"/>
      <c r="AB214" s="373"/>
      <c r="AC214" s="373"/>
      <c r="AD214" s="373"/>
      <c r="AE214" s="373"/>
      <c r="AF214" s="373"/>
      <c r="AG214" s="373"/>
      <c r="AH214" s="373"/>
      <c r="AI214" s="373"/>
      <c r="AJ214" s="373"/>
      <c r="AK214" s="373"/>
      <c r="AL214" s="373"/>
      <c r="AM214" s="373"/>
    </row>
    <row r="215" spans="1:39" ht="18" customHeight="1" x14ac:dyDescent="0.3">
      <c r="A215" s="371">
        <v>2</v>
      </c>
      <c r="B215" s="372" t="str">
        <f>PETUNJUK!B10</f>
        <v>Rengging</v>
      </c>
      <c r="C215" s="373"/>
      <c r="D215" s="373"/>
      <c r="E215" s="373"/>
      <c r="F215" s="373"/>
      <c r="G215" s="373"/>
      <c r="H215" s="373"/>
      <c r="I215" s="373"/>
      <c r="J215" s="373"/>
      <c r="K215" s="373"/>
      <c r="L215" s="373"/>
      <c r="M215" s="373"/>
      <c r="N215" s="373"/>
      <c r="O215" s="373"/>
      <c r="P215" s="373"/>
      <c r="Q215" s="373"/>
      <c r="R215" s="373"/>
      <c r="S215" s="373"/>
      <c r="T215" s="373"/>
      <c r="U215" s="373"/>
      <c r="V215" s="373"/>
      <c r="W215" s="373"/>
      <c r="X215" s="373"/>
      <c r="Y215" s="373"/>
      <c r="Z215" s="373"/>
      <c r="AA215" s="373"/>
      <c r="AB215" s="373"/>
      <c r="AC215" s="373"/>
      <c r="AD215" s="373"/>
      <c r="AE215" s="373"/>
      <c r="AF215" s="373"/>
      <c r="AG215" s="373"/>
      <c r="AH215" s="373"/>
      <c r="AI215" s="373"/>
      <c r="AJ215" s="373"/>
      <c r="AK215" s="373"/>
      <c r="AL215" s="373"/>
      <c r="AM215" s="373"/>
    </row>
    <row r="216" spans="1:39" ht="18" customHeight="1" x14ac:dyDescent="0.3">
      <c r="A216" s="371">
        <v>3</v>
      </c>
      <c r="B216" s="372" t="str">
        <f>PETUNJUK!B11</f>
        <v>Troso</v>
      </c>
      <c r="C216" s="373"/>
      <c r="D216" s="373"/>
      <c r="E216" s="373"/>
      <c r="F216" s="373"/>
      <c r="G216" s="373"/>
      <c r="H216" s="373"/>
      <c r="I216" s="373"/>
      <c r="J216" s="373"/>
      <c r="K216" s="373"/>
      <c r="L216" s="373"/>
      <c r="M216" s="373"/>
      <c r="N216" s="373"/>
      <c r="O216" s="373"/>
      <c r="P216" s="373"/>
      <c r="Q216" s="373"/>
      <c r="R216" s="373"/>
      <c r="S216" s="373"/>
      <c r="T216" s="373"/>
      <c r="U216" s="373"/>
      <c r="V216" s="373"/>
      <c r="W216" s="373"/>
      <c r="X216" s="373"/>
      <c r="Y216" s="373"/>
      <c r="Z216" s="373"/>
      <c r="AA216" s="373"/>
      <c r="AB216" s="373"/>
      <c r="AC216" s="373"/>
      <c r="AD216" s="373"/>
      <c r="AE216" s="373"/>
      <c r="AF216" s="373"/>
      <c r="AG216" s="373"/>
      <c r="AH216" s="373"/>
      <c r="AI216" s="373"/>
      <c r="AJ216" s="373"/>
      <c r="AK216" s="373"/>
      <c r="AL216" s="373"/>
      <c r="AM216" s="373"/>
    </row>
    <row r="217" spans="1:39" ht="18" customHeight="1" x14ac:dyDescent="0.3">
      <c r="A217" s="371">
        <v>4</v>
      </c>
      <c r="B217" s="372" t="str">
        <f>PETUNJUK!B12</f>
        <v>Ngeling</v>
      </c>
      <c r="C217" s="373"/>
      <c r="D217" s="373"/>
      <c r="E217" s="373"/>
      <c r="F217" s="373"/>
      <c r="G217" s="373"/>
      <c r="H217" s="373"/>
      <c r="I217" s="373"/>
      <c r="J217" s="373"/>
      <c r="K217" s="373"/>
      <c r="L217" s="373"/>
      <c r="M217" s="373"/>
      <c r="N217" s="373"/>
      <c r="O217" s="373"/>
      <c r="P217" s="373"/>
      <c r="Q217" s="373"/>
      <c r="R217" s="373"/>
      <c r="S217" s="373"/>
      <c r="T217" s="373"/>
      <c r="U217" s="373"/>
      <c r="V217" s="373"/>
      <c r="W217" s="373"/>
      <c r="X217" s="373"/>
      <c r="Y217" s="373"/>
      <c r="Z217" s="373"/>
      <c r="AA217" s="373"/>
      <c r="AB217" s="373"/>
      <c r="AC217" s="373"/>
      <c r="AD217" s="373"/>
      <c r="AE217" s="373"/>
      <c r="AF217" s="373"/>
      <c r="AG217" s="373"/>
      <c r="AH217" s="373"/>
      <c r="AI217" s="373"/>
      <c r="AJ217" s="373"/>
      <c r="AK217" s="373"/>
      <c r="AL217" s="373"/>
      <c r="AM217" s="373"/>
    </row>
    <row r="218" spans="1:39" ht="18" customHeight="1" x14ac:dyDescent="0.3">
      <c r="A218" s="371">
        <v>5</v>
      </c>
      <c r="B218" s="372" t="str">
        <f>PETUNJUK!B13</f>
        <v>Lebuawu</v>
      </c>
      <c r="C218" s="373"/>
      <c r="D218" s="373"/>
      <c r="E218" s="373"/>
      <c r="F218" s="373"/>
      <c r="G218" s="373"/>
      <c r="H218" s="373"/>
      <c r="I218" s="373"/>
      <c r="J218" s="373"/>
      <c r="K218" s="373"/>
      <c r="L218" s="373"/>
      <c r="M218" s="373"/>
      <c r="N218" s="373"/>
      <c r="O218" s="373"/>
      <c r="P218" s="373"/>
      <c r="Q218" s="373"/>
      <c r="R218" s="373"/>
      <c r="S218" s="373"/>
      <c r="T218" s="373"/>
      <c r="U218" s="373"/>
      <c r="V218" s="373"/>
      <c r="W218" s="373"/>
      <c r="X218" s="373"/>
      <c r="Y218" s="373"/>
      <c r="Z218" s="373"/>
      <c r="AA218" s="373"/>
      <c r="AB218" s="373"/>
      <c r="AC218" s="373"/>
      <c r="AD218" s="373"/>
      <c r="AE218" s="373"/>
      <c r="AF218" s="373"/>
      <c r="AG218" s="373"/>
      <c r="AH218" s="373"/>
      <c r="AI218" s="373"/>
      <c r="AJ218" s="373"/>
      <c r="AK218" s="373"/>
      <c r="AL218" s="373"/>
      <c r="AM218" s="373"/>
    </row>
    <row r="219" spans="1:39" ht="18" customHeight="1" x14ac:dyDescent="0.3">
      <c r="A219" s="371">
        <v>6</v>
      </c>
      <c r="B219" s="372" t="str">
        <f>PETUNJUK!B14</f>
        <v>Pulodarat</v>
      </c>
      <c r="C219" s="373"/>
      <c r="D219" s="373"/>
      <c r="E219" s="373"/>
      <c r="F219" s="373"/>
      <c r="G219" s="373"/>
      <c r="H219" s="373"/>
      <c r="I219" s="373"/>
      <c r="J219" s="373"/>
      <c r="K219" s="373"/>
      <c r="L219" s="373"/>
      <c r="M219" s="373"/>
      <c r="N219" s="373"/>
      <c r="O219" s="373"/>
      <c r="P219" s="373"/>
      <c r="Q219" s="373"/>
      <c r="R219" s="373"/>
      <c r="S219" s="373"/>
      <c r="T219" s="373"/>
      <c r="U219" s="373"/>
      <c r="V219" s="373"/>
      <c r="W219" s="373"/>
      <c r="X219" s="373"/>
      <c r="Y219" s="373"/>
      <c r="Z219" s="373"/>
      <c r="AA219" s="373"/>
      <c r="AB219" s="373"/>
      <c r="AC219" s="373"/>
      <c r="AD219" s="373"/>
      <c r="AE219" s="373"/>
      <c r="AF219" s="373"/>
      <c r="AG219" s="373"/>
      <c r="AH219" s="373"/>
      <c r="AI219" s="373"/>
      <c r="AJ219" s="373"/>
      <c r="AK219" s="373"/>
      <c r="AL219" s="373"/>
      <c r="AM219" s="373"/>
    </row>
    <row r="220" spans="1:39" ht="18" customHeight="1" x14ac:dyDescent="0.3">
      <c r="A220" s="371">
        <v>7</v>
      </c>
      <c r="B220" s="372" t="str">
        <f>PETUNJUK!B15</f>
        <v>Karangrandu</v>
      </c>
      <c r="C220" s="373"/>
      <c r="D220" s="373"/>
      <c r="E220" s="373"/>
      <c r="F220" s="373"/>
      <c r="G220" s="373"/>
      <c r="H220" s="373"/>
      <c r="I220" s="373"/>
      <c r="J220" s="373"/>
      <c r="K220" s="373"/>
      <c r="L220" s="373"/>
      <c r="M220" s="373"/>
      <c r="N220" s="373"/>
      <c r="O220" s="373"/>
      <c r="P220" s="373"/>
      <c r="Q220" s="373"/>
      <c r="R220" s="373"/>
      <c r="S220" s="373"/>
      <c r="T220" s="373"/>
      <c r="U220" s="373"/>
      <c r="V220" s="373"/>
      <c r="W220" s="373"/>
      <c r="X220" s="373"/>
      <c r="Y220" s="373"/>
      <c r="Z220" s="373"/>
      <c r="AA220" s="373"/>
      <c r="AB220" s="373"/>
      <c r="AC220" s="373"/>
      <c r="AD220" s="373"/>
      <c r="AE220" s="373"/>
      <c r="AF220" s="373"/>
      <c r="AG220" s="373"/>
      <c r="AH220" s="373"/>
      <c r="AI220" s="373"/>
      <c r="AJ220" s="373"/>
      <c r="AK220" s="373"/>
      <c r="AL220" s="373"/>
      <c r="AM220" s="373"/>
    </row>
    <row r="221" spans="1:39" ht="18" customHeight="1" x14ac:dyDescent="0.3">
      <c r="A221" s="371">
        <v>8</v>
      </c>
      <c r="B221" s="372" t="str">
        <f>PETUNJUK!B16</f>
        <v>Kaliombo</v>
      </c>
      <c r="C221" s="373"/>
      <c r="D221" s="373"/>
      <c r="E221" s="373"/>
      <c r="F221" s="373"/>
      <c r="G221" s="373"/>
      <c r="H221" s="373"/>
      <c r="I221" s="373"/>
      <c r="J221" s="373"/>
      <c r="K221" s="373"/>
      <c r="L221" s="373"/>
      <c r="M221" s="373"/>
      <c r="N221" s="373"/>
      <c r="O221" s="373"/>
      <c r="P221" s="373"/>
      <c r="Q221" s="373"/>
      <c r="R221" s="373"/>
      <c r="S221" s="373"/>
      <c r="T221" s="373"/>
      <c r="U221" s="373"/>
      <c r="V221" s="373"/>
      <c r="W221" s="373"/>
      <c r="X221" s="373"/>
      <c r="Y221" s="373"/>
      <c r="Z221" s="373"/>
      <c r="AA221" s="373"/>
      <c r="AB221" s="373"/>
      <c r="AC221" s="373"/>
      <c r="AD221" s="373"/>
      <c r="AE221" s="373"/>
      <c r="AF221" s="373"/>
      <c r="AG221" s="373"/>
      <c r="AH221" s="373"/>
      <c r="AI221" s="373"/>
      <c r="AJ221" s="373"/>
      <c r="AK221" s="373"/>
      <c r="AL221" s="373"/>
      <c r="AM221" s="373"/>
    </row>
    <row r="222" spans="1:39" ht="18" customHeight="1" x14ac:dyDescent="0.3">
      <c r="A222" s="371">
        <v>9</v>
      </c>
      <c r="B222" s="372" t="str">
        <f>PETUNJUK!B17</f>
        <v>Gemulung</v>
      </c>
      <c r="C222" s="373"/>
      <c r="D222" s="373"/>
      <c r="E222" s="373"/>
      <c r="F222" s="373"/>
      <c r="G222" s="373"/>
      <c r="H222" s="373"/>
      <c r="I222" s="373"/>
      <c r="J222" s="373"/>
      <c r="K222" s="373"/>
      <c r="L222" s="373"/>
      <c r="M222" s="373"/>
      <c r="N222" s="373"/>
      <c r="O222" s="373"/>
      <c r="P222" s="373"/>
      <c r="Q222" s="373"/>
      <c r="R222" s="373"/>
      <c r="S222" s="373"/>
      <c r="T222" s="373"/>
      <c r="U222" s="373"/>
      <c r="V222" s="373"/>
      <c r="W222" s="373"/>
      <c r="X222" s="373"/>
      <c r="Y222" s="373"/>
      <c r="Z222" s="373"/>
      <c r="AA222" s="373"/>
      <c r="AB222" s="373"/>
      <c r="AC222" s="373"/>
      <c r="AD222" s="373"/>
      <c r="AE222" s="373"/>
      <c r="AF222" s="373"/>
      <c r="AG222" s="373"/>
      <c r="AH222" s="373"/>
      <c r="AI222" s="373"/>
      <c r="AJ222" s="373"/>
      <c r="AK222" s="373"/>
      <c r="AL222" s="373"/>
      <c r="AM222" s="373"/>
    </row>
    <row r="223" spans="1:39" ht="18" customHeight="1" x14ac:dyDescent="0.3">
      <c r="A223" s="371">
        <v>10</v>
      </c>
      <c r="B223" s="372" t="str">
        <f>PETUNJUK!B18</f>
        <v>Pecangaan Wetan</v>
      </c>
      <c r="C223" s="373"/>
      <c r="D223" s="373"/>
      <c r="E223" s="373"/>
      <c r="F223" s="373"/>
      <c r="G223" s="373"/>
      <c r="H223" s="373"/>
      <c r="I223" s="373"/>
      <c r="J223" s="373"/>
      <c r="K223" s="373"/>
      <c r="L223" s="373"/>
      <c r="M223" s="373"/>
      <c r="N223" s="373"/>
      <c r="O223" s="373"/>
      <c r="P223" s="373"/>
      <c r="Q223" s="373"/>
      <c r="R223" s="373"/>
      <c r="S223" s="373"/>
      <c r="T223" s="373"/>
      <c r="U223" s="373"/>
      <c r="V223" s="373"/>
      <c r="W223" s="373"/>
      <c r="X223" s="373"/>
      <c r="Y223" s="373"/>
      <c r="Z223" s="373"/>
      <c r="AA223" s="373"/>
      <c r="AB223" s="373"/>
      <c r="AC223" s="373"/>
      <c r="AD223" s="373"/>
      <c r="AE223" s="373"/>
      <c r="AF223" s="373"/>
      <c r="AG223" s="373"/>
      <c r="AH223" s="373"/>
      <c r="AI223" s="373"/>
      <c r="AJ223" s="373"/>
      <c r="AK223" s="373"/>
      <c r="AL223" s="373"/>
      <c r="AM223" s="373"/>
    </row>
    <row r="224" spans="1:39" ht="18" customHeight="1" x14ac:dyDescent="0.3">
      <c r="A224" s="371">
        <v>11</v>
      </c>
      <c r="B224" s="372" t="str">
        <f>PETUNJUK!B19</f>
        <v>Krasak</v>
      </c>
      <c r="C224" s="373"/>
      <c r="D224" s="373"/>
      <c r="E224" s="373"/>
      <c r="F224" s="373"/>
      <c r="G224" s="373"/>
      <c r="H224" s="373"/>
      <c r="I224" s="373"/>
      <c r="J224" s="373"/>
      <c r="K224" s="373"/>
      <c r="L224" s="373"/>
      <c r="M224" s="373"/>
      <c r="N224" s="373"/>
      <c r="O224" s="373"/>
      <c r="P224" s="373"/>
      <c r="Q224" s="373"/>
      <c r="R224" s="373"/>
      <c r="S224" s="373"/>
      <c r="T224" s="373"/>
      <c r="U224" s="373"/>
      <c r="V224" s="373"/>
      <c r="W224" s="373"/>
      <c r="X224" s="373"/>
      <c r="Y224" s="373"/>
      <c r="Z224" s="373"/>
      <c r="AA224" s="373"/>
      <c r="AB224" s="373"/>
      <c r="AC224" s="373"/>
      <c r="AD224" s="373"/>
      <c r="AE224" s="373"/>
      <c r="AF224" s="373"/>
      <c r="AG224" s="373"/>
      <c r="AH224" s="373"/>
      <c r="AI224" s="373"/>
      <c r="AJ224" s="373"/>
      <c r="AK224" s="373"/>
      <c r="AL224" s="373"/>
      <c r="AM224" s="373"/>
    </row>
    <row r="225" spans="1:39" ht="18" customHeight="1" x14ac:dyDescent="0.3">
      <c r="A225" s="371">
        <v>12</v>
      </c>
      <c r="B225" s="372" t="str">
        <f>PETUNJUK!B20</f>
        <v>Gerdu</v>
      </c>
      <c r="C225" s="373"/>
      <c r="D225" s="373"/>
      <c r="E225" s="373"/>
      <c r="F225" s="373"/>
      <c r="G225" s="373"/>
      <c r="H225" s="373"/>
      <c r="I225" s="373"/>
      <c r="J225" s="373"/>
      <c r="K225" s="373"/>
      <c r="L225" s="373"/>
      <c r="M225" s="373"/>
      <c r="N225" s="373"/>
      <c r="O225" s="373"/>
      <c r="P225" s="373"/>
      <c r="Q225" s="373"/>
      <c r="R225" s="373"/>
      <c r="S225" s="373"/>
      <c r="T225" s="373"/>
      <c r="U225" s="373"/>
      <c r="V225" s="373"/>
      <c r="W225" s="373"/>
      <c r="X225" s="373"/>
      <c r="Y225" s="373"/>
      <c r="Z225" s="373"/>
      <c r="AA225" s="373"/>
      <c r="AB225" s="373"/>
      <c r="AC225" s="373"/>
      <c r="AD225" s="373"/>
      <c r="AE225" s="373"/>
      <c r="AF225" s="373"/>
      <c r="AG225" s="373"/>
      <c r="AH225" s="373"/>
      <c r="AI225" s="373"/>
      <c r="AJ225" s="373"/>
      <c r="AK225" s="373"/>
      <c r="AL225" s="373"/>
      <c r="AM225" s="373"/>
    </row>
    <row r="226" spans="1:39" ht="18" customHeight="1" x14ac:dyDescent="0.3">
      <c r="A226" s="371">
        <v>13</v>
      </c>
      <c r="B226" s="372">
        <f>PETUNJUK!B21</f>
        <v>0</v>
      </c>
      <c r="C226" s="373"/>
      <c r="D226" s="373"/>
      <c r="E226" s="373"/>
      <c r="F226" s="373"/>
      <c r="G226" s="373"/>
      <c r="H226" s="373"/>
      <c r="I226" s="373"/>
      <c r="J226" s="373"/>
      <c r="K226" s="373"/>
      <c r="L226" s="373"/>
      <c r="M226" s="373"/>
      <c r="N226" s="373"/>
      <c r="O226" s="373"/>
      <c r="P226" s="373"/>
      <c r="Q226" s="373"/>
      <c r="R226" s="373"/>
      <c r="S226" s="373"/>
      <c r="T226" s="373"/>
      <c r="U226" s="373"/>
      <c r="V226" s="373"/>
      <c r="W226" s="373"/>
      <c r="X226" s="373"/>
      <c r="Y226" s="373"/>
      <c r="Z226" s="373"/>
      <c r="AA226" s="373"/>
      <c r="AB226" s="373"/>
      <c r="AC226" s="373"/>
      <c r="AD226" s="373"/>
      <c r="AE226" s="373"/>
      <c r="AF226" s="373"/>
      <c r="AG226" s="373"/>
      <c r="AH226" s="373"/>
      <c r="AI226" s="373"/>
      <c r="AJ226" s="373"/>
      <c r="AK226" s="373"/>
      <c r="AL226" s="373"/>
      <c r="AM226" s="373"/>
    </row>
    <row r="227" spans="1:39" ht="18" customHeight="1" x14ac:dyDescent="0.3">
      <c r="A227" s="371">
        <v>14</v>
      </c>
      <c r="B227" s="372">
        <f>PETUNJUK!B22</f>
        <v>0</v>
      </c>
      <c r="C227" s="373"/>
      <c r="D227" s="373"/>
      <c r="E227" s="373"/>
      <c r="F227" s="373"/>
      <c r="G227" s="373"/>
      <c r="H227" s="373"/>
      <c r="I227" s="373"/>
      <c r="J227" s="373"/>
      <c r="K227" s="373"/>
      <c r="L227" s="373"/>
      <c r="M227" s="373"/>
      <c r="N227" s="373"/>
      <c r="O227" s="373"/>
      <c r="P227" s="373"/>
      <c r="Q227" s="373"/>
      <c r="R227" s="373"/>
      <c r="S227" s="373"/>
      <c r="T227" s="373"/>
      <c r="U227" s="373"/>
      <c r="V227" s="373"/>
      <c r="W227" s="373"/>
      <c r="X227" s="373"/>
      <c r="Y227" s="373"/>
      <c r="Z227" s="373"/>
      <c r="AA227" s="373"/>
      <c r="AB227" s="373"/>
      <c r="AC227" s="373"/>
      <c r="AD227" s="373"/>
      <c r="AE227" s="373"/>
      <c r="AF227" s="373"/>
      <c r="AG227" s="373"/>
      <c r="AH227" s="373"/>
      <c r="AI227" s="373"/>
      <c r="AJ227" s="373"/>
      <c r="AK227" s="373"/>
      <c r="AL227" s="373"/>
      <c r="AM227" s="373"/>
    </row>
    <row r="228" spans="1:39" ht="18" customHeight="1" x14ac:dyDescent="0.3">
      <c r="A228" s="371">
        <v>15</v>
      </c>
      <c r="B228" s="372">
        <f>PETUNJUK!B23</f>
        <v>0</v>
      </c>
      <c r="C228" s="373"/>
      <c r="D228" s="373"/>
      <c r="E228" s="373"/>
      <c r="F228" s="373"/>
      <c r="G228" s="373"/>
      <c r="H228" s="373"/>
      <c r="I228" s="373"/>
      <c r="J228" s="373"/>
      <c r="K228" s="373"/>
      <c r="L228" s="373"/>
      <c r="M228" s="373"/>
      <c r="N228" s="373"/>
      <c r="O228" s="373"/>
      <c r="P228" s="373"/>
      <c r="Q228" s="373"/>
      <c r="R228" s="373"/>
      <c r="S228" s="373"/>
      <c r="T228" s="373"/>
      <c r="U228" s="373"/>
      <c r="V228" s="373"/>
      <c r="W228" s="373"/>
      <c r="X228" s="373"/>
      <c r="Y228" s="373"/>
      <c r="Z228" s="373"/>
      <c r="AA228" s="373"/>
      <c r="AB228" s="373"/>
      <c r="AC228" s="373"/>
      <c r="AD228" s="373"/>
      <c r="AE228" s="373"/>
      <c r="AF228" s="373"/>
      <c r="AG228" s="373"/>
      <c r="AH228" s="373"/>
      <c r="AI228" s="373"/>
      <c r="AJ228" s="373"/>
      <c r="AK228" s="373"/>
      <c r="AL228" s="373"/>
      <c r="AM228" s="373"/>
    </row>
    <row r="229" spans="1:39" ht="18" customHeight="1" x14ac:dyDescent="0.3">
      <c r="A229" s="371">
        <v>16</v>
      </c>
      <c r="B229" s="372">
        <f>PETUNJUK!B24</f>
        <v>0</v>
      </c>
      <c r="C229" s="373"/>
      <c r="D229" s="373"/>
      <c r="E229" s="373"/>
      <c r="F229" s="373"/>
      <c r="G229" s="373"/>
      <c r="H229" s="373"/>
      <c r="I229" s="373"/>
      <c r="J229" s="373"/>
      <c r="K229" s="373"/>
      <c r="L229" s="373"/>
      <c r="M229" s="373"/>
      <c r="N229" s="373"/>
      <c r="O229" s="373"/>
      <c r="P229" s="373"/>
      <c r="Q229" s="373"/>
      <c r="R229" s="373"/>
      <c r="S229" s="373"/>
      <c r="T229" s="373"/>
      <c r="U229" s="373"/>
      <c r="V229" s="373"/>
      <c r="W229" s="373"/>
      <c r="X229" s="373"/>
      <c r="Y229" s="373"/>
      <c r="Z229" s="373"/>
      <c r="AA229" s="373"/>
      <c r="AB229" s="373"/>
      <c r="AC229" s="373"/>
      <c r="AD229" s="373"/>
      <c r="AE229" s="373"/>
      <c r="AF229" s="373"/>
      <c r="AG229" s="373"/>
      <c r="AH229" s="373"/>
      <c r="AI229" s="373"/>
      <c r="AJ229" s="373"/>
      <c r="AK229" s="373"/>
      <c r="AL229" s="373"/>
      <c r="AM229" s="373"/>
    </row>
    <row r="230" spans="1:39" ht="18" customHeight="1" x14ac:dyDescent="0.3">
      <c r="A230" s="371">
        <v>17</v>
      </c>
      <c r="B230" s="372">
        <f>PETUNJUK!B25</f>
        <v>0</v>
      </c>
      <c r="C230" s="373"/>
      <c r="D230" s="373"/>
      <c r="E230" s="373"/>
      <c r="F230" s="373"/>
      <c r="G230" s="373"/>
      <c r="H230" s="373"/>
      <c r="I230" s="373"/>
      <c r="J230" s="373"/>
      <c r="K230" s="373"/>
      <c r="L230" s="373"/>
      <c r="M230" s="373"/>
      <c r="N230" s="373"/>
      <c r="O230" s="373"/>
      <c r="P230" s="373"/>
      <c r="Q230" s="373"/>
      <c r="R230" s="373"/>
      <c r="S230" s="373"/>
      <c r="T230" s="373"/>
      <c r="U230" s="373"/>
      <c r="V230" s="373"/>
      <c r="W230" s="373"/>
      <c r="X230" s="373"/>
      <c r="Y230" s="373"/>
      <c r="Z230" s="373"/>
      <c r="AA230" s="373"/>
      <c r="AB230" s="373"/>
      <c r="AC230" s="373"/>
      <c r="AD230" s="373"/>
      <c r="AE230" s="373"/>
      <c r="AF230" s="373"/>
      <c r="AG230" s="373"/>
      <c r="AH230" s="373"/>
      <c r="AI230" s="373"/>
      <c r="AJ230" s="373"/>
      <c r="AK230" s="373"/>
      <c r="AL230" s="373"/>
      <c r="AM230" s="373"/>
    </row>
    <row r="231" spans="1:39" ht="18" customHeight="1" x14ac:dyDescent="0.3">
      <c r="A231" s="371">
        <v>18</v>
      </c>
      <c r="B231" s="372">
        <f>PETUNJUK!B26</f>
        <v>0</v>
      </c>
      <c r="C231" s="373"/>
      <c r="D231" s="373"/>
      <c r="E231" s="373"/>
      <c r="F231" s="373"/>
      <c r="G231" s="373"/>
      <c r="H231" s="373"/>
      <c r="I231" s="373"/>
      <c r="J231" s="373"/>
      <c r="K231" s="373"/>
      <c r="L231" s="373"/>
      <c r="M231" s="373"/>
      <c r="N231" s="373"/>
      <c r="O231" s="373"/>
      <c r="P231" s="373"/>
      <c r="Q231" s="373"/>
      <c r="R231" s="373"/>
      <c r="S231" s="373"/>
      <c r="T231" s="373"/>
      <c r="U231" s="373"/>
      <c r="V231" s="373"/>
      <c r="W231" s="373"/>
      <c r="X231" s="373"/>
      <c r="Y231" s="373"/>
      <c r="Z231" s="373"/>
      <c r="AA231" s="373"/>
      <c r="AB231" s="373"/>
      <c r="AC231" s="373"/>
      <c r="AD231" s="373"/>
      <c r="AE231" s="373"/>
      <c r="AF231" s="373"/>
      <c r="AG231" s="373"/>
      <c r="AH231" s="373"/>
      <c r="AI231" s="373"/>
      <c r="AJ231" s="373"/>
      <c r="AK231" s="373"/>
      <c r="AL231" s="373"/>
      <c r="AM231" s="373"/>
    </row>
    <row r="232" spans="1:39" ht="18" customHeight="1" x14ac:dyDescent="0.3">
      <c r="A232" s="371">
        <v>19</v>
      </c>
      <c r="B232" s="372">
        <f>PETUNJUK!B27</f>
        <v>0</v>
      </c>
      <c r="C232" s="373"/>
      <c r="D232" s="373"/>
      <c r="E232" s="373"/>
      <c r="F232" s="373"/>
      <c r="G232" s="373"/>
      <c r="H232" s="373"/>
      <c r="I232" s="373"/>
      <c r="J232" s="373"/>
      <c r="K232" s="373"/>
      <c r="L232" s="373"/>
      <c r="M232" s="373"/>
      <c r="N232" s="373"/>
      <c r="O232" s="373"/>
      <c r="P232" s="373"/>
      <c r="Q232" s="373"/>
      <c r="R232" s="373"/>
      <c r="S232" s="373"/>
      <c r="T232" s="373"/>
      <c r="U232" s="373"/>
      <c r="V232" s="373"/>
      <c r="W232" s="373"/>
      <c r="X232" s="373"/>
      <c r="Y232" s="373"/>
      <c r="Z232" s="373"/>
      <c r="AA232" s="373"/>
      <c r="AB232" s="373"/>
      <c r="AC232" s="373"/>
      <c r="AD232" s="373"/>
      <c r="AE232" s="373"/>
      <c r="AF232" s="373"/>
      <c r="AG232" s="373"/>
      <c r="AH232" s="373"/>
      <c r="AI232" s="373"/>
      <c r="AJ232" s="373"/>
      <c r="AK232" s="373"/>
      <c r="AL232" s="373"/>
      <c r="AM232" s="373"/>
    </row>
    <row r="233" spans="1:39" ht="18" customHeight="1" x14ac:dyDescent="0.3">
      <c r="A233" s="371">
        <v>20</v>
      </c>
      <c r="B233" s="372">
        <f>PETUNJUK!B28</f>
        <v>0</v>
      </c>
      <c r="C233" s="373"/>
      <c r="D233" s="373"/>
      <c r="E233" s="373"/>
      <c r="F233" s="373"/>
      <c r="G233" s="373"/>
      <c r="H233" s="373"/>
      <c r="I233" s="373"/>
      <c r="J233" s="373"/>
      <c r="K233" s="373"/>
      <c r="L233" s="373"/>
      <c r="M233" s="373"/>
      <c r="N233" s="373"/>
      <c r="O233" s="373"/>
      <c r="P233" s="373"/>
      <c r="Q233" s="373"/>
      <c r="R233" s="373"/>
      <c r="S233" s="373"/>
      <c r="T233" s="373"/>
      <c r="U233" s="373"/>
      <c r="V233" s="373"/>
      <c r="W233" s="373"/>
      <c r="X233" s="373"/>
      <c r="Y233" s="373"/>
      <c r="Z233" s="373"/>
      <c r="AA233" s="373"/>
      <c r="AB233" s="373"/>
      <c r="AC233" s="373"/>
      <c r="AD233" s="373"/>
      <c r="AE233" s="373"/>
      <c r="AF233" s="373"/>
      <c r="AG233" s="373"/>
      <c r="AH233" s="373"/>
      <c r="AI233" s="373"/>
      <c r="AJ233" s="373"/>
      <c r="AK233" s="373"/>
      <c r="AL233" s="373"/>
      <c r="AM233" s="373"/>
    </row>
    <row r="234" spans="1:39" ht="18" customHeight="1" x14ac:dyDescent="0.3">
      <c r="A234" s="371">
        <v>21</v>
      </c>
      <c r="B234" s="372">
        <f>PETUNJUK!B29</f>
        <v>0</v>
      </c>
      <c r="C234" s="373"/>
      <c r="D234" s="373"/>
      <c r="E234" s="373"/>
      <c r="F234" s="373"/>
      <c r="G234" s="373"/>
      <c r="H234" s="373"/>
      <c r="I234" s="373"/>
      <c r="J234" s="373"/>
      <c r="K234" s="373"/>
      <c r="L234" s="373"/>
      <c r="M234" s="373"/>
      <c r="N234" s="373"/>
      <c r="O234" s="373"/>
      <c r="P234" s="373"/>
      <c r="Q234" s="373"/>
      <c r="R234" s="373"/>
      <c r="S234" s="373"/>
      <c r="T234" s="373"/>
      <c r="U234" s="373"/>
      <c r="V234" s="373"/>
      <c r="W234" s="373"/>
      <c r="X234" s="373"/>
      <c r="Y234" s="373"/>
      <c r="Z234" s="373"/>
      <c r="AA234" s="373"/>
      <c r="AB234" s="373"/>
      <c r="AC234" s="373"/>
      <c r="AD234" s="373"/>
      <c r="AE234" s="373"/>
      <c r="AF234" s="373"/>
      <c r="AG234" s="373"/>
      <c r="AH234" s="373"/>
      <c r="AI234" s="373"/>
      <c r="AJ234" s="373"/>
      <c r="AK234" s="373"/>
      <c r="AL234" s="373"/>
      <c r="AM234" s="373"/>
    </row>
    <row r="235" spans="1:39" ht="18" customHeight="1" thickBot="1" x14ac:dyDescent="0.35">
      <c r="A235" s="381">
        <v>22</v>
      </c>
      <c r="B235" s="372">
        <f>PETUNJUK!B30</f>
        <v>0</v>
      </c>
      <c r="C235" s="382"/>
      <c r="D235" s="382"/>
      <c r="E235" s="382"/>
      <c r="F235" s="382"/>
      <c r="G235" s="382"/>
      <c r="H235" s="382"/>
      <c r="I235" s="382"/>
      <c r="J235" s="382"/>
      <c r="K235" s="382"/>
      <c r="L235" s="382"/>
      <c r="M235" s="382"/>
      <c r="N235" s="382"/>
      <c r="O235" s="382"/>
      <c r="P235" s="382"/>
      <c r="Q235" s="382"/>
      <c r="R235" s="382"/>
      <c r="S235" s="382"/>
      <c r="T235" s="382"/>
      <c r="U235" s="382"/>
      <c r="V235" s="382"/>
      <c r="W235" s="382"/>
      <c r="X235" s="382"/>
      <c r="Y235" s="382"/>
      <c r="Z235" s="382"/>
      <c r="AA235" s="382"/>
      <c r="AB235" s="382"/>
      <c r="AC235" s="382"/>
      <c r="AD235" s="382"/>
      <c r="AE235" s="382"/>
      <c r="AF235" s="382"/>
      <c r="AG235" s="382"/>
      <c r="AH235" s="382"/>
      <c r="AI235" s="382"/>
      <c r="AJ235" s="373"/>
      <c r="AK235" s="382"/>
      <c r="AL235" s="382"/>
      <c r="AM235" s="382"/>
    </row>
    <row r="236" spans="1:39" ht="18" customHeight="1" thickBot="1" x14ac:dyDescent="0.35">
      <c r="A236" s="803" t="s">
        <v>62</v>
      </c>
      <c r="B236" s="805"/>
      <c r="C236" s="376">
        <f t="shared" ref="C236:AM236" si="10">SUM(C214:C235)</f>
        <v>0</v>
      </c>
      <c r="D236" s="376">
        <f t="shared" si="10"/>
        <v>0</v>
      </c>
      <c r="E236" s="376">
        <f t="shared" si="10"/>
        <v>0</v>
      </c>
      <c r="F236" s="376">
        <f t="shared" si="10"/>
        <v>0</v>
      </c>
      <c r="G236" s="376">
        <f t="shared" si="10"/>
        <v>0</v>
      </c>
      <c r="H236" s="376">
        <f t="shared" si="10"/>
        <v>0</v>
      </c>
      <c r="I236" s="376">
        <f t="shared" si="10"/>
        <v>0</v>
      </c>
      <c r="J236" s="376">
        <f t="shared" si="10"/>
        <v>0</v>
      </c>
      <c r="K236" s="376">
        <f t="shared" si="10"/>
        <v>0</v>
      </c>
      <c r="L236" s="376">
        <f t="shared" si="10"/>
        <v>0</v>
      </c>
      <c r="M236" s="376">
        <f t="shared" si="10"/>
        <v>0</v>
      </c>
      <c r="N236" s="376">
        <f t="shared" si="10"/>
        <v>0</v>
      </c>
      <c r="O236" s="376">
        <f t="shared" si="10"/>
        <v>0</v>
      </c>
      <c r="P236" s="376">
        <f t="shared" si="10"/>
        <v>0</v>
      </c>
      <c r="Q236" s="376">
        <f t="shared" si="10"/>
        <v>0</v>
      </c>
      <c r="R236" s="376">
        <f t="shared" si="10"/>
        <v>0</v>
      </c>
      <c r="S236" s="376">
        <f t="shared" si="10"/>
        <v>0</v>
      </c>
      <c r="T236" s="376">
        <f t="shared" si="10"/>
        <v>0</v>
      </c>
      <c r="U236" s="376">
        <f t="shared" si="10"/>
        <v>0</v>
      </c>
      <c r="V236" s="376">
        <f t="shared" si="10"/>
        <v>0</v>
      </c>
      <c r="W236" s="376">
        <f t="shared" si="10"/>
        <v>0</v>
      </c>
      <c r="X236" s="376">
        <f t="shared" si="10"/>
        <v>0</v>
      </c>
      <c r="Y236" s="376">
        <f t="shared" si="10"/>
        <v>0</v>
      </c>
      <c r="Z236" s="376">
        <f t="shared" si="10"/>
        <v>0</v>
      </c>
      <c r="AA236" s="376">
        <f t="shared" si="10"/>
        <v>0</v>
      </c>
      <c r="AB236" s="376">
        <f t="shared" si="10"/>
        <v>0</v>
      </c>
      <c r="AC236" s="376">
        <f t="shared" si="10"/>
        <v>0</v>
      </c>
      <c r="AD236" s="376">
        <f t="shared" si="10"/>
        <v>0</v>
      </c>
      <c r="AE236" s="376">
        <f t="shared" si="10"/>
        <v>0</v>
      </c>
      <c r="AF236" s="376">
        <f t="shared" si="10"/>
        <v>0</v>
      </c>
      <c r="AG236" s="376">
        <f t="shared" si="10"/>
        <v>0</v>
      </c>
      <c r="AH236" s="376">
        <f t="shared" si="10"/>
        <v>0</v>
      </c>
      <c r="AI236" s="376">
        <f t="shared" si="10"/>
        <v>0</v>
      </c>
      <c r="AJ236" s="376">
        <f t="shared" si="10"/>
        <v>0</v>
      </c>
      <c r="AK236" s="376">
        <f t="shared" si="10"/>
        <v>0</v>
      </c>
      <c r="AL236" s="376">
        <f t="shared" si="10"/>
        <v>0</v>
      </c>
      <c r="AM236" s="377">
        <f t="shared" si="10"/>
        <v>0</v>
      </c>
    </row>
    <row r="237" spans="1:39" x14ac:dyDescent="0.35">
      <c r="A237" s="235"/>
      <c r="B237" s="235" t="s">
        <v>63</v>
      </c>
      <c r="C237" s="378"/>
      <c r="D237" s="378"/>
      <c r="E237" s="378"/>
      <c r="F237" s="378"/>
      <c r="G237" s="378"/>
      <c r="H237" s="378"/>
      <c r="I237" s="378"/>
      <c r="J237" s="378"/>
      <c r="K237" s="378"/>
      <c r="L237" s="378"/>
      <c r="M237" s="378"/>
      <c r="N237" s="801" t="s">
        <v>181</v>
      </c>
      <c r="O237" s="801"/>
      <c r="P237" s="801"/>
      <c r="Q237" s="801"/>
      <c r="R237" s="801"/>
      <c r="S237" s="801"/>
      <c r="T237" s="801"/>
      <c r="U237" s="801"/>
      <c r="V237" s="801"/>
      <c r="W237" s="801"/>
      <c r="X237" s="801"/>
      <c r="Y237" s="801"/>
      <c r="Z237" s="801"/>
      <c r="AA237" s="801"/>
      <c r="AB237" s="801"/>
      <c r="AC237" s="801"/>
      <c r="AD237" s="801"/>
      <c r="AE237" s="801"/>
      <c r="AF237" s="801"/>
      <c r="AG237" s="801"/>
      <c r="AH237" s="801"/>
      <c r="AI237" s="801"/>
      <c r="AJ237" s="378"/>
    </row>
    <row r="242" spans="1:39" x14ac:dyDescent="0.35">
      <c r="A242" s="802" t="s">
        <v>177</v>
      </c>
      <c r="B242" s="802"/>
      <c r="C242" s="802"/>
      <c r="D242" s="802"/>
      <c r="E242" s="802"/>
      <c r="F242" s="802"/>
      <c r="G242" s="802"/>
      <c r="H242" s="802"/>
      <c r="I242" s="802"/>
      <c r="J242" s="802"/>
      <c r="K242" s="802"/>
      <c r="L242" s="802"/>
      <c r="M242" s="802"/>
      <c r="N242" s="802"/>
      <c r="O242" s="802"/>
      <c r="P242" s="802"/>
      <c r="Q242" s="802"/>
      <c r="R242" s="802"/>
      <c r="S242" s="802"/>
      <c r="T242" s="802"/>
      <c r="U242" s="802"/>
      <c r="V242" s="802"/>
      <c r="W242" s="802"/>
      <c r="X242" s="802"/>
      <c r="Y242" s="802"/>
      <c r="Z242" s="802"/>
      <c r="AA242" s="802"/>
      <c r="AB242" s="802"/>
      <c r="AC242" s="802"/>
      <c r="AD242" s="802"/>
      <c r="AE242" s="802"/>
      <c r="AF242" s="802"/>
      <c r="AG242" s="802"/>
      <c r="AH242" s="802"/>
      <c r="AI242" s="802"/>
      <c r="AJ242" s="802"/>
    </row>
    <row r="243" spans="1:39" x14ac:dyDescent="0.35">
      <c r="A243" s="363"/>
      <c r="B243" s="363"/>
      <c r="C243" s="632"/>
      <c r="D243" s="632"/>
      <c r="E243" s="632"/>
      <c r="F243" s="632"/>
      <c r="G243" s="632"/>
      <c r="H243" s="632"/>
      <c r="I243" s="632"/>
      <c r="J243" s="632"/>
      <c r="K243" s="632"/>
      <c r="L243" s="632"/>
      <c r="M243" s="632"/>
      <c r="N243" s="632"/>
      <c r="O243" s="632"/>
      <c r="P243" s="632"/>
      <c r="Q243" s="632"/>
      <c r="R243" s="632"/>
      <c r="S243" s="632"/>
      <c r="T243" s="632"/>
      <c r="U243" s="632"/>
      <c r="V243" s="632"/>
      <c r="W243" s="632"/>
      <c r="X243" s="632"/>
      <c r="Y243" s="632"/>
      <c r="Z243" s="632"/>
      <c r="AA243" s="632"/>
      <c r="AB243" s="632"/>
      <c r="AC243" s="632"/>
      <c r="AD243" s="632"/>
      <c r="AE243" s="632"/>
      <c r="AF243" s="632"/>
      <c r="AG243" s="632"/>
      <c r="AH243" s="632"/>
      <c r="AI243" s="632"/>
      <c r="AJ243" s="632"/>
    </row>
    <row r="244" spans="1:39" x14ac:dyDescent="0.35">
      <c r="A244" s="364" t="s">
        <v>40</v>
      </c>
      <c r="B244" s="365"/>
      <c r="C244" s="638"/>
      <c r="D244" s="638"/>
      <c r="E244" s="638"/>
      <c r="F244" s="638"/>
      <c r="G244" s="638"/>
      <c r="H244" s="638"/>
      <c r="I244" s="638"/>
      <c r="J244" s="638"/>
      <c r="K244" s="638"/>
      <c r="L244" s="638"/>
      <c r="M244" s="638"/>
      <c r="N244" s="633" t="s">
        <v>176</v>
      </c>
      <c r="O244" s="638" t="str">
        <f>PETUNJUK!C5</f>
        <v>PECANGAAN</v>
      </c>
      <c r="P244" s="638"/>
      <c r="Q244" s="638"/>
      <c r="R244" s="638"/>
      <c r="S244" s="638"/>
      <c r="T244" s="638"/>
      <c r="U244" s="638"/>
      <c r="V244" s="638"/>
      <c r="W244" s="638"/>
      <c r="X244" s="638"/>
      <c r="Y244" s="638"/>
      <c r="Z244" s="638"/>
      <c r="AA244" s="638"/>
      <c r="AB244" s="638"/>
      <c r="AC244" s="638"/>
      <c r="AD244" s="638"/>
      <c r="AE244" s="638"/>
      <c r="AF244" s="638"/>
      <c r="AG244" s="638"/>
      <c r="AH244" s="638"/>
      <c r="AI244" s="638"/>
      <c r="AJ244" s="638"/>
    </row>
    <row r="245" spans="1:39" x14ac:dyDescent="0.35">
      <c r="A245" s="366" t="s">
        <v>0</v>
      </c>
      <c r="B245" s="367"/>
      <c r="C245" s="640"/>
      <c r="D245" s="633"/>
      <c r="E245" s="633"/>
      <c r="F245" s="640"/>
      <c r="G245" s="640"/>
      <c r="H245" s="640"/>
      <c r="I245" s="640"/>
      <c r="J245" s="640"/>
      <c r="K245" s="640"/>
      <c r="L245" s="640"/>
      <c r="M245" s="633"/>
      <c r="N245" s="639" t="s">
        <v>176</v>
      </c>
      <c r="O245" s="642" t="str">
        <f>'1.DATA KIA'!C242</f>
        <v xml:space="preserve">AGUSTUS </v>
      </c>
      <c r="P245" s="633"/>
      <c r="Q245" s="633"/>
      <c r="R245" s="633"/>
      <c r="S245" s="633"/>
      <c r="T245" s="633"/>
      <c r="U245" s="633"/>
      <c r="V245" s="633"/>
      <c r="W245" s="633"/>
      <c r="X245" s="633"/>
      <c r="Y245" s="633"/>
      <c r="Z245" s="640"/>
      <c r="AA245" s="640"/>
      <c r="AB245" s="640"/>
      <c r="AC245" s="640"/>
      <c r="AD245" s="640"/>
      <c r="AE245" s="640"/>
      <c r="AF245" s="640"/>
      <c r="AG245" s="640"/>
      <c r="AH245" s="640"/>
      <c r="AI245" s="640"/>
      <c r="AJ245" s="640"/>
    </row>
    <row r="246" spans="1:39" ht="13" customHeight="1" x14ac:dyDescent="0.3">
      <c r="A246" s="799" t="s">
        <v>1</v>
      </c>
      <c r="B246" s="799" t="s">
        <v>2</v>
      </c>
      <c r="C246" s="794" t="s">
        <v>301</v>
      </c>
      <c r="D246" s="795"/>
      <c r="E246" s="795"/>
      <c r="F246" s="795"/>
      <c r="G246" s="795"/>
      <c r="H246" s="795"/>
      <c r="I246" s="795"/>
      <c r="J246" s="795"/>
      <c r="K246" s="795"/>
      <c r="L246" s="795"/>
      <c r="M246" s="795"/>
      <c r="N246" s="795"/>
      <c r="O246" s="795"/>
      <c r="P246" s="795"/>
      <c r="Q246" s="795"/>
      <c r="R246" s="795"/>
      <c r="S246" s="795"/>
      <c r="T246" s="795"/>
      <c r="U246" s="795"/>
      <c r="V246" s="795"/>
      <c r="W246" s="795"/>
      <c r="X246" s="795"/>
      <c r="Y246" s="795"/>
      <c r="Z246" s="795"/>
      <c r="AA246" s="795"/>
      <c r="AB246" s="795"/>
      <c r="AC246" s="795"/>
      <c r="AD246" s="795"/>
      <c r="AE246" s="795"/>
      <c r="AF246" s="795"/>
      <c r="AG246" s="795"/>
      <c r="AH246" s="795"/>
      <c r="AI246" s="795"/>
      <c r="AJ246" s="796"/>
      <c r="AK246" s="792" t="s">
        <v>307</v>
      </c>
      <c r="AL246" s="792" t="s">
        <v>308</v>
      </c>
      <c r="AM246" s="792" t="s">
        <v>309</v>
      </c>
    </row>
    <row r="247" spans="1:39" ht="93" customHeight="1" x14ac:dyDescent="0.3">
      <c r="A247" s="800"/>
      <c r="B247" s="800"/>
      <c r="C247" s="383" t="s">
        <v>55</v>
      </c>
      <c r="D247" s="369" t="s">
        <v>190</v>
      </c>
      <c r="E247" s="369" t="s">
        <v>43</v>
      </c>
      <c r="F247" s="369" t="s">
        <v>53</v>
      </c>
      <c r="G247" s="369" t="s">
        <v>302</v>
      </c>
      <c r="H247" s="369" t="s">
        <v>303</v>
      </c>
      <c r="I247" s="369" t="s">
        <v>294</v>
      </c>
      <c r="J247" s="369" t="s">
        <v>304</v>
      </c>
      <c r="K247" s="369" t="s">
        <v>305</v>
      </c>
      <c r="L247" s="369" t="s">
        <v>306</v>
      </c>
      <c r="M247" s="369" t="s">
        <v>44</v>
      </c>
      <c r="N247" s="370" t="s">
        <v>178</v>
      </c>
      <c r="O247" s="369" t="s">
        <v>41</v>
      </c>
      <c r="P247" s="369" t="s">
        <v>180</v>
      </c>
      <c r="Q247" s="369" t="s">
        <v>42</v>
      </c>
      <c r="R247" s="369" t="s">
        <v>45</v>
      </c>
      <c r="S247" s="369" t="s">
        <v>46</v>
      </c>
      <c r="T247" s="369" t="s">
        <v>47</v>
      </c>
      <c r="U247" s="369" t="s">
        <v>48</v>
      </c>
      <c r="V247" s="369" t="s">
        <v>49</v>
      </c>
      <c r="W247" s="369" t="s">
        <v>50</v>
      </c>
      <c r="X247" s="369" t="s">
        <v>51</v>
      </c>
      <c r="Y247" s="369" t="s">
        <v>52</v>
      </c>
      <c r="Z247" s="369" t="s">
        <v>54</v>
      </c>
      <c r="AA247" s="369" t="s">
        <v>56</v>
      </c>
      <c r="AB247" s="369" t="s">
        <v>57</v>
      </c>
      <c r="AC247" s="369" t="s">
        <v>58</v>
      </c>
      <c r="AD247" s="369" t="s">
        <v>59</v>
      </c>
      <c r="AE247" s="369" t="s">
        <v>60</v>
      </c>
      <c r="AF247" s="370" t="s">
        <v>179</v>
      </c>
      <c r="AG247" s="370" t="s">
        <v>310</v>
      </c>
      <c r="AH247" s="369" t="s">
        <v>33</v>
      </c>
      <c r="AI247" s="369" t="s">
        <v>61</v>
      </c>
      <c r="AJ247" s="369" t="s">
        <v>18</v>
      </c>
      <c r="AK247" s="793"/>
      <c r="AL247" s="793"/>
      <c r="AM247" s="793"/>
    </row>
    <row r="248" spans="1:39" ht="18" customHeight="1" x14ac:dyDescent="0.3">
      <c r="A248" s="371">
        <v>1</v>
      </c>
      <c r="B248" s="372" t="str">
        <f>PETUNJUK!B9</f>
        <v>Pecangaan Kulon</v>
      </c>
      <c r="C248" s="373"/>
      <c r="D248" s="373"/>
      <c r="E248" s="373"/>
      <c r="F248" s="373"/>
      <c r="G248" s="373"/>
      <c r="H248" s="373"/>
      <c r="I248" s="373"/>
      <c r="J248" s="373"/>
      <c r="K248" s="373"/>
      <c r="L248" s="373"/>
      <c r="M248" s="373"/>
      <c r="N248" s="373"/>
      <c r="O248" s="373"/>
      <c r="P248" s="373"/>
      <c r="Q248" s="373"/>
      <c r="R248" s="373"/>
      <c r="S248" s="373"/>
      <c r="T248" s="373"/>
      <c r="U248" s="373"/>
      <c r="V248" s="373"/>
      <c r="W248" s="373"/>
      <c r="X248" s="373"/>
      <c r="Y248" s="373"/>
      <c r="Z248" s="373"/>
      <c r="AA248" s="373"/>
      <c r="AB248" s="373"/>
      <c r="AC248" s="373"/>
      <c r="AD248" s="373"/>
      <c r="AE248" s="373"/>
      <c r="AF248" s="373"/>
      <c r="AG248" s="373"/>
      <c r="AH248" s="373"/>
      <c r="AI248" s="373"/>
      <c r="AJ248" s="373"/>
      <c r="AK248" s="373"/>
      <c r="AL248" s="373"/>
      <c r="AM248" s="373"/>
    </row>
    <row r="249" spans="1:39" ht="18" customHeight="1" x14ac:dyDescent="0.3">
      <c r="A249" s="371">
        <v>2</v>
      </c>
      <c r="B249" s="372" t="str">
        <f>PETUNJUK!B10</f>
        <v>Rengging</v>
      </c>
      <c r="C249" s="373"/>
      <c r="D249" s="373"/>
      <c r="E249" s="373"/>
      <c r="F249" s="373"/>
      <c r="G249" s="373"/>
      <c r="H249" s="373"/>
      <c r="I249" s="373"/>
      <c r="J249" s="373"/>
      <c r="K249" s="373"/>
      <c r="L249" s="373"/>
      <c r="M249" s="373"/>
      <c r="N249" s="373"/>
      <c r="O249" s="373"/>
      <c r="P249" s="373"/>
      <c r="Q249" s="373"/>
      <c r="R249" s="373"/>
      <c r="S249" s="373"/>
      <c r="T249" s="373"/>
      <c r="U249" s="373"/>
      <c r="V249" s="373"/>
      <c r="W249" s="373"/>
      <c r="X249" s="373"/>
      <c r="Y249" s="373"/>
      <c r="Z249" s="373"/>
      <c r="AA249" s="373"/>
      <c r="AB249" s="373"/>
      <c r="AC249" s="373"/>
      <c r="AD249" s="373"/>
      <c r="AE249" s="373"/>
      <c r="AF249" s="373"/>
      <c r="AG249" s="373"/>
      <c r="AH249" s="373"/>
      <c r="AI249" s="373"/>
      <c r="AJ249" s="373"/>
      <c r="AK249" s="373"/>
      <c r="AL249" s="373"/>
      <c r="AM249" s="373"/>
    </row>
    <row r="250" spans="1:39" ht="18" customHeight="1" x14ac:dyDescent="0.3">
      <c r="A250" s="371">
        <v>3</v>
      </c>
      <c r="B250" s="372" t="str">
        <f>PETUNJUK!B11</f>
        <v>Troso</v>
      </c>
      <c r="C250" s="373"/>
      <c r="D250" s="373"/>
      <c r="E250" s="373"/>
      <c r="F250" s="373"/>
      <c r="G250" s="373"/>
      <c r="H250" s="373"/>
      <c r="I250" s="373"/>
      <c r="J250" s="373"/>
      <c r="K250" s="373"/>
      <c r="L250" s="373"/>
      <c r="M250" s="373"/>
      <c r="N250" s="373"/>
      <c r="O250" s="373"/>
      <c r="P250" s="373"/>
      <c r="Q250" s="373"/>
      <c r="R250" s="373"/>
      <c r="S250" s="373"/>
      <c r="T250" s="373"/>
      <c r="U250" s="373"/>
      <c r="V250" s="373"/>
      <c r="W250" s="373"/>
      <c r="X250" s="373"/>
      <c r="Y250" s="373"/>
      <c r="Z250" s="373"/>
      <c r="AA250" s="373"/>
      <c r="AB250" s="373"/>
      <c r="AC250" s="373"/>
      <c r="AD250" s="373"/>
      <c r="AE250" s="373"/>
      <c r="AF250" s="373"/>
      <c r="AG250" s="373"/>
      <c r="AH250" s="373"/>
      <c r="AI250" s="373"/>
      <c r="AJ250" s="373"/>
      <c r="AK250" s="373"/>
      <c r="AL250" s="373"/>
      <c r="AM250" s="373"/>
    </row>
    <row r="251" spans="1:39" ht="18" customHeight="1" x14ac:dyDescent="0.3">
      <c r="A251" s="371">
        <v>4</v>
      </c>
      <c r="B251" s="372" t="str">
        <f>PETUNJUK!B12</f>
        <v>Ngeling</v>
      </c>
      <c r="C251" s="373"/>
      <c r="D251" s="373"/>
      <c r="E251" s="373"/>
      <c r="F251" s="373"/>
      <c r="G251" s="373"/>
      <c r="H251" s="373"/>
      <c r="I251" s="373"/>
      <c r="J251" s="373"/>
      <c r="K251" s="373"/>
      <c r="L251" s="373"/>
      <c r="M251" s="373"/>
      <c r="N251" s="373"/>
      <c r="O251" s="373"/>
      <c r="P251" s="373"/>
      <c r="Q251" s="373"/>
      <c r="R251" s="373"/>
      <c r="S251" s="373"/>
      <c r="T251" s="373"/>
      <c r="U251" s="373"/>
      <c r="V251" s="373"/>
      <c r="W251" s="373"/>
      <c r="X251" s="373"/>
      <c r="Y251" s="373"/>
      <c r="Z251" s="373"/>
      <c r="AA251" s="373"/>
      <c r="AB251" s="373"/>
      <c r="AC251" s="373"/>
      <c r="AD251" s="373"/>
      <c r="AE251" s="373"/>
      <c r="AF251" s="373"/>
      <c r="AG251" s="373"/>
      <c r="AH251" s="373"/>
      <c r="AI251" s="373"/>
      <c r="AJ251" s="373"/>
      <c r="AK251" s="373"/>
      <c r="AL251" s="373"/>
      <c r="AM251" s="373"/>
    </row>
    <row r="252" spans="1:39" ht="18" customHeight="1" x14ac:dyDescent="0.3">
      <c r="A252" s="371">
        <v>5</v>
      </c>
      <c r="B252" s="372" t="str">
        <f>PETUNJUK!B13</f>
        <v>Lebuawu</v>
      </c>
      <c r="C252" s="373"/>
      <c r="D252" s="373"/>
      <c r="E252" s="373"/>
      <c r="F252" s="373"/>
      <c r="G252" s="373"/>
      <c r="H252" s="373"/>
      <c r="I252" s="373"/>
      <c r="J252" s="373"/>
      <c r="K252" s="373"/>
      <c r="L252" s="373"/>
      <c r="M252" s="373"/>
      <c r="N252" s="373"/>
      <c r="O252" s="373"/>
      <c r="P252" s="373"/>
      <c r="Q252" s="373"/>
      <c r="R252" s="373"/>
      <c r="S252" s="373"/>
      <c r="T252" s="373"/>
      <c r="U252" s="373"/>
      <c r="V252" s="373"/>
      <c r="W252" s="373"/>
      <c r="X252" s="373"/>
      <c r="Y252" s="373"/>
      <c r="Z252" s="373"/>
      <c r="AA252" s="373"/>
      <c r="AB252" s="373"/>
      <c r="AC252" s="373"/>
      <c r="AD252" s="373"/>
      <c r="AE252" s="373"/>
      <c r="AF252" s="373"/>
      <c r="AG252" s="373"/>
      <c r="AH252" s="373"/>
      <c r="AI252" s="373"/>
      <c r="AJ252" s="373"/>
      <c r="AK252" s="373"/>
      <c r="AL252" s="373"/>
      <c r="AM252" s="373"/>
    </row>
    <row r="253" spans="1:39" ht="18" customHeight="1" x14ac:dyDescent="0.3">
      <c r="A253" s="371">
        <v>6</v>
      </c>
      <c r="B253" s="372" t="str">
        <f>PETUNJUK!B14</f>
        <v>Pulodarat</v>
      </c>
      <c r="C253" s="373"/>
      <c r="D253" s="373"/>
      <c r="E253" s="373"/>
      <c r="F253" s="373"/>
      <c r="G253" s="373"/>
      <c r="H253" s="373"/>
      <c r="I253" s="373"/>
      <c r="J253" s="373"/>
      <c r="K253" s="373"/>
      <c r="L253" s="373"/>
      <c r="M253" s="373"/>
      <c r="N253" s="373"/>
      <c r="O253" s="373"/>
      <c r="P253" s="373"/>
      <c r="Q253" s="373"/>
      <c r="R253" s="373"/>
      <c r="S253" s="373"/>
      <c r="T253" s="373"/>
      <c r="U253" s="373"/>
      <c r="V253" s="373"/>
      <c r="W253" s="373"/>
      <c r="X253" s="373"/>
      <c r="Y253" s="373"/>
      <c r="Z253" s="373"/>
      <c r="AA253" s="373"/>
      <c r="AB253" s="373"/>
      <c r="AC253" s="373"/>
      <c r="AD253" s="373"/>
      <c r="AE253" s="373"/>
      <c r="AF253" s="373"/>
      <c r="AG253" s="373"/>
      <c r="AH253" s="373"/>
      <c r="AI253" s="373"/>
      <c r="AJ253" s="373"/>
      <c r="AK253" s="373"/>
      <c r="AL253" s="373"/>
      <c r="AM253" s="373"/>
    </row>
    <row r="254" spans="1:39" ht="18" customHeight="1" x14ac:dyDescent="0.3">
      <c r="A254" s="371">
        <v>7</v>
      </c>
      <c r="B254" s="372" t="str">
        <f>PETUNJUK!B15</f>
        <v>Karangrandu</v>
      </c>
      <c r="C254" s="373"/>
      <c r="D254" s="373"/>
      <c r="E254" s="373"/>
      <c r="F254" s="373"/>
      <c r="G254" s="373"/>
      <c r="H254" s="373"/>
      <c r="I254" s="373"/>
      <c r="J254" s="373"/>
      <c r="K254" s="373"/>
      <c r="L254" s="373"/>
      <c r="M254" s="373"/>
      <c r="N254" s="373"/>
      <c r="O254" s="373"/>
      <c r="P254" s="373"/>
      <c r="Q254" s="373"/>
      <c r="R254" s="373"/>
      <c r="S254" s="373"/>
      <c r="T254" s="373"/>
      <c r="U254" s="373"/>
      <c r="V254" s="373"/>
      <c r="W254" s="373"/>
      <c r="X254" s="373"/>
      <c r="Y254" s="373"/>
      <c r="Z254" s="373"/>
      <c r="AA254" s="373"/>
      <c r="AB254" s="373"/>
      <c r="AC254" s="373"/>
      <c r="AD254" s="373"/>
      <c r="AE254" s="373"/>
      <c r="AF254" s="373"/>
      <c r="AG254" s="373"/>
      <c r="AH254" s="373"/>
      <c r="AI254" s="373"/>
      <c r="AJ254" s="373"/>
      <c r="AK254" s="373"/>
      <c r="AL254" s="373"/>
      <c r="AM254" s="373"/>
    </row>
    <row r="255" spans="1:39" ht="18" customHeight="1" x14ac:dyDescent="0.3">
      <c r="A255" s="371">
        <v>8</v>
      </c>
      <c r="B255" s="372" t="str">
        <f>PETUNJUK!B16</f>
        <v>Kaliombo</v>
      </c>
      <c r="C255" s="373"/>
      <c r="D255" s="373"/>
      <c r="E255" s="373"/>
      <c r="F255" s="373"/>
      <c r="G255" s="373"/>
      <c r="H255" s="373"/>
      <c r="I255" s="373"/>
      <c r="J255" s="373"/>
      <c r="K255" s="373"/>
      <c r="L255" s="373"/>
      <c r="M255" s="373"/>
      <c r="N255" s="373"/>
      <c r="O255" s="373"/>
      <c r="P255" s="373"/>
      <c r="Q255" s="373"/>
      <c r="R255" s="373"/>
      <c r="S255" s="373"/>
      <c r="T255" s="373"/>
      <c r="U255" s="373"/>
      <c r="V255" s="373"/>
      <c r="W255" s="373"/>
      <c r="X255" s="373"/>
      <c r="Y255" s="373"/>
      <c r="Z255" s="373"/>
      <c r="AA255" s="373"/>
      <c r="AB255" s="373"/>
      <c r="AC255" s="373"/>
      <c r="AD255" s="373"/>
      <c r="AE255" s="373"/>
      <c r="AF255" s="373"/>
      <c r="AG255" s="373"/>
      <c r="AH255" s="373"/>
      <c r="AI255" s="373"/>
      <c r="AJ255" s="373"/>
      <c r="AK255" s="373"/>
      <c r="AL255" s="373"/>
      <c r="AM255" s="373"/>
    </row>
    <row r="256" spans="1:39" ht="18" customHeight="1" x14ac:dyDescent="0.3">
      <c r="A256" s="371">
        <v>9</v>
      </c>
      <c r="B256" s="372" t="str">
        <f>PETUNJUK!B17</f>
        <v>Gemulung</v>
      </c>
      <c r="C256" s="373"/>
      <c r="D256" s="373"/>
      <c r="E256" s="373"/>
      <c r="F256" s="373"/>
      <c r="G256" s="373"/>
      <c r="H256" s="373"/>
      <c r="I256" s="373"/>
      <c r="J256" s="373"/>
      <c r="K256" s="373"/>
      <c r="L256" s="373"/>
      <c r="M256" s="373"/>
      <c r="N256" s="373"/>
      <c r="O256" s="373"/>
      <c r="P256" s="373"/>
      <c r="Q256" s="373"/>
      <c r="R256" s="373"/>
      <c r="S256" s="373"/>
      <c r="T256" s="373"/>
      <c r="U256" s="373"/>
      <c r="V256" s="373"/>
      <c r="W256" s="373"/>
      <c r="X256" s="373"/>
      <c r="Y256" s="373"/>
      <c r="Z256" s="373"/>
      <c r="AA256" s="373"/>
      <c r="AB256" s="373"/>
      <c r="AC256" s="373"/>
      <c r="AD256" s="373"/>
      <c r="AE256" s="373"/>
      <c r="AF256" s="373"/>
      <c r="AG256" s="373"/>
      <c r="AH256" s="373"/>
      <c r="AI256" s="373"/>
      <c r="AJ256" s="373"/>
      <c r="AK256" s="373"/>
      <c r="AL256" s="373"/>
      <c r="AM256" s="373"/>
    </row>
    <row r="257" spans="1:39" ht="18" customHeight="1" x14ac:dyDescent="0.3">
      <c r="A257" s="371">
        <v>10</v>
      </c>
      <c r="B257" s="372" t="str">
        <f>PETUNJUK!B18</f>
        <v>Pecangaan Wetan</v>
      </c>
      <c r="C257" s="373"/>
      <c r="D257" s="373"/>
      <c r="E257" s="373"/>
      <c r="F257" s="373"/>
      <c r="G257" s="373"/>
      <c r="H257" s="373"/>
      <c r="I257" s="373"/>
      <c r="J257" s="373"/>
      <c r="K257" s="373"/>
      <c r="L257" s="373"/>
      <c r="M257" s="373"/>
      <c r="N257" s="373"/>
      <c r="O257" s="373"/>
      <c r="P257" s="373"/>
      <c r="Q257" s="373"/>
      <c r="R257" s="373"/>
      <c r="S257" s="373"/>
      <c r="T257" s="373"/>
      <c r="U257" s="373"/>
      <c r="V257" s="373"/>
      <c r="W257" s="373"/>
      <c r="X257" s="373"/>
      <c r="Y257" s="373"/>
      <c r="Z257" s="373"/>
      <c r="AA257" s="373"/>
      <c r="AB257" s="373"/>
      <c r="AC257" s="373"/>
      <c r="AD257" s="373"/>
      <c r="AE257" s="373"/>
      <c r="AF257" s="373"/>
      <c r="AG257" s="373"/>
      <c r="AH257" s="373"/>
      <c r="AI257" s="373"/>
      <c r="AJ257" s="373"/>
      <c r="AK257" s="373"/>
      <c r="AL257" s="373"/>
      <c r="AM257" s="373"/>
    </row>
    <row r="258" spans="1:39" ht="18" customHeight="1" x14ac:dyDescent="0.3">
      <c r="A258" s="371">
        <v>11</v>
      </c>
      <c r="B258" s="372" t="str">
        <f>PETUNJUK!B19</f>
        <v>Krasak</v>
      </c>
      <c r="C258" s="373"/>
      <c r="D258" s="373"/>
      <c r="E258" s="373"/>
      <c r="F258" s="373"/>
      <c r="G258" s="373"/>
      <c r="H258" s="373"/>
      <c r="I258" s="373"/>
      <c r="J258" s="373"/>
      <c r="K258" s="373"/>
      <c r="L258" s="373"/>
      <c r="M258" s="373"/>
      <c r="N258" s="373"/>
      <c r="O258" s="373"/>
      <c r="P258" s="373"/>
      <c r="Q258" s="373"/>
      <c r="R258" s="373"/>
      <c r="S258" s="373"/>
      <c r="T258" s="373"/>
      <c r="U258" s="373"/>
      <c r="V258" s="373"/>
      <c r="W258" s="373"/>
      <c r="X258" s="373"/>
      <c r="Y258" s="373"/>
      <c r="Z258" s="373"/>
      <c r="AA258" s="373"/>
      <c r="AB258" s="373"/>
      <c r="AC258" s="373"/>
      <c r="AD258" s="373"/>
      <c r="AE258" s="373"/>
      <c r="AF258" s="373"/>
      <c r="AG258" s="373"/>
      <c r="AH258" s="373"/>
      <c r="AI258" s="373"/>
      <c r="AJ258" s="373"/>
      <c r="AK258" s="373"/>
      <c r="AL258" s="373"/>
      <c r="AM258" s="373"/>
    </row>
    <row r="259" spans="1:39" ht="18" customHeight="1" x14ac:dyDescent="0.3">
      <c r="A259" s="371">
        <v>12</v>
      </c>
      <c r="B259" s="372" t="str">
        <f>PETUNJUK!B20</f>
        <v>Gerdu</v>
      </c>
      <c r="C259" s="373"/>
      <c r="D259" s="373"/>
      <c r="E259" s="373"/>
      <c r="F259" s="373"/>
      <c r="G259" s="373"/>
      <c r="H259" s="373"/>
      <c r="I259" s="373"/>
      <c r="J259" s="373"/>
      <c r="K259" s="373"/>
      <c r="L259" s="373"/>
      <c r="M259" s="373"/>
      <c r="N259" s="373"/>
      <c r="O259" s="373"/>
      <c r="P259" s="373"/>
      <c r="Q259" s="373"/>
      <c r="R259" s="373"/>
      <c r="S259" s="373"/>
      <c r="T259" s="373"/>
      <c r="U259" s="373"/>
      <c r="V259" s="373"/>
      <c r="W259" s="373"/>
      <c r="X259" s="373"/>
      <c r="Y259" s="373"/>
      <c r="Z259" s="373"/>
      <c r="AA259" s="373"/>
      <c r="AB259" s="373"/>
      <c r="AC259" s="373"/>
      <c r="AD259" s="373"/>
      <c r="AE259" s="373"/>
      <c r="AF259" s="373"/>
      <c r="AG259" s="373"/>
      <c r="AH259" s="373"/>
      <c r="AI259" s="373"/>
      <c r="AJ259" s="373"/>
      <c r="AK259" s="373"/>
      <c r="AL259" s="373"/>
      <c r="AM259" s="373"/>
    </row>
    <row r="260" spans="1:39" ht="18" customHeight="1" x14ac:dyDescent="0.3">
      <c r="A260" s="371">
        <v>13</v>
      </c>
      <c r="B260" s="372">
        <f>PETUNJUK!B21</f>
        <v>0</v>
      </c>
      <c r="C260" s="373"/>
      <c r="D260" s="373"/>
      <c r="E260" s="373"/>
      <c r="F260" s="373"/>
      <c r="G260" s="373"/>
      <c r="H260" s="373"/>
      <c r="I260" s="373"/>
      <c r="J260" s="373"/>
      <c r="K260" s="373"/>
      <c r="L260" s="373"/>
      <c r="M260" s="373"/>
      <c r="N260" s="373"/>
      <c r="O260" s="373"/>
      <c r="P260" s="373"/>
      <c r="Q260" s="373"/>
      <c r="R260" s="373"/>
      <c r="S260" s="373"/>
      <c r="T260" s="373"/>
      <c r="U260" s="373"/>
      <c r="V260" s="373"/>
      <c r="W260" s="373"/>
      <c r="X260" s="373"/>
      <c r="Y260" s="373"/>
      <c r="Z260" s="373"/>
      <c r="AA260" s="373"/>
      <c r="AB260" s="373"/>
      <c r="AC260" s="373"/>
      <c r="AD260" s="373"/>
      <c r="AE260" s="373"/>
      <c r="AF260" s="373"/>
      <c r="AG260" s="373"/>
      <c r="AH260" s="373"/>
      <c r="AI260" s="373"/>
      <c r="AJ260" s="373"/>
      <c r="AK260" s="373"/>
      <c r="AL260" s="373"/>
      <c r="AM260" s="373"/>
    </row>
    <row r="261" spans="1:39" ht="18" customHeight="1" x14ac:dyDescent="0.3">
      <c r="A261" s="371">
        <v>14</v>
      </c>
      <c r="B261" s="372">
        <f>PETUNJUK!B22</f>
        <v>0</v>
      </c>
      <c r="C261" s="373"/>
      <c r="D261" s="373"/>
      <c r="E261" s="373"/>
      <c r="F261" s="373"/>
      <c r="G261" s="373"/>
      <c r="H261" s="373"/>
      <c r="I261" s="373"/>
      <c r="J261" s="373"/>
      <c r="K261" s="373"/>
      <c r="L261" s="373"/>
      <c r="M261" s="373"/>
      <c r="N261" s="373"/>
      <c r="O261" s="373"/>
      <c r="P261" s="373"/>
      <c r="Q261" s="373"/>
      <c r="R261" s="373"/>
      <c r="S261" s="373"/>
      <c r="T261" s="373"/>
      <c r="U261" s="373"/>
      <c r="V261" s="373"/>
      <c r="W261" s="373"/>
      <c r="X261" s="373"/>
      <c r="Y261" s="373"/>
      <c r="Z261" s="373"/>
      <c r="AA261" s="373"/>
      <c r="AB261" s="373"/>
      <c r="AC261" s="373"/>
      <c r="AD261" s="373"/>
      <c r="AE261" s="373"/>
      <c r="AF261" s="373"/>
      <c r="AG261" s="373"/>
      <c r="AH261" s="373"/>
      <c r="AI261" s="373"/>
      <c r="AJ261" s="373"/>
      <c r="AK261" s="373"/>
      <c r="AL261" s="373"/>
      <c r="AM261" s="373"/>
    </row>
    <row r="262" spans="1:39" ht="18" customHeight="1" x14ac:dyDescent="0.3">
      <c r="A262" s="371">
        <v>15</v>
      </c>
      <c r="B262" s="372">
        <f>PETUNJUK!B23</f>
        <v>0</v>
      </c>
      <c r="C262" s="373"/>
      <c r="D262" s="373"/>
      <c r="E262" s="373"/>
      <c r="F262" s="373"/>
      <c r="G262" s="373"/>
      <c r="H262" s="373"/>
      <c r="I262" s="373"/>
      <c r="J262" s="373"/>
      <c r="K262" s="373"/>
      <c r="L262" s="373"/>
      <c r="M262" s="373"/>
      <c r="N262" s="373"/>
      <c r="O262" s="373"/>
      <c r="P262" s="373"/>
      <c r="Q262" s="373"/>
      <c r="R262" s="373"/>
      <c r="S262" s="373"/>
      <c r="T262" s="373"/>
      <c r="U262" s="373"/>
      <c r="V262" s="373"/>
      <c r="W262" s="373"/>
      <c r="X262" s="373"/>
      <c r="Y262" s="373"/>
      <c r="Z262" s="373"/>
      <c r="AA262" s="373"/>
      <c r="AB262" s="373"/>
      <c r="AC262" s="373"/>
      <c r="AD262" s="373"/>
      <c r="AE262" s="373"/>
      <c r="AF262" s="373"/>
      <c r="AG262" s="373"/>
      <c r="AH262" s="373"/>
      <c r="AI262" s="373"/>
      <c r="AJ262" s="373"/>
      <c r="AK262" s="373"/>
      <c r="AL262" s="373"/>
      <c r="AM262" s="373"/>
    </row>
    <row r="263" spans="1:39" ht="18" customHeight="1" x14ac:dyDescent="0.3">
      <c r="A263" s="371">
        <v>16</v>
      </c>
      <c r="B263" s="372">
        <f>PETUNJUK!B24</f>
        <v>0</v>
      </c>
      <c r="C263" s="373"/>
      <c r="D263" s="373"/>
      <c r="E263" s="373"/>
      <c r="F263" s="373"/>
      <c r="G263" s="373"/>
      <c r="H263" s="373"/>
      <c r="I263" s="373"/>
      <c r="J263" s="373"/>
      <c r="K263" s="373"/>
      <c r="L263" s="373"/>
      <c r="M263" s="373"/>
      <c r="N263" s="373"/>
      <c r="O263" s="373"/>
      <c r="P263" s="373"/>
      <c r="Q263" s="373"/>
      <c r="R263" s="373"/>
      <c r="S263" s="373"/>
      <c r="T263" s="373"/>
      <c r="U263" s="373"/>
      <c r="V263" s="373"/>
      <c r="W263" s="373"/>
      <c r="X263" s="373"/>
      <c r="Y263" s="373"/>
      <c r="Z263" s="373"/>
      <c r="AA263" s="373"/>
      <c r="AB263" s="373"/>
      <c r="AC263" s="373"/>
      <c r="AD263" s="373"/>
      <c r="AE263" s="373"/>
      <c r="AF263" s="373"/>
      <c r="AG263" s="373"/>
      <c r="AH263" s="373"/>
      <c r="AI263" s="373"/>
      <c r="AJ263" s="373"/>
      <c r="AK263" s="373"/>
      <c r="AL263" s="373"/>
      <c r="AM263" s="373"/>
    </row>
    <row r="264" spans="1:39" ht="18" customHeight="1" x14ac:dyDescent="0.3">
      <c r="A264" s="371">
        <v>17</v>
      </c>
      <c r="B264" s="372">
        <f>PETUNJUK!B25</f>
        <v>0</v>
      </c>
      <c r="C264" s="373"/>
      <c r="D264" s="373"/>
      <c r="E264" s="373"/>
      <c r="F264" s="373"/>
      <c r="G264" s="373"/>
      <c r="H264" s="373"/>
      <c r="I264" s="373"/>
      <c r="J264" s="373"/>
      <c r="K264" s="373"/>
      <c r="L264" s="373"/>
      <c r="M264" s="373"/>
      <c r="N264" s="373"/>
      <c r="O264" s="373"/>
      <c r="P264" s="373"/>
      <c r="Q264" s="373"/>
      <c r="R264" s="373"/>
      <c r="S264" s="373"/>
      <c r="T264" s="373"/>
      <c r="U264" s="373"/>
      <c r="V264" s="373"/>
      <c r="W264" s="373"/>
      <c r="X264" s="373"/>
      <c r="Y264" s="373"/>
      <c r="Z264" s="373"/>
      <c r="AA264" s="373"/>
      <c r="AB264" s="373"/>
      <c r="AC264" s="373"/>
      <c r="AD264" s="373"/>
      <c r="AE264" s="373"/>
      <c r="AF264" s="373"/>
      <c r="AG264" s="373"/>
      <c r="AH264" s="373"/>
      <c r="AI264" s="373"/>
      <c r="AJ264" s="373"/>
      <c r="AK264" s="373"/>
      <c r="AL264" s="373"/>
      <c r="AM264" s="373"/>
    </row>
    <row r="265" spans="1:39" ht="18" customHeight="1" x14ac:dyDescent="0.3">
      <c r="A265" s="371">
        <v>18</v>
      </c>
      <c r="B265" s="372">
        <f>PETUNJUK!B26</f>
        <v>0</v>
      </c>
      <c r="C265" s="373"/>
      <c r="D265" s="373"/>
      <c r="E265" s="373"/>
      <c r="F265" s="373"/>
      <c r="G265" s="373"/>
      <c r="H265" s="373"/>
      <c r="I265" s="373"/>
      <c r="J265" s="373"/>
      <c r="K265" s="373"/>
      <c r="L265" s="373"/>
      <c r="M265" s="373"/>
      <c r="N265" s="373"/>
      <c r="O265" s="373"/>
      <c r="P265" s="373"/>
      <c r="Q265" s="373"/>
      <c r="R265" s="373"/>
      <c r="S265" s="373"/>
      <c r="T265" s="373"/>
      <c r="U265" s="373"/>
      <c r="V265" s="373"/>
      <c r="W265" s="373"/>
      <c r="X265" s="373"/>
      <c r="Y265" s="373"/>
      <c r="Z265" s="373"/>
      <c r="AA265" s="373"/>
      <c r="AB265" s="373"/>
      <c r="AC265" s="373"/>
      <c r="AD265" s="373"/>
      <c r="AE265" s="373"/>
      <c r="AF265" s="373"/>
      <c r="AG265" s="373"/>
      <c r="AH265" s="373"/>
      <c r="AI265" s="373"/>
      <c r="AJ265" s="373"/>
      <c r="AK265" s="373"/>
      <c r="AL265" s="373"/>
      <c r="AM265" s="373"/>
    </row>
    <row r="266" spans="1:39" ht="18" customHeight="1" x14ac:dyDescent="0.3">
      <c r="A266" s="371">
        <v>19</v>
      </c>
      <c r="B266" s="372">
        <f>PETUNJUK!B27</f>
        <v>0</v>
      </c>
      <c r="C266" s="373"/>
      <c r="D266" s="373"/>
      <c r="E266" s="373"/>
      <c r="F266" s="373"/>
      <c r="G266" s="373"/>
      <c r="H266" s="373"/>
      <c r="I266" s="373"/>
      <c r="J266" s="373"/>
      <c r="K266" s="373"/>
      <c r="L266" s="373"/>
      <c r="M266" s="373"/>
      <c r="N266" s="373"/>
      <c r="O266" s="373"/>
      <c r="P266" s="373"/>
      <c r="Q266" s="373"/>
      <c r="R266" s="373"/>
      <c r="S266" s="373"/>
      <c r="T266" s="373"/>
      <c r="U266" s="373"/>
      <c r="V266" s="373"/>
      <c r="W266" s="373"/>
      <c r="X266" s="373"/>
      <c r="Y266" s="373"/>
      <c r="Z266" s="373"/>
      <c r="AA266" s="373"/>
      <c r="AB266" s="373"/>
      <c r="AC266" s="373"/>
      <c r="AD266" s="373"/>
      <c r="AE266" s="373"/>
      <c r="AF266" s="373"/>
      <c r="AG266" s="373"/>
      <c r="AH266" s="373"/>
      <c r="AI266" s="373"/>
      <c r="AJ266" s="373"/>
      <c r="AK266" s="373"/>
      <c r="AL266" s="373"/>
      <c r="AM266" s="373"/>
    </row>
    <row r="267" spans="1:39" ht="18" customHeight="1" x14ac:dyDescent="0.3">
      <c r="A267" s="371">
        <v>20</v>
      </c>
      <c r="B267" s="372">
        <f>PETUNJUK!B28</f>
        <v>0</v>
      </c>
      <c r="C267" s="373"/>
      <c r="D267" s="373"/>
      <c r="E267" s="373"/>
      <c r="F267" s="373"/>
      <c r="G267" s="373"/>
      <c r="H267" s="373"/>
      <c r="I267" s="373"/>
      <c r="J267" s="373"/>
      <c r="K267" s="373"/>
      <c r="L267" s="373"/>
      <c r="M267" s="373"/>
      <c r="N267" s="373"/>
      <c r="O267" s="373"/>
      <c r="P267" s="373"/>
      <c r="Q267" s="373"/>
      <c r="R267" s="373"/>
      <c r="S267" s="373"/>
      <c r="T267" s="373"/>
      <c r="U267" s="373"/>
      <c r="V267" s="373"/>
      <c r="W267" s="373"/>
      <c r="X267" s="373"/>
      <c r="Y267" s="373"/>
      <c r="Z267" s="373"/>
      <c r="AA267" s="373"/>
      <c r="AB267" s="373"/>
      <c r="AC267" s="373"/>
      <c r="AD267" s="373"/>
      <c r="AE267" s="373"/>
      <c r="AF267" s="373"/>
      <c r="AG267" s="373"/>
      <c r="AH267" s="373"/>
      <c r="AI267" s="373"/>
      <c r="AJ267" s="373"/>
      <c r="AK267" s="373"/>
      <c r="AL267" s="373"/>
      <c r="AM267" s="373"/>
    </row>
    <row r="268" spans="1:39" ht="18" customHeight="1" x14ac:dyDescent="0.3">
      <c r="A268" s="371">
        <v>21</v>
      </c>
      <c r="B268" s="372">
        <f>PETUNJUK!B29</f>
        <v>0</v>
      </c>
      <c r="C268" s="373"/>
      <c r="D268" s="373"/>
      <c r="E268" s="373"/>
      <c r="F268" s="373"/>
      <c r="G268" s="373"/>
      <c r="H268" s="373"/>
      <c r="I268" s="373"/>
      <c r="J268" s="373"/>
      <c r="K268" s="373"/>
      <c r="L268" s="373"/>
      <c r="M268" s="373"/>
      <c r="N268" s="373"/>
      <c r="O268" s="373"/>
      <c r="P268" s="373"/>
      <c r="Q268" s="373"/>
      <c r="R268" s="373"/>
      <c r="S268" s="373"/>
      <c r="T268" s="373"/>
      <c r="U268" s="373"/>
      <c r="V268" s="373"/>
      <c r="W268" s="373"/>
      <c r="X268" s="373"/>
      <c r="Y268" s="373"/>
      <c r="Z268" s="373"/>
      <c r="AA268" s="373"/>
      <c r="AB268" s="373"/>
      <c r="AC268" s="373"/>
      <c r="AD268" s="373"/>
      <c r="AE268" s="373"/>
      <c r="AF268" s="373"/>
      <c r="AG268" s="373"/>
      <c r="AH268" s="373"/>
      <c r="AI268" s="373"/>
      <c r="AJ268" s="373"/>
      <c r="AK268" s="373"/>
      <c r="AL268" s="373"/>
      <c r="AM268" s="373"/>
    </row>
    <row r="269" spans="1:39" ht="18" customHeight="1" x14ac:dyDescent="0.3">
      <c r="A269" s="371">
        <v>22</v>
      </c>
      <c r="B269" s="372">
        <f>PETUNJUK!B30</f>
        <v>0</v>
      </c>
      <c r="C269" s="382"/>
      <c r="D269" s="382"/>
      <c r="E269" s="382"/>
      <c r="F269" s="382"/>
      <c r="G269" s="382"/>
      <c r="H269" s="382"/>
      <c r="I269" s="382"/>
      <c r="J269" s="382"/>
      <c r="K269" s="382"/>
      <c r="L269" s="382"/>
      <c r="M269" s="382"/>
      <c r="N269" s="382"/>
      <c r="O269" s="382"/>
      <c r="P269" s="382"/>
      <c r="Q269" s="382"/>
      <c r="R269" s="382"/>
      <c r="S269" s="382"/>
      <c r="T269" s="382"/>
      <c r="U269" s="382"/>
      <c r="V269" s="382"/>
      <c r="W269" s="382"/>
      <c r="X269" s="382"/>
      <c r="Y269" s="382"/>
      <c r="Z269" s="382"/>
      <c r="AA269" s="382"/>
      <c r="AB269" s="382"/>
      <c r="AC269" s="382"/>
      <c r="AD269" s="382"/>
      <c r="AE269" s="382"/>
      <c r="AF269" s="382"/>
      <c r="AG269" s="382"/>
      <c r="AH269" s="382"/>
      <c r="AI269" s="382"/>
      <c r="AJ269" s="373"/>
      <c r="AK269" s="382"/>
      <c r="AL269" s="382"/>
      <c r="AM269" s="382"/>
    </row>
    <row r="270" spans="1:39" ht="18" customHeight="1" x14ac:dyDescent="0.3">
      <c r="A270" s="794" t="s">
        <v>62</v>
      </c>
      <c r="B270" s="796"/>
      <c r="C270" s="380">
        <f t="shared" ref="C270:AM270" si="11">SUM(C248:C269)</f>
        <v>0</v>
      </c>
      <c r="D270" s="380">
        <f t="shared" si="11"/>
        <v>0</v>
      </c>
      <c r="E270" s="380">
        <f t="shared" si="11"/>
        <v>0</v>
      </c>
      <c r="F270" s="380">
        <f t="shared" si="11"/>
        <v>0</v>
      </c>
      <c r="G270" s="380">
        <f t="shared" si="11"/>
        <v>0</v>
      </c>
      <c r="H270" s="380">
        <f t="shared" si="11"/>
        <v>0</v>
      </c>
      <c r="I270" s="380">
        <f t="shared" si="11"/>
        <v>0</v>
      </c>
      <c r="J270" s="380">
        <f t="shared" si="11"/>
        <v>0</v>
      </c>
      <c r="K270" s="380">
        <f t="shared" si="11"/>
        <v>0</v>
      </c>
      <c r="L270" s="380">
        <f t="shared" si="11"/>
        <v>0</v>
      </c>
      <c r="M270" s="380">
        <f t="shared" si="11"/>
        <v>0</v>
      </c>
      <c r="N270" s="380">
        <f t="shared" si="11"/>
        <v>0</v>
      </c>
      <c r="O270" s="380">
        <f t="shared" si="11"/>
        <v>0</v>
      </c>
      <c r="P270" s="380">
        <f t="shared" si="11"/>
        <v>0</v>
      </c>
      <c r="Q270" s="380">
        <f t="shared" si="11"/>
        <v>0</v>
      </c>
      <c r="R270" s="380">
        <f t="shared" si="11"/>
        <v>0</v>
      </c>
      <c r="S270" s="380">
        <f t="shared" si="11"/>
        <v>0</v>
      </c>
      <c r="T270" s="380">
        <f t="shared" si="11"/>
        <v>0</v>
      </c>
      <c r="U270" s="380">
        <f t="shared" si="11"/>
        <v>0</v>
      </c>
      <c r="V270" s="380">
        <f t="shared" si="11"/>
        <v>0</v>
      </c>
      <c r="W270" s="380">
        <f t="shared" si="11"/>
        <v>0</v>
      </c>
      <c r="X270" s="380">
        <f t="shared" si="11"/>
        <v>0</v>
      </c>
      <c r="Y270" s="380">
        <f t="shared" si="11"/>
        <v>0</v>
      </c>
      <c r="Z270" s="380">
        <f t="shared" si="11"/>
        <v>0</v>
      </c>
      <c r="AA270" s="380">
        <f t="shared" si="11"/>
        <v>0</v>
      </c>
      <c r="AB270" s="380">
        <f t="shared" si="11"/>
        <v>0</v>
      </c>
      <c r="AC270" s="380">
        <f t="shared" si="11"/>
        <v>0</v>
      </c>
      <c r="AD270" s="380">
        <f t="shared" si="11"/>
        <v>0</v>
      </c>
      <c r="AE270" s="380">
        <f t="shared" si="11"/>
        <v>0</v>
      </c>
      <c r="AF270" s="380">
        <f t="shared" si="11"/>
        <v>0</v>
      </c>
      <c r="AG270" s="380">
        <f t="shared" si="11"/>
        <v>0</v>
      </c>
      <c r="AH270" s="380">
        <f t="shared" si="11"/>
        <v>0</v>
      </c>
      <c r="AI270" s="380">
        <f t="shared" si="11"/>
        <v>0</v>
      </c>
      <c r="AJ270" s="380">
        <f t="shared" si="11"/>
        <v>0</v>
      </c>
      <c r="AK270" s="380">
        <f t="shared" si="11"/>
        <v>0</v>
      </c>
      <c r="AL270" s="380">
        <f t="shared" si="11"/>
        <v>0</v>
      </c>
      <c r="AM270" s="380">
        <f t="shared" si="11"/>
        <v>0</v>
      </c>
    </row>
    <row r="271" spans="1:39" x14ac:dyDescent="0.3">
      <c r="A271" s="378"/>
      <c r="B271" s="378"/>
      <c r="C271" s="384"/>
      <c r="D271" s="385"/>
      <c r="E271" s="384"/>
      <c r="F271" s="384"/>
      <c r="G271" s="385"/>
      <c r="H271" s="385"/>
      <c r="I271" s="385"/>
      <c r="J271" s="385"/>
      <c r="K271" s="385"/>
      <c r="L271" s="385"/>
      <c r="M271" s="384"/>
      <c r="N271" s="384"/>
      <c r="O271" s="384"/>
      <c r="P271" s="384"/>
      <c r="Q271" s="384"/>
      <c r="R271" s="384"/>
      <c r="S271" s="384"/>
      <c r="T271" s="384"/>
      <c r="U271" s="384"/>
      <c r="V271" s="384"/>
      <c r="W271" s="384"/>
      <c r="X271" s="384"/>
      <c r="Y271" s="384"/>
      <c r="Z271" s="384"/>
      <c r="AA271" s="384"/>
      <c r="AB271" s="384"/>
      <c r="AC271" s="384"/>
      <c r="AD271" s="384"/>
      <c r="AE271" s="384"/>
      <c r="AF271" s="384"/>
      <c r="AG271" s="385"/>
      <c r="AH271" s="384"/>
      <c r="AI271" s="384"/>
      <c r="AJ271" s="379"/>
    </row>
    <row r="272" spans="1:39" x14ac:dyDescent="0.35">
      <c r="A272" s="235"/>
      <c r="B272" s="235" t="s">
        <v>63</v>
      </c>
      <c r="C272" s="378"/>
      <c r="D272" s="378"/>
      <c r="E272" s="378"/>
      <c r="F272" s="378"/>
      <c r="G272" s="378"/>
      <c r="H272" s="378"/>
      <c r="I272" s="378"/>
      <c r="J272" s="378"/>
      <c r="K272" s="378"/>
      <c r="L272" s="378"/>
      <c r="M272" s="378"/>
      <c r="N272" s="801" t="s">
        <v>181</v>
      </c>
      <c r="O272" s="801"/>
      <c r="P272" s="801"/>
      <c r="Q272" s="801"/>
      <c r="R272" s="801"/>
      <c r="S272" s="801"/>
      <c r="T272" s="801"/>
      <c r="U272" s="801"/>
      <c r="V272" s="801"/>
      <c r="W272" s="801"/>
      <c r="X272" s="801"/>
      <c r="Y272" s="801"/>
      <c r="Z272" s="801"/>
      <c r="AA272" s="801"/>
      <c r="AB272" s="801"/>
      <c r="AC272" s="801"/>
      <c r="AD272" s="801"/>
      <c r="AE272" s="801"/>
      <c r="AF272" s="801"/>
      <c r="AG272" s="801"/>
      <c r="AH272" s="801"/>
      <c r="AI272" s="801"/>
      <c r="AJ272" s="378"/>
    </row>
    <row r="278" spans="1:39" x14ac:dyDescent="0.35">
      <c r="A278" s="802" t="s">
        <v>177</v>
      </c>
      <c r="B278" s="802"/>
      <c r="C278" s="802"/>
      <c r="D278" s="802"/>
      <c r="E278" s="802"/>
      <c r="F278" s="802"/>
      <c r="G278" s="802"/>
      <c r="H278" s="802"/>
      <c r="I278" s="802"/>
      <c r="J278" s="802"/>
      <c r="K278" s="802"/>
      <c r="L278" s="802"/>
      <c r="M278" s="802"/>
      <c r="N278" s="802"/>
      <c r="O278" s="802"/>
      <c r="P278" s="802"/>
      <c r="Q278" s="802"/>
      <c r="R278" s="802"/>
      <c r="S278" s="802"/>
      <c r="T278" s="802"/>
      <c r="U278" s="802"/>
      <c r="V278" s="802"/>
      <c r="W278" s="802"/>
      <c r="X278" s="802"/>
      <c r="Y278" s="802"/>
      <c r="Z278" s="802"/>
      <c r="AA278" s="802"/>
      <c r="AB278" s="802"/>
      <c r="AC278" s="802"/>
      <c r="AD278" s="802"/>
      <c r="AE278" s="802"/>
      <c r="AF278" s="802"/>
      <c r="AG278" s="802"/>
      <c r="AH278" s="802"/>
      <c r="AI278" s="802"/>
      <c r="AJ278" s="802"/>
    </row>
    <row r="279" spans="1:39" x14ac:dyDescent="0.35">
      <c r="A279" s="363"/>
      <c r="B279" s="363"/>
      <c r="C279" s="632"/>
      <c r="D279" s="632"/>
      <c r="E279" s="632"/>
      <c r="F279" s="632"/>
      <c r="G279" s="632"/>
      <c r="H279" s="632"/>
      <c r="I279" s="632"/>
      <c r="J279" s="632"/>
      <c r="K279" s="632"/>
      <c r="L279" s="632"/>
      <c r="M279" s="632"/>
      <c r="N279" s="632"/>
      <c r="O279" s="632"/>
      <c r="P279" s="632"/>
      <c r="Q279" s="632"/>
      <c r="R279" s="632"/>
      <c r="S279" s="632"/>
      <c r="T279" s="632"/>
      <c r="U279" s="632"/>
      <c r="V279" s="632"/>
      <c r="W279" s="632"/>
      <c r="X279" s="632"/>
      <c r="Y279" s="632"/>
      <c r="Z279" s="632"/>
      <c r="AA279" s="632"/>
      <c r="AB279" s="632"/>
      <c r="AC279" s="632"/>
      <c r="AD279" s="632"/>
      <c r="AE279" s="632"/>
      <c r="AF279" s="632"/>
      <c r="AG279" s="632"/>
      <c r="AH279" s="632"/>
      <c r="AI279" s="632"/>
      <c r="AJ279" s="632"/>
    </row>
    <row r="280" spans="1:39" x14ac:dyDescent="0.35">
      <c r="A280" s="364" t="s">
        <v>40</v>
      </c>
      <c r="B280" s="365"/>
      <c r="C280" s="638"/>
      <c r="D280" s="638"/>
      <c r="E280" s="638"/>
      <c r="F280" s="638"/>
      <c r="G280" s="638"/>
      <c r="H280" s="638"/>
      <c r="I280" s="638"/>
      <c r="J280" s="638"/>
      <c r="K280" s="638"/>
      <c r="L280" s="638"/>
      <c r="M280" s="638"/>
      <c r="N280" s="633" t="s">
        <v>176</v>
      </c>
      <c r="O280" s="638" t="str">
        <f>PETUNJUK!C5</f>
        <v>PECANGAAN</v>
      </c>
      <c r="P280" s="638"/>
      <c r="Q280" s="638"/>
      <c r="R280" s="638"/>
      <c r="S280" s="638"/>
      <c r="T280" s="638"/>
      <c r="U280" s="638"/>
      <c r="V280" s="638"/>
      <c r="W280" s="638"/>
      <c r="X280" s="638"/>
      <c r="Y280" s="638"/>
      <c r="Z280" s="638"/>
      <c r="AA280" s="638"/>
      <c r="AB280" s="638"/>
      <c r="AC280" s="638"/>
      <c r="AD280" s="638"/>
      <c r="AE280" s="638"/>
      <c r="AF280" s="638"/>
      <c r="AG280" s="638"/>
      <c r="AH280" s="638"/>
      <c r="AI280" s="638"/>
      <c r="AJ280" s="638"/>
    </row>
    <row r="281" spans="1:39" x14ac:dyDescent="0.35">
      <c r="A281" s="366" t="s">
        <v>0</v>
      </c>
      <c r="B281" s="367"/>
      <c r="C281" s="640"/>
      <c r="D281" s="633"/>
      <c r="E281" s="633"/>
      <c r="F281" s="640"/>
      <c r="G281" s="640"/>
      <c r="H281" s="640"/>
      <c r="I281" s="640"/>
      <c r="J281" s="640"/>
      <c r="K281" s="640"/>
      <c r="L281" s="640"/>
      <c r="M281" s="633"/>
      <c r="N281" s="639" t="s">
        <v>176</v>
      </c>
      <c r="O281" s="642" t="str">
        <f>'1.DATA KIA'!C276</f>
        <v xml:space="preserve">SEPTEMBER </v>
      </c>
      <c r="P281" s="633"/>
      <c r="Q281" s="633"/>
      <c r="R281" s="633"/>
      <c r="S281" s="633"/>
      <c r="T281" s="633"/>
      <c r="U281" s="633"/>
      <c r="V281" s="633"/>
      <c r="W281" s="633"/>
      <c r="X281" s="633"/>
      <c r="Y281" s="633"/>
      <c r="Z281" s="640"/>
      <c r="AA281" s="640"/>
      <c r="AB281" s="640"/>
      <c r="AC281" s="640"/>
      <c r="AD281" s="640"/>
      <c r="AE281" s="640"/>
      <c r="AF281" s="640"/>
      <c r="AG281" s="640"/>
      <c r="AH281" s="640"/>
      <c r="AI281" s="640"/>
      <c r="AJ281" s="640"/>
    </row>
    <row r="282" spans="1:39" x14ac:dyDescent="0.3">
      <c r="A282" s="799" t="s">
        <v>1</v>
      </c>
      <c r="B282" s="799" t="s">
        <v>2</v>
      </c>
      <c r="C282" s="794" t="s">
        <v>301</v>
      </c>
      <c r="D282" s="795"/>
      <c r="E282" s="795"/>
      <c r="F282" s="795"/>
      <c r="G282" s="795"/>
      <c r="H282" s="795"/>
      <c r="I282" s="795"/>
      <c r="J282" s="795"/>
      <c r="K282" s="795"/>
      <c r="L282" s="795"/>
      <c r="M282" s="795"/>
      <c r="N282" s="795"/>
      <c r="O282" s="795"/>
      <c r="P282" s="795"/>
      <c r="Q282" s="795"/>
      <c r="R282" s="795"/>
      <c r="S282" s="795"/>
      <c r="T282" s="795"/>
      <c r="U282" s="795"/>
      <c r="V282" s="795"/>
      <c r="W282" s="795"/>
      <c r="X282" s="795"/>
      <c r="Y282" s="795"/>
      <c r="Z282" s="795"/>
      <c r="AA282" s="795"/>
      <c r="AB282" s="795"/>
      <c r="AC282" s="795"/>
      <c r="AD282" s="795"/>
      <c r="AE282" s="795"/>
      <c r="AF282" s="795"/>
      <c r="AG282" s="795"/>
      <c r="AH282" s="795"/>
      <c r="AI282" s="795"/>
      <c r="AJ282" s="796"/>
      <c r="AK282" s="792" t="s">
        <v>307</v>
      </c>
      <c r="AL282" s="792" t="s">
        <v>308</v>
      </c>
      <c r="AM282" s="792" t="s">
        <v>309</v>
      </c>
    </row>
    <row r="283" spans="1:39" ht="139" customHeight="1" x14ac:dyDescent="0.3">
      <c r="A283" s="800"/>
      <c r="B283" s="800"/>
      <c r="C283" s="368" t="s">
        <v>55</v>
      </c>
      <c r="D283" s="369" t="s">
        <v>190</v>
      </c>
      <c r="E283" s="369" t="s">
        <v>43</v>
      </c>
      <c r="F283" s="369" t="s">
        <v>53</v>
      </c>
      <c r="G283" s="369" t="s">
        <v>302</v>
      </c>
      <c r="H283" s="369" t="s">
        <v>303</v>
      </c>
      <c r="I283" s="369" t="s">
        <v>294</v>
      </c>
      <c r="J283" s="369" t="s">
        <v>304</v>
      </c>
      <c r="K283" s="369" t="s">
        <v>305</v>
      </c>
      <c r="L283" s="369" t="s">
        <v>306</v>
      </c>
      <c r="M283" s="369" t="s">
        <v>44</v>
      </c>
      <c r="N283" s="370" t="s">
        <v>178</v>
      </c>
      <c r="O283" s="369" t="s">
        <v>41</v>
      </c>
      <c r="P283" s="369" t="s">
        <v>180</v>
      </c>
      <c r="Q283" s="369" t="s">
        <v>42</v>
      </c>
      <c r="R283" s="369" t="s">
        <v>45</v>
      </c>
      <c r="S283" s="369" t="s">
        <v>46</v>
      </c>
      <c r="T283" s="369" t="s">
        <v>47</v>
      </c>
      <c r="U283" s="369" t="s">
        <v>48</v>
      </c>
      <c r="V283" s="369" t="s">
        <v>49</v>
      </c>
      <c r="W283" s="369" t="s">
        <v>50</v>
      </c>
      <c r="X283" s="369" t="s">
        <v>51</v>
      </c>
      <c r="Y283" s="369" t="s">
        <v>52</v>
      </c>
      <c r="Z283" s="369" t="s">
        <v>54</v>
      </c>
      <c r="AA283" s="369" t="s">
        <v>56</v>
      </c>
      <c r="AB283" s="369" t="s">
        <v>57</v>
      </c>
      <c r="AC283" s="369" t="s">
        <v>58</v>
      </c>
      <c r="AD283" s="369" t="s">
        <v>59</v>
      </c>
      <c r="AE283" s="369" t="s">
        <v>60</v>
      </c>
      <c r="AF283" s="370" t="s">
        <v>179</v>
      </c>
      <c r="AG283" s="370" t="s">
        <v>310</v>
      </c>
      <c r="AH283" s="369" t="s">
        <v>33</v>
      </c>
      <c r="AI283" s="369" t="s">
        <v>61</v>
      </c>
      <c r="AJ283" s="369" t="s">
        <v>18</v>
      </c>
      <c r="AK283" s="793"/>
      <c r="AL283" s="793"/>
      <c r="AM283" s="793"/>
    </row>
    <row r="284" spans="1:39" ht="18" customHeight="1" x14ac:dyDescent="0.3">
      <c r="A284" s="371">
        <v>1</v>
      </c>
      <c r="B284" s="372" t="str">
        <f>PETUNJUK!B9</f>
        <v>Pecangaan Kulon</v>
      </c>
      <c r="C284" s="373"/>
      <c r="D284" s="373"/>
      <c r="E284" s="373"/>
      <c r="F284" s="373"/>
      <c r="G284" s="373"/>
      <c r="H284" s="373"/>
      <c r="I284" s="373"/>
      <c r="J284" s="373"/>
      <c r="K284" s="373"/>
      <c r="L284" s="373"/>
      <c r="M284" s="373"/>
      <c r="N284" s="373"/>
      <c r="O284" s="373"/>
      <c r="P284" s="373"/>
      <c r="Q284" s="373"/>
      <c r="R284" s="373"/>
      <c r="S284" s="373"/>
      <c r="T284" s="373"/>
      <c r="U284" s="373"/>
      <c r="V284" s="373"/>
      <c r="W284" s="373"/>
      <c r="X284" s="373"/>
      <c r="Y284" s="373"/>
      <c r="Z284" s="373"/>
      <c r="AA284" s="373"/>
      <c r="AB284" s="373"/>
      <c r="AC284" s="373"/>
      <c r="AD284" s="373"/>
      <c r="AE284" s="373"/>
      <c r="AF284" s="373"/>
      <c r="AG284" s="373"/>
      <c r="AH284" s="373"/>
      <c r="AI284" s="373"/>
      <c r="AJ284" s="373"/>
      <c r="AK284" s="373"/>
      <c r="AL284" s="373"/>
      <c r="AM284" s="373"/>
    </row>
    <row r="285" spans="1:39" ht="18" customHeight="1" x14ac:dyDescent="0.3">
      <c r="A285" s="371">
        <v>2</v>
      </c>
      <c r="B285" s="372" t="str">
        <f>PETUNJUK!B10</f>
        <v>Rengging</v>
      </c>
      <c r="C285" s="373"/>
      <c r="D285" s="373"/>
      <c r="E285" s="373"/>
      <c r="F285" s="373"/>
      <c r="G285" s="373"/>
      <c r="H285" s="373"/>
      <c r="I285" s="373"/>
      <c r="J285" s="373"/>
      <c r="K285" s="373"/>
      <c r="L285" s="373"/>
      <c r="M285" s="373"/>
      <c r="N285" s="373"/>
      <c r="O285" s="373"/>
      <c r="P285" s="373"/>
      <c r="Q285" s="373"/>
      <c r="R285" s="373"/>
      <c r="S285" s="373"/>
      <c r="T285" s="373"/>
      <c r="U285" s="373"/>
      <c r="V285" s="373"/>
      <c r="W285" s="373"/>
      <c r="X285" s="373"/>
      <c r="Y285" s="373"/>
      <c r="Z285" s="373"/>
      <c r="AA285" s="373"/>
      <c r="AB285" s="373"/>
      <c r="AC285" s="373"/>
      <c r="AD285" s="373"/>
      <c r="AE285" s="373"/>
      <c r="AF285" s="373"/>
      <c r="AG285" s="373"/>
      <c r="AH285" s="373"/>
      <c r="AI285" s="373"/>
      <c r="AJ285" s="373"/>
      <c r="AK285" s="373"/>
      <c r="AL285" s="373"/>
      <c r="AM285" s="373"/>
    </row>
    <row r="286" spans="1:39" ht="18" customHeight="1" x14ac:dyDescent="0.3">
      <c r="A286" s="371">
        <v>3</v>
      </c>
      <c r="B286" s="372" t="str">
        <f>PETUNJUK!B11</f>
        <v>Troso</v>
      </c>
      <c r="C286" s="373"/>
      <c r="D286" s="373"/>
      <c r="E286" s="373"/>
      <c r="F286" s="373"/>
      <c r="G286" s="373"/>
      <c r="H286" s="373"/>
      <c r="I286" s="373"/>
      <c r="J286" s="373"/>
      <c r="K286" s="373"/>
      <c r="L286" s="373"/>
      <c r="M286" s="373"/>
      <c r="N286" s="373"/>
      <c r="O286" s="373"/>
      <c r="P286" s="373"/>
      <c r="Q286" s="373"/>
      <c r="R286" s="373"/>
      <c r="S286" s="373"/>
      <c r="T286" s="373"/>
      <c r="U286" s="373"/>
      <c r="V286" s="373"/>
      <c r="W286" s="373"/>
      <c r="X286" s="373"/>
      <c r="Y286" s="373"/>
      <c r="Z286" s="373"/>
      <c r="AA286" s="373"/>
      <c r="AB286" s="373"/>
      <c r="AC286" s="373"/>
      <c r="AD286" s="373"/>
      <c r="AE286" s="373"/>
      <c r="AF286" s="373"/>
      <c r="AG286" s="373"/>
      <c r="AH286" s="373"/>
      <c r="AI286" s="373"/>
      <c r="AJ286" s="373"/>
      <c r="AK286" s="373"/>
      <c r="AL286" s="373"/>
      <c r="AM286" s="373"/>
    </row>
    <row r="287" spans="1:39" ht="18" customHeight="1" x14ac:dyDescent="0.3">
      <c r="A287" s="371">
        <v>4</v>
      </c>
      <c r="B287" s="372" t="str">
        <f>PETUNJUK!B12</f>
        <v>Ngeling</v>
      </c>
      <c r="C287" s="373"/>
      <c r="D287" s="373"/>
      <c r="E287" s="373"/>
      <c r="F287" s="373"/>
      <c r="G287" s="373"/>
      <c r="H287" s="373"/>
      <c r="I287" s="373"/>
      <c r="J287" s="373"/>
      <c r="K287" s="373"/>
      <c r="L287" s="373"/>
      <c r="M287" s="373"/>
      <c r="N287" s="373"/>
      <c r="O287" s="373"/>
      <c r="P287" s="373"/>
      <c r="Q287" s="373"/>
      <c r="R287" s="373"/>
      <c r="S287" s="373"/>
      <c r="T287" s="373"/>
      <c r="U287" s="373"/>
      <c r="V287" s="373"/>
      <c r="W287" s="373"/>
      <c r="X287" s="373"/>
      <c r="Y287" s="373"/>
      <c r="Z287" s="373"/>
      <c r="AA287" s="373"/>
      <c r="AB287" s="373"/>
      <c r="AC287" s="373"/>
      <c r="AD287" s="373"/>
      <c r="AE287" s="373"/>
      <c r="AF287" s="373"/>
      <c r="AG287" s="373"/>
      <c r="AH287" s="373"/>
      <c r="AI287" s="373"/>
      <c r="AJ287" s="373"/>
      <c r="AK287" s="373"/>
      <c r="AL287" s="373"/>
      <c r="AM287" s="373"/>
    </row>
    <row r="288" spans="1:39" ht="18" customHeight="1" x14ac:dyDescent="0.3">
      <c r="A288" s="371">
        <v>5</v>
      </c>
      <c r="B288" s="372" t="str">
        <f>PETUNJUK!B13</f>
        <v>Lebuawu</v>
      </c>
      <c r="C288" s="373"/>
      <c r="D288" s="373"/>
      <c r="E288" s="373"/>
      <c r="F288" s="373"/>
      <c r="G288" s="373"/>
      <c r="H288" s="373"/>
      <c r="I288" s="373"/>
      <c r="J288" s="373"/>
      <c r="K288" s="373"/>
      <c r="L288" s="373"/>
      <c r="M288" s="373"/>
      <c r="N288" s="373"/>
      <c r="O288" s="373"/>
      <c r="P288" s="373"/>
      <c r="Q288" s="373"/>
      <c r="R288" s="373"/>
      <c r="S288" s="373"/>
      <c r="T288" s="373"/>
      <c r="U288" s="373"/>
      <c r="V288" s="373"/>
      <c r="W288" s="373"/>
      <c r="X288" s="373"/>
      <c r="Y288" s="373"/>
      <c r="Z288" s="373"/>
      <c r="AA288" s="373"/>
      <c r="AB288" s="373"/>
      <c r="AC288" s="373"/>
      <c r="AD288" s="373"/>
      <c r="AE288" s="373"/>
      <c r="AF288" s="373"/>
      <c r="AG288" s="373"/>
      <c r="AH288" s="373"/>
      <c r="AI288" s="373"/>
      <c r="AJ288" s="373"/>
      <c r="AK288" s="373"/>
      <c r="AL288" s="373"/>
      <c r="AM288" s="373"/>
    </row>
    <row r="289" spans="1:39" ht="18" customHeight="1" x14ac:dyDescent="0.3">
      <c r="A289" s="371">
        <v>6</v>
      </c>
      <c r="B289" s="372" t="str">
        <f>PETUNJUK!B14</f>
        <v>Pulodarat</v>
      </c>
      <c r="C289" s="373"/>
      <c r="D289" s="373"/>
      <c r="E289" s="373"/>
      <c r="F289" s="373"/>
      <c r="G289" s="373"/>
      <c r="H289" s="373"/>
      <c r="I289" s="373"/>
      <c r="J289" s="373"/>
      <c r="K289" s="373"/>
      <c r="L289" s="373"/>
      <c r="M289" s="373"/>
      <c r="N289" s="373"/>
      <c r="O289" s="373"/>
      <c r="P289" s="373"/>
      <c r="Q289" s="373"/>
      <c r="R289" s="373"/>
      <c r="S289" s="373"/>
      <c r="T289" s="373"/>
      <c r="U289" s="373"/>
      <c r="V289" s="373"/>
      <c r="W289" s="373"/>
      <c r="X289" s="373"/>
      <c r="Y289" s="373"/>
      <c r="Z289" s="373"/>
      <c r="AA289" s="373"/>
      <c r="AB289" s="373"/>
      <c r="AC289" s="373"/>
      <c r="AD289" s="373"/>
      <c r="AE289" s="373"/>
      <c r="AF289" s="373"/>
      <c r="AG289" s="373"/>
      <c r="AH289" s="373"/>
      <c r="AI289" s="373"/>
      <c r="AJ289" s="373"/>
      <c r="AK289" s="373"/>
      <c r="AL289" s="373"/>
      <c r="AM289" s="373"/>
    </row>
    <row r="290" spans="1:39" ht="18" customHeight="1" x14ac:dyDescent="0.3">
      <c r="A290" s="371">
        <v>7</v>
      </c>
      <c r="B290" s="372" t="str">
        <f>PETUNJUK!B15</f>
        <v>Karangrandu</v>
      </c>
      <c r="C290" s="373"/>
      <c r="D290" s="373"/>
      <c r="E290" s="373"/>
      <c r="F290" s="373"/>
      <c r="G290" s="373"/>
      <c r="H290" s="373"/>
      <c r="I290" s="373"/>
      <c r="J290" s="373"/>
      <c r="K290" s="373"/>
      <c r="L290" s="373"/>
      <c r="M290" s="373"/>
      <c r="N290" s="373"/>
      <c r="O290" s="373"/>
      <c r="P290" s="373"/>
      <c r="Q290" s="373"/>
      <c r="R290" s="373"/>
      <c r="S290" s="373"/>
      <c r="T290" s="373"/>
      <c r="U290" s="373"/>
      <c r="V290" s="373"/>
      <c r="W290" s="373"/>
      <c r="X290" s="373"/>
      <c r="Y290" s="373"/>
      <c r="Z290" s="373"/>
      <c r="AA290" s="373"/>
      <c r="AB290" s="373"/>
      <c r="AC290" s="373"/>
      <c r="AD290" s="373"/>
      <c r="AE290" s="373"/>
      <c r="AF290" s="373"/>
      <c r="AG290" s="373"/>
      <c r="AH290" s="373"/>
      <c r="AI290" s="373"/>
      <c r="AJ290" s="373"/>
      <c r="AK290" s="373"/>
      <c r="AL290" s="373"/>
      <c r="AM290" s="373"/>
    </row>
    <row r="291" spans="1:39" ht="18" customHeight="1" x14ac:dyDescent="0.3">
      <c r="A291" s="371">
        <v>8</v>
      </c>
      <c r="B291" s="372" t="str">
        <f>PETUNJUK!B16</f>
        <v>Kaliombo</v>
      </c>
      <c r="C291" s="373"/>
      <c r="D291" s="373"/>
      <c r="E291" s="373"/>
      <c r="F291" s="373"/>
      <c r="G291" s="373"/>
      <c r="H291" s="373"/>
      <c r="I291" s="373"/>
      <c r="J291" s="373"/>
      <c r="K291" s="373"/>
      <c r="L291" s="373"/>
      <c r="M291" s="373"/>
      <c r="N291" s="373"/>
      <c r="O291" s="373"/>
      <c r="P291" s="373"/>
      <c r="Q291" s="373"/>
      <c r="R291" s="373"/>
      <c r="S291" s="373"/>
      <c r="T291" s="373"/>
      <c r="U291" s="373"/>
      <c r="V291" s="373"/>
      <c r="W291" s="373"/>
      <c r="X291" s="373"/>
      <c r="Y291" s="373"/>
      <c r="Z291" s="373"/>
      <c r="AA291" s="373"/>
      <c r="AB291" s="373"/>
      <c r="AC291" s="373"/>
      <c r="AD291" s="373"/>
      <c r="AE291" s="373"/>
      <c r="AF291" s="373"/>
      <c r="AG291" s="373"/>
      <c r="AH291" s="373"/>
      <c r="AI291" s="373"/>
      <c r="AJ291" s="373"/>
      <c r="AK291" s="373"/>
      <c r="AL291" s="373"/>
      <c r="AM291" s="373"/>
    </row>
    <row r="292" spans="1:39" ht="18" customHeight="1" x14ac:dyDescent="0.3">
      <c r="A292" s="371">
        <v>9</v>
      </c>
      <c r="B292" s="372" t="str">
        <f>PETUNJUK!B17</f>
        <v>Gemulung</v>
      </c>
      <c r="C292" s="373"/>
      <c r="D292" s="373"/>
      <c r="E292" s="373"/>
      <c r="F292" s="373"/>
      <c r="G292" s="373"/>
      <c r="H292" s="373"/>
      <c r="I292" s="373"/>
      <c r="J292" s="373"/>
      <c r="K292" s="373"/>
      <c r="L292" s="373"/>
      <c r="M292" s="373"/>
      <c r="N292" s="373"/>
      <c r="O292" s="373"/>
      <c r="P292" s="373"/>
      <c r="Q292" s="373"/>
      <c r="R292" s="373"/>
      <c r="S292" s="373"/>
      <c r="T292" s="373"/>
      <c r="U292" s="373"/>
      <c r="V292" s="373"/>
      <c r="W292" s="373"/>
      <c r="X292" s="373"/>
      <c r="Y292" s="373"/>
      <c r="Z292" s="373"/>
      <c r="AA292" s="373"/>
      <c r="AB292" s="373"/>
      <c r="AC292" s="373"/>
      <c r="AD292" s="373"/>
      <c r="AE292" s="373"/>
      <c r="AF292" s="373"/>
      <c r="AG292" s="373"/>
      <c r="AH292" s="373"/>
      <c r="AI292" s="373"/>
      <c r="AJ292" s="373"/>
      <c r="AK292" s="373"/>
      <c r="AL292" s="373"/>
      <c r="AM292" s="373"/>
    </row>
    <row r="293" spans="1:39" ht="18" customHeight="1" x14ac:dyDescent="0.3">
      <c r="A293" s="371">
        <v>10</v>
      </c>
      <c r="B293" s="372" t="str">
        <f>PETUNJUK!B18</f>
        <v>Pecangaan Wetan</v>
      </c>
      <c r="C293" s="373"/>
      <c r="D293" s="373"/>
      <c r="E293" s="373"/>
      <c r="F293" s="373"/>
      <c r="G293" s="373"/>
      <c r="H293" s="373"/>
      <c r="I293" s="373"/>
      <c r="J293" s="373"/>
      <c r="K293" s="373"/>
      <c r="L293" s="373"/>
      <c r="M293" s="373"/>
      <c r="N293" s="373"/>
      <c r="O293" s="373"/>
      <c r="P293" s="373"/>
      <c r="Q293" s="373"/>
      <c r="R293" s="373"/>
      <c r="S293" s="373"/>
      <c r="T293" s="373"/>
      <c r="U293" s="373"/>
      <c r="V293" s="373"/>
      <c r="W293" s="373"/>
      <c r="X293" s="373"/>
      <c r="Y293" s="373"/>
      <c r="Z293" s="373"/>
      <c r="AA293" s="373"/>
      <c r="AB293" s="373"/>
      <c r="AC293" s="373"/>
      <c r="AD293" s="373"/>
      <c r="AE293" s="373"/>
      <c r="AF293" s="373"/>
      <c r="AG293" s="373"/>
      <c r="AH293" s="373"/>
      <c r="AI293" s="373"/>
      <c r="AJ293" s="373"/>
      <c r="AK293" s="373"/>
      <c r="AL293" s="373"/>
      <c r="AM293" s="373"/>
    </row>
    <row r="294" spans="1:39" ht="18" customHeight="1" x14ac:dyDescent="0.3">
      <c r="A294" s="371">
        <v>11</v>
      </c>
      <c r="B294" s="372" t="str">
        <f>PETUNJUK!B19</f>
        <v>Krasak</v>
      </c>
      <c r="C294" s="373"/>
      <c r="D294" s="373"/>
      <c r="E294" s="373"/>
      <c r="F294" s="373"/>
      <c r="G294" s="373"/>
      <c r="H294" s="373"/>
      <c r="I294" s="373"/>
      <c r="J294" s="373"/>
      <c r="K294" s="373"/>
      <c r="L294" s="373"/>
      <c r="M294" s="373"/>
      <c r="N294" s="373"/>
      <c r="O294" s="373"/>
      <c r="P294" s="373"/>
      <c r="Q294" s="373"/>
      <c r="R294" s="373"/>
      <c r="S294" s="373"/>
      <c r="T294" s="373"/>
      <c r="U294" s="373"/>
      <c r="V294" s="373"/>
      <c r="W294" s="373"/>
      <c r="X294" s="373"/>
      <c r="Y294" s="373"/>
      <c r="Z294" s="373"/>
      <c r="AA294" s="373"/>
      <c r="AB294" s="373"/>
      <c r="AC294" s="373"/>
      <c r="AD294" s="373"/>
      <c r="AE294" s="373"/>
      <c r="AF294" s="373"/>
      <c r="AG294" s="373"/>
      <c r="AH294" s="373"/>
      <c r="AI294" s="373"/>
      <c r="AJ294" s="373"/>
      <c r="AK294" s="373"/>
      <c r="AL294" s="373"/>
      <c r="AM294" s="373"/>
    </row>
    <row r="295" spans="1:39" ht="18" customHeight="1" x14ac:dyDescent="0.3">
      <c r="A295" s="371">
        <v>12</v>
      </c>
      <c r="B295" s="372" t="str">
        <f>PETUNJUK!B20</f>
        <v>Gerdu</v>
      </c>
      <c r="C295" s="373"/>
      <c r="D295" s="373"/>
      <c r="E295" s="373"/>
      <c r="F295" s="373"/>
      <c r="G295" s="373"/>
      <c r="H295" s="373"/>
      <c r="I295" s="373"/>
      <c r="J295" s="373"/>
      <c r="K295" s="373"/>
      <c r="L295" s="373"/>
      <c r="M295" s="373"/>
      <c r="N295" s="373"/>
      <c r="O295" s="373"/>
      <c r="P295" s="373"/>
      <c r="Q295" s="373"/>
      <c r="R295" s="373"/>
      <c r="S295" s="373"/>
      <c r="T295" s="373"/>
      <c r="U295" s="373"/>
      <c r="V295" s="373"/>
      <c r="W295" s="373"/>
      <c r="X295" s="373"/>
      <c r="Y295" s="373"/>
      <c r="Z295" s="373"/>
      <c r="AA295" s="373"/>
      <c r="AB295" s="373"/>
      <c r="AC295" s="373"/>
      <c r="AD295" s="373"/>
      <c r="AE295" s="373"/>
      <c r="AF295" s="373"/>
      <c r="AG295" s="373"/>
      <c r="AH295" s="373"/>
      <c r="AI295" s="373"/>
      <c r="AJ295" s="373"/>
      <c r="AK295" s="373"/>
      <c r="AL295" s="373"/>
      <c r="AM295" s="373"/>
    </row>
    <row r="296" spans="1:39" ht="18" customHeight="1" x14ac:dyDescent="0.3">
      <c r="A296" s="371">
        <v>13</v>
      </c>
      <c r="B296" s="372">
        <f>PETUNJUK!B21</f>
        <v>0</v>
      </c>
      <c r="C296" s="373"/>
      <c r="D296" s="373"/>
      <c r="E296" s="373"/>
      <c r="F296" s="373"/>
      <c r="G296" s="373"/>
      <c r="H296" s="373"/>
      <c r="I296" s="373"/>
      <c r="J296" s="373"/>
      <c r="K296" s="373"/>
      <c r="L296" s="373"/>
      <c r="M296" s="373"/>
      <c r="N296" s="373"/>
      <c r="O296" s="373"/>
      <c r="P296" s="373"/>
      <c r="Q296" s="373"/>
      <c r="R296" s="373"/>
      <c r="S296" s="373"/>
      <c r="T296" s="373"/>
      <c r="U296" s="373"/>
      <c r="V296" s="373"/>
      <c r="W296" s="373"/>
      <c r="X296" s="373"/>
      <c r="Y296" s="373"/>
      <c r="Z296" s="373"/>
      <c r="AA296" s="373"/>
      <c r="AB296" s="373"/>
      <c r="AC296" s="373"/>
      <c r="AD296" s="373"/>
      <c r="AE296" s="373"/>
      <c r="AF296" s="373"/>
      <c r="AG296" s="373"/>
      <c r="AH296" s="373"/>
      <c r="AI296" s="373"/>
      <c r="AJ296" s="373"/>
      <c r="AK296" s="373"/>
      <c r="AL296" s="373"/>
      <c r="AM296" s="373"/>
    </row>
    <row r="297" spans="1:39" ht="18" customHeight="1" x14ac:dyDescent="0.3">
      <c r="A297" s="371">
        <v>14</v>
      </c>
      <c r="B297" s="372">
        <f>PETUNJUK!B22</f>
        <v>0</v>
      </c>
      <c r="C297" s="373"/>
      <c r="D297" s="373"/>
      <c r="E297" s="373"/>
      <c r="F297" s="373"/>
      <c r="G297" s="373"/>
      <c r="H297" s="373"/>
      <c r="I297" s="373"/>
      <c r="J297" s="373"/>
      <c r="K297" s="373"/>
      <c r="L297" s="373"/>
      <c r="M297" s="373"/>
      <c r="N297" s="373"/>
      <c r="O297" s="373"/>
      <c r="P297" s="373"/>
      <c r="Q297" s="373"/>
      <c r="R297" s="373"/>
      <c r="S297" s="373"/>
      <c r="T297" s="373"/>
      <c r="U297" s="373"/>
      <c r="V297" s="373"/>
      <c r="W297" s="373"/>
      <c r="X297" s="373"/>
      <c r="Y297" s="373"/>
      <c r="Z297" s="373"/>
      <c r="AA297" s="373"/>
      <c r="AB297" s="373"/>
      <c r="AC297" s="373"/>
      <c r="AD297" s="373"/>
      <c r="AE297" s="373"/>
      <c r="AF297" s="373"/>
      <c r="AG297" s="373"/>
      <c r="AH297" s="373"/>
      <c r="AI297" s="373"/>
      <c r="AJ297" s="373"/>
      <c r="AK297" s="373"/>
      <c r="AL297" s="373"/>
      <c r="AM297" s="373"/>
    </row>
    <row r="298" spans="1:39" ht="18" customHeight="1" x14ac:dyDescent="0.3">
      <c r="A298" s="371">
        <v>15</v>
      </c>
      <c r="B298" s="372">
        <f>PETUNJUK!B23</f>
        <v>0</v>
      </c>
      <c r="C298" s="373"/>
      <c r="D298" s="373"/>
      <c r="E298" s="373"/>
      <c r="F298" s="373"/>
      <c r="G298" s="373"/>
      <c r="H298" s="373"/>
      <c r="I298" s="373"/>
      <c r="J298" s="373"/>
      <c r="K298" s="373"/>
      <c r="L298" s="373"/>
      <c r="M298" s="373"/>
      <c r="N298" s="373"/>
      <c r="O298" s="373"/>
      <c r="P298" s="373"/>
      <c r="Q298" s="373"/>
      <c r="R298" s="373"/>
      <c r="S298" s="373"/>
      <c r="T298" s="373"/>
      <c r="U298" s="373"/>
      <c r="V298" s="373"/>
      <c r="W298" s="373"/>
      <c r="X298" s="373"/>
      <c r="Y298" s="373"/>
      <c r="Z298" s="373"/>
      <c r="AA298" s="373"/>
      <c r="AB298" s="373"/>
      <c r="AC298" s="373"/>
      <c r="AD298" s="373"/>
      <c r="AE298" s="373"/>
      <c r="AF298" s="373"/>
      <c r="AG298" s="373"/>
      <c r="AH298" s="373"/>
      <c r="AI298" s="373"/>
      <c r="AJ298" s="373"/>
      <c r="AK298" s="373"/>
      <c r="AL298" s="373"/>
      <c r="AM298" s="373"/>
    </row>
    <row r="299" spans="1:39" ht="18" customHeight="1" x14ac:dyDescent="0.3">
      <c r="A299" s="371">
        <v>16</v>
      </c>
      <c r="B299" s="372">
        <f>PETUNJUK!B24</f>
        <v>0</v>
      </c>
      <c r="C299" s="373"/>
      <c r="D299" s="373"/>
      <c r="E299" s="373"/>
      <c r="F299" s="373"/>
      <c r="G299" s="373"/>
      <c r="H299" s="373"/>
      <c r="I299" s="373"/>
      <c r="J299" s="373"/>
      <c r="K299" s="373"/>
      <c r="L299" s="373"/>
      <c r="M299" s="373"/>
      <c r="N299" s="373"/>
      <c r="O299" s="373"/>
      <c r="P299" s="373"/>
      <c r="Q299" s="373"/>
      <c r="R299" s="373"/>
      <c r="S299" s="373"/>
      <c r="T299" s="373"/>
      <c r="U299" s="373"/>
      <c r="V299" s="373"/>
      <c r="W299" s="373"/>
      <c r="X299" s="373"/>
      <c r="Y299" s="373"/>
      <c r="Z299" s="373"/>
      <c r="AA299" s="373"/>
      <c r="AB299" s="373"/>
      <c r="AC299" s="373"/>
      <c r="AD299" s="373"/>
      <c r="AE299" s="373"/>
      <c r="AF299" s="373"/>
      <c r="AG299" s="373"/>
      <c r="AH299" s="373"/>
      <c r="AI299" s="373"/>
      <c r="AJ299" s="373"/>
      <c r="AK299" s="373"/>
      <c r="AL299" s="373"/>
      <c r="AM299" s="373"/>
    </row>
    <row r="300" spans="1:39" ht="18" customHeight="1" x14ac:dyDescent="0.3">
      <c r="A300" s="371">
        <v>17</v>
      </c>
      <c r="B300" s="372">
        <f>PETUNJUK!B25</f>
        <v>0</v>
      </c>
      <c r="C300" s="373"/>
      <c r="D300" s="373"/>
      <c r="E300" s="373"/>
      <c r="F300" s="373"/>
      <c r="G300" s="373"/>
      <c r="H300" s="373"/>
      <c r="I300" s="373"/>
      <c r="J300" s="373"/>
      <c r="K300" s="373"/>
      <c r="L300" s="373"/>
      <c r="M300" s="373"/>
      <c r="N300" s="373"/>
      <c r="O300" s="373"/>
      <c r="P300" s="373"/>
      <c r="Q300" s="373"/>
      <c r="R300" s="373"/>
      <c r="S300" s="373"/>
      <c r="T300" s="373"/>
      <c r="U300" s="373"/>
      <c r="V300" s="373"/>
      <c r="W300" s="373"/>
      <c r="X300" s="373"/>
      <c r="Y300" s="373"/>
      <c r="Z300" s="373"/>
      <c r="AA300" s="373"/>
      <c r="AB300" s="373"/>
      <c r="AC300" s="373"/>
      <c r="AD300" s="373"/>
      <c r="AE300" s="373"/>
      <c r="AF300" s="373"/>
      <c r="AG300" s="373"/>
      <c r="AH300" s="373"/>
      <c r="AI300" s="373"/>
      <c r="AJ300" s="373"/>
      <c r="AK300" s="373"/>
      <c r="AL300" s="373"/>
      <c r="AM300" s="373"/>
    </row>
    <row r="301" spans="1:39" ht="18" customHeight="1" x14ac:dyDescent="0.3">
      <c r="A301" s="371">
        <v>18</v>
      </c>
      <c r="B301" s="372">
        <f>PETUNJUK!B26</f>
        <v>0</v>
      </c>
      <c r="C301" s="373"/>
      <c r="D301" s="373"/>
      <c r="E301" s="373"/>
      <c r="F301" s="373"/>
      <c r="G301" s="373"/>
      <c r="H301" s="373"/>
      <c r="I301" s="373"/>
      <c r="J301" s="373"/>
      <c r="K301" s="373"/>
      <c r="L301" s="373"/>
      <c r="M301" s="373"/>
      <c r="N301" s="373"/>
      <c r="O301" s="373"/>
      <c r="P301" s="373"/>
      <c r="Q301" s="373"/>
      <c r="R301" s="373"/>
      <c r="S301" s="373"/>
      <c r="T301" s="373"/>
      <c r="U301" s="373"/>
      <c r="V301" s="373"/>
      <c r="W301" s="373"/>
      <c r="X301" s="373"/>
      <c r="Y301" s="373"/>
      <c r="Z301" s="373"/>
      <c r="AA301" s="373"/>
      <c r="AB301" s="373"/>
      <c r="AC301" s="373"/>
      <c r="AD301" s="373"/>
      <c r="AE301" s="373"/>
      <c r="AF301" s="373"/>
      <c r="AG301" s="373"/>
      <c r="AH301" s="373"/>
      <c r="AI301" s="373"/>
      <c r="AJ301" s="373"/>
      <c r="AK301" s="373"/>
      <c r="AL301" s="373"/>
      <c r="AM301" s="373"/>
    </row>
    <row r="302" spans="1:39" ht="18" customHeight="1" x14ac:dyDescent="0.3">
      <c r="A302" s="371">
        <v>19</v>
      </c>
      <c r="B302" s="372">
        <f>PETUNJUK!B27</f>
        <v>0</v>
      </c>
      <c r="C302" s="373"/>
      <c r="D302" s="373"/>
      <c r="E302" s="373"/>
      <c r="F302" s="373"/>
      <c r="G302" s="373"/>
      <c r="H302" s="373"/>
      <c r="I302" s="373"/>
      <c r="J302" s="373"/>
      <c r="K302" s="373"/>
      <c r="L302" s="373"/>
      <c r="M302" s="373"/>
      <c r="N302" s="373"/>
      <c r="O302" s="373"/>
      <c r="P302" s="373"/>
      <c r="Q302" s="373"/>
      <c r="R302" s="373"/>
      <c r="S302" s="373"/>
      <c r="T302" s="373"/>
      <c r="U302" s="373"/>
      <c r="V302" s="373"/>
      <c r="W302" s="373"/>
      <c r="X302" s="373"/>
      <c r="Y302" s="373"/>
      <c r="Z302" s="373"/>
      <c r="AA302" s="373"/>
      <c r="AB302" s="373"/>
      <c r="AC302" s="373"/>
      <c r="AD302" s="373"/>
      <c r="AE302" s="373"/>
      <c r="AF302" s="373"/>
      <c r="AG302" s="373"/>
      <c r="AH302" s="373"/>
      <c r="AI302" s="373"/>
      <c r="AJ302" s="373"/>
      <c r="AK302" s="373"/>
      <c r="AL302" s="373"/>
      <c r="AM302" s="373"/>
    </row>
    <row r="303" spans="1:39" ht="18" customHeight="1" x14ac:dyDescent="0.3">
      <c r="A303" s="371">
        <v>20</v>
      </c>
      <c r="B303" s="372">
        <f>PETUNJUK!B28</f>
        <v>0</v>
      </c>
      <c r="C303" s="373"/>
      <c r="D303" s="373"/>
      <c r="E303" s="373"/>
      <c r="F303" s="373"/>
      <c r="G303" s="373"/>
      <c r="H303" s="373"/>
      <c r="I303" s="373"/>
      <c r="J303" s="373"/>
      <c r="K303" s="373"/>
      <c r="L303" s="373"/>
      <c r="M303" s="373"/>
      <c r="N303" s="373"/>
      <c r="O303" s="373"/>
      <c r="P303" s="373"/>
      <c r="Q303" s="373"/>
      <c r="R303" s="373"/>
      <c r="S303" s="373"/>
      <c r="T303" s="373"/>
      <c r="U303" s="373"/>
      <c r="V303" s="373"/>
      <c r="W303" s="373"/>
      <c r="X303" s="373"/>
      <c r="Y303" s="373"/>
      <c r="Z303" s="373"/>
      <c r="AA303" s="373"/>
      <c r="AB303" s="373"/>
      <c r="AC303" s="373"/>
      <c r="AD303" s="373"/>
      <c r="AE303" s="373"/>
      <c r="AF303" s="373"/>
      <c r="AG303" s="373"/>
      <c r="AH303" s="373"/>
      <c r="AI303" s="373"/>
      <c r="AJ303" s="373"/>
      <c r="AK303" s="373"/>
      <c r="AL303" s="373"/>
      <c r="AM303" s="373"/>
    </row>
    <row r="304" spans="1:39" ht="18" customHeight="1" x14ac:dyDescent="0.3">
      <c r="A304" s="371">
        <v>21</v>
      </c>
      <c r="B304" s="372">
        <f>PETUNJUK!B29</f>
        <v>0</v>
      </c>
      <c r="C304" s="373"/>
      <c r="D304" s="373"/>
      <c r="E304" s="373"/>
      <c r="F304" s="373"/>
      <c r="G304" s="373"/>
      <c r="H304" s="373"/>
      <c r="I304" s="373"/>
      <c r="J304" s="373"/>
      <c r="K304" s="373"/>
      <c r="L304" s="373"/>
      <c r="M304" s="373"/>
      <c r="N304" s="373"/>
      <c r="O304" s="373"/>
      <c r="P304" s="373"/>
      <c r="Q304" s="373"/>
      <c r="R304" s="373"/>
      <c r="S304" s="373"/>
      <c r="T304" s="373"/>
      <c r="U304" s="373"/>
      <c r="V304" s="373"/>
      <c r="W304" s="373"/>
      <c r="X304" s="373"/>
      <c r="Y304" s="373"/>
      <c r="Z304" s="373"/>
      <c r="AA304" s="373"/>
      <c r="AB304" s="373"/>
      <c r="AC304" s="373"/>
      <c r="AD304" s="373"/>
      <c r="AE304" s="373"/>
      <c r="AF304" s="373"/>
      <c r="AG304" s="373"/>
      <c r="AH304" s="373"/>
      <c r="AI304" s="373"/>
      <c r="AJ304" s="373"/>
      <c r="AK304" s="373"/>
      <c r="AL304" s="373"/>
      <c r="AM304" s="373"/>
    </row>
    <row r="305" spans="1:39" ht="18" customHeight="1" thickBot="1" x14ac:dyDescent="0.35">
      <c r="A305" s="381">
        <v>22</v>
      </c>
      <c r="B305" s="372">
        <f>PETUNJUK!B30</f>
        <v>0</v>
      </c>
      <c r="C305" s="382"/>
      <c r="D305" s="382"/>
      <c r="E305" s="382"/>
      <c r="F305" s="382"/>
      <c r="G305" s="382"/>
      <c r="H305" s="382"/>
      <c r="I305" s="382"/>
      <c r="J305" s="382"/>
      <c r="K305" s="382"/>
      <c r="L305" s="382"/>
      <c r="M305" s="382"/>
      <c r="N305" s="382"/>
      <c r="O305" s="382"/>
      <c r="P305" s="382"/>
      <c r="Q305" s="382"/>
      <c r="R305" s="382"/>
      <c r="S305" s="382"/>
      <c r="T305" s="382"/>
      <c r="U305" s="382"/>
      <c r="V305" s="382"/>
      <c r="W305" s="382"/>
      <c r="X305" s="382"/>
      <c r="Y305" s="382"/>
      <c r="Z305" s="382"/>
      <c r="AA305" s="382"/>
      <c r="AB305" s="382"/>
      <c r="AC305" s="382"/>
      <c r="AD305" s="382"/>
      <c r="AE305" s="382"/>
      <c r="AF305" s="382"/>
      <c r="AG305" s="382"/>
      <c r="AH305" s="382"/>
      <c r="AI305" s="382"/>
      <c r="AJ305" s="373"/>
      <c r="AK305" s="382"/>
      <c r="AL305" s="382"/>
      <c r="AM305" s="382"/>
    </row>
    <row r="306" spans="1:39" ht="18" customHeight="1" thickBot="1" x14ac:dyDescent="0.35">
      <c r="A306" s="803" t="s">
        <v>62</v>
      </c>
      <c r="B306" s="805"/>
      <c r="C306" s="376">
        <f t="shared" ref="C306:AM306" si="12">SUM(C284:C305)</f>
        <v>0</v>
      </c>
      <c r="D306" s="376">
        <f t="shared" si="12"/>
        <v>0</v>
      </c>
      <c r="E306" s="376">
        <f t="shared" si="12"/>
        <v>0</v>
      </c>
      <c r="F306" s="376">
        <f t="shared" si="12"/>
        <v>0</v>
      </c>
      <c r="G306" s="376">
        <f t="shared" si="12"/>
        <v>0</v>
      </c>
      <c r="H306" s="376">
        <f t="shared" si="12"/>
        <v>0</v>
      </c>
      <c r="I306" s="376">
        <f t="shared" si="12"/>
        <v>0</v>
      </c>
      <c r="J306" s="376">
        <f t="shared" si="12"/>
        <v>0</v>
      </c>
      <c r="K306" s="376">
        <f t="shared" si="12"/>
        <v>0</v>
      </c>
      <c r="L306" s="376">
        <f t="shared" si="12"/>
        <v>0</v>
      </c>
      <c r="M306" s="376">
        <f t="shared" si="12"/>
        <v>0</v>
      </c>
      <c r="N306" s="376">
        <f t="shared" si="12"/>
        <v>0</v>
      </c>
      <c r="O306" s="376">
        <f t="shared" si="12"/>
        <v>0</v>
      </c>
      <c r="P306" s="376">
        <f t="shared" si="12"/>
        <v>0</v>
      </c>
      <c r="Q306" s="376">
        <f t="shared" si="12"/>
        <v>0</v>
      </c>
      <c r="R306" s="376">
        <f t="shared" si="12"/>
        <v>0</v>
      </c>
      <c r="S306" s="376">
        <f t="shared" si="12"/>
        <v>0</v>
      </c>
      <c r="T306" s="376">
        <f t="shared" si="12"/>
        <v>0</v>
      </c>
      <c r="U306" s="376">
        <f t="shared" si="12"/>
        <v>0</v>
      </c>
      <c r="V306" s="376">
        <f t="shared" si="12"/>
        <v>0</v>
      </c>
      <c r="W306" s="376">
        <f t="shared" si="12"/>
        <v>0</v>
      </c>
      <c r="X306" s="376">
        <f t="shared" si="12"/>
        <v>0</v>
      </c>
      <c r="Y306" s="376">
        <f t="shared" si="12"/>
        <v>0</v>
      </c>
      <c r="Z306" s="376">
        <f t="shared" si="12"/>
        <v>0</v>
      </c>
      <c r="AA306" s="376">
        <f t="shared" si="12"/>
        <v>0</v>
      </c>
      <c r="AB306" s="376">
        <f t="shared" si="12"/>
        <v>0</v>
      </c>
      <c r="AC306" s="376">
        <f t="shared" si="12"/>
        <v>0</v>
      </c>
      <c r="AD306" s="376">
        <f t="shared" si="12"/>
        <v>0</v>
      </c>
      <c r="AE306" s="376">
        <f t="shared" si="12"/>
        <v>0</v>
      </c>
      <c r="AF306" s="376">
        <f t="shared" si="12"/>
        <v>0</v>
      </c>
      <c r="AG306" s="376">
        <f t="shared" si="12"/>
        <v>0</v>
      </c>
      <c r="AH306" s="376">
        <f t="shared" si="12"/>
        <v>0</v>
      </c>
      <c r="AI306" s="376">
        <f t="shared" si="12"/>
        <v>0</v>
      </c>
      <c r="AJ306" s="376">
        <f t="shared" si="12"/>
        <v>0</v>
      </c>
      <c r="AK306" s="376">
        <f t="shared" si="12"/>
        <v>0</v>
      </c>
      <c r="AL306" s="376">
        <f t="shared" si="12"/>
        <v>0</v>
      </c>
      <c r="AM306" s="377">
        <f t="shared" si="12"/>
        <v>0</v>
      </c>
    </row>
    <row r="307" spans="1:39" x14ac:dyDescent="0.3">
      <c r="A307" s="378"/>
      <c r="B307" s="378"/>
      <c r="C307" s="379"/>
      <c r="D307" s="379"/>
      <c r="E307" s="379"/>
      <c r="F307" s="379"/>
      <c r="G307" s="379"/>
      <c r="H307" s="379"/>
      <c r="I307" s="379"/>
      <c r="J307" s="379"/>
      <c r="K307" s="379"/>
      <c r="L307" s="379"/>
      <c r="M307" s="379"/>
      <c r="N307" s="379"/>
      <c r="O307" s="379"/>
      <c r="P307" s="379"/>
      <c r="Q307" s="379"/>
      <c r="R307" s="379"/>
      <c r="S307" s="379"/>
      <c r="T307" s="379"/>
      <c r="U307" s="379"/>
      <c r="V307" s="379"/>
      <c r="W307" s="379"/>
      <c r="X307" s="379"/>
      <c r="Y307" s="379"/>
      <c r="Z307" s="379"/>
      <c r="AA307" s="379"/>
      <c r="AB307" s="379"/>
      <c r="AC307" s="379"/>
      <c r="AD307" s="379"/>
      <c r="AE307" s="379"/>
      <c r="AF307" s="379"/>
      <c r="AG307" s="379"/>
      <c r="AH307" s="379"/>
      <c r="AI307" s="379"/>
      <c r="AJ307" s="379"/>
    </row>
    <row r="308" spans="1:39" x14ac:dyDescent="0.35">
      <c r="A308" s="235"/>
      <c r="B308" s="235" t="s">
        <v>63</v>
      </c>
      <c r="C308" s="378"/>
      <c r="D308" s="378"/>
      <c r="E308" s="378"/>
      <c r="F308" s="378"/>
      <c r="G308" s="378"/>
      <c r="H308" s="378"/>
      <c r="I308" s="378"/>
      <c r="J308" s="378"/>
      <c r="K308" s="378"/>
      <c r="L308" s="378"/>
      <c r="M308" s="378"/>
      <c r="N308" s="801" t="s">
        <v>181</v>
      </c>
      <c r="O308" s="801"/>
      <c r="P308" s="801"/>
      <c r="Q308" s="801"/>
      <c r="R308" s="801"/>
      <c r="S308" s="801"/>
      <c r="T308" s="801"/>
      <c r="U308" s="801"/>
      <c r="V308" s="801"/>
      <c r="W308" s="801"/>
      <c r="X308" s="801"/>
      <c r="Y308" s="801"/>
      <c r="Z308" s="801"/>
      <c r="AA308" s="801"/>
      <c r="AB308" s="801"/>
      <c r="AC308" s="801"/>
      <c r="AD308" s="801"/>
      <c r="AE308" s="801"/>
      <c r="AF308" s="801"/>
      <c r="AG308" s="801"/>
      <c r="AH308" s="801"/>
      <c r="AI308" s="801"/>
      <c r="AJ308" s="378"/>
    </row>
    <row r="313" spans="1:39" x14ac:dyDescent="0.35">
      <c r="A313" s="802" t="s">
        <v>177</v>
      </c>
      <c r="B313" s="802"/>
      <c r="C313" s="802"/>
      <c r="D313" s="802"/>
      <c r="E313" s="802"/>
      <c r="F313" s="802"/>
      <c r="G313" s="802"/>
      <c r="H313" s="802"/>
      <c r="I313" s="802"/>
      <c r="J313" s="802"/>
      <c r="K313" s="802"/>
      <c r="L313" s="802"/>
      <c r="M313" s="802"/>
      <c r="N313" s="802"/>
      <c r="O313" s="802"/>
      <c r="P313" s="802"/>
      <c r="Q313" s="802"/>
      <c r="R313" s="802"/>
      <c r="S313" s="802"/>
      <c r="T313" s="802"/>
      <c r="U313" s="802"/>
      <c r="V313" s="802"/>
      <c r="W313" s="802"/>
      <c r="X313" s="802"/>
      <c r="Y313" s="802"/>
      <c r="Z313" s="802"/>
      <c r="AA313" s="802"/>
      <c r="AB313" s="802"/>
      <c r="AC313" s="802"/>
      <c r="AD313" s="802"/>
      <c r="AE313" s="802"/>
      <c r="AF313" s="802"/>
      <c r="AG313" s="802"/>
      <c r="AH313" s="802"/>
      <c r="AI313" s="802"/>
      <c r="AJ313" s="802"/>
    </row>
    <row r="314" spans="1:39" x14ac:dyDescent="0.35">
      <c r="A314" s="363"/>
      <c r="B314" s="363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32"/>
      <c r="AB314" s="632"/>
      <c r="AC314" s="632"/>
      <c r="AD314" s="632"/>
      <c r="AE314" s="632"/>
      <c r="AF314" s="632"/>
      <c r="AG314" s="632"/>
      <c r="AH314" s="632"/>
      <c r="AI314" s="632"/>
      <c r="AJ314" s="632"/>
    </row>
    <row r="315" spans="1:39" x14ac:dyDescent="0.35">
      <c r="A315" s="364" t="s">
        <v>40</v>
      </c>
      <c r="B315" s="365"/>
      <c r="C315" s="638"/>
      <c r="D315" s="638"/>
      <c r="E315" s="638"/>
      <c r="F315" s="638"/>
      <c r="G315" s="638"/>
      <c r="H315" s="638"/>
      <c r="I315" s="638"/>
      <c r="J315" s="638"/>
      <c r="K315" s="638"/>
      <c r="L315" s="638"/>
      <c r="M315" s="638"/>
      <c r="N315" s="633" t="s">
        <v>176</v>
      </c>
      <c r="O315" s="638" t="str">
        <f>PETUNJUK!C5</f>
        <v>PECANGAAN</v>
      </c>
      <c r="P315" s="638"/>
      <c r="Q315" s="638"/>
      <c r="R315" s="638"/>
      <c r="S315" s="638"/>
      <c r="T315" s="638"/>
      <c r="U315" s="638"/>
      <c r="V315" s="638"/>
      <c r="W315" s="638"/>
      <c r="X315" s="638"/>
      <c r="Y315" s="638"/>
      <c r="Z315" s="638"/>
      <c r="AA315" s="638"/>
      <c r="AB315" s="638"/>
      <c r="AC315" s="638"/>
      <c r="AD315" s="638"/>
      <c r="AE315" s="638"/>
      <c r="AF315" s="638"/>
      <c r="AG315" s="638"/>
      <c r="AH315" s="638"/>
      <c r="AI315" s="638"/>
      <c r="AJ315" s="638"/>
    </row>
    <row r="316" spans="1:39" x14ac:dyDescent="0.35">
      <c r="A316" s="366" t="s">
        <v>0</v>
      </c>
      <c r="B316" s="367"/>
      <c r="C316" s="640"/>
      <c r="D316" s="633"/>
      <c r="E316" s="633"/>
      <c r="F316" s="640"/>
      <c r="G316" s="640"/>
      <c r="H316" s="640"/>
      <c r="I316" s="640"/>
      <c r="J316" s="640"/>
      <c r="K316" s="640"/>
      <c r="L316" s="640"/>
      <c r="M316" s="633"/>
      <c r="N316" s="639" t="s">
        <v>176</v>
      </c>
      <c r="O316" s="642" t="str">
        <f>'1.DATA KIA'!C310</f>
        <v xml:space="preserve">OKTOBER </v>
      </c>
      <c r="P316" s="633"/>
      <c r="Q316" s="633"/>
      <c r="R316" s="633"/>
      <c r="S316" s="633"/>
      <c r="T316" s="633"/>
      <c r="U316" s="633"/>
      <c r="V316" s="633"/>
      <c r="W316" s="633"/>
      <c r="X316" s="633"/>
      <c r="Y316" s="633"/>
      <c r="Z316" s="640"/>
      <c r="AA316" s="640"/>
      <c r="AB316" s="640"/>
      <c r="AC316" s="640"/>
      <c r="AD316" s="640"/>
      <c r="AE316" s="640"/>
      <c r="AF316" s="640"/>
      <c r="AG316" s="640"/>
      <c r="AH316" s="640"/>
      <c r="AI316" s="640"/>
      <c r="AJ316" s="640"/>
    </row>
    <row r="317" spans="1:39" ht="13" customHeight="1" x14ac:dyDescent="0.35">
      <c r="A317" s="364"/>
      <c r="B317" s="365"/>
      <c r="C317" s="638"/>
      <c r="D317" s="638"/>
      <c r="E317" s="638"/>
      <c r="F317" s="638"/>
      <c r="G317" s="638"/>
      <c r="H317" s="638"/>
      <c r="I317" s="638"/>
      <c r="J317" s="638"/>
      <c r="K317" s="638"/>
      <c r="L317" s="638"/>
      <c r="M317" s="638"/>
      <c r="N317" s="638"/>
      <c r="O317" s="638"/>
      <c r="P317" s="638"/>
      <c r="Q317" s="638"/>
      <c r="R317" s="638"/>
      <c r="S317" s="638"/>
      <c r="T317" s="638"/>
      <c r="U317" s="638"/>
      <c r="V317" s="638"/>
      <c r="W317" s="638"/>
      <c r="X317" s="638"/>
      <c r="Y317" s="638"/>
      <c r="Z317" s="638"/>
      <c r="AA317" s="638"/>
      <c r="AB317" s="638"/>
      <c r="AC317" s="638"/>
      <c r="AD317" s="638"/>
      <c r="AE317" s="638"/>
      <c r="AF317" s="638"/>
      <c r="AG317" s="638"/>
      <c r="AH317" s="638"/>
      <c r="AI317" s="638"/>
      <c r="AJ317" s="638"/>
    </row>
    <row r="318" spans="1:39" ht="12.75" customHeight="1" x14ac:dyDescent="0.3">
      <c r="A318" s="799" t="s">
        <v>1</v>
      </c>
      <c r="B318" s="799" t="s">
        <v>2</v>
      </c>
      <c r="C318" s="794" t="s">
        <v>301</v>
      </c>
      <c r="D318" s="795"/>
      <c r="E318" s="795"/>
      <c r="F318" s="795"/>
      <c r="G318" s="795"/>
      <c r="H318" s="795"/>
      <c r="I318" s="795"/>
      <c r="J318" s="795"/>
      <c r="K318" s="795"/>
      <c r="L318" s="795"/>
      <c r="M318" s="795"/>
      <c r="N318" s="795"/>
      <c r="O318" s="795"/>
      <c r="P318" s="795"/>
      <c r="Q318" s="795"/>
      <c r="R318" s="795"/>
      <c r="S318" s="795"/>
      <c r="T318" s="795"/>
      <c r="U318" s="795"/>
      <c r="V318" s="795"/>
      <c r="W318" s="795"/>
      <c r="X318" s="795"/>
      <c r="Y318" s="795"/>
      <c r="Z318" s="795"/>
      <c r="AA318" s="795"/>
      <c r="AB318" s="795"/>
      <c r="AC318" s="795"/>
      <c r="AD318" s="795"/>
      <c r="AE318" s="795"/>
      <c r="AF318" s="795"/>
      <c r="AG318" s="795"/>
      <c r="AH318" s="795"/>
      <c r="AI318" s="795"/>
      <c r="AJ318" s="796"/>
      <c r="AK318" s="792" t="s">
        <v>307</v>
      </c>
      <c r="AL318" s="792" t="s">
        <v>308</v>
      </c>
      <c r="AM318" s="792" t="s">
        <v>309</v>
      </c>
    </row>
    <row r="319" spans="1:39" ht="110.25" customHeight="1" x14ac:dyDescent="0.3">
      <c r="A319" s="800"/>
      <c r="B319" s="800"/>
      <c r="C319" s="368" t="s">
        <v>55</v>
      </c>
      <c r="D319" s="369" t="s">
        <v>190</v>
      </c>
      <c r="E319" s="369" t="s">
        <v>43</v>
      </c>
      <c r="F319" s="369" t="s">
        <v>53</v>
      </c>
      <c r="G319" s="369" t="s">
        <v>302</v>
      </c>
      <c r="H319" s="369" t="s">
        <v>303</v>
      </c>
      <c r="I319" s="369" t="s">
        <v>294</v>
      </c>
      <c r="J319" s="369" t="s">
        <v>304</v>
      </c>
      <c r="K319" s="369" t="s">
        <v>305</v>
      </c>
      <c r="L319" s="369" t="s">
        <v>306</v>
      </c>
      <c r="M319" s="369" t="s">
        <v>44</v>
      </c>
      <c r="N319" s="370" t="s">
        <v>178</v>
      </c>
      <c r="O319" s="369" t="s">
        <v>41</v>
      </c>
      <c r="P319" s="369" t="s">
        <v>180</v>
      </c>
      <c r="Q319" s="369" t="s">
        <v>42</v>
      </c>
      <c r="R319" s="369" t="s">
        <v>45</v>
      </c>
      <c r="S319" s="369" t="s">
        <v>46</v>
      </c>
      <c r="T319" s="369" t="s">
        <v>47</v>
      </c>
      <c r="U319" s="369" t="s">
        <v>48</v>
      </c>
      <c r="V319" s="369" t="s">
        <v>49</v>
      </c>
      <c r="W319" s="369" t="s">
        <v>50</v>
      </c>
      <c r="X319" s="369" t="s">
        <v>51</v>
      </c>
      <c r="Y319" s="369" t="s">
        <v>52</v>
      </c>
      <c r="Z319" s="369" t="s">
        <v>54</v>
      </c>
      <c r="AA319" s="369" t="s">
        <v>56</v>
      </c>
      <c r="AB319" s="369" t="s">
        <v>57</v>
      </c>
      <c r="AC319" s="369" t="s">
        <v>58</v>
      </c>
      <c r="AD319" s="369" t="s">
        <v>59</v>
      </c>
      <c r="AE319" s="369" t="s">
        <v>60</v>
      </c>
      <c r="AF319" s="370" t="s">
        <v>179</v>
      </c>
      <c r="AG319" s="370" t="s">
        <v>310</v>
      </c>
      <c r="AH319" s="369" t="s">
        <v>33</v>
      </c>
      <c r="AI319" s="369" t="s">
        <v>61</v>
      </c>
      <c r="AJ319" s="369" t="s">
        <v>18</v>
      </c>
      <c r="AK319" s="793"/>
      <c r="AL319" s="793"/>
      <c r="AM319" s="793"/>
    </row>
    <row r="320" spans="1:39" ht="18" customHeight="1" x14ac:dyDescent="0.3">
      <c r="A320" s="371">
        <v>1</v>
      </c>
      <c r="B320" s="372" t="str">
        <f>PETUNJUK!B9</f>
        <v>Pecangaan Kulon</v>
      </c>
      <c r="C320" s="373"/>
      <c r="D320" s="373"/>
      <c r="E320" s="373"/>
      <c r="F320" s="373"/>
      <c r="G320" s="373"/>
      <c r="H320" s="373"/>
      <c r="I320" s="373"/>
      <c r="J320" s="373"/>
      <c r="K320" s="373"/>
      <c r="L320" s="373"/>
      <c r="M320" s="373"/>
      <c r="N320" s="373"/>
      <c r="O320" s="373"/>
      <c r="P320" s="373"/>
      <c r="Q320" s="373"/>
      <c r="R320" s="373"/>
      <c r="S320" s="373"/>
      <c r="T320" s="373"/>
      <c r="U320" s="373"/>
      <c r="V320" s="373"/>
      <c r="W320" s="373"/>
      <c r="X320" s="373"/>
      <c r="Y320" s="373"/>
      <c r="Z320" s="373"/>
      <c r="AA320" s="373"/>
      <c r="AB320" s="373"/>
      <c r="AC320" s="373"/>
      <c r="AD320" s="373"/>
      <c r="AE320" s="373"/>
      <c r="AF320" s="373"/>
      <c r="AG320" s="373"/>
      <c r="AH320" s="373"/>
      <c r="AI320" s="373"/>
      <c r="AJ320" s="373"/>
      <c r="AK320" s="373"/>
      <c r="AL320" s="373"/>
      <c r="AM320" s="373"/>
    </row>
    <row r="321" spans="1:39" ht="18" customHeight="1" x14ac:dyDescent="0.3">
      <c r="A321" s="371">
        <v>2</v>
      </c>
      <c r="B321" s="372" t="str">
        <f>PETUNJUK!B10</f>
        <v>Rengging</v>
      </c>
      <c r="C321" s="373"/>
      <c r="D321" s="373"/>
      <c r="E321" s="373"/>
      <c r="F321" s="373"/>
      <c r="G321" s="373"/>
      <c r="H321" s="373"/>
      <c r="I321" s="373"/>
      <c r="J321" s="373"/>
      <c r="K321" s="373"/>
      <c r="L321" s="373"/>
      <c r="M321" s="373"/>
      <c r="N321" s="373"/>
      <c r="O321" s="373"/>
      <c r="P321" s="373"/>
      <c r="Q321" s="373"/>
      <c r="R321" s="373"/>
      <c r="S321" s="373"/>
      <c r="T321" s="373"/>
      <c r="U321" s="373"/>
      <c r="V321" s="373"/>
      <c r="W321" s="373"/>
      <c r="X321" s="373"/>
      <c r="Y321" s="373"/>
      <c r="Z321" s="373"/>
      <c r="AA321" s="373"/>
      <c r="AB321" s="373"/>
      <c r="AC321" s="373"/>
      <c r="AD321" s="373"/>
      <c r="AE321" s="373"/>
      <c r="AF321" s="373"/>
      <c r="AG321" s="373"/>
      <c r="AH321" s="373"/>
      <c r="AI321" s="373"/>
      <c r="AJ321" s="373"/>
      <c r="AK321" s="373"/>
      <c r="AL321" s="373"/>
      <c r="AM321" s="373"/>
    </row>
    <row r="322" spans="1:39" ht="18" customHeight="1" x14ac:dyDescent="0.3">
      <c r="A322" s="371">
        <v>3</v>
      </c>
      <c r="B322" s="372" t="str">
        <f>PETUNJUK!B11</f>
        <v>Troso</v>
      </c>
      <c r="C322" s="373"/>
      <c r="D322" s="373"/>
      <c r="E322" s="373"/>
      <c r="F322" s="373"/>
      <c r="G322" s="373"/>
      <c r="H322" s="373"/>
      <c r="I322" s="373"/>
      <c r="J322" s="373"/>
      <c r="K322" s="373"/>
      <c r="L322" s="373"/>
      <c r="M322" s="373"/>
      <c r="N322" s="373"/>
      <c r="O322" s="373"/>
      <c r="P322" s="373"/>
      <c r="Q322" s="373"/>
      <c r="R322" s="373"/>
      <c r="S322" s="373"/>
      <c r="T322" s="373"/>
      <c r="U322" s="373"/>
      <c r="V322" s="373"/>
      <c r="W322" s="373"/>
      <c r="X322" s="373"/>
      <c r="Y322" s="373"/>
      <c r="Z322" s="373"/>
      <c r="AA322" s="373"/>
      <c r="AB322" s="373"/>
      <c r="AC322" s="373"/>
      <c r="AD322" s="373"/>
      <c r="AE322" s="373"/>
      <c r="AF322" s="373"/>
      <c r="AG322" s="373"/>
      <c r="AH322" s="373"/>
      <c r="AI322" s="373"/>
      <c r="AJ322" s="373"/>
      <c r="AK322" s="373"/>
      <c r="AL322" s="373"/>
      <c r="AM322" s="373"/>
    </row>
    <row r="323" spans="1:39" ht="18" customHeight="1" x14ac:dyDescent="0.3">
      <c r="A323" s="371">
        <v>4</v>
      </c>
      <c r="B323" s="372" t="str">
        <f>PETUNJUK!B12</f>
        <v>Ngeling</v>
      </c>
      <c r="C323" s="373"/>
      <c r="D323" s="373"/>
      <c r="E323" s="373"/>
      <c r="F323" s="373"/>
      <c r="G323" s="373"/>
      <c r="H323" s="373"/>
      <c r="I323" s="373"/>
      <c r="J323" s="373"/>
      <c r="K323" s="373"/>
      <c r="L323" s="373"/>
      <c r="M323" s="373"/>
      <c r="N323" s="373"/>
      <c r="O323" s="373"/>
      <c r="P323" s="373"/>
      <c r="Q323" s="373"/>
      <c r="R323" s="373"/>
      <c r="S323" s="373"/>
      <c r="T323" s="373"/>
      <c r="U323" s="373"/>
      <c r="V323" s="373"/>
      <c r="W323" s="373"/>
      <c r="X323" s="373"/>
      <c r="Y323" s="373"/>
      <c r="Z323" s="373"/>
      <c r="AA323" s="373"/>
      <c r="AB323" s="373"/>
      <c r="AC323" s="373"/>
      <c r="AD323" s="373"/>
      <c r="AE323" s="373"/>
      <c r="AF323" s="373"/>
      <c r="AG323" s="373"/>
      <c r="AH323" s="373"/>
      <c r="AI323" s="373"/>
      <c r="AJ323" s="373"/>
      <c r="AK323" s="373"/>
      <c r="AL323" s="373"/>
      <c r="AM323" s="373"/>
    </row>
    <row r="324" spans="1:39" ht="18" customHeight="1" x14ac:dyDescent="0.3">
      <c r="A324" s="371">
        <v>5</v>
      </c>
      <c r="B324" s="372" t="str">
        <f>PETUNJUK!B13</f>
        <v>Lebuawu</v>
      </c>
      <c r="C324" s="373"/>
      <c r="D324" s="373"/>
      <c r="E324" s="373"/>
      <c r="F324" s="373"/>
      <c r="G324" s="373"/>
      <c r="H324" s="373"/>
      <c r="I324" s="373"/>
      <c r="J324" s="373"/>
      <c r="K324" s="373"/>
      <c r="L324" s="373"/>
      <c r="M324" s="373"/>
      <c r="N324" s="373"/>
      <c r="O324" s="373"/>
      <c r="P324" s="373"/>
      <c r="Q324" s="373"/>
      <c r="R324" s="373"/>
      <c r="S324" s="373"/>
      <c r="T324" s="373"/>
      <c r="U324" s="373"/>
      <c r="V324" s="373"/>
      <c r="W324" s="373"/>
      <c r="X324" s="373"/>
      <c r="Y324" s="373"/>
      <c r="Z324" s="373"/>
      <c r="AA324" s="373"/>
      <c r="AB324" s="373"/>
      <c r="AC324" s="373"/>
      <c r="AD324" s="373"/>
      <c r="AE324" s="373"/>
      <c r="AF324" s="373"/>
      <c r="AG324" s="373"/>
      <c r="AH324" s="373"/>
      <c r="AI324" s="373"/>
      <c r="AJ324" s="373"/>
      <c r="AK324" s="373"/>
      <c r="AL324" s="373"/>
      <c r="AM324" s="373"/>
    </row>
    <row r="325" spans="1:39" ht="18" customHeight="1" x14ac:dyDescent="0.3">
      <c r="A325" s="371">
        <v>6</v>
      </c>
      <c r="B325" s="372" t="str">
        <f>PETUNJUK!B14</f>
        <v>Pulodarat</v>
      </c>
      <c r="C325" s="373"/>
      <c r="D325" s="373"/>
      <c r="E325" s="373"/>
      <c r="F325" s="373"/>
      <c r="G325" s="373"/>
      <c r="H325" s="373"/>
      <c r="I325" s="373"/>
      <c r="J325" s="373"/>
      <c r="K325" s="373"/>
      <c r="L325" s="373"/>
      <c r="M325" s="373"/>
      <c r="N325" s="373"/>
      <c r="O325" s="373"/>
      <c r="P325" s="373"/>
      <c r="Q325" s="373"/>
      <c r="R325" s="373"/>
      <c r="S325" s="373"/>
      <c r="T325" s="373"/>
      <c r="U325" s="373"/>
      <c r="V325" s="373"/>
      <c r="W325" s="373"/>
      <c r="X325" s="373"/>
      <c r="Y325" s="373"/>
      <c r="Z325" s="373"/>
      <c r="AA325" s="373"/>
      <c r="AB325" s="373"/>
      <c r="AC325" s="373"/>
      <c r="AD325" s="373"/>
      <c r="AE325" s="373"/>
      <c r="AF325" s="373"/>
      <c r="AG325" s="373"/>
      <c r="AH325" s="373"/>
      <c r="AI325" s="373"/>
      <c r="AJ325" s="373"/>
      <c r="AK325" s="373"/>
      <c r="AL325" s="373"/>
      <c r="AM325" s="373"/>
    </row>
    <row r="326" spans="1:39" ht="18" customHeight="1" x14ac:dyDescent="0.3">
      <c r="A326" s="371">
        <v>7</v>
      </c>
      <c r="B326" s="372" t="str">
        <f>PETUNJUK!B15</f>
        <v>Karangrandu</v>
      </c>
      <c r="C326" s="373"/>
      <c r="D326" s="373"/>
      <c r="E326" s="373"/>
      <c r="F326" s="373"/>
      <c r="G326" s="373"/>
      <c r="H326" s="373"/>
      <c r="I326" s="373"/>
      <c r="J326" s="373"/>
      <c r="K326" s="373"/>
      <c r="L326" s="373"/>
      <c r="M326" s="373"/>
      <c r="N326" s="373"/>
      <c r="O326" s="373"/>
      <c r="P326" s="373"/>
      <c r="Q326" s="373"/>
      <c r="R326" s="373"/>
      <c r="S326" s="373"/>
      <c r="T326" s="373"/>
      <c r="U326" s="373"/>
      <c r="V326" s="373"/>
      <c r="W326" s="373"/>
      <c r="X326" s="373"/>
      <c r="Y326" s="373"/>
      <c r="Z326" s="373"/>
      <c r="AA326" s="373"/>
      <c r="AB326" s="373"/>
      <c r="AC326" s="373"/>
      <c r="AD326" s="373"/>
      <c r="AE326" s="373"/>
      <c r="AF326" s="373"/>
      <c r="AG326" s="373"/>
      <c r="AH326" s="373"/>
      <c r="AI326" s="373"/>
      <c r="AJ326" s="373"/>
      <c r="AK326" s="373"/>
      <c r="AL326" s="373"/>
      <c r="AM326" s="373"/>
    </row>
    <row r="327" spans="1:39" ht="18" customHeight="1" x14ac:dyDescent="0.3">
      <c r="A327" s="371">
        <v>8</v>
      </c>
      <c r="B327" s="372" t="str">
        <f>PETUNJUK!B16</f>
        <v>Kaliombo</v>
      </c>
      <c r="C327" s="373"/>
      <c r="D327" s="373"/>
      <c r="E327" s="373"/>
      <c r="F327" s="373"/>
      <c r="G327" s="373"/>
      <c r="H327" s="373"/>
      <c r="I327" s="373"/>
      <c r="J327" s="373"/>
      <c r="K327" s="373"/>
      <c r="L327" s="373"/>
      <c r="M327" s="373"/>
      <c r="N327" s="373"/>
      <c r="O327" s="373"/>
      <c r="P327" s="373"/>
      <c r="Q327" s="373"/>
      <c r="R327" s="373"/>
      <c r="S327" s="373"/>
      <c r="T327" s="373"/>
      <c r="U327" s="373"/>
      <c r="V327" s="373"/>
      <c r="W327" s="373"/>
      <c r="X327" s="373"/>
      <c r="Y327" s="373"/>
      <c r="Z327" s="373"/>
      <c r="AA327" s="373"/>
      <c r="AB327" s="373"/>
      <c r="AC327" s="373"/>
      <c r="AD327" s="373"/>
      <c r="AE327" s="373"/>
      <c r="AF327" s="373"/>
      <c r="AG327" s="373"/>
      <c r="AH327" s="373"/>
      <c r="AI327" s="373"/>
      <c r="AJ327" s="373"/>
      <c r="AK327" s="373"/>
      <c r="AL327" s="373"/>
      <c r="AM327" s="373"/>
    </row>
    <row r="328" spans="1:39" ht="18" customHeight="1" x14ac:dyDescent="0.3">
      <c r="A328" s="371">
        <v>9</v>
      </c>
      <c r="B328" s="372" t="str">
        <f>PETUNJUK!B17</f>
        <v>Gemulung</v>
      </c>
      <c r="C328" s="373"/>
      <c r="D328" s="373"/>
      <c r="E328" s="373"/>
      <c r="F328" s="373"/>
      <c r="G328" s="373"/>
      <c r="H328" s="373"/>
      <c r="I328" s="373"/>
      <c r="J328" s="373"/>
      <c r="K328" s="373"/>
      <c r="L328" s="373"/>
      <c r="M328" s="373"/>
      <c r="N328" s="373"/>
      <c r="O328" s="373"/>
      <c r="P328" s="373"/>
      <c r="Q328" s="373"/>
      <c r="R328" s="373"/>
      <c r="S328" s="373"/>
      <c r="T328" s="373"/>
      <c r="U328" s="373"/>
      <c r="V328" s="373"/>
      <c r="W328" s="373"/>
      <c r="X328" s="373"/>
      <c r="Y328" s="373"/>
      <c r="Z328" s="373"/>
      <c r="AA328" s="373"/>
      <c r="AB328" s="373"/>
      <c r="AC328" s="373"/>
      <c r="AD328" s="373"/>
      <c r="AE328" s="373"/>
      <c r="AF328" s="373"/>
      <c r="AG328" s="373"/>
      <c r="AH328" s="373"/>
      <c r="AI328" s="373"/>
      <c r="AJ328" s="373"/>
      <c r="AK328" s="373"/>
      <c r="AL328" s="373"/>
      <c r="AM328" s="373"/>
    </row>
    <row r="329" spans="1:39" ht="18" customHeight="1" x14ac:dyDescent="0.3">
      <c r="A329" s="371">
        <v>10</v>
      </c>
      <c r="B329" s="372" t="str">
        <f>PETUNJUK!B18</f>
        <v>Pecangaan Wetan</v>
      </c>
      <c r="C329" s="373"/>
      <c r="D329" s="373"/>
      <c r="E329" s="373"/>
      <c r="F329" s="373"/>
      <c r="G329" s="373"/>
      <c r="H329" s="373"/>
      <c r="I329" s="373"/>
      <c r="J329" s="373"/>
      <c r="K329" s="373"/>
      <c r="L329" s="373"/>
      <c r="M329" s="373"/>
      <c r="N329" s="373"/>
      <c r="O329" s="373"/>
      <c r="P329" s="373"/>
      <c r="Q329" s="373"/>
      <c r="R329" s="373"/>
      <c r="S329" s="373"/>
      <c r="T329" s="373"/>
      <c r="U329" s="373"/>
      <c r="V329" s="373"/>
      <c r="W329" s="373"/>
      <c r="X329" s="373"/>
      <c r="Y329" s="373"/>
      <c r="Z329" s="373"/>
      <c r="AA329" s="373"/>
      <c r="AB329" s="373"/>
      <c r="AC329" s="373"/>
      <c r="AD329" s="373"/>
      <c r="AE329" s="373"/>
      <c r="AF329" s="373"/>
      <c r="AG329" s="373"/>
      <c r="AH329" s="373"/>
      <c r="AI329" s="373"/>
      <c r="AJ329" s="373"/>
      <c r="AK329" s="373"/>
      <c r="AL329" s="373"/>
      <c r="AM329" s="373"/>
    </row>
    <row r="330" spans="1:39" ht="18" customHeight="1" x14ac:dyDescent="0.3">
      <c r="A330" s="371">
        <v>11</v>
      </c>
      <c r="B330" s="372" t="str">
        <f>PETUNJUK!B19</f>
        <v>Krasak</v>
      </c>
      <c r="C330" s="373"/>
      <c r="D330" s="373"/>
      <c r="E330" s="373"/>
      <c r="F330" s="373"/>
      <c r="G330" s="373"/>
      <c r="H330" s="373"/>
      <c r="I330" s="373"/>
      <c r="J330" s="373"/>
      <c r="K330" s="373"/>
      <c r="L330" s="373"/>
      <c r="M330" s="373"/>
      <c r="N330" s="373"/>
      <c r="O330" s="373"/>
      <c r="P330" s="373"/>
      <c r="Q330" s="373"/>
      <c r="R330" s="373"/>
      <c r="S330" s="373"/>
      <c r="T330" s="373"/>
      <c r="U330" s="373"/>
      <c r="V330" s="373"/>
      <c r="W330" s="373"/>
      <c r="X330" s="373"/>
      <c r="Y330" s="373"/>
      <c r="Z330" s="373"/>
      <c r="AA330" s="373"/>
      <c r="AB330" s="373"/>
      <c r="AC330" s="373"/>
      <c r="AD330" s="373"/>
      <c r="AE330" s="373"/>
      <c r="AF330" s="373"/>
      <c r="AG330" s="373"/>
      <c r="AH330" s="373"/>
      <c r="AI330" s="373"/>
      <c r="AJ330" s="373"/>
      <c r="AK330" s="373"/>
      <c r="AL330" s="373"/>
      <c r="AM330" s="373"/>
    </row>
    <row r="331" spans="1:39" ht="18" customHeight="1" x14ac:dyDescent="0.3">
      <c r="A331" s="371">
        <v>12</v>
      </c>
      <c r="B331" s="372" t="str">
        <f>PETUNJUK!B20</f>
        <v>Gerdu</v>
      </c>
      <c r="C331" s="373"/>
      <c r="D331" s="373"/>
      <c r="E331" s="373"/>
      <c r="F331" s="373"/>
      <c r="G331" s="373"/>
      <c r="H331" s="373"/>
      <c r="I331" s="373"/>
      <c r="J331" s="373"/>
      <c r="K331" s="373"/>
      <c r="L331" s="373"/>
      <c r="M331" s="373"/>
      <c r="N331" s="373"/>
      <c r="O331" s="373"/>
      <c r="P331" s="373"/>
      <c r="Q331" s="373"/>
      <c r="R331" s="373"/>
      <c r="S331" s="373"/>
      <c r="T331" s="373"/>
      <c r="U331" s="373"/>
      <c r="V331" s="373"/>
      <c r="W331" s="373"/>
      <c r="X331" s="373"/>
      <c r="Y331" s="373"/>
      <c r="Z331" s="373"/>
      <c r="AA331" s="373"/>
      <c r="AB331" s="373"/>
      <c r="AC331" s="373"/>
      <c r="AD331" s="373"/>
      <c r="AE331" s="373"/>
      <c r="AF331" s="373"/>
      <c r="AG331" s="373"/>
      <c r="AH331" s="373"/>
      <c r="AI331" s="373"/>
      <c r="AJ331" s="373"/>
      <c r="AK331" s="373"/>
      <c r="AL331" s="373"/>
      <c r="AM331" s="373"/>
    </row>
    <row r="332" spans="1:39" ht="18" customHeight="1" x14ac:dyDescent="0.3">
      <c r="A332" s="371">
        <v>13</v>
      </c>
      <c r="B332" s="372">
        <f>PETUNJUK!B21</f>
        <v>0</v>
      </c>
      <c r="C332" s="373"/>
      <c r="D332" s="373"/>
      <c r="E332" s="373"/>
      <c r="F332" s="373"/>
      <c r="G332" s="373"/>
      <c r="H332" s="373"/>
      <c r="I332" s="373"/>
      <c r="J332" s="373"/>
      <c r="K332" s="373"/>
      <c r="L332" s="373"/>
      <c r="M332" s="373"/>
      <c r="N332" s="373"/>
      <c r="O332" s="373"/>
      <c r="P332" s="373"/>
      <c r="Q332" s="373"/>
      <c r="R332" s="373"/>
      <c r="S332" s="373"/>
      <c r="T332" s="373"/>
      <c r="U332" s="373"/>
      <c r="V332" s="373"/>
      <c r="W332" s="373"/>
      <c r="X332" s="373"/>
      <c r="Y332" s="373"/>
      <c r="Z332" s="373"/>
      <c r="AA332" s="373"/>
      <c r="AB332" s="373"/>
      <c r="AC332" s="373"/>
      <c r="AD332" s="373"/>
      <c r="AE332" s="373"/>
      <c r="AF332" s="373"/>
      <c r="AG332" s="373"/>
      <c r="AH332" s="373"/>
      <c r="AI332" s="373"/>
      <c r="AJ332" s="373"/>
      <c r="AK332" s="373"/>
      <c r="AL332" s="373"/>
      <c r="AM332" s="373"/>
    </row>
    <row r="333" spans="1:39" ht="18" customHeight="1" x14ac:dyDescent="0.3">
      <c r="A333" s="371">
        <v>14</v>
      </c>
      <c r="B333" s="372">
        <f>PETUNJUK!B22</f>
        <v>0</v>
      </c>
      <c r="C333" s="373"/>
      <c r="D333" s="373"/>
      <c r="E333" s="373"/>
      <c r="F333" s="373"/>
      <c r="G333" s="373"/>
      <c r="H333" s="373"/>
      <c r="I333" s="373"/>
      <c r="J333" s="373"/>
      <c r="K333" s="373"/>
      <c r="L333" s="373"/>
      <c r="M333" s="373"/>
      <c r="N333" s="373"/>
      <c r="O333" s="373"/>
      <c r="P333" s="373"/>
      <c r="Q333" s="373"/>
      <c r="R333" s="373"/>
      <c r="S333" s="373"/>
      <c r="T333" s="373"/>
      <c r="U333" s="373"/>
      <c r="V333" s="373"/>
      <c r="W333" s="373"/>
      <c r="X333" s="373"/>
      <c r="Y333" s="373"/>
      <c r="Z333" s="373"/>
      <c r="AA333" s="373"/>
      <c r="AB333" s="373"/>
      <c r="AC333" s="373"/>
      <c r="AD333" s="373"/>
      <c r="AE333" s="373"/>
      <c r="AF333" s="373"/>
      <c r="AG333" s="373"/>
      <c r="AH333" s="373"/>
      <c r="AI333" s="373"/>
      <c r="AJ333" s="373"/>
      <c r="AK333" s="373"/>
      <c r="AL333" s="373"/>
      <c r="AM333" s="373"/>
    </row>
    <row r="334" spans="1:39" ht="18" customHeight="1" x14ac:dyDescent="0.3">
      <c r="A334" s="371">
        <v>15</v>
      </c>
      <c r="B334" s="372">
        <f>PETUNJUK!B23</f>
        <v>0</v>
      </c>
      <c r="C334" s="373"/>
      <c r="D334" s="373"/>
      <c r="E334" s="373"/>
      <c r="F334" s="373"/>
      <c r="G334" s="373"/>
      <c r="H334" s="373"/>
      <c r="I334" s="373"/>
      <c r="J334" s="373"/>
      <c r="K334" s="373"/>
      <c r="L334" s="373"/>
      <c r="M334" s="373"/>
      <c r="N334" s="373"/>
      <c r="O334" s="373"/>
      <c r="P334" s="373"/>
      <c r="Q334" s="373"/>
      <c r="R334" s="373"/>
      <c r="S334" s="373"/>
      <c r="T334" s="373"/>
      <c r="U334" s="373"/>
      <c r="V334" s="373"/>
      <c r="W334" s="373"/>
      <c r="X334" s="373"/>
      <c r="Y334" s="373"/>
      <c r="Z334" s="373"/>
      <c r="AA334" s="373"/>
      <c r="AB334" s="373"/>
      <c r="AC334" s="373"/>
      <c r="AD334" s="373"/>
      <c r="AE334" s="373"/>
      <c r="AF334" s="373"/>
      <c r="AG334" s="373"/>
      <c r="AH334" s="373"/>
      <c r="AI334" s="373"/>
      <c r="AJ334" s="373"/>
      <c r="AK334" s="373"/>
      <c r="AL334" s="373"/>
      <c r="AM334" s="373"/>
    </row>
    <row r="335" spans="1:39" ht="18" customHeight="1" x14ac:dyDescent="0.3">
      <c r="A335" s="371">
        <v>16</v>
      </c>
      <c r="B335" s="372">
        <f>PETUNJUK!B24</f>
        <v>0</v>
      </c>
      <c r="C335" s="373"/>
      <c r="D335" s="373"/>
      <c r="E335" s="373"/>
      <c r="F335" s="373"/>
      <c r="G335" s="373"/>
      <c r="H335" s="373"/>
      <c r="I335" s="373"/>
      <c r="J335" s="373"/>
      <c r="K335" s="373"/>
      <c r="L335" s="373"/>
      <c r="M335" s="373"/>
      <c r="N335" s="373"/>
      <c r="O335" s="373"/>
      <c r="P335" s="373"/>
      <c r="Q335" s="373"/>
      <c r="R335" s="373"/>
      <c r="S335" s="373"/>
      <c r="T335" s="373"/>
      <c r="U335" s="373"/>
      <c r="V335" s="373"/>
      <c r="W335" s="373"/>
      <c r="X335" s="373"/>
      <c r="Y335" s="373"/>
      <c r="Z335" s="373"/>
      <c r="AA335" s="373"/>
      <c r="AB335" s="373"/>
      <c r="AC335" s="373"/>
      <c r="AD335" s="373"/>
      <c r="AE335" s="373"/>
      <c r="AF335" s="373"/>
      <c r="AG335" s="373"/>
      <c r="AH335" s="373"/>
      <c r="AI335" s="373"/>
      <c r="AJ335" s="373"/>
      <c r="AK335" s="373"/>
      <c r="AL335" s="373"/>
      <c r="AM335" s="373"/>
    </row>
    <row r="336" spans="1:39" ht="18" customHeight="1" x14ac:dyDescent="0.3">
      <c r="A336" s="371">
        <v>17</v>
      </c>
      <c r="B336" s="372">
        <f>PETUNJUK!B25</f>
        <v>0</v>
      </c>
      <c r="C336" s="373"/>
      <c r="D336" s="373"/>
      <c r="E336" s="373"/>
      <c r="F336" s="373"/>
      <c r="G336" s="373"/>
      <c r="H336" s="373"/>
      <c r="I336" s="373"/>
      <c r="J336" s="373"/>
      <c r="K336" s="373"/>
      <c r="L336" s="373"/>
      <c r="M336" s="373"/>
      <c r="N336" s="373"/>
      <c r="O336" s="373"/>
      <c r="P336" s="373"/>
      <c r="Q336" s="373"/>
      <c r="R336" s="373"/>
      <c r="S336" s="373"/>
      <c r="T336" s="373"/>
      <c r="U336" s="373"/>
      <c r="V336" s="373"/>
      <c r="W336" s="373"/>
      <c r="X336" s="373"/>
      <c r="Y336" s="373"/>
      <c r="Z336" s="373"/>
      <c r="AA336" s="373"/>
      <c r="AB336" s="373"/>
      <c r="AC336" s="373"/>
      <c r="AD336" s="373"/>
      <c r="AE336" s="373"/>
      <c r="AF336" s="373"/>
      <c r="AG336" s="373"/>
      <c r="AH336" s="373"/>
      <c r="AI336" s="373"/>
      <c r="AJ336" s="373"/>
      <c r="AK336" s="373"/>
      <c r="AL336" s="373"/>
      <c r="AM336" s="373"/>
    </row>
    <row r="337" spans="1:39" ht="18" customHeight="1" x14ac:dyDescent="0.3">
      <c r="A337" s="371">
        <v>18</v>
      </c>
      <c r="B337" s="372">
        <f>PETUNJUK!B26</f>
        <v>0</v>
      </c>
      <c r="C337" s="373"/>
      <c r="D337" s="373"/>
      <c r="E337" s="373"/>
      <c r="F337" s="373"/>
      <c r="G337" s="373"/>
      <c r="H337" s="373"/>
      <c r="I337" s="373"/>
      <c r="J337" s="373"/>
      <c r="K337" s="373"/>
      <c r="L337" s="373"/>
      <c r="M337" s="373"/>
      <c r="N337" s="373"/>
      <c r="O337" s="373"/>
      <c r="P337" s="373"/>
      <c r="Q337" s="373"/>
      <c r="R337" s="373"/>
      <c r="S337" s="373"/>
      <c r="T337" s="373"/>
      <c r="U337" s="373"/>
      <c r="V337" s="373"/>
      <c r="W337" s="373"/>
      <c r="X337" s="373"/>
      <c r="Y337" s="373"/>
      <c r="Z337" s="373"/>
      <c r="AA337" s="373"/>
      <c r="AB337" s="373"/>
      <c r="AC337" s="373"/>
      <c r="AD337" s="373"/>
      <c r="AE337" s="373"/>
      <c r="AF337" s="373"/>
      <c r="AG337" s="373"/>
      <c r="AH337" s="373"/>
      <c r="AI337" s="373"/>
      <c r="AJ337" s="373"/>
      <c r="AK337" s="373"/>
      <c r="AL337" s="373"/>
      <c r="AM337" s="373"/>
    </row>
    <row r="338" spans="1:39" ht="18" customHeight="1" x14ac:dyDescent="0.3">
      <c r="A338" s="371">
        <v>19</v>
      </c>
      <c r="B338" s="372">
        <f>PETUNJUK!B27</f>
        <v>0</v>
      </c>
      <c r="C338" s="373"/>
      <c r="D338" s="373"/>
      <c r="E338" s="373"/>
      <c r="F338" s="373"/>
      <c r="G338" s="373"/>
      <c r="H338" s="373"/>
      <c r="I338" s="373"/>
      <c r="J338" s="373"/>
      <c r="K338" s="373"/>
      <c r="L338" s="373"/>
      <c r="M338" s="373"/>
      <c r="N338" s="373"/>
      <c r="O338" s="373"/>
      <c r="P338" s="373"/>
      <c r="Q338" s="373"/>
      <c r="R338" s="373"/>
      <c r="S338" s="373"/>
      <c r="T338" s="373"/>
      <c r="U338" s="373"/>
      <c r="V338" s="373"/>
      <c r="W338" s="373"/>
      <c r="X338" s="373"/>
      <c r="Y338" s="373"/>
      <c r="Z338" s="373"/>
      <c r="AA338" s="373"/>
      <c r="AB338" s="373"/>
      <c r="AC338" s="373"/>
      <c r="AD338" s="373"/>
      <c r="AE338" s="373"/>
      <c r="AF338" s="373"/>
      <c r="AG338" s="373"/>
      <c r="AH338" s="373"/>
      <c r="AI338" s="373"/>
      <c r="AJ338" s="373"/>
      <c r="AK338" s="373"/>
      <c r="AL338" s="373"/>
      <c r="AM338" s="373"/>
    </row>
    <row r="339" spans="1:39" ht="18" customHeight="1" x14ac:dyDescent="0.3">
      <c r="A339" s="371">
        <v>20</v>
      </c>
      <c r="B339" s="372">
        <f>PETUNJUK!B28</f>
        <v>0</v>
      </c>
      <c r="C339" s="373"/>
      <c r="D339" s="373"/>
      <c r="E339" s="373"/>
      <c r="F339" s="373"/>
      <c r="G339" s="373"/>
      <c r="H339" s="373"/>
      <c r="I339" s="373"/>
      <c r="J339" s="373"/>
      <c r="K339" s="373"/>
      <c r="L339" s="373"/>
      <c r="M339" s="373"/>
      <c r="N339" s="373"/>
      <c r="O339" s="373"/>
      <c r="P339" s="373"/>
      <c r="Q339" s="373"/>
      <c r="R339" s="373"/>
      <c r="S339" s="373"/>
      <c r="T339" s="373"/>
      <c r="U339" s="373"/>
      <c r="V339" s="373"/>
      <c r="W339" s="373"/>
      <c r="X339" s="373"/>
      <c r="Y339" s="373"/>
      <c r="Z339" s="373"/>
      <c r="AA339" s="373"/>
      <c r="AB339" s="373"/>
      <c r="AC339" s="373"/>
      <c r="AD339" s="373"/>
      <c r="AE339" s="373"/>
      <c r="AF339" s="373"/>
      <c r="AG339" s="373"/>
      <c r="AH339" s="373"/>
      <c r="AI339" s="373"/>
      <c r="AJ339" s="373"/>
      <c r="AK339" s="373"/>
      <c r="AL339" s="373"/>
      <c r="AM339" s="373"/>
    </row>
    <row r="340" spans="1:39" ht="18" customHeight="1" x14ac:dyDescent="0.3">
      <c r="A340" s="371">
        <v>21</v>
      </c>
      <c r="B340" s="372">
        <f>PETUNJUK!B29</f>
        <v>0</v>
      </c>
      <c r="C340" s="373"/>
      <c r="D340" s="373"/>
      <c r="E340" s="373"/>
      <c r="F340" s="373"/>
      <c r="G340" s="373"/>
      <c r="H340" s="373"/>
      <c r="I340" s="373"/>
      <c r="J340" s="373"/>
      <c r="K340" s="373"/>
      <c r="L340" s="373"/>
      <c r="M340" s="373"/>
      <c r="N340" s="373"/>
      <c r="O340" s="373"/>
      <c r="P340" s="373"/>
      <c r="Q340" s="373"/>
      <c r="R340" s="373"/>
      <c r="S340" s="373"/>
      <c r="T340" s="373"/>
      <c r="U340" s="373"/>
      <c r="V340" s="373"/>
      <c r="W340" s="373"/>
      <c r="X340" s="373"/>
      <c r="Y340" s="373"/>
      <c r="Z340" s="373"/>
      <c r="AA340" s="373"/>
      <c r="AB340" s="373"/>
      <c r="AC340" s="373"/>
      <c r="AD340" s="373"/>
      <c r="AE340" s="373"/>
      <c r="AF340" s="373"/>
      <c r="AG340" s="373"/>
      <c r="AH340" s="373"/>
      <c r="AI340" s="373"/>
      <c r="AJ340" s="373"/>
      <c r="AK340" s="373"/>
      <c r="AL340" s="373"/>
      <c r="AM340" s="373"/>
    </row>
    <row r="341" spans="1:39" ht="18" customHeight="1" thickBot="1" x14ac:dyDescent="0.35">
      <c r="A341" s="381">
        <v>22</v>
      </c>
      <c r="B341" s="372">
        <f>PETUNJUK!B30</f>
        <v>0</v>
      </c>
      <c r="C341" s="382"/>
      <c r="D341" s="382"/>
      <c r="E341" s="382"/>
      <c r="F341" s="382"/>
      <c r="G341" s="382"/>
      <c r="H341" s="382"/>
      <c r="I341" s="382"/>
      <c r="J341" s="382"/>
      <c r="K341" s="382"/>
      <c r="L341" s="382"/>
      <c r="M341" s="382"/>
      <c r="N341" s="382"/>
      <c r="O341" s="382"/>
      <c r="P341" s="382"/>
      <c r="Q341" s="382"/>
      <c r="R341" s="382"/>
      <c r="S341" s="382"/>
      <c r="T341" s="382"/>
      <c r="U341" s="382"/>
      <c r="V341" s="382"/>
      <c r="W341" s="382"/>
      <c r="X341" s="382"/>
      <c r="Y341" s="382"/>
      <c r="Z341" s="382"/>
      <c r="AA341" s="382"/>
      <c r="AB341" s="382"/>
      <c r="AC341" s="382"/>
      <c r="AD341" s="382"/>
      <c r="AE341" s="382"/>
      <c r="AF341" s="382"/>
      <c r="AG341" s="382"/>
      <c r="AH341" s="382"/>
      <c r="AI341" s="382"/>
      <c r="AJ341" s="373"/>
      <c r="AK341" s="382"/>
      <c r="AL341" s="382"/>
      <c r="AM341" s="382"/>
    </row>
    <row r="342" spans="1:39" ht="18" customHeight="1" thickBot="1" x14ac:dyDescent="0.35">
      <c r="A342" s="803" t="s">
        <v>62</v>
      </c>
      <c r="B342" s="805"/>
      <c r="C342" s="376">
        <f t="shared" ref="C342:AM342" si="13">SUM(C320:C341)</f>
        <v>0</v>
      </c>
      <c r="D342" s="376">
        <f t="shared" si="13"/>
        <v>0</v>
      </c>
      <c r="E342" s="376">
        <f t="shared" si="13"/>
        <v>0</v>
      </c>
      <c r="F342" s="376">
        <f t="shared" si="13"/>
        <v>0</v>
      </c>
      <c r="G342" s="376">
        <f t="shared" si="13"/>
        <v>0</v>
      </c>
      <c r="H342" s="376">
        <f t="shared" si="13"/>
        <v>0</v>
      </c>
      <c r="I342" s="376">
        <f t="shared" si="13"/>
        <v>0</v>
      </c>
      <c r="J342" s="376">
        <f t="shared" si="13"/>
        <v>0</v>
      </c>
      <c r="K342" s="376">
        <f t="shared" si="13"/>
        <v>0</v>
      </c>
      <c r="L342" s="376">
        <f t="shared" si="13"/>
        <v>0</v>
      </c>
      <c r="M342" s="376">
        <f t="shared" si="13"/>
        <v>0</v>
      </c>
      <c r="N342" s="376">
        <f t="shared" si="13"/>
        <v>0</v>
      </c>
      <c r="O342" s="376">
        <f t="shared" si="13"/>
        <v>0</v>
      </c>
      <c r="P342" s="376">
        <f t="shared" si="13"/>
        <v>0</v>
      </c>
      <c r="Q342" s="376">
        <f t="shared" si="13"/>
        <v>0</v>
      </c>
      <c r="R342" s="376">
        <f t="shared" si="13"/>
        <v>0</v>
      </c>
      <c r="S342" s="376">
        <f t="shared" si="13"/>
        <v>0</v>
      </c>
      <c r="T342" s="376">
        <f t="shared" si="13"/>
        <v>0</v>
      </c>
      <c r="U342" s="376">
        <f t="shared" si="13"/>
        <v>0</v>
      </c>
      <c r="V342" s="376">
        <f t="shared" si="13"/>
        <v>0</v>
      </c>
      <c r="W342" s="376">
        <f t="shared" si="13"/>
        <v>0</v>
      </c>
      <c r="X342" s="376">
        <f t="shared" si="13"/>
        <v>0</v>
      </c>
      <c r="Y342" s="376">
        <f t="shared" si="13"/>
        <v>0</v>
      </c>
      <c r="Z342" s="376">
        <f t="shared" si="13"/>
        <v>0</v>
      </c>
      <c r="AA342" s="376">
        <f t="shared" si="13"/>
        <v>0</v>
      </c>
      <c r="AB342" s="376">
        <f t="shared" si="13"/>
        <v>0</v>
      </c>
      <c r="AC342" s="376">
        <f t="shared" si="13"/>
        <v>0</v>
      </c>
      <c r="AD342" s="376">
        <f t="shared" si="13"/>
        <v>0</v>
      </c>
      <c r="AE342" s="376">
        <f t="shared" si="13"/>
        <v>0</v>
      </c>
      <c r="AF342" s="376">
        <f t="shared" si="13"/>
        <v>0</v>
      </c>
      <c r="AG342" s="376">
        <f t="shared" si="13"/>
        <v>0</v>
      </c>
      <c r="AH342" s="376">
        <f t="shared" si="13"/>
        <v>0</v>
      </c>
      <c r="AI342" s="376">
        <f t="shared" si="13"/>
        <v>0</v>
      </c>
      <c r="AJ342" s="376">
        <f t="shared" si="13"/>
        <v>0</v>
      </c>
      <c r="AK342" s="376">
        <f t="shared" si="13"/>
        <v>0</v>
      </c>
      <c r="AL342" s="376">
        <f t="shared" si="13"/>
        <v>0</v>
      </c>
      <c r="AM342" s="377">
        <f t="shared" si="13"/>
        <v>0</v>
      </c>
    </row>
    <row r="343" spans="1:39" x14ac:dyDescent="0.35">
      <c r="A343" s="235"/>
      <c r="B343" s="235" t="s">
        <v>63</v>
      </c>
      <c r="C343" s="378"/>
      <c r="D343" s="378"/>
      <c r="E343" s="378"/>
      <c r="F343" s="378"/>
      <c r="G343" s="378"/>
      <c r="H343" s="378"/>
      <c r="I343" s="378"/>
      <c r="J343" s="378"/>
      <c r="K343" s="378"/>
      <c r="L343" s="378"/>
      <c r="M343" s="378"/>
      <c r="N343" s="801" t="s">
        <v>181</v>
      </c>
      <c r="O343" s="801"/>
      <c r="P343" s="801"/>
      <c r="Q343" s="801"/>
      <c r="R343" s="801"/>
      <c r="S343" s="801"/>
      <c r="T343" s="801"/>
      <c r="U343" s="801"/>
      <c r="V343" s="801"/>
      <c r="W343" s="801"/>
      <c r="X343" s="801"/>
      <c r="Y343" s="801"/>
      <c r="Z343" s="801"/>
      <c r="AA343" s="801"/>
      <c r="AB343" s="801"/>
      <c r="AC343" s="801"/>
      <c r="AD343" s="801"/>
      <c r="AE343" s="801"/>
      <c r="AF343" s="801"/>
      <c r="AG343" s="801"/>
      <c r="AH343" s="801"/>
      <c r="AI343" s="801"/>
      <c r="AJ343" s="378"/>
    </row>
    <row r="348" spans="1:39" x14ac:dyDescent="0.35">
      <c r="A348" s="802" t="s">
        <v>177</v>
      </c>
      <c r="B348" s="802"/>
      <c r="C348" s="802"/>
      <c r="D348" s="802"/>
      <c r="E348" s="802"/>
      <c r="F348" s="802"/>
      <c r="G348" s="802"/>
      <c r="H348" s="802"/>
      <c r="I348" s="802"/>
      <c r="J348" s="802"/>
      <c r="K348" s="802"/>
      <c r="L348" s="802"/>
      <c r="M348" s="802"/>
      <c r="N348" s="802"/>
      <c r="O348" s="802"/>
      <c r="P348" s="802"/>
      <c r="Q348" s="802"/>
      <c r="R348" s="802"/>
      <c r="S348" s="802"/>
      <c r="T348" s="802"/>
      <c r="U348" s="802"/>
      <c r="V348" s="802"/>
      <c r="W348" s="802"/>
      <c r="X348" s="802"/>
      <c r="Y348" s="802"/>
      <c r="Z348" s="802"/>
      <c r="AA348" s="802"/>
      <c r="AB348" s="802"/>
      <c r="AC348" s="802"/>
      <c r="AD348" s="802"/>
      <c r="AE348" s="802"/>
      <c r="AF348" s="802"/>
      <c r="AG348" s="802"/>
      <c r="AH348" s="802"/>
      <c r="AI348" s="802"/>
      <c r="AJ348" s="802"/>
    </row>
    <row r="349" spans="1:39" x14ac:dyDescent="0.35">
      <c r="A349" s="363"/>
      <c r="B349" s="363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2"/>
      <c r="P349" s="632"/>
      <c r="Q349" s="632"/>
      <c r="R349" s="632"/>
      <c r="S349" s="632"/>
      <c r="T349" s="632"/>
      <c r="U349" s="632"/>
      <c r="V349" s="632"/>
      <c r="W349" s="632"/>
      <c r="X349" s="632"/>
      <c r="Y349" s="632"/>
      <c r="Z349" s="632"/>
      <c r="AA349" s="632"/>
      <c r="AB349" s="632"/>
      <c r="AC349" s="632"/>
      <c r="AD349" s="632"/>
      <c r="AE349" s="632"/>
      <c r="AF349" s="632"/>
      <c r="AG349" s="632"/>
      <c r="AH349" s="632"/>
      <c r="AI349" s="632"/>
      <c r="AJ349" s="632"/>
    </row>
    <row r="350" spans="1:39" x14ac:dyDescent="0.35">
      <c r="A350" s="364" t="s">
        <v>40</v>
      </c>
      <c r="B350" s="365"/>
      <c r="C350" s="638"/>
      <c r="D350" s="638"/>
      <c r="E350" s="638"/>
      <c r="F350" s="638"/>
      <c r="G350" s="638"/>
      <c r="H350" s="638"/>
      <c r="I350" s="638"/>
      <c r="J350" s="638"/>
      <c r="K350" s="638"/>
      <c r="L350" s="638"/>
      <c r="M350" s="638"/>
      <c r="N350" s="633" t="s">
        <v>176</v>
      </c>
      <c r="O350" s="638" t="str">
        <f>PETUNJUK!C5</f>
        <v>PECANGAAN</v>
      </c>
      <c r="P350" s="638"/>
      <c r="Q350" s="638"/>
      <c r="R350" s="638"/>
      <c r="S350" s="638"/>
      <c r="T350" s="638"/>
      <c r="U350" s="638"/>
      <c r="V350" s="638"/>
      <c r="W350" s="638"/>
      <c r="X350" s="638"/>
      <c r="Y350" s="638"/>
      <c r="Z350" s="638"/>
      <c r="AA350" s="638"/>
      <c r="AB350" s="638"/>
      <c r="AC350" s="638"/>
      <c r="AD350" s="638"/>
      <c r="AE350" s="638"/>
      <c r="AF350" s="638"/>
      <c r="AG350" s="638"/>
      <c r="AH350" s="638"/>
      <c r="AI350" s="638"/>
      <c r="AJ350" s="638"/>
    </row>
    <row r="351" spans="1:39" x14ac:dyDescent="0.35">
      <c r="A351" s="366" t="s">
        <v>0</v>
      </c>
      <c r="B351" s="367"/>
      <c r="C351" s="640"/>
      <c r="D351" s="633"/>
      <c r="E351" s="633"/>
      <c r="F351" s="640"/>
      <c r="G351" s="640"/>
      <c r="H351" s="640"/>
      <c r="I351" s="640"/>
      <c r="J351" s="640"/>
      <c r="K351" s="640"/>
      <c r="L351" s="640"/>
      <c r="M351" s="633"/>
      <c r="N351" s="639" t="s">
        <v>176</v>
      </c>
      <c r="O351" s="642" t="str">
        <f>'1.DATA KIA'!C344</f>
        <v xml:space="preserve">NOPEMBER </v>
      </c>
      <c r="P351" s="633"/>
      <c r="Q351" s="633"/>
      <c r="R351" s="633"/>
      <c r="S351" s="633"/>
      <c r="T351" s="633"/>
      <c r="U351" s="633"/>
      <c r="V351" s="633"/>
      <c r="W351" s="633"/>
      <c r="X351" s="633"/>
      <c r="Y351" s="633"/>
      <c r="Z351" s="640"/>
      <c r="AA351" s="640"/>
      <c r="AB351" s="640"/>
      <c r="AC351" s="640"/>
      <c r="AD351" s="640"/>
      <c r="AE351" s="640"/>
      <c r="AF351" s="640"/>
      <c r="AG351" s="640"/>
      <c r="AH351" s="640"/>
      <c r="AI351" s="640"/>
      <c r="AJ351" s="640"/>
    </row>
    <row r="352" spans="1:39" x14ac:dyDescent="0.35">
      <c r="A352" s="364"/>
      <c r="B352" s="365"/>
      <c r="C352" s="638"/>
      <c r="D352" s="638"/>
      <c r="E352" s="638"/>
      <c r="F352" s="638"/>
      <c r="G352" s="638"/>
      <c r="H352" s="638"/>
      <c r="I352" s="638"/>
      <c r="J352" s="638"/>
      <c r="K352" s="638"/>
      <c r="L352" s="638"/>
      <c r="M352" s="638"/>
      <c r="N352" s="638"/>
      <c r="O352" s="638"/>
      <c r="P352" s="638"/>
      <c r="Q352" s="638"/>
      <c r="R352" s="638"/>
      <c r="S352" s="638"/>
      <c r="T352" s="638"/>
      <c r="U352" s="638"/>
      <c r="V352" s="638"/>
      <c r="W352" s="638"/>
      <c r="X352" s="638"/>
      <c r="Y352" s="638"/>
      <c r="Z352" s="638"/>
      <c r="AA352" s="638"/>
      <c r="AB352" s="638"/>
      <c r="AC352" s="638"/>
      <c r="AD352" s="638"/>
      <c r="AE352" s="638"/>
      <c r="AF352" s="638"/>
      <c r="AG352" s="638"/>
      <c r="AH352" s="638"/>
      <c r="AI352" s="638"/>
      <c r="AJ352" s="638"/>
    </row>
    <row r="353" spans="1:39" ht="12.75" customHeight="1" x14ac:dyDescent="0.3">
      <c r="A353" s="799" t="s">
        <v>1</v>
      </c>
      <c r="B353" s="799" t="s">
        <v>2</v>
      </c>
      <c r="C353" s="794" t="s">
        <v>301</v>
      </c>
      <c r="D353" s="795"/>
      <c r="E353" s="795"/>
      <c r="F353" s="795"/>
      <c r="G353" s="795"/>
      <c r="H353" s="795"/>
      <c r="I353" s="795"/>
      <c r="J353" s="795"/>
      <c r="K353" s="795"/>
      <c r="L353" s="795"/>
      <c r="M353" s="795"/>
      <c r="N353" s="795"/>
      <c r="O353" s="795"/>
      <c r="P353" s="795"/>
      <c r="Q353" s="795"/>
      <c r="R353" s="795"/>
      <c r="S353" s="795"/>
      <c r="T353" s="795"/>
      <c r="U353" s="795"/>
      <c r="V353" s="795"/>
      <c r="W353" s="795"/>
      <c r="X353" s="795"/>
      <c r="Y353" s="795"/>
      <c r="Z353" s="795"/>
      <c r="AA353" s="795"/>
      <c r="AB353" s="795"/>
      <c r="AC353" s="795"/>
      <c r="AD353" s="795"/>
      <c r="AE353" s="795"/>
      <c r="AF353" s="795"/>
      <c r="AG353" s="795"/>
      <c r="AH353" s="795"/>
      <c r="AI353" s="795"/>
      <c r="AJ353" s="796"/>
      <c r="AK353" s="792" t="s">
        <v>307</v>
      </c>
      <c r="AL353" s="792" t="s">
        <v>308</v>
      </c>
      <c r="AM353" s="792" t="s">
        <v>309</v>
      </c>
    </row>
    <row r="354" spans="1:39" ht="109.5" customHeight="1" x14ac:dyDescent="0.3">
      <c r="A354" s="800"/>
      <c r="B354" s="800"/>
      <c r="C354" s="368" t="s">
        <v>55</v>
      </c>
      <c r="D354" s="369" t="s">
        <v>190</v>
      </c>
      <c r="E354" s="369" t="s">
        <v>43</v>
      </c>
      <c r="F354" s="369" t="s">
        <v>53</v>
      </c>
      <c r="G354" s="369" t="s">
        <v>302</v>
      </c>
      <c r="H354" s="369" t="s">
        <v>303</v>
      </c>
      <c r="I354" s="369" t="s">
        <v>294</v>
      </c>
      <c r="J354" s="369" t="s">
        <v>304</v>
      </c>
      <c r="K354" s="369" t="s">
        <v>305</v>
      </c>
      <c r="L354" s="369" t="s">
        <v>306</v>
      </c>
      <c r="M354" s="369" t="s">
        <v>44</v>
      </c>
      <c r="N354" s="370" t="s">
        <v>178</v>
      </c>
      <c r="O354" s="369" t="s">
        <v>41</v>
      </c>
      <c r="P354" s="369" t="s">
        <v>180</v>
      </c>
      <c r="Q354" s="369" t="s">
        <v>42</v>
      </c>
      <c r="R354" s="369" t="s">
        <v>45</v>
      </c>
      <c r="S354" s="369" t="s">
        <v>46</v>
      </c>
      <c r="T354" s="369" t="s">
        <v>47</v>
      </c>
      <c r="U354" s="369" t="s">
        <v>48</v>
      </c>
      <c r="V354" s="369" t="s">
        <v>49</v>
      </c>
      <c r="W354" s="369" t="s">
        <v>50</v>
      </c>
      <c r="X354" s="369" t="s">
        <v>51</v>
      </c>
      <c r="Y354" s="369" t="s">
        <v>52</v>
      </c>
      <c r="Z354" s="369" t="s">
        <v>54</v>
      </c>
      <c r="AA354" s="369" t="s">
        <v>56</v>
      </c>
      <c r="AB354" s="369" t="s">
        <v>57</v>
      </c>
      <c r="AC354" s="369" t="s">
        <v>58</v>
      </c>
      <c r="AD354" s="369" t="s">
        <v>59</v>
      </c>
      <c r="AE354" s="369" t="s">
        <v>60</v>
      </c>
      <c r="AF354" s="370" t="s">
        <v>179</v>
      </c>
      <c r="AG354" s="370" t="s">
        <v>310</v>
      </c>
      <c r="AH354" s="369" t="s">
        <v>33</v>
      </c>
      <c r="AI354" s="369" t="s">
        <v>61</v>
      </c>
      <c r="AJ354" s="369" t="s">
        <v>18</v>
      </c>
      <c r="AK354" s="793"/>
      <c r="AL354" s="793"/>
      <c r="AM354" s="793"/>
    </row>
    <row r="355" spans="1:39" ht="18" customHeight="1" x14ac:dyDescent="0.3">
      <c r="A355" s="371">
        <v>1</v>
      </c>
      <c r="B355" s="372" t="str">
        <f>PETUNJUK!B9</f>
        <v>Pecangaan Kulon</v>
      </c>
      <c r="C355" s="373"/>
      <c r="D355" s="373"/>
      <c r="E355" s="373"/>
      <c r="F355" s="373"/>
      <c r="G355" s="373"/>
      <c r="H355" s="373"/>
      <c r="I355" s="373"/>
      <c r="J355" s="373"/>
      <c r="K355" s="373"/>
      <c r="L355" s="373"/>
      <c r="M355" s="373"/>
      <c r="N355" s="373"/>
      <c r="O355" s="373"/>
      <c r="P355" s="373"/>
      <c r="Q355" s="373"/>
      <c r="R355" s="373"/>
      <c r="S355" s="373"/>
      <c r="T355" s="373"/>
      <c r="U355" s="373"/>
      <c r="V355" s="373"/>
      <c r="W355" s="373"/>
      <c r="X355" s="373"/>
      <c r="Y355" s="373"/>
      <c r="Z355" s="373"/>
      <c r="AA355" s="373"/>
      <c r="AB355" s="373"/>
      <c r="AC355" s="373"/>
      <c r="AD355" s="373"/>
      <c r="AE355" s="373"/>
      <c r="AF355" s="373"/>
      <c r="AG355" s="373"/>
      <c r="AH355" s="373"/>
      <c r="AI355" s="373"/>
      <c r="AJ355" s="373"/>
      <c r="AK355" s="373"/>
      <c r="AL355" s="373"/>
      <c r="AM355" s="373"/>
    </row>
    <row r="356" spans="1:39" ht="18" customHeight="1" x14ac:dyDescent="0.3">
      <c r="A356" s="371">
        <v>2</v>
      </c>
      <c r="B356" s="372" t="str">
        <f>PETUNJUK!B10</f>
        <v>Rengging</v>
      </c>
      <c r="C356" s="373"/>
      <c r="D356" s="373"/>
      <c r="E356" s="373"/>
      <c r="F356" s="373"/>
      <c r="G356" s="373"/>
      <c r="H356" s="373"/>
      <c r="I356" s="373"/>
      <c r="J356" s="373"/>
      <c r="K356" s="373"/>
      <c r="L356" s="373"/>
      <c r="M356" s="373"/>
      <c r="N356" s="373"/>
      <c r="O356" s="373"/>
      <c r="P356" s="373"/>
      <c r="Q356" s="373"/>
      <c r="R356" s="373"/>
      <c r="S356" s="373"/>
      <c r="T356" s="373"/>
      <c r="U356" s="373"/>
      <c r="V356" s="373"/>
      <c r="W356" s="373"/>
      <c r="X356" s="373"/>
      <c r="Y356" s="373"/>
      <c r="Z356" s="373"/>
      <c r="AA356" s="373"/>
      <c r="AB356" s="373"/>
      <c r="AC356" s="373"/>
      <c r="AD356" s="373"/>
      <c r="AE356" s="373"/>
      <c r="AF356" s="373"/>
      <c r="AG356" s="373"/>
      <c r="AH356" s="373"/>
      <c r="AI356" s="373"/>
      <c r="AJ356" s="373"/>
      <c r="AK356" s="373"/>
      <c r="AL356" s="373"/>
      <c r="AM356" s="373"/>
    </row>
    <row r="357" spans="1:39" ht="18" customHeight="1" x14ac:dyDescent="0.3">
      <c r="A357" s="371">
        <v>3</v>
      </c>
      <c r="B357" s="372" t="str">
        <f>PETUNJUK!B11</f>
        <v>Troso</v>
      </c>
      <c r="C357" s="373"/>
      <c r="D357" s="373"/>
      <c r="E357" s="373"/>
      <c r="F357" s="373"/>
      <c r="G357" s="373"/>
      <c r="H357" s="373"/>
      <c r="I357" s="373"/>
      <c r="J357" s="373"/>
      <c r="K357" s="373"/>
      <c r="L357" s="373"/>
      <c r="M357" s="373"/>
      <c r="N357" s="373"/>
      <c r="O357" s="373"/>
      <c r="P357" s="373"/>
      <c r="Q357" s="373"/>
      <c r="R357" s="373"/>
      <c r="S357" s="373"/>
      <c r="T357" s="373"/>
      <c r="U357" s="373"/>
      <c r="V357" s="373"/>
      <c r="W357" s="373"/>
      <c r="X357" s="373"/>
      <c r="Y357" s="373"/>
      <c r="Z357" s="373"/>
      <c r="AA357" s="373"/>
      <c r="AB357" s="373"/>
      <c r="AC357" s="373"/>
      <c r="AD357" s="373"/>
      <c r="AE357" s="373"/>
      <c r="AF357" s="373"/>
      <c r="AG357" s="373"/>
      <c r="AH357" s="373"/>
      <c r="AI357" s="373"/>
      <c r="AJ357" s="373"/>
      <c r="AK357" s="373"/>
      <c r="AL357" s="373"/>
      <c r="AM357" s="373"/>
    </row>
    <row r="358" spans="1:39" ht="18" customHeight="1" x14ac:dyDescent="0.3">
      <c r="A358" s="371">
        <v>4</v>
      </c>
      <c r="B358" s="372" t="str">
        <f>PETUNJUK!B12</f>
        <v>Ngeling</v>
      </c>
      <c r="C358" s="373"/>
      <c r="D358" s="373"/>
      <c r="E358" s="373"/>
      <c r="F358" s="373"/>
      <c r="G358" s="373"/>
      <c r="H358" s="373"/>
      <c r="I358" s="373"/>
      <c r="J358" s="373"/>
      <c r="K358" s="373"/>
      <c r="L358" s="373"/>
      <c r="M358" s="373"/>
      <c r="N358" s="373"/>
      <c r="O358" s="373"/>
      <c r="P358" s="373"/>
      <c r="Q358" s="373"/>
      <c r="R358" s="373"/>
      <c r="S358" s="373"/>
      <c r="T358" s="373"/>
      <c r="U358" s="373"/>
      <c r="V358" s="373"/>
      <c r="W358" s="373"/>
      <c r="X358" s="373"/>
      <c r="Y358" s="373"/>
      <c r="Z358" s="373"/>
      <c r="AA358" s="373"/>
      <c r="AB358" s="373"/>
      <c r="AC358" s="373"/>
      <c r="AD358" s="373"/>
      <c r="AE358" s="373"/>
      <c r="AF358" s="373"/>
      <c r="AG358" s="373"/>
      <c r="AH358" s="373"/>
      <c r="AI358" s="373"/>
      <c r="AJ358" s="373"/>
      <c r="AK358" s="373"/>
      <c r="AL358" s="373"/>
      <c r="AM358" s="373"/>
    </row>
    <row r="359" spans="1:39" ht="18" customHeight="1" x14ac:dyDescent="0.3">
      <c r="A359" s="371">
        <v>5</v>
      </c>
      <c r="B359" s="372" t="str">
        <f>PETUNJUK!B13</f>
        <v>Lebuawu</v>
      </c>
      <c r="C359" s="373"/>
      <c r="D359" s="373"/>
      <c r="E359" s="373"/>
      <c r="F359" s="373"/>
      <c r="G359" s="373"/>
      <c r="H359" s="373"/>
      <c r="I359" s="373"/>
      <c r="J359" s="373"/>
      <c r="K359" s="373"/>
      <c r="L359" s="373"/>
      <c r="M359" s="373"/>
      <c r="N359" s="373"/>
      <c r="O359" s="373"/>
      <c r="P359" s="373"/>
      <c r="Q359" s="373"/>
      <c r="R359" s="373"/>
      <c r="S359" s="373"/>
      <c r="T359" s="373"/>
      <c r="U359" s="373"/>
      <c r="V359" s="373"/>
      <c r="W359" s="373"/>
      <c r="X359" s="373"/>
      <c r="Y359" s="373"/>
      <c r="Z359" s="373"/>
      <c r="AA359" s="373"/>
      <c r="AB359" s="373"/>
      <c r="AC359" s="373"/>
      <c r="AD359" s="373"/>
      <c r="AE359" s="373"/>
      <c r="AF359" s="373"/>
      <c r="AG359" s="373"/>
      <c r="AH359" s="373"/>
      <c r="AI359" s="373"/>
      <c r="AJ359" s="373"/>
      <c r="AK359" s="373"/>
      <c r="AL359" s="373"/>
      <c r="AM359" s="373"/>
    </row>
    <row r="360" spans="1:39" ht="18" customHeight="1" x14ac:dyDescent="0.3">
      <c r="A360" s="371">
        <v>6</v>
      </c>
      <c r="B360" s="372" t="str">
        <f>PETUNJUK!B14</f>
        <v>Pulodarat</v>
      </c>
      <c r="C360" s="373"/>
      <c r="D360" s="373"/>
      <c r="E360" s="373"/>
      <c r="F360" s="373"/>
      <c r="G360" s="373"/>
      <c r="H360" s="373"/>
      <c r="I360" s="373"/>
      <c r="J360" s="373"/>
      <c r="K360" s="373"/>
      <c r="L360" s="373"/>
      <c r="M360" s="373"/>
      <c r="N360" s="373"/>
      <c r="O360" s="373"/>
      <c r="P360" s="373"/>
      <c r="Q360" s="373"/>
      <c r="R360" s="373"/>
      <c r="S360" s="373"/>
      <c r="T360" s="373"/>
      <c r="U360" s="373"/>
      <c r="V360" s="373"/>
      <c r="W360" s="373"/>
      <c r="X360" s="373"/>
      <c r="Y360" s="373"/>
      <c r="Z360" s="373"/>
      <c r="AA360" s="373"/>
      <c r="AB360" s="373"/>
      <c r="AC360" s="373"/>
      <c r="AD360" s="373"/>
      <c r="AE360" s="373"/>
      <c r="AF360" s="373"/>
      <c r="AG360" s="373"/>
      <c r="AH360" s="373"/>
      <c r="AI360" s="373"/>
      <c r="AJ360" s="373"/>
      <c r="AK360" s="373"/>
      <c r="AL360" s="373"/>
      <c r="AM360" s="373"/>
    </row>
    <row r="361" spans="1:39" ht="18" customHeight="1" x14ac:dyDescent="0.3">
      <c r="A361" s="371">
        <v>7</v>
      </c>
      <c r="B361" s="372" t="str">
        <f>PETUNJUK!B15</f>
        <v>Karangrandu</v>
      </c>
      <c r="C361" s="373"/>
      <c r="D361" s="373"/>
      <c r="E361" s="373"/>
      <c r="F361" s="373"/>
      <c r="G361" s="373"/>
      <c r="H361" s="373"/>
      <c r="I361" s="373"/>
      <c r="J361" s="373"/>
      <c r="K361" s="373"/>
      <c r="L361" s="373"/>
      <c r="M361" s="373"/>
      <c r="N361" s="373"/>
      <c r="O361" s="373"/>
      <c r="P361" s="373"/>
      <c r="Q361" s="373"/>
      <c r="R361" s="373"/>
      <c r="S361" s="373"/>
      <c r="T361" s="373"/>
      <c r="U361" s="373"/>
      <c r="V361" s="373"/>
      <c r="W361" s="373"/>
      <c r="X361" s="373"/>
      <c r="Y361" s="373"/>
      <c r="Z361" s="373"/>
      <c r="AA361" s="373"/>
      <c r="AB361" s="373"/>
      <c r="AC361" s="373"/>
      <c r="AD361" s="373"/>
      <c r="AE361" s="373"/>
      <c r="AF361" s="373"/>
      <c r="AG361" s="373"/>
      <c r="AH361" s="373"/>
      <c r="AI361" s="373"/>
      <c r="AJ361" s="373"/>
      <c r="AK361" s="373"/>
      <c r="AL361" s="373"/>
      <c r="AM361" s="373"/>
    </row>
    <row r="362" spans="1:39" ht="18" customHeight="1" x14ac:dyDescent="0.3">
      <c r="A362" s="371">
        <v>8</v>
      </c>
      <c r="B362" s="372" t="str">
        <f>PETUNJUK!B16</f>
        <v>Kaliombo</v>
      </c>
      <c r="C362" s="373"/>
      <c r="D362" s="373"/>
      <c r="E362" s="373"/>
      <c r="F362" s="373"/>
      <c r="G362" s="373"/>
      <c r="H362" s="373"/>
      <c r="I362" s="373"/>
      <c r="J362" s="373"/>
      <c r="K362" s="373"/>
      <c r="L362" s="373"/>
      <c r="M362" s="373"/>
      <c r="N362" s="373"/>
      <c r="O362" s="373"/>
      <c r="P362" s="373"/>
      <c r="Q362" s="373"/>
      <c r="R362" s="373"/>
      <c r="S362" s="373"/>
      <c r="T362" s="373"/>
      <c r="U362" s="373"/>
      <c r="V362" s="373"/>
      <c r="W362" s="373"/>
      <c r="X362" s="373"/>
      <c r="Y362" s="373"/>
      <c r="Z362" s="373"/>
      <c r="AA362" s="373"/>
      <c r="AB362" s="373"/>
      <c r="AC362" s="373"/>
      <c r="AD362" s="373"/>
      <c r="AE362" s="373"/>
      <c r="AF362" s="373"/>
      <c r="AG362" s="373"/>
      <c r="AH362" s="373"/>
      <c r="AI362" s="373"/>
      <c r="AJ362" s="373"/>
      <c r="AK362" s="373"/>
      <c r="AL362" s="373"/>
      <c r="AM362" s="373"/>
    </row>
    <row r="363" spans="1:39" ht="18" customHeight="1" x14ac:dyDescent="0.3">
      <c r="A363" s="371">
        <v>9</v>
      </c>
      <c r="B363" s="372" t="str">
        <f>PETUNJUK!B17</f>
        <v>Gemulung</v>
      </c>
      <c r="C363" s="373"/>
      <c r="D363" s="373"/>
      <c r="E363" s="373"/>
      <c r="F363" s="373"/>
      <c r="G363" s="373"/>
      <c r="H363" s="373"/>
      <c r="I363" s="373"/>
      <c r="J363" s="373"/>
      <c r="K363" s="373"/>
      <c r="L363" s="373"/>
      <c r="M363" s="373"/>
      <c r="N363" s="373"/>
      <c r="O363" s="373"/>
      <c r="P363" s="373"/>
      <c r="Q363" s="373"/>
      <c r="R363" s="373"/>
      <c r="S363" s="373"/>
      <c r="T363" s="373"/>
      <c r="U363" s="373"/>
      <c r="V363" s="373"/>
      <c r="W363" s="373"/>
      <c r="X363" s="373"/>
      <c r="Y363" s="373"/>
      <c r="Z363" s="373"/>
      <c r="AA363" s="373"/>
      <c r="AB363" s="373"/>
      <c r="AC363" s="373"/>
      <c r="AD363" s="373"/>
      <c r="AE363" s="373"/>
      <c r="AF363" s="373"/>
      <c r="AG363" s="373"/>
      <c r="AH363" s="373"/>
      <c r="AI363" s="373"/>
      <c r="AJ363" s="373"/>
      <c r="AK363" s="373"/>
      <c r="AL363" s="373"/>
      <c r="AM363" s="373"/>
    </row>
    <row r="364" spans="1:39" ht="18" customHeight="1" x14ac:dyDescent="0.3">
      <c r="A364" s="371">
        <v>10</v>
      </c>
      <c r="B364" s="372" t="str">
        <f>PETUNJUK!B18</f>
        <v>Pecangaan Wetan</v>
      </c>
      <c r="C364" s="373"/>
      <c r="D364" s="373"/>
      <c r="E364" s="373"/>
      <c r="F364" s="373"/>
      <c r="G364" s="373"/>
      <c r="H364" s="373"/>
      <c r="I364" s="373"/>
      <c r="J364" s="373"/>
      <c r="K364" s="373"/>
      <c r="L364" s="373"/>
      <c r="M364" s="373"/>
      <c r="N364" s="373"/>
      <c r="O364" s="373"/>
      <c r="P364" s="373"/>
      <c r="Q364" s="373"/>
      <c r="R364" s="373"/>
      <c r="S364" s="373"/>
      <c r="T364" s="373"/>
      <c r="U364" s="373"/>
      <c r="V364" s="373"/>
      <c r="W364" s="373"/>
      <c r="X364" s="373"/>
      <c r="Y364" s="373"/>
      <c r="Z364" s="373"/>
      <c r="AA364" s="373"/>
      <c r="AB364" s="373"/>
      <c r="AC364" s="373"/>
      <c r="AD364" s="373"/>
      <c r="AE364" s="373"/>
      <c r="AF364" s="373"/>
      <c r="AG364" s="373"/>
      <c r="AH364" s="373"/>
      <c r="AI364" s="373"/>
      <c r="AJ364" s="373"/>
      <c r="AK364" s="373"/>
      <c r="AL364" s="373"/>
      <c r="AM364" s="373"/>
    </row>
    <row r="365" spans="1:39" ht="18" customHeight="1" x14ac:dyDescent="0.3">
      <c r="A365" s="371">
        <v>11</v>
      </c>
      <c r="B365" s="372" t="str">
        <f>PETUNJUK!B19</f>
        <v>Krasak</v>
      </c>
      <c r="C365" s="373"/>
      <c r="D365" s="373"/>
      <c r="E365" s="373"/>
      <c r="F365" s="373"/>
      <c r="G365" s="373"/>
      <c r="H365" s="373"/>
      <c r="I365" s="373"/>
      <c r="J365" s="373"/>
      <c r="K365" s="373"/>
      <c r="L365" s="373"/>
      <c r="M365" s="373"/>
      <c r="N365" s="373"/>
      <c r="O365" s="373"/>
      <c r="P365" s="373"/>
      <c r="Q365" s="373"/>
      <c r="R365" s="373"/>
      <c r="S365" s="373"/>
      <c r="T365" s="373"/>
      <c r="U365" s="373"/>
      <c r="V365" s="373"/>
      <c r="W365" s="373"/>
      <c r="X365" s="373"/>
      <c r="Y365" s="373"/>
      <c r="Z365" s="373"/>
      <c r="AA365" s="373"/>
      <c r="AB365" s="373"/>
      <c r="AC365" s="373"/>
      <c r="AD365" s="373"/>
      <c r="AE365" s="373"/>
      <c r="AF365" s="373"/>
      <c r="AG365" s="373"/>
      <c r="AH365" s="373"/>
      <c r="AI365" s="373"/>
      <c r="AJ365" s="373"/>
      <c r="AK365" s="373"/>
      <c r="AL365" s="373"/>
      <c r="AM365" s="373"/>
    </row>
    <row r="366" spans="1:39" ht="18" customHeight="1" x14ac:dyDescent="0.3">
      <c r="A366" s="371">
        <v>12</v>
      </c>
      <c r="B366" s="372" t="str">
        <f>PETUNJUK!B20</f>
        <v>Gerdu</v>
      </c>
      <c r="C366" s="373"/>
      <c r="D366" s="373"/>
      <c r="E366" s="373"/>
      <c r="F366" s="373"/>
      <c r="G366" s="373"/>
      <c r="H366" s="373"/>
      <c r="I366" s="373"/>
      <c r="J366" s="373"/>
      <c r="K366" s="373"/>
      <c r="L366" s="373"/>
      <c r="M366" s="373"/>
      <c r="N366" s="373"/>
      <c r="O366" s="373"/>
      <c r="P366" s="373"/>
      <c r="Q366" s="373"/>
      <c r="R366" s="373"/>
      <c r="S366" s="373"/>
      <c r="T366" s="373"/>
      <c r="U366" s="373"/>
      <c r="V366" s="373"/>
      <c r="W366" s="373"/>
      <c r="X366" s="373"/>
      <c r="Y366" s="373"/>
      <c r="Z366" s="373"/>
      <c r="AA366" s="373"/>
      <c r="AB366" s="373"/>
      <c r="AC366" s="373"/>
      <c r="AD366" s="373"/>
      <c r="AE366" s="373"/>
      <c r="AF366" s="373"/>
      <c r="AG366" s="373"/>
      <c r="AH366" s="373"/>
      <c r="AI366" s="373"/>
      <c r="AJ366" s="373"/>
      <c r="AK366" s="373"/>
      <c r="AL366" s="373"/>
      <c r="AM366" s="373"/>
    </row>
    <row r="367" spans="1:39" ht="18" customHeight="1" x14ac:dyDescent="0.3">
      <c r="A367" s="371">
        <v>13</v>
      </c>
      <c r="B367" s="372">
        <f>PETUNJUK!B21</f>
        <v>0</v>
      </c>
      <c r="C367" s="373"/>
      <c r="D367" s="373"/>
      <c r="E367" s="373"/>
      <c r="F367" s="373"/>
      <c r="G367" s="373"/>
      <c r="H367" s="373"/>
      <c r="I367" s="373"/>
      <c r="J367" s="373"/>
      <c r="K367" s="373"/>
      <c r="L367" s="373"/>
      <c r="M367" s="373"/>
      <c r="N367" s="373"/>
      <c r="O367" s="373"/>
      <c r="P367" s="373"/>
      <c r="Q367" s="373"/>
      <c r="R367" s="373"/>
      <c r="S367" s="373"/>
      <c r="T367" s="373"/>
      <c r="U367" s="373"/>
      <c r="V367" s="373"/>
      <c r="W367" s="373"/>
      <c r="X367" s="373"/>
      <c r="Y367" s="373"/>
      <c r="Z367" s="373"/>
      <c r="AA367" s="373"/>
      <c r="AB367" s="373"/>
      <c r="AC367" s="373"/>
      <c r="AD367" s="373"/>
      <c r="AE367" s="373"/>
      <c r="AF367" s="373"/>
      <c r="AG367" s="373"/>
      <c r="AH367" s="373"/>
      <c r="AI367" s="373"/>
      <c r="AJ367" s="373"/>
      <c r="AK367" s="373"/>
      <c r="AL367" s="373"/>
      <c r="AM367" s="373"/>
    </row>
    <row r="368" spans="1:39" ht="18" customHeight="1" x14ac:dyDescent="0.3">
      <c r="A368" s="371">
        <v>14</v>
      </c>
      <c r="B368" s="372">
        <f>PETUNJUK!B22</f>
        <v>0</v>
      </c>
      <c r="C368" s="373"/>
      <c r="D368" s="373"/>
      <c r="E368" s="373"/>
      <c r="F368" s="373"/>
      <c r="G368" s="373"/>
      <c r="H368" s="373"/>
      <c r="I368" s="373"/>
      <c r="J368" s="373"/>
      <c r="K368" s="373"/>
      <c r="L368" s="373"/>
      <c r="M368" s="373"/>
      <c r="N368" s="373"/>
      <c r="O368" s="373"/>
      <c r="P368" s="373"/>
      <c r="Q368" s="373"/>
      <c r="R368" s="373"/>
      <c r="S368" s="373"/>
      <c r="T368" s="373"/>
      <c r="U368" s="373"/>
      <c r="V368" s="373"/>
      <c r="W368" s="373"/>
      <c r="X368" s="373"/>
      <c r="Y368" s="373"/>
      <c r="Z368" s="373"/>
      <c r="AA368" s="373"/>
      <c r="AB368" s="373"/>
      <c r="AC368" s="373"/>
      <c r="AD368" s="373"/>
      <c r="AE368" s="373"/>
      <c r="AF368" s="373"/>
      <c r="AG368" s="373"/>
      <c r="AH368" s="373"/>
      <c r="AI368" s="373"/>
      <c r="AJ368" s="373"/>
      <c r="AK368" s="373"/>
      <c r="AL368" s="373"/>
      <c r="AM368" s="373"/>
    </row>
    <row r="369" spans="1:39" ht="18" customHeight="1" x14ac:dyDescent="0.3">
      <c r="A369" s="371">
        <v>15</v>
      </c>
      <c r="B369" s="372">
        <f>PETUNJUK!B23</f>
        <v>0</v>
      </c>
      <c r="C369" s="373"/>
      <c r="D369" s="373"/>
      <c r="E369" s="373"/>
      <c r="F369" s="373"/>
      <c r="G369" s="373"/>
      <c r="H369" s="373"/>
      <c r="I369" s="373"/>
      <c r="J369" s="373"/>
      <c r="K369" s="373"/>
      <c r="L369" s="373"/>
      <c r="M369" s="373"/>
      <c r="N369" s="373"/>
      <c r="O369" s="373"/>
      <c r="P369" s="373"/>
      <c r="Q369" s="373"/>
      <c r="R369" s="373"/>
      <c r="S369" s="373"/>
      <c r="T369" s="373"/>
      <c r="U369" s="373"/>
      <c r="V369" s="373"/>
      <c r="W369" s="373"/>
      <c r="X369" s="373"/>
      <c r="Y369" s="373"/>
      <c r="Z369" s="373"/>
      <c r="AA369" s="373"/>
      <c r="AB369" s="373"/>
      <c r="AC369" s="373"/>
      <c r="AD369" s="373"/>
      <c r="AE369" s="373"/>
      <c r="AF369" s="373"/>
      <c r="AG369" s="373"/>
      <c r="AH369" s="373"/>
      <c r="AI369" s="373"/>
      <c r="AJ369" s="373"/>
      <c r="AK369" s="373"/>
      <c r="AL369" s="373"/>
      <c r="AM369" s="373"/>
    </row>
    <row r="370" spans="1:39" ht="18" customHeight="1" x14ac:dyDescent="0.3">
      <c r="A370" s="371">
        <v>16</v>
      </c>
      <c r="B370" s="372">
        <f>PETUNJUK!B24</f>
        <v>0</v>
      </c>
      <c r="C370" s="373"/>
      <c r="D370" s="373"/>
      <c r="E370" s="373"/>
      <c r="F370" s="373"/>
      <c r="G370" s="373"/>
      <c r="H370" s="373"/>
      <c r="I370" s="373"/>
      <c r="J370" s="373"/>
      <c r="K370" s="373"/>
      <c r="L370" s="373"/>
      <c r="M370" s="373"/>
      <c r="N370" s="373"/>
      <c r="O370" s="373"/>
      <c r="P370" s="373"/>
      <c r="Q370" s="373"/>
      <c r="R370" s="373"/>
      <c r="S370" s="373"/>
      <c r="T370" s="373"/>
      <c r="U370" s="373"/>
      <c r="V370" s="373"/>
      <c r="W370" s="373"/>
      <c r="X370" s="373"/>
      <c r="Y370" s="373"/>
      <c r="Z370" s="373"/>
      <c r="AA370" s="373"/>
      <c r="AB370" s="373"/>
      <c r="AC370" s="373"/>
      <c r="AD370" s="373"/>
      <c r="AE370" s="373"/>
      <c r="AF370" s="373"/>
      <c r="AG370" s="373"/>
      <c r="AH370" s="373"/>
      <c r="AI370" s="373"/>
      <c r="AJ370" s="373"/>
      <c r="AK370" s="373"/>
      <c r="AL370" s="373"/>
      <c r="AM370" s="373"/>
    </row>
    <row r="371" spans="1:39" ht="18" customHeight="1" x14ac:dyDescent="0.3">
      <c r="A371" s="371">
        <v>17</v>
      </c>
      <c r="B371" s="372">
        <f>PETUNJUK!B25</f>
        <v>0</v>
      </c>
      <c r="C371" s="373"/>
      <c r="D371" s="373"/>
      <c r="E371" s="373"/>
      <c r="F371" s="373"/>
      <c r="G371" s="373"/>
      <c r="H371" s="373"/>
      <c r="I371" s="373"/>
      <c r="J371" s="373"/>
      <c r="K371" s="373"/>
      <c r="L371" s="373"/>
      <c r="M371" s="373"/>
      <c r="N371" s="373"/>
      <c r="O371" s="373"/>
      <c r="P371" s="373"/>
      <c r="Q371" s="373"/>
      <c r="R371" s="373"/>
      <c r="S371" s="373"/>
      <c r="T371" s="373"/>
      <c r="U371" s="373"/>
      <c r="V371" s="373"/>
      <c r="W371" s="373"/>
      <c r="X371" s="373"/>
      <c r="Y371" s="373"/>
      <c r="Z371" s="373"/>
      <c r="AA371" s="373"/>
      <c r="AB371" s="373"/>
      <c r="AC371" s="373"/>
      <c r="AD371" s="373"/>
      <c r="AE371" s="373"/>
      <c r="AF371" s="373"/>
      <c r="AG371" s="373"/>
      <c r="AH371" s="373"/>
      <c r="AI371" s="373"/>
      <c r="AJ371" s="373"/>
      <c r="AK371" s="373"/>
      <c r="AL371" s="373"/>
      <c r="AM371" s="373"/>
    </row>
    <row r="372" spans="1:39" ht="18" customHeight="1" x14ac:dyDescent="0.3">
      <c r="A372" s="371">
        <v>18</v>
      </c>
      <c r="B372" s="372">
        <f>PETUNJUK!B26</f>
        <v>0</v>
      </c>
      <c r="C372" s="373"/>
      <c r="D372" s="373"/>
      <c r="E372" s="373"/>
      <c r="F372" s="373"/>
      <c r="G372" s="373"/>
      <c r="H372" s="373"/>
      <c r="I372" s="373"/>
      <c r="J372" s="373"/>
      <c r="K372" s="373"/>
      <c r="L372" s="373"/>
      <c r="M372" s="373"/>
      <c r="N372" s="373"/>
      <c r="O372" s="373"/>
      <c r="P372" s="373"/>
      <c r="Q372" s="373"/>
      <c r="R372" s="373"/>
      <c r="S372" s="373"/>
      <c r="T372" s="373"/>
      <c r="U372" s="373"/>
      <c r="V372" s="373"/>
      <c r="W372" s="373"/>
      <c r="X372" s="373"/>
      <c r="Y372" s="373"/>
      <c r="Z372" s="373"/>
      <c r="AA372" s="373"/>
      <c r="AB372" s="373"/>
      <c r="AC372" s="373"/>
      <c r="AD372" s="373"/>
      <c r="AE372" s="373"/>
      <c r="AF372" s="373"/>
      <c r="AG372" s="373"/>
      <c r="AH372" s="373"/>
      <c r="AI372" s="373"/>
      <c r="AJ372" s="373"/>
      <c r="AK372" s="373"/>
      <c r="AL372" s="373"/>
      <c r="AM372" s="373"/>
    </row>
    <row r="373" spans="1:39" ht="18" customHeight="1" x14ac:dyDescent="0.3">
      <c r="A373" s="371">
        <v>19</v>
      </c>
      <c r="B373" s="372">
        <f>PETUNJUK!B27</f>
        <v>0</v>
      </c>
      <c r="C373" s="373"/>
      <c r="D373" s="373"/>
      <c r="E373" s="373"/>
      <c r="F373" s="373"/>
      <c r="G373" s="373"/>
      <c r="H373" s="373"/>
      <c r="I373" s="373"/>
      <c r="J373" s="373"/>
      <c r="K373" s="373"/>
      <c r="L373" s="373"/>
      <c r="M373" s="373"/>
      <c r="N373" s="373"/>
      <c r="O373" s="373"/>
      <c r="P373" s="373"/>
      <c r="Q373" s="373"/>
      <c r="R373" s="373"/>
      <c r="S373" s="373"/>
      <c r="T373" s="373"/>
      <c r="U373" s="373"/>
      <c r="V373" s="373"/>
      <c r="W373" s="373"/>
      <c r="X373" s="373"/>
      <c r="Y373" s="373"/>
      <c r="Z373" s="373"/>
      <c r="AA373" s="373"/>
      <c r="AB373" s="373"/>
      <c r="AC373" s="373"/>
      <c r="AD373" s="373"/>
      <c r="AE373" s="373"/>
      <c r="AF373" s="373"/>
      <c r="AG373" s="373"/>
      <c r="AH373" s="373"/>
      <c r="AI373" s="373"/>
      <c r="AJ373" s="373"/>
      <c r="AK373" s="373"/>
      <c r="AL373" s="373"/>
      <c r="AM373" s="373"/>
    </row>
    <row r="374" spans="1:39" ht="18" customHeight="1" x14ac:dyDescent="0.3">
      <c r="A374" s="371">
        <v>20</v>
      </c>
      <c r="B374" s="372">
        <f>PETUNJUK!B28</f>
        <v>0</v>
      </c>
      <c r="C374" s="373"/>
      <c r="D374" s="373"/>
      <c r="E374" s="373"/>
      <c r="F374" s="373"/>
      <c r="G374" s="373"/>
      <c r="H374" s="373"/>
      <c r="I374" s="373"/>
      <c r="J374" s="373"/>
      <c r="K374" s="373"/>
      <c r="L374" s="373"/>
      <c r="M374" s="373"/>
      <c r="N374" s="373"/>
      <c r="O374" s="373"/>
      <c r="P374" s="373"/>
      <c r="Q374" s="373"/>
      <c r="R374" s="373"/>
      <c r="S374" s="373"/>
      <c r="T374" s="373"/>
      <c r="U374" s="373"/>
      <c r="V374" s="373"/>
      <c r="W374" s="373"/>
      <c r="X374" s="373"/>
      <c r="Y374" s="373"/>
      <c r="Z374" s="373"/>
      <c r="AA374" s="373"/>
      <c r="AB374" s="373"/>
      <c r="AC374" s="373"/>
      <c r="AD374" s="373"/>
      <c r="AE374" s="373"/>
      <c r="AF374" s="373"/>
      <c r="AG374" s="373"/>
      <c r="AH374" s="373"/>
      <c r="AI374" s="373"/>
      <c r="AJ374" s="373"/>
      <c r="AK374" s="373"/>
      <c r="AL374" s="373"/>
      <c r="AM374" s="373"/>
    </row>
    <row r="375" spans="1:39" ht="18" customHeight="1" x14ac:dyDescent="0.3">
      <c r="A375" s="371">
        <v>21</v>
      </c>
      <c r="B375" s="372">
        <f>PETUNJUK!B29</f>
        <v>0</v>
      </c>
      <c r="C375" s="373"/>
      <c r="D375" s="373"/>
      <c r="E375" s="373"/>
      <c r="F375" s="373"/>
      <c r="G375" s="373"/>
      <c r="H375" s="373"/>
      <c r="I375" s="373"/>
      <c r="J375" s="373"/>
      <c r="K375" s="373"/>
      <c r="L375" s="373"/>
      <c r="M375" s="373"/>
      <c r="N375" s="373"/>
      <c r="O375" s="373"/>
      <c r="P375" s="373"/>
      <c r="Q375" s="373"/>
      <c r="R375" s="373"/>
      <c r="S375" s="373"/>
      <c r="T375" s="373"/>
      <c r="U375" s="373"/>
      <c r="V375" s="373"/>
      <c r="W375" s="373"/>
      <c r="X375" s="373"/>
      <c r="Y375" s="373"/>
      <c r="Z375" s="373"/>
      <c r="AA375" s="373"/>
      <c r="AB375" s="373"/>
      <c r="AC375" s="373"/>
      <c r="AD375" s="373"/>
      <c r="AE375" s="373"/>
      <c r="AF375" s="373"/>
      <c r="AG375" s="373"/>
      <c r="AH375" s="373"/>
      <c r="AI375" s="373"/>
      <c r="AJ375" s="373"/>
      <c r="AK375" s="373"/>
      <c r="AL375" s="373"/>
      <c r="AM375" s="373"/>
    </row>
    <row r="376" spans="1:39" ht="18" customHeight="1" x14ac:dyDescent="0.3">
      <c r="A376" s="371">
        <v>22</v>
      </c>
      <c r="B376" s="372">
        <f>PETUNJUK!B30</f>
        <v>0</v>
      </c>
      <c r="C376" s="382"/>
      <c r="D376" s="382"/>
      <c r="E376" s="382"/>
      <c r="F376" s="382"/>
      <c r="G376" s="382"/>
      <c r="H376" s="382"/>
      <c r="I376" s="382"/>
      <c r="J376" s="382"/>
      <c r="K376" s="382"/>
      <c r="L376" s="382"/>
      <c r="M376" s="382"/>
      <c r="N376" s="382"/>
      <c r="O376" s="382"/>
      <c r="P376" s="382"/>
      <c r="Q376" s="382"/>
      <c r="R376" s="382"/>
      <c r="S376" s="382"/>
      <c r="T376" s="382"/>
      <c r="U376" s="382"/>
      <c r="V376" s="382"/>
      <c r="W376" s="382"/>
      <c r="X376" s="382"/>
      <c r="Y376" s="382"/>
      <c r="Z376" s="382"/>
      <c r="AA376" s="382"/>
      <c r="AB376" s="382"/>
      <c r="AC376" s="382"/>
      <c r="AD376" s="382"/>
      <c r="AE376" s="382"/>
      <c r="AF376" s="382"/>
      <c r="AG376" s="382"/>
      <c r="AH376" s="382"/>
      <c r="AI376" s="382"/>
      <c r="AJ376" s="373"/>
      <c r="AK376" s="382"/>
      <c r="AL376" s="382"/>
      <c r="AM376" s="382"/>
    </row>
    <row r="377" spans="1:39" ht="18" customHeight="1" x14ac:dyDescent="0.3">
      <c r="A377" s="797" t="s">
        <v>62</v>
      </c>
      <c r="B377" s="798"/>
      <c r="C377" s="386">
        <f t="shared" ref="C377:AM377" si="14">SUM(C355:C376)</f>
        <v>0</v>
      </c>
      <c r="D377" s="386">
        <f t="shared" si="14"/>
        <v>0</v>
      </c>
      <c r="E377" s="386">
        <f t="shared" si="14"/>
        <v>0</v>
      </c>
      <c r="F377" s="386">
        <f t="shared" si="14"/>
        <v>0</v>
      </c>
      <c r="G377" s="386">
        <f t="shared" si="14"/>
        <v>0</v>
      </c>
      <c r="H377" s="386">
        <f t="shared" si="14"/>
        <v>0</v>
      </c>
      <c r="I377" s="386">
        <f t="shared" si="14"/>
        <v>0</v>
      </c>
      <c r="J377" s="386">
        <f t="shared" si="14"/>
        <v>0</v>
      </c>
      <c r="K377" s="386">
        <f t="shared" si="14"/>
        <v>0</v>
      </c>
      <c r="L377" s="386">
        <f t="shared" si="14"/>
        <v>0</v>
      </c>
      <c r="M377" s="386">
        <f t="shared" si="14"/>
        <v>0</v>
      </c>
      <c r="N377" s="386">
        <f t="shared" si="14"/>
        <v>0</v>
      </c>
      <c r="O377" s="386">
        <f t="shared" si="14"/>
        <v>0</v>
      </c>
      <c r="P377" s="386">
        <f t="shared" si="14"/>
        <v>0</v>
      </c>
      <c r="Q377" s="386">
        <f t="shared" si="14"/>
        <v>0</v>
      </c>
      <c r="R377" s="386">
        <f t="shared" si="14"/>
        <v>0</v>
      </c>
      <c r="S377" s="386">
        <f t="shared" si="14"/>
        <v>0</v>
      </c>
      <c r="T377" s="386">
        <f t="shared" si="14"/>
        <v>0</v>
      </c>
      <c r="U377" s="386">
        <f t="shared" si="14"/>
        <v>0</v>
      </c>
      <c r="V377" s="386">
        <f t="shared" si="14"/>
        <v>0</v>
      </c>
      <c r="W377" s="386">
        <f t="shared" si="14"/>
        <v>0</v>
      </c>
      <c r="X377" s="386">
        <f t="shared" si="14"/>
        <v>0</v>
      </c>
      <c r="Y377" s="386">
        <f t="shared" si="14"/>
        <v>0</v>
      </c>
      <c r="Z377" s="386">
        <f t="shared" si="14"/>
        <v>0</v>
      </c>
      <c r="AA377" s="386">
        <f t="shared" si="14"/>
        <v>0</v>
      </c>
      <c r="AB377" s="386">
        <f t="shared" si="14"/>
        <v>0</v>
      </c>
      <c r="AC377" s="386">
        <f t="shared" si="14"/>
        <v>0</v>
      </c>
      <c r="AD377" s="386">
        <f t="shared" si="14"/>
        <v>0</v>
      </c>
      <c r="AE377" s="386">
        <f t="shared" si="14"/>
        <v>0</v>
      </c>
      <c r="AF377" s="386">
        <f t="shared" si="14"/>
        <v>0</v>
      </c>
      <c r="AG377" s="386">
        <f t="shared" si="14"/>
        <v>0</v>
      </c>
      <c r="AH377" s="386">
        <f t="shared" si="14"/>
        <v>0</v>
      </c>
      <c r="AI377" s="386">
        <f t="shared" si="14"/>
        <v>0</v>
      </c>
      <c r="AJ377" s="386">
        <f t="shared" si="14"/>
        <v>0</v>
      </c>
      <c r="AK377" s="386">
        <f t="shared" si="14"/>
        <v>0</v>
      </c>
      <c r="AL377" s="386">
        <f t="shared" si="14"/>
        <v>0</v>
      </c>
      <c r="AM377" s="386">
        <f t="shared" si="14"/>
        <v>0</v>
      </c>
    </row>
    <row r="378" spans="1:39" x14ac:dyDescent="0.35">
      <c r="A378" s="235"/>
      <c r="B378" s="235" t="s">
        <v>63</v>
      </c>
      <c r="C378" s="378"/>
      <c r="D378" s="378"/>
      <c r="E378" s="378"/>
      <c r="F378" s="378"/>
      <c r="G378" s="378"/>
      <c r="H378" s="378"/>
      <c r="I378" s="378"/>
      <c r="J378" s="378"/>
      <c r="K378" s="378"/>
      <c r="L378" s="378"/>
      <c r="M378" s="378"/>
      <c r="N378" s="801" t="s">
        <v>181</v>
      </c>
      <c r="O378" s="801"/>
      <c r="P378" s="801"/>
      <c r="Q378" s="801"/>
      <c r="R378" s="801"/>
      <c r="S378" s="801"/>
      <c r="T378" s="801"/>
      <c r="U378" s="801"/>
      <c r="V378" s="801"/>
      <c r="W378" s="801"/>
      <c r="X378" s="801"/>
      <c r="Y378" s="801"/>
      <c r="Z378" s="801"/>
      <c r="AA378" s="801"/>
      <c r="AB378" s="801"/>
      <c r="AC378" s="801"/>
      <c r="AD378" s="801"/>
      <c r="AE378" s="801"/>
      <c r="AF378" s="801"/>
      <c r="AG378" s="801"/>
      <c r="AH378" s="801"/>
      <c r="AI378" s="801"/>
      <c r="AJ378" s="378"/>
    </row>
    <row r="383" spans="1:39" x14ac:dyDescent="0.35">
      <c r="A383" s="802" t="s">
        <v>177</v>
      </c>
      <c r="B383" s="802"/>
      <c r="C383" s="802"/>
      <c r="D383" s="802"/>
      <c r="E383" s="802"/>
      <c r="F383" s="802"/>
      <c r="G383" s="802"/>
      <c r="H383" s="802"/>
      <c r="I383" s="802"/>
      <c r="J383" s="802"/>
      <c r="K383" s="802"/>
      <c r="L383" s="802"/>
      <c r="M383" s="802"/>
      <c r="N383" s="802"/>
      <c r="O383" s="802"/>
      <c r="P383" s="802"/>
      <c r="Q383" s="802"/>
      <c r="R383" s="802"/>
      <c r="S383" s="802"/>
      <c r="T383" s="802"/>
      <c r="U383" s="802"/>
      <c r="V383" s="802"/>
      <c r="W383" s="802"/>
      <c r="X383" s="802"/>
      <c r="Y383" s="802"/>
      <c r="Z383" s="802"/>
      <c r="AA383" s="802"/>
      <c r="AB383" s="802"/>
      <c r="AC383" s="802"/>
      <c r="AD383" s="802"/>
      <c r="AE383" s="802"/>
      <c r="AF383" s="802"/>
      <c r="AG383" s="802"/>
      <c r="AH383" s="802"/>
      <c r="AI383" s="802"/>
      <c r="AJ383" s="802"/>
    </row>
    <row r="384" spans="1:39" x14ac:dyDescent="0.35">
      <c r="A384" s="363"/>
      <c r="B384" s="363"/>
      <c r="C384" s="632"/>
      <c r="D384" s="632"/>
      <c r="E384" s="632"/>
      <c r="F384" s="632"/>
      <c r="G384" s="632"/>
      <c r="H384" s="632"/>
      <c r="I384" s="632"/>
      <c r="J384" s="632"/>
      <c r="K384" s="632"/>
      <c r="L384" s="632"/>
      <c r="M384" s="632"/>
      <c r="N384" s="632"/>
      <c r="O384" s="632"/>
      <c r="P384" s="632"/>
      <c r="Q384" s="632"/>
      <c r="R384" s="632"/>
      <c r="S384" s="632"/>
      <c r="T384" s="632"/>
      <c r="U384" s="632"/>
      <c r="V384" s="632"/>
      <c r="W384" s="632"/>
      <c r="X384" s="632"/>
      <c r="Y384" s="632"/>
      <c r="Z384" s="632"/>
      <c r="AA384" s="632"/>
      <c r="AB384" s="632"/>
      <c r="AC384" s="632"/>
      <c r="AD384" s="632"/>
      <c r="AE384" s="632"/>
      <c r="AF384" s="632"/>
      <c r="AG384" s="632"/>
      <c r="AH384" s="632"/>
      <c r="AI384" s="632"/>
      <c r="AJ384" s="632"/>
    </row>
    <row r="385" spans="1:39" x14ac:dyDescent="0.35">
      <c r="A385" s="364" t="s">
        <v>40</v>
      </c>
      <c r="B385" s="365"/>
      <c r="C385" s="638"/>
      <c r="D385" s="638"/>
      <c r="E385" s="638"/>
      <c r="F385" s="638"/>
      <c r="G385" s="638"/>
      <c r="H385" s="638"/>
      <c r="I385" s="638"/>
      <c r="J385" s="638"/>
      <c r="K385" s="638"/>
      <c r="L385" s="638"/>
      <c r="M385" s="638"/>
      <c r="N385" s="633" t="s">
        <v>176</v>
      </c>
      <c r="O385" s="638" t="str">
        <f>PETUNJUK!C5</f>
        <v>PECANGAAN</v>
      </c>
      <c r="P385" s="638"/>
      <c r="Q385" s="638"/>
      <c r="R385" s="638"/>
      <c r="S385" s="638"/>
      <c r="T385" s="638"/>
      <c r="U385" s="638"/>
      <c r="V385" s="638"/>
      <c r="W385" s="638"/>
      <c r="X385" s="638"/>
      <c r="Y385" s="638"/>
      <c r="Z385" s="638"/>
      <c r="AA385" s="638"/>
      <c r="AB385" s="638"/>
      <c r="AC385" s="638"/>
      <c r="AD385" s="638"/>
      <c r="AE385" s="638"/>
      <c r="AF385" s="638"/>
      <c r="AG385" s="638"/>
      <c r="AH385" s="638"/>
      <c r="AI385" s="638"/>
      <c r="AJ385" s="638"/>
    </row>
    <row r="386" spans="1:39" x14ac:dyDescent="0.35">
      <c r="A386" s="366" t="s">
        <v>0</v>
      </c>
      <c r="B386" s="367"/>
      <c r="C386" s="640"/>
      <c r="D386" s="633"/>
      <c r="E386" s="633"/>
      <c r="F386" s="640"/>
      <c r="G386" s="640"/>
      <c r="H386" s="640"/>
      <c r="I386" s="640"/>
      <c r="J386" s="640"/>
      <c r="K386" s="640"/>
      <c r="L386" s="640"/>
      <c r="M386" s="633"/>
      <c r="N386" s="639" t="s">
        <v>176</v>
      </c>
      <c r="O386" s="642" t="str">
        <f>'1.DATA KIA'!C378</f>
        <v xml:space="preserve">DESEMBER </v>
      </c>
      <c r="P386" s="633"/>
      <c r="Q386" s="633"/>
      <c r="R386" s="633"/>
      <c r="S386" s="633"/>
      <c r="T386" s="633"/>
      <c r="U386" s="633"/>
      <c r="V386" s="633"/>
      <c r="W386" s="633"/>
      <c r="X386" s="633"/>
      <c r="Y386" s="633"/>
      <c r="Z386" s="640"/>
      <c r="AA386" s="640"/>
      <c r="AB386" s="640"/>
      <c r="AC386" s="640"/>
      <c r="AD386" s="640"/>
      <c r="AE386" s="640"/>
      <c r="AF386" s="640"/>
      <c r="AG386" s="640"/>
      <c r="AH386" s="640"/>
      <c r="AI386" s="640"/>
      <c r="AJ386" s="640"/>
    </row>
    <row r="387" spans="1:39" x14ac:dyDescent="0.35">
      <c r="A387" s="364"/>
      <c r="B387" s="365"/>
      <c r="C387" s="638"/>
      <c r="D387" s="638"/>
      <c r="E387" s="638"/>
      <c r="F387" s="638"/>
      <c r="G387" s="638"/>
      <c r="H387" s="638"/>
      <c r="I387" s="638"/>
      <c r="J387" s="638"/>
      <c r="K387" s="638"/>
      <c r="L387" s="638"/>
      <c r="M387" s="638"/>
      <c r="N387" s="638"/>
      <c r="O387" s="638"/>
      <c r="P387" s="638"/>
      <c r="Q387" s="638"/>
      <c r="R387" s="638"/>
      <c r="S387" s="638"/>
      <c r="T387" s="638"/>
      <c r="U387" s="638"/>
      <c r="V387" s="638"/>
      <c r="W387" s="638"/>
      <c r="X387" s="638"/>
      <c r="Y387" s="638"/>
      <c r="Z387" s="638"/>
      <c r="AA387" s="638"/>
      <c r="AB387" s="638"/>
      <c r="AC387" s="638"/>
      <c r="AD387" s="638"/>
      <c r="AE387" s="638"/>
      <c r="AF387" s="638"/>
      <c r="AG387" s="638"/>
      <c r="AH387" s="638"/>
      <c r="AI387" s="638"/>
      <c r="AJ387" s="638"/>
    </row>
    <row r="388" spans="1:39" ht="12.75" customHeight="1" x14ac:dyDescent="0.3">
      <c r="A388" s="799" t="s">
        <v>1</v>
      </c>
      <c r="B388" s="799" t="s">
        <v>2</v>
      </c>
      <c r="C388" s="794" t="s">
        <v>301</v>
      </c>
      <c r="D388" s="795"/>
      <c r="E388" s="795"/>
      <c r="F388" s="795"/>
      <c r="G388" s="795"/>
      <c r="H388" s="795"/>
      <c r="I388" s="795"/>
      <c r="J388" s="795"/>
      <c r="K388" s="795"/>
      <c r="L388" s="795"/>
      <c r="M388" s="795"/>
      <c r="N388" s="795"/>
      <c r="O388" s="795"/>
      <c r="P388" s="795"/>
      <c r="Q388" s="795"/>
      <c r="R388" s="795"/>
      <c r="S388" s="795"/>
      <c r="T388" s="795"/>
      <c r="U388" s="795"/>
      <c r="V388" s="795"/>
      <c r="W388" s="795"/>
      <c r="X388" s="795"/>
      <c r="Y388" s="795"/>
      <c r="Z388" s="795"/>
      <c r="AA388" s="795"/>
      <c r="AB388" s="795"/>
      <c r="AC388" s="795"/>
      <c r="AD388" s="795"/>
      <c r="AE388" s="795"/>
      <c r="AF388" s="795"/>
      <c r="AG388" s="795"/>
      <c r="AH388" s="795"/>
      <c r="AI388" s="795"/>
      <c r="AJ388" s="796"/>
      <c r="AK388" s="792" t="s">
        <v>307</v>
      </c>
      <c r="AL388" s="792" t="s">
        <v>308</v>
      </c>
      <c r="AM388" s="792" t="s">
        <v>309</v>
      </c>
    </row>
    <row r="389" spans="1:39" ht="108.75" customHeight="1" x14ac:dyDescent="0.3">
      <c r="A389" s="800"/>
      <c r="B389" s="800"/>
      <c r="C389" s="451" t="s">
        <v>55</v>
      </c>
      <c r="D389" s="369" t="s">
        <v>190</v>
      </c>
      <c r="E389" s="369" t="s">
        <v>43</v>
      </c>
      <c r="F389" s="369" t="s">
        <v>53</v>
      </c>
      <c r="G389" s="369" t="s">
        <v>302</v>
      </c>
      <c r="H389" s="369" t="s">
        <v>303</v>
      </c>
      <c r="I389" s="369" t="s">
        <v>294</v>
      </c>
      <c r="J389" s="369" t="s">
        <v>304</v>
      </c>
      <c r="K389" s="369" t="s">
        <v>305</v>
      </c>
      <c r="L389" s="369" t="s">
        <v>306</v>
      </c>
      <c r="M389" s="369" t="s">
        <v>44</v>
      </c>
      <c r="N389" s="370" t="s">
        <v>178</v>
      </c>
      <c r="O389" s="369" t="s">
        <v>41</v>
      </c>
      <c r="P389" s="369" t="s">
        <v>180</v>
      </c>
      <c r="Q389" s="369" t="s">
        <v>42</v>
      </c>
      <c r="R389" s="369" t="s">
        <v>45</v>
      </c>
      <c r="S389" s="369" t="s">
        <v>46</v>
      </c>
      <c r="T389" s="369" t="s">
        <v>47</v>
      </c>
      <c r="U389" s="369" t="s">
        <v>48</v>
      </c>
      <c r="V389" s="369" t="s">
        <v>49</v>
      </c>
      <c r="W389" s="369" t="s">
        <v>50</v>
      </c>
      <c r="X389" s="369" t="s">
        <v>51</v>
      </c>
      <c r="Y389" s="369" t="s">
        <v>52</v>
      </c>
      <c r="Z389" s="369" t="s">
        <v>54</v>
      </c>
      <c r="AA389" s="369" t="s">
        <v>56</v>
      </c>
      <c r="AB389" s="369" t="s">
        <v>57</v>
      </c>
      <c r="AC389" s="369" t="s">
        <v>58</v>
      </c>
      <c r="AD389" s="369" t="s">
        <v>59</v>
      </c>
      <c r="AE389" s="369" t="s">
        <v>60</v>
      </c>
      <c r="AF389" s="370" t="s">
        <v>179</v>
      </c>
      <c r="AG389" s="370" t="s">
        <v>310</v>
      </c>
      <c r="AH389" s="369" t="s">
        <v>33</v>
      </c>
      <c r="AI389" s="369" t="s">
        <v>61</v>
      </c>
      <c r="AJ389" s="369" t="s">
        <v>18</v>
      </c>
      <c r="AK389" s="793"/>
      <c r="AL389" s="793"/>
      <c r="AM389" s="793"/>
    </row>
    <row r="390" spans="1:39" ht="18" customHeight="1" x14ac:dyDescent="0.3">
      <c r="A390" s="371">
        <v>1</v>
      </c>
      <c r="B390" s="372" t="str">
        <f>PETUNJUK!B9</f>
        <v>Pecangaan Kulon</v>
      </c>
      <c r="C390" s="373"/>
      <c r="D390" s="373"/>
      <c r="E390" s="373"/>
      <c r="F390" s="373"/>
      <c r="G390" s="373"/>
      <c r="H390" s="373"/>
      <c r="I390" s="373"/>
      <c r="J390" s="373"/>
      <c r="K390" s="373"/>
      <c r="L390" s="373"/>
      <c r="M390" s="373"/>
      <c r="N390" s="373"/>
      <c r="O390" s="373"/>
      <c r="P390" s="373"/>
      <c r="Q390" s="373"/>
      <c r="R390" s="373"/>
      <c r="S390" s="373"/>
      <c r="T390" s="373"/>
      <c r="U390" s="373"/>
      <c r="V390" s="373"/>
      <c r="W390" s="373"/>
      <c r="X390" s="373"/>
      <c r="Y390" s="373"/>
      <c r="Z390" s="373"/>
      <c r="AA390" s="373"/>
      <c r="AB390" s="373"/>
      <c r="AC390" s="373"/>
      <c r="AD390" s="373"/>
      <c r="AE390" s="373"/>
      <c r="AF390" s="373"/>
      <c r="AG390" s="373"/>
      <c r="AH390" s="373"/>
      <c r="AI390" s="373"/>
      <c r="AJ390" s="373"/>
      <c r="AK390" s="373"/>
      <c r="AL390" s="373"/>
      <c r="AM390" s="373"/>
    </row>
    <row r="391" spans="1:39" ht="18" customHeight="1" x14ac:dyDescent="0.3">
      <c r="A391" s="371">
        <v>2</v>
      </c>
      <c r="B391" s="372" t="str">
        <f>PETUNJUK!B10</f>
        <v>Rengging</v>
      </c>
      <c r="C391" s="373"/>
      <c r="D391" s="373"/>
      <c r="E391" s="373"/>
      <c r="F391" s="373"/>
      <c r="G391" s="373"/>
      <c r="H391" s="373"/>
      <c r="I391" s="373"/>
      <c r="J391" s="373"/>
      <c r="K391" s="373"/>
      <c r="L391" s="373"/>
      <c r="M391" s="373"/>
      <c r="N391" s="373"/>
      <c r="O391" s="373"/>
      <c r="P391" s="373"/>
      <c r="Q391" s="373"/>
      <c r="R391" s="373"/>
      <c r="S391" s="373"/>
      <c r="T391" s="373"/>
      <c r="U391" s="373"/>
      <c r="V391" s="373"/>
      <c r="W391" s="373"/>
      <c r="X391" s="373"/>
      <c r="Y391" s="373"/>
      <c r="Z391" s="373"/>
      <c r="AA391" s="373"/>
      <c r="AB391" s="373"/>
      <c r="AC391" s="373"/>
      <c r="AD391" s="373"/>
      <c r="AE391" s="373"/>
      <c r="AF391" s="373"/>
      <c r="AG391" s="373"/>
      <c r="AH391" s="373"/>
      <c r="AI391" s="373"/>
      <c r="AJ391" s="373"/>
      <c r="AK391" s="373"/>
      <c r="AL391" s="373"/>
      <c r="AM391" s="373"/>
    </row>
    <row r="392" spans="1:39" ht="18" customHeight="1" x14ac:dyDescent="0.3">
      <c r="A392" s="371">
        <v>3</v>
      </c>
      <c r="B392" s="372" t="str">
        <f>PETUNJUK!B11</f>
        <v>Troso</v>
      </c>
      <c r="C392" s="373"/>
      <c r="D392" s="373"/>
      <c r="E392" s="373"/>
      <c r="F392" s="373"/>
      <c r="G392" s="373"/>
      <c r="H392" s="373"/>
      <c r="I392" s="373"/>
      <c r="J392" s="373"/>
      <c r="K392" s="373"/>
      <c r="L392" s="373"/>
      <c r="M392" s="373"/>
      <c r="N392" s="373"/>
      <c r="O392" s="373"/>
      <c r="P392" s="373"/>
      <c r="Q392" s="373"/>
      <c r="R392" s="373"/>
      <c r="S392" s="373"/>
      <c r="T392" s="373"/>
      <c r="U392" s="373"/>
      <c r="V392" s="373"/>
      <c r="W392" s="373"/>
      <c r="X392" s="373"/>
      <c r="Y392" s="373"/>
      <c r="Z392" s="373"/>
      <c r="AA392" s="373"/>
      <c r="AB392" s="373"/>
      <c r="AC392" s="373"/>
      <c r="AD392" s="373"/>
      <c r="AE392" s="373"/>
      <c r="AF392" s="373"/>
      <c r="AG392" s="373"/>
      <c r="AH392" s="373"/>
      <c r="AI392" s="373"/>
      <c r="AJ392" s="373"/>
      <c r="AK392" s="373"/>
      <c r="AL392" s="373"/>
      <c r="AM392" s="373"/>
    </row>
    <row r="393" spans="1:39" ht="18" customHeight="1" x14ac:dyDescent="0.3">
      <c r="A393" s="371">
        <v>4</v>
      </c>
      <c r="B393" s="372" t="str">
        <f>PETUNJUK!B12</f>
        <v>Ngeling</v>
      </c>
      <c r="C393" s="373"/>
      <c r="D393" s="373"/>
      <c r="E393" s="373"/>
      <c r="F393" s="373"/>
      <c r="G393" s="373"/>
      <c r="H393" s="373"/>
      <c r="I393" s="373"/>
      <c r="J393" s="373"/>
      <c r="K393" s="373"/>
      <c r="L393" s="373"/>
      <c r="M393" s="373"/>
      <c r="N393" s="373"/>
      <c r="O393" s="373"/>
      <c r="P393" s="373"/>
      <c r="Q393" s="373"/>
      <c r="R393" s="373"/>
      <c r="S393" s="373"/>
      <c r="T393" s="373"/>
      <c r="U393" s="373"/>
      <c r="V393" s="373"/>
      <c r="W393" s="373"/>
      <c r="X393" s="373"/>
      <c r="Y393" s="373"/>
      <c r="Z393" s="373"/>
      <c r="AA393" s="373"/>
      <c r="AB393" s="373"/>
      <c r="AC393" s="373"/>
      <c r="AD393" s="373"/>
      <c r="AE393" s="373"/>
      <c r="AF393" s="373"/>
      <c r="AG393" s="373"/>
      <c r="AH393" s="373"/>
      <c r="AI393" s="373"/>
      <c r="AJ393" s="373"/>
      <c r="AK393" s="373"/>
      <c r="AL393" s="373"/>
      <c r="AM393" s="373"/>
    </row>
    <row r="394" spans="1:39" ht="18" customHeight="1" x14ac:dyDescent="0.3">
      <c r="A394" s="371">
        <v>5</v>
      </c>
      <c r="B394" s="372" t="str">
        <f>PETUNJUK!B13</f>
        <v>Lebuawu</v>
      </c>
      <c r="C394" s="373"/>
      <c r="D394" s="373"/>
      <c r="E394" s="373"/>
      <c r="F394" s="373"/>
      <c r="G394" s="373"/>
      <c r="H394" s="373"/>
      <c r="I394" s="373"/>
      <c r="J394" s="373"/>
      <c r="K394" s="373"/>
      <c r="L394" s="373"/>
      <c r="M394" s="373"/>
      <c r="N394" s="373"/>
      <c r="O394" s="373"/>
      <c r="P394" s="373"/>
      <c r="Q394" s="373"/>
      <c r="R394" s="373"/>
      <c r="S394" s="373"/>
      <c r="T394" s="373"/>
      <c r="U394" s="373"/>
      <c r="V394" s="373"/>
      <c r="W394" s="373"/>
      <c r="X394" s="373"/>
      <c r="Y394" s="373"/>
      <c r="Z394" s="373"/>
      <c r="AA394" s="373"/>
      <c r="AB394" s="373"/>
      <c r="AC394" s="373"/>
      <c r="AD394" s="373"/>
      <c r="AE394" s="373"/>
      <c r="AF394" s="373"/>
      <c r="AG394" s="373"/>
      <c r="AH394" s="373"/>
      <c r="AI394" s="373"/>
      <c r="AJ394" s="373"/>
      <c r="AK394" s="373"/>
      <c r="AL394" s="373"/>
      <c r="AM394" s="373"/>
    </row>
    <row r="395" spans="1:39" ht="18" customHeight="1" x14ac:dyDescent="0.3">
      <c r="A395" s="371">
        <v>6</v>
      </c>
      <c r="B395" s="372" t="str">
        <f>PETUNJUK!B14</f>
        <v>Pulodarat</v>
      </c>
      <c r="C395" s="373"/>
      <c r="D395" s="373"/>
      <c r="E395" s="373"/>
      <c r="F395" s="373"/>
      <c r="G395" s="373"/>
      <c r="H395" s="373"/>
      <c r="I395" s="373"/>
      <c r="J395" s="373"/>
      <c r="K395" s="373"/>
      <c r="L395" s="373"/>
      <c r="M395" s="373"/>
      <c r="N395" s="373"/>
      <c r="O395" s="373"/>
      <c r="P395" s="373"/>
      <c r="Q395" s="373"/>
      <c r="R395" s="373"/>
      <c r="S395" s="373"/>
      <c r="T395" s="373"/>
      <c r="U395" s="373"/>
      <c r="V395" s="373"/>
      <c r="W395" s="373"/>
      <c r="X395" s="373"/>
      <c r="Y395" s="373"/>
      <c r="Z395" s="373"/>
      <c r="AA395" s="373"/>
      <c r="AB395" s="373"/>
      <c r="AC395" s="373"/>
      <c r="AD395" s="373"/>
      <c r="AE395" s="373"/>
      <c r="AF395" s="373"/>
      <c r="AG395" s="373"/>
      <c r="AH395" s="373"/>
      <c r="AI395" s="373"/>
      <c r="AJ395" s="373"/>
      <c r="AK395" s="373"/>
      <c r="AL395" s="373"/>
      <c r="AM395" s="373"/>
    </row>
    <row r="396" spans="1:39" ht="18" customHeight="1" x14ac:dyDescent="0.3">
      <c r="A396" s="371">
        <v>7</v>
      </c>
      <c r="B396" s="372" t="str">
        <f>PETUNJUK!B15</f>
        <v>Karangrandu</v>
      </c>
      <c r="C396" s="373"/>
      <c r="D396" s="373"/>
      <c r="E396" s="373"/>
      <c r="F396" s="373"/>
      <c r="G396" s="373"/>
      <c r="H396" s="373"/>
      <c r="I396" s="373"/>
      <c r="J396" s="373"/>
      <c r="K396" s="373"/>
      <c r="L396" s="373"/>
      <c r="M396" s="373"/>
      <c r="N396" s="373"/>
      <c r="O396" s="373"/>
      <c r="P396" s="373"/>
      <c r="Q396" s="373"/>
      <c r="R396" s="373"/>
      <c r="S396" s="373"/>
      <c r="T396" s="373"/>
      <c r="U396" s="373"/>
      <c r="V396" s="373"/>
      <c r="W396" s="373"/>
      <c r="X396" s="373"/>
      <c r="Y396" s="373"/>
      <c r="Z396" s="373"/>
      <c r="AA396" s="373"/>
      <c r="AB396" s="373"/>
      <c r="AC396" s="373"/>
      <c r="AD396" s="373"/>
      <c r="AE396" s="373"/>
      <c r="AF396" s="373"/>
      <c r="AG396" s="373"/>
      <c r="AH396" s="373"/>
      <c r="AI396" s="373"/>
      <c r="AJ396" s="373"/>
      <c r="AK396" s="373"/>
      <c r="AL396" s="373"/>
      <c r="AM396" s="373"/>
    </row>
    <row r="397" spans="1:39" ht="18" customHeight="1" x14ac:dyDescent="0.3">
      <c r="A397" s="371">
        <v>8</v>
      </c>
      <c r="B397" s="372" t="str">
        <f>PETUNJUK!B16</f>
        <v>Kaliombo</v>
      </c>
      <c r="C397" s="373"/>
      <c r="D397" s="373"/>
      <c r="E397" s="373"/>
      <c r="F397" s="373"/>
      <c r="G397" s="373"/>
      <c r="H397" s="373"/>
      <c r="I397" s="373"/>
      <c r="J397" s="373"/>
      <c r="K397" s="373"/>
      <c r="L397" s="373"/>
      <c r="M397" s="373"/>
      <c r="N397" s="373"/>
      <c r="O397" s="373"/>
      <c r="P397" s="373"/>
      <c r="Q397" s="373"/>
      <c r="R397" s="373"/>
      <c r="S397" s="373"/>
      <c r="T397" s="373"/>
      <c r="U397" s="373"/>
      <c r="V397" s="373"/>
      <c r="W397" s="373"/>
      <c r="X397" s="373"/>
      <c r="Y397" s="373"/>
      <c r="Z397" s="373"/>
      <c r="AA397" s="373"/>
      <c r="AB397" s="373"/>
      <c r="AC397" s="373"/>
      <c r="AD397" s="373"/>
      <c r="AE397" s="373"/>
      <c r="AF397" s="373"/>
      <c r="AG397" s="373"/>
      <c r="AH397" s="373"/>
      <c r="AI397" s="373"/>
      <c r="AJ397" s="373"/>
      <c r="AK397" s="373"/>
      <c r="AL397" s="373"/>
      <c r="AM397" s="373"/>
    </row>
    <row r="398" spans="1:39" ht="18" customHeight="1" x14ac:dyDescent="0.3">
      <c r="A398" s="371">
        <v>9</v>
      </c>
      <c r="B398" s="372" t="str">
        <f>PETUNJUK!B17</f>
        <v>Gemulung</v>
      </c>
      <c r="C398" s="373"/>
      <c r="D398" s="373"/>
      <c r="E398" s="373"/>
      <c r="F398" s="373"/>
      <c r="G398" s="373"/>
      <c r="H398" s="373"/>
      <c r="I398" s="373"/>
      <c r="J398" s="373"/>
      <c r="K398" s="373"/>
      <c r="L398" s="373"/>
      <c r="M398" s="373"/>
      <c r="N398" s="373"/>
      <c r="O398" s="373"/>
      <c r="P398" s="373"/>
      <c r="Q398" s="373"/>
      <c r="R398" s="373"/>
      <c r="S398" s="373"/>
      <c r="T398" s="373"/>
      <c r="U398" s="373"/>
      <c r="V398" s="373"/>
      <c r="W398" s="373"/>
      <c r="X398" s="373"/>
      <c r="Y398" s="373"/>
      <c r="Z398" s="373"/>
      <c r="AA398" s="373"/>
      <c r="AB398" s="373"/>
      <c r="AC398" s="373"/>
      <c r="AD398" s="373"/>
      <c r="AE398" s="373"/>
      <c r="AF398" s="373"/>
      <c r="AG398" s="373"/>
      <c r="AH398" s="373"/>
      <c r="AI398" s="373"/>
      <c r="AJ398" s="373"/>
      <c r="AK398" s="373"/>
      <c r="AL398" s="373"/>
      <c r="AM398" s="373"/>
    </row>
    <row r="399" spans="1:39" ht="18" customHeight="1" x14ac:dyDescent="0.3">
      <c r="A399" s="371">
        <v>10</v>
      </c>
      <c r="B399" s="372" t="str">
        <f>PETUNJUK!B18</f>
        <v>Pecangaan Wetan</v>
      </c>
      <c r="C399" s="373"/>
      <c r="D399" s="373"/>
      <c r="E399" s="373"/>
      <c r="F399" s="373"/>
      <c r="G399" s="373"/>
      <c r="H399" s="373"/>
      <c r="I399" s="373"/>
      <c r="J399" s="373"/>
      <c r="K399" s="373"/>
      <c r="L399" s="373"/>
      <c r="M399" s="373"/>
      <c r="N399" s="373"/>
      <c r="O399" s="373"/>
      <c r="P399" s="373"/>
      <c r="Q399" s="373"/>
      <c r="R399" s="373"/>
      <c r="S399" s="373"/>
      <c r="T399" s="373"/>
      <c r="U399" s="373"/>
      <c r="V399" s="373"/>
      <c r="W399" s="373"/>
      <c r="X399" s="373"/>
      <c r="Y399" s="373"/>
      <c r="Z399" s="373"/>
      <c r="AA399" s="373"/>
      <c r="AB399" s="373"/>
      <c r="AC399" s="373"/>
      <c r="AD399" s="373"/>
      <c r="AE399" s="373"/>
      <c r="AF399" s="373"/>
      <c r="AG399" s="373"/>
      <c r="AH399" s="373"/>
      <c r="AI399" s="373"/>
      <c r="AJ399" s="373"/>
      <c r="AK399" s="373"/>
      <c r="AL399" s="373"/>
      <c r="AM399" s="373"/>
    </row>
    <row r="400" spans="1:39" ht="18" customHeight="1" x14ac:dyDescent="0.3">
      <c r="A400" s="371">
        <v>11</v>
      </c>
      <c r="B400" s="372" t="str">
        <f>PETUNJUK!B19</f>
        <v>Krasak</v>
      </c>
      <c r="C400" s="373"/>
      <c r="D400" s="373"/>
      <c r="E400" s="373"/>
      <c r="F400" s="373"/>
      <c r="G400" s="373"/>
      <c r="H400" s="373"/>
      <c r="I400" s="373"/>
      <c r="J400" s="373"/>
      <c r="K400" s="373"/>
      <c r="L400" s="373"/>
      <c r="M400" s="373"/>
      <c r="N400" s="373"/>
      <c r="O400" s="373"/>
      <c r="P400" s="373"/>
      <c r="Q400" s="373"/>
      <c r="R400" s="373"/>
      <c r="S400" s="373"/>
      <c r="T400" s="373"/>
      <c r="U400" s="373"/>
      <c r="V400" s="373"/>
      <c r="W400" s="373"/>
      <c r="X400" s="373"/>
      <c r="Y400" s="373"/>
      <c r="Z400" s="373"/>
      <c r="AA400" s="373"/>
      <c r="AB400" s="373"/>
      <c r="AC400" s="373"/>
      <c r="AD400" s="373"/>
      <c r="AE400" s="373"/>
      <c r="AF400" s="373"/>
      <c r="AG400" s="373"/>
      <c r="AH400" s="373"/>
      <c r="AI400" s="373"/>
      <c r="AJ400" s="373"/>
      <c r="AK400" s="373"/>
      <c r="AL400" s="373"/>
      <c r="AM400" s="373"/>
    </row>
    <row r="401" spans="1:39" ht="18" customHeight="1" x14ac:dyDescent="0.3">
      <c r="A401" s="371">
        <v>12</v>
      </c>
      <c r="B401" s="372" t="str">
        <f>PETUNJUK!B20</f>
        <v>Gerdu</v>
      </c>
      <c r="C401" s="373"/>
      <c r="D401" s="373"/>
      <c r="E401" s="373"/>
      <c r="F401" s="373"/>
      <c r="G401" s="373"/>
      <c r="H401" s="373"/>
      <c r="I401" s="373"/>
      <c r="J401" s="373"/>
      <c r="K401" s="373"/>
      <c r="L401" s="373"/>
      <c r="M401" s="373"/>
      <c r="N401" s="373"/>
      <c r="O401" s="373"/>
      <c r="P401" s="373"/>
      <c r="Q401" s="373"/>
      <c r="R401" s="373"/>
      <c r="S401" s="373"/>
      <c r="T401" s="373"/>
      <c r="U401" s="373"/>
      <c r="V401" s="373"/>
      <c r="W401" s="373"/>
      <c r="X401" s="373"/>
      <c r="Y401" s="373"/>
      <c r="Z401" s="373"/>
      <c r="AA401" s="373"/>
      <c r="AB401" s="373"/>
      <c r="AC401" s="373"/>
      <c r="AD401" s="373"/>
      <c r="AE401" s="373"/>
      <c r="AF401" s="373"/>
      <c r="AG401" s="373"/>
      <c r="AH401" s="373"/>
      <c r="AI401" s="373"/>
      <c r="AJ401" s="373"/>
      <c r="AK401" s="373"/>
      <c r="AL401" s="373"/>
      <c r="AM401" s="373"/>
    </row>
    <row r="402" spans="1:39" ht="18" customHeight="1" x14ac:dyDescent="0.3">
      <c r="A402" s="371">
        <v>13</v>
      </c>
      <c r="B402" s="372">
        <f>PETUNJUK!B21</f>
        <v>0</v>
      </c>
      <c r="C402" s="373"/>
      <c r="D402" s="373"/>
      <c r="E402" s="373"/>
      <c r="F402" s="373"/>
      <c r="G402" s="373"/>
      <c r="H402" s="373"/>
      <c r="I402" s="373"/>
      <c r="J402" s="373"/>
      <c r="K402" s="373"/>
      <c r="L402" s="373"/>
      <c r="M402" s="373"/>
      <c r="N402" s="373"/>
      <c r="O402" s="373"/>
      <c r="P402" s="373"/>
      <c r="Q402" s="373"/>
      <c r="R402" s="373"/>
      <c r="S402" s="373"/>
      <c r="T402" s="373"/>
      <c r="U402" s="373"/>
      <c r="V402" s="373"/>
      <c r="W402" s="373"/>
      <c r="X402" s="373"/>
      <c r="Y402" s="373"/>
      <c r="Z402" s="373"/>
      <c r="AA402" s="373"/>
      <c r="AB402" s="373"/>
      <c r="AC402" s="373"/>
      <c r="AD402" s="373"/>
      <c r="AE402" s="373"/>
      <c r="AF402" s="373"/>
      <c r="AG402" s="373"/>
      <c r="AH402" s="373"/>
      <c r="AI402" s="373"/>
      <c r="AJ402" s="373"/>
      <c r="AK402" s="373"/>
      <c r="AL402" s="373"/>
      <c r="AM402" s="373"/>
    </row>
    <row r="403" spans="1:39" ht="18" customHeight="1" x14ac:dyDescent="0.3">
      <c r="A403" s="371">
        <v>14</v>
      </c>
      <c r="B403" s="372">
        <f>PETUNJUK!B22</f>
        <v>0</v>
      </c>
      <c r="C403" s="373"/>
      <c r="D403" s="373"/>
      <c r="E403" s="373"/>
      <c r="F403" s="373"/>
      <c r="G403" s="373"/>
      <c r="H403" s="373"/>
      <c r="I403" s="373"/>
      <c r="J403" s="373"/>
      <c r="K403" s="373"/>
      <c r="L403" s="373"/>
      <c r="M403" s="373"/>
      <c r="N403" s="373"/>
      <c r="O403" s="373"/>
      <c r="P403" s="373"/>
      <c r="Q403" s="373"/>
      <c r="R403" s="373"/>
      <c r="S403" s="373"/>
      <c r="T403" s="373"/>
      <c r="U403" s="373"/>
      <c r="V403" s="373"/>
      <c r="W403" s="373"/>
      <c r="X403" s="373"/>
      <c r="Y403" s="373"/>
      <c r="Z403" s="373"/>
      <c r="AA403" s="373"/>
      <c r="AB403" s="373"/>
      <c r="AC403" s="373"/>
      <c r="AD403" s="373"/>
      <c r="AE403" s="373"/>
      <c r="AF403" s="373"/>
      <c r="AG403" s="373"/>
      <c r="AH403" s="373"/>
      <c r="AI403" s="373"/>
      <c r="AJ403" s="373"/>
      <c r="AK403" s="373"/>
      <c r="AL403" s="373"/>
      <c r="AM403" s="373"/>
    </row>
    <row r="404" spans="1:39" ht="18" customHeight="1" x14ac:dyDescent="0.3">
      <c r="A404" s="371">
        <v>15</v>
      </c>
      <c r="B404" s="372">
        <f>PETUNJUK!B23</f>
        <v>0</v>
      </c>
      <c r="C404" s="373"/>
      <c r="D404" s="373"/>
      <c r="E404" s="373"/>
      <c r="F404" s="373"/>
      <c r="G404" s="373"/>
      <c r="H404" s="373"/>
      <c r="I404" s="373"/>
      <c r="J404" s="373"/>
      <c r="K404" s="373"/>
      <c r="L404" s="373"/>
      <c r="M404" s="373"/>
      <c r="N404" s="373"/>
      <c r="O404" s="373"/>
      <c r="P404" s="373"/>
      <c r="Q404" s="373"/>
      <c r="R404" s="373"/>
      <c r="S404" s="373"/>
      <c r="T404" s="373"/>
      <c r="U404" s="373"/>
      <c r="V404" s="373"/>
      <c r="W404" s="373"/>
      <c r="X404" s="373"/>
      <c r="Y404" s="373"/>
      <c r="Z404" s="373"/>
      <c r="AA404" s="373"/>
      <c r="AB404" s="373"/>
      <c r="AC404" s="373"/>
      <c r="AD404" s="373"/>
      <c r="AE404" s="373"/>
      <c r="AF404" s="373"/>
      <c r="AG404" s="373"/>
      <c r="AH404" s="373"/>
      <c r="AI404" s="373"/>
      <c r="AJ404" s="373"/>
      <c r="AK404" s="373"/>
      <c r="AL404" s="373"/>
      <c r="AM404" s="373"/>
    </row>
    <row r="405" spans="1:39" ht="18" customHeight="1" x14ac:dyDescent="0.3">
      <c r="A405" s="371">
        <v>16</v>
      </c>
      <c r="B405" s="372">
        <f>PETUNJUK!B24</f>
        <v>0</v>
      </c>
      <c r="C405" s="373"/>
      <c r="D405" s="373"/>
      <c r="E405" s="373"/>
      <c r="F405" s="373"/>
      <c r="G405" s="373"/>
      <c r="H405" s="373"/>
      <c r="I405" s="373"/>
      <c r="J405" s="373"/>
      <c r="K405" s="373"/>
      <c r="L405" s="373"/>
      <c r="M405" s="373"/>
      <c r="N405" s="373"/>
      <c r="O405" s="373"/>
      <c r="P405" s="373"/>
      <c r="Q405" s="373"/>
      <c r="R405" s="373"/>
      <c r="S405" s="373"/>
      <c r="T405" s="373"/>
      <c r="U405" s="373"/>
      <c r="V405" s="373"/>
      <c r="W405" s="373"/>
      <c r="X405" s="373"/>
      <c r="Y405" s="373"/>
      <c r="Z405" s="373"/>
      <c r="AA405" s="373"/>
      <c r="AB405" s="373"/>
      <c r="AC405" s="373"/>
      <c r="AD405" s="373"/>
      <c r="AE405" s="373"/>
      <c r="AF405" s="373"/>
      <c r="AG405" s="373"/>
      <c r="AH405" s="373"/>
      <c r="AI405" s="373"/>
      <c r="AJ405" s="373"/>
      <c r="AK405" s="373"/>
      <c r="AL405" s="373"/>
      <c r="AM405" s="373"/>
    </row>
    <row r="406" spans="1:39" ht="18" customHeight="1" x14ac:dyDescent="0.3">
      <c r="A406" s="371">
        <v>17</v>
      </c>
      <c r="B406" s="372">
        <f>PETUNJUK!B25</f>
        <v>0</v>
      </c>
      <c r="C406" s="373"/>
      <c r="D406" s="373"/>
      <c r="E406" s="373"/>
      <c r="F406" s="373"/>
      <c r="G406" s="373"/>
      <c r="H406" s="373"/>
      <c r="I406" s="373"/>
      <c r="J406" s="373"/>
      <c r="K406" s="373"/>
      <c r="L406" s="373"/>
      <c r="M406" s="373"/>
      <c r="N406" s="373"/>
      <c r="O406" s="373"/>
      <c r="P406" s="373"/>
      <c r="Q406" s="373"/>
      <c r="R406" s="373"/>
      <c r="S406" s="373"/>
      <c r="T406" s="373"/>
      <c r="U406" s="373"/>
      <c r="V406" s="373"/>
      <c r="W406" s="373"/>
      <c r="X406" s="373"/>
      <c r="Y406" s="373"/>
      <c r="Z406" s="373"/>
      <c r="AA406" s="373"/>
      <c r="AB406" s="373"/>
      <c r="AC406" s="373"/>
      <c r="AD406" s="373"/>
      <c r="AE406" s="373"/>
      <c r="AF406" s="373"/>
      <c r="AG406" s="373"/>
      <c r="AH406" s="373"/>
      <c r="AI406" s="373"/>
      <c r="AJ406" s="373"/>
      <c r="AK406" s="373"/>
      <c r="AL406" s="373"/>
      <c r="AM406" s="373"/>
    </row>
    <row r="407" spans="1:39" ht="18" customHeight="1" x14ac:dyDescent="0.3">
      <c r="A407" s="371">
        <v>18</v>
      </c>
      <c r="B407" s="372">
        <f>PETUNJUK!B26</f>
        <v>0</v>
      </c>
      <c r="C407" s="373"/>
      <c r="D407" s="373"/>
      <c r="E407" s="373"/>
      <c r="F407" s="373"/>
      <c r="G407" s="373"/>
      <c r="H407" s="373"/>
      <c r="I407" s="373"/>
      <c r="J407" s="373"/>
      <c r="K407" s="373"/>
      <c r="L407" s="373"/>
      <c r="M407" s="373"/>
      <c r="N407" s="373"/>
      <c r="O407" s="373"/>
      <c r="P407" s="373"/>
      <c r="Q407" s="373"/>
      <c r="R407" s="373"/>
      <c r="S407" s="373"/>
      <c r="T407" s="373"/>
      <c r="U407" s="373"/>
      <c r="V407" s="373"/>
      <c r="W407" s="373"/>
      <c r="X407" s="373"/>
      <c r="Y407" s="373"/>
      <c r="Z407" s="373"/>
      <c r="AA407" s="373"/>
      <c r="AB407" s="373"/>
      <c r="AC407" s="373"/>
      <c r="AD407" s="373"/>
      <c r="AE407" s="373"/>
      <c r="AF407" s="373"/>
      <c r="AG407" s="373"/>
      <c r="AH407" s="373"/>
      <c r="AI407" s="373"/>
      <c r="AJ407" s="373"/>
      <c r="AK407" s="373"/>
      <c r="AL407" s="373"/>
      <c r="AM407" s="373"/>
    </row>
    <row r="408" spans="1:39" ht="18" customHeight="1" x14ac:dyDescent="0.3">
      <c r="A408" s="371">
        <v>19</v>
      </c>
      <c r="B408" s="372">
        <f>PETUNJUK!B27</f>
        <v>0</v>
      </c>
      <c r="C408" s="373"/>
      <c r="D408" s="373"/>
      <c r="E408" s="373"/>
      <c r="F408" s="373"/>
      <c r="G408" s="373"/>
      <c r="H408" s="373"/>
      <c r="I408" s="373"/>
      <c r="J408" s="373"/>
      <c r="K408" s="373"/>
      <c r="L408" s="373"/>
      <c r="M408" s="373"/>
      <c r="N408" s="373"/>
      <c r="O408" s="373"/>
      <c r="P408" s="373"/>
      <c r="Q408" s="373"/>
      <c r="R408" s="373"/>
      <c r="S408" s="373"/>
      <c r="T408" s="373"/>
      <c r="U408" s="373"/>
      <c r="V408" s="373"/>
      <c r="W408" s="373"/>
      <c r="X408" s="373"/>
      <c r="Y408" s="373"/>
      <c r="Z408" s="373"/>
      <c r="AA408" s="373"/>
      <c r="AB408" s="373"/>
      <c r="AC408" s="373"/>
      <c r="AD408" s="373"/>
      <c r="AE408" s="373"/>
      <c r="AF408" s="373"/>
      <c r="AG408" s="373"/>
      <c r="AH408" s="373"/>
      <c r="AI408" s="373"/>
      <c r="AJ408" s="373"/>
      <c r="AK408" s="373"/>
      <c r="AL408" s="373"/>
      <c r="AM408" s="373"/>
    </row>
    <row r="409" spans="1:39" ht="18" customHeight="1" x14ac:dyDescent="0.3">
      <c r="A409" s="371">
        <v>20</v>
      </c>
      <c r="B409" s="372">
        <f>PETUNJUK!B28</f>
        <v>0</v>
      </c>
      <c r="C409" s="373"/>
      <c r="D409" s="373"/>
      <c r="E409" s="373"/>
      <c r="F409" s="373"/>
      <c r="G409" s="373"/>
      <c r="H409" s="373"/>
      <c r="I409" s="373"/>
      <c r="J409" s="373"/>
      <c r="K409" s="373"/>
      <c r="L409" s="373"/>
      <c r="M409" s="373"/>
      <c r="N409" s="373"/>
      <c r="O409" s="373"/>
      <c r="P409" s="373"/>
      <c r="Q409" s="373"/>
      <c r="R409" s="373"/>
      <c r="S409" s="373"/>
      <c r="T409" s="373"/>
      <c r="U409" s="373"/>
      <c r="V409" s="373"/>
      <c r="W409" s="373"/>
      <c r="X409" s="373"/>
      <c r="Y409" s="373"/>
      <c r="Z409" s="373"/>
      <c r="AA409" s="373"/>
      <c r="AB409" s="373"/>
      <c r="AC409" s="373"/>
      <c r="AD409" s="373"/>
      <c r="AE409" s="373"/>
      <c r="AF409" s="373"/>
      <c r="AG409" s="373"/>
      <c r="AH409" s="373"/>
      <c r="AI409" s="373"/>
      <c r="AJ409" s="373"/>
      <c r="AK409" s="373"/>
      <c r="AL409" s="373"/>
      <c r="AM409" s="373"/>
    </row>
    <row r="410" spans="1:39" ht="18" customHeight="1" x14ac:dyDescent="0.3">
      <c r="A410" s="371">
        <v>21</v>
      </c>
      <c r="B410" s="372">
        <f>PETUNJUK!B29</f>
        <v>0</v>
      </c>
      <c r="C410" s="373"/>
      <c r="D410" s="373"/>
      <c r="E410" s="373"/>
      <c r="F410" s="373"/>
      <c r="G410" s="373"/>
      <c r="H410" s="373"/>
      <c r="I410" s="373"/>
      <c r="J410" s="373"/>
      <c r="K410" s="373"/>
      <c r="L410" s="373"/>
      <c r="M410" s="373"/>
      <c r="N410" s="373"/>
      <c r="O410" s="373"/>
      <c r="P410" s="373"/>
      <c r="Q410" s="373"/>
      <c r="R410" s="373"/>
      <c r="S410" s="373"/>
      <c r="T410" s="373"/>
      <c r="U410" s="373"/>
      <c r="V410" s="373"/>
      <c r="W410" s="373"/>
      <c r="X410" s="373"/>
      <c r="Y410" s="373"/>
      <c r="Z410" s="373"/>
      <c r="AA410" s="373"/>
      <c r="AB410" s="373"/>
      <c r="AC410" s="373"/>
      <c r="AD410" s="373"/>
      <c r="AE410" s="373"/>
      <c r="AF410" s="373"/>
      <c r="AG410" s="373"/>
      <c r="AH410" s="373"/>
      <c r="AI410" s="373"/>
      <c r="AJ410" s="373"/>
      <c r="AK410" s="373"/>
      <c r="AL410" s="373"/>
      <c r="AM410" s="373"/>
    </row>
    <row r="411" spans="1:39" ht="18" customHeight="1" thickBot="1" x14ac:dyDescent="0.35">
      <c r="A411" s="381">
        <v>22</v>
      </c>
      <c r="B411" s="372">
        <f>PETUNJUK!B30</f>
        <v>0</v>
      </c>
      <c r="C411" s="382"/>
      <c r="D411" s="382"/>
      <c r="E411" s="382"/>
      <c r="F411" s="382"/>
      <c r="G411" s="382"/>
      <c r="H411" s="382"/>
      <c r="I411" s="382"/>
      <c r="J411" s="382"/>
      <c r="K411" s="382"/>
      <c r="L411" s="382"/>
      <c r="M411" s="382"/>
      <c r="N411" s="382"/>
      <c r="O411" s="382"/>
      <c r="P411" s="382"/>
      <c r="Q411" s="382"/>
      <c r="R411" s="382"/>
      <c r="S411" s="382"/>
      <c r="T411" s="382"/>
      <c r="U411" s="382"/>
      <c r="V411" s="382"/>
      <c r="W411" s="382"/>
      <c r="X411" s="382"/>
      <c r="Y411" s="382"/>
      <c r="Z411" s="382"/>
      <c r="AA411" s="382"/>
      <c r="AB411" s="382"/>
      <c r="AC411" s="382"/>
      <c r="AD411" s="382"/>
      <c r="AE411" s="382"/>
      <c r="AF411" s="382"/>
      <c r="AG411" s="382"/>
      <c r="AH411" s="382"/>
      <c r="AI411" s="382"/>
      <c r="AJ411" s="373"/>
      <c r="AK411" s="382"/>
      <c r="AL411" s="382"/>
      <c r="AM411" s="382"/>
    </row>
    <row r="412" spans="1:39" ht="18" customHeight="1" thickBot="1" x14ac:dyDescent="0.35">
      <c r="A412" s="803" t="s">
        <v>62</v>
      </c>
      <c r="B412" s="805"/>
      <c r="C412" s="457">
        <f>SUM(C390:C411)</f>
        <v>0</v>
      </c>
      <c r="D412" s="457">
        <f t="shared" ref="D412:AM412" si="15">SUM(D390:D411)</f>
        <v>0</v>
      </c>
      <c r="E412" s="457">
        <f t="shared" si="15"/>
        <v>0</v>
      </c>
      <c r="F412" s="457">
        <f t="shared" si="15"/>
        <v>0</v>
      </c>
      <c r="G412" s="457">
        <f t="shared" si="15"/>
        <v>0</v>
      </c>
      <c r="H412" s="457">
        <f t="shared" si="15"/>
        <v>0</v>
      </c>
      <c r="I412" s="457">
        <f t="shared" si="15"/>
        <v>0</v>
      </c>
      <c r="J412" s="457">
        <f t="shared" si="15"/>
        <v>0</v>
      </c>
      <c r="K412" s="457">
        <f t="shared" si="15"/>
        <v>0</v>
      </c>
      <c r="L412" s="457">
        <f t="shared" si="15"/>
        <v>0</v>
      </c>
      <c r="M412" s="457">
        <f t="shared" si="15"/>
        <v>0</v>
      </c>
      <c r="N412" s="457">
        <f t="shared" si="15"/>
        <v>0</v>
      </c>
      <c r="O412" s="457">
        <f t="shared" si="15"/>
        <v>0</v>
      </c>
      <c r="P412" s="457">
        <f t="shared" si="15"/>
        <v>0</v>
      </c>
      <c r="Q412" s="457">
        <f t="shared" si="15"/>
        <v>0</v>
      </c>
      <c r="R412" s="457">
        <f t="shared" si="15"/>
        <v>0</v>
      </c>
      <c r="S412" s="457">
        <f t="shared" si="15"/>
        <v>0</v>
      </c>
      <c r="T412" s="457">
        <f t="shared" si="15"/>
        <v>0</v>
      </c>
      <c r="U412" s="457">
        <f t="shared" si="15"/>
        <v>0</v>
      </c>
      <c r="V412" s="457">
        <f t="shared" si="15"/>
        <v>0</v>
      </c>
      <c r="W412" s="457">
        <f t="shared" si="15"/>
        <v>0</v>
      </c>
      <c r="X412" s="457">
        <f t="shared" si="15"/>
        <v>0</v>
      </c>
      <c r="Y412" s="457">
        <f t="shared" si="15"/>
        <v>0</v>
      </c>
      <c r="Z412" s="457">
        <f t="shared" si="15"/>
        <v>0</v>
      </c>
      <c r="AA412" s="457">
        <f t="shared" si="15"/>
        <v>0</v>
      </c>
      <c r="AB412" s="457">
        <f t="shared" si="15"/>
        <v>0</v>
      </c>
      <c r="AC412" s="457">
        <f t="shared" si="15"/>
        <v>0</v>
      </c>
      <c r="AD412" s="457">
        <f t="shared" si="15"/>
        <v>0</v>
      </c>
      <c r="AE412" s="457">
        <f t="shared" si="15"/>
        <v>0</v>
      </c>
      <c r="AF412" s="457">
        <f t="shared" si="15"/>
        <v>0</v>
      </c>
      <c r="AG412" s="457">
        <f t="shared" si="15"/>
        <v>0</v>
      </c>
      <c r="AH412" s="457">
        <f t="shared" si="15"/>
        <v>0</v>
      </c>
      <c r="AI412" s="457">
        <f t="shared" si="15"/>
        <v>0</v>
      </c>
      <c r="AJ412" s="457">
        <f t="shared" si="15"/>
        <v>0</v>
      </c>
      <c r="AK412" s="457">
        <f t="shared" si="15"/>
        <v>0</v>
      </c>
      <c r="AL412" s="457">
        <f t="shared" si="15"/>
        <v>0</v>
      </c>
      <c r="AM412" s="457">
        <f t="shared" si="15"/>
        <v>0</v>
      </c>
    </row>
    <row r="413" spans="1:39" x14ac:dyDescent="0.35">
      <c r="A413" s="235"/>
      <c r="B413" s="235" t="s">
        <v>63</v>
      </c>
      <c r="C413" s="378"/>
      <c r="D413" s="378"/>
      <c r="E413" s="378"/>
      <c r="F413" s="378"/>
      <c r="G413" s="378"/>
      <c r="H413" s="378"/>
      <c r="I413" s="378"/>
      <c r="J413" s="378"/>
      <c r="K413" s="378"/>
      <c r="L413" s="378"/>
      <c r="M413" s="378"/>
      <c r="N413" s="801" t="s">
        <v>181</v>
      </c>
      <c r="O413" s="801"/>
      <c r="P413" s="801"/>
      <c r="Q413" s="801"/>
      <c r="R413" s="801"/>
      <c r="S413" s="801"/>
      <c r="T413" s="801"/>
      <c r="U413" s="801"/>
      <c r="V413" s="801"/>
      <c r="W413" s="801"/>
      <c r="X413" s="801"/>
      <c r="Y413" s="801"/>
      <c r="Z413" s="801"/>
      <c r="AA413" s="801"/>
      <c r="AB413" s="801"/>
      <c r="AC413" s="801"/>
      <c r="AD413" s="801"/>
      <c r="AE413" s="801"/>
      <c r="AF413" s="801"/>
      <c r="AG413" s="801"/>
      <c r="AH413" s="801"/>
      <c r="AI413" s="801"/>
      <c r="AJ413" s="378"/>
    </row>
    <row r="418" spans="1:39" x14ac:dyDescent="0.35">
      <c r="A418" s="802" t="s">
        <v>177</v>
      </c>
      <c r="B418" s="802"/>
      <c r="C418" s="802"/>
      <c r="D418" s="802"/>
      <c r="E418" s="802"/>
      <c r="F418" s="802"/>
      <c r="G418" s="802"/>
      <c r="H418" s="802"/>
      <c r="I418" s="802"/>
      <c r="J418" s="802"/>
      <c r="K418" s="802"/>
      <c r="L418" s="802"/>
      <c r="M418" s="802"/>
      <c r="N418" s="802"/>
      <c r="O418" s="802"/>
      <c r="P418" s="802"/>
      <c r="Q418" s="802"/>
      <c r="R418" s="802"/>
      <c r="S418" s="802"/>
      <c r="T418" s="802"/>
      <c r="U418" s="802"/>
      <c r="V418" s="802"/>
      <c r="W418" s="802"/>
      <c r="X418" s="802"/>
      <c r="Y418" s="802"/>
      <c r="Z418" s="802"/>
      <c r="AA418" s="802"/>
      <c r="AB418" s="802"/>
      <c r="AC418" s="802"/>
      <c r="AD418" s="802"/>
      <c r="AE418" s="802"/>
      <c r="AF418" s="802"/>
      <c r="AG418" s="802"/>
      <c r="AH418" s="802"/>
      <c r="AI418" s="802"/>
      <c r="AJ418" s="802"/>
    </row>
    <row r="419" spans="1:39" x14ac:dyDescent="0.35">
      <c r="A419" s="363"/>
      <c r="B419" s="363"/>
      <c r="C419" s="632"/>
      <c r="D419" s="632"/>
      <c r="E419" s="632"/>
      <c r="F419" s="632"/>
      <c r="G419" s="632"/>
      <c r="H419" s="632"/>
      <c r="I419" s="632"/>
      <c r="J419" s="632"/>
      <c r="K419" s="632"/>
      <c r="L419" s="632"/>
      <c r="M419" s="632"/>
      <c r="N419" s="632"/>
      <c r="O419" s="632"/>
      <c r="P419" s="632"/>
      <c r="Q419" s="632"/>
      <c r="R419" s="632"/>
      <c r="S419" s="632"/>
      <c r="T419" s="632"/>
      <c r="U419" s="632"/>
      <c r="V419" s="632"/>
      <c r="W419" s="632"/>
      <c r="X419" s="632"/>
      <c r="Y419" s="632"/>
      <c r="Z419" s="632"/>
      <c r="AA419" s="632"/>
      <c r="AB419" s="632"/>
      <c r="AC419" s="632"/>
      <c r="AD419" s="632"/>
      <c r="AE419" s="632"/>
      <c r="AF419" s="632"/>
      <c r="AG419" s="632"/>
      <c r="AH419" s="632"/>
      <c r="AI419" s="632"/>
      <c r="AJ419" s="632"/>
    </row>
    <row r="420" spans="1:39" x14ac:dyDescent="0.35">
      <c r="A420" s="364" t="s">
        <v>40</v>
      </c>
      <c r="B420" s="365"/>
      <c r="C420" s="638"/>
      <c r="D420" s="638"/>
      <c r="E420" s="638"/>
      <c r="F420" s="638"/>
      <c r="G420" s="638"/>
      <c r="H420" s="638"/>
      <c r="I420" s="638"/>
      <c r="J420" s="638"/>
      <c r="K420" s="638"/>
      <c r="L420" s="638"/>
      <c r="M420" s="638"/>
      <c r="N420" s="633" t="s">
        <v>176</v>
      </c>
      <c r="O420" s="638" t="str">
        <f>PETUNJUK!C5</f>
        <v>PECANGAAN</v>
      </c>
      <c r="P420" s="638"/>
      <c r="Q420" s="638"/>
      <c r="R420" s="638"/>
      <c r="S420" s="638"/>
      <c r="T420" s="638"/>
      <c r="U420" s="638"/>
      <c r="V420" s="638"/>
      <c r="W420" s="638"/>
      <c r="X420" s="638"/>
      <c r="Y420" s="638"/>
      <c r="Z420" s="638"/>
      <c r="AA420" s="638"/>
      <c r="AB420" s="638"/>
      <c r="AC420" s="638"/>
      <c r="AD420" s="638"/>
      <c r="AE420" s="638"/>
      <c r="AF420" s="638"/>
      <c r="AG420" s="638"/>
      <c r="AH420" s="638"/>
      <c r="AI420" s="638"/>
      <c r="AJ420" s="638"/>
    </row>
    <row r="421" spans="1:39" x14ac:dyDescent="0.35">
      <c r="A421" s="366" t="s">
        <v>0</v>
      </c>
      <c r="B421" s="367"/>
      <c r="C421" s="640"/>
      <c r="D421" s="633"/>
      <c r="E421" s="633"/>
      <c r="F421" s="640"/>
      <c r="G421" s="640"/>
      <c r="H421" s="640"/>
      <c r="I421" s="640"/>
      <c r="J421" s="640"/>
      <c r="K421" s="640"/>
      <c r="L421" s="640"/>
      <c r="M421" s="633"/>
      <c r="N421" s="639" t="s">
        <v>176</v>
      </c>
      <c r="O421" s="641" t="str">
        <f>'1.DATA KIA'!C412</f>
        <v>JANUARI - DESEMBER 2025</v>
      </c>
      <c r="P421" s="633"/>
      <c r="Q421" s="633"/>
      <c r="R421" s="633"/>
      <c r="S421" s="633"/>
      <c r="T421" s="633"/>
      <c r="U421" s="633"/>
      <c r="V421" s="633"/>
      <c r="W421" s="633"/>
      <c r="X421" s="633"/>
      <c r="Y421" s="633"/>
      <c r="Z421" s="640"/>
      <c r="AA421" s="640"/>
      <c r="AB421" s="640"/>
      <c r="AC421" s="640"/>
      <c r="AD421" s="640"/>
      <c r="AE421" s="640"/>
      <c r="AF421" s="640"/>
      <c r="AG421" s="640"/>
      <c r="AH421" s="640"/>
      <c r="AI421" s="640"/>
      <c r="AJ421" s="640"/>
    </row>
    <row r="422" spans="1:39" x14ac:dyDescent="0.35">
      <c r="A422" s="364"/>
      <c r="B422" s="365"/>
      <c r="C422" s="638"/>
      <c r="D422" s="638"/>
      <c r="E422" s="638"/>
      <c r="F422" s="638"/>
      <c r="G422" s="638"/>
      <c r="H422" s="638"/>
      <c r="I422" s="638"/>
      <c r="J422" s="638"/>
      <c r="K422" s="638"/>
      <c r="L422" s="638"/>
      <c r="M422" s="638"/>
      <c r="N422" s="638"/>
      <c r="O422" s="638"/>
      <c r="P422" s="638"/>
      <c r="Q422" s="638"/>
      <c r="R422" s="638"/>
      <c r="S422" s="638"/>
      <c r="T422" s="638"/>
      <c r="U422" s="638"/>
      <c r="V422" s="638"/>
      <c r="W422" s="638"/>
      <c r="X422" s="638"/>
      <c r="Y422" s="638"/>
      <c r="Z422" s="638"/>
      <c r="AA422" s="638"/>
      <c r="AB422" s="638"/>
      <c r="AC422" s="638"/>
      <c r="AD422" s="638"/>
      <c r="AE422" s="638"/>
      <c r="AF422" s="638"/>
      <c r="AG422" s="638"/>
      <c r="AH422" s="638"/>
      <c r="AI422" s="638"/>
      <c r="AJ422" s="638"/>
    </row>
    <row r="423" spans="1:39" ht="12.75" customHeight="1" x14ac:dyDescent="0.3">
      <c r="A423" s="799" t="s">
        <v>1</v>
      </c>
      <c r="B423" s="799" t="s">
        <v>2</v>
      </c>
      <c r="C423" s="794" t="s">
        <v>301</v>
      </c>
      <c r="D423" s="795"/>
      <c r="E423" s="795"/>
      <c r="F423" s="795"/>
      <c r="G423" s="795"/>
      <c r="H423" s="795"/>
      <c r="I423" s="795"/>
      <c r="J423" s="795"/>
      <c r="K423" s="795"/>
      <c r="L423" s="795"/>
      <c r="M423" s="795"/>
      <c r="N423" s="795"/>
      <c r="O423" s="795"/>
      <c r="P423" s="795"/>
      <c r="Q423" s="795"/>
      <c r="R423" s="795"/>
      <c r="S423" s="795"/>
      <c r="T423" s="795"/>
      <c r="U423" s="795"/>
      <c r="V423" s="795"/>
      <c r="W423" s="795"/>
      <c r="X423" s="795"/>
      <c r="Y423" s="795"/>
      <c r="Z423" s="795"/>
      <c r="AA423" s="795"/>
      <c r="AB423" s="795"/>
      <c r="AC423" s="795"/>
      <c r="AD423" s="795"/>
      <c r="AE423" s="795"/>
      <c r="AF423" s="795"/>
      <c r="AG423" s="795"/>
      <c r="AH423" s="795"/>
      <c r="AI423" s="795"/>
      <c r="AJ423" s="796"/>
      <c r="AK423" s="792" t="s">
        <v>307</v>
      </c>
      <c r="AL423" s="792" t="s">
        <v>308</v>
      </c>
      <c r="AM423" s="792" t="s">
        <v>309</v>
      </c>
    </row>
    <row r="424" spans="1:39" ht="110.25" customHeight="1" x14ac:dyDescent="0.3">
      <c r="A424" s="800"/>
      <c r="B424" s="800"/>
      <c r="C424" s="368" t="s">
        <v>55</v>
      </c>
      <c r="D424" s="369" t="s">
        <v>190</v>
      </c>
      <c r="E424" s="369" t="s">
        <v>43</v>
      </c>
      <c r="F424" s="369" t="s">
        <v>53</v>
      </c>
      <c r="G424" s="369" t="s">
        <v>302</v>
      </c>
      <c r="H424" s="369" t="s">
        <v>303</v>
      </c>
      <c r="I424" s="369" t="s">
        <v>294</v>
      </c>
      <c r="J424" s="369" t="s">
        <v>304</v>
      </c>
      <c r="K424" s="369" t="s">
        <v>305</v>
      </c>
      <c r="L424" s="369" t="s">
        <v>306</v>
      </c>
      <c r="M424" s="369" t="s">
        <v>44</v>
      </c>
      <c r="N424" s="370" t="s">
        <v>178</v>
      </c>
      <c r="O424" s="369" t="s">
        <v>41</v>
      </c>
      <c r="P424" s="369" t="s">
        <v>180</v>
      </c>
      <c r="Q424" s="369" t="s">
        <v>42</v>
      </c>
      <c r="R424" s="369" t="s">
        <v>45</v>
      </c>
      <c r="S424" s="369" t="s">
        <v>46</v>
      </c>
      <c r="T424" s="369" t="s">
        <v>47</v>
      </c>
      <c r="U424" s="369" t="s">
        <v>48</v>
      </c>
      <c r="V424" s="369" t="s">
        <v>49</v>
      </c>
      <c r="W424" s="369" t="s">
        <v>50</v>
      </c>
      <c r="X424" s="369" t="s">
        <v>51</v>
      </c>
      <c r="Y424" s="369" t="s">
        <v>52</v>
      </c>
      <c r="Z424" s="369" t="s">
        <v>54</v>
      </c>
      <c r="AA424" s="369" t="s">
        <v>56</v>
      </c>
      <c r="AB424" s="369" t="s">
        <v>57</v>
      </c>
      <c r="AC424" s="369" t="s">
        <v>58</v>
      </c>
      <c r="AD424" s="369" t="s">
        <v>59</v>
      </c>
      <c r="AE424" s="369" t="s">
        <v>60</v>
      </c>
      <c r="AF424" s="370" t="s">
        <v>179</v>
      </c>
      <c r="AG424" s="370" t="s">
        <v>310</v>
      </c>
      <c r="AH424" s="369" t="s">
        <v>33</v>
      </c>
      <c r="AI424" s="369" t="s">
        <v>61</v>
      </c>
      <c r="AJ424" s="369" t="s">
        <v>18</v>
      </c>
      <c r="AK424" s="793"/>
      <c r="AL424" s="793"/>
      <c r="AM424" s="793"/>
    </row>
    <row r="425" spans="1:39" ht="18" customHeight="1" x14ac:dyDescent="0.3">
      <c r="A425" s="371">
        <v>1</v>
      </c>
      <c r="B425" s="387" t="s">
        <v>137</v>
      </c>
      <c r="C425" s="371">
        <f>C29</f>
        <v>0</v>
      </c>
      <c r="D425" s="371">
        <f t="shared" ref="D425:AM425" si="16">D29</f>
        <v>0</v>
      </c>
      <c r="E425" s="371">
        <f t="shared" si="16"/>
        <v>4</v>
      </c>
      <c r="F425" s="371">
        <f t="shared" si="16"/>
        <v>0</v>
      </c>
      <c r="G425" s="371">
        <f t="shared" si="16"/>
        <v>0</v>
      </c>
      <c r="H425" s="371">
        <f t="shared" si="16"/>
        <v>0</v>
      </c>
      <c r="I425" s="371">
        <f t="shared" si="16"/>
        <v>0</v>
      </c>
      <c r="J425" s="371">
        <f t="shared" si="16"/>
        <v>0</v>
      </c>
      <c r="K425" s="371">
        <f t="shared" si="16"/>
        <v>1</v>
      </c>
      <c r="L425" s="371">
        <f t="shared" si="16"/>
        <v>0</v>
      </c>
      <c r="M425" s="371">
        <f t="shared" si="16"/>
        <v>1</v>
      </c>
      <c r="N425" s="371">
        <f t="shared" si="16"/>
        <v>1</v>
      </c>
      <c r="O425" s="371">
        <f t="shared" si="16"/>
        <v>8</v>
      </c>
      <c r="P425" s="371">
        <f t="shared" si="16"/>
        <v>0</v>
      </c>
      <c r="Q425" s="371">
        <f t="shared" si="16"/>
        <v>1</v>
      </c>
      <c r="R425" s="371">
        <f t="shared" si="16"/>
        <v>0</v>
      </c>
      <c r="S425" s="371">
        <f t="shared" si="16"/>
        <v>0</v>
      </c>
      <c r="T425" s="371">
        <f t="shared" si="16"/>
        <v>0</v>
      </c>
      <c r="U425" s="371">
        <f t="shared" si="16"/>
        <v>0</v>
      </c>
      <c r="V425" s="371">
        <f t="shared" si="16"/>
        <v>0</v>
      </c>
      <c r="W425" s="371">
        <f t="shared" si="16"/>
        <v>0</v>
      </c>
      <c r="X425" s="371">
        <f t="shared" si="16"/>
        <v>0</v>
      </c>
      <c r="Y425" s="371">
        <f t="shared" si="16"/>
        <v>0</v>
      </c>
      <c r="Z425" s="371">
        <f t="shared" si="16"/>
        <v>0</v>
      </c>
      <c r="AA425" s="371">
        <f t="shared" si="16"/>
        <v>0</v>
      </c>
      <c r="AB425" s="371">
        <f t="shared" si="16"/>
        <v>0</v>
      </c>
      <c r="AC425" s="371">
        <f t="shared" si="16"/>
        <v>0</v>
      </c>
      <c r="AD425" s="371">
        <f t="shared" si="16"/>
        <v>0</v>
      </c>
      <c r="AE425" s="371">
        <f t="shared" si="16"/>
        <v>0</v>
      </c>
      <c r="AF425" s="371">
        <f t="shared" si="16"/>
        <v>0</v>
      </c>
      <c r="AG425" s="371">
        <f t="shared" si="16"/>
        <v>0</v>
      </c>
      <c r="AH425" s="371">
        <f t="shared" si="16"/>
        <v>0</v>
      </c>
      <c r="AI425" s="371">
        <f t="shared" si="16"/>
        <v>0</v>
      </c>
      <c r="AJ425" s="371">
        <f t="shared" si="16"/>
        <v>16</v>
      </c>
      <c r="AK425" s="371">
        <f t="shared" si="16"/>
        <v>4</v>
      </c>
      <c r="AL425" s="371">
        <f t="shared" si="16"/>
        <v>11</v>
      </c>
      <c r="AM425" s="371">
        <f t="shared" si="16"/>
        <v>0</v>
      </c>
    </row>
    <row r="426" spans="1:39" ht="18" customHeight="1" x14ac:dyDescent="0.3">
      <c r="A426" s="371">
        <v>2</v>
      </c>
      <c r="B426" s="41" t="s">
        <v>172</v>
      </c>
      <c r="C426" s="371">
        <f>C64</f>
        <v>0</v>
      </c>
      <c r="D426" s="371">
        <f t="shared" ref="D426:AM426" si="17">D64</f>
        <v>0</v>
      </c>
      <c r="E426" s="371">
        <f t="shared" si="17"/>
        <v>2</v>
      </c>
      <c r="F426" s="371">
        <f t="shared" si="17"/>
        <v>0</v>
      </c>
      <c r="G426" s="371">
        <f t="shared" si="17"/>
        <v>0</v>
      </c>
      <c r="H426" s="371">
        <f t="shared" si="17"/>
        <v>0</v>
      </c>
      <c r="I426" s="371">
        <f t="shared" si="17"/>
        <v>0</v>
      </c>
      <c r="J426" s="371">
        <f t="shared" si="17"/>
        <v>0</v>
      </c>
      <c r="K426" s="371">
        <f t="shared" si="17"/>
        <v>0</v>
      </c>
      <c r="L426" s="371">
        <f t="shared" si="17"/>
        <v>0</v>
      </c>
      <c r="M426" s="371">
        <f t="shared" si="17"/>
        <v>2</v>
      </c>
      <c r="N426" s="371">
        <f t="shared" si="17"/>
        <v>0</v>
      </c>
      <c r="O426" s="371">
        <f t="shared" si="17"/>
        <v>9</v>
      </c>
      <c r="P426" s="371">
        <f t="shared" si="17"/>
        <v>0</v>
      </c>
      <c r="Q426" s="371">
        <f t="shared" si="17"/>
        <v>0</v>
      </c>
      <c r="R426" s="371">
        <f t="shared" si="17"/>
        <v>0</v>
      </c>
      <c r="S426" s="371">
        <f t="shared" si="17"/>
        <v>1</v>
      </c>
      <c r="T426" s="371">
        <f t="shared" si="17"/>
        <v>0</v>
      </c>
      <c r="U426" s="371">
        <f t="shared" si="17"/>
        <v>2</v>
      </c>
      <c r="V426" s="371">
        <f t="shared" si="17"/>
        <v>0</v>
      </c>
      <c r="W426" s="371">
        <f t="shared" si="17"/>
        <v>0</v>
      </c>
      <c r="X426" s="371">
        <f t="shared" si="17"/>
        <v>0</v>
      </c>
      <c r="Y426" s="371">
        <f t="shared" si="17"/>
        <v>0</v>
      </c>
      <c r="Z426" s="371">
        <f t="shared" si="17"/>
        <v>0</v>
      </c>
      <c r="AA426" s="371">
        <f t="shared" si="17"/>
        <v>0</v>
      </c>
      <c r="AB426" s="371">
        <f t="shared" si="17"/>
        <v>0</v>
      </c>
      <c r="AC426" s="371">
        <f t="shared" si="17"/>
        <v>0</v>
      </c>
      <c r="AD426" s="371">
        <f t="shared" si="17"/>
        <v>0</v>
      </c>
      <c r="AE426" s="371">
        <f t="shared" si="17"/>
        <v>0</v>
      </c>
      <c r="AF426" s="371">
        <f t="shared" si="17"/>
        <v>1</v>
      </c>
      <c r="AG426" s="371">
        <f t="shared" si="17"/>
        <v>0</v>
      </c>
      <c r="AH426" s="371">
        <f t="shared" si="17"/>
        <v>0</v>
      </c>
      <c r="AI426" s="371">
        <f t="shared" si="17"/>
        <v>2</v>
      </c>
      <c r="AJ426" s="371">
        <f t="shared" si="17"/>
        <v>19</v>
      </c>
      <c r="AK426" s="371">
        <f t="shared" si="17"/>
        <v>0</v>
      </c>
      <c r="AL426" s="371">
        <f t="shared" si="17"/>
        <v>0</v>
      </c>
      <c r="AM426" s="371">
        <f t="shared" si="17"/>
        <v>0</v>
      </c>
    </row>
    <row r="427" spans="1:39" ht="18" customHeight="1" x14ac:dyDescent="0.3">
      <c r="A427" s="371">
        <v>3</v>
      </c>
      <c r="B427" s="41" t="s">
        <v>138</v>
      </c>
      <c r="C427" s="371">
        <f>C98</f>
        <v>0</v>
      </c>
      <c r="D427" s="371">
        <f t="shared" ref="D427:AM427" si="18">D98</f>
        <v>0</v>
      </c>
      <c r="E427" s="371">
        <f t="shared" si="18"/>
        <v>1</v>
      </c>
      <c r="F427" s="371">
        <f t="shared" si="18"/>
        <v>0</v>
      </c>
      <c r="G427" s="371">
        <f t="shared" si="18"/>
        <v>0</v>
      </c>
      <c r="H427" s="371">
        <f t="shared" si="18"/>
        <v>0</v>
      </c>
      <c r="I427" s="371">
        <f t="shared" si="18"/>
        <v>0</v>
      </c>
      <c r="J427" s="371">
        <f t="shared" si="18"/>
        <v>0</v>
      </c>
      <c r="K427" s="371">
        <f t="shared" si="18"/>
        <v>0</v>
      </c>
      <c r="L427" s="371">
        <f t="shared" si="18"/>
        <v>0</v>
      </c>
      <c r="M427" s="371">
        <f t="shared" si="18"/>
        <v>0</v>
      </c>
      <c r="N427" s="371">
        <f t="shared" si="18"/>
        <v>1</v>
      </c>
      <c r="O427" s="371">
        <f t="shared" si="18"/>
        <v>5</v>
      </c>
      <c r="P427" s="371">
        <f t="shared" si="18"/>
        <v>0</v>
      </c>
      <c r="Q427" s="371">
        <f t="shared" si="18"/>
        <v>0</v>
      </c>
      <c r="R427" s="371">
        <f t="shared" si="18"/>
        <v>0</v>
      </c>
      <c r="S427" s="371">
        <f t="shared" si="18"/>
        <v>0</v>
      </c>
      <c r="T427" s="371">
        <f t="shared" si="18"/>
        <v>1</v>
      </c>
      <c r="U427" s="371">
        <f t="shared" si="18"/>
        <v>0</v>
      </c>
      <c r="V427" s="371">
        <f t="shared" si="18"/>
        <v>2</v>
      </c>
      <c r="W427" s="371">
        <f t="shared" si="18"/>
        <v>0</v>
      </c>
      <c r="X427" s="371">
        <f t="shared" si="18"/>
        <v>0</v>
      </c>
      <c r="Y427" s="371">
        <f t="shared" si="18"/>
        <v>0</v>
      </c>
      <c r="Z427" s="371">
        <f t="shared" si="18"/>
        <v>0</v>
      </c>
      <c r="AA427" s="371">
        <f t="shared" si="18"/>
        <v>0</v>
      </c>
      <c r="AB427" s="371">
        <f t="shared" si="18"/>
        <v>0</v>
      </c>
      <c r="AC427" s="371">
        <f t="shared" si="18"/>
        <v>0</v>
      </c>
      <c r="AD427" s="371">
        <f t="shared" si="18"/>
        <v>0</v>
      </c>
      <c r="AE427" s="371">
        <f t="shared" si="18"/>
        <v>0</v>
      </c>
      <c r="AF427" s="371">
        <f t="shared" si="18"/>
        <v>1</v>
      </c>
      <c r="AG427" s="371">
        <f t="shared" si="18"/>
        <v>0</v>
      </c>
      <c r="AH427" s="371">
        <f t="shared" si="18"/>
        <v>0</v>
      </c>
      <c r="AI427" s="371">
        <f t="shared" si="18"/>
        <v>0</v>
      </c>
      <c r="AJ427" s="371">
        <f t="shared" si="18"/>
        <v>11</v>
      </c>
      <c r="AK427" s="371">
        <f t="shared" si="18"/>
        <v>0</v>
      </c>
      <c r="AL427" s="371">
        <f t="shared" si="18"/>
        <v>0</v>
      </c>
      <c r="AM427" s="371">
        <f t="shared" si="18"/>
        <v>0</v>
      </c>
    </row>
    <row r="428" spans="1:39" ht="18" customHeight="1" x14ac:dyDescent="0.3">
      <c r="A428" s="371">
        <v>4</v>
      </c>
      <c r="B428" s="41" t="s">
        <v>139</v>
      </c>
      <c r="C428" s="371">
        <f>C133</f>
        <v>1</v>
      </c>
      <c r="D428" s="371">
        <f t="shared" ref="D428:AM428" si="19">D133</f>
        <v>0</v>
      </c>
      <c r="E428" s="371">
        <f t="shared" si="19"/>
        <v>4</v>
      </c>
      <c r="F428" s="371">
        <f t="shared" si="19"/>
        <v>0</v>
      </c>
      <c r="G428" s="371">
        <f t="shared" si="19"/>
        <v>0</v>
      </c>
      <c r="H428" s="371">
        <f t="shared" si="19"/>
        <v>0</v>
      </c>
      <c r="I428" s="371">
        <f t="shared" si="19"/>
        <v>0</v>
      </c>
      <c r="J428" s="371">
        <f t="shared" si="19"/>
        <v>0</v>
      </c>
      <c r="K428" s="371">
        <f t="shared" si="19"/>
        <v>0</v>
      </c>
      <c r="L428" s="371">
        <f t="shared" si="19"/>
        <v>0</v>
      </c>
      <c r="M428" s="371">
        <f t="shared" si="19"/>
        <v>3</v>
      </c>
      <c r="N428" s="371">
        <f t="shared" si="19"/>
        <v>4</v>
      </c>
      <c r="O428" s="371">
        <f t="shared" si="19"/>
        <v>9</v>
      </c>
      <c r="P428" s="371">
        <f t="shared" si="19"/>
        <v>0</v>
      </c>
      <c r="Q428" s="371">
        <f t="shared" si="19"/>
        <v>0</v>
      </c>
      <c r="R428" s="371">
        <f t="shared" si="19"/>
        <v>0</v>
      </c>
      <c r="S428" s="371">
        <f t="shared" si="19"/>
        <v>1</v>
      </c>
      <c r="T428" s="371">
        <f t="shared" si="19"/>
        <v>0</v>
      </c>
      <c r="U428" s="371">
        <f t="shared" si="19"/>
        <v>0</v>
      </c>
      <c r="V428" s="371">
        <f t="shared" si="19"/>
        <v>1</v>
      </c>
      <c r="W428" s="371">
        <f t="shared" si="19"/>
        <v>0</v>
      </c>
      <c r="X428" s="371">
        <f t="shared" si="19"/>
        <v>0</v>
      </c>
      <c r="Y428" s="371">
        <f t="shared" si="19"/>
        <v>0</v>
      </c>
      <c r="Z428" s="371">
        <f t="shared" si="19"/>
        <v>0</v>
      </c>
      <c r="AA428" s="371">
        <f t="shared" si="19"/>
        <v>0</v>
      </c>
      <c r="AB428" s="371">
        <f t="shared" si="19"/>
        <v>0</v>
      </c>
      <c r="AC428" s="371">
        <f t="shared" si="19"/>
        <v>0</v>
      </c>
      <c r="AD428" s="371">
        <f t="shared" si="19"/>
        <v>0</v>
      </c>
      <c r="AE428" s="371">
        <f t="shared" si="19"/>
        <v>0</v>
      </c>
      <c r="AF428" s="371">
        <f t="shared" si="19"/>
        <v>0</v>
      </c>
      <c r="AG428" s="371">
        <f t="shared" si="19"/>
        <v>0</v>
      </c>
      <c r="AH428" s="371">
        <f t="shared" si="19"/>
        <v>0</v>
      </c>
      <c r="AI428" s="371">
        <f t="shared" si="19"/>
        <v>0</v>
      </c>
      <c r="AJ428" s="371">
        <f t="shared" si="19"/>
        <v>23</v>
      </c>
      <c r="AK428" s="371">
        <f t="shared" si="19"/>
        <v>4</v>
      </c>
      <c r="AL428" s="371">
        <f t="shared" si="19"/>
        <v>0</v>
      </c>
      <c r="AM428" s="371">
        <f t="shared" si="19"/>
        <v>0</v>
      </c>
    </row>
    <row r="429" spans="1:39" ht="18" customHeight="1" x14ac:dyDescent="0.3">
      <c r="A429" s="371">
        <v>5</v>
      </c>
      <c r="B429" s="41" t="s">
        <v>140</v>
      </c>
      <c r="C429" s="371">
        <f>C167</f>
        <v>0</v>
      </c>
      <c r="D429" s="371">
        <f t="shared" ref="D429:AM429" si="20">D167</f>
        <v>0</v>
      </c>
      <c r="E429" s="371">
        <f t="shared" si="20"/>
        <v>0</v>
      </c>
      <c r="F429" s="371">
        <f t="shared" si="20"/>
        <v>0</v>
      </c>
      <c r="G429" s="371">
        <f t="shared" si="20"/>
        <v>0</v>
      </c>
      <c r="H429" s="371">
        <f t="shared" si="20"/>
        <v>0</v>
      </c>
      <c r="I429" s="371">
        <f t="shared" si="20"/>
        <v>0</v>
      </c>
      <c r="J429" s="371">
        <f t="shared" si="20"/>
        <v>0</v>
      </c>
      <c r="K429" s="371">
        <f t="shared" si="20"/>
        <v>0</v>
      </c>
      <c r="L429" s="371">
        <f t="shared" si="20"/>
        <v>0</v>
      </c>
      <c r="M429" s="371">
        <f t="shared" si="20"/>
        <v>0</v>
      </c>
      <c r="N429" s="371">
        <f t="shared" si="20"/>
        <v>0</v>
      </c>
      <c r="O429" s="371">
        <f t="shared" si="20"/>
        <v>0</v>
      </c>
      <c r="P429" s="371">
        <f t="shared" si="20"/>
        <v>0</v>
      </c>
      <c r="Q429" s="371">
        <f t="shared" si="20"/>
        <v>0</v>
      </c>
      <c r="R429" s="371">
        <f t="shared" si="20"/>
        <v>0</v>
      </c>
      <c r="S429" s="371">
        <f t="shared" si="20"/>
        <v>0</v>
      </c>
      <c r="T429" s="371">
        <f t="shared" si="20"/>
        <v>0</v>
      </c>
      <c r="U429" s="371">
        <f t="shared" si="20"/>
        <v>0</v>
      </c>
      <c r="V429" s="371">
        <f t="shared" si="20"/>
        <v>0</v>
      </c>
      <c r="W429" s="371">
        <f t="shared" si="20"/>
        <v>0</v>
      </c>
      <c r="X429" s="371">
        <f t="shared" si="20"/>
        <v>0</v>
      </c>
      <c r="Y429" s="371">
        <f t="shared" si="20"/>
        <v>0</v>
      </c>
      <c r="Z429" s="371">
        <f t="shared" si="20"/>
        <v>0</v>
      </c>
      <c r="AA429" s="371">
        <f t="shared" si="20"/>
        <v>0</v>
      </c>
      <c r="AB429" s="371">
        <f t="shared" si="20"/>
        <v>0</v>
      </c>
      <c r="AC429" s="371">
        <f t="shared" si="20"/>
        <v>0</v>
      </c>
      <c r="AD429" s="371">
        <f t="shared" si="20"/>
        <v>0</v>
      </c>
      <c r="AE429" s="371">
        <f t="shared" si="20"/>
        <v>0</v>
      </c>
      <c r="AF429" s="371">
        <f t="shared" si="20"/>
        <v>0</v>
      </c>
      <c r="AG429" s="371">
        <f t="shared" si="20"/>
        <v>0</v>
      </c>
      <c r="AH429" s="371">
        <f t="shared" si="20"/>
        <v>0</v>
      </c>
      <c r="AI429" s="371">
        <f t="shared" si="20"/>
        <v>0</v>
      </c>
      <c r="AJ429" s="371">
        <f t="shared" si="20"/>
        <v>0</v>
      </c>
      <c r="AK429" s="371">
        <f t="shared" si="20"/>
        <v>0</v>
      </c>
      <c r="AL429" s="371">
        <f t="shared" si="20"/>
        <v>0</v>
      </c>
      <c r="AM429" s="371">
        <f t="shared" si="20"/>
        <v>0</v>
      </c>
    </row>
    <row r="430" spans="1:39" ht="18" customHeight="1" x14ac:dyDescent="0.3">
      <c r="A430" s="371">
        <v>6</v>
      </c>
      <c r="B430" s="41" t="s">
        <v>141</v>
      </c>
      <c r="C430" s="371">
        <f>C201</f>
        <v>0</v>
      </c>
      <c r="D430" s="371">
        <f t="shared" ref="D430:AM430" si="21">D201</f>
        <v>0</v>
      </c>
      <c r="E430" s="371">
        <f t="shared" si="21"/>
        <v>0</v>
      </c>
      <c r="F430" s="371">
        <f t="shared" si="21"/>
        <v>0</v>
      </c>
      <c r="G430" s="371">
        <f t="shared" si="21"/>
        <v>0</v>
      </c>
      <c r="H430" s="371">
        <f t="shared" si="21"/>
        <v>0</v>
      </c>
      <c r="I430" s="371">
        <f t="shared" si="21"/>
        <v>0</v>
      </c>
      <c r="J430" s="371">
        <f t="shared" si="21"/>
        <v>0</v>
      </c>
      <c r="K430" s="371">
        <f t="shared" si="21"/>
        <v>0</v>
      </c>
      <c r="L430" s="371">
        <f t="shared" si="21"/>
        <v>0</v>
      </c>
      <c r="M430" s="371">
        <f t="shared" si="21"/>
        <v>0</v>
      </c>
      <c r="N430" s="371">
        <f t="shared" si="21"/>
        <v>0</v>
      </c>
      <c r="O430" s="371">
        <f t="shared" si="21"/>
        <v>0</v>
      </c>
      <c r="P430" s="371">
        <f t="shared" si="21"/>
        <v>0</v>
      </c>
      <c r="Q430" s="371">
        <f t="shared" si="21"/>
        <v>0</v>
      </c>
      <c r="R430" s="371">
        <f t="shared" si="21"/>
        <v>0</v>
      </c>
      <c r="S430" s="371">
        <f t="shared" si="21"/>
        <v>0</v>
      </c>
      <c r="T430" s="371">
        <f t="shared" si="21"/>
        <v>0</v>
      </c>
      <c r="U430" s="371">
        <f t="shared" si="21"/>
        <v>0</v>
      </c>
      <c r="V430" s="371">
        <f t="shared" si="21"/>
        <v>0</v>
      </c>
      <c r="W430" s="371">
        <f t="shared" si="21"/>
        <v>0</v>
      </c>
      <c r="X430" s="371">
        <f t="shared" si="21"/>
        <v>0</v>
      </c>
      <c r="Y430" s="371">
        <f t="shared" si="21"/>
        <v>0</v>
      </c>
      <c r="Z430" s="371">
        <f t="shared" si="21"/>
        <v>0</v>
      </c>
      <c r="AA430" s="371">
        <f t="shared" si="21"/>
        <v>0</v>
      </c>
      <c r="AB430" s="371">
        <f t="shared" si="21"/>
        <v>0</v>
      </c>
      <c r="AC430" s="371">
        <f t="shared" si="21"/>
        <v>0</v>
      </c>
      <c r="AD430" s="371">
        <f t="shared" si="21"/>
        <v>0</v>
      </c>
      <c r="AE430" s="371">
        <f t="shared" si="21"/>
        <v>0</v>
      </c>
      <c r="AF430" s="371">
        <f t="shared" si="21"/>
        <v>0</v>
      </c>
      <c r="AG430" s="371">
        <f t="shared" si="21"/>
        <v>0</v>
      </c>
      <c r="AH430" s="371">
        <f t="shared" si="21"/>
        <v>0</v>
      </c>
      <c r="AI430" s="371">
        <f t="shared" si="21"/>
        <v>0</v>
      </c>
      <c r="AJ430" s="371">
        <f t="shared" si="21"/>
        <v>0</v>
      </c>
      <c r="AK430" s="371">
        <f t="shared" si="21"/>
        <v>0</v>
      </c>
      <c r="AL430" s="371">
        <f t="shared" si="21"/>
        <v>0</v>
      </c>
      <c r="AM430" s="371">
        <f t="shared" si="21"/>
        <v>0</v>
      </c>
    </row>
    <row r="431" spans="1:39" ht="18" customHeight="1" x14ac:dyDescent="0.3">
      <c r="A431" s="371">
        <v>7</v>
      </c>
      <c r="B431" s="41" t="s">
        <v>142</v>
      </c>
      <c r="C431" s="371">
        <f>C236</f>
        <v>0</v>
      </c>
      <c r="D431" s="371">
        <f t="shared" ref="D431:AM431" si="22">D236</f>
        <v>0</v>
      </c>
      <c r="E431" s="371">
        <f t="shared" si="22"/>
        <v>0</v>
      </c>
      <c r="F431" s="371">
        <f t="shared" si="22"/>
        <v>0</v>
      </c>
      <c r="G431" s="371">
        <f t="shared" si="22"/>
        <v>0</v>
      </c>
      <c r="H431" s="371">
        <f t="shared" si="22"/>
        <v>0</v>
      </c>
      <c r="I431" s="371">
        <f t="shared" si="22"/>
        <v>0</v>
      </c>
      <c r="J431" s="371">
        <f t="shared" si="22"/>
        <v>0</v>
      </c>
      <c r="K431" s="371">
        <f t="shared" si="22"/>
        <v>0</v>
      </c>
      <c r="L431" s="371">
        <f t="shared" si="22"/>
        <v>0</v>
      </c>
      <c r="M431" s="371">
        <f t="shared" si="22"/>
        <v>0</v>
      </c>
      <c r="N431" s="371">
        <f t="shared" si="22"/>
        <v>0</v>
      </c>
      <c r="O431" s="371">
        <f t="shared" si="22"/>
        <v>0</v>
      </c>
      <c r="P431" s="371">
        <f t="shared" si="22"/>
        <v>0</v>
      </c>
      <c r="Q431" s="371">
        <f t="shared" si="22"/>
        <v>0</v>
      </c>
      <c r="R431" s="371">
        <f t="shared" si="22"/>
        <v>0</v>
      </c>
      <c r="S431" s="371">
        <f t="shared" si="22"/>
        <v>0</v>
      </c>
      <c r="T431" s="371">
        <f t="shared" si="22"/>
        <v>0</v>
      </c>
      <c r="U431" s="371">
        <f t="shared" si="22"/>
        <v>0</v>
      </c>
      <c r="V431" s="371">
        <f t="shared" si="22"/>
        <v>0</v>
      </c>
      <c r="W431" s="371">
        <f t="shared" si="22"/>
        <v>0</v>
      </c>
      <c r="X431" s="371">
        <f t="shared" si="22"/>
        <v>0</v>
      </c>
      <c r="Y431" s="371">
        <f t="shared" si="22"/>
        <v>0</v>
      </c>
      <c r="Z431" s="371">
        <f t="shared" si="22"/>
        <v>0</v>
      </c>
      <c r="AA431" s="371">
        <f t="shared" si="22"/>
        <v>0</v>
      </c>
      <c r="AB431" s="371">
        <f t="shared" si="22"/>
        <v>0</v>
      </c>
      <c r="AC431" s="371">
        <f t="shared" si="22"/>
        <v>0</v>
      </c>
      <c r="AD431" s="371">
        <f t="shared" si="22"/>
        <v>0</v>
      </c>
      <c r="AE431" s="371">
        <f t="shared" si="22"/>
        <v>0</v>
      </c>
      <c r="AF431" s="371">
        <f t="shared" si="22"/>
        <v>0</v>
      </c>
      <c r="AG431" s="371">
        <f t="shared" si="22"/>
        <v>0</v>
      </c>
      <c r="AH431" s="371">
        <f t="shared" si="22"/>
        <v>0</v>
      </c>
      <c r="AI431" s="371">
        <f t="shared" si="22"/>
        <v>0</v>
      </c>
      <c r="AJ431" s="371">
        <f t="shared" si="22"/>
        <v>0</v>
      </c>
      <c r="AK431" s="371">
        <f t="shared" si="22"/>
        <v>0</v>
      </c>
      <c r="AL431" s="371">
        <f t="shared" si="22"/>
        <v>0</v>
      </c>
      <c r="AM431" s="371">
        <f t="shared" si="22"/>
        <v>0</v>
      </c>
    </row>
    <row r="432" spans="1:39" ht="18" customHeight="1" x14ac:dyDescent="0.3">
      <c r="A432" s="371">
        <v>8</v>
      </c>
      <c r="B432" s="41" t="s">
        <v>143</v>
      </c>
      <c r="C432" s="371">
        <f>C270</f>
        <v>0</v>
      </c>
      <c r="D432" s="371">
        <f t="shared" ref="D432:AM432" si="23">D270</f>
        <v>0</v>
      </c>
      <c r="E432" s="371">
        <f t="shared" si="23"/>
        <v>0</v>
      </c>
      <c r="F432" s="371">
        <f t="shared" si="23"/>
        <v>0</v>
      </c>
      <c r="G432" s="371">
        <f t="shared" si="23"/>
        <v>0</v>
      </c>
      <c r="H432" s="371">
        <f t="shared" si="23"/>
        <v>0</v>
      </c>
      <c r="I432" s="371">
        <f t="shared" si="23"/>
        <v>0</v>
      </c>
      <c r="J432" s="371">
        <f t="shared" si="23"/>
        <v>0</v>
      </c>
      <c r="K432" s="371">
        <f t="shared" si="23"/>
        <v>0</v>
      </c>
      <c r="L432" s="371">
        <f t="shared" si="23"/>
        <v>0</v>
      </c>
      <c r="M432" s="371">
        <f t="shared" si="23"/>
        <v>0</v>
      </c>
      <c r="N432" s="371">
        <f t="shared" si="23"/>
        <v>0</v>
      </c>
      <c r="O432" s="371">
        <f t="shared" si="23"/>
        <v>0</v>
      </c>
      <c r="P432" s="371">
        <f t="shared" si="23"/>
        <v>0</v>
      </c>
      <c r="Q432" s="371">
        <f t="shared" si="23"/>
        <v>0</v>
      </c>
      <c r="R432" s="371">
        <f t="shared" si="23"/>
        <v>0</v>
      </c>
      <c r="S432" s="371">
        <f t="shared" si="23"/>
        <v>0</v>
      </c>
      <c r="T432" s="371">
        <f t="shared" si="23"/>
        <v>0</v>
      </c>
      <c r="U432" s="371">
        <f t="shared" si="23"/>
        <v>0</v>
      </c>
      <c r="V432" s="371">
        <f t="shared" si="23"/>
        <v>0</v>
      </c>
      <c r="W432" s="371">
        <f t="shared" si="23"/>
        <v>0</v>
      </c>
      <c r="X432" s="371">
        <f t="shared" si="23"/>
        <v>0</v>
      </c>
      <c r="Y432" s="371">
        <f t="shared" si="23"/>
        <v>0</v>
      </c>
      <c r="Z432" s="371">
        <f t="shared" si="23"/>
        <v>0</v>
      </c>
      <c r="AA432" s="371">
        <f t="shared" si="23"/>
        <v>0</v>
      </c>
      <c r="AB432" s="371">
        <f t="shared" si="23"/>
        <v>0</v>
      </c>
      <c r="AC432" s="371">
        <f t="shared" si="23"/>
        <v>0</v>
      </c>
      <c r="AD432" s="371">
        <f t="shared" si="23"/>
        <v>0</v>
      </c>
      <c r="AE432" s="371">
        <f t="shared" si="23"/>
        <v>0</v>
      </c>
      <c r="AF432" s="371">
        <f t="shared" si="23"/>
        <v>0</v>
      </c>
      <c r="AG432" s="371">
        <f t="shared" si="23"/>
        <v>0</v>
      </c>
      <c r="AH432" s="371">
        <f t="shared" si="23"/>
        <v>0</v>
      </c>
      <c r="AI432" s="371">
        <f t="shared" si="23"/>
        <v>0</v>
      </c>
      <c r="AJ432" s="371">
        <f t="shared" si="23"/>
        <v>0</v>
      </c>
      <c r="AK432" s="371">
        <f t="shared" si="23"/>
        <v>0</v>
      </c>
      <c r="AL432" s="371">
        <f t="shared" si="23"/>
        <v>0</v>
      </c>
      <c r="AM432" s="371">
        <f t="shared" si="23"/>
        <v>0</v>
      </c>
    </row>
    <row r="433" spans="1:39" ht="18" customHeight="1" x14ac:dyDescent="0.3">
      <c r="A433" s="371">
        <v>9</v>
      </c>
      <c r="B433" s="41" t="s">
        <v>144</v>
      </c>
      <c r="C433" s="371">
        <f>C306</f>
        <v>0</v>
      </c>
      <c r="D433" s="371">
        <f t="shared" ref="D433:AM433" si="24">D306</f>
        <v>0</v>
      </c>
      <c r="E433" s="371">
        <f t="shared" si="24"/>
        <v>0</v>
      </c>
      <c r="F433" s="371">
        <f t="shared" si="24"/>
        <v>0</v>
      </c>
      <c r="G433" s="371">
        <f t="shared" si="24"/>
        <v>0</v>
      </c>
      <c r="H433" s="371">
        <f t="shared" si="24"/>
        <v>0</v>
      </c>
      <c r="I433" s="371">
        <f t="shared" si="24"/>
        <v>0</v>
      </c>
      <c r="J433" s="371">
        <f t="shared" si="24"/>
        <v>0</v>
      </c>
      <c r="K433" s="371">
        <f t="shared" si="24"/>
        <v>0</v>
      </c>
      <c r="L433" s="371">
        <f t="shared" si="24"/>
        <v>0</v>
      </c>
      <c r="M433" s="371">
        <f t="shared" si="24"/>
        <v>0</v>
      </c>
      <c r="N433" s="371">
        <f t="shared" si="24"/>
        <v>0</v>
      </c>
      <c r="O433" s="371">
        <f t="shared" si="24"/>
        <v>0</v>
      </c>
      <c r="P433" s="371">
        <f t="shared" si="24"/>
        <v>0</v>
      </c>
      <c r="Q433" s="371">
        <f t="shared" si="24"/>
        <v>0</v>
      </c>
      <c r="R433" s="371">
        <f t="shared" si="24"/>
        <v>0</v>
      </c>
      <c r="S433" s="371">
        <f t="shared" si="24"/>
        <v>0</v>
      </c>
      <c r="T433" s="371">
        <f t="shared" si="24"/>
        <v>0</v>
      </c>
      <c r="U433" s="371">
        <f t="shared" si="24"/>
        <v>0</v>
      </c>
      <c r="V433" s="371">
        <f t="shared" si="24"/>
        <v>0</v>
      </c>
      <c r="W433" s="371">
        <f t="shared" si="24"/>
        <v>0</v>
      </c>
      <c r="X433" s="371">
        <f t="shared" si="24"/>
        <v>0</v>
      </c>
      <c r="Y433" s="371">
        <f t="shared" si="24"/>
        <v>0</v>
      </c>
      <c r="Z433" s="371">
        <f t="shared" si="24"/>
        <v>0</v>
      </c>
      <c r="AA433" s="371">
        <f t="shared" si="24"/>
        <v>0</v>
      </c>
      <c r="AB433" s="371">
        <f t="shared" si="24"/>
        <v>0</v>
      </c>
      <c r="AC433" s="371">
        <f t="shared" si="24"/>
        <v>0</v>
      </c>
      <c r="AD433" s="371">
        <f t="shared" si="24"/>
        <v>0</v>
      </c>
      <c r="AE433" s="371">
        <f t="shared" si="24"/>
        <v>0</v>
      </c>
      <c r="AF433" s="371">
        <f t="shared" si="24"/>
        <v>0</v>
      </c>
      <c r="AG433" s="371">
        <f t="shared" si="24"/>
        <v>0</v>
      </c>
      <c r="AH433" s="371">
        <f t="shared" si="24"/>
        <v>0</v>
      </c>
      <c r="AI433" s="371">
        <f t="shared" si="24"/>
        <v>0</v>
      </c>
      <c r="AJ433" s="371">
        <f t="shared" si="24"/>
        <v>0</v>
      </c>
      <c r="AK433" s="371">
        <f t="shared" si="24"/>
        <v>0</v>
      </c>
      <c r="AL433" s="371">
        <f t="shared" si="24"/>
        <v>0</v>
      </c>
      <c r="AM433" s="371">
        <f t="shared" si="24"/>
        <v>0</v>
      </c>
    </row>
    <row r="434" spans="1:39" ht="18" customHeight="1" x14ac:dyDescent="0.3">
      <c r="A434" s="371">
        <v>10</v>
      </c>
      <c r="B434" s="41" t="s">
        <v>146</v>
      </c>
      <c r="C434" s="371">
        <f>C342</f>
        <v>0</v>
      </c>
      <c r="D434" s="371">
        <f t="shared" ref="D434:AM434" si="25">D342</f>
        <v>0</v>
      </c>
      <c r="E434" s="371">
        <f t="shared" si="25"/>
        <v>0</v>
      </c>
      <c r="F434" s="371">
        <f t="shared" si="25"/>
        <v>0</v>
      </c>
      <c r="G434" s="371">
        <f t="shared" si="25"/>
        <v>0</v>
      </c>
      <c r="H434" s="371">
        <f t="shared" si="25"/>
        <v>0</v>
      </c>
      <c r="I434" s="371">
        <f t="shared" si="25"/>
        <v>0</v>
      </c>
      <c r="J434" s="371">
        <f t="shared" si="25"/>
        <v>0</v>
      </c>
      <c r="K434" s="371">
        <f t="shared" si="25"/>
        <v>0</v>
      </c>
      <c r="L434" s="371">
        <f t="shared" si="25"/>
        <v>0</v>
      </c>
      <c r="M434" s="371">
        <f t="shared" si="25"/>
        <v>0</v>
      </c>
      <c r="N434" s="371">
        <f t="shared" si="25"/>
        <v>0</v>
      </c>
      <c r="O434" s="371">
        <f t="shared" si="25"/>
        <v>0</v>
      </c>
      <c r="P434" s="371">
        <f t="shared" si="25"/>
        <v>0</v>
      </c>
      <c r="Q434" s="371">
        <f t="shared" si="25"/>
        <v>0</v>
      </c>
      <c r="R434" s="371">
        <f t="shared" si="25"/>
        <v>0</v>
      </c>
      <c r="S434" s="371">
        <f t="shared" si="25"/>
        <v>0</v>
      </c>
      <c r="T434" s="371">
        <f t="shared" si="25"/>
        <v>0</v>
      </c>
      <c r="U434" s="371">
        <f t="shared" si="25"/>
        <v>0</v>
      </c>
      <c r="V434" s="371">
        <f t="shared" si="25"/>
        <v>0</v>
      </c>
      <c r="W434" s="371">
        <f t="shared" si="25"/>
        <v>0</v>
      </c>
      <c r="X434" s="371">
        <f t="shared" si="25"/>
        <v>0</v>
      </c>
      <c r="Y434" s="371">
        <f t="shared" si="25"/>
        <v>0</v>
      </c>
      <c r="Z434" s="371">
        <f t="shared" si="25"/>
        <v>0</v>
      </c>
      <c r="AA434" s="371">
        <f t="shared" si="25"/>
        <v>0</v>
      </c>
      <c r="AB434" s="371">
        <f t="shared" si="25"/>
        <v>0</v>
      </c>
      <c r="AC434" s="371">
        <f t="shared" si="25"/>
        <v>0</v>
      </c>
      <c r="AD434" s="371">
        <f t="shared" si="25"/>
        <v>0</v>
      </c>
      <c r="AE434" s="371">
        <f t="shared" si="25"/>
        <v>0</v>
      </c>
      <c r="AF434" s="371">
        <f t="shared" si="25"/>
        <v>0</v>
      </c>
      <c r="AG434" s="371">
        <f t="shared" si="25"/>
        <v>0</v>
      </c>
      <c r="AH434" s="371">
        <f t="shared" si="25"/>
        <v>0</v>
      </c>
      <c r="AI434" s="371">
        <f t="shared" si="25"/>
        <v>0</v>
      </c>
      <c r="AJ434" s="371">
        <f t="shared" si="25"/>
        <v>0</v>
      </c>
      <c r="AK434" s="371">
        <f t="shared" si="25"/>
        <v>0</v>
      </c>
      <c r="AL434" s="371">
        <f t="shared" si="25"/>
        <v>0</v>
      </c>
      <c r="AM434" s="371">
        <f t="shared" si="25"/>
        <v>0</v>
      </c>
    </row>
    <row r="435" spans="1:39" ht="18" customHeight="1" x14ac:dyDescent="0.3">
      <c r="A435" s="371">
        <v>11</v>
      </c>
      <c r="B435" s="41" t="s">
        <v>173</v>
      </c>
      <c r="C435" s="371">
        <f>C377</f>
        <v>0</v>
      </c>
      <c r="D435" s="371">
        <f t="shared" ref="D435:AM435" si="26">D377</f>
        <v>0</v>
      </c>
      <c r="E435" s="371">
        <f t="shared" si="26"/>
        <v>0</v>
      </c>
      <c r="F435" s="371">
        <f t="shared" si="26"/>
        <v>0</v>
      </c>
      <c r="G435" s="371">
        <f t="shared" si="26"/>
        <v>0</v>
      </c>
      <c r="H435" s="371">
        <f t="shared" si="26"/>
        <v>0</v>
      </c>
      <c r="I435" s="371">
        <f t="shared" si="26"/>
        <v>0</v>
      </c>
      <c r="J435" s="371">
        <f t="shared" si="26"/>
        <v>0</v>
      </c>
      <c r="K435" s="371">
        <f t="shared" si="26"/>
        <v>0</v>
      </c>
      <c r="L435" s="371">
        <f t="shared" si="26"/>
        <v>0</v>
      </c>
      <c r="M435" s="371">
        <f t="shared" si="26"/>
        <v>0</v>
      </c>
      <c r="N435" s="371">
        <f t="shared" si="26"/>
        <v>0</v>
      </c>
      <c r="O435" s="371">
        <f t="shared" si="26"/>
        <v>0</v>
      </c>
      <c r="P435" s="371">
        <f t="shared" si="26"/>
        <v>0</v>
      </c>
      <c r="Q435" s="371">
        <f t="shared" si="26"/>
        <v>0</v>
      </c>
      <c r="R435" s="371">
        <f t="shared" si="26"/>
        <v>0</v>
      </c>
      <c r="S435" s="371">
        <f t="shared" si="26"/>
        <v>0</v>
      </c>
      <c r="T435" s="371">
        <f t="shared" si="26"/>
        <v>0</v>
      </c>
      <c r="U435" s="371">
        <f t="shared" si="26"/>
        <v>0</v>
      </c>
      <c r="V435" s="371">
        <f t="shared" si="26"/>
        <v>0</v>
      </c>
      <c r="W435" s="371">
        <f t="shared" si="26"/>
        <v>0</v>
      </c>
      <c r="X435" s="371">
        <f t="shared" si="26"/>
        <v>0</v>
      </c>
      <c r="Y435" s="371">
        <f t="shared" si="26"/>
        <v>0</v>
      </c>
      <c r="Z435" s="371">
        <f t="shared" si="26"/>
        <v>0</v>
      </c>
      <c r="AA435" s="371">
        <f t="shared" si="26"/>
        <v>0</v>
      </c>
      <c r="AB435" s="371">
        <f t="shared" si="26"/>
        <v>0</v>
      </c>
      <c r="AC435" s="371">
        <f t="shared" si="26"/>
        <v>0</v>
      </c>
      <c r="AD435" s="371">
        <f t="shared" si="26"/>
        <v>0</v>
      </c>
      <c r="AE435" s="371">
        <f t="shared" si="26"/>
        <v>0</v>
      </c>
      <c r="AF435" s="371">
        <f t="shared" si="26"/>
        <v>0</v>
      </c>
      <c r="AG435" s="371">
        <f t="shared" si="26"/>
        <v>0</v>
      </c>
      <c r="AH435" s="371">
        <f t="shared" si="26"/>
        <v>0</v>
      </c>
      <c r="AI435" s="371">
        <f t="shared" si="26"/>
        <v>0</v>
      </c>
      <c r="AJ435" s="371">
        <f t="shared" si="26"/>
        <v>0</v>
      </c>
      <c r="AK435" s="371">
        <f t="shared" si="26"/>
        <v>0</v>
      </c>
      <c r="AL435" s="371">
        <f t="shared" si="26"/>
        <v>0</v>
      </c>
      <c r="AM435" s="371">
        <f t="shared" si="26"/>
        <v>0</v>
      </c>
    </row>
    <row r="436" spans="1:39" ht="18" customHeight="1" thickBot="1" x14ac:dyDescent="0.35">
      <c r="A436" s="381">
        <v>12</v>
      </c>
      <c r="B436" s="258" t="s">
        <v>145</v>
      </c>
      <c r="C436" s="381">
        <f>C412</f>
        <v>0</v>
      </c>
      <c r="D436" s="381">
        <f t="shared" ref="D436:AM436" si="27">D412</f>
        <v>0</v>
      </c>
      <c r="E436" s="381">
        <f t="shared" si="27"/>
        <v>0</v>
      </c>
      <c r="F436" s="381">
        <f t="shared" si="27"/>
        <v>0</v>
      </c>
      <c r="G436" s="381">
        <f t="shared" si="27"/>
        <v>0</v>
      </c>
      <c r="H436" s="381">
        <f t="shared" si="27"/>
        <v>0</v>
      </c>
      <c r="I436" s="381">
        <f t="shared" si="27"/>
        <v>0</v>
      </c>
      <c r="J436" s="381">
        <f t="shared" si="27"/>
        <v>0</v>
      </c>
      <c r="K436" s="381">
        <f t="shared" si="27"/>
        <v>0</v>
      </c>
      <c r="L436" s="381">
        <f t="shared" si="27"/>
        <v>0</v>
      </c>
      <c r="M436" s="381">
        <f t="shared" si="27"/>
        <v>0</v>
      </c>
      <c r="N436" s="381">
        <f t="shared" si="27"/>
        <v>0</v>
      </c>
      <c r="O436" s="381">
        <f t="shared" si="27"/>
        <v>0</v>
      </c>
      <c r="P436" s="381">
        <f t="shared" si="27"/>
        <v>0</v>
      </c>
      <c r="Q436" s="381">
        <f t="shared" si="27"/>
        <v>0</v>
      </c>
      <c r="R436" s="381">
        <f t="shared" si="27"/>
        <v>0</v>
      </c>
      <c r="S436" s="381">
        <f t="shared" si="27"/>
        <v>0</v>
      </c>
      <c r="T436" s="381">
        <f t="shared" si="27"/>
        <v>0</v>
      </c>
      <c r="U436" s="381">
        <f t="shared" si="27"/>
        <v>0</v>
      </c>
      <c r="V436" s="381">
        <f t="shared" si="27"/>
        <v>0</v>
      </c>
      <c r="W436" s="381">
        <f t="shared" si="27"/>
        <v>0</v>
      </c>
      <c r="X436" s="381">
        <f t="shared" si="27"/>
        <v>0</v>
      </c>
      <c r="Y436" s="381">
        <f t="shared" si="27"/>
        <v>0</v>
      </c>
      <c r="Z436" s="381">
        <f t="shared" si="27"/>
        <v>0</v>
      </c>
      <c r="AA436" s="381">
        <f t="shared" si="27"/>
        <v>0</v>
      </c>
      <c r="AB436" s="381">
        <f t="shared" si="27"/>
        <v>0</v>
      </c>
      <c r="AC436" s="381">
        <f t="shared" si="27"/>
        <v>0</v>
      </c>
      <c r="AD436" s="381">
        <f t="shared" si="27"/>
        <v>0</v>
      </c>
      <c r="AE436" s="381">
        <f t="shared" si="27"/>
        <v>0</v>
      </c>
      <c r="AF436" s="381">
        <f t="shared" si="27"/>
        <v>0</v>
      </c>
      <c r="AG436" s="381">
        <f t="shared" si="27"/>
        <v>0</v>
      </c>
      <c r="AH436" s="381">
        <f t="shared" si="27"/>
        <v>0</v>
      </c>
      <c r="AI436" s="381">
        <f t="shared" si="27"/>
        <v>0</v>
      </c>
      <c r="AJ436" s="381">
        <f t="shared" si="27"/>
        <v>0</v>
      </c>
      <c r="AK436" s="381">
        <f t="shared" si="27"/>
        <v>0</v>
      </c>
      <c r="AL436" s="381">
        <f t="shared" si="27"/>
        <v>0</v>
      </c>
      <c r="AM436" s="381">
        <f t="shared" si="27"/>
        <v>0</v>
      </c>
    </row>
    <row r="437" spans="1:39" ht="18" customHeight="1" thickBot="1" x14ac:dyDescent="0.35">
      <c r="A437" s="803" t="s">
        <v>62</v>
      </c>
      <c r="B437" s="804"/>
      <c r="C437" s="376">
        <f>SUM(C425:C436)</f>
        <v>1</v>
      </c>
      <c r="D437" s="376">
        <f t="shared" ref="D437:AM437" si="28">SUM(D425:D436)</f>
        <v>0</v>
      </c>
      <c r="E437" s="376">
        <f t="shared" si="28"/>
        <v>11</v>
      </c>
      <c r="F437" s="376">
        <f t="shared" si="28"/>
        <v>0</v>
      </c>
      <c r="G437" s="376">
        <f t="shared" si="28"/>
        <v>0</v>
      </c>
      <c r="H437" s="376">
        <f t="shared" si="28"/>
        <v>0</v>
      </c>
      <c r="I437" s="376">
        <f t="shared" si="28"/>
        <v>0</v>
      </c>
      <c r="J437" s="376">
        <f t="shared" si="28"/>
        <v>0</v>
      </c>
      <c r="K437" s="376">
        <f t="shared" si="28"/>
        <v>1</v>
      </c>
      <c r="L437" s="376">
        <f t="shared" si="28"/>
        <v>0</v>
      </c>
      <c r="M437" s="376">
        <f t="shared" si="28"/>
        <v>6</v>
      </c>
      <c r="N437" s="376">
        <f t="shared" si="28"/>
        <v>6</v>
      </c>
      <c r="O437" s="376">
        <f t="shared" si="28"/>
        <v>31</v>
      </c>
      <c r="P437" s="376">
        <f t="shared" si="28"/>
        <v>0</v>
      </c>
      <c r="Q437" s="376">
        <f t="shared" si="28"/>
        <v>1</v>
      </c>
      <c r="R437" s="376">
        <f t="shared" si="28"/>
        <v>0</v>
      </c>
      <c r="S437" s="376">
        <f t="shared" si="28"/>
        <v>2</v>
      </c>
      <c r="T437" s="376">
        <f t="shared" si="28"/>
        <v>1</v>
      </c>
      <c r="U437" s="376">
        <f t="shared" si="28"/>
        <v>2</v>
      </c>
      <c r="V437" s="376">
        <f t="shared" si="28"/>
        <v>3</v>
      </c>
      <c r="W437" s="376">
        <f t="shared" si="28"/>
        <v>0</v>
      </c>
      <c r="X437" s="376">
        <f t="shared" si="28"/>
        <v>0</v>
      </c>
      <c r="Y437" s="376">
        <f t="shared" si="28"/>
        <v>0</v>
      </c>
      <c r="Z437" s="376">
        <f t="shared" si="28"/>
        <v>0</v>
      </c>
      <c r="AA437" s="376">
        <f t="shared" si="28"/>
        <v>0</v>
      </c>
      <c r="AB437" s="376">
        <f t="shared" si="28"/>
        <v>0</v>
      </c>
      <c r="AC437" s="376">
        <f t="shared" si="28"/>
        <v>0</v>
      </c>
      <c r="AD437" s="376">
        <f t="shared" si="28"/>
        <v>0</v>
      </c>
      <c r="AE437" s="376">
        <f t="shared" si="28"/>
        <v>0</v>
      </c>
      <c r="AF437" s="376">
        <f t="shared" si="28"/>
        <v>2</v>
      </c>
      <c r="AG437" s="376">
        <f t="shared" si="28"/>
        <v>0</v>
      </c>
      <c r="AH437" s="376">
        <f t="shared" si="28"/>
        <v>0</v>
      </c>
      <c r="AI437" s="376">
        <f t="shared" si="28"/>
        <v>2</v>
      </c>
      <c r="AJ437" s="376">
        <f t="shared" si="28"/>
        <v>69</v>
      </c>
      <c r="AK437" s="376">
        <f t="shared" si="28"/>
        <v>8</v>
      </c>
      <c r="AL437" s="376">
        <f t="shared" si="28"/>
        <v>11</v>
      </c>
      <c r="AM437" s="377">
        <f t="shared" si="28"/>
        <v>0</v>
      </c>
    </row>
    <row r="438" spans="1:39" x14ac:dyDescent="0.3">
      <c r="A438" s="378"/>
      <c r="B438" s="378"/>
      <c r="C438" s="379"/>
      <c r="D438" s="379"/>
      <c r="E438" s="379"/>
      <c r="F438" s="379"/>
      <c r="G438" s="379"/>
      <c r="H438" s="379"/>
      <c r="I438" s="379"/>
      <c r="J438" s="379"/>
      <c r="K438" s="379"/>
      <c r="L438" s="379"/>
      <c r="M438" s="379"/>
      <c r="N438" s="379"/>
      <c r="O438" s="379"/>
      <c r="P438" s="379"/>
      <c r="Q438" s="379"/>
      <c r="R438" s="379"/>
      <c r="S438" s="379"/>
      <c r="T438" s="379"/>
      <c r="U438" s="379"/>
      <c r="V438" s="379"/>
      <c r="W438" s="379"/>
      <c r="X438" s="379"/>
      <c r="Y438" s="379"/>
      <c r="Z438" s="379"/>
      <c r="AA438" s="379"/>
      <c r="AB438" s="379"/>
      <c r="AC438" s="379"/>
      <c r="AD438" s="379"/>
      <c r="AE438" s="379"/>
      <c r="AF438" s="379"/>
      <c r="AG438" s="379"/>
      <c r="AH438" s="379"/>
      <c r="AI438" s="379"/>
      <c r="AJ438" s="379"/>
    </row>
    <row r="439" spans="1:39" x14ac:dyDescent="0.35">
      <c r="A439" s="235"/>
      <c r="B439" s="235" t="s">
        <v>63</v>
      </c>
      <c r="C439" s="378"/>
      <c r="D439" s="378"/>
      <c r="E439" s="378"/>
      <c r="F439" s="378"/>
      <c r="G439" s="378"/>
      <c r="H439" s="378"/>
      <c r="I439" s="378"/>
      <c r="J439" s="378"/>
      <c r="K439" s="378"/>
      <c r="L439" s="378"/>
      <c r="M439" s="378"/>
      <c r="N439" s="801" t="s">
        <v>181</v>
      </c>
      <c r="O439" s="801"/>
      <c r="P439" s="801"/>
      <c r="Q439" s="801"/>
      <c r="R439" s="801"/>
      <c r="S439" s="801"/>
      <c r="T439" s="801"/>
      <c r="U439" s="801"/>
      <c r="V439" s="801"/>
      <c r="W439" s="801"/>
      <c r="X439" s="801"/>
      <c r="Y439" s="801"/>
      <c r="Z439" s="801"/>
      <c r="AA439" s="801"/>
      <c r="AB439" s="801"/>
      <c r="AC439" s="801"/>
      <c r="AD439" s="801"/>
      <c r="AE439" s="801"/>
      <c r="AF439" s="801"/>
      <c r="AG439" s="801"/>
      <c r="AH439" s="801"/>
      <c r="AI439" s="801"/>
      <c r="AJ439" s="378"/>
    </row>
    <row r="444" spans="1:39" x14ac:dyDescent="0.35">
      <c r="A444" s="802" t="s">
        <v>177</v>
      </c>
      <c r="B444" s="802"/>
      <c r="C444" s="802"/>
      <c r="D444" s="802"/>
      <c r="E444" s="802"/>
      <c r="F444" s="802"/>
      <c r="G444" s="802"/>
      <c r="H444" s="802"/>
      <c r="I444" s="802"/>
      <c r="J444" s="802"/>
      <c r="K444" s="802"/>
      <c r="L444" s="802"/>
      <c r="M444" s="802"/>
      <c r="N444" s="802"/>
      <c r="O444" s="802"/>
      <c r="P444" s="802"/>
      <c r="Q444" s="802"/>
      <c r="R444" s="802"/>
      <c r="S444" s="802"/>
      <c r="T444" s="802"/>
      <c r="U444" s="802"/>
      <c r="V444" s="802"/>
      <c r="W444" s="802"/>
      <c r="X444" s="802"/>
      <c r="Y444" s="802"/>
      <c r="Z444" s="802"/>
      <c r="AA444" s="802"/>
      <c r="AB444" s="802"/>
      <c r="AC444" s="802"/>
      <c r="AD444" s="802"/>
      <c r="AE444" s="802"/>
      <c r="AF444" s="802"/>
      <c r="AG444" s="802"/>
      <c r="AH444" s="802"/>
      <c r="AI444" s="802"/>
      <c r="AJ444" s="802"/>
    </row>
    <row r="445" spans="1:39" x14ac:dyDescent="0.35">
      <c r="A445" s="363"/>
      <c r="B445" s="363"/>
      <c r="C445" s="632"/>
      <c r="D445" s="632"/>
      <c r="E445" s="632"/>
      <c r="F445" s="632"/>
      <c r="G445" s="632"/>
      <c r="H445" s="632"/>
      <c r="I445" s="632"/>
      <c r="J445" s="632"/>
      <c r="K445" s="632"/>
      <c r="L445" s="632"/>
      <c r="M445" s="632"/>
      <c r="N445" s="632"/>
      <c r="O445" s="632"/>
      <c r="P445" s="632"/>
      <c r="Q445" s="632"/>
      <c r="R445" s="632"/>
      <c r="S445" s="632"/>
      <c r="T445" s="632"/>
      <c r="U445" s="632"/>
      <c r="V445" s="632"/>
      <c r="W445" s="632"/>
      <c r="X445" s="632"/>
      <c r="Y445" s="632"/>
      <c r="Z445" s="632"/>
      <c r="AA445" s="632"/>
      <c r="AB445" s="632"/>
      <c r="AC445" s="632"/>
      <c r="AD445" s="632"/>
      <c r="AE445" s="632"/>
      <c r="AF445" s="632"/>
      <c r="AG445" s="632"/>
      <c r="AH445" s="632"/>
      <c r="AI445" s="632"/>
      <c r="AJ445" s="632"/>
    </row>
    <row r="446" spans="1:39" x14ac:dyDescent="0.35">
      <c r="A446" s="364" t="s">
        <v>40</v>
      </c>
      <c r="B446" s="365"/>
      <c r="C446" s="638"/>
      <c r="D446" s="638"/>
      <c r="E446" s="638"/>
      <c r="F446" s="638"/>
      <c r="G446" s="638"/>
      <c r="H446" s="638"/>
      <c r="I446" s="638"/>
      <c r="J446" s="638"/>
      <c r="K446" s="638"/>
      <c r="L446" s="638"/>
      <c r="M446" s="638"/>
      <c r="N446" s="633" t="s">
        <v>176</v>
      </c>
      <c r="O446" s="638">
        <f>PETUNJUK!C63</f>
        <v>0</v>
      </c>
      <c r="P446" s="638"/>
      <c r="Q446" s="638"/>
      <c r="R446" s="638"/>
      <c r="S446" s="638"/>
      <c r="T446" s="638"/>
      <c r="U446" s="638"/>
      <c r="V446" s="638"/>
      <c r="W446" s="638"/>
      <c r="X446" s="638"/>
      <c r="Y446" s="638"/>
      <c r="Z446" s="638"/>
      <c r="AA446" s="638"/>
      <c r="AB446" s="638"/>
      <c r="AC446" s="638"/>
      <c r="AD446" s="638"/>
      <c r="AE446" s="638"/>
      <c r="AF446" s="638"/>
      <c r="AG446" s="638"/>
      <c r="AH446" s="638"/>
      <c r="AI446" s="638"/>
      <c r="AJ446" s="638"/>
    </row>
    <row r="447" spans="1:39" x14ac:dyDescent="0.35">
      <c r="A447" s="366" t="s">
        <v>0</v>
      </c>
      <c r="B447" s="367"/>
      <c r="C447" s="640"/>
      <c r="D447" s="633"/>
      <c r="E447" s="633"/>
      <c r="F447" s="640"/>
      <c r="G447" s="640"/>
      <c r="H447" s="640"/>
      <c r="I447" s="640"/>
      <c r="J447" s="640"/>
      <c r="K447" s="640"/>
      <c r="L447" s="640"/>
      <c r="M447" s="633"/>
      <c r="N447" s="639" t="s">
        <v>176</v>
      </c>
      <c r="O447" s="642" t="str">
        <f>'1.DATA KIA'!C436</f>
        <v>KOMULATIF DES 2025</v>
      </c>
      <c r="P447" s="633"/>
      <c r="Q447" s="633"/>
      <c r="R447" s="633"/>
      <c r="S447" s="633"/>
      <c r="T447" s="633"/>
      <c r="U447" s="633"/>
      <c r="V447" s="633"/>
      <c r="W447" s="633"/>
      <c r="X447" s="633"/>
      <c r="Y447" s="633"/>
      <c r="Z447" s="640"/>
      <c r="AA447" s="640"/>
      <c r="AB447" s="640"/>
      <c r="AC447" s="640"/>
      <c r="AD447" s="640"/>
      <c r="AE447" s="640"/>
      <c r="AF447" s="640"/>
      <c r="AG447" s="640"/>
      <c r="AH447" s="640"/>
      <c r="AI447" s="640"/>
      <c r="AJ447" s="640"/>
    </row>
    <row r="448" spans="1:39" x14ac:dyDescent="0.35">
      <c r="A448" s="364"/>
      <c r="B448" s="365"/>
      <c r="C448" s="638"/>
      <c r="D448" s="638"/>
      <c r="E448" s="638"/>
      <c r="F448" s="638"/>
      <c r="G448" s="638"/>
      <c r="H448" s="638"/>
      <c r="I448" s="638"/>
      <c r="J448" s="638"/>
      <c r="K448" s="638"/>
      <c r="L448" s="638"/>
      <c r="M448" s="638"/>
      <c r="N448" s="638"/>
      <c r="O448" s="638"/>
      <c r="P448" s="638"/>
      <c r="Q448" s="638"/>
      <c r="R448" s="638"/>
      <c r="S448" s="638"/>
      <c r="T448" s="638"/>
      <c r="U448" s="638"/>
      <c r="V448" s="638"/>
      <c r="W448" s="638"/>
      <c r="X448" s="638"/>
      <c r="Y448" s="638"/>
      <c r="Z448" s="638"/>
      <c r="AA448" s="638"/>
      <c r="AB448" s="638"/>
      <c r="AC448" s="638"/>
      <c r="AD448" s="638"/>
      <c r="AE448" s="638"/>
      <c r="AF448" s="638"/>
      <c r="AG448" s="638"/>
      <c r="AH448" s="638"/>
      <c r="AI448" s="638"/>
      <c r="AJ448" s="638"/>
    </row>
    <row r="449" spans="1:39" ht="12.75" customHeight="1" x14ac:dyDescent="0.3">
      <c r="A449" s="799" t="s">
        <v>1</v>
      </c>
      <c r="B449" s="799" t="s">
        <v>2</v>
      </c>
      <c r="C449" s="794" t="s">
        <v>301</v>
      </c>
      <c r="D449" s="795"/>
      <c r="E449" s="795"/>
      <c r="F449" s="795"/>
      <c r="G449" s="795"/>
      <c r="H449" s="795"/>
      <c r="I449" s="795"/>
      <c r="J449" s="795"/>
      <c r="K449" s="795"/>
      <c r="L449" s="795"/>
      <c r="M449" s="795"/>
      <c r="N449" s="795"/>
      <c r="O449" s="795"/>
      <c r="P449" s="795"/>
      <c r="Q449" s="795"/>
      <c r="R449" s="795"/>
      <c r="S449" s="795"/>
      <c r="T449" s="795"/>
      <c r="U449" s="795"/>
      <c r="V449" s="795"/>
      <c r="W449" s="795"/>
      <c r="X449" s="795"/>
      <c r="Y449" s="795"/>
      <c r="Z449" s="795"/>
      <c r="AA449" s="795"/>
      <c r="AB449" s="795"/>
      <c r="AC449" s="795"/>
      <c r="AD449" s="795"/>
      <c r="AE449" s="795"/>
      <c r="AF449" s="795"/>
      <c r="AG449" s="795"/>
      <c r="AH449" s="795"/>
      <c r="AI449" s="795"/>
      <c r="AJ449" s="796"/>
      <c r="AK449" s="792" t="s">
        <v>307</v>
      </c>
      <c r="AL449" s="792" t="s">
        <v>308</v>
      </c>
      <c r="AM449" s="792" t="s">
        <v>309</v>
      </c>
    </row>
    <row r="450" spans="1:39" ht="108.75" customHeight="1" x14ac:dyDescent="0.3">
      <c r="A450" s="800"/>
      <c r="B450" s="800"/>
      <c r="C450" s="368" t="s">
        <v>55</v>
      </c>
      <c r="D450" s="369" t="s">
        <v>190</v>
      </c>
      <c r="E450" s="369" t="s">
        <v>43</v>
      </c>
      <c r="F450" s="369" t="s">
        <v>53</v>
      </c>
      <c r="G450" s="369" t="s">
        <v>302</v>
      </c>
      <c r="H450" s="369" t="s">
        <v>303</v>
      </c>
      <c r="I450" s="369" t="s">
        <v>294</v>
      </c>
      <c r="J450" s="369" t="s">
        <v>304</v>
      </c>
      <c r="K450" s="369" t="s">
        <v>305</v>
      </c>
      <c r="L450" s="369" t="s">
        <v>306</v>
      </c>
      <c r="M450" s="369" t="s">
        <v>44</v>
      </c>
      <c r="N450" s="370" t="s">
        <v>178</v>
      </c>
      <c r="O450" s="369" t="s">
        <v>41</v>
      </c>
      <c r="P450" s="369" t="s">
        <v>180</v>
      </c>
      <c r="Q450" s="369" t="s">
        <v>42</v>
      </c>
      <c r="R450" s="369" t="s">
        <v>45</v>
      </c>
      <c r="S450" s="369" t="s">
        <v>46</v>
      </c>
      <c r="T450" s="369" t="s">
        <v>47</v>
      </c>
      <c r="U450" s="369" t="s">
        <v>48</v>
      </c>
      <c r="V450" s="369" t="s">
        <v>49</v>
      </c>
      <c r="W450" s="369" t="s">
        <v>50</v>
      </c>
      <c r="X450" s="369" t="s">
        <v>51</v>
      </c>
      <c r="Y450" s="369" t="s">
        <v>52</v>
      </c>
      <c r="Z450" s="369" t="s">
        <v>54</v>
      </c>
      <c r="AA450" s="369" t="s">
        <v>56</v>
      </c>
      <c r="AB450" s="369" t="s">
        <v>57</v>
      </c>
      <c r="AC450" s="369" t="s">
        <v>58</v>
      </c>
      <c r="AD450" s="369" t="s">
        <v>59</v>
      </c>
      <c r="AE450" s="369" t="s">
        <v>60</v>
      </c>
      <c r="AF450" s="370" t="s">
        <v>179</v>
      </c>
      <c r="AG450" s="370" t="s">
        <v>310</v>
      </c>
      <c r="AH450" s="369" t="s">
        <v>33</v>
      </c>
      <c r="AI450" s="369" t="s">
        <v>61</v>
      </c>
      <c r="AJ450" s="369" t="s">
        <v>18</v>
      </c>
      <c r="AK450" s="793"/>
      <c r="AL450" s="793"/>
      <c r="AM450" s="793"/>
    </row>
    <row r="451" spans="1:39" ht="18" customHeight="1" x14ac:dyDescent="0.3">
      <c r="A451" s="371">
        <v>1</v>
      </c>
      <c r="B451" s="372" t="str">
        <f>PETUNJUK!B9</f>
        <v>Pecangaan Kulon</v>
      </c>
      <c r="C451" s="371">
        <f>C7+C42+C76+C111+C145+C179+C214+C248+C284+C320+C355+C390</f>
        <v>0</v>
      </c>
      <c r="D451" s="371">
        <f t="shared" ref="D451:AM458" si="29">D7+D42+D76+D111+D145+D179+D214+D248+D284+D320+D355+D390</f>
        <v>0</v>
      </c>
      <c r="E451" s="371">
        <f t="shared" si="29"/>
        <v>3</v>
      </c>
      <c r="F451" s="371">
        <f t="shared" si="29"/>
        <v>0</v>
      </c>
      <c r="G451" s="371">
        <f t="shared" si="29"/>
        <v>0</v>
      </c>
      <c r="H451" s="371">
        <f t="shared" si="29"/>
        <v>0</v>
      </c>
      <c r="I451" s="371">
        <f t="shared" si="29"/>
        <v>0</v>
      </c>
      <c r="J451" s="371">
        <f t="shared" si="29"/>
        <v>0</v>
      </c>
      <c r="K451" s="371">
        <f t="shared" si="29"/>
        <v>0</v>
      </c>
      <c r="L451" s="371">
        <f t="shared" si="29"/>
        <v>0</v>
      </c>
      <c r="M451" s="371">
        <f t="shared" si="29"/>
        <v>1</v>
      </c>
      <c r="N451" s="371">
        <f t="shared" si="29"/>
        <v>1</v>
      </c>
      <c r="O451" s="371">
        <f t="shared" si="29"/>
        <v>4</v>
      </c>
      <c r="P451" s="371">
        <f t="shared" si="29"/>
        <v>0</v>
      </c>
      <c r="Q451" s="371">
        <f t="shared" si="29"/>
        <v>0</v>
      </c>
      <c r="R451" s="371">
        <f t="shared" si="29"/>
        <v>0</v>
      </c>
      <c r="S451" s="371">
        <f t="shared" si="29"/>
        <v>0</v>
      </c>
      <c r="T451" s="371">
        <f t="shared" si="29"/>
        <v>0</v>
      </c>
      <c r="U451" s="371">
        <f t="shared" si="29"/>
        <v>0</v>
      </c>
      <c r="V451" s="371">
        <f t="shared" si="29"/>
        <v>0</v>
      </c>
      <c r="W451" s="371">
        <f t="shared" si="29"/>
        <v>0</v>
      </c>
      <c r="X451" s="371">
        <f t="shared" si="29"/>
        <v>0</v>
      </c>
      <c r="Y451" s="371">
        <f t="shared" si="29"/>
        <v>0</v>
      </c>
      <c r="Z451" s="371">
        <f t="shared" si="29"/>
        <v>0</v>
      </c>
      <c r="AA451" s="371">
        <f t="shared" si="29"/>
        <v>0</v>
      </c>
      <c r="AB451" s="371">
        <f t="shared" si="29"/>
        <v>0</v>
      </c>
      <c r="AC451" s="371">
        <f t="shared" si="29"/>
        <v>0</v>
      </c>
      <c r="AD451" s="371">
        <f t="shared" si="29"/>
        <v>0</v>
      </c>
      <c r="AE451" s="371">
        <f t="shared" si="29"/>
        <v>0</v>
      </c>
      <c r="AF451" s="371">
        <f t="shared" si="29"/>
        <v>1</v>
      </c>
      <c r="AG451" s="371">
        <f t="shared" si="29"/>
        <v>0</v>
      </c>
      <c r="AH451" s="371">
        <f t="shared" si="29"/>
        <v>0</v>
      </c>
      <c r="AI451" s="371">
        <f t="shared" si="29"/>
        <v>0</v>
      </c>
      <c r="AJ451" s="371">
        <f t="shared" si="29"/>
        <v>10</v>
      </c>
      <c r="AK451" s="371">
        <f t="shared" si="29"/>
        <v>0</v>
      </c>
      <c r="AL451" s="371">
        <f t="shared" si="29"/>
        <v>1</v>
      </c>
      <c r="AM451" s="371">
        <f t="shared" si="29"/>
        <v>0</v>
      </c>
    </row>
    <row r="452" spans="1:39" ht="18" customHeight="1" x14ac:dyDescent="0.3">
      <c r="A452" s="371">
        <v>2</v>
      </c>
      <c r="B452" s="372" t="str">
        <f>PETUNJUK!B10</f>
        <v>Rengging</v>
      </c>
      <c r="C452" s="371">
        <f t="shared" ref="C452:R472" si="30">C8+C43+C77+C112+C146+C180+C215+C249+C285+C321+C356+C391</f>
        <v>0</v>
      </c>
      <c r="D452" s="371">
        <f t="shared" si="30"/>
        <v>0</v>
      </c>
      <c r="E452" s="371">
        <f t="shared" si="30"/>
        <v>0</v>
      </c>
      <c r="F452" s="371">
        <f t="shared" si="30"/>
        <v>0</v>
      </c>
      <c r="G452" s="371">
        <f t="shared" si="30"/>
        <v>0</v>
      </c>
      <c r="H452" s="371">
        <f t="shared" si="30"/>
        <v>0</v>
      </c>
      <c r="I452" s="371">
        <f t="shared" si="30"/>
        <v>0</v>
      </c>
      <c r="J452" s="371">
        <f t="shared" si="30"/>
        <v>0</v>
      </c>
      <c r="K452" s="371">
        <f t="shared" si="30"/>
        <v>0</v>
      </c>
      <c r="L452" s="371">
        <f t="shared" si="30"/>
        <v>0</v>
      </c>
      <c r="M452" s="371">
        <f t="shared" si="30"/>
        <v>1</v>
      </c>
      <c r="N452" s="371">
        <f t="shared" si="30"/>
        <v>1</v>
      </c>
      <c r="O452" s="371">
        <f t="shared" si="30"/>
        <v>1</v>
      </c>
      <c r="P452" s="371">
        <f t="shared" si="30"/>
        <v>0</v>
      </c>
      <c r="Q452" s="371">
        <f t="shared" si="30"/>
        <v>0</v>
      </c>
      <c r="R452" s="371">
        <f t="shared" si="30"/>
        <v>0</v>
      </c>
      <c r="S452" s="371">
        <f t="shared" si="29"/>
        <v>0</v>
      </c>
      <c r="T452" s="371">
        <f t="shared" si="29"/>
        <v>1</v>
      </c>
      <c r="U452" s="371">
        <f t="shared" si="29"/>
        <v>0</v>
      </c>
      <c r="V452" s="371">
        <f t="shared" si="29"/>
        <v>0</v>
      </c>
      <c r="W452" s="371">
        <f t="shared" si="29"/>
        <v>0</v>
      </c>
      <c r="X452" s="371">
        <f t="shared" si="29"/>
        <v>0</v>
      </c>
      <c r="Y452" s="371">
        <f t="shared" si="29"/>
        <v>0</v>
      </c>
      <c r="Z452" s="371">
        <f t="shared" si="29"/>
        <v>0</v>
      </c>
      <c r="AA452" s="371">
        <f t="shared" si="29"/>
        <v>0</v>
      </c>
      <c r="AB452" s="371">
        <f t="shared" si="29"/>
        <v>0</v>
      </c>
      <c r="AC452" s="371">
        <f t="shared" si="29"/>
        <v>0</v>
      </c>
      <c r="AD452" s="371">
        <f t="shared" si="29"/>
        <v>0</v>
      </c>
      <c r="AE452" s="371">
        <f t="shared" si="29"/>
        <v>0</v>
      </c>
      <c r="AF452" s="371">
        <f t="shared" si="29"/>
        <v>0</v>
      </c>
      <c r="AG452" s="371">
        <f t="shared" si="29"/>
        <v>0</v>
      </c>
      <c r="AH452" s="371">
        <f t="shared" si="29"/>
        <v>0</v>
      </c>
      <c r="AI452" s="371">
        <f t="shared" si="29"/>
        <v>0</v>
      </c>
      <c r="AJ452" s="371">
        <f t="shared" si="29"/>
        <v>4</v>
      </c>
      <c r="AK452" s="371">
        <f t="shared" si="29"/>
        <v>1</v>
      </c>
      <c r="AL452" s="371">
        <f t="shared" si="29"/>
        <v>1</v>
      </c>
      <c r="AM452" s="371">
        <f t="shared" si="29"/>
        <v>0</v>
      </c>
    </row>
    <row r="453" spans="1:39" ht="18" customHeight="1" x14ac:dyDescent="0.3">
      <c r="A453" s="371">
        <v>3</v>
      </c>
      <c r="B453" s="372" t="str">
        <f>PETUNJUK!B11</f>
        <v>Troso</v>
      </c>
      <c r="C453" s="371">
        <f t="shared" si="30"/>
        <v>1</v>
      </c>
      <c r="D453" s="371">
        <f t="shared" si="29"/>
        <v>0</v>
      </c>
      <c r="E453" s="371">
        <f t="shared" si="29"/>
        <v>2</v>
      </c>
      <c r="F453" s="371">
        <f t="shared" si="29"/>
        <v>0</v>
      </c>
      <c r="G453" s="371">
        <f t="shared" si="29"/>
        <v>0</v>
      </c>
      <c r="H453" s="371">
        <f t="shared" si="29"/>
        <v>0</v>
      </c>
      <c r="I453" s="371">
        <f t="shared" si="29"/>
        <v>0</v>
      </c>
      <c r="J453" s="371">
        <f t="shared" si="29"/>
        <v>0</v>
      </c>
      <c r="K453" s="371">
        <f t="shared" si="29"/>
        <v>0</v>
      </c>
      <c r="L453" s="371">
        <f t="shared" si="29"/>
        <v>0</v>
      </c>
      <c r="M453" s="371">
        <f t="shared" si="29"/>
        <v>3</v>
      </c>
      <c r="N453" s="371">
        <f t="shared" si="29"/>
        <v>0</v>
      </c>
      <c r="O453" s="371">
        <f t="shared" si="29"/>
        <v>4</v>
      </c>
      <c r="P453" s="371">
        <f t="shared" si="29"/>
        <v>0</v>
      </c>
      <c r="Q453" s="371">
        <f t="shared" si="29"/>
        <v>1</v>
      </c>
      <c r="R453" s="371">
        <f t="shared" si="29"/>
        <v>0</v>
      </c>
      <c r="S453" s="371">
        <f t="shared" si="29"/>
        <v>1</v>
      </c>
      <c r="T453" s="371">
        <f t="shared" si="29"/>
        <v>0</v>
      </c>
      <c r="U453" s="371">
        <f t="shared" si="29"/>
        <v>0</v>
      </c>
      <c r="V453" s="371">
        <f t="shared" si="29"/>
        <v>1</v>
      </c>
      <c r="W453" s="371">
        <f t="shared" si="29"/>
        <v>0</v>
      </c>
      <c r="X453" s="371">
        <f t="shared" si="29"/>
        <v>0</v>
      </c>
      <c r="Y453" s="371">
        <f t="shared" si="29"/>
        <v>0</v>
      </c>
      <c r="Z453" s="371">
        <f t="shared" si="29"/>
        <v>0</v>
      </c>
      <c r="AA453" s="371">
        <f t="shared" si="29"/>
        <v>0</v>
      </c>
      <c r="AB453" s="371">
        <f t="shared" si="29"/>
        <v>0</v>
      </c>
      <c r="AC453" s="371">
        <f t="shared" si="29"/>
        <v>0</v>
      </c>
      <c r="AD453" s="371">
        <f t="shared" si="29"/>
        <v>0</v>
      </c>
      <c r="AE453" s="371">
        <f t="shared" si="29"/>
        <v>0</v>
      </c>
      <c r="AF453" s="371">
        <f t="shared" si="29"/>
        <v>0</v>
      </c>
      <c r="AG453" s="371">
        <f t="shared" si="29"/>
        <v>0</v>
      </c>
      <c r="AH453" s="371">
        <f t="shared" si="29"/>
        <v>0</v>
      </c>
      <c r="AI453" s="371">
        <f t="shared" si="29"/>
        <v>0</v>
      </c>
      <c r="AJ453" s="371">
        <f t="shared" si="29"/>
        <v>13</v>
      </c>
      <c r="AK453" s="371">
        <f t="shared" si="29"/>
        <v>6</v>
      </c>
      <c r="AL453" s="371">
        <f t="shared" si="29"/>
        <v>2</v>
      </c>
      <c r="AM453" s="371">
        <f t="shared" si="29"/>
        <v>0</v>
      </c>
    </row>
    <row r="454" spans="1:39" ht="18" customHeight="1" x14ac:dyDescent="0.3">
      <c r="A454" s="371">
        <v>4</v>
      </c>
      <c r="B454" s="372" t="str">
        <f>PETUNJUK!B12</f>
        <v>Ngeling</v>
      </c>
      <c r="C454" s="371">
        <f t="shared" si="30"/>
        <v>0</v>
      </c>
      <c r="D454" s="371">
        <f t="shared" si="29"/>
        <v>0</v>
      </c>
      <c r="E454" s="371">
        <f t="shared" si="29"/>
        <v>2</v>
      </c>
      <c r="F454" s="371">
        <f t="shared" si="29"/>
        <v>0</v>
      </c>
      <c r="G454" s="371">
        <f t="shared" si="29"/>
        <v>0</v>
      </c>
      <c r="H454" s="371">
        <f t="shared" si="29"/>
        <v>0</v>
      </c>
      <c r="I454" s="371">
        <f t="shared" si="29"/>
        <v>0</v>
      </c>
      <c r="J454" s="371">
        <f t="shared" si="29"/>
        <v>0</v>
      </c>
      <c r="K454" s="371">
        <f t="shared" si="29"/>
        <v>0</v>
      </c>
      <c r="L454" s="371">
        <f t="shared" si="29"/>
        <v>0</v>
      </c>
      <c r="M454" s="371">
        <f t="shared" si="29"/>
        <v>0</v>
      </c>
      <c r="N454" s="371">
        <f t="shared" si="29"/>
        <v>1</v>
      </c>
      <c r="O454" s="371">
        <f t="shared" si="29"/>
        <v>5</v>
      </c>
      <c r="P454" s="371">
        <f t="shared" si="29"/>
        <v>0</v>
      </c>
      <c r="Q454" s="371">
        <f t="shared" si="29"/>
        <v>0</v>
      </c>
      <c r="R454" s="371">
        <f t="shared" si="29"/>
        <v>0</v>
      </c>
      <c r="S454" s="371">
        <f t="shared" si="29"/>
        <v>0</v>
      </c>
      <c r="T454" s="371">
        <f t="shared" si="29"/>
        <v>0</v>
      </c>
      <c r="U454" s="371">
        <f t="shared" si="29"/>
        <v>0</v>
      </c>
      <c r="V454" s="371">
        <f t="shared" si="29"/>
        <v>1</v>
      </c>
      <c r="W454" s="371">
        <f t="shared" si="29"/>
        <v>0</v>
      </c>
      <c r="X454" s="371">
        <f t="shared" si="29"/>
        <v>0</v>
      </c>
      <c r="Y454" s="371">
        <f t="shared" si="29"/>
        <v>0</v>
      </c>
      <c r="Z454" s="371">
        <f t="shared" si="29"/>
        <v>0</v>
      </c>
      <c r="AA454" s="371">
        <f t="shared" si="29"/>
        <v>0</v>
      </c>
      <c r="AB454" s="371">
        <f t="shared" si="29"/>
        <v>0</v>
      </c>
      <c r="AC454" s="371">
        <f t="shared" si="29"/>
        <v>0</v>
      </c>
      <c r="AD454" s="371">
        <f t="shared" si="29"/>
        <v>0</v>
      </c>
      <c r="AE454" s="371">
        <f t="shared" si="29"/>
        <v>0</v>
      </c>
      <c r="AF454" s="371">
        <f t="shared" si="29"/>
        <v>0</v>
      </c>
      <c r="AG454" s="371">
        <f t="shared" si="29"/>
        <v>0</v>
      </c>
      <c r="AH454" s="371">
        <f t="shared" si="29"/>
        <v>0</v>
      </c>
      <c r="AI454" s="371">
        <f t="shared" si="29"/>
        <v>1</v>
      </c>
      <c r="AJ454" s="371">
        <f t="shared" si="29"/>
        <v>10</v>
      </c>
      <c r="AK454" s="371">
        <f t="shared" si="29"/>
        <v>0</v>
      </c>
      <c r="AL454" s="371">
        <f t="shared" si="29"/>
        <v>3</v>
      </c>
      <c r="AM454" s="371">
        <f t="shared" si="29"/>
        <v>0</v>
      </c>
    </row>
    <row r="455" spans="1:39" ht="18" customHeight="1" x14ac:dyDescent="0.3">
      <c r="A455" s="371">
        <v>5</v>
      </c>
      <c r="B455" s="372" t="str">
        <f>PETUNJUK!B13</f>
        <v>Lebuawu</v>
      </c>
      <c r="C455" s="371">
        <f t="shared" si="30"/>
        <v>0</v>
      </c>
      <c r="D455" s="371">
        <f t="shared" si="29"/>
        <v>0</v>
      </c>
      <c r="E455" s="371">
        <f t="shared" si="29"/>
        <v>1</v>
      </c>
      <c r="F455" s="371">
        <f t="shared" si="29"/>
        <v>0</v>
      </c>
      <c r="G455" s="371">
        <f t="shared" si="29"/>
        <v>0</v>
      </c>
      <c r="H455" s="371">
        <f t="shared" si="29"/>
        <v>0</v>
      </c>
      <c r="I455" s="371">
        <f t="shared" si="29"/>
        <v>0</v>
      </c>
      <c r="J455" s="371">
        <f t="shared" si="29"/>
        <v>0</v>
      </c>
      <c r="K455" s="371">
        <f t="shared" si="29"/>
        <v>0</v>
      </c>
      <c r="L455" s="371">
        <f t="shared" si="29"/>
        <v>0</v>
      </c>
      <c r="M455" s="371">
        <f t="shared" si="29"/>
        <v>0</v>
      </c>
      <c r="N455" s="371">
        <f t="shared" si="29"/>
        <v>0</v>
      </c>
      <c r="O455" s="371">
        <f t="shared" si="29"/>
        <v>0</v>
      </c>
      <c r="P455" s="371">
        <f t="shared" si="29"/>
        <v>0</v>
      </c>
      <c r="Q455" s="371">
        <f t="shared" si="29"/>
        <v>0</v>
      </c>
      <c r="R455" s="371">
        <f t="shared" si="29"/>
        <v>0</v>
      </c>
      <c r="S455" s="371">
        <f t="shared" si="29"/>
        <v>0</v>
      </c>
      <c r="T455" s="371">
        <f t="shared" si="29"/>
        <v>0</v>
      </c>
      <c r="U455" s="371">
        <f t="shared" si="29"/>
        <v>0</v>
      </c>
      <c r="V455" s="371">
        <f t="shared" si="29"/>
        <v>0</v>
      </c>
      <c r="W455" s="371">
        <f t="shared" si="29"/>
        <v>0</v>
      </c>
      <c r="X455" s="371">
        <f t="shared" si="29"/>
        <v>0</v>
      </c>
      <c r="Y455" s="371">
        <f t="shared" si="29"/>
        <v>0</v>
      </c>
      <c r="Z455" s="371">
        <f t="shared" si="29"/>
        <v>0</v>
      </c>
      <c r="AA455" s="371">
        <f t="shared" si="29"/>
        <v>0</v>
      </c>
      <c r="AB455" s="371">
        <f t="shared" si="29"/>
        <v>0</v>
      </c>
      <c r="AC455" s="371">
        <f t="shared" si="29"/>
        <v>0</v>
      </c>
      <c r="AD455" s="371">
        <f t="shared" si="29"/>
        <v>0</v>
      </c>
      <c r="AE455" s="371">
        <f t="shared" si="29"/>
        <v>0</v>
      </c>
      <c r="AF455" s="371">
        <f t="shared" si="29"/>
        <v>0</v>
      </c>
      <c r="AG455" s="371">
        <f t="shared" si="29"/>
        <v>0</v>
      </c>
      <c r="AH455" s="371">
        <f t="shared" si="29"/>
        <v>0</v>
      </c>
      <c r="AI455" s="371">
        <f t="shared" si="29"/>
        <v>0</v>
      </c>
      <c r="AJ455" s="371">
        <f t="shared" si="29"/>
        <v>1</v>
      </c>
      <c r="AK455" s="371">
        <f t="shared" si="29"/>
        <v>0</v>
      </c>
      <c r="AL455" s="371">
        <f t="shared" si="29"/>
        <v>0</v>
      </c>
      <c r="AM455" s="371">
        <f t="shared" si="29"/>
        <v>0</v>
      </c>
    </row>
    <row r="456" spans="1:39" ht="18" customHeight="1" x14ac:dyDescent="0.3">
      <c r="A456" s="371">
        <v>6</v>
      </c>
      <c r="B456" s="372" t="str">
        <f>PETUNJUK!B14</f>
        <v>Pulodarat</v>
      </c>
      <c r="C456" s="371">
        <f t="shared" si="30"/>
        <v>0</v>
      </c>
      <c r="D456" s="371">
        <f t="shared" si="29"/>
        <v>0</v>
      </c>
      <c r="E456" s="371">
        <f t="shared" si="29"/>
        <v>0</v>
      </c>
      <c r="F456" s="371">
        <f t="shared" si="29"/>
        <v>0</v>
      </c>
      <c r="G456" s="371">
        <f t="shared" si="29"/>
        <v>0</v>
      </c>
      <c r="H456" s="371">
        <f t="shared" si="29"/>
        <v>0</v>
      </c>
      <c r="I456" s="371">
        <f t="shared" si="29"/>
        <v>0</v>
      </c>
      <c r="J456" s="371">
        <f t="shared" si="29"/>
        <v>0</v>
      </c>
      <c r="K456" s="371">
        <f t="shared" si="29"/>
        <v>0</v>
      </c>
      <c r="L456" s="371">
        <f t="shared" si="29"/>
        <v>0</v>
      </c>
      <c r="M456" s="371">
        <f t="shared" si="29"/>
        <v>0</v>
      </c>
      <c r="N456" s="371">
        <f t="shared" si="29"/>
        <v>0</v>
      </c>
      <c r="O456" s="371">
        <f t="shared" si="29"/>
        <v>2</v>
      </c>
      <c r="P456" s="371">
        <f t="shared" si="29"/>
        <v>0</v>
      </c>
      <c r="Q456" s="371">
        <f t="shared" si="29"/>
        <v>0</v>
      </c>
      <c r="R456" s="371">
        <f t="shared" si="29"/>
        <v>0</v>
      </c>
      <c r="S456" s="371">
        <f t="shared" si="29"/>
        <v>0</v>
      </c>
      <c r="T456" s="371">
        <f t="shared" si="29"/>
        <v>0</v>
      </c>
      <c r="U456" s="371">
        <f t="shared" si="29"/>
        <v>1</v>
      </c>
      <c r="V456" s="371">
        <f t="shared" si="29"/>
        <v>0</v>
      </c>
      <c r="W456" s="371">
        <f t="shared" si="29"/>
        <v>0</v>
      </c>
      <c r="X456" s="371">
        <f t="shared" si="29"/>
        <v>0</v>
      </c>
      <c r="Y456" s="371">
        <f t="shared" si="29"/>
        <v>0</v>
      </c>
      <c r="Z456" s="371">
        <f t="shared" si="29"/>
        <v>0</v>
      </c>
      <c r="AA456" s="371">
        <f t="shared" si="29"/>
        <v>0</v>
      </c>
      <c r="AB456" s="371">
        <f t="shared" si="29"/>
        <v>0</v>
      </c>
      <c r="AC456" s="371">
        <f t="shared" si="29"/>
        <v>0</v>
      </c>
      <c r="AD456" s="371">
        <f t="shared" si="29"/>
        <v>0</v>
      </c>
      <c r="AE456" s="371">
        <f t="shared" si="29"/>
        <v>0</v>
      </c>
      <c r="AF456" s="371">
        <f t="shared" si="29"/>
        <v>1</v>
      </c>
      <c r="AG456" s="371">
        <f t="shared" si="29"/>
        <v>0</v>
      </c>
      <c r="AH456" s="371">
        <f t="shared" si="29"/>
        <v>0</v>
      </c>
      <c r="AI456" s="371">
        <f t="shared" si="29"/>
        <v>0</v>
      </c>
      <c r="AJ456" s="371">
        <f t="shared" si="29"/>
        <v>4</v>
      </c>
      <c r="AK456" s="371">
        <f t="shared" si="29"/>
        <v>0</v>
      </c>
      <c r="AL456" s="371">
        <f t="shared" si="29"/>
        <v>0</v>
      </c>
      <c r="AM456" s="371">
        <f t="shared" si="29"/>
        <v>0</v>
      </c>
    </row>
    <row r="457" spans="1:39" ht="18" customHeight="1" x14ac:dyDescent="0.3">
      <c r="A457" s="371">
        <v>7</v>
      </c>
      <c r="B457" s="372" t="str">
        <f>PETUNJUK!B15</f>
        <v>Karangrandu</v>
      </c>
      <c r="C457" s="371">
        <f t="shared" si="30"/>
        <v>0</v>
      </c>
      <c r="D457" s="371">
        <f t="shared" si="29"/>
        <v>0</v>
      </c>
      <c r="E457" s="371">
        <f t="shared" si="29"/>
        <v>0</v>
      </c>
      <c r="F457" s="371">
        <f t="shared" si="29"/>
        <v>0</v>
      </c>
      <c r="G457" s="371">
        <f t="shared" si="29"/>
        <v>0</v>
      </c>
      <c r="H457" s="371">
        <f t="shared" si="29"/>
        <v>0</v>
      </c>
      <c r="I457" s="371">
        <f t="shared" si="29"/>
        <v>0</v>
      </c>
      <c r="J457" s="371">
        <f t="shared" si="29"/>
        <v>0</v>
      </c>
      <c r="K457" s="371">
        <f t="shared" si="29"/>
        <v>0</v>
      </c>
      <c r="L457" s="371">
        <f t="shared" si="29"/>
        <v>0</v>
      </c>
      <c r="M457" s="371">
        <f t="shared" si="29"/>
        <v>0</v>
      </c>
      <c r="N457" s="371">
        <f t="shared" si="29"/>
        <v>2</v>
      </c>
      <c r="O457" s="371">
        <f t="shared" si="29"/>
        <v>1</v>
      </c>
      <c r="P457" s="371">
        <f t="shared" si="29"/>
        <v>0</v>
      </c>
      <c r="Q457" s="371">
        <f t="shared" si="29"/>
        <v>0</v>
      </c>
      <c r="R457" s="371">
        <f t="shared" si="29"/>
        <v>0</v>
      </c>
      <c r="S457" s="371">
        <f t="shared" si="29"/>
        <v>0</v>
      </c>
      <c r="T457" s="371">
        <f t="shared" si="29"/>
        <v>0</v>
      </c>
      <c r="U457" s="371">
        <f t="shared" si="29"/>
        <v>1</v>
      </c>
      <c r="V457" s="371">
        <f t="shared" si="29"/>
        <v>0</v>
      </c>
      <c r="W457" s="371">
        <f t="shared" si="29"/>
        <v>0</v>
      </c>
      <c r="X457" s="371">
        <f t="shared" si="29"/>
        <v>0</v>
      </c>
      <c r="Y457" s="371">
        <f t="shared" si="29"/>
        <v>0</v>
      </c>
      <c r="Z457" s="371">
        <f t="shared" si="29"/>
        <v>0</v>
      </c>
      <c r="AA457" s="371">
        <f t="shared" si="29"/>
        <v>0</v>
      </c>
      <c r="AB457" s="371">
        <f t="shared" si="29"/>
        <v>0</v>
      </c>
      <c r="AC457" s="371">
        <f t="shared" si="29"/>
        <v>0</v>
      </c>
      <c r="AD457" s="371">
        <f t="shared" si="29"/>
        <v>0</v>
      </c>
      <c r="AE457" s="371">
        <f t="shared" si="29"/>
        <v>0</v>
      </c>
      <c r="AF457" s="371">
        <f t="shared" si="29"/>
        <v>0</v>
      </c>
      <c r="AG457" s="371">
        <f t="shared" si="29"/>
        <v>0</v>
      </c>
      <c r="AH457" s="371">
        <f t="shared" si="29"/>
        <v>0</v>
      </c>
      <c r="AI457" s="371">
        <f t="shared" si="29"/>
        <v>0</v>
      </c>
      <c r="AJ457" s="371">
        <f t="shared" si="29"/>
        <v>4</v>
      </c>
      <c r="AK457" s="371">
        <f t="shared" si="29"/>
        <v>0</v>
      </c>
      <c r="AL457" s="371">
        <f t="shared" si="29"/>
        <v>0</v>
      </c>
      <c r="AM457" s="371">
        <f t="shared" si="29"/>
        <v>0</v>
      </c>
    </row>
    <row r="458" spans="1:39" ht="18" customHeight="1" x14ac:dyDescent="0.3">
      <c r="A458" s="371">
        <v>8</v>
      </c>
      <c r="B458" s="372" t="str">
        <f>PETUNJUK!B16</f>
        <v>Kaliombo</v>
      </c>
      <c r="C458" s="371">
        <f t="shared" si="30"/>
        <v>0</v>
      </c>
      <c r="D458" s="371">
        <f t="shared" si="29"/>
        <v>0</v>
      </c>
      <c r="E458" s="371">
        <f t="shared" si="29"/>
        <v>0</v>
      </c>
      <c r="F458" s="371">
        <f t="shared" si="29"/>
        <v>0</v>
      </c>
      <c r="G458" s="371">
        <f t="shared" si="29"/>
        <v>0</v>
      </c>
      <c r="H458" s="371">
        <f t="shared" si="29"/>
        <v>0</v>
      </c>
      <c r="I458" s="371">
        <f t="shared" si="29"/>
        <v>0</v>
      </c>
      <c r="J458" s="371">
        <f t="shared" si="29"/>
        <v>0</v>
      </c>
      <c r="K458" s="371">
        <f t="shared" si="29"/>
        <v>0</v>
      </c>
      <c r="L458" s="371">
        <f t="shared" si="29"/>
        <v>0</v>
      </c>
      <c r="M458" s="371">
        <f t="shared" si="29"/>
        <v>1</v>
      </c>
      <c r="N458" s="371">
        <f t="shared" si="29"/>
        <v>0</v>
      </c>
      <c r="O458" s="371">
        <f t="shared" si="29"/>
        <v>3</v>
      </c>
      <c r="P458" s="371">
        <f t="shared" si="29"/>
        <v>0</v>
      </c>
      <c r="Q458" s="371">
        <f t="shared" si="29"/>
        <v>0</v>
      </c>
      <c r="R458" s="371">
        <f t="shared" si="29"/>
        <v>0</v>
      </c>
      <c r="S458" s="371">
        <f t="shared" si="29"/>
        <v>1</v>
      </c>
      <c r="T458" s="371">
        <f t="shared" si="29"/>
        <v>0</v>
      </c>
      <c r="U458" s="371">
        <f t="shared" si="29"/>
        <v>0</v>
      </c>
      <c r="V458" s="371">
        <f t="shared" ref="D458:AM465" si="31">V14+V49+V83+V118+V152+V186+V221+V255+V291+V327+V362+V397</f>
        <v>0</v>
      </c>
      <c r="W458" s="371">
        <f t="shared" si="31"/>
        <v>0</v>
      </c>
      <c r="X458" s="371">
        <f t="shared" si="31"/>
        <v>0</v>
      </c>
      <c r="Y458" s="371">
        <f t="shared" si="31"/>
        <v>0</v>
      </c>
      <c r="Z458" s="371">
        <f t="shared" si="31"/>
        <v>0</v>
      </c>
      <c r="AA458" s="371">
        <f t="shared" si="31"/>
        <v>0</v>
      </c>
      <c r="AB458" s="371">
        <f t="shared" si="31"/>
        <v>0</v>
      </c>
      <c r="AC458" s="371">
        <f t="shared" si="31"/>
        <v>0</v>
      </c>
      <c r="AD458" s="371">
        <f t="shared" si="31"/>
        <v>0</v>
      </c>
      <c r="AE458" s="371">
        <f t="shared" si="31"/>
        <v>0</v>
      </c>
      <c r="AF458" s="371">
        <f t="shared" si="31"/>
        <v>0</v>
      </c>
      <c r="AG458" s="371">
        <f t="shared" si="31"/>
        <v>0</v>
      </c>
      <c r="AH458" s="371">
        <f t="shared" si="31"/>
        <v>0</v>
      </c>
      <c r="AI458" s="371">
        <f t="shared" si="31"/>
        <v>0</v>
      </c>
      <c r="AJ458" s="371">
        <f t="shared" si="31"/>
        <v>5</v>
      </c>
      <c r="AK458" s="371">
        <f t="shared" si="31"/>
        <v>0</v>
      </c>
      <c r="AL458" s="371">
        <f t="shared" si="31"/>
        <v>0</v>
      </c>
      <c r="AM458" s="371">
        <f t="shared" si="31"/>
        <v>0</v>
      </c>
    </row>
    <row r="459" spans="1:39" ht="18" customHeight="1" x14ac:dyDescent="0.3">
      <c r="A459" s="371">
        <v>9</v>
      </c>
      <c r="B459" s="372" t="str">
        <f>PETUNJUK!B17</f>
        <v>Gemulung</v>
      </c>
      <c r="C459" s="371">
        <f t="shared" si="30"/>
        <v>0</v>
      </c>
      <c r="D459" s="371">
        <f t="shared" si="31"/>
        <v>0</v>
      </c>
      <c r="E459" s="371">
        <f t="shared" si="31"/>
        <v>1</v>
      </c>
      <c r="F459" s="371">
        <f t="shared" si="31"/>
        <v>0</v>
      </c>
      <c r="G459" s="371">
        <f t="shared" si="31"/>
        <v>0</v>
      </c>
      <c r="H459" s="371">
        <f t="shared" si="31"/>
        <v>0</v>
      </c>
      <c r="I459" s="371">
        <f t="shared" si="31"/>
        <v>0</v>
      </c>
      <c r="J459" s="371">
        <f t="shared" si="31"/>
        <v>0</v>
      </c>
      <c r="K459" s="371">
        <f t="shared" si="31"/>
        <v>0</v>
      </c>
      <c r="L459" s="371">
        <f t="shared" si="31"/>
        <v>0</v>
      </c>
      <c r="M459" s="371">
        <f t="shared" si="31"/>
        <v>0</v>
      </c>
      <c r="N459" s="371">
        <f t="shared" si="31"/>
        <v>0</v>
      </c>
      <c r="O459" s="371">
        <f t="shared" si="31"/>
        <v>5</v>
      </c>
      <c r="P459" s="371">
        <f t="shared" si="31"/>
        <v>0</v>
      </c>
      <c r="Q459" s="371">
        <f t="shared" si="31"/>
        <v>0</v>
      </c>
      <c r="R459" s="371">
        <f t="shared" si="31"/>
        <v>0</v>
      </c>
      <c r="S459" s="371">
        <f t="shared" si="31"/>
        <v>0</v>
      </c>
      <c r="T459" s="371">
        <f t="shared" si="31"/>
        <v>0</v>
      </c>
      <c r="U459" s="371">
        <f t="shared" si="31"/>
        <v>0</v>
      </c>
      <c r="V459" s="371">
        <f t="shared" si="31"/>
        <v>1</v>
      </c>
      <c r="W459" s="371">
        <f t="shared" si="31"/>
        <v>0</v>
      </c>
      <c r="X459" s="371">
        <f t="shared" si="31"/>
        <v>0</v>
      </c>
      <c r="Y459" s="371">
        <f t="shared" si="31"/>
        <v>0</v>
      </c>
      <c r="Z459" s="371">
        <f t="shared" si="31"/>
        <v>0</v>
      </c>
      <c r="AA459" s="371">
        <f t="shared" si="31"/>
        <v>0</v>
      </c>
      <c r="AB459" s="371">
        <f t="shared" si="31"/>
        <v>0</v>
      </c>
      <c r="AC459" s="371">
        <f t="shared" si="31"/>
        <v>0</v>
      </c>
      <c r="AD459" s="371">
        <f t="shared" si="31"/>
        <v>0</v>
      </c>
      <c r="AE459" s="371">
        <f t="shared" si="31"/>
        <v>0</v>
      </c>
      <c r="AF459" s="371">
        <f t="shared" si="31"/>
        <v>0</v>
      </c>
      <c r="AG459" s="371">
        <f t="shared" si="31"/>
        <v>0</v>
      </c>
      <c r="AH459" s="371">
        <f t="shared" si="31"/>
        <v>0</v>
      </c>
      <c r="AI459" s="371">
        <f t="shared" si="31"/>
        <v>1</v>
      </c>
      <c r="AJ459" s="371">
        <f t="shared" si="31"/>
        <v>8</v>
      </c>
      <c r="AK459" s="371">
        <f t="shared" si="31"/>
        <v>0</v>
      </c>
      <c r="AL459" s="371">
        <f t="shared" si="31"/>
        <v>1</v>
      </c>
      <c r="AM459" s="371">
        <f t="shared" si="31"/>
        <v>0</v>
      </c>
    </row>
    <row r="460" spans="1:39" ht="18" customHeight="1" x14ac:dyDescent="0.3">
      <c r="A460" s="371">
        <v>10</v>
      </c>
      <c r="B460" s="372" t="str">
        <f>PETUNJUK!B18</f>
        <v>Pecangaan Wetan</v>
      </c>
      <c r="C460" s="371">
        <f t="shared" si="30"/>
        <v>0</v>
      </c>
      <c r="D460" s="371">
        <f t="shared" si="31"/>
        <v>0</v>
      </c>
      <c r="E460" s="371">
        <f t="shared" si="31"/>
        <v>0</v>
      </c>
      <c r="F460" s="371">
        <f t="shared" si="31"/>
        <v>0</v>
      </c>
      <c r="G460" s="371">
        <f t="shared" si="31"/>
        <v>0</v>
      </c>
      <c r="H460" s="371">
        <f t="shared" si="31"/>
        <v>0</v>
      </c>
      <c r="I460" s="371">
        <f t="shared" si="31"/>
        <v>0</v>
      </c>
      <c r="J460" s="371">
        <f t="shared" si="31"/>
        <v>0</v>
      </c>
      <c r="K460" s="371">
        <f t="shared" si="31"/>
        <v>0</v>
      </c>
      <c r="L460" s="371">
        <f t="shared" si="31"/>
        <v>0</v>
      </c>
      <c r="M460" s="371">
        <f t="shared" si="31"/>
        <v>0</v>
      </c>
      <c r="N460" s="371">
        <f t="shared" si="31"/>
        <v>0</v>
      </c>
      <c r="O460" s="371">
        <f t="shared" si="31"/>
        <v>1</v>
      </c>
      <c r="P460" s="371">
        <f t="shared" si="31"/>
        <v>0</v>
      </c>
      <c r="Q460" s="371">
        <f t="shared" si="31"/>
        <v>0</v>
      </c>
      <c r="R460" s="371">
        <f t="shared" si="31"/>
        <v>0</v>
      </c>
      <c r="S460" s="371">
        <f t="shared" si="31"/>
        <v>0</v>
      </c>
      <c r="T460" s="371">
        <f t="shared" si="31"/>
        <v>0</v>
      </c>
      <c r="U460" s="371">
        <f t="shared" si="31"/>
        <v>0</v>
      </c>
      <c r="V460" s="371">
        <f t="shared" si="31"/>
        <v>0</v>
      </c>
      <c r="W460" s="371">
        <f t="shared" si="31"/>
        <v>0</v>
      </c>
      <c r="X460" s="371">
        <f t="shared" si="31"/>
        <v>0</v>
      </c>
      <c r="Y460" s="371">
        <f t="shared" si="31"/>
        <v>0</v>
      </c>
      <c r="Z460" s="371">
        <f t="shared" si="31"/>
        <v>0</v>
      </c>
      <c r="AA460" s="371">
        <f t="shared" si="31"/>
        <v>0</v>
      </c>
      <c r="AB460" s="371">
        <f t="shared" si="31"/>
        <v>0</v>
      </c>
      <c r="AC460" s="371">
        <f t="shared" si="31"/>
        <v>0</v>
      </c>
      <c r="AD460" s="371">
        <f t="shared" si="31"/>
        <v>0</v>
      </c>
      <c r="AE460" s="371">
        <f t="shared" si="31"/>
        <v>0</v>
      </c>
      <c r="AF460" s="371">
        <f t="shared" si="31"/>
        <v>0</v>
      </c>
      <c r="AG460" s="371">
        <f t="shared" si="31"/>
        <v>0</v>
      </c>
      <c r="AH460" s="371">
        <f t="shared" si="31"/>
        <v>0</v>
      </c>
      <c r="AI460" s="371">
        <f t="shared" si="31"/>
        <v>0</v>
      </c>
      <c r="AJ460" s="371">
        <f t="shared" si="31"/>
        <v>1</v>
      </c>
      <c r="AK460" s="371">
        <f t="shared" si="31"/>
        <v>0</v>
      </c>
      <c r="AL460" s="371">
        <f t="shared" si="31"/>
        <v>0</v>
      </c>
      <c r="AM460" s="371">
        <f t="shared" si="31"/>
        <v>0</v>
      </c>
    </row>
    <row r="461" spans="1:39" ht="18" customHeight="1" x14ac:dyDescent="0.3">
      <c r="A461" s="371">
        <v>11</v>
      </c>
      <c r="B461" s="372" t="str">
        <f>PETUNJUK!B19</f>
        <v>Krasak</v>
      </c>
      <c r="C461" s="371">
        <f t="shared" si="30"/>
        <v>0</v>
      </c>
      <c r="D461" s="371">
        <f t="shared" si="31"/>
        <v>0</v>
      </c>
      <c r="E461" s="371">
        <f t="shared" si="31"/>
        <v>2</v>
      </c>
      <c r="F461" s="371">
        <f t="shared" si="31"/>
        <v>0</v>
      </c>
      <c r="G461" s="371">
        <f t="shared" si="31"/>
        <v>0</v>
      </c>
      <c r="H461" s="371">
        <f t="shared" si="31"/>
        <v>0</v>
      </c>
      <c r="I461" s="371">
        <f t="shared" si="31"/>
        <v>0</v>
      </c>
      <c r="J461" s="371">
        <f t="shared" si="31"/>
        <v>0</v>
      </c>
      <c r="K461" s="371">
        <f t="shared" si="31"/>
        <v>1</v>
      </c>
      <c r="L461" s="371">
        <f t="shared" si="31"/>
        <v>0</v>
      </c>
      <c r="M461" s="371">
        <f t="shared" si="31"/>
        <v>0</v>
      </c>
      <c r="N461" s="371">
        <f t="shared" si="31"/>
        <v>0</v>
      </c>
      <c r="O461" s="371">
        <f t="shared" si="31"/>
        <v>4</v>
      </c>
      <c r="P461" s="371">
        <f t="shared" si="31"/>
        <v>0</v>
      </c>
      <c r="Q461" s="371">
        <f t="shared" si="31"/>
        <v>0</v>
      </c>
      <c r="R461" s="371">
        <f t="shared" si="31"/>
        <v>0</v>
      </c>
      <c r="S461" s="371">
        <f t="shared" si="31"/>
        <v>0</v>
      </c>
      <c r="T461" s="371">
        <f t="shared" si="31"/>
        <v>0</v>
      </c>
      <c r="U461" s="371">
        <f t="shared" si="31"/>
        <v>0</v>
      </c>
      <c r="V461" s="371">
        <f t="shared" si="31"/>
        <v>0</v>
      </c>
      <c r="W461" s="371">
        <f t="shared" si="31"/>
        <v>0</v>
      </c>
      <c r="X461" s="371">
        <f t="shared" si="31"/>
        <v>0</v>
      </c>
      <c r="Y461" s="371">
        <f t="shared" si="31"/>
        <v>0</v>
      </c>
      <c r="Z461" s="371">
        <f t="shared" si="31"/>
        <v>0</v>
      </c>
      <c r="AA461" s="371">
        <f t="shared" si="31"/>
        <v>0</v>
      </c>
      <c r="AB461" s="371">
        <f t="shared" si="31"/>
        <v>0</v>
      </c>
      <c r="AC461" s="371">
        <f t="shared" si="31"/>
        <v>0</v>
      </c>
      <c r="AD461" s="371">
        <f t="shared" si="31"/>
        <v>0</v>
      </c>
      <c r="AE461" s="371">
        <f t="shared" si="31"/>
        <v>0</v>
      </c>
      <c r="AF461" s="371">
        <f t="shared" si="31"/>
        <v>0</v>
      </c>
      <c r="AG461" s="371">
        <f t="shared" si="31"/>
        <v>0</v>
      </c>
      <c r="AH461" s="371">
        <f t="shared" si="31"/>
        <v>0</v>
      </c>
      <c r="AI461" s="371">
        <f t="shared" si="31"/>
        <v>0</v>
      </c>
      <c r="AJ461" s="371">
        <f t="shared" si="31"/>
        <v>7</v>
      </c>
      <c r="AK461" s="371">
        <f t="shared" si="31"/>
        <v>1</v>
      </c>
      <c r="AL461" s="371">
        <f t="shared" si="31"/>
        <v>2</v>
      </c>
      <c r="AM461" s="371">
        <f t="shared" si="31"/>
        <v>0</v>
      </c>
    </row>
    <row r="462" spans="1:39" ht="18" customHeight="1" x14ac:dyDescent="0.3">
      <c r="A462" s="371">
        <v>12</v>
      </c>
      <c r="B462" s="372" t="str">
        <f>PETUNJUK!B20</f>
        <v>Gerdu</v>
      </c>
      <c r="C462" s="371">
        <f t="shared" si="30"/>
        <v>0</v>
      </c>
      <c r="D462" s="371">
        <f t="shared" si="31"/>
        <v>0</v>
      </c>
      <c r="E462" s="371">
        <f t="shared" si="31"/>
        <v>0</v>
      </c>
      <c r="F462" s="371">
        <f t="shared" si="31"/>
        <v>0</v>
      </c>
      <c r="G462" s="371">
        <f t="shared" si="31"/>
        <v>0</v>
      </c>
      <c r="H462" s="371">
        <f t="shared" si="31"/>
        <v>0</v>
      </c>
      <c r="I462" s="371">
        <f t="shared" si="31"/>
        <v>0</v>
      </c>
      <c r="J462" s="371">
        <f t="shared" si="31"/>
        <v>0</v>
      </c>
      <c r="K462" s="371">
        <f t="shared" si="31"/>
        <v>0</v>
      </c>
      <c r="L462" s="371">
        <f t="shared" si="31"/>
        <v>0</v>
      </c>
      <c r="M462" s="371">
        <f t="shared" si="31"/>
        <v>0</v>
      </c>
      <c r="N462" s="371">
        <f t="shared" si="31"/>
        <v>1</v>
      </c>
      <c r="O462" s="371">
        <f t="shared" si="31"/>
        <v>1</v>
      </c>
      <c r="P462" s="371">
        <f t="shared" si="31"/>
        <v>0</v>
      </c>
      <c r="Q462" s="371">
        <f t="shared" si="31"/>
        <v>0</v>
      </c>
      <c r="R462" s="371">
        <f t="shared" si="31"/>
        <v>0</v>
      </c>
      <c r="S462" s="371">
        <f t="shared" si="31"/>
        <v>0</v>
      </c>
      <c r="T462" s="371">
        <f t="shared" si="31"/>
        <v>0</v>
      </c>
      <c r="U462" s="371">
        <f t="shared" si="31"/>
        <v>0</v>
      </c>
      <c r="V462" s="371">
        <f t="shared" si="31"/>
        <v>0</v>
      </c>
      <c r="W462" s="371">
        <f t="shared" si="31"/>
        <v>0</v>
      </c>
      <c r="X462" s="371">
        <f t="shared" si="31"/>
        <v>0</v>
      </c>
      <c r="Y462" s="371">
        <f t="shared" si="31"/>
        <v>0</v>
      </c>
      <c r="Z462" s="371">
        <f t="shared" si="31"/>
        <v>0</v>
      </c>
      <c r="AA462" s="371">
        <f t="shared" si="31"/>
        <v>0</v>
      </c>
      <c r="AB462" s="371">
        <f t="shared" si="31"/>
        <v>0</v>
      </c>
      <c r="AC462" s="371">
        <f t="shared" si="31"/>
        <v>0</v>
      </c>
      <c r="AD462" s="371">
        <f t="shared" si="31"/>
        <v>0</v>
      </c>
      <c r="AE462" s="371">
        <f t="shared" si="31"/>
        <v>0</v>
      </c>
      <c r="AF462" s="371">
        <f t="shared" si="31"/>
        <v>0</v>
      </c>
      <c r="AG462" s="371">
        <f t="shared" si="31"/>
        <v>0</v>
      </c>
      <c r="AH462" s="371">
        <f t="shared" si="31"/>
        <v>0</v>
      </c>
      <c r="AI462" s="371">
        <f t="shared" si="31"/>
        <v>0</v>
      </c>
      <c r="AJ462" s="371">
        <f t="shared" si="31"/>
        <v>2</v>
      </c>
      <c r="AK462" s="371">
        <f t="shared" si="31"/>
        <v>0</v>
      </c>
      <c r="AL462" s="371">
        <f t="shared" si="31"/>
        <v>1</v>
      </c>
      <c r="AM462" s="371">
        <f t="shared" si="31"/>
        <v>0</v>
      </c>
    </row>
    <row r="463" spans="1:39" ht="18" customHeight="1" x14ac:dyDescent="0.3">
      <c r="A463" s="371">
        <v>13</v>
      </c>
      <c r="B463" s="372">
        <f>PETUNJUK!B21</f>
        <v>0</v>
      </c>
      <c r="C463" s="371">
        <f t="shared" si="30"/>
        <v>0</v>
      </c>
      <c r="D463" s="371">
        <f t="shared" si="31"/>
        <v>0</v>
      </c>
      <c r="E463" s="371">
        <f t="shared" si="31"/>
        <v>0</v>
      </c>
      <c r="F463" s="371">
        <f t="shared" si="31"/>
        <v>0</v>
      </c>
      <c r="G463" s="371">
        <f t="shared" si="31"/>
        <v>0</v>
      </c>
      <c r="H463" s="371">
        <f t="shared" si="31"/>
        <v>0</v>
      </c>
      <c r="I463" s="371">
        <f t="shared" si="31"/>
        <v>0</v>
      </c>
      <c r="J463" s="371">
        <f t="shared" si="31"/>
        <v>0</v>
      </c>
      <c r="K463" s="371">
        <f t="shared" si="31"/>
        <v>0</v>
      </c>
      <c r="L463" s="371">
        <f t="shared" si="31"/>
        <v>0</v>
      </c>
      <c r="M463" s="371">
        <f t="shared" si="31"/>
        <v>0</v>
      </c>
      <c r="N463" s="371">
        <f t="shared" si="31"/>
        <v>0</v>
      </c>
      <c r="O463" s="371">
        <f t="shared" si="31"/>
        <v>0</v>
      </c>
      <c r="P463" s="371">
        <f t="shared" si="31"/>
        <v>0</v>
      </c>
      <c r="Q463" s="371">
        <f t="shared" si="31"/>
        <v>0</v>
      </c>
      <c r="R463" s="371">
        <f t="shared" si="31"/>
        <v>0</v>
      </c>
      <c r="S463" s="371">
        <f t="shared" si="31"/>
        <v>0</v>
      </c>
      <c r="T463" s="371">
        <f t="shared" si="31"/>
        <v>0</v>
      </c>
      <c r="U463" s="371">
        <f t="shared" si="31"/>
        <v>0</v>
      </c>
      <c r="V463" s="371">
        <f t="shared" si="31"/>
        <v>0</v>
      </c>
      <c r="W463" s="371">
        <f t="shared" si="31"/>
        <v>0</v>
      </c>
      <c r="X463" s="371">
        <f t="shared" si="31"/>
        <v>0</v>
      </c>
      <c r="Y463" s="371">
        <f t="shared" si="31"/>
        <v>0</v>
      </c>
      <c r="Z463" s="371">
        <f t="shared" si="31"/>
        <v>0</v>
      </c>
      <c r="AA463" s="371">
        <f t="shared" si="31"/>
        <v>0</v>
      </c>
      <c r="AB463" s="371">
        <f t="shared" si="31"/>
        <v>0</v>
      </c>
      <c r="AC463" s="371">
        <f t="shared" si="31"/>
        <v>0</v>
      </c>
      <c r="AD463" s="371">
        <f t="shared" si="31"/>
        <v>0</v>
      </c>
      <c r="AE463" s="371">
        <f t="shared" si="31"/>
        <v>0</v>
      </c>
      <c r="AF463" s="371">
        <f t="shared" si="31"/>
        <v>0</v>
      </c>
      <c r="AG463" s="371">
        <f t="shared" si="31"/>
        <v>0</v>
      </c>
      <c r="AH463" s="371">
        <f t="shared" si="31"/>
        <v>0</v>
      </c>
      <c r="AI463" s="371">
        <f t="shared" si="31"/>
        <v>0</v>
      </c>
      <c r="AJ463" s="371">
        <f t="shared" si="31"/>
        <v>0</v>
      </c>
      <c r="AK463" s="371">
        <f t="shared" si="31"/>
        <v>0</v>
      </c>
      <c r="AL463" s="371">
        <f t="shared" si="31"/>
        <v>0</v>
      </c>
      <c r="AM463" s="371">
        <f t="shared" si="31"/>
        <v>0</v>
      </c>
    </row>
    <row r="464" spans="1:39" ht="18" customHeight="1" x14ac:dyDescent="0.3">
      <c r="A464" s="371">
        <v>14</v>
      </c>
      <c r="B464" s="372">
        <f>PETUNJUK!B22</f>
        <v>0</v>
      </c>
      <c r="C464" s="371">
        <f t="shared" si="30"/>
        <v>0</v>
      </c>
      <c r="D464" s="371">
        <f t="shared" si="31"/>
        <v>0</v>
      </c>
      <c r="E464" s="371">
        <f t="shared" si="31"/>
        <v>0</v>
      </c>
      <c r="F464" s="371">
        <f t="shared" si="31"/>
        <v>0</v>
      </c>
      <c r="G464" s="371">
        <f t="shared" si="31"/>
        <v>0</v>
      </c>
      <c r="H464" s="371">
        <f t="shared" si="31"/>
        <v>0</v>
      </c>
      <c r="I464" s="371">
        <f t="shared" si="31"/>
        <v>0</v>
      </c>
      <c r="J464" s="371">
        <f t="shared" si="31"/>
        <v>0</v>
      </c>
      <c r="K464" s="371">
        <f t="shared" si="31"/>
        <v>0</v>
      </c>
      <c r="L464" s="371">
        <f t="shared" si="31"/>
        <v>0</v>
      </c>
      <c r="M464" s="371">
        <f t="shared" si="31"/>
        <v>0</v>
      </c>
      <c r="N464" s="371">
        <f t="shared" si="31"/>
        <v>0</v>
      </c>
      <c r="O464" s="371">
        <f t="shared" si="31"/>
        <v>0</v>
      </c>
      <c r="P464" s="371">
        <f t="shared" si="31"/>
        <v>0</v>
      </c>
      <c r="Q464" s="371">
        <f t="shared" si="31"/>
        <v>0</v>
      </c>
      <c r="R464" s="371">
        <f t="shared" si="31"/>
        <v>0</v>
      </c>
      <c r="S464" s="371">
        <f t="shared" si="31"/>
        <v>0</v>
      </c>
      <c r="T464" s="371">
        <f t="shared" si="31"/>
        <v>0</v>
      </c>
      <c r="U464" s="371">
        <f t="shared" si="31"/>
        <v>0</v>
      </c>
      <c r="V464" s="371">
        <f t="shared" si="31"/>
        <v>0</v>
      </c>
      <c r="W464" s="371">
        <f t="shared" si="31"/>
        <v>0</v>
      </c>
      <c r="X464" s="371">
        <f t="shared" si="31"/>
        <v>0</v>
      </c>
      <c r="Y464" s="371">
        <f t="shared" si="31"/>
        <v>0</v>
      </c>
      <c r="Z464" s="371">
        <f t="shared" si="31"/>
        <v>0</v>
      </c>
      <c r="AA464" s="371">
        <f t="shared" si="31"/>
        <v>0</v>
      </c>
      <c r="AB464" s="371">
        <f t="shared" si="31"/>
        <v>0</v>
      </c>
      <c r="AC464" s="371">
        <f t="shared" si="31"/>
        <v>0</v>
      </c>
      <c r="AD464" s="371">
        <f t="shared" si="31"/>
        <v>0</v>
      </c>
      <c r="AE464" s="371">
        <f t="shared" si="31"/>
        <v>0</v>
      </c>
      <c r="AF464" s="371">
        <f t="shared" si="31"/>
        <v>0</v>
      </c>
      <c r="AG464" s="371">
        <f t="shared" si="31"/>
        <v>0</v>
      </c>
      <c r="AH464" s="371">
        <f t="shared" si="31"/>
        <v>0</v>
      </c>
      <c r="AI464" s="371">
        <f t="shared" si="31"/>
        <v>0</v>
      </c>
      <c r="AJ464" s="371">
        <f t="shared" si="31"/>
        <v>0</v>
      </c>
      <c r="AK464" s="371">
        <f t="shared" si="31"/>
        <v>0</v>
      </c>
      <c r="AL464" s="371">
        <f t="shared" si="31"/>
        <v>0</v>
      </c>
      <c r="AM464" s="371">
        <f t="shared" si="31"/>
        <v>0</v>
      </c>
    </row>
    <row r="465" spans="1:39" ht="18" customHeight="1" x14ac:dyDescent="0.3">
      <c r="A465" s="371">
        <v>15</v>
      </c>
      <c r="B465" s="372">
        <f>PETUNJUK!B23</f>
        <v>0</v>
      </c>
      <c r="C465" s="371">
        <f t="shared" si="30"/>
        <v>0</v>
      </c>
      <c r="D465" s="371">
        <f t="shared" si="31"/>
        <v>0</v>
      </c>
      <c r="E465" s="371">
        <f t="shared" si="31"/>
        <v>0</v>
      </c>
      <c r="F465" s="371">
        <f t="shared" si="31"/>
        <v>0</v>
      </c>
      <c r="G465" s="371">
        <f t="shared" si="31"/>
        <v>0</v>
      </c>
      <c r="H465" s="371">
        <f t="shared" si="31"/>
        <v>0</v>
      </c>
      <c r="I465" s="371">
        <f t="shared" si="31"/>
        <v>0</v>
      </c>
      <c r="J465" s="371">
        <f t="shared" si="31"/>
        <v>0</v>
      </c>
      <c r="K465" s="371">
        <f t="shared" si="31"/>
        <v>0</v>
      </c>
      <c r="L465" s="371">
        <f t="shared" si="31"/>
        <v>0</v>
      </c>
      <c r="M465" s="371">
        <f t="shared" si="31"/>
        <v>0</v>
      </c>
      <c r="N465" s="371">
        <f t="shared" si="31"/>
        <v>0</v>
      </c>
      <c r="O465" s="371">
        <f t="shared" si="31"/>
        <v>0</v>
      </c>
      <c r="P465" s="371">
        <f t="shared" si="31"/>
        <v>0</v>
      </c>
      <c r="Q465" s="371">
        <f t="shared" si="31"/>
        <v>0</v>
      </c>
      <c r="R465" s="371">
        <f t="shared" si="31"/>
        <v>0</v>
      </c>
      <c r="S465" s="371">
        <f t="shared" si="31"/>
        <v>0</v>
      </c>
      <c r="T465" s="371">
        <f t="shared" si="31"/>
        <v>0</v>
      </c>
      <c r="U465" s="371">
        <f t="shared" si="31"/>
        <v>0</v>
      </c>
      <c r="V465" s="371">
        <f t="shared" si="31"/>
        <v>0</v>
      </c>
      <c r="W465" s="371">
        <f t="shared" si="31"/>
        <v>0</v>
      </c>
      <c r="X465" s="371">
        <f t="shared" si="31"/>
        <v>0</v>
      </c>
      <c r="Y465" s="371">
        <f t="shared" ref="D465:AM472" si="32">Y21+Y56+Y90+Y125+Y159+Y193+Y228+Y262+Y298+Y334+Y369+Y404</f>
        <v>0</v>
      </c>
      <c r="Z465" s="371">
        <f t="shared" si="32"/>
        <v>0</v>
      </c>
      <c r="AA465" s="371">
        <f t="shared" si="32"/>
        <v>0</v>
      </c>
      <c r="AB465" s="371">
        <f t="shared" si="32"/>
        <v>0</v>
      </c>
      <c r="AC465" s="371">
        <f t="shared" si="32"/>
        <v>0</v>
      </c>
      <c r="AD465" s="371">
        <f t="shared" si="32"/>
        <v>0</v>
      </c>
      <c r="AE465" s="371">
        <f t="shared" si="32"/>
        <v>0</v>
      </c>
      <c r="AF465" s="371">
        <f t="shared" si="32"/>
        <v>0</v>
      </c>
      <c r="AG465" s="371">
        <f t="shared" si="32"/>
        <v>0</v>
      </c>
      <c r="AH465" s="371">
        <f t="shared" si="32"/>
        <v>0</v>
      </c>
      <c r="AI465" s="371">
        <f t="shared" si="32"/>
        <v>0</v>
      </c>
      <c r="AJ465" s="371">
        <f t="shared" si="32"/>
        <v>0</v>
      </c>
      <c r="AK465" s="371">
        <f t="shared" si="32"/>
        <v>0</v>
      </c>
      <c r="AL465" s="371">
        <f t="shared" si="32"/>
        <v>0</v>
      </c>
      <c r="AM465" s="371">
        <f t="shared" si="32"/>
        <v>0</v>
      </c>
    </row>
    <row r="466" spans="1:39" ht="18" customHeight="1" x14ac:dyDescent="0.3">
      <c r="A466" s="371">
        <v>16</v>
      </c>
      <c r="B466" s="372">
        <f>PETUNJUK!B24</f>
        <v>0</v>
      </c>
      <c r="C466" s="371">
        <f t="shared" si="30"/>
        <v>0</v>
      </c>
      <c r="D466" s="371">
        <f t="shared" si="32"/>
        <v>0</v>
      </c>
      <c r="E466" s="371">
        <f t="shared" si="32"/>
        <v>0</v>
      </c>
      <c r="F466" s="371">
        <f t="shared" si="32"/>
        <v>0</v>
      </c>
      <c r="G466" s="371">
        <f t="shared" si="32"/>
        <v>0</v>
      </c>
      <c r="H466" s="371">
        <f t="shared" si="32"/>
        <v>0</v>
      </c>
      <c r="I466" s="371">
        <f t="shared" si="32"/>
        <v>0</v>
      </c>
      <c r="J466" s="371">
        <f t="shared" si="32"/>
        <v>0</v>
      </c>
      <c r="K466" s="371">
        <f t="shared" si="32"/>
        <v>0</v>
      </c>
      <c r="L466" s="371">
        <f t="shared" si="32"/>
        <v>0</v>
      </c>
      <c r="M466" s="371">
        <f t="shared" si="32"/>
        <v>0</v>
      </c>
      <c r="N466" s="371">
        <f t="shared" si="32"/>
        <v>0</v>
      </c>
      <c r="O466" s="371">
        <f t="shared" si="32"/>
        <v>0</v>
      </c>
      <c r="P466" s="371">
        <f t="shared" si="32"/>
        <v>0</v>
      </c>
      <c r="Q466" s="371">
        <f t="shared" si="32"/>
        <v>0</v>
      </c>
      <c r="R466" s="371">
        <f t="shared" si="32"/>
        <v>0</v>
      </c>
      <c r="S466" s="371">
        <f t="shared" si="32"/>
        <v>0</v>
      </c>
      <c r="T466" s="371">
        <f t="shared" si="32"/>
        <v>0</v>
      </c>
      <c r="U466" s="371">
        <f t="shared" si="32"/>
        <v>0</v>
      </c>
      <c r="V466" s="371">
        <f t="shared" si="32"/>
        <v>0</v>
      </c>
      <c r="W466" s="371">
        <f t="shared" si="32"/>
        <v>0</v>
      </c>
      <c r="X466" s="371">
        <f t="shared" si="32"/>
        <v>0</v>
      </c>
      <c r="Y466" s="371">
        <f t="shared" si="32"/>
        <v>0</v>
      </c>
      <c r="Z466" s="371">
        <f t="shared" si="32"/>
        <v>0</v>
      </c>
      <c r="AA466" s="371">
        <f t="shared" si="32"/>
        <v>0</v>
      </c>
      <c r="AB466" s="371">
        <f t="shared" si="32"/>
        <v>0</v>
      </c>
      <c r="AC466" s="371">
        <f t="shared" si="32"/>
        <v>0</v>
      </c>
      <c r="AD466" s="371">
        <f t="shared" si="32"/>
        <v>0</v>
      </c>
      <c r="AE466" s="371">
        <f t="shared" si="32"/>
        <v>0</v>
      </c>
      <c r="AF466" s="371">
        <f t="shared" si="32"/>
        <v>0</v>
      </c>
      <c r="AG466" s="371">
        <f t="shared" si="32"/>
        <v>0</v>
      </c>
      <c r="AH466" s="371">
        <f t="shared" si="32"/>
        <v>0</v>
      </c>
      <c r="AI466" s="371">
        <f t="shared" si="32"/>
        <v>0</v>
      </c>
      <c r="AJ466" s="371">
        <f t="shared" si="32"/>
        <v>0</v>
      </c>
      <c r="AK466" s="371">
        <f t="shared" si="32"/>
        <v>0</v>
      </c>
      <c r="AL466" s="371">
        <f t="shared" si="32"/>
        <v>0</v>
      </c>
      <c r="AM466" s="371">
        <f t="shared" si="32"/>
        <v>0</v>
      </c>
    </row>
    <row r="467" spans="1:39" ht="18" customHeight="1" x14ac:dyDescent="0.3">
      <c r="A467" s="371">
        <v>17</v>
      </c>
      <c r="B467" s="372">
        <f>PETUNJUK!B25</f>
        <v>0</v>
      </c>
      <c r="C467" s="371">
        <f t="shared" si="30"/>
        <v>0</v>
      </c>
      <c r="D467" s="371">
        <f t="shared" si="32"/>
        <v>0</v>
      </c>
      <c r="E467" s="371">
        <f t="shared" si="32"/>
        <v>0</v>
      </c>
      <c r="F467" s="371">
        <f t="shared" si="32"/>
        <v>0</v>
      </c>
      <c r="G467" s="371">
        <f t="shared" si="32"/>
        <v>0</v>
      </c>
      <c r="H467" s="371">
        <f t="shared" si="32"/>
        <v>0</v>
      </c>
      <c r="I467" s="371">
        <f t="shared" si="32"/>
        <v>0</v>
      </c>
      <c r="J467" s="371">
        <f t="shared" si="32"/>
        <v>0</v>
      </c>
      <c r="K467" s="371">
        <f t="shared" si="32"/>
        <v>0</v>
      </c>
      <c r="L467" s="371">
        <f t="shared" si="32"/>
        <v>0</v>
      </c>
      <c r="M467" s="371">
        <f t="shared" si="32"/>
        <v>0</v>
      </c>
      <c r="N467" s="371">
        <f t="shared" si="32"/>
        <v>0</v>
      </c>
      <c r="O467" s="371">
        <f t="shared" si="32"/>
        <v>0</v>
      </c>
      <c r="P467" s="371">
        <f t="shared" si="32"/>
        <v>0</v>
      </c>
      <c r="Q467" s="371">
        <f t="shared" si="32"/>
        <v>0</v>
      </c>
      <c r="R467" s="371">
        <f t="shared" si="32"/>
        <v>0</v>
      </c>
      <c r="S467" s="371">
        <f t="shared" si="32"/>
        <v>0</v>
      </c>
      <c r="T467" s="371">
        <f t="shared" si="32"/>
        <v>0</v>
      </c>
      <c r="U467" s="371">
        <f t="shared" si="32"/>
        <v>0</v>
      </c>
      <c r="V467" s="371">
        <f t="shared" si="32"/>
        <v>0</v>
      </c>
      <c r="W467" s="371">
        <f t="shared" si="32"/>
        <v>0</v>
      </c>
      <c r="X467" s="371">
        <f t="shared" si="32"/>
        <v>0</v>
      </c>
      <c r="Y467" s="371">
        <f t="shared" si="32"/>
        <v>0</v>
      </c>
      <c r="Z467" s="371">
        <f t="shared" si="32"/>
        <v>0</v>
      </c>
      <c r="AA467" s="371">
        <f t="shared" si="32"/>
        <v>0</v>
      </c>
      <c r="AB467" s="371">
        <f t="shared" si="32"/>
        <v>0</v>
      </c>
      <c r="AC467" s="371">
        <f t="shared" si="32"/>
        <v>0</v>
      </c>
      <c r="AD467" s="371">
        <f t="shared" si="32"/>
        <v>0</v>
      </c>
      <c r="AE467" s="371">
        <f t="shared" si="32"/>
        <v>0</v>
      </c>
      <c r="AF467" s="371">
        <f t="shared" si="32"/>
        <v>0</v>
      </c>
      <c r="AG467" s="371">
        <f t="shared" si="32"/>
        <v>0</v>
      </c>
      <c r="AH467" s="371">
        <f t="shared" si="32"/>
        <v>0</v>
      </c>
      <c r="AI467" s="371">
        <f t="shared" si="32"/>
        <v>0</v>
      </c>
      <c r="AJ467" s="371">
        <f t="shared" si="32"/>
        <v>0</v>
      </c>
      <c r="AK467" s="371">
        <f t="shared" si="32"/>
        <v>0</v>
      </c>
      <c r="AL467" s="371">
        <f t="shared" si="32"/>
        <v>0</v>
      </c>
      <c r="AM467" s="371">
        <f t="shared" si="32"/>
        <v>0</v>
      </c>
    </row>
    <row r="468" spans="1:39" ht="18" customHeight="1" x14ac:dyDescent="0.3">
      <c r="A468" s="371">
        <v>18</v>
      </c>
      <c r="B468" s="372">
        <f>PETUNJUK!B26</f>
        <v>0</v>
      </c>
      <c r="C468" s="371">
        <f t="shared" si="30"/>
        <v>0</v>
      </c>
      <c r="D468" s="371">
        <f t="shared" si="32"/>
        <v>0</v>
      </c>
      <c r="E468" s="371">
        <f t="shared" si="32"/>
        <v>0</v>
      </c>
      <c r="F468" s="371">
        <f t="shared" si="32"/>
        <v>0</v>
      </c>
      <c r="G468" s="371">
        <f t="shared" si="32"/>
        <v>0</v>
      </c>
      <c r="H468" s="371">
        <f t="shared" si="32"/>
        <v>0</v>
      </c>
      <c r="I468" s="371">
        <f t="shared" si="32"/>
        <v>0</v>
      </c>
      <c r="J468" s="371">
        <f t="shared" si="32"/>
        <v>0</v>
      </c>
      <c r="K468" s="371">
        <f t="shared" si="32"/>
        <v>0</v>
      </c>
      <c r="L468" s="371">
        <f t="shared" si="32"/>
        <v>0</v>
      </c>
      <c r="M468" s="371">
        <f t="shared" si="32"/>
        <v>0</v>
      </c>
      <c r="N468" s="371">
        <f t="shared" si="32"/>
        <v>0</v>
      </c>
      <c r="O468" s="371">
        <f t="shared" si="32"/>
        <v>0</v>
      </c>
      <c r="P468" s="371">
        <f t="shared" si="32"/>
        <v>0</v>
      </c>
      <c r="Q468" s="371">
        <f t="shared" si="32"/>
        <v>0</v>
      </c>
      <c r="R468" s="371">
        <f t="shared" si="32"/>
        <v>0</v>
      </c>
      <c r="S468" s="371">
        <f t="shared" si="32"/>
        <v>0</v>
      </c>
      <c r="T468" s="371">
        <f t="shared" si="32"/>
        <v>0</v>
      </c>
      <c r="U468" s="371">
        <f t="shared" si="32"/>
        <v>0</v>
      </c>
      <c r="V468" s="371">
        <f t="shared" si="32"/>
        <v>0</v>
      </c>
      <c r="W468" s="371">
        <f t="shared" si="32"/>
        <v>0</v>
      </c>
      <c r="X468" s="371">
        <f t="shared" si="32"/>
        <v>0</v>
      </c>
      <c r="Y468" s="371">
        <f t="shared" si="32"/>
        <v>0</v>
      </c>
      <c r="Z468" s="371">
        <f t="shared" si="32"/>
        <v>0</v>
      </c>
      <c r="AA468" s="371">
        <f t="shared" si="32"/>
        <v>0</v>
      </c>
      <c r="AB468" s="371">
        <f t="shared" si="32"/>
        <v>0</v>
      </c>
      <c r="AC468" s="371">
        <f t="shared" si="32"/>
        <v>0</v>
      </c>
      <c r="AD468" s="371">
        <f t="shared" si="32"/>
        <v>0</v>
      </c>
      <c r="AE468" s="371">
        <f t="shared" si="32"/>
        <v>0</v>
      </c>
      <c r="AF468" s="371">
        <f t="shared" si="32"/>
        <v>0</v>
      </c>
      <c r="AG468" s="371">
        <f t="shared" si="32"/>
        <v>0</v>
      </c>
      <c r="AH468" s="371">
        <f t="shared" si="32"/>
        <v>0</v>
      </c>
      <c r="AI468" s="371">
        <f t="shared" si="32"/>
        <v>0</v>
      </c>
      <c r="AJ468" s="371">
        <f t="shared" si="32"/>
        <v>0</v>
      </c>
      <c r="AK468" s="371">
        <f t="shared" si="32"/>
        <v>0</v>
      </c>
      <c r="AL468" s="371">
        <f t="shared" si="32"/>
        <v>0</v>
      </c>
      <c r="AM468" s="371">
        <f t="shared" si="32"/>
        <v>0</v>
      </c>
    </row>
    <row r="469" spans="1:39" ht="18" customHeight="1" x14ac:dyDescent="0.3">
      <c r="A469" s="371">
        <v>19</v>
      </c>
      <c r="B469" s="372">
        <f>PETUNJUK!B27</f>
        <v>0</v>
      </c>
      <c r="C469" s="371">
        <f t="shared" si="30"/>
        <v>0</v>
      </c>
      <c r="D469" s="371">
        <f t="shared" si="32"/>
        <v>0</v>
      </c>
      <c r="E469" s="371">
        <f t="shared" si="32"/>
        <v>0</v>
      </c>
      <c r="F469" s="371">
        <f t="shared" si="32"/>
        <v>0</v>
      </c>
      <c r="G469" s="371">
        <f t="shared" si="32"/>
        <v>0</v>
      </c>
      <c r="H469" s="371">
        <f t="shared" si="32"/>
        <v>0</v>
      </c>
      <c r="I469" s="371">
        <f t="shared" si="32"/>
        <v>0</v>
      </c>
      <c r="J469" s="371">
        <f t="shared" si="32"/>
        <v>0</v>
      </c>
      <c r="K469" s="371">
        <f t="shared" si="32"/>
        <v>0</v>
      </c>
      <c r="L469" s="371">
        <f t="shared" si="32"/>
        <v>0</v>
      </c>
      <c r="M469" s="371">
        <f t="shared" si="32"/>
        <v>0</v>
      </c>
      <c r="N469" s="371">
        <f t="shared" si="32"/>
        <v>0</v>
      </c>
      <c r="O469" s="371">
        <f t="shared" si="32"/>
        <v>0</v>
      </c>
      <c r="P469" s="371">
        <f t="shared" si="32"/>
        <v>0</v>
      </c>
      <c r="Q469" s="371">
        <f t="shared" si="32"/>
        <v>0</v>
      </c>
      <c r="R469" s="371">
        <f t="shared" si="32"/>
        <v>0</v>
      </c>
      <c r="S469" s="371">
        <f t="shared" si="32"/>
        <v>0</v>
      </c>
      <c r="T469" s="371">
        <f t="shared" si="32"/>
        <v>0</v>
      </c>
      <c r="U469" s="371">
        <f t="shared" si="32"/>
        <v>0</v>
      </c>
      <c r="V469" s="371">
        <f t="shared" si="32"/>
        <v>0</v>
      </c>
      <c r="W469" s="371">
        <f t="shared" si="32"/>
        <v>0</v>
      </c>
      <c r="X469" s="371">
        <f t="shared" si="32"/>
        <v>0</v>
      </c>
      <c r="Y469" s="371">
        <f t="shared" si="32"/>
        <v>0</v>
      </c>
      <c r="Z469" s="371">
        <f t="shared" si="32"/>
        <v>0</v>
      </c>
      <c r="AA469" s="371">
        <f t="shared" si="32"/>
        <v>0</v>
      </c>
      <c r="AB469" s="371">
        <f t="shared" si="32"/>
        <v>0</v>
      </c>
      <c r="AC469" s="371">
        <f t="shared" si="32"/>
        <v>0</v>
      </c>
      <c r="AD469" s="371">
        <f t="shared" si="32"/>
        <v>0</v>
      </c>
      <c r="AE469" s="371">
        <f t="shared" si="32"/>
        <v>0</v>
      </c>
      <c r="AF469" s="371">
        <f t="shared" si="32"/>
        <v>0</v>
      </c>
      <c r="AG469" s="371">
        <f t="shared" si="32"/>
        <v>0</v>
      </c>
      <c r="AH469" s="371">
        <f t="shared" si="32"/>
        <v>0</v>
      </c>
      <c r="AI469" s="371">
        <f t="shared" si="32"/>
        <v>0</v>
      </c>
      <c r="AJ469" s="371">
        <f t="shared" si="32"/>
        <v>0</v>
      </c>
      <c r="AK469" s="371">
        <f t="shared" si="32"/>
        <v>0</v>
      </c>
      <c r="AL469" s="371">
        <f t="shared" si="32"/>
        <v>0</v>
      </c>
      <c r="AM469" s="371">
        <f t="shared" si="32"/>
        <v>0</v>
      </c>
    </row>
    <row r="470" spans="1:39" ht="18" customHeight="1" x14ac:dyDescent="0.3">
      <c r="A470" s="371">
        <v>20</v>
      </c>
      <c r="B470" s="372">
        <f>PETUNJUK!B28</f>
        <v>0</v>
      </c>
      <c r="C470" s="371">
        <f t="shared" si="30"/>
        <v>0</v>
      </c>
      <c r="D470" s="371">
        <f t="shared" si="32"/>
        <v>0</v>
      </c>
      <c r="E470" s="371">
        <f t="shared" si="32"/>
        <v>0</v>
      </c>
      <c r="F470" s="371">
        <f t="shared" si="32"/>
        <v>0</v>
      </c>
      <c r="G470" s="371">
        <f t="shared" si="32"/>
        <v>0</v>
      </c>
      <c r="H470" s="371">
        <f t="shared" si="32"/>
        <v>0</v>
      </c>
      <c r="I470" s="371">
        <f t="shared" si="32"/>
        <v>0</v>
      </c>
      <c r="J470" s="371">
        <f t="shared" si="32"/>
        <v>0</v>
      </c>
      <c r="K470" s="371">
        <f t="shared" si="32"/>
        <v>0</v>
      </c>
      <c r="L470" s="371">
        <f t="shared" si="32"/>
        <v>0</v>
      </c>
      <c r="M470" s="371">
        <f t="shared" si="32"/>
        <v>0</v>
      </c>
      <c r="N470" s="371">
        <f t="shared" si="32"/>
        <v>0</v>
      </c>
      <c r="O470" s="371">
        <f t="shared" si="32"/>
        <v>0</v>
      </c>
      <c r="P470" s="371">
        <f t="shared" si="32"/>
        <v>0</v>
      </c>
      <c r="Q470" s="371">
        <f t="shared" si="32"/>
        <v>0</v>
      </c>
      <c r="R470" s="371">
        <f t="shared" si="32"/>
        <v>0</v>
      </c>
      <c r="S470" s="371">
        <f t="shared" si="32"/>
        <v>0</v>
      </c>
      <c r="T470" s="371">
        <f t="shared" si="32"/>
        <v>0</v>
      </c>
      <c r="U470" s="371">
        <f t="shared" si="32"/>
        <v>0</v>
      </c>
      <c r="V470" s="371">
        <f t="shared" si="32"/>
        <v>0</v>
      </c>
      <c r="W470" s="371">
        <f t="shared" si="32"/>
        <v>0</v>
      </c>
      <c r="X470" s="371">
        <f t="shared" si="32"/>
        <v>0</v>
      </c>
      <c r="Y470" s="371">
        <f t="shared" si="32"/>
        <v>0</v>
      </c>
      <c r="Z470" s="371">
        <f t="shared" si="32"/>
        <v>0</v>
      </c>
      <c r="AA470" s="371">
        <f t="shared" si="32"/>
        <v>0</v>
      </c>
      <c r="AB470" s="371">
        <f t="shared" si="32"/>
        <v>0</v>
      </c>
      <c r="AC470" s="371">
        <f t="shared" si="32"/>
        <v>0</v>
      </c>
      <c r="AD470" s="371">
        <f t="shared" si="32"/>
        <v>0</v>
      </c>
      <c r="AE470" s="371">
        <f t="shared" si="32"/>
        <v>0</v>
      </c>
      <c r="AF470" s="371">
        <f t="shared" si="32"/>
        <v>0</v>
      </c>
      <c r="AG470" s="371">
        <f t="shared" si="32"/>
        <v>0</v>
      </c>
      <c r="AH470" s="371">
        <f t="shared" si="32"/>
        <v>0</v>
      </c>
      <c r="AI470" s="371">
        <f t="shared" si="32"/>
        <v>0</v>
      </c>
      <c r="AJ470" s="371">
        <f t="shared" si="32"/>
        <v>0</v>
      </c>
      <c r="AK470" s="371">
        <f t="shared" si="32"/>
        <v>0</v>
      </c>
      <c r="AL470" s="371">
        <f t="shared" si="32"/>
        <v>0</v>
      </c>
      <c r="AM470" s="371">
        <f t="shared" si="32"/>
        <v>0</v>
      </c>
    </row>
    <row r="471" spans="1:39" ht="18" customHeight="1" x14ac:dyDescent="0.3">
      <c r="A471" s="371">
        <v>21</v>
      </c>
      <c r="B471" s="372">
        <f>PETUNJUK!B29</f>
        <v>0</v>
      </c>
      <c r="C471" s="371">
        <f t="shared" si="30"/>
        <v>0</v>
      </c>
      <c r="D471" s="371">
        <f t="shared" si="32"/>
        <v>0</v>
      </c>
      <c r="E471" s="371">
        <f t="shared" si="32"/>
        <v>0</v>
      </c>
      <c r="F471" s="371">
        <f t="shared" si="32"/>
        <v>0</v>
      </c>
      <c r="G471" s="371">
        <f t="shared" si="32"/>
        <v>0</v>
      </c>
      <c r="H471" s="371">
        <f t="shared" si="32"/>
        <v>0</v>
      </c>
      <c r="I471" s="371">
        <f t="shared" si="32"/>
        <v>0</v>
      </c>
      <c r="J471" s="371">
        <f t="shared" si="32"/>
        <v>0</v>
      </c>
      <c r="K471" s="371">
        <f t="shared" si="32"/>
        <v>0</v>
      </c>
      <c r="L471" s="371">
        <f t="shared" si="32"/>
        <v>0</v>
      </c>
      <c r="M471" s="371">
        <f t="shared" si="32"/>
        <v>0</v>
      </c>
      <c r="N471" s="371">
        <f t="shared" si="32"/>
        <v>0</v>
      </c>
      <c r="O471" s="371">
        <f t="shared" si="32"/>
        <v>0</v>
      </c>
      <c r="P471" s="371">
        <f t="shared" si="32"/>
        <v>0</v>
      </c>
      <c r="Q471" s="371">
        <f t="shared" si="32"/>
        <v>0</v>
      </c>
      <c r="R471" s="371">
        <f t="shared" si="32"/>
        <v>0</v>
      </c>
      <c r="S471" s="371">
        <f t="shared" si="32"/>
        <v>0</v>
      </c>
      <c r="T471" s="371">
        <f t="shared" si="32"/>
        <v>0</v>
      </c>
      <c r="U471" s="371">
        <f t="shared" si="32"/>
        <v>0</v>
      </c>
      <c r="V471" s="371">
        <f t="shared" si="32"/>
        <v>0</v>
      </c>
      <c r="W471" s="371">
        <f t="shared" si="32"/>
        <v>0</v>
      </c>
      <c r="X471" s="371">
        <f t="shared" si="32"/>
        <v>0</v>
      </c>
      <c r="Y471" s="371">
        <f t="shared" si="32"/>
        <v>0</v>
      </c>
      <c r="Z471" s="371">
        <f t="shared" si="32"/>
        <v>0</v>
      </c>
      <c r="AA471" s="371">
        <f t="shared" si="32"/>
        <v>0</v>
      </c>
      <c r="AB471" s="371">
        <f t="shared" si="32"/>
        <v>0</v>
      </c>
      <c r="AC471" s="371">
        <f t="shared" si="32"/>
        <v>0</v>
      </c>
      <c r="AD471" s="371">
        <f t="shared" si="32"/>
        <v>0</v>
      </c>
      <c r="AE471" s="371">
        <f t="shared" si="32"/>
        <v>0</v>
      </c>
      <c r="AF471" s="371">
        <f t="shared" si="32"/>
        <v>0</v>
      </c>
      <c r="AG471" s="371">
        <f t="shared" si="32"/>
        <v>0</v>
      </c>
      <c r="AH471" s="371">
        <f t="shared" si="32"/>
        <v>0</v>
      </c>
      <c r="AI471" s="371">
        <f t="shared" si="32"/>
        <v>0</v>
      </c>
      <c r="AJ471" s="371">
        <f t="shared" si="32"/>
        <v>0</v>
      </c>
      <c r="AK471" s="371">
        <f t="shared" si="32"/>
        <v>0</v>
      </c>
      <c r="AL471" s="371">
        <f t="shared" si="32"/>
        <v>0</v>
      </c>
      <c r="AM471" s="371">
        <f t="shared" si="32"/>
        <v>0</v>
      </c>
    </row>
    <row r="472" spans="1:39" ht="18" customHeight="1" thickBot="1" x14ac:dyDescent="0.35">
      <c r="A472" s="381">
        <v>22</v>
      </c>
      <c r="B472" s="388">
        <f>PETUNJUK!B30</f>
        <v>0</v>
      </c>
      <c r="C472" s="371">
        <f t="shared" si="30"/>
        <v>0</v>
      </c>
      <c r="D472" s="371">
        <f t="shared" si="32"/>
        <v>0</v>
      </c>
      <c r="E472" s="371">
        <f t="shared" si="32"/>
        <v>0</v>
      </c>
      <c r="F472" s="371">
        <f t="shared" si="32"/>
        <v>0</v>
      </c>
      <c r="G472" s="371">
        <f t="shared" si="32"/>
        <v>0</v>
      </c>
      <c r="H472" s="371">
        <f t="shared" si="32"/>
        <v>0</v>
      </c>
      <c r="I472" s="371">
        <f t="shared" si="32"/>
        <v>0</v>
      </c>
      <c r="J472" s="371">
        <f t="shared" si="32"/>
        <v>0</v>
      </c>
      <c r="K472" s="371">
        <f t="shared" si="32"/>
        <v>0</v>
      </c>
      <c r="L472" s="371">
        <f t="shared" si="32"/>
        <v>0</v>
      </c>
      <c r="M472" s="371">
        <f t="shared" si="32"/>
        <v>0</v>
      </c>
      <c r="N472" s="371">
        <f t="shared" si="32"/>
        <v>0</v>
      </c>
      <c r="O472" s="371">
        <f t="shared" si="32"/>
        <v>0</v>
      </c>
      <c r="P472" s="371">
        <f t="shared" si="32"/>
        <v>0</v>
      </c>
      <c r="Q472" s="371">
        <f t="shared" si="32"/>
        <v>0</v>
      </c>
      <c r="R472" s="371">
        <f t="shared" si="32"/>
        <v>0</v>
      </c>
      <c r="S472" s="371">
        <f t="shared" si="32"/>
        <v>0</v>
      </c>
      <c r="T472" s="371">
        <f t="shared" si="32"/>
        <v>0</v>
      </c>
      <c r="U472" s="371">
        <f t="shared" si="32"/>
        <v>0</v>
      </c>
      <c r="V472" s="371">
        <f t="shared" si="32"/>
        <v>0</v>
      </c>
      <c r="W472" s="371">
        <f t="shared" si="32"/>
        <v>0</v>
      </c>
      <c r="X472" s="371">
        <f t="shared" si="32"/>
        <v>0</v>
      </c>
      <c r="Y472" s="371">
        <f t="shared" si="32"/>
        <v>0</v>
      </c>
      <c r="Z472" s="371">
        <f t="shared" si="32"/>
        <v>0</v>
      </c>
      <c r="AA472" s="371">
        <f t="shared" si="32"/>
        <v>0</v>
      </c>
      <c r="AB472" s="371">
        <f t="shared" ref="AB472:AM472" si="33">AB28+AB63+AB97+AB132+AB166+AB200+AB235+AB269+AB305+AB341+AB376+AB411</f>
        <v>0</v>
      </c>
      <c r="AC472" s="371">
        <f t="shared" si="33"/>
        <v>0</v>
      </c>
      <c r="AD472" s="371">
        <f t="shared" si="33"/>
        <v>0</v>
      </c>
      <c r="AE472" s="371">
        <f t="shared" si="33"/>
        <v>0</v>
      </c>
      <c r="AF472" s="371">
        <f t="shared" si="33"/>
        <v>0</v>
      </c>
      <c r="AG472" s="371">
        <f t="shared" si="33"/>
        <v>0</v>
      </c>
      <c r="AH472" s="371">
        <f t="shared" si="33"/>
        <v>0</v>
      </c>
      <c r="AI472" s="371">
        <f t="shared" si="33"/>
        <v>0</v>
      </c>
      <c r="AJ472" s="371">
        <f t="shared" si="33"/>
        <v>0</v>
      </c>
      <c r="AK472" s="371">
        <f t="shared" si="33"/>
        <v>0</v>
      </c>
      <c r="AL472" s="371">
        <f t="shared" si="33"/>
        <v>0</v>
      </c>
      <c r="AM472" s="371">
        <f t="shared" si="33"/>
        <v>0</v>
      </c>
    </row>
    <row r="473" spans="1:39" ht="18" customHeight="1" thickBot="1" x14ac:dyDescent="0.35">
      <c r="A473" s="803" t="s">
        <v>62</v>
      </c>
      <c r="B473" s="805"/>
      <c r="C473" s="376">
        <f>SUM(C451:C472)</f>
        <v>1</v>
      </c>
      <c r="D473" s="376">
        <f t="shared" ref="D473:AM473" si="34">SUM(D451:D472)</f>
        <v>0</v>
      </c>
      <c r="E473" s="376">
        <f t="shared" si="34"/>
        <v>11</v>
      </c>
      <c r="F473" s="376">
        <f t="shared" si="34"/>
        <v>0</v>
      </c>
      <c r="G473" s="376">
        <f t="shared" si="34"/>
        <v>0</v>
      </c>
      <c r="H473" s="376">
        <f t="shared" si="34"/>
        <v>0</v>
      </c>
      <c r="I473" s="376">
        <f t="shared" si="34"/>
        <v>0</v>
      </c>
      <c r="J473" s="376">
        <f t="shared" si="34"/>
        <v>0</v>
      </c>
      <c r="K473" s="376">
        <f t="shared" si="34"/>
        <v>1</v>
      </c>
      <c r="L473" s="376">
        <f t="shared" si="34"/>
        <v>0</v>
      </c>
      <c r="M473" s="376">
        <f t="shared" si="34"/>
        <v>6</v>
      </c>
      <c r="N473" s="376">
        <f t="shared" si="34"/>
        <v>6</v>
      </c>
      <c r="O473" s="376">
        <f t="shared" si="34"/>
        <v>31</v>
      </c>
      <c r="P473" s="376">
        <f t="shared" si="34"/>
        <v>0</v>
      </c>
      <c r="Q473" s="376">
        <f t="shared" si="34"/>
        <v>1</v>
      </c>
      <c r="R473" s="376">
        <f t="shared" si="34"/>
        <v>0</v>
      </c>
      <c r="S473" s="376">
        <f t="shared" si="34"/>
        <v>2</v>
      </c>
      <c r="T473" s="376">
        <f t="shared" si="34"/>
        <v>1</v>
      </c>
      <c r="U473" s="376">
        <f t="shared" si="34"/>
        <v>2</v>
      </c>
      <c r="V473" s="376">
        <f t="shared" si="34"/>
        <v>3</v>
      </c>
      <c r="W473" s="376">
        <f t="shared" si="34"/>
        <v>0</v>
      </c>
      <c r="X473" s="376">
        <f t="shared" si="34"/>
        <v>0</v>
      </c>
      <c r="Y473" s="376">
        <f t="shared" si="34"/>
        <v>0</v>
      </c>
      <c r="Z473" s="376">
        <f t="shared" si="34"/>
        <v>0</v>
      </c>
      <c r="AA473" s="376">
        <f t="shared" si="34"/>
        <v>0</v>
      </c>
      <c r="AB473" s="376">
        <f t="shared" si="34"/>
        <v>0</v>
      </c>
      <c r="AC473" s="376">
        <f t="shared" si="34"/>
        <v>0</v>
      </c>
      <c r="AD473" s="376">
        <f t="shared" si="34"/>
        <v>0</v>
      </c>
      <c r="AE473" s="376">
        <f t="shared" si="34"/>
        <v>0</v>
      </c>
      <c r="AF473" s="376">
        <f t="shared" si="34"/>
        <v>2</v>
      </c>
      <c r="AG473" s="376">
        <f t="shared" si="34"/>
        <v>0</v>
      </c>
      <c r="AH473" s="376">
        <f t="shared" si="34"/>
        <v>0</v>
      </c>
      <c r="AI473" s="376">
        <f t="shared" si="34"/>
        <v>2</v>
      </c>
      <c r="AJ473" s="376">
        <f t="shared" si="34"/>
        <v>69</v>
      </c>
      <c r="AK473" s="376">
        <f t="shared" si="34"/>
        <v>8</v>
      </c>
      <c r="AL473" s="376">
        <f t="shared" si="34"/>
        <v>11</v>
      </c>
      <c r="AM473" s="377">
        <f t="shared" si="34"/>
        <v>0</v>
      </c>
    </row>
    <row r="474" spans="1:39" x14ac:dyDescent="0.3">
      <c r="A474" s="378"/>
      <c r="B474" s="378"/>
      <c r="C474" s="379"/>
      <c r="D474" s="379"/>
      <c r="E474" s="379"/>
      <c r="F474" s="379"/>
      <c r="G474" s="379"/>
      <c r="H474" s="379"/>
      <c r="I474" s="379"/>
      <c r="J474" s="379"/>
      <c r="K474" s="379"/>
      <c r="L474" s="379"/>
      <c r="M474" s="379"/>
      <c r="N474" s="379"/>
      <c r="O474" s="379"/>
      <c r="P474" s="379"/>
      <c r="Q474" s="379"/>
      <c r="R474" s="379"/>
      <c r="S474" s="379"/>
      <c r="T474" s="379"/>
      <c r="U474" s="379"/>
      <c r="V474" s="379"/>
      <c r="W474" s="379"/>
      <c r="X474" s="379"/>
      <c r="Y474" s="379"/>
      <c r="Z474" s="379"/>
      <c r="AA474" s="379"/>
      <c r="AB474" s="379"/>
      <c r="AC474" s="379"/>
      <c r="AD474" s="379"/>
      <c r="AE474" s="379"/>
      <c r="AF474" s="379"/>
      <c r="AG474" s="379"/>
      <c r="AH474" s="379"/>
      <c r="AI474" s="379"/>
      <c r="AJ474" s="379"/>
    </row>
    <row r="475" spans="1:39" x14ac:dyDescent="0.35">
      <c r="A475" s="235"/>
      <c r="B475" s="235" t="s">
        <v>63</v>
      </c>
      <c r="C475" s="378"/>
      <c r="D475" s="378"/>
      <c r="E475" s="378"/>
      <c r="F475" s="378"/>
      <c r="G475" s="378"/>
      <c r="H475" s="378"/>
      <c r="I475" s="378"/>
      <c r="J475" s="378"/>
      <c r="K475" s="378"/>
      <c r="L475" s="378"/>
      <c r="M475" s="378"/>
      <c r="N475" s="801" t="s">
        <v>181</v>
      </c>
      <c r="O475" s="801"/>
      <c r="P475" s="801"/>
      <c r="Q475" s="801"/>
      <c r="R475" s="801"/>
      <c r="S475" s="801"/>
      <c r="T475" s="801"/>
      <c r="U475" s="801"/>
      <c r="V475" s="801"/>
      <c r="W475" s="801"/>
      <c r="X475" s="801"/>
      <c r="Y475" s="801"/>
      <c r="Z475" s="801"/>
      <c r="AA475" s="801"/>
      <c r="AB475" s="801"/>
      <c r="AC475" s="801"/>
      <c r="AD475" s="801"/>
      <c r="AE475" s="801"/>
      <c r="AF475" s="801"/>
      <c r="AG475" s="801"/>
      <c r="AH475" s="801"/>
      <c r="AI475" s="801"/>
      <c r="AJ475" s="378"/>
    </row>
  </sheetData>
  <mergeCells count="126">
    <mergeCell ref="AK353:AK354"/>
    <mergeCell ref="AK282:AK283"/>
    <mergeCell ref="AL282:AL283"/>
    <mergeCell ref="AM282:AM283"/>
    <mergeCell ref="A318:A319"/>
    <mergeCell ref="B318:B319"/>
    <mergeCell ref="C318:AJ318"/>
    <mergeCell ref="AK318:AK319"/>
    <mergeCell ref="AL318:AL319"/>
    <mergeCell ref="AM318:AM319"/>
    <mergeCell ref="A342:B342"/>
    <mergeCell ref="A353:A354"/>
    <mergeCell ref="B353:B354"/>
    <mergeCell ref="N343:AI343"/>
    <mergeCell ref="A348:AJ348"/>
    <mergeCell ref="AL353:AL354"/>
    <mergeCell ref="AM353:AM354"/>
    <mergeCell ref="C353:AJ353"/>
    <mergeCell ref="AK212:AK213"/>
    <mergeCell ref="AL212:AL213"/>
    <mergeCell ref="AM212:AM213"/>
    <mergeCell ref="A236:B236"/>
    <mergeCell ref="A246:A247"/>
    <mergeCell ref="B246:B247"/>
    <mergeCell ref="C246:AJ246"/>
    <mergeCell ref="AK246:AK247"/>
    <mergeCell ref="AL246:AL247"/>
    <mergeCell ref="AM246:AM247"/>
    <mergeCell ref="A242:AJ242"/>
    <mergeCell ref="B143:B144"/>
    <mergeCell ref="C143:AJ143"/>
    <mergeCell ref="AK143:AK144"/>
    <mergeCell ref="AL143:AL144"/>
    <mergeCell ref="AM143:AM144"/>
    <mergeCell ref="AK177:AK178"/>
    <mergeCell ref="AL177:AL178"/>
    <mergeCell ref="AM177:AM178"/>
    <mergeCell ref="A201:B201"/>
    <mergeCell ref="N168:AI168"/>
    <mergeCell ref="A173:AJ173"/>
    <mergeCell ref="AK74:AK75"/>
    <mergeCell ref="AL74:AL75"/>
    <mergeCell ref="AM74:AM75"/>
    <mergeCell ref="A98:B98"/>
    <mergeCell ref="A109:A110"/>
    <mergeCell ref="B109:B110"/>
    <mergeCell ref="C109:AJ109"/>
    <mergeCell ref="AK109:AK110"/>
    <mergeCell ref="AL109:AL110"/>
    <mergeCell ref="AM109:AM110"/>
    <mergeCell ref="A105:AJ105"/>
    <mergeCell ref="AK5:AK6"/>
    <mergeCell ref="AL5:AL6"/>
    <mergeCell ref="AM5:AM6"/>
    <mergeCell ref="C40:AJ40"/>
    <mergeCell ref="A40:A41"/>
    <mergeCell ref="B40:B41"/>
    <mergeCell ref="AK40:AK41"/>
    <mergeCell ref="AL40:AL41"/>
    <mergeCell ref="AM40:AM41"/>
    <mergeCell ref="N134:AI134"/>
    <mergeCell ref="A139:AJ139"/>
    <mergeCell ref="A1:AJ1"/>
    <mergeCell ref="C5:AJ5"/>
    <mergeCell ref="N475:AI475"/>
    <mergeCell ref="A444:AJ444"/>
    <mergeCell ref="A449:A450"/>
    <mergeCell ref="B449:B450"/>
    <mergeCell ref="A473:B473"/>
    <mergeCell ref="A29:B29"/>
    <mergeCell ref="N31:AI31"/>
    <mergeCell ref="A36:AJ36"/>
    <mergeCell ref="N65:AI65"/>
    <mergeCell ref="A70:AJ70"/>
    <mergeCell ref="N99:AI99"/>
    <mergeCell ref="B5:B6"/>
    <mergeCell ref="A5:A6"/>
    <mergeCell ref="A64:B64"/>
    <mergeCell ref="A74:A75"/>
    <mergeCell ref="B74:B75"/>
    <mergeCell ref="C74:AJ74"/>
    <mergeCell ref="A133:B133"/>
    <mergeCell ref="A143:A144"/>
    <mergeCell ref="N237:AI237"/>
    <mergeCell ref="N202:AI202"/>
    <mergeCell ref="A208:AJ208"/>
    <mergeCell ref="A167:B167"/>
    <mergeCell ref="A177:A178"/>
    <mergeCell ref="B177:B178"/>
    <mergeCell ref="C177:AJ177"/>
    <mergeCell ref="A212:A213"/>
    <mergeCell ref="B212:B213"/>
    <mergeCell ref="C212:AJ212"/>
    <mergeCell ref="A270:B270"/>
    <mergeCell ref="N272:AI272"/>
    <mergeCell ref="A278:AJ278"/>
    <mergeCell ref="A306:B306"/>
    <mergeCell ref="N308:AI308"/>
    <mergeCell ref="A313:AJ313"/>
    <mergeCell ref="A282:A283"/>
    <mergeCell ref="B282:B283"/>
    <mergeCell ref="C282:AJ282"/>
    <mergeCell ref="AK423:AK424"/>
    <mergeCell ref="AL423:AL424"/>
    <mergeCell ref="AM423:AM424"/>
    <mergeCell ref="C423:AJ423"/>
    <mergeCell ref="C449:AJ449"/>
    <mergeCell ref="AK449:AK450"/>
    <mergeCell ref="AL449:AL450"/>
    <mergeCell ref="AM449:AM450"/>
    <mergeCell ref="A377:B377"/>
    <mergeCell ref="A388:A389"/>
    <mergeCell ref="B388:B389"/>
    <mergeCell ref="C388:AJ388"/>
    <mergeCell ref="N378:AI378"/>
    <mergeCell ref="A383:AJ383"/>
    <mergeCell ref="A437:B437"/>
    <mergeCell ref="N439:AI439"/>
    <mergeCell ref="N413:AI413"/>
    <mergeCell ref="A418:AJ418"/>
    <mergeCell ref="A423:A424"/>
    <mergeCell ref="B423:B424"/>
    <mergeCell ref="A412:B412"/>
    <mergeCell ref="AK388:AK389"/>
    <mergeCell ref="AL388:AL389"/>
    <mergeCell ref="AM388:AM389"/>
  </mergeCells>
  <printOptions horizontalCentered="1"/>
  <pageMargins left="0.25" right="0.25" top="0.75" bottom="0.75" header="0.3" footer="0.3"/>
  <pageSetup paperSize="14" scale="81" fitToWidth="2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B0F0"/>
  </sheetPr>
  <dimension ref="A1:L4107"/>
  <sheetViews>
    <sheetView topLeftCell="A65" zoomScale="130" zoomScaleNormal="130" zoomScaleSheetLayoutView="90" workbookViewId="0">
      <selection activeCell="G58" sqref="G58"/>
    </sheetView>
  </sheetViews>
  <sheetFormatPr defaultColWidth="9.1796875" defaultRowHeight="10" x14ac:dyDescent="0.2"/>
  <cols>
    <col min="1" max="1" width="6.54296875" style="293" customWidth="1"/>
    <col min="2" max="2" width="9.453125" style="293" customWidth="1"/>
    <col min="3" max="3" width="11.7265625" style="293" customWidth="1"/>
    <col min="4" max="4" width="16.7265625" style="293" customWidth="1"/>
    <col min="5" max="5" width="13.1796875" style="293" customWidth="1"/>
    <col min="6" max="6" width="19.1796875" style="293" customWidth="1"/>
    <col min="7" max="7" width="17.1796875" style="293" customWidth="1"/>
    <col min="8" max="8" width="10.81640625" style="293" customWidth="1"/>
    <col min="9" max="9" width="12.1796875" style="293" bestFit="1" customWidth="1"/>
    <col min="10" max="10" width="24" style="293" customWidth="1"/>
    <col min="11" max="11" width="23.7265625" style="293" customWidth="1"/>
    <col min="12" max="16384" width="9.1796875" style="333"/>
  </cols>
  <sheetData>
    <row r="1" spans="1:11" ht="10.5" x14ac:dyDescent="0.2">
      <c r="A1" s="808" t="s">
        <v>436</v>
      </c>
      <c r="B1" s="808"/>
      <c r="C1" s="808"/>
      <c r="D1" s="808"/>
      <c r="E1" s="808"/>
      <c r="F1" s="808"/>
      <c r="G1" s="808"/>
      <c r="H1" s="808"/>
      <c r="I1" s="808"/>
      <c r="J1" s="808"/>
      <c r="K1" s="808"/>
    </row>
    <row r="2" spans="1:11" x14ac:dyDescent="0.2">
      <c r="A2" s="390" t="s">
        <v>402</v>
      </c>
      <c r="B2" s="390"/>
      <c r="C2" s="390"/>
      <c r="D2" s="390">
        <f>D3</f>
        <v>0</v>
      </c>
      <c r="E2" s="391"/>
      <c r="F2" s="390"/>
      <c r="G2" s="390"/>
      <c r="H2" s="390"/>
      <c r="I2" s="390"/>
      <c r="J2" s="390"/>
      <c r="K2" s="390"/>
    </row>
    <row r="3" spans="1:11" x14ac:dyDescent="0.2">
      <c r="A3" s="390"/>
      <c r="B3" s="390"/>
      <c r="C3" s="390"/>
      <c r="D3" s="390"/>
      <c r="E3" s="390"/>
      <c r="F3" s="390"/>
      <c r="G3" s="390"/>
      <c r="H3" s="390"/>
      <c r="I3" s="390"/>
      <c r="J3" s="390"/>
      <c r="K3" s="390"/>
    </row>
    <row r="4" spans="1:11" x14ac:dyDescent="0.2">
      <c r="A4" s="809" t="s">
        <v>1</v>
      </c>
      <c r="B4" s="810" t="s">
        <v>0</v>
      </c>
      <c r="C4" s="810" t="s">
        <v>40</v>
      </c>
      <c r="D4" s="809" t="s">
        <v>182</v>
      </c>
      <c r="E4" s="809" t="s">
        <v>112</v>
      </c>
      <c r="F4" s="809"/>
      <c r="G4" s="809" t="s">
        <v>113</v>
      </c>
      <c r="H4" s="392" t="s">
        <v>187</v>
      </c>
      <c r="I4" s="809" t="s">
        <v>183</v>
      </c>
      <c r="J4" s="809" t="s">
        <v>184</v>
      </c>
      <c r="K4" s="809" t="s">
        <v>25</v>
      </c>
    </row>
    <row r="5" spans="1:11" ht="18.649999999999999" customHeight="1" x14ac:dyDescent="0.2">
      <c r="A5" s="809"/>
      <c r="B5" s="811"/>
      <c r="C5" s="811"/>
      <c r="D5" s="809"/>
      <c r="E5" s="392" t="s">
        <v>185</v>
      </c>
      <c r="F5" s="392" t="s">
        <v>186</v>
      </c>
      <c r="G5" s="809"/>
      <c r="H5" s="392" t="s">
        <v>188</v>
      </c>
      <c r="I5" s="809"/>
      <c r="J5" s="809"/>
      <c r="K5" s="809"/>
    </row>
    <row r="6" spans="1:11" s="334" customFormat="1" x14ac:dyDescent="0.2">
      <c r="A6" s="471">
        <v>1</v>
      </c>
      <c r="B6" s="285" t="s">
        <v>470</v>
      </c>
      <c r="C6" s="285" t="s">
        <v>372</v>
      </c>
      <c r="D6" s="286">
        <v>46026</v>
      </c>
      <c r="E6" s="286" t="s">
        <v>471</v>
      </c>
      <c r="F6" s="286" t="s">
        <v>477</v>
      </c>
      <c r="G6" s="286" t="s">
        <v>482</v>
      </c>
      <c r="H6" s="471">
        <v>26</v>
      </c>
      <c r="I6" s="286" t="s">
        <v>489</v>
      </c>
      <c r="J6" s="286" t="s">
        <v>491</v>
      </c>
      <c r="K6" s="285"/>
    </row>
    <row r="7" spans="1:11" s="334" customFormat="1" x14ac:dyDescent="0.2">
      <c r="A7" s="471">
        <v>2</v>
      </c>
      <c r="B7" s="285"/>
      <c r="C7" s="285"/>
      <c r="D7" s="286">
        <v>46038</v>
      </c>
      <c r="E7" s="286" t="s">
        <v>472</v>
      </c>
      <c r="F7" s="286" t="s">
        <v>478</v>
      </c>
      <c r="G7" s="286" t="s">
        <v>483</v>
      </c>
      <c r="H7" s="471">
        <v>25</v>
      </c>
      <c r="I7" s="286" t="s">
        <v>41</v>
      </c>
      <c r="J7" s="286" t="s">
        <v>491</v>
      </c>
      <c r="K7" s="285"/>
    </row>
    <row r="8" spans="1:11" s="334" customFormat="1" x14ac:dyDescent="0.2">
      <c r="A8" s="471">
        <v>3</v>
      </c>
      <c r="B8" s="285"/>
      <c r="C8" s="285"/>
      <c r="D8" s="286">
        <v>46046</v>
      </c>
      <c r="E8" s="286" t="s">
        <v>473</v>
      </c>
      <c r="F8" s="286" t="s">
        <v>479</v>
      </c>
      <c r="G8" s="286" t="s">
        <v>484</v>
      </c>
      <c r="H8" s="471">
        <v>29</v>
      </c>
      <c r="I8" s="286" t="s">
        <v>490</v>
      </c>
      <c r="J8" s="286" t="s">
        <v>492</v>
      </c>
      <c r="K8" s="285"/>
    </row>
    <row r="9" spans="1:11" s="334" customFormat="1" x14ac:dyDescent="0.2">
      <c r="A9" s="471">
        <v>4</v>
      </c>
      <c r="B9" s="285"/>
      <c r="C9" s="285"/>
      <c r="D9" s="286">
        <v>46024</v>
      </c>
      <c r="E9" s="286" t="s">
        <v>474</v>
      </c>
      <c r="F9" s="334" t="s">
        <v>486</v>
      </c>
      <c r="G9" s="286" t="s">
        <v>485</v>
      </c>
      <c r="H9" s="471">
        <v>24</v>
      </c>
      <c r="I9" s="286" t="s">
        <v>41</v>
      </c>
      <c r="J9" s="286" t="s">
        <v>491</v>
      </c>
      <c r="K9" s="285"/>
    </row>
    <row r="10" spans="1:11" s="334" customFormat="1" x14ac:dyDescent="0.2">
      <c r="A10" s="471">
        <v>5</v>
      </c>
      <c r="B10" s="285"/>
      <c r="C10" s="285"/>
      <c r="D10" s="286">
        <v>46031</v>
      </c>
      <c r="E10" s="286" t="s">
        <v>475</v>
      </c>
      <c r="F10" s="286" t="s">
        <v>480</v>
      </c>
      <c r="G10" s="286" t="s">
        <v>487</v>
      </c>
      <c r="H10" s="703">
        <v>24</v>
      </c>
      <c r="I10" s="286" t="s">
        <v>41</v>
      </c>
      <c r="J10" s="286" t="s">
        <v>493</v>
      </c>
      <c r="K10" s="285"/>
    </row>
    <row r="11" spans="1:11" s="334" customFormat="1" x14ac:dyDescent="0.2">
      <c r="A11" s="471">
        <v>6</v>
      </c>
      <c r="B11" s="285"/>
      <c r="C11" s="285"/>
      <c r="D11" s="286">
        <v>46023</v>
      </c>
      <c r="E11" s="286" t="s">
        <v>476</v>
      </c>
      <c r="F11" s="286" t="s">
        <v>481</v>
      </c>
      <c r="G11" s="286" t="s">
        <v>488</v>
      </c>
      <c r="H11" s="471">
        <v>34</v>
      </c>
      <c r="I11" s="286" t="s">
        <v>48</v>
      </c>
      <c r="J11" s="286" t="s">
        <v>494</v>
      </c>
      <c r="K11" s="285"/>
    </row>
    <row r="12" spans="1:11" s="334" customFormat="1" x14ac:dyDescent="0.2">
      <c r="A12" s="471">
        <v>7</v>
      </c>
      <c r="B12" s="285"/>
      <c r="C12" s="285"/>
      <c r="D12" s="286">
        <v>46029</v>
      </c>
      <c r="E12" s="285" t="s">
        <v>495</v>
      </c>
      <c r="F12" s="285" t="s">
        <v>499</v>
      </c>
      <c r="G12" s="285" t="s">
        <v>503</v>
      </c>
      <c r="H12" s="471">
        <v>24</v>
      </c>
      <c r="I12" s="285" t="s">
        <v>507</v>
      </c>
      <c r="J12" s="285" t="s">
        <v>491</v>
      </c>
      <c r="K12" s="285"/>
    </row>
    <row r="13" spans="1:11" s="334" customFormat="1" x14ac:dyDescent="0.2">
      <c r="A13" s="471">
        <v>8</v>
      </c>
      <c r="B13" s="285"/>
      <c r="C13" s="285"/>
      <c r="D13" s="286">
        <v>46034</v>
      </c>
      <c r="E13" s="286" t="s">
        <v>496</v>
      </c>
      <c r="F13" s="286" t="s">
        <v>500</v>
      </c>
      <c r="G13" s="285" t="s">
        <v>504</v>
      </c>
      <c r="H13" s="471">
        <v>28</v>
      </c>
      <c r="I13" s="286" t="s">
        <v>41</v>
      </c>
      <c r="J13" s="286" t="s">
        <v>492</v>
      </c>
      <c r="K13" s="285"/>
    </row>
    <row r="14" spans="1:11" s="334" customFormat="1" x14ac:dyDescent="0.2">
      <c r="A14" s="471">
        <v>9</v>
      </c>
      <c r="B14" s="285"/>
      <c r="C14" s="285"/>
      <c r="D14" s="286">
        <v>46036</v>
      </c>
      <c r="E14" s="286" t="s">
        <v>497</v>
      </c>
      <c r="F14" s="286" t="s">
        <v>501</v>
      </c>
      <c r="G14" s="285" t="s">
        <v>505</v>
      </c>
      <c r="H14" s="471">
        <v>35</v>
      </c>
      <c r="I14" s="286" t="s">
        <v>508</v>
      </c>
      <c r="J14" s="286" t="s">
        <v>491</v>
      </c>
      <c r="K14" s="285"/>
    </row>
    <row r="15" spans="1:11" s="334" customFormat="1" x14ac:dyDescent="0.2">
      <c r="A15" s="471">
        <v>10</v>
      </c>
      <c r="B15" s="285"/>
      <c r="C15" s="285"/>
      <c r="D15" s="286">
        <v>46039</v>
      </c>
      <c r="E15" s="286" t="s">
        <v>498</v>
      </c>
      <c r="F15" s="286" t="s">
        <v>502</v>
      </c>
      <c r="G15" s="286" t="s">
        <v>506</v>
      </c>
      <c r="H15" s="471">
        <v>22</v>
      </c>
      <c r="I15" s="286" t="s">
        <v>41</v>
      </c>
      <c r="J15" s="286" t="s">
        <v>509</v>
      </c>
      <c r="K15" s="285"/>
    </row>
    <row r="16" spans="1:11" s="334" customFormat="1" x14ac:dyDescent="0.2">
      <c r="A16" s="471">
        <v>11</v>
      </c>
      <c r="B16" s="285"/>
      <c r="C16" s="285"/>
      <c r="D16" s="286">
        <v>46043</v>
      </c>
      <c r="E16" s="286" t="s">
        <v>510</v>
      </c>
      <c r="F16" s="286" t="s">
        <v>511</v>
      </c>
      <c r="G16" s="286" t="s">
        <v>512</v>
      </c>
      <c r="H16" s="471">
        <v>38</v>
      </c>
      <c r="I16" s="286" t="s">
        <v>508</v>
      </c>
      <c r="J16" s="286" t="s">
        <v>491</v>
      </c>
      <c r="K16" s="285"/>
    </row>
    <row r="17" spans="1:11" s="334" customFormat="1" x14ac:dyDescent="0.2">
      <c r="A17" s="471">
        <v>12</v>
      </c>
      <c r="B17" s="285"/>
      <c r="C17" s="285"/>
      <c r="D17" s="286">
        <v>46028</v>
      </c>
      <c r="E17" s="288" t="s">
        <v>513</v>
      </c>
      <c r="F17" s="288" t="s">
        <v>514</v>
      </c>
      <c r="G17" s="286" t="s">
        <v>519</v>
      </c>
      <c r="H17" s="704">
        <v>36</v>
      </c>
      <c r="I17" s="288" t="s">
        <v>522</v>
      </c>
      <c r="J17" s="288" t="s">
        <v>492</v>
      </c>
      <c r="K17" s="290"/>
    </row>
    <row r="18" spans="1:11" s="334" customFormat="1" x14ac:dyDescent="0.2">
      <c r="A18" s="471">
        <v>13</v>
      </c>
      <c r="B18" s="285"/>
      <c r="C18" s="285"/>
      <c r="D18" s="286">
        <v>46031</v>
      </c>
      <c r="E18" s="288" t="s">
        <v>516</v>
      </c>
      <c r="F18" s="288" t="s">
        <v>515</v>
      </c>
      <c r="G18" s="286" t="s">
        <v>520</v>
      </c>
      <c r="H18" s="704">
        <v>29</v>
      </c>
      <c r="I18" s="288" t="s">
        <v>41</v>
      </c>
      <c r="J18" s="288" t="s">
        <v>492</v>
      </c>
      <c r="K18" s="290"/>
    </row>
    <row r="19" spans="1:11" s="334" customFormat="1" x14ac:dyDescent="0.2">
      <c r="A19" s="471">
        <v>14</v>
      </c>
      <c r="B19" s="285"/>
      <c r="C19" s="285"/>
      <c r="D19" s="286">
        <v>46040</v>
      </c>
      <c r="E19" s="288" t="s">
        <v>517</v>
      </c>
      <c r="F19" s="288" t="s">
        <v>518</v>
      </c>
      <c r="G19" s="286" t="s">
        <v>521</v>
      </c>
      <c r="H19" s="704">
        <v>24</v>
      </c>
      <c r="I19" s="288" t="s">
        <v>523</v>
      </c>
      <c r="J19" s="288" t="s">
        <v>492</v>
      </c>
      <c r="K19" s="290"/>
    </row>
    <row r="20" spans="1:11" s="334" customFormat="1" x14ac:dyDescent="0.2">
      <c r="A20" s="471">
        <v>15</v>
      </c>
      <c r="B20" s="285"/>
      <c r="C20" s="285"/>
      <c r="D20" s="286">
        <v>46053</v>
      </c>
      <c r="E20" s="291" t="s">
        <v>524</v>
      </c>
      <c r="F20" s="288" t="s">
        <v>525</v>
      </c>
      <c r="G20" s="288" t="s">
        <v>526</v>
      </c>
      <c r="H20" s="704">
        <v>22</v>
      </c>
      <c r="I20" s="288" t="s">
        <v>44</v>
      </c>
      <c r="J20" s="288" t="s">
        <v>491</v>
      </c>
      <c r="K20" s="290"/>
    </row>
    <row r="21" spans="1:11" s="334" customFormat="1" x14ac:dyDescent="0.2">
      <c r="A21" s="471">
        <v>16</v>
      </c>
      <c r="B21" s="285"/>
      <c r="C21" s="285"/>
      <c r="D21" s="286">
        <v>46039</v>
      </c>
      <c r="E21" s="288" t="s">
        <v>527</v>
      </c>
      <c r="F21" s="288" t="s">
        <v>528</v>
      </c>
      <c r="G21" s="288" t="s">
        <v>529</v>
      </c>
      <c r="H21" s="704">
        <v>19</v>
      </c>
      <c r="I21" s="288" t="s">
        <v>41</v>
      </c>
      <c r="J21" s="288" t="s">
        <v>491</v>
      </c>
      <c r="K21" s="290"/>
    </row>
    <row r="22" spans="1:11" s="334" customFormat="1" x14ac:dyDescent="0.2">
      <c r="A22" s="471">
        <v>1</v>
      </c>
      <c r="B22" s="285"/>
      <c r="C22" s="285"/>
      <c r="D22" s="286">
        <v>46066</v>
      </c>
      <c r="E22" s="288" t="s">
        <v>534</v>
      </c>
      <c r="F22" s="288" t="s">
        <v>537</v>
      </c>
      <c r="G22" s="288" t="s">
        <v>540</v>
      </c>
      <c r="H22" s="704">
        <v>31</v>
      </c>
      <c r="I22" s="288" t="s">
        <v>41</v>
      </c>
      <c r="J22" s="288" t="s">
        <v>492</v>
      </c>
      <c r="K22" s="290"/>
    </row>
    <row r="23" spans="1:11" s="334" customFormat="1" x14ac:dyDescent="0.2">
      <c r="A23" s="471">
        <v>2</v>
      </c>
      <c r="B23" s="285"/>
      <c r="C23" s="285"/>
      <c r="D23" s="286">
        <v>46069</v>
      </c>
      <c r="E23" s="288" t="s">
        <v>535</v>
      </c>
      <c r="F23" s="288" t="s">
        <v>538</v>
      </c>
      <c r="G23" s="288" t="s">
        <v>482</v>
      </c>
      <c r="H23" s="704">
        <v>32</v>
      </c>
      <c r="I23" s="288" t="s">
        <v>41</v>
      </c>
      <c r="J23" s="288" t="s">
        <v>492</v>
      </c>
      <c r="K23" s="290"/>
    </row>
    <row r="24" spans="1:11" s="334" customFormat="1" x14ac:dyDescent="0.2">
      <c r="A24" s="471">
        <v>3</v>
      </c>
      <c r="B24" s="285"/>
      <c r="C24" s="285"/>
      <c r="D24" s="286">
        <v>46074</v>
      </c>
      <c r="E24" s="316" t="s">
        <v>536</v>
      </c>
      <c r="F24" s="316" t="s">
        <v>539</v>
      </c>
      <c r="G24" s="288" t="s">
        <v>541</v>
      </c>
      <c r="H24" s="705">
        <v>26</v>
      </c>
      <c r="I24" s="288" t="s">
        <v>542</v>
      </c>
      <c r="J24" s="288" t="s">
        <v>543</v>
      </c>
      <c r="K24" s="290"/>
    </row>
    <row r="25" spans="1:11" s="334" customFormat="1" x14ac:dyDescent="0.2">
      <c r="A25" s="471">
        <v>4</v>
      </c>
      <c r="B25" s="285"/>
      <c r="C25" s="285"/>
      <c r="D25" s="286">
        <v>46065</v>
      </c>
      <c r="E25" s="288" t="s">
        <v>544</v>
      </c>
      <c r="F25" s="288" t="s">
        <v>549</v>
      </c>
      <c r="G25" s="288" t="s">
        <v>554</v>
      </c>
      <c r="H25" s="704">
        <v>32</v>
      </c>
      <c r="I25" s="288" t="s">
        <v>559</v>
      </c>
      <c r="J25" s="288" t="s">
        <v>491</v>
      </c>
      <c r="K25" s="290"/>
    </row>
    <row r="26" spans="1:11" s="334" customFormat="1" x14ac:dyDescent="0.2">
      <c r="A26" s="471">
        <v>5</v>
      </c>
      <c r="B26" s="285"/>
      <c r="C26" s="285"/>
      <c r="D26" s="286">
        <v>46061</v>
      </c>
      <c r="E26" s="286" t="s">
        <v>545</v>
      </c>
      <c r="F26" s="286" t="s">
        <v>550</v>
      </c>
      <c r="G26" s="288" t="s">
        <v>555</v>
      </c>
      <c r="H26" s="471">
        <v>27</v>
      </c>
      <c r="I26" s="286" t="s">
        <v>41</v>
      </c>
      <c r="J26" s="286" t="s">
        <v>494</v>
      </c>
      <c r="K26" s="285"/>
    </row>
    <row r="27" spans="1:11" s="334" customFormat="1" x14ac:dyDescent="0.2">
      <c r="A27" s="471">
        <v>6</v>
      </c>
      <c r="B27" s="285"/>
      <c r="C27" s="285"/>
      <c r="D27" s="286">
        <v>46068</v>
      </c>
      <c r="E27" s="286" t="s">
        <v>546</v>
      </c>
      <c r="F27" s="286" t="s">
        <v>551</v>
      </c>
      <c r="G27" s="288" t="s">
        <v>556</v>
      </c>
      <c r="H27" s="471">
        <v>22</v>
      </c>
      <c r="I27" s="286" t="s">
        <v>41</v>
      </c>
      <c r="J27" s="286" t="s">
        <v>492</v>
      </c>
      <c r="K27" s="285"/>
    </row>
    <row r="28" spans="1:11" s="334" customFormat="1" x14ac:dyDescent="0.2">
      <c r="A28" s="471">
        <v>7</v>
      </c>
      <c r="B28" s="285"/>
      <c r="C28" s="285"/>
      <c r="D28" s="286">
        <v>46057</v>
      </c>
      <c r="E28" s="286" t="s">
        <v>547</v>
      </c>
      <c r="F28" s="286" t="s">
        <v>552</v>
      </c>
      <c r="G28" s="288" t="s">
        <v>557</v>
      </c>
      <c r="H28" s="703">
        <v>24</v>
      </c>
      <c r="I28" s="286" t="s">
        <v>508</v>
      </c>
      <c r="J28" s="286" t="s">
        <v>491</v>
      </c>
      <c r="K28" s="285"/>
    </row>
    <row r="29" spans="1:11" s="334" customFormat="1" x14ac:dyDescent="0.2">
      <c r="A29" s="471">
        <v>8</v>
      </c>
      <c r="B29" s="285"/>
      <c r="C29" s="285"/>
      <c r="D29" s="286">
        <v>46073</v>
      </c>
      <c r="E29" s="286" t="s">
        <v>548</v>
      </c>
      <c r="F29" s="286" t="s">
        <v>553</v>
      </c>
      <c r="G29" s="286" t="s">
        <v>558</v>
      </c>
      <c r="H29" s="703">
        <v>33</v>
      </c>
      <c r="I29" s="286" t="s">
        <v>44</v>
      </c>
      <c r="J29" s="286" t="s">
        <v>543</v>
      </c>
      <c r="K29" s="285"/>
    </row>
    <row r="30" spans="1:11" s="334" customFormat="1" x14ac:dyDescent="0.2">
      <c r="A30" s="471">
        <v>9</v>
      </c>
      <c r="B30" s="285"/>
      <c r="C30" s="285"/>
      <c r="D30" s="286">
        <v>46067</v>
      </c>
      <c r="E30" s="286" t="s">
        <v>560</v>
      </c>
      <c r="F30" s="286" t="s">
        <v>561</v>
      </c>
      <c r="G30" s="286" t="s">
        <v>562</v>
      </c>
      <c r="H30" s="703">
        <v>21</v>
      </c>
      <c r="I30" s="286" t="s">
        <v>41</v>
      </c>
      <c r="J30" s="286" t="s">
        <v>509</v>
      </c>
      <c r="K30" s="285"/>
    </row>
    <row r="31" spans="1:11" s="334" customFormat="1" x14ac:dyDescent="0.2">
      <c r="A31" s="471">
        <v>10</v>
      </c>
      <c r="B31" s="285"/>
      <c r="C31" s="285"/>
      <c r="D31" s="286">
        <v>46066</v>
      </c>
      <c r="E31" s="286" t="s">
        <v>563</v>
      </c>
      <c r="F31" s="286" t="s">
        <v>539</v>
      </c>
      <c r="G31" s="286" t="s">
        <v>576</v>
      </c>
      <c r="H31" s="703">
        <v>35</v>
      </c>
      <c r="I31" s="286" t="s">
        <v>48</v>
      </c>
      <c r="J31" s="286" t="s">
        <v>492</v>
      </c>
      <c r="K31" s="285"/>
    </row>
    <row r="32" spans="1:11" s="334" customFormat="1" x14ac:dyDescent="0.2">
      <c r="A32" s="471">
        <v>11</v>
      </c>
      <c r="B32" s="285"/>
      <c r="C32" s="285"/>
      <c r="D32" s="286">
        <v>46079</v>
      </c>
      <c r="E32" s="286" t="s">
        <v>564</v>
      </c>
      <c r="F32" s="286" t="s">
        <v>570</v>
      </c>
      <c r="G32" s="286" t="s">
        <v>577</v>
      </c>
      <c r="H32" s="703">
        <v>20</v>
      </c>
      <c r="I32" s="286" t="s">
        <v>41</v>
      </c>
      <c r="J32" s="286" t="s">
        <v>492</v>
      </c>
      <c r="K32" s="285"/>
    </row>
    <row r="33" spans="1:11" s="334" customFormat="1" x14ac:dyDescent="0.2">
      <c r="A33" s="471">
        <v>12</v>
      </c>
      <c r="B33" s="285"/>
      <c r="C33" s="285"/>
      <c r="D33" s="286">
        <v>46063</v>
      </c>
      <c r="E33" s="286" t="s">
        <v>565</v>
      </c>
      <c r="F33" s="286" t="s">
        <v>571</v>
      </c>
      <c r="G33" s="286" t="s">
        <v>578</v>
      </c>
      <c r="H33" s="703">
        <v>29</v>
      </c>
      <c r="I33" s="286" t="s">
        <v>41</v>
      </c>
      <c r="J33" s="286" t="s">
        <v>491</v>
      </c>
      <c r="K33" s="285"/>
    </row>
    <row r="34" spans="1:11" s="334" customFormat="1" x14ac:dyDescent="0.2">
      <c r="A34" s="471">
        <v>13</v>
      </c>
      <c r="B34" s="285"/>
      <c r="C34" s="285"/>
      <c r="D34" s="286">
        <v>46077</v>
      </c>
      <c r="E34" s="286" t="s">
        <v>566</v>
      </c>
      <c r="F34" s="286" t="s">
        <v>572</v>
      </c>
      <c r="G34" s="286" t="s">
        <v>579</v>
      </c>
      <c r="H34" s="703">
        <v>23</v>
      </c>
      <c r="I34" s="286" t="s">
        <v>48</v>
      </c>
      <c r="J34" s="286" t="s">
        <v>583</v>
      </c>
      <c r="K34" s="285"/>
    </row>
    <row r="35" spans="1:11" s="334" customFormat="1" x14ac:dyDescent="0.2">
      <c r="A35" s="471">
        <v>14</v>
      </c>
      <c r="B35" s="285"/>
      <c r="C35" s="285"/>
      <c r="D35" s="286">
        <v>46054</v>
      </c>
      <c r="E35" s="286" t="s">
        <v>567</v>
      </c>
      <c r="F35" s="286" t="s">
        <v>573</v>
      </c>
      <c r="G35" s="286" t="s">
        <v>580</v>
      </c>
      <c r="H35" s="703">
        <v>25</v>
      </c>
      <c r="I35" s="286" t="s">
        <v>44</v>
      </c>
      <c r="J35" s="286" t="s">
        <v>492</v>
      </c>
      <c r="K35" s="285"/>
    </row>
    <row r="36" spans="1:11" s="334" customFormat="1" x14ac:dyDescent="0.2">
      <c r="A36" s="471">
        <v>15</v>
      </c>
      <c r="B36" s="285"/>
      <c r="C36" s="285"/>
      <c r="D36" s="286">
        <v>46069</v>
      </c>
      <c r="E36" s="286" t="s">
        <v>568</v>
      </c>
      <c r="F36" s="286" t="s">
        <v>574</v>
      </c>
      <c r="G36" s="286" t="s">
        <v>581</v>
      </c>
      <c r="H36" s="703">
        <v>40</v>
      </c>
      <c r="I36" s="286" t="s">
        <v>46</v>
      </c>
      <c r="J36" s="286" t="s">
        <v>491</v>
      </c>
      <c r="K36" s="285"/>
    </row>
    <row r="37" spans="1:11" s="334" customFormat="1" x14ac:dyDescent="0.2">
      <c r="A37" s="471">
        <v>16</v>
      </c>
      <c r="B37" s="285"/>
      <c r="C37" s="285"/>
      <c r="D37" s="286">
        <v>46072</v>
      </c>
      <c r="E37" s="286" t="s">
        <v>569</v>
      </c>
      <c r="F37" s="286" t="s">
        <v>575</v>
      </c>
      <c r="G37" s="286" t="s">
        <v>582</v>
      </c>
      <c r="H37" s="703">
        <v>40</v>
      </c>
      <c r="I37" s="286" t="s">
        <v>41</v>
      </c>
      <c r="J37" s="286" t="s">
        <v>491</v>
      </c>
      <c r="K37" s="285"/>
    </row>
    <row r="38" spans="1:11" s="334" customFormat="1" x14ac:dyDescent="0.2">
      <c r="A38" s="471">
        <v>17</v>
      </c>
      <c r="B38" s="285"/>
      <c r="C38" s="285"/>
      <c r="D38" s="286">
        <v>46075</v>
      </c>
      <c r="E38" s="286" t="s">
        <v>584</v>
      </c>
      <c r="F38" s="286" t="s">
        <v>585</v>
      </c>
      <c r="G38" s="286" t="s">
        <v>590</v>
      </c>
      <c r="H38" s="703">
        <v>25</v>
      </c>
      <c r="I38" s="286" t="s">
        <v>593</v>
      </c>
      <c r="J38" s="286" t="s">
        <v>491</v>
      </c>
      <c r="K38" s="285"/>
    </row>
    <row r="39" spans="1:11" s="334" customFormat="1" x14ac:dyDescent="0.2">
      <c r="A39" s="471">
        <v>18</v>
      </c>
      <c r="B39" s="285"/>
      <c r="C39" s="285"/>
      <c r="D39" s="286">
        <v>46075</v>
      </c>
      <c r="E39" s="286" t="s">
        <v>586</v>
      </c>
      <c r="F39" s="286" t="s">
        <v>587</v>
      </c>
      <c r="G39" s="286" t="s">
        <v>591</v>
      </c>
      <c r="H39" s="703">
        <v>25</v>
      </c>
      <c r="I39" s="286" t="s">
        <v>41</v>
      </c>
      <c r="J39" s="286" t="s">
        <v>509</v>
      </c>
      <c r="K39" s="285"/>
    </row>
    <row r="40" spans="1:11" s="334" customFormat="1" x14ac:dyDescent="0.2">
      <c r="A40" s="471">
        <v>19</v>
      </c>
      <c r="B40" s="285"/>
      <c r="C40" s="285"/>
      <c r="D40" s="286">
        <v>46069</v>
      </c>
      <c r="E40" s="286" t="s">
        <v>588</v>
      </c>
      <c r="F40" s="286" t="s">
        <v>589</v>
      </c>
      <c r="G40" s="286" t="s">
        <v>592</v>
      </c>
      <c r="H40" s="471">
        <v>40</v>
      </c>
      <c r="I40" s="286" t="s">
        <v>508</v>
      </c>
      <c r="J40" s="286" t="s">
        <v>492</v>
      </c>
      <c r="K40" s="285"/>
    </row>
    <row r="41" spans="1:11" s="334" customFormat="1" x14ac:dyDescent="0.2">
      <c r="A41" s="471">
        <v>1</v>
      </c>
      <c r="B41" s="285"/>
      <c r="C41" s="285"/>
      <c r="D41" s="286">
        <v>46090</v>
      </c>
      <c r="E41" s="286" t="s">
        <v>597</v>
      </c>
      <c r="F41" s="286" t="s">
        <v>608</v>
      </c>
      <c r="G41" s="286" t="s">
        <v>581</v>
      </c>
      <c r="H41" s="471">
        <v>24</v>
      </c>
      <c r="I41" s="286" t="s">
        <v>41</v>
      </c>
      <c r="J41" s="286" t="s">
        <v>491</v>
      </c>
      <c r="K41" s="285"/>
    </row>
    <row r="42" spans="1:11" s="334" customFormat="1" x14ac:dyDescent="0.2">
      <c r="A42" s="471">
        <v>2</v>
      </c>
      <c r="B42" s="285"/>
      <c r="C42" s="285"/>
      <c r="D42" s="286">
        <v>46084</v>
      </c>
      <c r="E42" s="286" t="s">
        <v>598</v>
      </c>
      <c r="F42" s="286" t="s">
        <v>609</v>
      </c>
      <c r="G42" s="286" t="s">
        <v>618</v>
      </c>
      <c r="H42" s="471">
        <v>26</v>
      </c>
      <c r="I42" s="286" t="s">
        <v>41</v>
      </c>
      <c r="J42" s="286" t="s">
        <v>492</v>
      </c>
      <c r="K42" s="285"/>
    </row>
    <row r="43" spans="1:11" s="334" customFormat="1" x14ac:dyDescent="0.2">
      <c r="A43" s="471">
        <v>3</v>
      </c>
      <c r="B43" s="285"/>
      <c r="C43" s="285"/>
      <c r="D43" s="286">
        <v>46093</v>
      </c>
      <c r="E43" s="286" t="s">
        <v>599</v>
      </c>
      <c r="F43" s="286" t="s">
        <v>610</v>
      </c>
      <c r="G43" s="286" t="s">
        <v>619</v>
      </c>
      <c r="H43" s="471">
        <v>27</v>
      </c>
      <c r="I43" s="286" t="s">
        <v>626</v>
      </c>
      <c r="J43" s="286" t="s">
        <v>492</v>
      </c>
      <c r="K43" s="285"/>
    </row>
    <row r="44" spans="1:11" s="334" customFormat="1" x14ac:dyDescent="0.2">
      <c r="A44" s="471">
        <v>4</v>
      </c>
      <c r="B44" s="285"/>
      <c r="C44" s="285"/>
      <c r="D44" s="286">
        <v>46111</v>
      </c>
      <c r="E44" s="286" t="s">
        <v>600</v>
      </c>
      <c r="F44" s="286" t="s">
        <v>611</v>
      </c>
      <c r="G44" s="286" t="s">
        <v>620</v>
      </c>
      <c r="H44" s="471">
        <v>37</v>
      </c>
      <c r="I44" s="286" t="s">
        <v>508</v>
      </c>
      <c r="J44" s="286" t="s">
        <v>491</v>
      </c>
      <c r="K44" s="285"/>
    </row>
    <row r="45" spans="1:11" s="334" customFormat="1" x14ac:dyDescent="0.2">
      <c r="A45" s="471">
        <v>5</v>
      </c>
      <c r="B45" s="285"/>
      <c r="C45" s="285"/>
      <c r="D45" s="286">
        <v>46090</v>
      </c>
      <c r="E45" s="286" t="s">
        <v>601</v>
      </c>
      <c r="F45" s="286" t="s">
        <v>612</v>
      </c>
      <c r="G45" s="286" t="s">
        <v>621</v>
      </c>
      <c r="H45" s="471">
        <v>25</v>
      </c>
      <c r="I45" s="286" t="s">
        <v>41</v>
      </c>
      <c r="J45" s="286" t="s">
        <v>583</v>
      </c>
      <c r="K45" s="285"/>
    </row>
    <row r="46" spans="1:11" s="334" customFormat="1" x14ac:dyDescent="0.2">
      <c r="A46" s="471">
        <v>6</v>
      </c>
      <c r="B46" s="285"/>
      <c r="C46" s="285"/>
      <c r="D46" s="286">
        <v>46093</v>
      </c>
      <c r="E46" s="286" t="s">
        <v>602</v>
      </c>
      <c r="F46" s="286" t="s">
        <v>613</v>
      </c>
      <c r="G46" s="292" t="s">
        <v>622</v>
      </c>
      <c r="H46" s="471">
        <v>25</v>
      </c>
      <c r="I46" s="286" t="s">
        <v>41</v>
      </c>
      <c r="J46" s="286" t="s">
        <v>491</v>
      </c>
      <c r="K46" s="285"/>
    </row>
    <row r="47" spans="1:11" s="334" customFormat="1" x14ac:dyDescent="0.2">
      <c r="A47" s="471">
        <v>7</v>
      </c>
      <c r="B47" s="285"/>
      <c r="C47" s="285"/>
      <c r="D47" s="286">
        <v>46103</v>
      </c>
      <c r="E47" s="286" t="s">
        <v>603</v>
      </c>
      <c r="F47" s="286" t="s">
        <v>614</v>
      </c>
      <c r="G47" s="292" t="s">
        <v>621</v>
      </c>
      <c r="H47" s="471">
        <v>22</v>
      </c>
      <c r="I47" s="286" t="s">
        <v>41</v>
      </c>
      <c r="J47" s="286" t="s">
        <v>583</v>
      </c>
      <c r="K47" s="285"/>
    </row>
    <row r="48" spans="1:11" s="334" customFormat="1" x14ac:dyDescent="0.2">
      <c r="A48" s="471">
        <v>8</v>
      </c>
      <c r="B48" s="285"/>
      <c r="C48" s="285"/>
      <c r="D48" s="286">
        <v>46094</v>
      </c>
      <c r="E48" s="286" t="s">
        <v>604</v>
      </c>
      <c r="F48" s="286" t="s">
        <v>615</v>
      </c>
      <c r="G48" s="292" t="s">
        <v>621</v>
      </c>
      <c r="H48" s="471">
        <v>18</v>
      </c>
      <c r="I48" s="286" t="s">
        <v>626</v>
      </c>
      <c r="J48" s="286" t="s">
        <v>492</v>
      </c>
      <c r="K48" s="285"/>
    </row>
    <row r="49" spans="1:11" s="334" customFormat="1" x14ac:dyDescent="0.2">
      <c r="A49" s="471">
        <v>9</v>
      </c>
      <c r="B49" s="285"/>
      <c r="C49" s="285"/>
      <c r="D49" s="286">
        <v>46112</v>
      </c>
      <c r="E49" s="286" t="s">
        <v>605</v>
      </c>
      <c r="F49" s="286"/>
      <c r="G49" s="286" t="s">
        <v>623</v>
      </c>
      <c r="H49" s="471">
        <v>27</v>
      </c>
      <c r="I49" s="286" t="s">
        <v>119</v>
      </c>
      <c r="J49" s="286" t="s">
        <v>491</v>
      </c>
      <c r="K49" s="285"/>
    </row>
    <row r="50" spans="1:11" s="334" customFormat="1" x14ac:dyDescent="0.2">
      <c r="A50" s="471">
        <v>10</v>
      </c>
      <c r="B50" s="285"/>
      <c r="C50" s="285"/>
      <c r="D50" s="286">
        <v>46094</v>
      </c>
      <c r="E50" s="286" t="s">
        <v>606</v>
      </c>
      <c r="F50" s="286" t="s">
        <v>616</v>
      </c>
      <c r="G50" s="286" t="s">
        <v>624</v>
      </c>
      <c r="H50" s="471">
        <v>32</v>
      </c>
      <c r="I50" s="286" t="s">
        <v>627</v>
      </c>
      <c r="J50" s="286" t="s">
        <v>492</v>
      </c>
      <c r="K50" s="285"/>
    </row>
    <row r="51" spans="1:11" s="334" customFormat="1" x14ac:dyDescent="0.2">
      <c r="A51" s="471">
        <v>11</v>
      </c>
      <c r="B51" s="285"/>
      <c r="C51" s="285"/>
      <c r="D51" s="286">
        <v>46087</v>
      </c>
      <c r="E51" s="286" t="s">
        <v>607</v>
      </c>
      <c r="F51" s="286" t="s">
        <v>617</v>
      </c>
      <c r="G51" s="286" t="s">
        <v>625</v>
      </c>
      <c r="H51" s="471">
        <v>31</v>
      </c>
      <c r="I51" s="286" t="s">
        <v>489</v>
      </c>
      <c r="J51" s="286" t="s">
        <v>628</v>
      </c>
      <c r="K51" s="285"/>
    </row>
    <row r="52" spans="1:11" s="723" customFormat="1" x14ac:dyDescent="0.2">
      <c r="A52" s="719">
        <v>1</v>
      </c>
      <c r="B52" s="720"/>
      <c r="C52" s="721"/>
      <c r="D52" s="720">
        <v>46118</v>
      </c>
      <c r="E52" s="720" t="s">
        <v>631</v>
      </c>
      <c r="F52" s="720" t="s">
        <v>632</v>
      </c>
      <c r="G52" s="720" t="s">
        <v>633</v>
      </c>
      <c r="H52" s="722">
        <v>21</v>
      </c>
      <c r="I52" s="720" t="s">
        <v>41</v>
      </c>
      <c r="J52" s="720" t="s">
        <v>509</v>
      </c>
      <c r="K52" s="721"/>
    </row>
    <row r="53" spans="1:11" s="723" customFormat="1" x14ac:dyDescent="0.2">
      <c r="A53" s="719">
        <v>2</v>
      </c>
      <c r="B53" s="721"/>
      <c r="C53" s="721"/>
      <c r="D53" s="720">
        <v>46121</v>
      </c>
      <c r="E53" s="720" t="s">
        <v>634</v>
      </c>
      <c r="F53" s="720" t="s">
        <v>635</v>
      </c>
      <c r="G53" s="720" t="s">
        <v>636</v>
      </c>
      <c r="H53" s="719">
        <v>28</v>
      </c>
      <c r="I53" s="724" t="s">
        <v>41</v>
      </c>
      <c r="J53" s="720" t="s">
        <v>509</v>
      </c>
      <c r="K53" s="721"/>
    </row>
    <row r="54" spans="1:11" s="723" customFormat="1" x14ac:dyDescent="0.2">
      <c r="A54" s="719">
        <v>3</v>
      </c>
      <c r="B54" s="721"/>
      <c r="C54" s="721"/>
      <c r="D54" s="720">
        <v>46131</v>
      </c>
      <c r="E54" s="720" t="s">
        <v>637</v>
      </c>
      <c r="F54" s="720" t="s">
        <v>638</v>
      </c>
      <c r="G54" s="720" t="s">
        <v>639</v>
      </c>
      <c r="H54" s="719">
        <v>34</v>
      </c>
      <c r="I54" s="720" t="s">
        <v>490</v>
      </c>
      <c r="J54" s="720"/>
      <c r="K54" s="721"/>
    </row>
    <row r="55" spans="1:11" s="723" customFormat="1" x14ac:dyDescent="0.2">
      <c r="A55" s="719">
        <v>4</v>
      </c>
      <c r="B55" s="721"/>
      <c r="C55" s="721"/>
      <c r="D55" s="720">
        <v>46126</v>
      </c>
      <c r="E55" s="720" t="s">
        <v>640</v>
      </c>
      <c r="F55" s="720" t="s">
        <v>641</v>
      </c>
      <c r="G55" s="720" t="s">
        <v>482</v>
      </c>
      <c r="H55" s="719">
        <v>31</v>
      </c>
      <c r="I55" s="720" t="s">
        <v>642</v>
      </c>
      <c r="J55" s="720" t="s">
        <v>643</v>
      </c>
      <c r="K55" s="721"/>
    </row>
    <row r="56" spans="1:11" s="723" customFormat="1" x14ac:dyDescent="0.2">
      <c r="A56" s="719">
        <v>5</v>
      </c>
      <c r="B56" s="721"/>
      <c r="C56" s="721"/>
      <c r="D56" s="720">
        <v>46121</v>
      </c>
      <c r="E56" s="720" t="s">
        <v>644</v>
      </c>
      <c r="F56" s="720" t="s">
        <v>645</v>
      </c>
      <c r="G56" s="720" t="s">
        <v>646</v>
      </c>
      <c r="H56" s="719">
        <v>26</v>
      </c>
      <c r="I56" s="720" t="s">
        <v>41</v>
      </c>
      <c r="J56" s="720" t="s">
        <v>647</v>
      </c>
      <c r="K56" s="721"/>
    </row>
    <row r="57" spans="1:11" s="723" customFormat="1" x14ac:dyDescent="0.2">
      <c r="A57" s="719">
        <v>6</v>
      </c>
      <c r="B57" s="721"/>
      <c r="C57" s="721"/>
      <c r="D57" s="720">
        <v>46114</v>
      </c>
      <c r="E57" s="720" t="s">
        <v>648</v>
      </c>
      <c r="F57" s="720" t="s">
        <v>649</v>
      </c>
      <c r="G57" s="720" t="s">
        <v>650</v>
      </c>
      <c r="H57" s="719">
        <v>20</v>
      </c>
      <c r="I57" s="720" t="s">
        <v>712</v>
      </c>
      <c r="J57" s="720" t="s">
        <v>491</v>
      </c>
      <c r="K57" s="721"/>
    </row>
    <row r="58" spans="1:11" s="723" customFormat="1" x14ac:dyDescent="0.2">
      <c r="A58" s="719">
        <v>7</v>
      </c>
      <c r="B58" s="721"/>
      <c r="C58" s="721"/>
      <c r="D58" s="720">
        <v>46129</v>
      </c>
      <c r="E58" s="720" t="s">
        <v>651</v>
      </c>
      <c r="F58" s="720" t="s">
        <v>652</v>
      </c>
      <c r="G58" s="720" t="s">
        <v>653</v>
      </c>
      <c r="H58" s="719">
        <v>44</v>
      </c>
      <c r="I58" s="720" t="s">
        <v>654</v>
      </c>
      <c r="J58" s="720" t="s">
        <v>491</v>
      </c>
      <c r="K58" s="721"/>
    </row>
    <row r="59" spans="1:11" s="723" customFormat="1" x14ac:dyDescent="0.2">
      <c r="A59" s="719">
        <v>8</v>
      </c>
      <c r="B59" s="721"/>
      <c r="C59" s="721"/>
      <c r="D59" s="720">
        <v>46137</v>
      </c>
      <c r="E59" s="720" t="s">
        <v>655</v>
      </c>
      <c r="F59" s="720" t="s">
        <v>656</v>
      </c>
      <c r="G59" s="720" t="s">
        <v>657</v>
      </c>
      <c r="H59" s="719">
        <v>22</v>
      </c>
      <c r="I59" s="720" t="s">
        <v>41</v>
      </c>
      <c r="J59" s="720" t="s">
        <v>492</v>
      </c>
      <c r="K59" s="721"/>
    </row>
    <row r="60" spans="1:11" s="723" customFormat="1" x14ac:dyDescent="0.2">
      <c r="A60" s="719">
        <v>9</v>
      </c>
      <c r="B60" s="725"/>
      <c r="C60" s="725"/>
      <c r="D60" s="726">
        <v>46130</v>
      </c>
      <c r="E60" s="726" t="s">
        <v>706</v>
      </c>
      <c r="F60" s="726" t="s">
        <v>707</v>
      </c>
      <c r="G60" s="726" t="s">
        <v>708</v>
      </c>
      <c r="H60" s="727">
        <v>40</v>
      </c>
      <c r="I60" s="726" t="s">
        <v>709</v>
      </c>
      <c r="J60" s="726" t="s">
        <v>710</v>
      </c>
      <c r="K60" s="725"/>
    </row>
    <row r="61" spans="1:11" s="723" customFormat="1" x14ac:dyDescent="0.2">
      <c r="A61" s="719">
        <v>10</v>
      </c>
      <c r="B61" s="721"/>
      <c r="C61" s="721"/>
      <c r="D61" s="720">
        <v>46140</v>
      </c>
      <c r="E61" s="720" t="s">
        <v>658</v>
      </c>
      <c r="F61" s="720" t="s">
        <v>659</v>
      </c>
      <c r="G61" s="720" t="s">
        <v>660</v>
      </c>
      <c r="H61" s="719">
        <v>40</v>
      </c>
      <c r="I61" s="720" t="s">
        <v>661</v>
      </c>
      <c r="J61" s="720" t="s">
        <v>491</v>
      </c>
      <c r="K61" s="721"/>
    </row>
    <row r="62" spans="1:11" s="723" customFormat="1" x14ac:dyDescent="0.2">
      <c r="A62" s="719">
        <v>11</v>
      </c>
      <c r="B62" s="721"/>
      <c r="C62" s="721"/>
      <c r="D62" s="720">
        <v>46115</v>
      </c>
      <c r="E62" s="720" t="s">
        <v>662</v>
      </c>
      <c r="F62" s="720" t="s">
        <v>663</v>
      </c>
      <c r="G62" s="720" t="s">
        <v>664</v>
      </c>
      <c r="H62" s="719">
        <v>27</v>
      </c>
      <c r="I62" s="720" t="s">
        <v>489</v>
      </c>
      <c r="J62" s="720" t="s">
        <v>665</v>
      </c>
      <c r="K62" s="721"/>
    </row>
    <row r="63" spans="1:11" s="723" customFormat="1" x14ac:dyDescent="0.2">
      <c r="A63" s="719">
        <v>12</v>
      </c>
      <c r="B63" s="721"/>
      <c r="C63" s="721"/>
      <c r="D63" s="720">
        <v>46129</v>
      </c>
      <c r="E63" s="720" t="s">
        <v>666</v>
      </c>
      <c r="F63" s="720" t="s">
        <v>667</v>
      </c>
      <c r="G63" s="720" t="s">
        <v>668</v>
      </c>
      <c r="H63" s="719">
        <v>42</v>
      </c>
      <c r="I63" s="720" t="s">
        <v>669</v>
      </c>
      <c r="J63" s="720" t="s">
        <v>492</v>
      </c>
      <c r="K63" s="721"/>
    </row>
    <row r="64" spans="1:11" s="723" customFormat="1" x14ac:dyDescent="0.2">
      <c r="A64" s="719">
        <v>13</v>
      </c>
      <c r="B64" s="721"/>
      <c r="C64" s="721"/>
      <c r="D64" s="720">
        <v>46134</v>
      </c>
      <c r="E64" s="720" t="s">
        <v>670</v>
      </c>
      <c r="F64" s="720" t="s">
        <v>671</v>
      </c>
      <c r="G64" s="720" t="s">
        <v>554</v>
      </c>
      <c r="H64" s="719">
        <v>26</v>
      </c>
      <c r="I64" s="720" t="s">
        <v>41</v>
      </c>
      <c r="J64" s="720" t="s">
        <v>672</v>
      </c>
      <c r="K64" s="721"/>
    </row>
    <row r="65" spans="1:11" s="723" customFormat="1" x14ac:dyDescent="0.2">
      <c r="A65" s="719">
        <v>14</v>
      </c>
      <c r="B65" s="721"/>
      <c r="C65" s="721"/>
      <c r="D65" s="720">
        <v>46132</v>
      </c>
      <c r="E65" s="720" t="s">
        <v>673</v>
      </c>
      <c r="F65" s="720" t="s">
        <v>674</v>
      </c>
      <c r="G65" s="720" t="s">
        <v>675</v>
      </c>
      <c r="H65" s="719">
        <v>26</v>
      </c>
      <c r="I65" s="720" t="s">
        <v>44</v>
      </c>
      <c r="J65" s="720" t="s">
        <v>492</v>
      </c>
      <c r="K65" s="721"/>
    </row>
    <row r="66" spans="1:11" s="723" customFormat="1" x14ac:dyDescent="0.2">
      <c r="A66" s="719">
        <v>15</v>
      </c>
      <c r="B66" s="721"/>
      <c r="C66" s="721"/>
      <c r="D66" s="720">
        <v>46132</v>
      </c>
      <c r="E66" s="720" t="s">
        <v>676</v>
      </c>
      <c r="F66" s="720" t="s">
        <v>677</v>
      </c>
      <c r="G66" s="720" t="s">
        <v>678</v>
      </c>
      <c r="H66" s="719">
        <v>24</v>
      </c>
      <c r="I66" s="720" t="s">
        <v>679</v>
      </c>
      <c r="J66" s="720" t="s">
        <v>491</v>
      </c>
      <c r="K66" s="721"/>
    </row>
    <row r="67" spans="1:11" s="723" customFormat="1" x14ac:dyDescent="0.2">
      <c r="A67" s="719">
        <v>16</v>
      </c>
      <c r="B67" s="721"/>
      <c r="C67" s="721"/>
      <c r="D67" s="720">
        <v>46133</v>
      </c>
      <c r="E67" s="720" t="s">
        <v>680</v>
      </c>
      <c r="F67" s="720" t="s">
        <v>681</v>
      </c>
      <c r="G67" s="720" t="s">
        <v>713</v>
      </c>
      <c r="H67" s="719">
        <v>31</v>
      </c>
      <c r="I67" s="720" t="s">
        <v>682</v>
      </c>
      <c r="J67" s="720" t="s">
        <v>491</v>
      </c>
      <c r="K67" s="721"/>
    </row>
    <row r="68" spans="1:11" s="723" customFormat="1" x14ac:dyDescent="0.2">
      <c r="A68" s="719">
        <v>17</v>
      </c>
      <c r="B68" s="721"/>
      <c r="C68" s="721"/>
      <c r="D68" s="720">
        <v>46128</v>
      </c>
      <c r="E68" s="720" t="s">
        <v>683</v>
      </c>
      <c r="F68" s="720" t="s">
        <v>684</v>
      </c>
      <c r="G68" s="720" t="s">
        <v>714</v>
      </c>
      <c r="H68" s="719">
        <v>26</v>
      </c>
      <c r="I68" s="720" t="s">
        <v>41</v>
      </c>
      <c r="J68" s="720" t="s">
        <v>491</v>
      </c>
      <c r="K68" s="721"/>
    </row>
    <row r="69" spans="1:11" s="723" customFormat="1" x14ac:dyDescent="0.2">
      <c r="A69" s="719">
        <v>18</v>
      </c>
      <c r="B69" s="721"/>
      <c r="C69" s="721"/>
      <c r="D69" s="720">
        <v>46129</v>
      </c>
      <c r="E69" s="720" t="s">
        <v>685</v>
      </c>
      <c r="F69" s="720" t="s">
        <v>687</v>
      </c>
      <c r="G69" s="720" t="s">
        <v>686</v>
      </c>
      <c r="H69" s="719">
        <v>25</v>
      </c>
      <c r="I69" s="720" t="s">
        <v>489</v>
      </c>
      <c r="J69" s="720" t="s">
        <v>491</v>
      </c>
      <c r="K69" s="721"/>
    </row>
    <row r="70" spans="1:11" s="723" customFormat="1" x14ac:dyDescent="0.2">
      <c r="A70" s="719">
        <v>19</v>
      </c>
      <c r="B70" s="721"/>
      <c r="C70" s="721"/>
      <c r="D70" s="720">
        <v>46119</v>
      </c>
      <c r="E70" s="720" t="s">
        <v>688</v>
      </c>
      <c r="F70" s="720" t="s">
        <v>689</v>
      </c>
      <c r="G70" s="720" t="s">
        <v>690</v>
      </c>
      <c r="H70" s="719">
        <v>28</v>
      </c>
      <c r="I70" s="720" t="s">
        <v>41</v>
      </c>
      <c r="J70" s="720" t="s">
        <v>509</v>
      </c>
      <c r="K70" s="721"/>
    </row>
    <row r="71" spans="1:11" s="723" customFormat="1" x14ac:dyDescent="0.2">
      <c r="A71" s="719">
        <v>20</v>
      </c>
      <c r="B71" s="721"/>
      <c r="C71" s="721"/>
      <c r="D71" s="720">
        <v>46134</v>
      </c>
      <c r="E71" s="720" t="s">
        <v>691</v>
      </c>
      <c r="F71" s="720" t="s">
        <v>692</v>
      </c>
      <c r="G71" s="720" t="s">
        <v>693</v>
      </c>
      <c r="H71" s="719">
        <v>32</v>
      </c>
      <c r="I71" s="720" t="s">
        <v>41</v>
      </c>
      <c r="J71" s="720" t="s">
        <v>509</v>
      </c>
      <c r="K71" s="721"/>
    </row>
    <row r="72" spans="1:11" s="723" customFormat="1" x14ac:dyDescent="0.2">
      <c r="A72" s="719">
        <v>21</v>
      </c>
      <c r="B72" s="721"/>
      <c r="C72" s="721"/>
      <c r="D72" s="720">
        <v>46140</v>
      </c>
      <c r="E72" s="720" t="s">
        <v>694</v>
      </c>
      <c r="F72" s="720" t="s">
        <v>695</v>
      </c>
      <c r="G72" s="720" t="s">
        <v>696</v>
      </c>
      <c r="H72" s="719">
        <v>33</v>
      </c>
      <c r="I72" s="720" t="s">
        <v>489</v>
      </c>
      <c r="J72" s="720" t="s">
        <v>697</v>
      </c>
      <c r="K72" s="721"/>
    </row>
    <row r="73" spans="1:11" s="723" customFormat="1" x14ac:dyDescent="0.2">
      <c r="A73" s="719">
        <v>22</v>
      </c>
      <c r="B73" s="721"/>
      <c r="C73" s="721"/>
      <c r="D73" s="720">
        <v>46126</v>
      </c>
      <c r="E73" s="720" t="s">
        <v>699</v>
      </c>
      <c r="F73" s="720" t="s">
        <v>700</v>
      </c>
      <c r="G73" s="720" t="s">
        <v>701</v>
      </c>
      <c r="H73" s="719">
        <v>28</v>
      </c>
      <c r="I73" s="720" t="s">
        <v>41</v>
      </c>
      <c r="J73" s="720" t="s">
        <v>492</v>
      </c>
      <c r="K73" s="721"/>
    </row>
    <row r="74" spans="1:11" s="723" customFormat="1" x14ac:dyDescent="0.2">
      <c r="A74" s="719">
        <v>23</v>
      </c>
      <c r="B74" s="721"/>
      <c r="C74" s="721"/>
      <c r="D74" s="720">
        <v>46142</v>
      </c>
      <c r="E74" s="720" t="s">
        <v>698</v>
      </c>
      <c r="F74" s="720" t="s">
        <v>702</v>
      </c>
      <c r="G74" s="720" t="s">
        <v>703</v>
      </c>
      <c r="H74" s="719">
        <v>26</v>
      </c>
      <c r="I74" s="720" t="s">
        <v>489</v>
      </c>
      <c r="J74" s="720" t="s">
        <v>491</v>
      </c>
      <c r="K74" s="721"/>
    </row>
    <row r="75" spans="1:11" s="334" customFormat="1" x14ac:dyDescent="0.2">
      <c r="A75" s="471"/>
      <c r="B75" s="285"/>
      <c r="C75" s="285"/>
      <c r="D75" s="286"/>
      <c r="E75" s="286"/>
      <c r="F75" s="286"/>
      <c r="G75" s="286"/>
      <c r="H75" s="471"/>
      <c r="I75" s="286"/>
      <c r="J75" s="286"/>
      <c r="K75" s="285"/>
    </row>
    <row r="76" spans="1:11" s="334" customFormat="1" x14ac:dyDescent="0.2">
      <c r="A76" s="471"/>
      <c r="B76" s="285"/>
      <c r="C76" s="285"/>
      <c r="D76" s="286"/>
      <c r="E76" s="286"/>
      <c r="F76" s="286"/>
      <c r="G76" s="286"/>
      <c r="H76" s="471"/>
      <c r="I76" s="286"/>
      <c r="J76" s="286"/>
      <c r="K76" s="285"/>
    </row>
    <row r="77" spans="1:11" s="334" customFormat="1" x14ac:dyDescent="0.2">
      <c r="A77" s="471"/>
      <c r="B77" s="285"/>
      <c r="C77" s="285"/>
      <c r="D77" s="286"/>
      <c r="E77" s="286"/>
      <c r="F77" s="286"/>
      <c r="G77" s="286"/>
      <c r="H77" s="471"/>
      <c r="I77" s="286"/>
      <c r="J77" s="286"/>
      <c r="K77" s="285"/>
    </row>
    <row r="78" spans="1:11" s="334" customFormat="1" x14ac:dyDescent="0.2">
      <c r="A78" s="285"/>
      <c r="B78" s="285"/>
      <c r="C78" s="285"/>
      <c r="D78" s="286"/>
      <c r="E78" s="286"/>
      <c r="F78" s="286"/>
      <c r="G78" s="286"/>
      <c r="H78" s="471"/>
      <c r="I78" s="286"/>
      <c r="J78" s="286"/>
      <c r="K78" s="285"/>
    </row>
    <row r="79" spans="1:11" s="334" customFormat="1" x14ac:dyDescent="0.2">
      <c r="A79" s="285"/>
      <c r="B79" s="285"/>
      <c r="C79" s="285"/>
      <c r="D79" s="286"/>
      <c r="E79" s="286"/>
      <c r="F79" s="286"/>
      <c r="G79" s="286"/>
      <c r="H79" s="471"/>
      <c r="I79" s="286"/>
      <c r="J79" s="286"/>
      <c r="K79" s="285"/>
    </row>
    <row r="80" spans="1:11" s="334" customFormat="1" x14ac:dyDescent="0.2">
      <c r="A80" s="285"/>
      <c r="B80" s="285"/>
      <c r="C80" s="285"/>
      <c r="D80" s="286"/>
      <c r="E80" s="286"/>
      <c r="F80" s="286"/>
      <c r="G80" s="286"/>
      <c r="H80" s="471"/>
      <c r="I80" s="286"/>
      <c r="J80" s="286"/>
      <c r="K80" s="285"/>
    </row>
    <row r="81" spans="1:11" s="334" customFormat="1" x14ac:dyDescent="0.2">
      <c r="A81" s="285"/>
      <c r="B81" s="285"/>
      <c r="C81" s="285"/>
      <c r="D81" s="286"/>
      <c r="E81" s="286"/>
      <c r="F81" s="286"/>
      <c r="G81" s="286"/>
      <c r="H81" s="471"/>
      <c r="I81" s="286"/>
      <c r="J81" s="286"/>
      <c r="K81" s="285"/>
    </row>
    <row r="82" spans="1:11" s="334" customFormat="1" x14ac:dyDescent="0.2">
      <c r="A82" s="285"/>
      <c r="B82" s="285"/>
      <c r="C82" s="285"/>
      <c r="D82" s="286"/>
      <c r="E82" s="286"/>
      <c r="F82" s="286"/>
      <c r="G82" s="286"/>
      <c r="H82" s="471"/>
      <c r="I82" s="286"/>
      <c r="J82" s="286"/>
      <c r="K82" s="285"/>
    </row>
    <row r="83" spans="1:11" s="334" customFormat="1" x14ac:dyDescent="0.2">
      <c r="A83" s="285"/>
      <c r="B83" s="285"/>
      <c r="C83" s="285"/>
      <c r="D83" s="286"/>
      <c r="E83" s="286"/>
      <c r="F83" s="286"/>
      <c r="G83" s="286"/>
      <c r="H83" s="471"/>
      <c r="I83" s="286"/>
      <c r="J83" s="286"/>
      <c r="K83" s="285"/>
    </row>
    <row r="84" spans="1:11" s="334" customFormat="1" x14ac:dyDescent="0.2">
      <c r="A84" s="285"/>
      <c r="B84" s="285"/>
      <c r="C84" s="285"/>
      <c r="D84" s="286"/>
      <c r="E84" s="286"/>
      <c r="F84" s="286"/>
      <c r="G84" s="286"/>
      <c r="H84" s="471"/>
      <c r="I84" s="286"/>
      <c r="J84" s="286"/>
      <c r="K84" s="285"/>
    </row>
    <row r="85" spans="1:11" s="334" customFormat="1" x14ac:dyDescent="0.2">
      <c r="A85" s="285"/>
      <c r="B85" s="285"/>
      <c r="C85" s="285"/>
      <c r="D85" s="286"/>
      <c r="E85" s="286"/>
      <c r="F85" s="286"/>
      <c r="G85" s="286"/>
      <c r="H85" s="471"/>
      <c r="I85" s="286"/>
      <c r="J85" s="286"/>
      <c r="K85" s="285"/>
    </row>
    <row r="86" spans="1:11" s="334" customFormat="1" x14ac:dyDescent="0.2">
      <c r="A86" s="285"/>
      <c r="B86" s="285"/>
      <c r="C86" s="285"/>
      <c r="D86" s="286"/>
      <c r="E86" s="286"/>
      <c r="F86" s="286"/>
      <c r="G86" s="286"/>
      <c r="H86" s="471"/>
      <c r="I86" s="286"/>
      <c r="J86" s="286"/>
      <c r="K86" s="285"/>
    </row>
    <row r="87" spans="1:11" s="334" customFormat="1" x14ac:dyDescent="0.2">
      <c r="A87" s="285"/>
      <c r="B87" s="285"/>
      <c r="C87" s="285"/>
      <c r="D87" s="286"/>
      <c r="E87" s="286"/>
      <c r="F87" s="286"/>
      <c r="G87" s="286"/>
      <c r="H87" s="471"/>
      <c r="I87" s="286"/>
      <c r="J87" s="286"/>
      <c r="K87" s="285"/>
    </row>
    <row r="88" spans="1:11" s="334" customFormat="1" x14ac:dyDescent="0.2">
      <c r="A88" s="285"/>
      <c r="B88" s="285"/>
      <c r="C88" s="285"/>
      <c r="D88" s="286"/>
      <c r="E88" s="286"/>
      <c r="F88" s="286"/>
      <c r="G88" s="286"/>
      <c r="H88" s="471"/>
      <c r="I88" s="286"/>
      <c r="J88" s="286"/>
      <c r="K88" s="285"/>
    </row>
    <row r="89" spans="1:11" s="334" customFormat="1" x14ac:dyDescent="0.2">
      <c r="A89" s="285"/>
      <c r="B89" s="285"/>
      <c r="C89" s="285"/>
      <c r="D89" s="286"/>
      <c r="E89" s="286"/>
      <c r="F89" s="286"/>
      <c r="G89" s="286"/>
      <c r="H89" s="471"/>
      <c r="I89" s="286"/>
      <c r="J89" s="286"/>
      <c r="K89" s="285"/>
    </row>
    <row r="90" spans="1:11" s="334" customFormat="1" x14ac:dyDescent="0.2">
      <c r="A90" s="285"/>
      <c r="B90" s="285"/>
      <c r="C90" s="285"/>
      <c r="D90" s="286"/>
      <c r="E90" s="286"/>
      <c r="F90" s="286"/>
      <c r="G90" s="286"/>
      <c r="H90" s="471"/>
      <c r="I90" s="286"/>
      <c r="J90" s="286"/>
      <c r="K90" s="285"/>
    </row>
    <row r="91" spans="1:11" s="334" customFormat="1" x14ac:dyDescent="0.2">
      <c r="A91" s="285"/>
      <c r="B91" s="285"/>
      <c r="C91" s="285"/>
      <c r="D91" s="286"/>
      <c r="E91" s="286"/>
      <c r="F91" s="286"/>
      <c r="G91" s="286"/>
      <c r="H91" s="471"/>
      <c r="I91" s="286"/>
      <c r="J91" s="286"/>
      <c r="K91" s="285"/>
    </row>
    <row r="92" spans="1:11" s="334" customFormat="1" x14ac:dyDescent="0.2">
      <c r="A92" s="285"/>
      <c r="B92" s="285"/>
      <c r="C92" s="285"/>
      <c r="D92" s="286"/>
      <c r="E92" s="286"/>
      <c r="F92" s="286"/>
      <c r="G92" s="286"/>
      <c r="H92" s="471"/>
      <c r="I92" s="286"/>
      <c r="J92" s="286"/>
      <c r="K92" s="285"/>
    </row>
    <row r="93" spans="1:11" s="334" customFormat="1" x14ac:dyDescent="0.2">
      <c r="A93" s="285"/>
      <c r="B93" s="285"/>
      <c r="C93" s="285"/>
      <c r="D93" s="286"/>
      <c r="E93" s="286"/>
      <c r="F93" s="286"/>
      <c r="G93" s="286"/>
      <c r="H93" s="471"/>
      <c r="I93" s="286"/>
      <c r="J93" s="286"/>
      <c r="K93" s="285"/>
    </row>
    <row r="94" spans="1:11" s="334" customFormat="1" x14ac:dyDescent="0.2">
      <c r="A94" s="285"/>
      <c r="B94" s="285"/>
      <c r="C94" s="285"/>
      <c r="D94" s="286"/>
      <c r="E94" s="286"/>
      <c r="F94" s="286"/>
      <c r="G94" s="286"/>
      <c r="H94" s="471"/>
      <c r="I94" s="286"/>
      <c r="J94" s="286"/>
      <c r="K94" s="285"/>
    </row>
    <row r="95" spans="1:11" s="334" customFormat="1" x14ac:dyDescent="0.2">
      <c r="A95" s="285"/>
      <c r="B95" s="285"/>
      <c r="C95" s="285"/>
      <c r="D95" s="286"/>
      <c r="E95" s="286"/>
      <c r="F95" s="286"/>
      <c r="G95" s="286"/>
      <c r="H95" s="471"/>
      <c r="I95" s="286"/>
      <c r="J95" s="286"/>
      <c r="K95" s="285"/>
    </row>
    <row r="96" spans="1:11" s="334" customFormat="1" x14ac:dyDescent="0.2">
      <c r="A96" s="285"/>
      <c r="B96" s="285"/>
      <c r="C96" s="285"/>
      <c r="D96" s="286"/>
      <c r="E96" s="286"/>
      <c r="F96" s="286"/>
      <c r="G96" s="286"/>
      <c r="H96" s="471"/>
      <c r="I96" s="286"/>
      <c r="J96" s="286"/>
      <c r="K96" s="285"/>
    </row>
    <row r="97" spans="1:11" s="334" customFormat="1" x14ac:dyDescent="0.2">
      <c r="A97" s="285"/>
      <c r="B97" s="285"/>
      <c r="C97" s="285"/>
      <c r="D97" s="286"/>
      <c r="E97" s="286"/>
      <c r="F97" s="286"/>
      <c r="G97" s="286"/>
      <c r="H97" s="471"/>
      <c r="I97" s="286"/>
      <c r="J97" s="286"/>
      <c r="K97" s="285"/>
    </row>
    <row r="98" spans="1:11" s="334" customFormat="1" x14ac:dyDescent="0.2">
      <c r="A98" s="285"/>
      <c r="B98" s="285"/>
      <c r="C98" s="285"/>
      <c r="D98" s="286"/>
      <c r="E98" s="286"/>
      <c r="F98" s="286"/>
      <c r="G98" s="286"/>
      <c r="H98" s="471"/>
      <c r="I98" s="286"/>
      <c r="J98" s="286"/>
      <c r="K98" s="285"/>
    </row>
    <row r="99" spans="1:11" s="334" customFormat="1" x14ac:dyDescent="0.2">
      <c r="A99" s="285"/>
      <c r="B99" s="285"/>
      <c r="C99" s="285"/>
      <c r="D99" s="286"/>
      <c r="E99" s="286"/>
      <c r="F99" s="286"/>
      <c r="G99" s="286"/>
      <c r="H99" s="471"/>
      <c r="I99" s="286"/>
      <c r="J99" s="286"/>
      <c r="K99" s="285"/>
    </row>
    <row r="100" spans="1:11" s="334" customFormat="1" x14ac:dyDescent="0.2">
      <c r="A100" s="285"/>
      <c r="B100" s="285"/>
      <c r="C100" s="285"/>
      <c r="D100" s="286"/>
      <c r="E100" s="286"/>
      <c r="F100" s="286"/>
      <c r="G100" s="286"/>
      <c r="H100" s="471"/>
      <c r="I100" s="286"/>
      <c r="J100" s="286"/>
      <c r="K100" s="285"/>
    </row>
    <row r="101" spans="1:11" s="334" customFormat="1" x14ac:dyDescent="0.2">
      <c r="A101" s="285"/>
      <c r="B101" s="285"/>
      <c r="C101" s="285"/>
      <c r="D101" s="286"/>
      <c r="E101" s="286"/>
      <c r="F101" s="286"/>
      <c r="G101" s="286"/>
      <c r="H101" s="471"/>
      <c r="I101" s="286"/>
      <c r="J101" s="286"/>
      <c r="K101" s="285"/>
    </row>
    <row r="102" spans="1:11" s="334" customFormat="1" x14ac:dyDescent="0.2">
      <c r="A102" s="285"/>
      <c r="B102" s="285"/>
      <c r="C102" s="285"/>
      <c r="D102" s="286"/>
      <c r="E102" s="286"/>
      <c r="F102" s="286"/>
      <c r="G102" s="286"/>
      <c r="H102" s="471"/>
      <c r="I102" s="286"/>
      <c r="J102" s="286"/>
      <c r="K102" s="285"/>
    </row>
    <row r="103" spans="1:11" s="334" customFormat="1" x14ac:dyDescent="0.2">
      <c r="A103" s="285"/>
      <c r="B103" s="285"/>
      <c r="C103" s="285"/>
      <c r="D103" s="286"/>
      <c r="E103" s="286"/>
      <c r="F103" s="286"/>
      <c r="G103" s="286"/>
      <c r="H103" s="471"/>
      <c r="I103" s="286"/>
      <c r="J103" s="286"/>
      <c r="K103" s="285"/>
    </row>
    <row r="104" spans="1:11" s="334" customFormat="1" x14ac:dyDescent="0.2">
      <c r="A104" s="285"/>
      <c r="B104" s="285"/>
      <c r="C104" s="285"/>
      <c r="D104" s="286"/>
      <c r="E104" s="286"/>
      <c r="F104" s="286"/>
      <c r="G104" s="286"/>
      <c r="H104" s="471"/>
      <c r="I104" s="286"/>
      <c r="J104" s="286"/>
      <c r="K104" s="285"/>
    </row>
    <row r="105" spans="1:11" s="334" customFormat="1" x14ac:dyDescent="0.2">
      <c r="A105" s="285"/>
      <c r="B105" s="285"/>
      <c r="C105" s="285"/>
      <c r="D105" s="286"/>
      <c r="E105" s="286"/>
      <c r="F105" s="286"/>
      <c r="G105" s="286"/>
      <c r="H105" s="471"/>
      <c r="I105" s="286"/>
      <c r="J105" s="286"/>
      <c r="K105" s="285"/>
    </row>
    <row r="106" spans="1:11" s="334" customFormat="1" x14ac:dyDescent="0.2">
      <c r="A106" s="285"/>
      <c r="B106" s="285"/>
      <c r="C106" s="285"/>
      <c r="D106" s="286"/>
      <c r="E106" s="286"/>
      <c r="F106" s="286"/>
      <c r="G106" s="286"/>
      <c r="H106" s="471"/>
      <c r="I106" s="286"/>
      <c r="J106" s="286"/>
      <c r="K106" s="285"/>
    </row>
    <row r="107" spans="1:11" s="334" customFormat="1" x14ac:dyDescent="0.2">
      <c r="A107" s="285"/>
      <c r="B107" s="285"/>
      <c r="C107" s="285"/>
      <c r="D107" s="286"/>
      <c r="E107" s="286"/>
      <c r="F107" s="286"/>
      <c r="G107" s="286"/>
      <c r="H107" s="471"/>
      <c r="I107" s="286"/>
      <c r="J107" s="286"/>
      <c r="K107" s="285"/>
    </row>
    <row r="108" spans="1:11" s="334" customFormat="1" x14ac:dyDescent="0.2">
      <c r="A108" s="285"/>
      <c r="B108" s="285"/>
      <c r="C108" s="285"/>
      <c r="D108" s="286"/>
      <c r="E108" s="286"/>
      <c r="F108" s="286"/>
      <c r="G108" s="286"/>
      <c r="H108" s="471"/>
      <c r="I108" s="286"/>
      <c r="J108" s="286"/>
      <c r="K108" s="285"/>
    </row>
    <row r="109" spans="1:11" s="334" customFormat="1" x14ac:dyDescent="0.2">
      <c r="A109" s="285"/>
      <c r="B109" s="285"/>
      <c r="C109" s="285"/>
      <c r="D109" s="286"/>
      <c r="E109" s="286"/>
      <c r="F109" s="286"/>
      <c r="G109" s="286"/>
      <c r="H109" s="471"/>
      <c r="I109" s="286"/>
      <c r="J109" s="286"/>
      <c r="K109" s="285"/>
    </row>
    <row r="110" spans="1:11" s="334" customFormat="1" x14ac:dyDescent="0.2">
      <c r="A110" s="285"/>
      <c r="B110" s="285"/>
      <c r="C110" s="285"/>
      <c r="D110" s="286"/>
      <c r="E110" s="286"/>
      <c r="F110" s="286"/>
      <c r="G110" s="286"/>
      <c r="H110" s="471"/>
      <c r="I110" s="286"/>
      <c r="J110" s="286"/>
      <c r="K110" s="285"/>
    </row>
    <row r="111" spans="1:11" s="334" customFormat="1" x14ac:dyDescent="0.2">
      <c r="A111" s="285"/>
      <c r="B111" s="285"/>
      <c r="C111" s="285"/>
      <c r="D111" s="286"/>
      <c r="E111" s="286"/>
      <c r="F111" s="286"/>
      <c r="G111" s="286"/>
      <c r="H111" s="471"/>
      <c r="I111" s="286"/>
      <c r="J111" s="286"/>
      <c r="K111" s="285"/>
    </row>
    <row r="112" spans="1:11" s="334" customFormat="1" x14ac:dyDescent="0.2">
      <c r="A112" s="285"/>
      <c r="B112" s="285"/>
      <c r="C112" s="285"/>
      <c r="D112" s="286"/>
      <c r="E112" s="286"/>
      <c r="F112" s="286"/>
      <c r="G112" s="286"/>
      <c r="H112" s="471"/>
      <c r="I112" s="286"/>
      <c r="J112" s="286"/>
      <c r="K112" s="285"/>
    </row>
    <row r="113" spans="1:11" s="334" customFormat="1" x14ac:dyDescent="0.2">
      <c r="A113" s="285"/>
      <c r="B113" s="285"/>
      <c r="C113" s="285"/>
      <c r="D113" s="286"/>
      <c r="E113" s="286"/>
      <c r="F113" s="286"/>
      <c r="G113" s="286"/>
      <c r="H113" s="471"/>
      <c r="I113" s="286"/>
      <c r="J113" s="286"/>
      <c r="K113" s="285"/>
    </row>
    <row r="114" spans="1:11" s="334" customFormat="1" x14ac:dyDescent="0.2">
      <c r="A114" s="285"/>
      <c r="B114" s="285"/>
      <c r="C114" s="285"/>
      <c r="D114" s="286"/>
      <c r="E114" s="286"/>
      <c r="F114" s="286"/>
      <c r="G114" s="286"/>
      <c r="H114" s="471"/>
      <c r="I114" s="286"/>
      <c r="J114" s="286"/>
      <c r="K114" s="285"/>
    </row>
    <row r="115" spans="1:11" s="334" customFormat="1" x14ac:dyDescent="0.2">
      <c r="A115" s="285"/>
      <c r="B115" s="285"/>
      <c r="C115" s="285"/>
      <c r="D115" s="286"/>
      <c r="E115" s="286"/>
      <c r="F115" s="286"/>
      <c r="G115" s="286"/>
      <c r="H115" s="471"/>
      <c r="I115" s="286"/>
      <c r="J115" s="286"/>
      <c r="K115" s="285"/>
    </row>
    <row r="116" spans="1:11" s="334" customFormat="1" x14ac:dyDescent="0.2">
      <c r="A116" s="285"/>
      <c r="B116" s="285"/>
      <c r="C116" s="285"/>
      <c r="D116" s="286"/>
      <c r="E116" s="286"/>
      <c r="F116" s="286"/>
      <c r="G116" s="286"/>
      <c r="H116" s="471"/>
      <c r="I116" s="286"/>
      <c r="J116" s="286"/>
      <c r="K116" s="285"/>
    </row>
    <row r="117" spans="1:11" s="334" customFormat="1" x14ac:dyDescent="0.2">
      <c r="A117" s="285"/>
      <c r="B117" s="285"/>
      <c r="C117" s="285"/>
      <c r="D117" s="286"/>
      <c r="E117" s="286"/>
      <c r="F117" s="286"/>
      <c r="G117" s="286"/>
      <c r="H117" s="471"/>
      <c r="I117" s="286"/>
      <c r="J117" s="286"/>
      <c r="K117" s="285"/>
    </row>
    <row r="118" spans="1:11" s="334" customFormat="1" x14ac:dyDescent="0.2">
      <c r="A118" s="285"/>
      <c r="B118" s="285"/>
      <c r="C118" s="285"/>
      <c r="D118" s="286"/>
      <c r="E118" s="286"/>
      <c r="F118" s="286"/>
      <c r="G118" s="286"/>
      <c r="H118" s="471"/>
      <c r="I118" s="286"/>
      <c r="J118" s="286"/>
      <c r="K118" s="285"/>
    </row>
    <row r="119" spans="1:11" s="334" customFormat="1" x14ac:dyDescent="0.2">
      <c r="A119" s="285"/>
      <c r="B119" s="285"/>
      <c r="C119" s="285"/>
      <c r="D119" s="286"/>
      <c r="E119" s="286"/>
      <c r="F119" s="286"/>
      <c r="G119" s="286"/>
      <c r="H119" s="471"/>
      <c r="I119" s="286"/>
      <c r="J119" s="286"/>
      <c r="K119" s="285"/>
    </row>
    <row r="120" spans="1:11" s="334" customFormat="1" x14ac:dyDescent="0.2">
      <c r="A120" s="285"/>
      <c r="B120" s="285"/>
      <c r="C120" s="285"/>
      <c r="D120" s="286"/>
      <c r="E120" s="286"/>
      <c r="F120" s="286"/>
      <c r="G120" s="286"/>
      <c r="H120" s="471"/>
      <c r="I120" s="286"/>
      <c r="J120" s="286"/>
      <c r="K120" s="285"/>
    </row>
    <row r="121" spans="1:11" s="334" customFormat="1" x14ac:dyDescent="0.2">
      <c r="A121" s="285"/>
      <c r="B121" s="285"/>
      <c r="C121" s="285"/>
      <c r="D121" s="286"/>
      <c r="E121" s="286"/>
      <c r="F121" s="286"/>
      <c r="G121" s="286"/>
      <c r="H121" s="471"/>
      <c r="I121" s="286"/>
      <c r="J121" s="286"/>
      <c r="K121" s="285"/>
    </row>
    <row r="122" spans="1:11" s="334" customFormat="1" x14ac:dyDescent="0.2">
      <c r="A122" s="285"/>
      <c r="B122" s="285"/>
      <c r="C122" s="285"/>
      <c r="D122" s="286"/>
      <c r="E122" s="286"/>
      <c r="F122" s="286"/>
      <c r="G122" s="286"/>
      <c r="H122" s="471"/>
      <c r="I122" s="286"/>
      <c r="J122" s="286"/>
      <c r="K122" s="285"/>
    </row>
    <row r="123" spans="1:11" s="334" customFormat="1" x14ac:dyDescent="0.2">
      <c r="A123" s="285"/>
      <c r="B123" s="285"/>
      <c r="C123" s="285"/>
      <c r="D123" s="286"/>
      <c r="E123" s="286"/>
      <c r="F123" s="286"/>
      <c r="G123" s="286"/>
      <c r="H123" s="471"/>
      <c r="I123" s="286"/>
      <c r="J123" s="286"/>
      <c r="K123" s="285"/>
    </row>
    <row r="124" spans="1:11" s="334" customFormat="1" x14ac:dyDescent="0.2">
      <c r="A124" s="285"/>
      <c r="B124" s="285"/>
      <c r="C124" s="285"/>
      <c r="D124" s="286"/>
      <c r="E124" s="286"/>
      <c r="F124" s="286"/>
      <c r="G124" s="286"/>
      <c r="H124" s="471"/>
      <c r="I124" s="286"/>
      <c r="J124" s="286"/>
      <c r="K124" s="285"/>
    </row>
    <row r="125" spans="1:11" s="334" customFormat="1" x14ac:dyDescent="0.2">
      <c r="A125" s="285"/>
      <c r="B125" s="285"/>
      <c r="C125" s="285"/>
      <c r="D125" s="286"/>
      <c r="E125" s="286"/>
      <c r="F125" s="286"/>
      <c r="G125" s="286"/>
      <c r="H125" s="471"/>
      <c r="I125" s="286"/>
      <c r="J125" s="286"/>
      <c r="K125" s="285"/>
    </row>
    <row r="126" spans="1:11" s="334" customFormat="1" x14ac:dyDescent="0.2">
      <c r="A126" s="285"/>
      <c r="B126" s="285"/>
      <c r="C126" s="285"/>
      <c r="D126" s="286"/>
      <c r="E126" s="286"/>
      <c r="F126" s="286"/>
      <c r="G126" s="286"/>
      <c r="H126" s="471"/>
      <c r="I126" s="286"/>
      <c r="J126" s="286"/>
      <c r="K126" s="285"/>
    </row>
    <row r="127" spans="1:11" s="334" customFormat="1" x14ac:dyDescent="0.2">
      <c r="A127" s="285"/>
      <c r="B127" s="285"/>
      <c r="C127" s="285"/>
      <c r="D127" s="286"/>
      <c r="E127" s="286"/>
      <c r="F127" s="286"/>
      <c r="G127" s="286"/>
      <c r="H127" s="471"/>
      <c r="I127" s="286"/>
      <c r="J127" s="286"/>
      <c r="K127" s="285"/>
    </row>
    <row r="128" spans="1:11" s="334" customFormat="1" x14ac:dyDescent="0.2">
      <c r="A128" s="285"/>
      <c r="B128" s="285"/>
      <c r="C128" s="285"/>
      <c r="D128" s="286"/>
      <c r="E128" s="286"/>
      <c r="F128" s="286"/>
      <c r="G128" s="286"/>
      <c r="H128" s="471"/>
      <c r="I128" s="286"/>
      <c r="J128" s="286"/>
      <c r="K128" s="285"/>
    </row>
    <row r="129" spans="1:11" s="334" customFormat="1" x14ac:dyDescent="0.2">
      <c r="A129" s="285"/>
      <c r="B129" s="285"/>
      <c r="C129" s="285"/>
      <c r="D129" s="286"/>
      <c r="E129" s="286"/>
      <c r="F129" s="286"/>
      <c r="G129" s="286"/>
      <c r="H129" s="471"/>
      <c r="I129" s="286"/>
      <c r="J129" s="286"/>
      <c r="K129" s="285"/>
    </row>
    <row r="130" spans="1:11" s="334" customFormat="1" x14ac:dyDescent="0.2">
      <c r="A130" s="285"/>
      <c r="B130" s="285"/>
      <c r="C130" s="285"/>
      <c r="D130" s="286"/>
      <c r="E130" s="286"/>
      <c r="F130" s="286"/>
      <c r="G130" s="286"/>
      <c r="H130" s="471"/>
      <c r="I130" s="286"/>
      <c r="J130" s="286"/>
      <c r="K130" s="285"/>
    </row>
    <row r="131" spans="1:11" s="334" customFormat="1" x14ac:dyDescent="0.2">
      <c r="A131" s="285"/>
      <c r="B131" s="285"/>
      <c r="C131" s="285"/>
      <c r="D131" s="286"/>
      <c r="E131" s="286"/>
      <c r="F131" s="286"/>
      <c r="G131" s="286"/>
      <c r="H131" s="471"/>
      <c r="I131" s="286"/>
      <c r="J131" s="286"/>
      <c r="K131" s="285"/>
    </row>
    <row r="132" spans="1:11" s="334" customFormat="1" x14ac:dyDescent="0.2">
      <c r="A132" s="285"/>
      <c r="B132" s="285"/>
      <c r="C132" s="285"/>
      <c r="D132" s="286"/>
      <c r="E132" s="286"/>
      <c r="F132" s="286"/>
      <c r="G132" s="286"/>
      <c r="H132" s="471"/>
      <c r="I132" s="286"/>
      <c r="J132" s="286"/>
      <c r="K132" s="285"/>
    </row>
    <row r="133" spans="1:11" s="334" customFormat="1" x14ac:dyDescent="0.2">
      <c r="A133" s="285"/>
      <c r="B133" s="285"/>
      <c r="C133" s="285"/>
      <c r="D133" s="286"/>
      <c r="E133" s="286"/>
      <c r="F133" s="286"/>
      <c r="G133" s="286"/>
      <c r="H133" s="471"/>
      <c r="I133" s="286"/>
      <c r="J133" s="286"/>
      <c r="K133" s="285"/>
    </row>
    <row r="134" spans="1:11" s="334" customFormat="1" x14ac:dyDescent="0.2">
      <c r="A134" s="285"/>
      <c r="B134" s="285"/>
      <c r="C134" s="285"/>
      <c r="D134" s="286"/>
      <c r="E134" s="286"/>
      <c r="F134" s="286"/>
      <c r="G134" s="286"/>
      <c r="H134" s="471"/>
      <c r="I134" s="286"/>
      <c r="J134" s="286"/>
      <c r="K134" s="285"/>
    </row>
    <row r="135" spans="1:11" s="334" customFormat="1" x14ac:dyDescent="0.2">
      <c r="A135" s="285"/>
      <c r="B135" s="285"/>
      <c r="C135" s="285"/>
      <c r="D135" s="286"/>
      <c r="E135" s="286"/>
      <c r="F135" s="286"/>
      <c r="G135" s="286"/>
      <c r="H135" s="471"/>
      <c r="I135" s="286"/>
      <c r="J135" s="286"/>
      <c r="K135" s="285"/>
    </row>
    <row r="136" spans="1:11" s="334" customFormat="1" x14ac:dyDescent="0.2">
      <c r="A136" s="285"/>
      <c r="B136" s="285"/>
      <c r="C136" s="285"/>
      <c r="D136" s="286"/>
      <c r="E136" s="286"/>
      <c r="F136" s="286"/>
      <c r="G136" s="286"/>
      <c r="H136" s="471"/>
      <c r="I136" s="286"/>
      <c r="J136" s="286"/>
      <c r="K136" s="285"/>
    </row>
    <row r="137" spans="1:11" s="334" customFormat="1" x14ac:dyDescent="0.2">
      <c r="A137" s="285"/>
      <c r="B137" s="285"/>
      <c r="C137" s="285"/>
      <c r="D137" s="286"/>
      <c r="E137" s="286"/>
      <c r="F137" s="286"/>
      <c r="G137" s="286"/>
      <c r="H137" s="471"/>
      <c r="I137" s="286"/>
      <c r="J137" s="286"/>
      <c r="K137" s="285"/>
    </row>
    <row r="138" spans="1:11" s="334" customFormat="1" x14ac:dyDescent="0.2">
      <c r="A138" s="285"/>
      <c r="B138" s="285"/>
      <c r="C138" s="285"/>
      <c r="D138" s="286"/>
      <c r="E138" s="286"/>
      <c r="F138" s="286"/>
      <c r="G138" s="286"/>
      <c r="H138" s="471"/>
      <c r="I138" s="286"/>
      <c r="J138" s="286"/>
      <c r="K138" s="285"/>
    </row>
    <row r="139" spans="1:11" s="334" customFormat="1" x14ac:dyDescent="0.2">
      <c r="A139" s="285"/>
      <c r="B139" s="285"/>
      <c r="C139" s="285"/>
      <c r="D139" s="286"/>
      <c r="E139" s="286"/>
      <c r="F139" s="286"/>
      <c r="G139" s="286"/>
      <c r="H139" s="471"/>
      <c r="I139" s="286"/>
      <c r="J139" s="286"/>
      <c r="K139" s="285"/>
    </row>
    <row r="140" spans="1:11" s="334" customFormat="1" x14ac:dyDescent="0.2">
      <c r="A140" s="285"/>
      <c r="B140" s="285"/>
      <c r="C140" s="285"/>
      <c r="D140" s="286"/>
      <c r="E140" s="286"/>
      <c r="F140" s="286"/>
      <c r="G140" s="286"/>
      <c r="H140" s="471"/>
      <c r="I140" s="286"/>
      <c r="J140" s="286"/>
      <c r="K140" s="285"/>
    </row>
    <row r="141" spans="1:11" s="334" customFormat="1" x14ac:dyDescent="0.2">
      <c r="A141" s="285"/>
      <c r="B141" s="285"/>
      <c r="C141" s="285"/>
      <c r="D141" s="286"/>
      <c r="E141" s="286"/>
      <c r="F141" s="286"/>
      <c r="G141" s="286"/>
      <c r="H141" s="471"/>
      <c r="I141" s="286"/>
      <c r="J141" s="286"/>
      <c r="K141" s="285"/>
    </row>
    <row r="142" spans="1:11" s="334" customFormat="1" x14ac:dyDescent="0.2">
      <c r="A142" s="285"/>
      <c r="B142" s="285"/>
      <c r="C142" s="285"/>
      <c r="D142" s="286"/>
      <c r="E142" s="286"/>
      <c r="F142" s="286"/>
      <c r="G142" s="286"/>
      <c r="H142" s="471"/>
      <c r="I142" s="286"/>
      <c r="J142" s="286"/>
      <c r="K142" s="285"/>
    </row>
    <row r="143" spans="1:11" s="334" customFormat="1" x14ac:dyDescent="0.2">
      <c r="A143" s="285"/>
      <c r="B143" s="285"/>
      <c r="C143" s="285"/>
      <c r="D143" s="286"/>
      <c r="E143" s="286"/>
      <c r="F143" s="286"/>
      <c r="G143" s="286"/>
      <c r="H143" s="471"/>
      <c r="I143" s="286"/>
      <c r="J143" s="286"/>
      <c r="K143" s="285"/>
    </row>
    <row r="144" spans="1:11" s="334" customFormat="1" x14ac:dyDescent="0.2">
      <c r="A144" s="285"/>
      <c r="B144" s="285"/>
      <c r="C144" s="285"/>
      <c r="D144" s="286"/>
      <c r="E144" s="286"/>
      <c r="F144" s="286"/>
      <c r="G144" s="286"/>
      <c r="H144" s="471"/>
      <c r="I144" s="286"/>
      <c r="J144" s="286"/>
      <c r="K144" s="285"/>
    </row>
    <row r="145" spans="1:11" s="334" customFormat="1" x14ac:dyDescent="0.2">
      <c r="A145" s="285"/>
      <c r="B145" s="285"/>
      <c r="C145" s="285"/>
      <c r="D145" s="286"/>
      <c r="E145" s="286"/>
      <c r="F145" s="286"/>
      <c r="G145" s="286"/>
      <c r="H145" s="471"/>
      <c r="I145" s="286"/>
      <c r="J145" s="286"/>
      <c r="K145" s="285"/>
    </row>
    <row r="146" spans="1:11" s="334" customFormat="1" x14ac:dyDescent="0.2">
      <c r="A146" s="285"/>
      <c r="B146" s="285"/>
      <c r="C146" s="285"/>
      <c r="D146" s="286"/>
      <c r="E146" s="286"/>
      <c r="F146" s="286"/>
      <c r="G146" s="286"/>
      <c r="H146" s="471"/>
      <c r="I146" s="286"/>
      <c r="J146" s="286"/>
      <c r="K146" s="285"/>
    </row>
    <row r="147" spans="1:11" s="334" customFormat="1" x14ac:dyDescent="0.2">
      <c r="A147" s="285"/>
      <c r="B147" s="285"/>
      <c r="C147" s="285"/>
      <c r="D147" s="286"/>
      <c r="E147" s="286"/>
      <c r="F147" s="286"/>
      <c r="G147" s="286"/>
      <c r="H147" s="471"/>
      <c r="I147" s="286"/>
      <c r="J147" s="286"/>
      <c r="K147" s="285"/>
    </row>
    <row r="148" spans="1:11" s="334" customFormat="1" x14ac:dyDescent="0.2">
      <c r="A148" s="285"/>
      <c r="B148" s="285"/>
      <c r="C148" s="285"/>
      <c r="D148" s="286"/>
      <c r="E148" s="286"/>
      <c r="F148" s="286"/>
      <c r="G148" s="286"/>
      <c r="H148" s="471"/>
      <c r="I148" s="286"/>
      <c r="J148" s="286"/>
      <c r="K148" s="285"/>
    </row>
    <row r="149" spans="1:11" s="334" customFormat="1" x14ac:dyDescent="0.2">
      <c r="A149" s="285"/>
      <c r="B149" s="285"/>
      <c r="C149" s="285"/>
      <c r="D149" s="286"/>
      <c r="E149" s="286"/>
      <c r="F149" s="286"/>
      <c r="G149" s="286"/>
      <c r="H149" s="471"/>
      <c r="I149" s="286"/>
      <c r="J149" s="286"/>
      <c r="K149" s="285"/>
    </row>
    <row r="150" spans="1:11" s="334" customFormat="1" x14ac:dyDescent="0.2">
      <c r="A150" s="285"/>
      <c r="B150" s="285"/>
      <c r="C150" s="285"/>
      <c r="D150" s="286"/>
      <c r="E150" s="286"/>
      <c r="F150" s="286"/>
      <c r="G150" s="286"/>
      <c r="H150" s="471"/>
      <c r="I150" s="286"/>
      <c r="J150" s="286"/>
      <c r="K150" s="285"/>
    </row>
    <row r="151" spans="1:11" s="334" customFormat="1" x14ac:dyDescent="0.2">
      <c r="A151" s="285"/>
      <c r="B151" s="285"/>
      <c r="C151" s="285"/>
      <c r="D151" s="286"/>
      <c r="E151" s="286"/>
      <c r="F151" s="286"/>
      <c r="G151" s="286"/>
      <c r="H151" s="471"/>
      <c r="I151" s="286"/>
      <c r="J151" s="286"/>
      <c r="K151" s="285"/>
    </row>
    <row r="152" spans="1:11" s="334" customFormat="1" x14ac:dyDescent="0.2">
      <c r="A152" s="285"/>
      <c r="B152" s="285"/>
      <c r="C152" s="285"/>
      <c r="D152" s="286"/>
      <c r="E152" s="286"/>
      <c r="F152" s="286"/>
      <c r="G152" s="286"/>
      <c r="H152" s="471"/>
      <c r="I152" s="286"/>
      <c r="J152" s="286"/>
      <c r="K152" s="285"/>
    </row>
    <row r="153" spans="1:11" s="334" customFormat="1" x14ac:dyDescent="0.2">
      <c r="A153" s="285"/>
      <c r="B153" s="285"/>
      <c r="C153" s="285"/>
      <c r="D153" s="286"/>
      <c r="E153" s="286"/>
      <c r="F153" s="286"/>
      <c r="G153" s="286"/>
      <c r="H153" s="471"/>
      <c r="I153" s="286"/>
      <c r="J153" s="286"/>
      <c r="K153" s="285"/>
    </row>
    <row r="154" spans="1:11" s="334" customFormat="1" x14ac:dyDescent="0.2">
      <c r="A154" s="285"/>
      <c r="B154" s="285"/>
      <c r="C154" s="285"/>
      <c r="D154" s="286"/>
      <c r="E154" s="286"/>
      <c r="F154" s="286"/>
      <c r="G154" s="286"/>
      <c r="H154" s="471"/>
      <c r="I154" s="286"/>
      <c r="J154" s="286"/>
      <c r="K154" s="285"/>
    </row>
    <row r="155" spans="1:11" s="334" customFormat="1" x14ac:dyDescent="0.2">
      <c r="A155" s="285"/>
      <c r="B155" s="285"/>
      <c r="C155" s="285"/>
      <c r="D155" s="286"/>
      <c r="E155" s="286"/>
      <c r="F155" s="286"/>
      <c r="G155" s="286"/>
      <c r="H155" s="471"/>
      <c r="I155" s="286"/>
      <c r="J155" s="286"/>
      <c r="K155" s="285"/>
    </row>
    <row r="156" spans="1:11" s="334" customFormat="1" x14ac:dyDescent="0.2">
      <c r="A156" s="285"/>
      <c r="B156" s="285"/>
      <c r="C156" s="285"/>
      <c r="D156" s="286"/>
      <c r="E156" s="286"/>
      <c r="F156" s="286"/>
      <c r="G156" s="286"/>
      <c r="H156" s="471"/>
      <c r="I156" s="286"/>
      <c r="J156" s="286"/>
      <c r="K156" s="285"/>
    </row>
    <row r="157" spans="1:11" s="334" customFormat="1" x14ac:dyDescent="0.2">
      <c r="A157" s="285"/>
      <c r="B157" s="285"/>
      <c r="C157" s="285"/>
      <c r="D157" s="286"/>
      <c r="E157" s="286"/>
      <c r="F157" s="286"/>
      <c r="G157" s="286"/>
      <c r="H157" s="471"/>
      <c r="I157" s="286"/>
      <c r="J157" s="286"/>
      <c r="K157" s="285"/>
    </row>
    <row r="158" spans="1:11" s="334" customFormat="1" x14ac:dyDescent="0.2">
      <c r="A158" s="285"/>
      <c r="B158" s="285"/>
      <c r="C158" s="285"/>
      <c r="D158" s="286"/>
      <c r="E158" s="286"/>
      <c r="F158" s="286"/>
      <c r="G158" s="286"/>
      <c r="H158" s="471"/>
      <c r="I158" s="286"/>
      <c r="J158" s="286"/>
      <c r="K158" s="285"/>
    </row>
    <row r="159" spans="1:11" s="334" customFormat="1" x14ac:dyDescent="0.2">
      <c r="A159" s="285"/>
      <c r="B159" s="285"/>
      <c r="C159" s="285"/>
      <c r="D159" s="286"/>
      <c r="E159" s="286"/>
      <c r="F159" s="286"/>
      <c r="G159" s="286"/>
      <c r="H159" s="471"/>
      <c r="I159" s="286"/>
      <c r="J159" s="286"/>
      <c r="K159" s="285"/>
    </row>
    <row r="160" spans="1:11" s="334" customFormat="1" x14ac:dyDescent="0.2">
      <c r="A160" s="285"/>
      <c r="B160" s="285"/>
      <c r="C160" s="285"/>
      <c r="D160" s="286"/>
      <c r="E160" s="286"/>
      <c r="F160" s="286"/>
      <c r="G160" s="286"/>
      <c r="H160" s="471"/>
      <c r="I160" s="286"/>
      <c r="J160" s="286"/>
      <c r="K160" s="285"/>
    </row>
    <row r="161" spans="1:11" s="334" customFormat="1" x14ac:dyDescent="0.2">
      <c r="A161" s="285"/>
      <c r="B161" s="285"/>
      <c r="C161" s="285"/>
      <c r="D161" s="286"/>
      <c r="E161" s="286"/>
      <c r="F161" s="286"/>
      <c r="G161" s="286"/>
      <c r="H161" s="471"/>
      <c r="I161" s="286"/>
      <c r="J161" s="286"/>
      <c r="K161" s="285"/>
    </row>
    <row r="162" spans="1:11" s="334" customFormat="1" x14ac:dyDescent="0.2">
      <c r="A162" s="285"/>
      <c r="B162" s="285"/>
      <c r="C162" s="285"/>
      <c r="D162" s="286"/>
      <c r="E162" s="286"/>
      <c r="F162" s="286"/>
      <c r="G162" s="286"/>
      <c r="H162" s="471"/>
      <c r="I162" s="286"/>
      <c r="J162" s="286"/>
      <c r="K162" s="285"/>
    </row>
    <row r="163" spans="1:11" s="334" customFormat="1" x14ac:dyDescent="0.2">
      <c r="A163" s="285"/>
      <c r="B163" s="285"/>
      <c r="C163" s="285"/>
      <c r="D163" s="286"/>
      <c r="E163" s="286"/>
      <c r="F163" s="286"/>
      <c r="G163" s="286"/>
      <c r="H163" s="471"/>
      <c r="I163" s="286"/>
      <c r="J163" s="286"/>
      <c r="K163" s="285"/>
    </row>
    <row r="164" spans="1:11" s="334" customFormat="1" x14ac:dyDescent="0.2">
      <c r="A164" s="285"/>
      <c r="B164" s="285"/>
      <c r="C164" s="285"/>
      <c r="D164" s="286"/>
      <c r="E164" s="286"/>
      <c r="F164" s="286"/>
      <c r="G164" s="286"/>
      <c r="H164" s="471"/>
      <c r="I164" s="286"/>
      <c r="J164" s="286"/>
      <c r="K164" s="285"/>
    </row>
    <row r="165" spans="1:11" s="334" customFormat="1" x14ac:dyDescent="0.2">
      <c r="A165" s="285"/>
      <c r="B165" s="285"/>
      <c r="C165" s="285"/>
      <c r="D165" s="286"/>
      <c r="E165" s="286"/>
      <c r="F165" s="286"/>
      <c r="G165" s="286"/>
      <c r="H165" s="471"/>
      <c r="I165" s="286"/>
      <c r="J165" s="286"/>
      <c r="K165" s="285"/>
    </row>
    <row r="166" spans="1:11" s="334" customFormat="1" x14ac:dyDescent="0.2">
      <c r="A166" s="285"/>
      <c r="B166" s="285"/>
      <c r="C166" s="285"/>
      <c r="D166" s="286"/>
      <c r="E166" s="286"/>
      <c r="F166" s="286"/>
      <c r="G166" s="286"/>
      <c r="H166" s="471"/>
      <c r="I166" s="286"/>
      <c r="J166" s="286"/>
      <c r="K166" s="285"/>
    </row>
    <row r="167" spans="1:11" s="334" customFormat="1" x14ac:dyDescent="0.2">
      <c r="A167" s="285"/>
      <c r="B167" s="285"/>
      <c r="C167" s="285"/>
      <c r="D167" s="286"/>
      <c r="E167" s="286"/>
      <c r="F167" s="286"/>
      <c r="G167" s="286"/>
      <c r="H167" s="471"/>
      <c r="I167" s="286"/>
      <c r="J167" s="286"/>
      <c r="K167" s="285"/>
    </row>
    <row r="168" spans="1:11" s="334" customFormat="1" x14ac:dyDescent="0.2">
      <c r="A168" s="285"/>
      <c r="B168" s="285"/>
      <c r="C168" s="285"/>
      <c r="D168" s="286"/>
      <c r="E168" s="286"/>
      <c r="F168" s="286"/>
      <c r="G168" s="286"/>
      <c r="H168" s="471"/>
      <c r="I168" s="286"/>
      <c r="J168" s="286"/>
      <c r="K168" s="285"/>
    </row>
    <row r="169" spans="1:11" s="334" customFormat="1" x14ac:dyDescent="0.2">
      <c r="A169" s="285"/>
      <c r="B169" s="285"/>
      <c r="C169" s="285"/>
      <c r="D169" s="286"/>
      <c r="E169" s="286"/>
      <c r="F169" s="286"/>
      <c r="G169" s="286"/>
      <c r="H169" s="471"/>
      <c r="I169" s="286"/>
      <c r="J169" s="286"/>
      <c r="K169" s="285"/>
    </row>
    <row r="170" spans="1:11" s="334" customFormat="1" x14ac:dyDescent="0.2">
      <c r="A170" s="285"/>
      <c r="B170" s="285"/>
      <c r="C170" s="285"/>
      <c r="D170" s="286"/>
      <c r="E170" s="286"/>
      <c r="F170" s="286"/>
      <c r="G170" s="286"/>
      <c r="H170" s="471"/>
      <c r="I170" s="286"/>
      <c r="J170" s="286"/>
      <c r="K170" s="285"/>
    </row>
    <row r="171" spans="1:11" s="334" customFormat="1" x14ac:dyDescent="0.2">
      <c r="A171" s="285"/>
      <c r="B171" s="285"/>
      <c r="C171" s="285"/>
      <c r="D171" s="286"/>
      <c r="E171" s="286"/>
      <c r="F171" s="286"/>
      <c r="G171" s="286"/>
      <c r="H171" s="471"/>
      <c r="I171" s="286"/>
      <c r="J171" s="286"/>
      <c r="K171" s="285"/>
    </row>
    <row r="172" spans="1:11" s="334" customFormat="1" x14ac:dyDescent="0.2">
      <c r="A172" s="285"/>
      <c r="B172" s="285"/>
      <c r="C172" s="285"/>
      <c r="D172" s="286"/>
      <c r="E172" s="286"/>
      <c r="F172" s="286"/>
      <c r="G172" s="286"/>
      <c r="H172" s="471"/>
      <c r="I172" s="286"/>
      <c r="J172" s="286"/>
      <c r="K172" s="285"/>
    </row>
    <row r="173" spans="1:11" s="334" customFormat="1" x14ac:dyDescent="0.2">
      <c r="A173" s="285"/>
      <c r="B173" s="285"/>
      <c r="C173" s="285"/>
      <c r="D173" s="286"/>
      <c r="E173" s="286"/>
      <c r="F173" s="286"/>
      <c r="G173" s="286"/>
      <c r="H173" s="471"/>
      <c r="I173" s="286"/>
      <c r="J173" s="286"/>
      <c r="K173" s="285"/>
    </row>
    <row r="174" spans="1:11" s="334" customFormat="1" x14ac:dyDescent="0.2">
      <c r="A174" s="285"/>
      <c r="B174" s="285"/>
      <c r="C174" s="285"/>
      <c r="D174" s="286"/>
      <c r="E174" s="286"/>
      <c r="F174" s="286"/>
      <c r="G174" s="286"/>
      <c r="H174" s="471"/>
      <c r="I174" s="286"/>
      <c r="J174" s="286"/>
      <c r="K174" s="285"/>
    </row>
    <row r="175" spans="1:11" s="334" customFormat="1" x14ac:dyDescent="0.2">
      <c r="A175" s="285"/>
      <c r="B175" s="285"/>
      <c r="C175" s="285"/>
      <c r="D175" s="286"/>
      <c r="E175" s="286"/>
      <c r="F175" s="286"/>
      <c r="G175" s="286"/>
      <c r="H175" s="471"/>
      <c r="I175" s="286"/>
      <c r="J175" s="286"/>
      <c r="K175" s="285"/>
    </row>
    <row r="176" spans="1:11" s="334" customFormat="1" x14ac:dyDescent="0.2">
      <c r="A176" s="285"/>
      <c r="B176" s="285"/>
      <c r="C176" s="285"/>
      <c r="D176" s="286"/>
      <c r="E176" s="286"/>
      <c r="F176" s="286"/>
      <c r="G176" s="286"/>
      <c r="H176" s="471"/>
      <c r="I176" s="286"/>
      <c r="J176" s="286"/>
      <c r="K176" s="285"/>
    </row>
    <row r="177" spans="1:11" s="334" customFormat="1" x14ac:dyDescent="0.2">
      <c r="A177" s="285"/>
      <c r="B177" s="285"/>
      <c r="C177" s="285"/>
      <c r="D177" s="286"/>
      <c r="E177" s="286"/>
      <c r="F177" s="286"/>
      <c r="G177" s="286"/>
      <c r="H177" s="471"/>
      <c r="I177" s="286"/>
      <c r="J177" s="286"/>
      <c r="K177" s="285"/>
    </row>
    <row r="178" spans="1:11" s="334" customFormat="1" x14ac:dyDescent="0.2">
      <c r="A178" s="285"/>
      <c r="B178" s="285"/>
      <c r="C178" s="285"/>
      <c r="D178" s="286"/>
      <c r="E178" s="286"/>
      <c r="F178" s="286"/>
      <c r="G178" s="286"/>
      <c r="H178" s="471"/>
      <c r="I178" s="286"/>
      <c r="J178" s="286"/>
      <c r="K178" s="285"/>
    </row>
    <row r="179" spans="1:11" s="334" customFormat="1" x14ac:dyDescent="0.2">
      <c r="A179" s="285"/>
      <c r="B179" s="285"/>
      <c r="C179" s="285"/>
      <c r="D179" s="286"/>
      <c r="E179" s="286"/>
      <c r="F179" s="286"/>
      <c r="G179" s="286"/>
      <c r="H179" s="471"/>
      <c r="I179" s="286"/>
      <c r="J179" s="286"/>
      <c r="K179" s="285"/>
    </row>
    <row r="180" spans="1:11" s="334" customFormat="1" x14ac:dyDescent="0.2">
      <c r="A180" s="285"/>
      <c r="B180" s="285"/>
      <c r="C180" s="285"/>
      <c r="D180" s="286"/>
      <c r="E180" s="286"/>
      <c r="F180" s="286"/>
      <c r="G180" s="286"/>
      <c r="H180" s="471"/>
      <c r="I180" s="286"/>
      <c r="J180" s="286"/>
      <c r="K180" s="285"/>
    </row>
    <row r="181" spans="1:11" s="334" customFormat="1" x14ac:dyDescent="0.2">
      <c r="A181" s="285"/>
      <c r="B181" s="285"/>
      <c r="C181" s="285"/>
      <c r="D181" s="286"/>
      <c r="E181" s="286"/>
      <c r="F181" s="286"/>
      <c r="G181" s="286"/>
      <c r="H181" s="471"/>
      <c r="I181" s="286"/>
      <c r="J181" s="286"/>
      <c r="K181" s="285"/>
    </row>
    <row r="182" spans="1:11" s="334" customFormat="1" x14ac:dyDescent="0.2">
      <c r="A182" s="285"/>
      <c r="B182" s="285"/>
      <c r="C182" s="285"/>
      <c r="D182" s="286"/>
      <c r="E182" s="286"/>
      <c r="F182" s="286"/>
      <c r="G182" s="286"/>
      <c r="H182" s="471"/>
      <c r="I182" s="286"/>
      <c r="J182" s="286"/>
      <c r="K182" s="285"/>
    </row>
    <row r="183" spans="1:11" s="334" customFormat="1" x14ac:dyDescent="0.2">
      <c r="A183" s="285"/>
      <c r="B183" s="285"/>
      <c r="C183" s="285"/>
      <c r="D183" s="286"/>
      <c r="E183" s="286"/>
      <c r="F183" s="286"/>
      <c r="G183" s="286"/>
      <c r="H183" s="471"/>
      <c r="I183" s="286"/>
      <c r="J183" s="286"/>
      <c r="K183" s="285"/>
    </row>
    <row r="184" spans="1:11" s="334" customFormat="1" x14ac:dyDescent="0.2">
      <c r="A184" s="285"/>
      <c r="B184" s="285"/>
      <c r="C184" s="285"/>
      <c r="D184" s="286"/>
      <c r="E184" s="286"/>
      <c r="F184" s="286"/>
      <c r="G184" s="286"/>
      <c r="H184" s="471"/>
      <c r="I184" s="286"/>
      <c r="J184" s="286"/>
      <c r="K184" s="285"/>
    </row>
    <row r="185" spans="1:11" s="334" customFormat="1" x14ac:dyDescent="0.2">
      <c r="A185" s="285"/>
      <c r="B185" s="285"/>
      <c r="C185" s="285"/>
      <c r="D185" s="286"/>
      <c r="E185" s="286"/>
      <c r="F185" s="286"/>
      <c r="G185" s="286"/>
      <c r="H185" s="471"/>
      <c r="I185" s="286"/>
      <c r="J185" s="286"/>
      <c r="K185" s="285"/>
    </row>
    <row r="186" spans="1:11" s="334" customFormat="1" x14ac:dyDescent="0.2">
      <c r="A186" s="285"/>
      <c r="B186" s="285"/>
      <c r="C186" s="285"/>
      <c r="D186" s="286"/>
      <c r="E186" s="286"/>
      <c r="F186" s="286"/>
      <c r="G186" s="286"/>
      <c r="H186" s="471"/>
      <c r="I186" s="286"/>
      <c r="J186" s="286"/>
      <c r="K186" s="285"/>
    </row>
    <row r="187" spans="1:11" s="334" customFormat="1" x14ac:dyDescent="0.2">
      <c r="A187" s="285"/>
      <c r="B187" s="285"/>
      <c r="C187" s="285"/>
      <c r="D187" s="286"/>
      <c r="E187" s="286"/>
      <c r="F187" s="286"/>
      <c r="G187" s="286"/>
      <c r="H187" s="471"/>
      <c r="I187" s="286"/>
      <c r="J187" s="286"/>
      <c r="K187" s="285"/>
    </row>
    <row r="188" spans="1:11" s="334" customFormat="1" x14ac:dyDescent="0.2">
      <c r="A188" s="285"/>
      <c r="B188" s="285"/>
      <c r="C188" s="285"/>
      <c r="D188" s="286"/>
      <c r="E188" s="286"/>
      <c r="F188" s="286"/>
      <c r="G188" s="286"/>
      <c r="H188" s="471"/>
      <c r="I188" s="286"/>
      <c r="J188" s="286"/>
      <c r="K188" s="285"/>
    </row>
    <row r="189" spans="1:11" s="334" customFormat="1" x14ac:dyDescent="0.2">
      <c r="A189" s="285"/>
      <c r="B189" s="285"/>
      <c r="C189" s="285"/>
      <c r="D189" s="286"/>
      <c r="E189" s="286"/>
      <c r="F189" s="286"/>
      <c r="G189" s="286"/>
      <c r="H189" s="471"/>
      <c r="I189" s="286"/>
      <c r="J189" s="286"/>
      <c r="K189" s="285"/>
    </row>
    <row r="190" spans="1:11" s="334" customFormat="1" x14ac:dyDescent="0.2">
      <c r="A190" s="285"/>
      <c r="B190" s="285"/>
      <c r="C190" s="285"/>
      <c r="D190" s="286"/>
      <c r="E190" s="286"/>
      <c r="F190" s="286"/>
      <c r="G190" s="286"/>
      <c r="H190" s="471"/>
      <c r="I190" s="286"/>
      <c r="J190" s="286"/>
      <c r="K190" s="285"/>
    </row>
    <row r="191" spans="1:11" s="334" customFormat="1" x14ac:dyDescent="0.2">
      <c r="A191" s="285"/>
      <c r="B191" s="285"/>
      <c r="C191" s="285"/>
      <c r="D191" s="286"/>
      <c r="E191" s="286"/>
      <c r="F191" s="286"/>
      <c r="G191" s="286"/>
      <c r="H191" s="471"/>
      <c r="I191" s="286"/>
      <c r="J191" s="286"/>
      <c r="K191" s="285"/>
    </row>
    <row r="192" spans="1:11" s="334" customFormat="1" x14ac:dyDescent="0.2">
      <c r="A192" s="285"/>
      <c r="B192" s="285"/>
      <c r="C192" s="285"/>
      <c r="D192" s="286"/>
      <c r="E192" s="286"/>
      <c r="F192" s="286"/>
      <c r="G192" s="286"/>
      <c r="H192" s="471"/>
      <c r="I192" s="286"/>
      <c r="J192" s="286"/>
      <c r="K192" s="285"/>
    </row>
    <row r="193" spans="1:11" s="334" customFormat="1" x14ac:dyDescent="0.2">
      <c r="A193" s="285"/>
      <c r="B193" s="285"/>
      <c r="C193" s="285"/>
      <c r="D193" s="286"/>
      <c r="E193" s="286"/>
      <c r="F193" s="286"/>
      <c r="G193" s="286"/>
      <c r="H193" s="471"/>
      <c r="I193" s="286"/>
      <c r="J193" s="286"/>
      <c r="K193" s="285"/>
    </row>
    <row r="194" spans="1:11" s="334" customFormat="1" x14ac:dyDescent="0.2">
      <c r="A194" s="285"/>
      <c r="B194" s="285"/>
      <c r="C194" s="285"/>
      <c r="D194" s="286"/>
      <c r="E194" s="286"/>
      <c r="F194" s="286"/>
      <c r="G194" s="286"/>
      <c r="H194" s="471"/>
      <c r="I194" s="286"/>
      <c r="J194" s="286"/>
      <c r="K194" s="285"/>
    </row>
    <row r="195" spans="1:11" s="334" customFormat="1" x14ac:dyDescent="0.2">
      <c r="A195" s="285"/>
      <c r="B195" s="285"/>
      <c r="C195" s="285"/>
      <c r="D195" s="286"/>
      <c r="E195" s="286"/>
      <c r="F195" s="286"/>
      <c r="G195" s="286"/>
      <c r="H195" s="471"/>
      <c r="I195" s="286"/>
      <c r="J195" s="286"/>
      <c r="K195" s="285"/>
    </row>
    <row r="196" spans="1:11" s="334" customFormat="1" x14ac:dyDescent="0.2">
      <c r="A196" s="285"/>
      <c r="B196" s="285"/>
      <c r="C196" s="285"/>
      <c r="D196" s="286"/>
      <c r="E196" s="286"/>
      <c r="F196" s="286"/>
      <c r="G196" s="286"/>
      <c r="H196" s="471"/>
      <c r="I196" s="286"/>
      <c r="J196" s="286"/>
      <c r="K196" s="285"/>
    </row>
    <row r="197" spans="1:11" s="334" customFormat="1" x14ac:dyDescent="0.2">
      <c r="A197" s="285"/>
      <c r="B197" s="285"/>
      <c r="C197" s="285"/>
      <c r="D197" s="286"/>
      <c r="E197" s="286"/>
      <c r="F197" s="286"/>
      <c r="G197" s="286"/>
      <c r="H197" s="471"/>
      <c r="I197" s="286"/>
      <c r="J197" s="286"/>
      <c r="K197" s="285"/>
    </row>
    <row r="198" spans="1:11" s="334" customFormat="1" x14ac:dyDescent="0.2">
      <c r="A198" s="285"/>
      <c r="B198" s="285"/>
      <c r="C198" s="285"/>
      <c r="D198" s="286"/>
      <c r="E198" s="286"/>
      <c r="F198" s="286"/>
      <c r="G198" s="286"/>
      <c r="H198" s="471"/>
      <c r="I198" s="286"/>
      <c r="J198" s="286"/>
      <c r="K198" s="285"/>
    </row>
    <row r="199" spans="1:11" s="334" customFormat="1" x14ac:dyDescent="0.2">
      <c r="A199" s="285"/>
      <c r="B199" s="285"/>
      <c r="C199" s="285"/>
      <c r="D199" s="286"/>
      <c r="E199" s="286"/>
      <c r="F199" s="286"/>
      <c r="G199" s="286"/>
      <c r="H199" s="471"/>
      <c r="I199" s="286"/>
      <c r="J199" s="286"/>
      <c r="K199" s="285"/>
    </row>
    <row r="200" spans="1:11" s="334" customFormat="1" x14ac:dyDescent="0.2">
      <c r="A200" s="285"/>
      <c r="B200" s="285"/>
      <c r="C200" s="285"/>
      <c r="D200" s="286"/>
      <c r="E200" s="286"/>
      <c r="F200" s="286"/>
      <c r="G200" s="286"/>
      <c r="H200" s="471"/>
      <c r="I200" s="286"/>
      <c r="J200" s="286"/>
      <c r="K200" s="285"/>
    </row>
    <row r="201" spans="1:11" s="334" customFormat="1" x14ac:dyDescent="0.2">
      <c r="A201" s="285"/>
      <c r="B201" s="285"/>
      <c r="C201" s="285"/>
      <c r="D201" s="286"/>
      <c r="E201" s="286"/>
      <c r="F201" s="286"/>
      <c r="G201" s="286"/>
      <c r="H201" s="471"/>
      <c r="I201" s="286"/>
      <c r="J201" s="286"/>
      <c r="K201" s="285"/>
    </row>
    <row r="202" spans="1:11" s="334" customFormat="1" x14ac:dyDescent="0.2">
      <c r="A202" s="285"/>
      <c r="B202" s="285"/>
      <c r="C202" s="285"/>
      <c r="D202" s="286"/>
      <c r="E202" s="286"/>
      <c r="F202" s="286"/>
      <c r="G202" s="286"/>
      <c r="H202" s="471"/>
      <c r="I202" s="286"/>
      <c r="J202" s="286"/>
      <c r="K202" s="285"/>
    </row>
    <row r="203" spans="1:11" s="334" customFormat="1" x14ac:dyDescent="0.2">
      <c r="A203" s="285"/>
      <c r="B203" s="285"/>
      <c r="C203" s="285"/>
      <c r="D203" s="286"/>
      <c r="E203" s="286"/>
      <c r="F203" s="286"/>
      <c r="G203" s="286"/>
      <c r="H203" s="471"/>
      <c r="I203" s="286"/>
      <c r="J203" s="286"/>
      <c r="K203" s="285"/>
    </row>
    <row r="204" spans="1:11" s="334" customFormat="1" x14ac:dyDescent="0.2">
      <c r="A204" s="285"/>
      <c r="B204" s="285"/>
      <c r="C204" s="285"/>
      <c r="D204" s="286"/>
      <c r="E204" s="286"/>
      <c r="F204" s="286"/>
      <c r="G204" s="286"/>
      <c r="H204" s="471"/>
      <c r="I204" s="286"/>
      <c r="J204" s="286"/>
      <c r="K204" s="285"/>
    </row>
    <row r="205" spans="1:11" s="334" customFormat="1" x14ac:dyDescent="0.2">
      <c r="A205" s="285"/>
      <c r="B205" s="285"/>
      <c r="C205" s="285"/>
      <c r="D205" s="286"/>
      <c r="E205" s="286"/>
      <c r="F205" s="286"/>
      <c r="G205" s="286"/>
      <c r="H205" s="471"/>
      <c r="I205" s="286"/>
      <c r="J205" s="286"/>
      <c r="K205" s="285"/>
    </row>
    <row r="206" spans="1:11" s="334" customFormat="1" x14ac:dyDescent="0.2">
      <c r="A206" s="285"/>
      <c r="B206" s="285"/>
      <c r="C206" s="285"/>
      <c r="D206" s="286"/>
      <c r="E206" s="286"/>
      <c r="F206" s="286"/>
      <c r="G206" s="286"/>
      <c r="H206" s="471"/>
      <c r="I206" s="286"/>
      <c r="J206" s="286"/>
      <c r="K206" s="285"/>
    </row>
    <row r="207" spans="1:11" s="334" customFormat="1" x14ac:dyDescent="0.2">
      <c r="A207" s="285"/>
      <c r="B207" s="285"/>
      <c r="C207" s="285"/>
      <c r="D207" s="286"/>
      <c r="E207" s="286"/>
      <c r="F207" s="286"/>
      <c r="G207" s="286"/>
      <c r="H207" s="471"/>
      <c r="I207" s="286"/>
      <c r="J207" s="286"/>
      <c r="K207" s="285"/>
    </row>
    <row r="208" spans="1:11" s="334" customFormat="1" x14ac:dyDescent="0.2">
      <c r="A208" s="285"/>
      <c r="B208" s="285"/>
      <c r="C208" s="285"/>
      <c r="D208" s="286"/>
      <c r="E208" s="286"/>
      <c r="F208" s="286"/>
      <c r="G208" s="286"/>
      <c r="H208" s="471"/>
      <c r="I208" s="286"/>
      <c r="J208" s="286"/>
      <c r="K208" s="285"/>
    </row>
    <row r="209" spans="1:11" s="334" customFormat="1" x14ac:dyDescent="0.2">
      <c r="A209" s="285"/>
      <c r="B209" s="285"/>
      <c r="C209" s="285"/>
      <c r="D209" s="286"/>
      <c r="E209" s="286"/>
      <c r="F209" s="286"/>
      <c r="G209" s="286"/>
      <c r="H209" s="471"/>
      <c r="I209" s="286"/>
      <c r="J209" s="286"/>
      <c r="K209" s="285"/>
    </row>
    <row r="210" spans="1:11" s="334" customFormat="1" x14ac:dyDescent="0.2">
      <c r="A210" s="285"/>
      <c r="B210" s="285"/>
      <c r="C210" s="285"/>
      <c r="D210" s="286"/>
      <c r="E210" s="286"/>
      <c r="F210" s="286"/>
      <c r="G210" s="286"/>
      <c r="H210" s="471"/>
      <c r="I210" s="286"/>
      <c r="J210" s="286"/>
      <c r="K210" s="285"/>
    </row>
    <row r="211" spans="1:11" s="334" customFormat="1" x14ac:dyDescent="0.2">
      <c r="A211" s="285"/>
      <c r="B211" s="285"/>
      <c r="C211" s="285"/>
      <c r="D211" s="286"/>
      <c r="E211" s="286"/>
      <c r="F211" s="286"/>
      <c r="G211" s="286"/>
      <c r="H211" s="471"/>
      <c r="I211" s="286"/>
      <c r="J211" s="286"/>
      <c r="K211" s="285"/>
    </row>
    <row r="212" spans="1:11" s="334" customFormat="1" x14ac:dyDescent="0.2">
      <c r="A212" s="285"/>
      <c r="B212" s="285"/>
      <c r="C212" s="285"/>
      <c r="D212" s="286"/>
      <c r="E212" s="286"/>
      <c r="F212" s="286"/>
      <c r="G212" s="286"/>
      <c r="H212" s="471"/>
      <c r="I212" s="286"/>
      <c r="J212" s="286"/>
      <c r="K212" s="285"/>
    </row>
    <row r="213" spans="1:11" s="334" customFormat="1" x14ac:dyDescent="0.2">
      <c r="A213" s="285"/>
      <c r="B213" s="285"/>
      <c r="C213" s="285"/>
      <c r="D213" s="286"/>
      <c r="E213" s="286"/>
      <c r="F213" s="286"/>
      <c r="G213" s="286"/>
      <c r="H213" s="471"/>
      <c r="I213" s="286"/>
      <c r="J213" s="286"/>
      <c r="K213" s="285"/>
    </row>
    <row r="214" spans="1:11" s="334" customFormat="1" x14ac:dyDescent="0.2">
      <c r="A214" s="285"/>
      <c r="B214" s="285"/>
      <c r="C214" s="285"/>
      <c r="D214" s="286"/>
      <c r="E214" s="286"/>
      <c r="F214" s="286"/>
      <c r="G214" s="286"/>
      <c r="H214" s="471"/>
      <c r="I214" s="286"/>
      <c r="J214" s="286"/>
      <c r="K214" s="285"/>
    </row>
    <row r="215" spans="1:11" s="334" customFormat="1" x14ac:dyDescent="0.2">
      <c r="A215" s="285"/>
      <c r="B215" s="285"/>
      <c r="C215" s="285"/>
      <c r="D215" s="286"/>
      <c r="E215" s="286"/>
      <c r="F215" s="286"/>
      <c r="G215" s="286"/>
      <c r="H215" s="471"/>
      <c r="I215" s="286"/>
      <c r="J215" s="286"/>
      <c r="K215" s="285"/>
    </row>
    <row r="216" spans="1:11" s="334" customFormat="1" x14ac:dyDescent="0.2">
      <c r="A216" s="285"/>
      <c r="B216" s="285"/>
      <c r="C216" s="285"/>
      <c r="D216" s="286"/>
      <c r="E216" s="286"/>
      <c r="F216" s="286"/>
      <c r="G216" s="286"/>
      <c r="H216" s="471"/>
      <c r="I216" s="286"/>
      <c r="J216" s="286"/>
      <c r="K216" s="285"/>
    </row>
    <row r="217" spans="1:11" s="334" customFormat="1" x14ac:dyDescent="0.2">
      <c r="A217" s="285"/>
      <c r="B217" s="285"/>
      <c r="C217" s="285"/>
      <c r="D217" s="286"/>
      <c r="E217" s="286"/>
      <c r="F217" s="286"/>
      <c r="G217" s="286"/>
      <c r="H217" s="471"/>
      <c r="I217" s="286"/>
      <c r="J217" s="286"/>
      <c r="K217" s="285"/>
    </row>
    <row r="218" spans="1:11" s="334" customFormat="1" x14ac:dyDescent="0.2">
      <c r="A218" s="285"/>
      <c r="B218" s="285"/>
      <c r="C218" s="285"/>
      <c r="D218" s="286"/>
      <c r="E218" s="286"/>
      <c r="F218" s="286"/>
      <c r="G218" s="286"/>
      <c r="H218" s="471"/>
      <c r="I218" s="286"/>
      <c r="J218" s="286"/>
      <c r="K218" s="285"/>
    </row>
    <row r="219" spans="1:11" s="334" customFormat="1" x14ac:dyDescent="0.2">
      <c r="A219" s="285"/>
      <c r="B219" s="285"/>
      <c r="C219" s="285"/>
      <c r="D219" s="286"/>
      <c r="E219" s="286"/>
      <c r="F219" s="286"/>
      <c r="G219" s="286"/>
      <c r="H219" s="471"/>
      <c r="I219" s="286"/>
      <c r="J219" s="286"/>
      <c r="K219" s="285"/>
    </row>
    <row r="220" spans="1:11" s="334" customFormat="1" x14ac:dyDescent="0.2">
      <c r="A220" s="285"/>
      <c r="B220" s="285"/>
      <c r="C220" s="285"/>
      <c r="D220" s="286"/>
      <c r="E220" s="286"/>
      <c r="F220" s="286"/>
      <c r="G220" s="286"/>
      <c r="H220" s="471"/>
      <c r="I220" s="286"/>
      <c r="J220" s="286"/>
      <c r="K220" s="285"/>
    </row>
    <row r="221" spans="1:11" s="334" customFormat="1" x14ac:dyDescent="0.2">
      <c r="A221" s="285"/>
      <c r="B221" s="285"/>
      <c r="C221" s="285"/>
      <c r="D221" s="286"/>
      <c r="E221" s="286"/>
      <c r="F221" s="286"/>
      <c r="G221" s="286"/>
      <c r="H221" s="471"/>
      <c r="I221" s="286"/>
      <c r="J221" s="286"/>
      <c r="K221" s="285"/>
    </row>
    <row r="222" spans="1:11" s="334" customFormat="1" x14ac:dyDescent="0.2">
      <c r="A222" s="285"/>
      <c r="B222" s="285"/>
      <c r="C222" s="285"/>
      <c r="D222" s="286"/>
      <c r="E222" s="286"/>
      <c r="F222" s="286"/>
      <c r="G222" s="286"/>
      <c r="H222" s="471"/>
      <c r="I222" s="286"/>
      <c r="J222" s="286"/>
      <c r="K222" s="285"/>
    </row>
    <row r="223" spans="1:11" s="334" customFormat="1" x14ac:dyDescent="0.2">
      <c r="A223" s="285"/>
      <c r="B223" s="285"/>
      <c r="C223" s="285"/>
      <c r="D223" s="286"/>
      <c r="E223" s="286"/>
      <c r="F223" s="286"/>
      <c r="G223" s="286"/>
      <c r="H223" s="471"/>
      <c r="I223" s="286"/>
      <c r="J223" s="286"/>
      <c r="K223" s="285"/>
    </row>
    <row r="224" spans="1:11" s="334" customFormat="1" x14ac:dyDescent="0.2">
      <c r="A224" s="285"/>
      <c r="B224" s="285"/>
      <c r="C224" s="285"/>
      <c r="D224" s="286"/>
      <c r="E224" s="286"/>
      <c r="F224" s="286"/>
      <c r="G224" s="286"/>
      <c r="H224" s="471"/>
      <c r="I224" s="286"/>
      <c r="J224" s="286"/>
      <c r="K224" s="285"/>
    </row>
    <row r="225" spans="1:11" s="334" customFormat="1" x14ac:dyDescent="0.2">
      <c r="A225" s="285"/>
      <c r="B225" s="285"/>
      <c r="C225" s="285"/>
      <c r="D225" s="286"/>
      <c r="E225" s="286"/>
      <c r="F225" s="286"/>
      <c r="G225" s="286"/>
      <c r="H225" s="471"/>
      <c r="I225" s="286"/>
      <c r="J225" s="286"/>
      <c r="K225" s="285"/>
    </row>
    <row r="226" spans="1:11" s="334" customFormat="1" x14ac:dyDescent="0.2">
      <c r="A226" s="285"/>
      <c r="B226" s="285"/>
      <c r="C226" s="285"/>
      <c r="D226" s="286"/>
      <c r="E226" s="286"/>
      <c r="F226" s="286"/>
      <c r="G226" s="286"/>
      <c r="H226" s="471"/>
      <c r="I226" s="286"/>
      <c r="J226" s="286"/>
      <c r="K226" s="285"/>
    </row>
    <row r="227" spans="1:11" s="334" customFormat="1" x14ac:dyDescent="0.2">
      <c r="A227" s="285"/>
      <c r="B227" s="285"/>
      <c r="C227" s="285"/>
      <c r="D227" s="286"/>
      <c r="E227" s="286"/>
      <c r="F227" s="286"/>
      <c r="G227" s="286"/>
      <c r="H227" s="471"/>
      <c r="I227" s="286"/>
      <c r="J227" s="286"/>
      <c r="K227" s="285"/>
    </row>
    <row r="228" spans="1:11" s="334" customFormat="1" x14ac:dyDescent="0.2">
      <c r="A228" s="285"/>
      <c r="B228" s="285"/>
      <c r="C228" s="285"/>
      <c r="D228" s="286"/>
      <c r="E228" s="286"/>
      <c r="F228" s="286"/>
      <c r="G228" s="286"/>
      <c r="H228" s="471"/>
      <c r="I228" s="286"/>
      <c r="J228" s="286"/>
      <c r="K228" s="285"/>
    </row>
    <row r="229" spans="1:11" s="334" customFormat="1" x14ac:dyDescent="0.2">
      <c r="A229" s="285"/>
      <c r="B229" s="285"/>
      <c r="C229" s="285"/>
      <c r="D229" s="286"/>
      <c r="E229" s="286"/>
      <c r="F229" s="286"/>
      <c r="G229" s="286"/>
      <c r="H229" s="471"/>
      <c r="I229" s="286"/>
      <c r="J229" s="286"/>
      <c r="K229" s="285"/>
    </row>
    <row r="230" spans="1:11" s="334" customFormat="1" x14ac:dyDescent="0.2">
      <c r="A230" s="285"/>
      <c r="B230" s="285"/>
      <c r="C230" s="285"/>
      <c r="D230" s="286"/>
      <c r="E230" s="286"/>
      <c r="F230" s="286"/>
      <c r="G230" s="286"/>
      <c r="H230" s="471"/>
      <c r="I230" s="286"/>
      <c r="J230" s="286"/>
      <c r="K230" s="285"/>
    </row>
    <row r="231" spans="1:11" s="334" customFormat="1" x14ac:dyDescent="0.2">
      <c r="A231" s="285"/>
      <c r="B231" s="285"/>
      <c r="C231" s="285"/>
      <c r="D231" s="286"/>
      <c r="E231" s="286"/>
      <c r="F231" s="286"/>
      <c r="G231" s="286"/>
      <c r="H231" s="471"/>
      <c r="I231" s="286"/>
      <c r="J231" s="286"/>
      <c r="K231" s="285"/>
    </row>
    <row r="232" spans="1:11" s="334" customFormat="1" x14ac:dyDescent="0.2">
      <c r="A232" s="285"/>
      <c r="B232" s="285"/>
      <c r="C232" s="285"/>
      <c r="D232" s="286"/>
      <c r="E232" s="286"/>
      <c r="F232" s="286"/>
      <c r="G232" s="286"/>
      <c r="H232" s="471"/>
      <c r="I232" s="286"/>
      <c r="J232" s="286"/>
      <c r="K232" s="285"/>
    </row>
    <row r="233" spans="1:11" s="334" customFormat="1" x14ac:dyDescent="0.2">
      <c r="A233" s="285"/>
      <c r="B233" s="285"/>
      <c r="C233" s="285"/>
      <c r="D233" s="286"/>
      <c r="E233" s="286"/>
      <c r="F233" s="286"/>
      <c r="G233" s="286"/>
      <c r="H233" s="471"/>
      <c r="I233" s="286"/>
      <c r="J233" s="286"/>
      <c r="K233" s="285"/>
    </row>
    <row r="234" spans="1:11" s="334" customFormat="1" x14ac:dyDescent="0.2">
      <c r="A234" s="285"/>
      <c r="B234" s="285"/>
      <c r="C234" s="285"/>
      <c r="D234" s="286"/>
      <c r="E234" s="286"/>
      <c r="F234" s="286"/>
      <c r="G234" s="286"/>
      <c r="H234" s="471"/>
      <c r="I234" s="286"/>
      <c r="J234" s="286"/>
      <c r="K234" s="285"/>
    </row>
    <row r="235" spans="1:11" s="334" customFormat="1" x14ac:dyDescent="0.2">
      <c r="A235" s="285"/>
      <c r="B235" s="285"/>
      <c r="C235" s="285"/>
      <c r="D235" s="286"/>
      <c r="E235" s="286"/>
      <c r="F235" s="286"/>
      <c r="G235" s="286"/>
      <c r="H235" s="471"/>
      <c r="I235" s="286"/>
      <c r="J235" s="286"/>
      <c r="K235" s="285"/>
    </row>
    <row r="236" spans="1:11" s="334" customFormat="1" x14ac:dyDescent="0.2">
      <c r="A236" s="285"/>
      <c r="B236" s="285"/>
      <c r="C236" s="285"/>
      <c r="D236" s="286"/>
      <c r="E236" s="286"/>
      <c r="F236" s="286"/>
      <c r="G236" s="286"/>
      <c r="H236" s="471"/>
      <c r="I236" s="286"/>
      <c r="J236" s="286"/>
      <c r="K236" s="285"/>
    </row>
    <row r="237" spans="1:11" s="334" customFormat="1" x14ac:dyDescent="0.2">
      <c r="A237" s="285"/>
      <c r="B237" s="285"/>
      <c r="C237" s="285"/>
      <c r="D237" s="286"/>
      <c r="E237" s="286"/>
      <c r="F237" s="286"/>
      <c r="G237" s="286"/>
      <c r="H237" s="471"/>
      <c r="I237" s="286"/>
      <c r="J237" s="286"/>
      <c r="K237" s="285"/>
    </row>
    <row r="238" spans="1:11" s="334" customFormat="1" x14ac:dyDescent="0.2">
      <c r="A238" s="285"/>
      <c r="B238" s="285"/>
      <c r="C238" s="285"/>
      <c r="D238" s="286"/>
      <c r="E238" s="286"/>
      <c r="F238" s="286"/>
      <c r="G238" s="286"/>
      <c r="H238" s="471"/>
      <c r="I238" s="286"/>
      <c r="J238" s="286"/>
      <c r="K238" s="285"/>
    </row>
    <row r="239" spans="1:11" s="334" customFormat="1" x14ac:dyDescent="0.2">
      <c r="A239" s="285"/>
      <c r="B239" s="285"/>
      <c r="C239" s="285"/>
      <c r="D239" s="286"/>
      <c r="E239" s="286"/>
      <c r="F239" s="286"/>
      <c r="G239" s="286"/>
      <c r="H239" s="471"/>
      <c r="I239" s="286"/>
      <c r="J239" s="286"/>
      <c r="K239" s="285"/>
    </row>
    <row r="240" spans="1:11" s="334" customFormat="1" x14ac:dyDescent="0.2">
      <c r="A240" s="285"/>
      <c r="B240" s="285"/>
      <c r="C240" s="285"/>
      <c r="D240" s="286"/>
      <c r="E240" s="286"/>
      <c r="F240" s="286"/>
      <c r="G240" s="286"/>
      <c r="H240" s="471"/>
      <c r="I240" s="286"/>
      <c r="J240" s="286"/>
      <c r="K240" s="285"/>
    </row>
    <row r="241" spans="1:11" s="334" customFormat="1" x14ac:dyDescent="0.2">
      <c r="A241" s="285"/>
      <c r="B241" s="285"/>
      <c r="C241" s="285"/>
      <c r="D241" s="286"/>
      <c r="E241" s="286"/>
      <c r="F241" s="286"/>
      <c r="G241" s="286"/>
      <c r="H241" s="471"/>
      <c r="I241" s="286"/>
      <c r="J241" s="286"/>
      <c r="K241" s="285"/>
    </row>
    <row r="242" spans="1:11" s="334" customFormat="1" x14ac:dyDescent="0.2">
      <c r="A242" s="285"/>
      <c r="B242" s="285"/>
      <c r="C242" s="285"/>
      <c r="D242" s="286"/>
      <c r="E242" s="286"/>
      <c r="F242" s="286"/>
      <c r="G242" s="286"/>
      <c r="H242" s="471"/>
      <c r="I242" s="286"/>
      <c r="J242" s="286"/>
      <c r="K242" s="285"/>
    </row>
    <row r="243" spans="1:11" s="334" customFormat="1" x14ac:dyDescent="0.2">
      <c r="A243" s="285"/>
      <c r="B243" s="285"/>
      <c r="C243" s="285"/>
      <c r="D243" s="286"/>
      <c r="E243" s="286"/>
      <c r="F243" s="286"/>
      <c r="G243" s="286"/>
      <c r="H243" s="471"/>
      <c r="I243" s="286"/>
      <c r="J243" s="286"/>
      <c r="K243" s="285"/>
    </row>
    <row r="244" spans="1:11" s="334" customFormat="1" x14ac:dyDescent="0.2">
      <c r="A244" s="285"/>
      <c r="B244" s="285"/>
      <c r="C244" s="285"/>
      <c r="D244" s="286"/>
      <c r="E244" s="286"/>
      <c r="F244" s="286"/>
      <c r="G244" s="286"/>
      <c r="H244" s="471"/>
      <c r="I244" s="286"/>
      <c r="J244" s="286"/>
      <c r="K244" s="285"/>
    </row>
    <row r="245" spans="1:11" s="334" customFormat="1" x14ac:dyDescent="0.2">
      <c r="A245" s="285"/>
      <c r="B245" s="285"/>
      <c r="C245" s="285"/>
      <c r="D245" s="286"/>
      <c r="E245" s="286"/>
      <c r="F245" s="286"/>
      <c r="G245" s="286"/>
      <c r="H245" s="471"/>
      <c r="I245" s="286"/>
      <c r="J245" s="286"/>
      <c r="K245" s="285"/>
    </row>
    <row r="246" spans="1:11" s="334" customFormat="1" x14ac:dyDescent="0.2">
      <c r="A246" s="285"/>
      <c r="B246" s="285"/>
      <c r="C246" s="285"/>
      <c r="D246" s="286"/>
      <c r="E246" s="286"/>
      <c r="F246" s="286"/>
      <c r="G246" s="286"/>
      <c r="H246" s="471"/>
      <c r="I246" s="286"/>
      <c r="J246" s="286"/>
      <c r="K246" s="285"/>
    </row>
    <row r="247" spans="1:11" s="334" customFormat="1" x14ac:dyDescent="0.2">
      <c r="A247" s="285"/>
      <c r="B247" s="285"/>
      <c r="C247" s="285"/>
      <c r="D247" s="286"/>
      <c r="E247" s="286"/>
      <c r="F247" s="286"/>
      <c r="G247" s="286"/>
      <c r="H247" s="471"/>
      <c r="I247" s="286"/>
      <c r="J247" s="286"/>
      <c r="K247" s="285"/>
    </row>
    <row r="248" spans="1:11" s="334" customFormat="1" x14ac:dyDescent="0.2">
      <c r="A248" s="285"/>
      <c r="B248" s="285"/>
      <c r="C248" s="285"/>
      <c r="D248" s="286"/>
      <c r="E248" s="286"/>
      <c r="F248" s="286"/>
      <c r="G248" s="286"/>
      <c r="H248" s="471"/>
      <c r="I248" s="286"/>
      <c r="J248" s="286"/>
      <c r="K248" s="285"/>
    </row>
    <row r="249" spans="1:11" s="334" customFormat="1" x14ac:dyDescent="0.2">
      <c r="A249" s="285"/>
      <c r="B249" s="285"/>
      <c r="C249" s="285"/>
      <c r="D249" s="286"/>
      <c r="E249" s="286"/>
      <c r="F249" s="286"/>
      <c r="G249" s="286"/>
      <c r="H249" s="471"/>
      <c r="I249" s="286"/>
      <c r="J249" s="286"/>
      <c r="K249" s="285"/>
    </row>
    <row r="250" spans="1:11" s="334" customFormat="1" x14ac:dyDescent="0.2">
      <c r="A250" s="285"/>
      <c r="B250" s="285"/>
      <c r="C250" s="285"/>
      <c r="D250" s="286"/>
      <c r="E250" s="286"/>
      <c r="F250" s="286"/>
      <c r="G250" s="286"/>
      <c r="H250" s="471"/>
      <c r="I250" s="286"/>
      <c r="J250" s="286"/>
      <c r="K250" s="285"/>
    </row>
    <row r="251" spans="1:11" s="334" customFormat="1" x14ac:dyDescent="0.2">
      <c r="A251" s="285"/>
      <c r="B251" s="285"/>
      <c r="C251" s="285"/>
      <c r="D251" s="286"/>
      <c r="E251" s="286"/>
      <c r="F251" s="286"/>
      <c r="G251" s="286"/>
      <c r="H251" s="471"/>
      <c r="I251" s="286"/>
      <c r="J251" s="286"/>
      <c r="K251" s="285"/>
    </row>
    <row r="252" spans="1:11" s="334" customFormat="1" x14ac:dyDescent="0.2">
      <c r="A252" s="285"/>
      <c r="B252" s="285"/>
      <c r="C252" s="285"/>
      <c r="D252" s="286"/>
      <c r="E252" s="286"/>
      <c r="F252" s="286"/>
      <c r="G252" s="286"/>
      <c r="H252" s="471"/>
      <c r="I252" s="286"/>
      <c r="J252" s="286"/>
      <c r="K252" s="285"/>
    </row>
    <row r="253" spans="1:11" s="334" customFormat="1" x14ac:dyDescent="0.2">
      <c r="A253" s="285"/>
      <c r="B253" s="285"/>
      <c r="C253" s="285"/>
      <c r="D253" s="286"/>
      <c r="E253" s="286"/>
      <c r="F253" s="286"/>
      <c r="G253" s="286"/>
      <c r="H253" s="471"/>
      <c r="I253" s="286"/>
      <c r="J253" s="286"/>
      <c r="K253" s="285"/>
    </row>
    <row r="254" spans="1:11" s="334" customFormat="1" x14ac:dyDescent="0.2">
      <c r="A254" s="285"/>
      <c r="B254" s="285"/>
      <c r="C254" s="285"/>
      <c r="D254" s="286"/>
      <c r="E254" s="286"/>
      <c r="F254" s="286"/>
      <c r="G254" s="286"/>
      <c r="H254" s="471"/>
      <c r="I254" s="286"/>
      <c r="J254" s="286"/>
      <c r="K254" s="285"/>
    </row>
    <row r="255" spans="1:11" s="334" customFormat="1" x14ac:dyDescent="0.2">
      <c r="A255" s="285"/>
      <c r="B255" s="285"/>
      <c r="C255" s="285"/>
      <c r="D255" s="286"/>
      <c r="E255" s="286"/>
      <c r="F255" s="286"/>
      <c r="G255" s="286"/>
      <c r="H255" s="471"/>
      <c r="I255" s="286"/>
      <c r="J255" s="286"/>
      <c r="K255" s="285"/>
    </row>
    <row r="256" spans="1:11" s="334" customFormat="1" x14ac:dyDescent="0.2">
      <c r="A256" s="285"/>
      <c r="B256" s="285"/>
      <c r="C256" s="285"/>
      <c r="D256" s="286"/>
      <c r="E256" s="286"/>
      <c r="F256" s="286"/>
      <c r="G256" s="286"/>
      <c r="H256" s="471"/>
      <c r="I256" s="286"/>
      <c r="J256" s="286"/>
      <c r="K256" s="285"/>
    </row>
    <row r="257" spans="1:11" s="334" customFormat="1" x14ac:dyDescent="0.2">
      <c r="A257" s="285"/>
      <c r="B257" s="285"/>
      <c r="C257" s="285"/>
      <c r="D257" s="286"/>
      <c r="E257" s="286"/>
      <c r="F257" s="286"/>
      <c r="G257" s="286"/>
      <c r="H257" s="471"/>
      <c r="I257" s="286"/>
      <c r="J257" s="286"/>
      <c r="K257" s="285"/>
    </row>
    <row r="258" spans="1:11" s="334" customFormat="1" x14ac:dyDescent="0.2">
      <c r="A258" s="285"/>
      <c r="B258" s="285"/>
      <c r="C258" s="285"/>
      <c r="D258" s="286"/>
      <c r="E258" s="286"/>
      <c r="F258" s="286"/>
      <c r="G258" s="286"/>
      <c r="H258" s="471"/>
      <c r="I258" s="286"/>
      <c r="J258" s="286"/>
      <c r="K258" s="285"/>
    </row>
    <row r="259" spans="1:11" s="334" customFormat="1" x14ac:dyDescent="0.2">
      <c r="A259" s="285"/>
      <c r="B259" s="285"/>
      <c r="C259" s="285"/>
      <c r="D259" s="286"/>
      <c r="E259" s="286"/>
      <c r="F259" s="286"/>
      <c r="G259" s="286"/>
      <c r="H259" s="471"/>
      <c r="I259" s="286"/>
      <c r="J259" s="286"/>
      <c r="K259" s="285"/>
    </row>
    <row r="260" spans="1:11" s="334" customFormat="1" x14ac:dyDescent="0.2">
      <c r="A260" s="285"/>
      <c r="B260" s="285"/>
      <c r="C260" s="285"/>
      <c r="D260" s="286"/>
      <c r="E260" s="286"/>
      <c r="F260" s="286"/>
      <c r="G260" s="286"/>
      <c r="H260" s="471"/>
      <c r="I260" s="286"/>
      <c r="J260" s="286"/>
      <c r="K260" s="285"/>
    </row>
    <row r="261" spans="1:11" s="334" customFormat="1" x14ac:dyDescent="0.2">
      <c r="A261" s="285"/>
      <c r="B261" s="285"/>
      <c r="C261" s="285"/>
      <c r="D261" s="286"/>
      <c r="E261" s="286"/>
      <c r="F261" s="286"/>
      <c r="G261" s="286"/>
      <c r="H261" s="471"/>
      <c r="I261" s="286"/>
      <c r="J261" s="286"/>
      <c r="K261" s="285"/>
    </row>
    <row r="262" spans="1:11" s="334" customFormat="1" x14ac:dyDescent="0.2">
      <c r="A262" s="285"/>
      <c r="B262" s="285"/>
      <c r="C262" s="285"/>
      <c r="D262" s="286"/>
      <c r="E262" s="286"/>
      <c r="F262" s="286"/>
      <c r="G262" s="286"/>
      <c r="H262" s="471"/>
      <c r="I262" s="286"/>
      <c r="J262" s="286"/>
      <c r="K262" s="285"/>
    </row>
    <row r="263" spans="1:11" s="334" customFormat="1" x14ac:dyDescent="0.2">
      <c r="A263" s="285"/>
      <c r="B263" s="285"/>
      <c r="C263" s="285"/>
      <c r="D263" s="286"/>
      <c r="E263" s="286"/>
      <c r="F263" s="286"/>
      <c r="G263" s="286"/>
      <c r="H263" s="471"/>
      <c r="I263" s="286"/>
      <c r="J263" s="286"/>
      <c r="K263" s="285"/>
    </row>
    <row r="264" spans="1:11" s="334" customFormat="1" x14ac:dyDescent="0.2">
      <c r="A264" s="285"/>
      <c r="B264" s="285"/>
      <c r="C264" s="285"/>
      <c r="D264" s="286"/>
      <c r="E264" s="286"/>
      <c r="F264" s="286"/>
      <c r="G264" s="286"/>
      <c r="H264" s="471"/>
      <c r="I264" s="286"/>
      <c r="J264" s="286"/>
      <c r="K264" s="285"/>
    </row>
    <row r="265" spans="1:11" s="334" customFormat="1" x14ac:dyDescent="0.2">
      <c r="A265" s="285"/>
      <c r="B265" s="285"/>
      <c r="C265" s="285"/>
      <c r="D265" s="286"/>
      <c r="E265" s="286"/>
      <c r="F265" s="286"/>
      <c r="G265" s="286"/>
      <c r="H265" s="471"/>
      <c r="I265" s="286"/>
      <c r="J265" s="286"/>
      <c r="K265" s="285"/>
    </row>
    <row r="266" spans="1:11" s="334" customFormat="1" x14ac:dyDescent="0.2">
      <c r="A266" s="285"/>
      <c r="B266" s="285"/>
      <c r="C266" s="285"/>
      <c r="D266" s="286"/>
      <c r="E266" s="286"/>
      <c r="F266" s="286"/>
      <c r="G266" s="286"/>
      <c r="H266" s="471"/>
      <c r="I266" s="286"/>
      <c r="J266" s="286"/>
      <c r="K266" s="285"/>
    </row>
    <row r="267" spans="1:11" s="334" customFormat="1" x14ac:dyDescent="0.2">
      <c r="A267" s="285"/>
      <c r="B267" s="285"/>
      <c r="C267" s="285"/>
      <c r="D267" s="286"/>
      <c r="E267" s="286"/>
      <c r="F267" s="286"/>
      <c r="G267" s="286"/>
      <c r="H267" s="471"/>
      <c r="I267" s="286"/>
      <c r="J267" s="286"/>
      <c r="K267" s="285"/>
    </row>
    <row r="268" spans="1:11" s="334" customFormat="1" x14ac:dyDescent="0.2">
      <c r="A268" s="285"/>
      <c r="B268" s="285"/>
      <c r="C268" s="285"/>
      <c r="D268" s="286"/>
      <c r="E268" s="286"/>
      <c r="F268" s="286"/>
      <c r="G268" s="286"/>
      <c r="H268" s="471"/>
      <c r="I268" s="286"/>
      <c r="J268" s="286"/>
      <c r="K268" s="285"/>
    </row>
    <row r="269" spans="1:11" s="334" customFormat="1" x14ac:dyDescent="0.2">
      <c r="A269" s="285"/>
      <c r="B269" s="285"/>
      <c r="C269" s="285"/>
      <c r="D269" s="286"/>
      <c r="E269" s="286"/>
      <c r="F269" s="286"/>
      <c r="G269" s="286"/>
      <c r="H269" s="703"/>
      <c r="I269" s="286"/>
      <c r="J269" s="286"/>
      <c r="K269" s="285"/>
    </row>
    <row r="270" spans="1:11" s="334" customFormat="1" x14ac:dyDescent="0.2">
      <c r="A270" s="285"/>
      <c r="B270" s="285"/>
      <c r="C270" s="285"/>
      <c r="D270" s="286"/>
      <c r="E270" s="286"/>
      <c r="F270" s="286"/>
      <c r="G270" s="286"/>
      <c r="H270" s="703"/>
      <c r="I270" s="286"/>
      <c r="J270" s="286"/>
      <c r="K270" s="285"/>
    </row>
    <row r="271" spans="1:11" s="334" customFormat="1" x14ac:dyDescent="0.2">
      <c r="A271" s="285"/>
      <c r="B271" s="285"/>
      <c r="C271" s="285"/>
      <c r="D271" s="286"/>
      <c r="E271" s="286"/>
      <c r="F271" s="286"/>
      <c r="G271" s="286"/>
      <c r="H271" s="703"/>
      <c r="I271" s="286"/>
      <c r="J271" s="286"/>
      <c r="K271" s="285"/>
    </row>
    <row r="272" spans="1:11" s="334" customFormat="1" x14ac:dyDescent="0.2">
      <c r="A272" s="285"/>
      <c r="B272" s="285"/>
      <c r="C272" s="285"/>
      <c r="D272" s="286"/>
      <c r="E272" s="286"/>
      <c r="F272" s="286"/>
      <c r="G272" s="286"/>
      <c r="H272" s="703"/>
      <c r="I272" s="286"/>
      <c r="J272" s="286"/>
      <c r="K272" s="285"/>
    </row>
    <row r="273" spans="1:11" s="334" customFormat="1" x14ac:dyDescent="0.2">
      <c r="A273" s="285"/>
      <c r="B273" s="285"/>
      <c r="C273" s="285"/>
      <c r="D273" s="286"/>
      <c r="E273" s="286"/>
      <c r="F273" s="286"/>
      <c r="G273" s="286"/>
      <c r="H273" s="703"/>
      <c r="I273" s="286"/>
      <c r="J273" s="286"/>
      <c r="K273" s="285"/>
    </row>
    <row r="274" spans="1:11" s="334" customFormat="1" x14ac:dyDescent="0.2">
      <c r="A274" s="285"/>
      <c r="B274" s="285"/>
      <c r="C274" s="285"/>
      <c r="D274" s="286"/>
      <c r="E274" s="286"/>
      <c r="F274" s="286"/>
      <c r="G274" s="286"/>
      <c r="H274" s="703"/>
      <c r="I274" s="286"/>
      <c r="J274" s="286"/>
      <c r="K274" s="285"/>
    </row>
    <row r="275" spans="1:11" s="334" customFormat="1" x14ac:dyDescent="0.2">
      <c r="A275" s="285"/>
      <c r="B275" s="285"/>
      <c r="C275" s="285"/>
      <c r="D275" s="286"/>
      <c r="E275" s="286"/>
      <c r="F275" s="286"/>
      <c r="G275" s="286"/>
      <c r="H275" s="703"/>
      <c r="I275" s="286"/>
      <c r="J275" s="286"/>
      <c r="K275" s="285"/>
    </row>
    <row r="276" spans="1:11" s="334" customFormat="1" x14ac:dyDescent="0.2">
      <c r="A276" s="285"/>
      <c r="B276" s="285"/>
      <c r="C276" s="285"/>
      <c r="D276" s="286"/>
      <c r="E276" s="286"/>
      <c r="F276" s="286"/>
      <c r="G276" s="286"/>
      <c r="H276" s="703"/>
      <c r="I276" s="286"/>
      <c r="J276" s="286"/>
      <c r="K276" s="285"/>
    </row>
    <row r="277" spans="1:11" s="334" customFormat="1" x14ac:dyDescent="0.2">
      <c r="A277" s="285"/>
      <c r="B277" s="285"/>
      <c r="C277" s="285"/>
      <c r="D277" s="286"/>
      <c r="E277" s="286"/>
      <c r="F277" s="286"/>
      <c r="G277" s="286"/>
      <c r="H277" s="703"/>
      <c r="I277" s="286"/>
      <c r="J277" s="286"/>
      <c r="K277" s="285"/>
    </row>
    <row r="278" spans="1:11" s="334" customFormat="1" x14ac:dyDescent="0.2">
      <c r="A278" s="285"/>
      <c r="B278" s="285"/>
      <c r="C278" s="285"/>
      <c r="D278" s="286"/>
      <c r="E278" s="286"/>
      <c r="F278" s="286"/>
      <c r="G278" s="286"/>
      <c r="H278" s="703"/>
      <c r="I278" s="286"/>
      <c r="J278" s="286"/>
      <c r="K278" s="285"/>
    </row>
    <row r="279" spans="1:11" s="334" customFormat="1" x14ac:dyDescent="0.2">
      <c r="A279" s="285"/>
      <c r="B279" s="285"/>
      <c r="C279" s="285"/>
      <c r="D279" s="286"/>
      <c r="E279" s="286"/>
      <c r="F279" s="286"/>
      <c r="G279" s="286"/>
      <c r="H279" s="703"/>
      <c r="I279" s="286"/>
      <c r="J279" s="286"/>
      <c r="K279" s="285"/>
    </row>
    <row r="280" spans="1:11" s="334" customFormat="1" x14ac:dyDescent="0.2">
      <c r="A280" s="285"/>
      <c r="B280" s="285"/>
      <c r="C280" s="285"/>
      <c r="D280" s="286"/>
      <c r="E280" s="286"/>
      <c r="F280" s="286"/>
      <c r="G280" s="286"/>
      <c r="H280" s="703"/>
      <c r="I280" s="286"/>
      <c r="J280" s="286"/>
      <c r="K280" s="285"/>
    </row>
    <row r="281" spans="1:11" s="334" customFormat="1" x14ac:dyDescent="0.2">
      <c r="A281" s="285"/>
      <c r="B281" s="285"/>
      <c r="C281" s="285"/>
      <c r="D281" s="286"/>
      <c r="E281" s="286"/>
      <c r="F281" s="286"/>
      <c r="G281" s="286"/>
      <c r="H281" s="703"/>
      <c r="I281" s="286"/>
      <c r="J281" s="286"/>
      <c r="K281" s="285"/>
    </row>
    <row r="282" spans="1:11" s="334" customFormat="1" x14ac:dyDescent="0.2">
      <c r="A282" s="285"/>
      <c r="B282" s="285"/>
      <c r="C282" s="285"/>
      <c r="D282" s="286"/>
      <c r="E282" s="286"/>
      <c r="F282" s="286"/>
      <c r="G282" s="286"/>
      <c r="H282" s="703"/>
      <c r="I282" s="286"/>
      <c r="J282" s="286"/>
      <c r="K282" s="285"/>
    </row>
    <row r="283" spans="1:11" s="334" customFormat="1" x14ac:dyDescent="0.2">
      <c r="A283" s="285"/>
      <c r="B283" s="285"/>
      <c r="C283" s="285"/>
      <c r="D283" s="286"/>
      <c r="E283" s="286"/>
      <c r="F283" s="286"/>
      <c r="G283" s="286"/>
      <c r="H283" s="703"/>
      <c r="I283" s="286"/>
      <c r="J283" s="286"/>
      <c r="K283" s="285"/>
    </row>
    <row r="284" spans="1:11" s="334" customFormat="1" x14ac:dyDescent="0.2">
      <c r="A284" s="285"/>
      <c r="B284" s="285"/>
      <c r="C284" s="285"/>
      <c r="D284" s="286"/>
      <c r="E284" s="286"/>
      <c r="F284" s="286"/>
      <c r="G284" s="286"/>
      <c r="H284" s="703"/>
      <c r="I284" s="286"/>
      <c r="J284" s="286"/>
      <c r="K284" s="285"/>
    </row>
    <row r="285" spans="1:11" s="334" customFormat="1" x14ac:dyDescent="0.2">
      <c r="A285" s="285"/>
      <c r="B285" s="285"/>
      <c r="C285" s="285"/>
      <c r="D285" s="286"/>
      <c r="E285" s="286"/>
      <c r="F285" s="286"/>
      <c r="G285" s="286"/>
      <c r="H285" s="703"/>
      <c r="I285" s="286"/>
      <c r="J285" s="286"/>
      <c r="K285" s="285"/>
    </row>
    <row r="286" spans="1:11" s="334" customFormat="1" x14ac:dyDescent="0.2">
      <c r="A286" s="285"/>
      <c r="B286" s="285"/>
      <c r="C286" s="285"/>
      <c r="D286" s="286"/>
      <c r="E286" s="286"/>
      <c r="F286" s="286"/>
      <c r="G286" s="286"/>
      <c r="H286" s="703"/>
      <c r="I286" s="286"/>
      <c r="J286" s="286"/>
      <c r="K286" s="285"/>
    </row>
    <row r="287" spans="1:11" s="334" customFormat="1" x14ac:dyDescent="0.2">
      <c r="A287" s="285"/>
      <c r="B287" s="285"/>
      <c r="C287" s="285"/>
      <c r="D287" s="286"/>
      <c r="E287" s="286"/>
      <c r="F287" s="286"/>
      <c r="G287" s="286"/>
      <c r="H287" s="703"/>
      <c r="I287" s="286"/>
      <c r="J287" s="286"/>
      <c r="K287" s="285"/>
    </row>
    <row r="288" spans="1:11" s="334" customFormat="1" x14ac:dyDescent="0.2">
      <c r="A288" s="285"/>
      <c r="B288" s="285"/>
      <c r="C288" s="285"/>
      <c r="D288" s="286"/>
      <c r="E288" s="286"/>
      <c r="F288" s="286"/>
      <c r="G288" s="286"/>
      <c r="H288" s="703"/>
      <c r="I288" s="286"/>
      <c r="J288" s="286"/>
      <c r="K288" s="285"/>
    </row>
    <row r="289" spans="1:11" s="334" customFormat="1" x14ac:dyDescent="0.2">
      <c r="A289" s="285"/>
      <c r="B289" s="285"/>
      <c r="C289" s="285"/>
      <c r="D289" s="286"/>
      <c r="E289" s="286"/>
      <c r="F289" s="286"/>
      <c r="G289" s="286"/>
      <c r="H289" s="703"/>
      <c r="I289" s="286"/>
      <c r="J289" s="286"/>
      <c r="K289" s="285"/>
    </row>
    <row r="290" spans="1:11" s="334" customFormat="1" x14ac:dyDescent="0.2">
      <c r="A290" s="285"/>
      <c r="B290" s="285"/>
      <c r="C290" s="285"/>
      <c r="D290" s="286"/>
      <c r="E290" s="286"/>
      <c r="F290" s="286"/>
      <c r="G290" s="286"/>
      <c r="H290" s="703"/>
      <c r="I290" s="286"/>
      <c r="J290" s="286"/>
      <c r="K290" s="285"/>
    </row>
    <row r="291" spans="1:11" s="334" customFormat="1" x14ac:dyDescent="0.2">
      <c r="A291" s="285"/>
      <c r="B291" s="285"/>
      <c r="C291" s="285"/>
      <c r="D291" s="286"/>
      <c r="E291" s="286"/>
      <c r="F291" s="286"/>
      <c r="G291" s="286"/>
      <c r="H291" s="703"/>
      <c r="I291" s="286"/>
      <c r="J291" s="286"/>
      <c r="K291" s="285"/>
    </row>
    <row r="292" spans="1:11" s="334" customFormat="1" x14ac:dyDescent="0.2">
      <c r="A292" s="285"/>
      <c r="B292" s="285"/>
      <c r="C292" s="285"/>
      <c r="D292" s="286"/>
      <c r="E292" s="286"/>
      <c r="F292" s="286"/>
      <c r="G292" s="286"/>
      <c r="H292" s="471"/>
      <c r="I292" s="286"/>
      <c r="J292" s="286"/>
      <c r="K292" s="285"/>
    </row>
    <row r="293" spans="1:11" s="334" customFormat="1" x14ac:dyDescent="0.2">
      <c r="A293" s="285"/>
      <c r="B293" s="285"/>
      <c r="C293" s="285"/>
      <c r="D293" s="286"/>
      <c r="E293" s="286"/>
      <c r="F293" s="286"/>
      <c r="G293" s="286"/>
      <c r="H293" s="471"/>
      <c r="I293" s="286"/>
      <c r="J293" s="286"/>
      <c r="K293" s="285"/>
    </row>
    <row r="294" spans="1:11" s="334" customFormat="1" x14ac:dyDescent="0.2">
      <c r="A294" s="285"/>
      <c r="B294" s="285"/>
      <c r="C294" s="285"/>
      <c r="D294" s="286"/>
      <c r="E294" s="286"/>
      <c r="F294" s="286"/>
      <c r="G294" s="286"/>
      <c r="H294" s="471"/>
      <c r="I294" s="286"/>
      <c r="J294" s="286"/>
      <c r="K294" s="285"/>
    </row>
    <row r="295" spans="1:11" s="334" customFormat="1" x14ac:dyDescent="0.2">
      <c r="A295" s="285"/>
      <c r="B295" s="285"/>
      <c r="C295" s="285"/>
      <c r="D295" s="286"/>
      <c r="E295" s="286"/>
      <c r="F295" s="286"/>
      <c r="G295" s="286"/>
      <c r="H295" s="471"/>
      <c r="I295" s="286"/>
      <c r="J295" s="286"/>
      <c r="K295" s="285"/>
    </row>
    <row r="296" spans="1:11" s="334" customFormat="1" x14ac:dyDescent="0.2">
      <c r="A296" s="285"/>
      <c r="B296" s="285"/>
      <c r="C296" s="285"/>
      <c r="D296" s="286"/>
      <c r="E296" s="286"/>
      <c r="F296" s="286"/>
      <c r="G296" s="286"/>
      <c r="H296" s="471"/>
      <c r="I296" s="286"/>
      <c r="J296" s="286"/>
      <c r="K296" s="285"/>
    </row>
    <row r="297" spans="1:11" s="334" customFormat="1" x14ac:dyDescent="0.2">
      <c r="A297" s="285"/>
      <c r="B297" s="285"/>
      <c r="C297" s="285"/>
      <c r="D297" s="286"/>
      <c r="E297" s="286"/>
      <c r="F297" s="286"/>
      <c r="G297" s="286"/>
      <c r="H297" s="471"/>
      <c r="I297" s="286"/>
      <c r="J297" s="286"/>
      <c r="K297" s="285"/>
    </row>
    <row r="298" spans="1:11" s="334" customFormat="1" x14ac:dyDescent="0.2">
      <c r="A298" s="285"/>
      <c r="B298" s="285"/>
      <c r="C298" s="285"/>
      <c r="D298" s="286"/>
      <c r="E298" s="286"/>
      <c r="F298" s="286"/>
      <c r="G298" s="286"/>
      <c r="H298" s="471"/>
      <c r="I298" s="286"/>
      <c r="J298" s="286"/>
      <c r="K298" s="285"/>
    </row>
    <row r="299" spans="1:11" s="334" customFormat="1" x14ac:dyDescent="0.2">
      <c r="A299" s="285"/>
      <c r="B299" s="285"/>
      <c r="C299" s="285"/>
      <c r="D299" s="286"/>
      <c r="E299" s="286"/>
      <c r="F299" s="286"/>
      <c r="G299" s="286"/>
      <c r="H299" s="471"/>
      <c r="I299" s="286"/>
      <c r="J299" s="286"/>
      <c r="K299" s="285"/>
    </row>
    <row r="300" spans="1:11" s="334" customFormat="1" x14ac:dyDescent="0.2">
      <c r="A300" s="285"/>
      <c r="B300" s="285"/>
      <c r="C300" s="285"/>
      <c r="D300" s="286"/>
      <c r="E300" s="286"/>
      <c r="F300" s="286"/>
      <c r="G300" s="286"/>
      <c r="H300" s="471"/>
      <c r="I300" s="286"/>
      <c r="J300" s="286"/>
      <c r="K300" s="285"/>
    </row>
    <row r="301" spans="1:11" s="334" customFormat="1" x14ac:dyDescent="0.2">
      <c r="A301" s="285"/>
      <c r="B301" s="285"/>
      <c r="C301" s="285"/>
      <c r="D301" s="286"/>
      <c r="E301" s="286"/>
      <c r="F301" s="286"/>
      <c r="G301" s="286"/>
      <c r="H301" s="471"/>
      <c r="I301" s="286"/>
      <c r="J301" s="286"/>
      <c r="K301" s="285"/>
    </row>
    <row r="302" spans="1:11" s="334" customFormat="1" x14ac:dyDescent="0.2">
      <c r="A302" s="285"/>
      <c r="B302" s="285"/>
      <c r="C302" s="285"/>
      <c r="D302" s="286"/>
      <c r="E302" s="286"/>
      <c r="F302" s="286"/>
      <c r="G302" s="286"/>
      <c r="H302" s="471"/>
      <c r="I302" s="286"/>
      <c r="J302" s="286"/>
      <c r="K302" s="285"/>
    </row>
    <row r="303" spans="1:11" s="334" customFormat="1" x14ac:dyDescent="0.2">
      <c r="A303" s="285"/>
      <c r="B303" s="285"/>
      <c r="C303" s="285"/>
      <c r="D303" s="286"/>
      <c r="E303" s="286"/>
      <c r="F303" s="286"/>
      <c r="G303" s="286"/>
      <c r="H303" s="471"/>
      <c r="I303" s="286"/>
      <c r="J303" s="286"/>
      <c r="K303" s="285"/>
    </row>
    <row r="304" spans="1:11" s="334" customFormat="1" x14ac:dyDescent="0.2">
      <c r="A304" s="285"/>
      <c r="B304" s="285"/>
      <c r="C304" s="285"/>
      <c r="D304" s="286"/>
      <c r="E304" s="286"/>
      <c r="F304" s="286"/>
      <c r="G304" s="286"/>
      <c r="H304" s="471"/>
      <c r="I304" s="286"/>
      <c r="J304" s="286"/>
      <c r="K304" s="285"/>
    </row>
    <row r="305" spans="1:11" s="334" customFormat="1" x14ac:dyDescent="0.2">
      <c r="A305" s="285"/>
      <c r="B305" s="285"/>
      <c r="C305" s="285"/>
      <c r="D305" s="286"/>
      <c r="E305" s="286"/>
      <c r="F305" s="286"/>
      <c r="G305" s="286"/>
      <c r="H305" s="471"/>
      <c r="I305" s="286"/>
      <c r="J305" s="286"/>
      <c r="K305" s="285"/>
    </row>
    <row r="306" spans="1:11" s="334" customFormat="1" x14ac:dyDescent="0.2">
      <c r="A306" s="285"/>
      <c r="B306" s="285"/>
      <c r="C306" s="285"/>
      <c r="D306" s="286"/>
      <c r="E306" s="286"/>
      <c r="F306" s="286"/>
      <c r="G306" s="286"/>
      <c r="H306" s="471"/>
      <c r="I306" s="286"/>
      <c r="J306" s="286"/>
      <c r="K306" s="285"/>
    </row>
    <row r="307" spans="1:11" s="334" customFormat="1" x14ac:dyDescent="0.2">
      <c r="A307" s="285"/>
      <c r="B307" s="285"/>
      <c r="C307" s="285"/>
      <c r="D307" s="286"/>
      <c r="E307" s="286"/>
      <c r="F307" s="286"/>
      <c r="G307" s="286"/>
      <c r="H307" s="471"/>
      <c r="I307" s="286"/>
      <c r="J307" s="286"/>
      <c r="K307" s="285"/>
    </row>
    <row r="308" spans="1:11" s="334" customFormat="1" x14ac:dyDescent="0.2">
      <c r="A308" s="285"/>
      <c r="B308" s="285"/>
      <c r="C308" s="285"/>
      <c r="D308" s="286"/>
      <c r="E308" s="286"/>
      <c r="F308" s="286"/>
      <c r="G308" s="286"/>
      <c r="H308" s="471"/>
      <c r="I308" s="286"/>
      <c r="J308" s="286"/>
      <c r="K308" s="285"/>
    </row>
    <row r="309" spans="1:11" s="334" customFormat="1" x14ac:dyDescent="0.2">
      <c r="A309" s="285"/>
      <c r="B309" s="285"/>
      <c r="C309" s="285"/>
      <c r="D309" s="286"/>
      <c r="E309" s="286"/>
      <c r="F309" s="286"/>
      <c r="G309" s="286"/>
      <c r="H309" s="471"/>
      <c r="I309" s="286"/>
      <c r="J309" s="286"/>
      <c r="K309" s="285"/>
    </row>
    <row r="310" spans="1:11" s="334" customFormat="1" x14ac:dyDescent="0.2">
      <c r="A310" s="285"/>
      <c r="B310" s="285"/>
      <c r="C310" s="285"/>
      <c r="D310" s="286"/>
      <c r="E310" s="286"/>
      <c r="F310" s="286"/>
      <c r="G310" s="286"/>
      <c r="H310" s="471"/>
      <c r="I310" s="286"/>
      <c r="J310" s="286"/>
      <c r="K310" s="285"/>
    </row>
    <row r="311" spans="1:11" s="334" customFormat="1" x14ac:dyDescent="0.2">
      <c r="A311" s="285"/>
      <c r="B311" s="285"/>
      <c r="C311" s="285"/>
      <c r="D311" s="286"/>
      <c r="E311" s="286"/>
      <c r="F311" s="286"/>
      <c r="G311" s="286"/>
      <c r="H311" s="471"/>
      <c r="I311" s="286"/>
      <c r="J311" s="286"/>
      <c r="K311" s="285"/>
    </row>
    <row r="312" spans="1:11" s="334" customFormat="1" x14ac:dyDescent="0.2">
      <c r="A312" s="285"/>
      <c r="B312" s="285"/>
      <c r="C312" s="285"/>
      <c r="D312" s="286"/>
      <c r="E312" s="286"/>
      <c r="F312" s="286"/>
      <c r="G312" s="286"/>
      <c r="H312" s="471"/>
      <c r="I312" s="286"/>
      <c r="J312" s="286"/>
      <c r="K312" s="285"/>
    </row>
    <row r="313" spans="1:11" s="334" customFormat="1" x14ac:dyDescent="0.2">
      <c r="A313" s="285"/>
      <c r="B313" s="285"/>
      <c r="C313" s="285"/>
      <c r="D313" s="286"/>
      <c r="E313" s="286"/>
      <c r="F313" s="286"/>
      <c r="G313" s="286"/>
      <c r="H313" s="471"/>
      <c r="I313" s="286"/>
      <c r="J313" s="286"/>
      <c r="K313" s="285"/>
    </row>
    <row r="314" spans="1:11" s="334" customFormat="1" x14ac:dyDescent="0.2">
      <c r="A314" s="285"/>
      <c r="B314" s="285"/>
      <c r="C314" s="285"/>
      <c r="D314" s="286"/>
      <c r="E314" s="286"/>
      <c r="F314" s="286"/>
      <c r="G314" s="286"/>
      <c r="H314" s="471"/>
      <c r="I314" s="286"/>
      <c r="J314" s="286"/>
      <c r="K314" s="285"/>
    </row>
    <row r="315" spans="1:11" s="334" customFormat="1" x14ac:dyDescent="0.2">
      <c r="A315" s="285"/>
      <c r="B315" s="285"/>
      <c r="C315" s="285"/>
      <c r="D315" s="286"/>
      <c r="E315" s="286"/>
      <c r="F315" s="286"/>
      <c r="G315" s="286"/>
      <c r="H315" s="471"/>
      <c r="I315" s="286"/>
      <c r="J315" s="286"/>
      <c r="K315" s="285"/>
    </row>
    <row r="316" spans="1:11" s="334" customFormat="1" x14ac:dyDescent="0.2">
      <c r="A316" s="285"/>
      <c r="B316" s="285"/>
      <c r="C316" s="285"/>
      <c r="D316" s="286"/>
      <c r="E316" s="286"/>
      <c r="F316" s="286"/>
      <c r="G316" s="286"/>
      <c r="H316" s="471"/>
      <c r="I316" s="286"/>
      <c r="J316" s="286"/>
      <c r="K316" s="285"/>
    </row>
    <row r="317" spans="1:11" s="334" customFormat="1" x14ac:dyDescent="0.2">
      <c r="A317" s="285"/>
      <c r="B317" s="285"/>
      <c r="C317" s="285"/>
      <c r="D317" s="286"/>
      <c r="E317" s="286"/>
      <c r="F317" s="286"/>
      <c r="G317" s="286"/>
      <c r="H317" s="471"/>
      <c r="I317" s="286"/>
      <c r="J317" s="286"/>
      <c r="K317" s="285"/>
    </row>
    <row r="318" spans="1:11" s="334" customFormat="1" x14ac:dyDescent="0.2">
      <c r="A318" s="285"/>
      <c r="B318" s="285"/>
      <c r="C318" s="285"/>
      <c r="D318" s="286"/>
      <c r="E318" s="286"/>
      <c r="F318" s="286"/>
      <c r="G318" s="286"/>
      <c r="H318" s="471"/>
      <c r="I318" s="286"/>
      <c r="J318" s="286"/>
      <c r="K318" s="285"/>
    </row>
    <row r="319" spans="1:11" s="334" customFormat="1" x14ac:dyDescent="0.2">
      <c r="A319" s="285"/>
      <c r="B319" s="285"/>
      <c r="C319" s="285"/>
      <c r="D319" s="286"/>
      <c r="E319" s="286"/>
      <c r="F319" s="286"/>
      <c r="G319" s="286"/>
      <c r="H319" s="471"/>
      <c r="I319" s="286"/>
      <c r="J319" s="286"/>
      <c r="K319" s="285"/>
    </row>
    <row r="320" spans="1:11" s="334" customFormat="1" x14ac:dyDescent="0.2">
      <c r="A320" s="285"/>
      <c r="B320" s="285"/>
      <c r="C320" s="285"/>
      <c r="D320" s="286"/>
      <c r="E320" s="286"/>
      <c r="F320" s="286"/>
      <c r="G320" s="286"/>
      <c r="H320" s="471"/>
      <c r="I320" s="286"/>
      <c r="J320" s="286"/>
      <c r="K320" s="285"/>
    </row>
    <row r="321" spans="1:11" s="334" customFormat="1" x14ac:dyDescent="0.2">
      <c r="A321" s="285"/>
      <c r="B321" s="285"/>
      <c r="C321" s="285"/>
      <c r="D321" s="286"/>
      <c r="E321" s="286"/>
      <c r="F321" s="286"/>
      <c r="G321" s="286"/>
      <c r="H321" s="471"/>
      <c r="I321" s="286"/>
      <c r="J321" s="286"/>
      <c r="K321" s="285"/>
    </row>
    <row r="322" spans="1:11" s="334" customFormat="1" x14ac:dyDescent="0.2">
      <c r="A322" s="285"/>
      <c r="B322" s="285"/>
      <c r="C322" s="285"/>
      <c r="D322" s="286"/>
      <c r="E322" s="286"/>
      <c r="F322" s="286"/>
      <c r="G322" s="286"/>
      <c r="H322" s="471"/>
      <c r="I322" s="286"/>
      <c r="J322" s="286"/>
      <c r="K322" s="285"/>
    </row>
    <row r="323" spans="1:11" s="334" customFormat="1" x14ac:dyDescent="0.2">
      <c r="A323" s="285"/>
      <c r="B323" s="285"/>
      <c r="C323" s="285"/>
      <c r="D323" s="286"/>
      <c r="E323" s="286"/>
      <c r="F323" s="286"/>
      <c r="G323" s="286"/>
      <c r="H323" s="471"/>
      <c r="I323" s="286"/>
      <c r="J323" s="286"/>
      <c r="K323" s="285"/>
    </row>
    <row r="324" spans="1:11" s="334" customFormat="1" x14ac:dyDescent="0.2">
      <c r="A324" s="285"/>
      <c r="B324" s="285"/>
      <c r="C324" s="285"/>
      <c r="D324" s="286"/>
      <c r="E324" s="286"/>
      <c r="F324" s="286"/>
      <c r="G324" s="286"/>
      <c r="H324" s="471"/>
      <c r="I324" s="286"/>
      <c r="J324" s="286"/>
      <c r="K324" s="285"/>
    </row>
    <row r="325" spans="1:11" s="334" customFormat="1" x14ac:dyDescent="0.2">
      <c r="A325" s="285"/>
      <c r="B325" s="285"/>
      <c r="C325" s="285"/>
      <c r="D325" s="286"/>
      <c r="E325" s="286"/>
      <c r="F325" s="286"/>
      <c r="G325" s="286"/>
      <c r="H325" s="471"/>
      <c r="I325" s="286"/>
      <c r="J325" s="286"/>
      <c r="K325" s="285"/>
    </row>
    <row r="326" spans="1:11" s="334" customFormat="1" x14ac:dyDescent="0.2">
      <c r="A326" s="285"/>
      <c r="B326" s="285"/>
      <c r="C326" s="285"/>
      <c r="D326" s="286"/>
      <c r="E326" s="286"/>
      <c r="F326" s="286"/>
      <c r="G326" s="286"/>
      <c r="H326" s="471"/>
      <c r="I326" s="286"/>
      <c r="J326" s="286"/>
      <c r="K326" s="285"/>
    </row>
    <row r="327" spans="1:11" s="334" customFormat="1" x14ac:dyDescent="0.2">
      <c r="A327" s="285"/>
      <c r="B327" s="285"/>
      <c r="C327" s="285"/>
      <c r="D327" s="286"/>
      <c r="E327" s="286"/>
      <c r="F327" s="286"/>
      <c r="G327" s="286"/>
      <c r="H327" s="471"/>
      <c r="I327" s="286"/>
      <c r="J327" s="286"/>
      <c r="K327" s="285"/>
    </row>
    <row r="328" spans="1:11" s="334" customFormat="1" x14ac:dyDescent="0.2">
      <c r="A328" s="285"/>
      <c r="B328" s="285"/>
      <c r="C328" s="285"/>
      <c r="D328" s="286"/>
      <c r="E328" s="286"/>
      <c r="F328" s="286"/>
      <c r="G328" s="286"/>
      <c r="H328" s="471"/>
      <c r="I328" s="286"/>
      <c r="J328" s="286"/>
      <c r="K328" s="285"/>
    </row>
    <row r="329" spans="1:11" s="334" customFormat="1" x14ac:dyDescent="0.2">
      <c r="A329" s="285"/>
      <c r="B329" s="285"/>
      <c r="C329" s="285"/>
      <c r="D329" s="286"/>
      <c r="E329" s="286"/>
      <c r="F329" s="286"/>
      <c r="G329" s="286"/>
      <c r="H329" s="471"/>
      <c r="I329" s="286"/>
      <c r="J329" s="286"/>
      <c r="K329" s="285"/>
    </row>
    <row r="330" spans="1:11" s="334" customFormat="1" x14ac:dyDescent="0.2">
      <c r="A330" s="285"/>
      <c r="B330" s="285"/>
      <c r="C330" s="285"/>
      <c r="D330" s="286"/>
      <c r="E330" s="286"/>
      <c r="F330" s="286"/>
      <c r="G330" s="286"/>
      <c r="H330" s="471"/>
      <c r="I330" s="286"/>
      <c r="J330" s="286"/>
      <c r="K330" s="285"/>
    </row>
    <row r="331" spans="1:11" s="334" customFormat="1" x14ac:dyDescent="0.2">
      <c r="A331" s="285"/>
      <c r="B331" s="285"/>
      <c r="C331" s="285"/>
      <c r="D331" s="286"/>
      <c r="E331" s="286"/>
      <c r="F331" s="286"/>
      <c r="G331" s="286"/>
      <c r="H331" s="471"/>
      <c r="I331" s="286"/>
      <c r="J331" s="286"/>
      <c r="K331" s="285"/>
    </row>
    <row r="332" spans="1:11" s="335" customFormat="1" x14ac:dyDescent="0.35">
      <c r="A332" s="285"/>
      <c r="B332" s="285"/>
      <c r="C332" s="285"/>
      <c r="D332" s="293"/>
      <c r="E332" s="293"/>
      <c r="F332" s="293"/>
      <c r="G332" s="293"/>
      <c r="H332" s="706"/>
      <c r="I332" s="293"/>
      <c r="J332" s="293"/>
      <c r="K332" s="293"/>
    </row>
    <row r="333" spans="1:11" s="335" customFormat="1" x14ac:dyDescent="0.35">
      <c r="A333" s="285"/>
      <c r="B333" s="285"/>
      <c r="C333" s="285"/>
      <c r="D333" s="293"/>
      <c r="E333" s="293"/>
      <c r="F333" s="293"/>
      <c r="G333" s="293"/>
      <c r="H333" s="706"/>
      <c r="I333" s="293"/>
      <c r="J333" s="293"/>
      <c r="K333" s="293"/>
    </row>
    <row r="334" spans="1:11" s="335" customFormat="1" x14ac:dyDescent="0.35">
      <c r="A334" s="285"/>
      <c r="B334" s="285"/>
      <c r="C334" s="285"/>
      <c r="D334" s="293"/>
      <c r="E334" s="293"/>
      <c r="F334" s="293"/>
      <c r="G334" s="293"/>
      <c r="H334" s="706"/>
      <c r="I334" s="293"/>
      <c r="J334" s="293"/>
      <c r="K334" s="293"/>
    </row>
    <row r="335" spans="1:11" s="335" customFormat="1" x14ac:dyDescent="0.35">
      <c r="A335" s="285"/>
      <c r="B335" s="285"/>
      <c r="C335" s="285"/>
      <c r="D335" s="293"/>
      <c r="E335" s="293"/>
      <c r="F335" s="293"/>
      <c r="G335" s="293"/>
      <c r="H335" s="706"/>
      <c r="I335" s="293"/>
      <c r="J335" s="293"/>
      <c r="K335" s="293"/>
    </row>
    <row r="336" spans="1:11" s="335" customFormat="1" x14ac:dyDescent="0.35">
      <c r="A336" s="285"/>
      <c r="B336" s="285"/>
      <c r="C336" s="285"/>
      <c r="D336" s="293"/>
      <c r="E336" s="293"/>
      <c r="F336" s="293"/>
      <c r="G336" s="293"/>
      <c r="H336" s="706"/>
      <c r="I336" s="293"/>
      <c r="J336" s="293"/>
      <c r="K336" s="293"/>
    </row>
    <row r="337" spans="1:11" s="335" customFormat="1" x14ac:dyDescent="0.35">
      <c r="A337" s="285"/>
      <c r="B337" s="285"/>
      <c r="C337" s="285"/>
      <c r="D337" s="293"/>
      <c r="E337" s="293"/>
      <c r="F337" s="293"/>
      <c r="G337" s="293"/>
      <c r="H337" s="706"/>
      <c r="I337" s="293"/>
      <c r="J337" s="293"/>
      <c r="K337" s="293"/>
    </row>
    <row r="338" spans="1:11" s="335" customFormat="1" x14ac:dyDescent="0.35">
      <c r="A338" s="285"/>
      <c r="B338" s="285"/>
      <c r="C338" s="285"/>
      <c r="D338" s="293"/>
      <c r="E338" s="293"/>
      <c r="F338" s="293"/>
      <c r="G338" s="293"/>
      <c r="H338" s="706"/>
      <c r="I338" s="293"/>
      <c r="J338" s="293"/>
      <c r="K338" s="293"/>
    </row>
    <row r="339" spans="1:11" s="335" customFormat="1" x14ac:dyDescent="0.35">
      <c r="A339" s="285"/>
      <c r="B339" s="285"/>
      <c r="C339" s="285"/>
      <c r="D339" s="293"/>
      <c r="E339" s="293"/>
      <c r="F339" s="293"/>
      <c r="G339" s="293"/>
      <c r="H339" s="706"/>
      <c r="I339" s="293"/>
      <c r="J339" s="293"/>
      <c r="K339" s="293"/>
    </row>
    <row r="340" spans="1:11" s="335" customFormat="1" x14ac:dyDescent="0.35">
      <c r="A340" s="285"/>
      <c r="B340" s="285"/>
      <c r="C340" s="285"/>
      <c r="D340" s="293"/>
      <c r="E340" s="293"/>
      <c r="F340" s="293"/>
      <c r="G340" s="293"/>
      <c r="H340" s="706"/>
      <c r="I340" s="293"/>
      <c r="J340" s="293"/>
      <c r="K340" s="293"/>
    </row>
    <row r="341" spans="1:11" s="335" customFormat="1" x14ac:dyDescent="0.35">
      <c r="A341" s="285"/>
      <c r="B341" s="285"/>
      <c r="C341" s="285"/>
      <c r="D341" s="293"/>
      <c r="E341" s="293"/>
      <c r="F341" s="293"/>
      <c r="G341" s="293"/>
      <c r="H341" s="706"/>
      <c r="I341" s="293"/>
      <c r="J341" s="293"/>
      <c r="K341" s="293"/>
    </row>
    <row r="342" spans="1:11" s="335" customFormat="1" x14ac:dyDescent="0.35">
      <c r="A342" s="285"/>
      <c r="B342" s="285"/>
      <c r="C342" s="285"/>
      <c r="D342" s="286"/>
      <c r="E342" s="286"/>
      <c r="F342" s="286"/>
      <c r="G342" s="286"/>
      <c r="H342" s="471"/>
      <c r="I342" s="286"/>
      <c r="J342" s="286"/>
      <c r="K342" s="285"/>
    </row>
    <row r="343" spans="1:11" s="335" customFormat="1" x14ac:dyDescent="0.35">
      <c r="A343" s="285"/>
      <c r="B343" s="285"/>
      <c r="C343" s="285"/>
      <c r="D343" s="286"/>
      <c r="E343" s="286"/>
      <c r="F343" s="286"/>
      <c r="G343" s="286"/>
      <c r="H343" s="471"/>
      <c r="I343" s="286"/>
      <c r="J343" s="286"/>
      <c r="K343" s="285"/>
    </row>
    <row r="344" spans="1:11" s="335" customFormat="1" x14ac:dyDescent="0.35">
      <c r="A344" s="285"/>
      <c r="B344" s="285"/>
      <c r="C344" s="285"/>
      <c r="D344" s="286"/>
      <c r="E344" s="286"/>
      <c r="F344" s="286"/>
      <c r="G344" s="286"/>
      <c r="H344" s="471"/>
      <c r="I344" s="286"/>
      <c r="J344" s="286"/>
      <c r="K344" s="285"/>
    </row>
    <row r="345" spans="1:11" s="335" customFormat="1" x14ac:dyDescent="0.35">
      <c r="A345" s="285"/>
      <c r="B345" s="285"/>
      <c r="C345" s="285"/>
      <c r="D345" s="286"/>
      <c r="E345" s="286"/>
      <c r="F345" s="286"/>
      <c r="G345" s="286"/>
      <c r="H345" s="471"/>
      <c r="I345" s="286"/>
      <c r="J345" s="286"/>
      <c r="K345" s="285"/>
    </row>
    <row r="346" spans="1:11" s="335" customFormat="1" x14ac:dyDescent="0.35">
      <c r="A346" s="285"/>
      <c r="B346" s="285"/>
      <c r="C346" s="285"/>
      <c r="D346" s="286"/>
      <c r="E346" s="286"/>
      <c r="F346" s="286"/>
      <c r="G346" s="286"/>
      <c r="H346" s="703"/>
      <c r="I346" s="286"/>
      <c r="J346" s="286"/>
      <c r="K346" s="285"/>
    </row>
    <row r="347" spans="1:11" s="335" customFormat="1" x14ac:dyDescent="0.35">
      <c r="A347" s="285"/>
      <c r="B347" s="285"/>
      <c r="C347" s="285"/>
      <c r="D347" s="286"/>
      <c r="E347" s="286"/>
      <c r="F347" s="286"/>
      <c r="G347" s="286"/>
      <c r="H347" s="471"/>
      <c r="I347" s="286"/>
      <c r="J347" s="286"/>
      <c r="K347" s="285"/>
    </row>
    <row r="348" spans="1:11" s="335" customFormat="1" x14ac:dyDescent="0.35">
      <c r="A348" s="285"/>
      <c r="B348" s="285"/>
      <c r="C348" s="285"/>
      <c r="D348" s="286"/>
      <c r="E348" s="285"/>
      <c r="F348" s="285"/>
      <c r="G348" s="285"/>
      <c r="H348" s="471"/>
      <c r="I348" s="285"/>
      <c r="J348" s="285"/>
      <c r="K348" s="285"/>
    </row>
    <row r="349" spans="1:11" s="335" customFormat="1" x14ac:dyDescent="0.35">
      <c r="A349" s="285"/>
      <c r="B349" s="285"/>
      <c r="C349" s="285"/>
      <c r="D349" s="286"/>
      <c r="E349" s="286"/>
      <c r="F349" s="286"/>
      <c r="G349" s="286"/>
      <c r="H349" s="471"/>
      <c r="I349" s="286"/>
      <c r="J349" s="286"/>
      <c r="K349" s="285"/>
    </row>
    <row r="350" spans="1:11" s="335" customFormat="1" x14ac:dyDescent="0.35">
      <c r="A350" s="285"/>
      <c r="B350" s="285"/>
      <c r="C350" s="285"/>
      <c r="D350" s="286"/>
      <c r="E350" s="286"/>
      <c r="F350" s="286"/>
      <c r="G350" s="286"/>
      <c r="H350" s="471"/>
      <c r="I350" s="286"/>
      <c r="J350" s="286"/>
      <c r="K350" s="285"/>
    </row>
    <row r="351" spans="1:11" s="335" customFormat="1" x14ac:dyDescent="0.35">
      <c r="A351" s="285"/>
      <c r="B351" s="285"/>
      <c r="C351" s="285"/>
      <c r="D351" s="286"/>
      <c r="E351" s="286"/>
      <c r="F351" s="286"/>
      <c r="G351" s="286"/>
      <c r="H351" s="471"/>
      <c r="I351" s="286"/>
      <c r="J351" s="286"/>
      <c r="K351" s="285"/>
    </row>
    <row r="352" spans="1:11" s="335" customFormat="1" x14ac:dyDescent="0.35">
      <c r="A352" s="285"/>
      <c r="B352" s="285"/>
      <c r="C352" s="285"/>
      <c r="D352" s="286"/>
      <c r="E352" s="286"/>
      <c r="F352" s="286"/>
      <c r="G352" s="286"/>
      <c r="H352" s="471"/>
      <c r="I352" s="286"/>
      <c r="J352" s="286"/>
      <c r="K352" s="285"/>
    </row>
    <row r="353" spans="1:11" s="335" customFormat="1" x14ac:dyDescent="0.35">
      <c r="A353" s="285"/>
      <c r="B353" s="285"/>
      <c r="C353" s="285"/>
      <c r="D353" s="286"/>
      <c r="E353" s="286"/>
      <c r="F353" s="286"/>
      <c r="G353" s="286"/>
      <c r="H353" s="703"/>
      <c r="I353" s="286"/>
      <c r="J353" s="286"/>
      <c r="K353" s="285"/>
    </row>
    <row r="354" spans="1:11" s="335" customFormat="1" x14ac:dyDescent="0.35">
      <c r="A354" s="285"/>
      <c r="B354" s="285"/>
      <c r="C354" s="285"/>
      <c r="D354" s="286"/>
      <c r="E354" s="286"/>
      <c r="F354" s="286"/>
      <c r="G354" s="286"/>
      <c r="H354" s="471"/>
      <c r="I354" s="286"/>
      <c r="J354" s="286"/>
      <c r="K354" s="285"/>
    </row>
    <row r="355" spans="1:11" s="335" customFormat="1" x14ac:dyDescent="0.35">
      <c r="A355" s="285"/>
      <c r="B355" s="285"/>
      <c r="C355" s="285"/>
      <c r="D355" s="286"/>
      <c r="E355" s="285"/>
      <c r="F355" s="285"/>
      <c r="G355" s="285"/>
      <c r="H355" s="471"/>
      <c r="I355" s="285"/>
      <c r="J355" s="285"/>
      <c r="K355" s="285"/>
    </row>
    <row r="356" spans="1:11" s="335" customFormat="1" x14ac:dyDescent="0.35">
      <c r="A356" s="285"/>
      <c r="B356" s="285"/>
      <c r="C356" s="285"/>
      <c r="D356" s="286"/>
      <c r="E356" s="286"/>
      <c r="F356" s="286"/>
      <c r="G356" s="286"/>
      <c r="H356" s="471"/>
      <c r="I356" s="286"/>
      <c r="J356" s="286"/>
      <c r="K356" s="285"/>
    </row>
    <row r="357" spans="1:11" s="335" customFormat="1" x14ac:dyDescent="0.35">
      <c r="A357" s="285"/>
      <c r="B357" s="285"/>
      <c r="C357" s="285"/>
      <c r="D357" s="286"/>
      <c r="E357" s="286"/>
      <c r="F357" s="286"/>
      <c r="G357" s="286"/>
      <c r="H357" s="471"/>
      <c r="I357" s="286"/>
      <c r="J357" s="286"/>
      <c r="K357" s="285"/>
    </row>
    <row r="358" spans="1:11" s="334" customFormat="1" x14ac:dyDescent="0.2">
      <c r="A358" s="285"/>
      <c r="B358" s="285"/>
      <c r="C358" s="285"/>
      <c r="D358" s="285"/>
      <c r="E358" s="286"/>
      <c r="F358" s="286"/>
      <c r="G358" s="286"/>
      <c r="H358" s="471"/>
      <c r="I358" s="286"/>
      <c r="J358" s="286"/>
      <c r="K358" s="286"/>
    </row>
    <row r="359" spans="1:11" s="334" customFormat="1" x14ac:dyDescent="0.2">
      <c r="A359" s="285"/>
      <c r="B359" s="285"/>
      <c r="C359" s="285"/>
      <c r="D359" s="285"/>
      <c r="E359" s="286"/>
      <c r="F359" s="286"/>
      <c r="G359" s="286"/>
      <c r="H359" s="471"/>
      <c r="I359" s="286"/>
      <c r="J359" s="286"/>
      <c r="K359" s="286"/>
    </row>
    <row r="360" spans="1:11" s="334" customFormat="1" x14ac:dyDescent="0.2">
      <c r="A360" s="285"/>
      <c r="B360" s="285"/>
      <c r="C360" s="285"/>
      <c r="D360" s="285"/>
      <c r="E360" s="286"/>
      <c r="F360" s="286"/>
      <c r="G360" s="286"/>
      <c r="H360" s="471"/>
      <c r="I360" s="286"/>
      <c r="J360" s="286"/>
      <c r="K360" s="286"/>
    </row>
    <row r="361" spans="1:11" s="334" customFormat="1" x14ac:dyDescent="0.2">
      <c r="A361" s="285"/>
      <c r="B361" s="285"/>
      <c r="C361" s="285"/>
      <c r="D361" s="285"/>
      <c r="E361" s="286"/>
      <c r="F361" s="286"/>
      <c r="G361" s="286"/>
      <c r="H361" s="471"/>
      <c r="I361" s="286"/>
      <c r="J361" s="286"/>
      <c r="K361" s="286"/>
    </row>
    <row r="362" spans="1:11" s="334" customFormat="1" x14ac:dyDescent="0.2">
      <c r="A362" s="285"/>
      <c r="B362" s="285"/>
      <c r="C362" s="285"/>
      <c r="D362" s="285"/>
      <c r="E362" s="286"/>
      <c r="F362" s="286"/>
      <c r="G362" s="286"/>
      <c r="H362" s="471"/>
      <c r="I362" s="286"/>
      <c r="J362" s="286"/>
      <c r="K362" s="286"/>
    </row>
    <row r="363" spans="1:11" s="334" customFormat="1" x14ac:dyDescent="0.2">
      <c r="A363" s="285"/>
      <c r="B363" s="285"/>
      <c r="C363" s="285"/>
      <c r="D363" s="285"/>
      <c r="E363" s="286"/>
      <c r="F363" s="286"/>
      <c r="G363" s="286"/>
      <c r="H363" s="471"/>
      <c r="I363" s="286"/>
      <c r="J363" s="286"/>
      <c r="K363" s="286"/>
    </row>
    <row r="364" spans="1:11" s="334" customFormat="1" x14ac:dyDescent="0.2">
      <c r="A364" s="285"/>
      <c r="B364" s="285"/>
      <c r="C364" s="285"/>
      <c r="D364" s="285"/>
      <c r="E364" s="286"/>
      <c r="F364" s="286"/>
      <c r="G364" s="286"/>
      <c r="H364" s="471"/>
      <c r="I364" s="286"/>
      <c r="J364" s="286"/>
      <c r="K364" s="286"/>
    </row>
    <row r="365" spans="1:11" s="334" customFormat="1" x14ac:dyDescent="0.2">
      <c r="A365" s="285"/>
      <c r="B365" s="285"/>
      <c r="C365" s="285"/>
      <c r="D365" s="285"/>
      <c r="E365" s="286"/>
      <c r="F365" s="286"/>
      <c r="G365" s="286"/>
      <c r="H365" s="471"/>
      <c r="I365" s="286"/>
      <c r="J365" s="286"/>
      <c r="K365" s="286"/>
    </row>
    <row r="366" spans="1:11" s="334" customFormat="1" x14ac:dyDescent="0.2">
      <c r="A366" s="285"/>
      <c r="B366" s="285"/>
      <c r="C366" s="285"/>
      <c r="D366" s="285"/>
      <c r="E366" s="286"/>
      <c r="F366" s="286"/>
      <c r="G366" s="286"/>
      <c r="H366" s="471"/>
      <c r="I366" s="286"/>
      <c r="J366" s="286"/>
      <c r="K366" s="286"/>
    </row>
    <row r="367" spans="1:11" s="334" customFormat="1" x14ac:dyDescent="0.2">
      <c r="A367" s="285"/>
      <c r="B367" s="285"/>
      <c r="C367" s="285"/>
      <c r="D367" s="285"/>
      <c r="E367" s="286"/>
      <c r="F367" s="286"/>
      <c r="G367" s="286"/>
      <c r="H367" s="471"/>
      <c r="I367" s="286"/>
      <c r="J367" s="286"/>
      <c r="K367" s="286"/>
    </row>
    <row r="368" spans="1:11" s="334" customFormat="1" x14ac:dyDescent="0.2">
      <c r="A368" s="285"/>
      <c r="B368" s="285"/>
      <c r="C368" s="285"/>
      <c r="D368" s="285"/>
      <c r="E368" s="286"/>
      <c r="F368" s="286"/>
      <c r="G368" s="286"/>
      <c r="H368" s="471"/>
      <c r="I368" s="286"/>
      <c r="J368" s="286"/>
      <c r="K368" s="286"/>
    </row>
    <row r="369" spans="1:11" s="334" customFormat="1" x14ac:dyDescent="0.2">
      <c r="A369" s="285"/>
      <c r="B369" s="285"/>
      <c r="C369" s="285"/>
      <c r="D369" s="285"/>
      <c r="E369" s="286"/>
      <c r="F369" s="286"/>
      <c r="G369" s="286"/>
      <c r="H369" s="471"/>
      <c r="I369" s="286"/>
      <c r="J369" s="286"/>
      <c r="K369" s="286"/>
    </row>
    <row r="370" spans="1:11" s="334" customFormat="1" x14ac:dyDescent="0.2">
      <c r="A370" s="285"/>
      <c r="B370" s="285"/>
      <c r="C370" s="285"/>
      <c r="D370" s="285"/>
      <c r="E370" s="286"/>
      <c r="F370" s="286"/>
      <c r="G370" s="286"/>
      <c r="H370" s="471"/>
      <c r="I370" s="286"/>
      <c r="J370" s="286"/>
      <c r="K370" s="286"/>
    </row>
    <row r="371" spans="1:11" s="334" customFormat="1" x14ac:dyDescent="0.2">
      <c r="A371" s="285"/>
      <c r="B371" s="285"/>
      <c r="C371" s="285"/>
      <c r="D371" s="285"/>
      <c r="E371" s="286"/>
      <c r="F371" s="286"/>
      <c r="G371" s="286"/>
      <c r="H371" s="471"/>
      <c r="I371" s="286"/>
      <c r="J371" s="286"/>
      <c r="K371" s="286"/>
    </row>
    <row r="372" spans="1:11" s="334" customFormat="1" x14ac:dyDescent="0.2">
      <c r="A372" s="285"/>
      <c r="B372" s="285"/>
      <c r="C372" s="285"/>
      <c r="D372" s="285"/>
      <c r="E372" s="286"/>
      <c r="F372" s="286"/>
      <c r="G372" s="286"/>
      <c r="H372" s="471"/>
      <c r="I372" s="286"/>
      <c r="J372" s="286"/>
      <c r="K372" s="286"/>
    </row>
    <row r="373" spans="1:11" s="334" customFormat="1" x14ac:dyDescent="0.2">
      <c r="A373" s="285"/>
      <c r="B373" s="285"/>
      <c r="C373" s="285"/>
      <c r="D373" s="285"/>
      <c r="E373" s="286"/>
      <c r="F373" s="286"/>
      <c r="G373" s="286"/>
      <c r="H373" s="471"/>
      <c r="I373" s="286"/>
      <c r="J373" s="286"/>
      <c r="K373" s="286"/>
    </row>
    <row r="374" spans="1:11" s="334" customFormat="1" x14ac:dyDescent="0.2">
      <c r="A374" s="285"/>
      <c r="B374" s="285"/>
      <c r="C374" s="285"/>
      <c r="D374" s="285"/>
      <c r="E374" s="286"/>
      <c r="F374" s="286"/>
      <c r="G374" s="286"/>
      <c r="H374" s="471"/>
      <c r="I374" s="286"/>
      <c r="J374" s="286"/>
      <c r="K374" s="286"/>
    </row>
    <row r="375" spans="1:11" x14ac:dyDescent="0.2">
      <c r="A375" s="285"/>
      <c r="B375" s="285"/>
      <c r="C375" s="285"/>
      <c r="D375" s="286"/>
      <c r="E375" s="286"/>
      <c r="F375" s="286"/>
      <c r="G375" s="286"/>
      <c r="H375" s="471"/>
      <c r="I375" s="286"/>
      <c r="J375" s="286"/>
      <c r="K375" s="285"/>
    </row>
    <row r="376" spans="1:11" x14ac:dyDescent="0.2">
      <c r="A376" s="285"/>
      <c r="B376" s="285"/>
      <c r="C376" s="285"/>
      <c r="D376" s="286"/>
      <c r="E376" s="286"/>
      <c r="F376" s="286"/>
      <c r="G376" s="286"/>
      <c r="H376" s="471"/>
      <c r="I376" s="286"/>
      <c r="J376" s="286"/>
      <c r="K376" s="285"/>
    </row>
    <row r="377" spans="1:11" x14ac:dyDescent="0.2">
      <c r="A377" s="285"/>
      <c r="B377" s="285"/>
      <c r="C377" s="285"/>
      <c r="D377" s="286"/>
      <c r="E377" s="286"/>
      <c r="F377" s="286"/>
      <c r="G377" s="286"/>
      <c r="H377" s="471"/>
      <c r="I377" s="286"/>
      <c r="J377" s="286"/>
      <c r="K377" s="285"/>
    </row>
    <row r="378" spans="1:11" x14ac:dyDescent="0.2">
      <c r="A378" s="285"/>
      <c r="B378" s="285"/>
      <c r="C378" s="285"/>
      <c r="D378" s="288"/>
      <c r="E378" s="288"/>
      <c r="F378" s="288"/>
      <c r="G378" s="288"/>
      <c r="H378" s="707"/>
      <c r="I378" s="288"/>
      <c r="J378" s="288"/>
      <c r="K378" s="285"/>
    </row>
    <row r="379" spans="1:11" x14ac:dyDescent="0.2">
      <c r="A379" s="285"/>
      <c r="B379" s="285"/>
      <c r="C379" s="285"/>
      <c r="D379" s="288"/>
      <c r="E379" s="288"/>
      <c r="F379" s="288"/>
      <c r="G379" s="288"/>
      <c r="H379" s="707"/>
      <c r="I379" s="288"/>
      <c r="J379" s="288"/>
      <c r="K379" s="285"/>
    </row>
    <row r="380" spans="1:11" x14ac:dyDescent="0.2">
      <c r="A380" s="285"/>
      <c r="B380" s="285"/>
      <c r="C380" s="285"/>
      <c r="D380" s="288"/>
      <c r="E380" s="288"/>
      <c r="F380" s="288"/>
      <c r="G380" s="288"/>
      <c r="H380" s="707"/>
      <c r="I380" s="288"/>
      <c r="J380" s="288"/>
      <c r="K380" s="285"/>
    </row>
    <row r="381" spans="1:11" x14ac:dyDescent="0.2">
      <c r="A381" s="285"/>
      <c r="B381" s="285"/>
      <c r="C381" s="285"/>
      <c r="D381" s="315"/>
      <c r="E381" s="291"/>
      <c r="F381" s="288"/>
      <c r="G381" s="288"/>
      <c r="H381" s="707"/>
      <c r="I381" s="288"/>
      <c r="J381" s="288"/>
      <c r="K381" s="285"/>
    </row>
    <row r="382" spans="1:11" x14ac:dyDescent="0.2">
      <c r="A382" s="285"/>
      <c r="B382" s="285"/>
      <c r="C382" s="285"/>
      <c r="D382" s="288"/>
      <c r="E382" s="291"/>
      <c r="F382" s="288"/>
      <c r="G382" s="288"/>
      <c r="H382" s="707"/>
      <c r="I382" s="288"/>
      <c r="J382" s="288"/>
      <c r="K382" s="285"/>
    </row>
    <row r="383" spans="1:11" x14ac:dyDescent="0.2">
      <c r="A383" s="285"/>
      <c r="B383" s="285"/>
      <c r="C383" s="285"/>
      <c r="D383" s="286"/>
      <c r="E383" s="286"/>
      <c r="F383" s="286"/>
      <c r="G383" s="286"/>
      <c r="H383" s="471"/>
      <c r="I383" s="286"/>
      <c r="J383" s="286"/>
      <c r="K383" s="285"/>
    </row>
    <row r="384" spans="1:11" x14ac:dyDescent="0.2">
      <c r="A384" s="285"/>
      <c r="B384" s="285"/>
      <c r="C384" s="285"/>
      <c r="D384" s="286"/>
      <c r="E384" s="286"/>
      <c r="F384" s="286"/>
      <c r="G384" s="286"/>
      <c r="H384" s="703"/>
      <c r="I384" s="286"/>
      <c r="J384" s="286"/>
      <c r="K384" s="285"/>
    </row>
    <row r="385" spans="1:11" x14ac:dyDescent="0.2">
      <c r="A385" s="285"/>
      <c r="B385" s="285"/>
      <c r="C385" s="285"/>
      <c r="D385" s="286"/>
      <c r="E385" s="286"/>
      <c r="F385" s="286"/>
      <c r="G385" s="286"/>
      <c r="H385" s="471"/>
      <c r="I385" s="286"/>
      <c r="J385" s="286"/>
      <c r="K385" s="285"/>
    </row>
    <row r="386" spans="1:11" x14ac:dyDescent="0.2">
      <c r="A386" s="285"/>
      <c r="B386" s="285"/>
      <c r="C386" s="285"/>
      <c r="D386" s="286"/>
      <c r="E386" s="286"/>
      <c r="F386" s="286"/>
      <c r="G386" s="286"/>
      <c r="H386" s="471"/>
      <c r="I386" s="286"/>
      <c r="J386" s="286"/>
      <c r="K386" s="285"/>
    </row>
    <row r="387" spans="1:11" x14ac:dyDescent="0.2">
      <c r="A387" s="285"/>
      <c r="B387" s="285"/>
      <c r="C387" s="285"/>
      <c r="D387" s="286"/>
      <c r="E387" s="286"/>
      <c r="F387" s="286"/>
      <c r="G387" s="286"/>
      <c r="H387" s="471"/>
      <c r="I387" s="286"/>
      <c r="J387" s="286"/>
      <c r="K387" s="285"/>
    </row>
    <row r="388" spans="1:11" x14ac:dyDescent="0.2">
      <c r="A388" s="285"/>
      <c r="B388" s="285"/>
      <c r="C388" s="285"/>
      <c r="D388" s="286"/>
      <c r="E388" s="286"/>
      <c r="F388" s="286"/>
      <c r="G388" s="286"/>
      <c r="H388" s="471"/>
      <c r="I388" s="286"/>
      <c r="J388" s="286"/>
      <c r="K388" s="285"/>
    </row>
    <row r="389" spans="1:11" x14ac:dyDescent="0.2">
      <c r="A389" s="285"/>
      <c r="B389" s="285"/>
      <c r="C389" s="285"/>
      <c r="D389" s="286"/>
      <c r="E389" s="286"/>
      <c r="F389" s="286"/>
      <c r="G389" s="286"/>
      <c r="H389" s="703"/>
      <c r="I389" s="286"/>
      <c r="J389" s="286"/>
      <c r="K389" s="285"/>
    </row>
    <row r="390" spans="1:11" x14ac:dyDescent="0.2">
      <c r="A390" s="285"/>
      <c r="B390" s="285"/>
      <c r="C390" s="285"/>
      <c r="D390" s="286"/>
      <c r="E390" s="286"/>
      <c r="F390" s="286"/>
      <c r="G390" s="286"/>
      <c r="H390" s="471"/>
      <c r="I390" s="286"/>
      <c r="J390" s="286"/>
      <c r="K390" s="285"/>
    </row>
    <row r="391" spans="1:11" x14ac:dyDescent="0.2">
      <c r="A391" s="285"/>
      <c r="B391" s="285"/>
      <c r="C391" s="285"/>
      <c r="D391" s="286"/>
      <c r="E391" s="285"/>
      <c r="F391" s="285"/>
      <c r="G391" s="285"/>
      <c r="H391" s="471"/>
      <c r="I391" s="285"/>
      <c r="J391" s="285"/>
      <c r="K391" s="285"/>
    </row>
    <row r="392" spans="1:11" x14ac:dyDescent="0.2">
      <c r="A392" s="285"/>
      <c r="B392" s="285"/>
      <c r="C392" s="285"/>
      <c r="D392" s="286"/>
      <c r="E392" s="286"/>
      <c r="F392" s="286"/>
      <c r="G392" s="286"/>
      <c r="H392" s="471"/>
      <c r="I392" s="286"/>
      <c r="J392" s="286"/>
      <c r="K392" s="285"/>
    </row>
    <row r="393" spans="1:11" x14ac:dyDescent="0.2">
      <c r="A393" s="285"/>
      <c r="B393" s="285"/>
      <c r="C393" s="285"/>
      <c r="D393" s="286"/>
      <c r="E393" s="286"/>
      <c r="F393" s="286"/>
      <c r="G393" s="286"/>
      <c r="H393" s="703"/>
      <c r="I393" s="286"/>
      <c r="J393" s="286"/>
      <c r="K393" s="285"/>
    </row>
    <row r="394" spans="1:11" x14ac:dyDescent="0.2">
      <c r="A394" s="285"/>
      <c r="B394" s="285"/>
      <c r="C394" s="285"/>
      <c r="D394" s="287"/>
      <c r="E394" s="286"/>
      <c r="F394" s="286"/>
      <c r="G394" s="286"/>
      <c r="H394" s="708"/>
      <c r="I394" s="286"/>
      <c r="J394" s="286"/>
      <c r="K394" s="285"/>
    </row>
    <row r="395" spans="1:11" x14ac:dyDescent="0.2">
      <c r="A395" s="285"/>
      <c r="B395" s="285"/>
      <c r="C395" s="285"/>
      <c r="D395" s="287"/>
      <c r="E395" s="286"/>
      <c r="F395" s="286"/>
      <c r="G395" s="286"/>
      <c r="H395" s="471"/>
      <c r="I395" s="286"/>
      <c r="J395" s="286"/>
      <c r="K395" s="285"/>
    </row>
    <row r="396" spans="1:11" x14ac:dyDescent="0.2">
      <c r="A396" s="285"/>
      <c r="B396" s="285"/>
      <c r="C396" s="285"/>
      <c r="D396" s="287"/>
      <c r="E396" s="286"/>
      <c r="F396" s="286"/>
      <c r="G396" s="286"/>
      <c r="H396" s="471"/>
      <c r="I396" s="286"/>
      <c r="J396" s="286"/>
      <c r="K396" s="285"/>
    </row>
    <row r="397" spans="1:11" x14ac:dyDescent="0.2">
      <c r="A397" s="285"/>
      <c r="B397" s="285"/>
      <c r="C397" s="285"/>
      <c r="D397" s="289"/>
      <c r="E397" s="288"/>
      <c r="F397" s="288"/>
      <c r="G397" s="288"/>
      <c r="H397" s="709"/>
      <c r="I397" s="288"/>
      <c r="J397" s="288"/>
      <c r="K397" s="290"/>
    </row>
    <row r="398" spans="1:11" x14ac:dyDescent="0.2">
      <c r="A398" s="285"/>
      <c r="B398" s="285"/>
      <c r="C398" s="285"/>
      <c r="D398" s="289"/>
      <c r="E398" s="288"/>
      <c r="F398" s="288"/>
      <c r="G398" s="288"/>
      <c r="H398" s="709"/>
      <c r="I398" s="288"/>
      <c r="J398" s="288"/>
      <c r="K398" s="290"/>
    </row>
    <row r="399" spans="1:11" x14ac:dyDescent="0.2">
      <c r="A399" s="285"/>
      <c r="B399" s="285"/>
      <c r="C399" s="285"/>
      <c r="D399" s="289"/>
      <c r="E399" s="288"/>
      <c r="F399" s="288"/>
      <c r="G399" s="288"/>
      <c r="H399" s="709"/>
      <c r="I399" s="288"/>
      <c r="J399" s="288"/>
      <c r="K399" s="290"/>
    </row>
    <row r="400" spans="1:11" x14ac:dyDescent="0.2">
      <c r="A400" s="285"/>
      <c r="B400" s="285"/>
      <c r="C400" s="285"/>
      <c r="D400" s="459"/>
      <c r="E400" s="291"/>
      <c r="F400" s="288"/>
      <c r="G400" s="288"/>
      <c r="H400" s="704"/>
      <c r="I400" s="288"/>
      <c r="J400" s="288"/>
      <c r="K400" s="290"/>
    </row>
    <row r="401" spans="1:11" s="336" customFormat="1" x14ac:dyDescent="0.35">
      <c r="A401" s="285"/>
      <c r="B401" s="285"/>
      <c r="C401" s="285"/>
      <c r="D401" s="286"/>
      <c r="E401" s="286"/>
      <c r="F401" s="286"/>
      <c r="G401" s="286"/>
      <c r="H401" s="703"/>
      <c r="I401" s="286"/>
      <c r="J401" s="286"/>
      <c r="K401" s="285"/>
    </row>
    <row r="402" spans="1:11" s="336" customFormat="1" x14ac:dyDescent="0.35">
      <c r="A402" s="285"/>
      <c r="B402" s="285"/>
      <c r="C402" s="285"/>
      <c r="D402" s="286"/>
      <c r="E402" s="285"/>
      <c r="F402" s="285"/>
      <c r="G402" s="285"/>
      <c r="H402" s="471"/>
      <c r="I402" s="285"/>
      <c r="J402" s="285"/>
      <c r="K402" s="285"/>
    </row>
    <row r="403" spans="1:11" s="336" customFormat="1" x14ac:dyDescent="0.35">
      <c r="A403" s="285"/>
      <c r="B403" s="285"/>
      <c r="C403" s="285"/>
      <c r="D403" s="286"/>
      <c r="E403" s="286"/>
      <c r="F403" s="286"/>
      <c r="G403" s="286"/>
      <c r="H403" s="703"/>
      <c r="I403" s="286"/>
      <c r="J403" s="286"/>
      <c r="K403" s="285"/>
    </row>
    <row r="404" spans="1:11" x14ac:dyDescent="0.2">
      <c r="A404" s="285"/>
      <c r="B404" s="285"/>
      <c r="C404" s="285"/>
      <c r="D404" s="286"/>
      <c r="E404" s="286"/>
      <c r="F404" s="286"/>
      <c r="G404" s="286"/>
      <c r="H404" s="471"/>
      <c r="I404" s="286"/>
      <c r="J404" s="286"/>
      <c r="K404" s="285"/>
    </row>
    <row r="405" spans="1:11" x14ac:dyDescent="0.2">
      <c r="A405" s="285"/>
      <c r="B405" s="285"/>
      <c r="C405" s="285"/>
      <c r="D405" s="286"/>
      <c r="E405" s="286"/>
      <c r="F405" s="286"/>
      <c r="G405" s="286"/>
      <c r="H405" s="471"/>
      <c r="I405" s="286"/>
      <c r="J405" s="286"/>
      <c r="K405" s="285"/>
    </row>
    <row r="406" spans="1:11" x14ac:dyDescent="0.2">
      <c r="A406" s="285"/>
      <c r="B406" s="285"/>
      <c r="C406" s="285"/>
      <c r="D406" s="286"/>
      <c r="E406" s="286"/>
      <c r="F406" s="286"/>
      <c r="G406" s="286"/>
      <c r="H406" s="471"/>
      <c r="I406" s="286"/>
      <c r="J406" s="286"/>
      <c r="K406" s="285"/>
    </row>
    <row r="407" spans="1:11" x14ac:dyDescent="0.2">
      <c r="A407" s="285"/>
      <c r="B407" s="285"/>
      <c r="C407" s="285"/>
      <c r="D407" s="286"/>
      <c r="E407" s="286"/>
      <c r="F407" s="286"/>
      <c r="G407" s="286"/>
      <c r="H407" s="471"/>
      <c r="I407" s="286"/>
      <c r="J407" s="286"/>
      <c r="K407" s="285"/>
    </row>
    <row r="408" spans="1:11" x14ac:dyDescent="0.2">
      <c r="A408" s="285"/>
      <c r="B408" s="285"/>
      <c r="C408" s="285"/>
      <c r="D408" s="286"/>
      <c r="E408" s="286"/>
      <c r="F408" s="286"/>
      <c r="G408" s="286"/>
      <c r="H408" s="471"/>
      <c r="I408" s="286"/>
      <c r="J408" s="286"/>
      <c r="K408" s="285"/>
    </row>
    <row r="409" spans="1:11" x14ac:dyDescent="0.2">
      <c r="A409" s="285"/>
      <c r="B409" s="285"/>
      <c r="C409" s="285"/>
      <c r="D409" s="286"/>
      <c r="E409" s="286"/>
      <c r="F409" s="286"/>
      <c r="G409" s="286"/>
      <c r="H409" s="471"/>
      <c r="I409" s="286"/>
      <c r="J409" s="286"/>
      <c r="K409" s="285"/>
    </row>
    <row r="410" spans="1:11" x14ac:dyDescent="0.2">
      <c r="A410" s="285"/>
      <c r="B410" s="285"/>
      <c r="C410" s="285"/>
      <c r="D410" s="286"/>
      <c r="E410" s="286"/>
      <c r="F410" s="286"/>
      <c r="G410" s="286"/>
      <c r="H410" s="471"/>
      <c r="I410" s="286"/>
      <c r="J410" s="286"/>
      <c r="K410" s="285"/>
    </row>
    <row r="411" spans="1:11" x14ac:dyDescent="0.2">
      <c r="A411" s="285"/>
      <c r="B411" s="285"/>
      <c r="C411" s="285"/>
      <c r="D411" s="286"/>
      <c r="E411" s="286"/>
      <c r="F411" s="286"/>
      <c r="G411" s="286"/>
      <c r="H411" s="471"/>
      <c r="I411" s="286"/>
      <c r="J411" s="286"/>
      <c r="K411" s="285"/>
    </row>
    <row r="412" spans="1:11" x14ac:dyDescent="0.2">
      <c r="A412" s="285"/>
      <c r="B412" s="285"/>
      <c r="C412" s="285"/>
      <c r="D412" s="286"/>
      <c r="E412" s="286"/>
      <c r="F412" s="286"/>
      <c r="G412" s="286"/>
      <c r="H412" s="471"/>
      <c r="I412" s="286"/>
      <c r="J412" s="286"/>
      <c r="K412" s="285"/>
    </row>
    <row r="413" spans="1:11" x14ac:dyDescent="0.2">
      <c r="A413" s="285"/>
      <c r="B413" s="285"/>
      <c r="C413" s="285"/>
      <c r="D413" s="286"/>
      <c r="E413" s="286"/>
      <c r="F413" s="286"/>
      <c r="G413" s="286"/>
      <c r="H413" s="471"/>
      <c r="I413" s="286"/>
      <c r="J413" s="286"/>
      <c r="K413" s="285"/>
    </row>
    <row r="414" spans="1:11" x14ac:dyDescent="0.2">
      <c r="A414" s="285"/>
      <c r="B414" s="285"/>
      <c r="C414" s="285"/>
      <c r="D414" s="286"/>
      <c r="E414" s="286"/>
      <c r="F414" s="286"/>
      <c r="G414" s="286"/>
      <c r="H414" s="471"/>
      <c r="I414" s="286"/>
      <c r="J414" s="286"/>
      <c r="K414" s="285"/>
    </row>
    <row r="415" spans="1:11" x14ac:dyDescent="0.2">
      <c r="A415" s="285"/>
      <c r="B415" s="285"/>
      <c r="C415" s="285"/>
      <c r="D415" s="286"/>
      <c r="E415" s="286"/>
      <c r="F415" s="286"/>
      <c r="G415" s="286"/>
      <c r="H415" s="471"/>
      <c r="I415" s="286"/>
      <c r="J415" s="286"/>
      <c r="K415" s="285"/>
    </row>
    <row r="416" spans="1:11" x14ac:dyDescent="0.2">
      <c r="A416" s="285"/>
      <c r="B416" s="285"/>
      <c r="C416" s="285"/>
      <c r="D416" s="286"/>
      <c r="E416" s="286"/>
      <c r="F416" s="286"/>
      <c r="G416" s="286"/>
      <c r="H416" s="471"/>
      <c r="I416" s="286"/>
      <c r="J416" s="286"/>
      <c r="K416" s="285"/>
    </row>
    <row r="417" spans="1:11" x14ac:dyDescent="0.2">
      <c r="A417" s="285"/>
      <c r="B417" s="285"/>
      <c r="C417" s="285"/>
      <c r="D417" s="286"/>
      <c r="E417" s="286"/>
      <c r="F417" s="286"/>
      <c r="G417" s="286"/>
      <c r="H417" s="471"/>
      <c r="I417" s="286"/>
      <c r="J417" s="286"/>
      <c r="K417" s="285"/>
    </row>
    <row r="418" spans="1:11" x14ac:dyDescent="0.2">
      <c r="A418" s="285"/>
      <c r="B418" s="285"/>
      <c r="C418" s="285"/>
      <c r="D418" s="286"/>
      <c r="E418" s="286"/>
      <c r="F418" s="286"/>
      <c r="G418" s="286"/>
      <c r="H418" s="471"/>
      <c r="I418" s="286"/>
      <c r="J418" s="286"/>
      <c r="K418" s="285"/>
    </row>
    <row r="419" spans="1:11" x14ac:dyDescent="0.2">
      <c r="A419" s="285"/>
      <c r="B419" s="285"/>
      <c r="C419" s="285"/>
      <c r="D419" s="286"/>
      <c r="E419" s="286"/>
      <c r="F419" s="286"/>
      <c r="G419" s="286"/>
      <c r="H419" s="471"/>
      <c r="I419" s="286"/>
      <c r="J419" s="286"/>
      <c r="K419" s="285"/>
    </row>
    <row r="420" spans="1:11" x14ac:dyDescent="0.2">
      <c r="A420" s="285"/>
      <c r="B420" s="285"/>
      <c r="C420" s="285"/>
      <c r="D420" s="286"/>
      <c r="E420" s="286"/>
      <c r="F420" s="286"/>
      <c r="G420" s="286"/>
      <c r="H420" s="471"/>
      <c r="I420" s="286"/>
      <c r="J420" s="286"/>
      <c r="K420" s="285"/>
    </row>
    <row r="421" spans="1:11" x14ac:dyDescent="0.2">
      <c r="A421" s="285"/>
      <c r="B421" s="285"/>
      <c r="C421" s="285"/>
      <c r="D421" s="286"/>
      <c r="E421" s="286"/>
      <c r="F421" s="286"/>
      <c r="G421" s="286"/>
      <c r="H421" s="471"/>
      <c r="I421" s="286"/>
      <c r="J421" s="286"/>
      <c r="K421" s="285"/>
    </row>
    <row r="422" spans="1:11" x14ac:dyDescent="0.2">
      <c r="D422" s="286"/>
      <c r="E422" s="286"/>
      <c r="F422" s="286"/>
      <c r="G422" s="286"/>
      <c r="H422" s="471"/>
      <c r="I422" s="286"/>
      <c r="J422" s="286"/>
      <c r="K422" s="471"/>
    </row>
    <row r="423" spans="1:11" x14ac:dyDescent="0.2">
      <c r="D423" s="286"/>
      <c r="E423" s="286"/>
      <c r="F423" s="286"/>
      <c r="G423" s="286"/>
      <c r="H423" s="471"/>
      <c r="I423" s="286"/>
      <c r="J423" s="286"/>
      <c r="K423" s="471"/>
    </row>
    <row r="424" spans="1:11" x14ac:dyDescent="0.2">
      <c r="D424" s="286"/>
      <c r="E424" s="286"/>
      <c r="F424" s="286"/>
      <c r="G424" s="286"/>
      <c r="H424" s="471"/>
      <c r="I424" s="286"/>
      <c r="J424" s="286"/>
      <c r="K424" s="471"/>
    </row>
    <row r="425" spans="1:11" x14ac:dyDescent="0.2">
      <c r="D425" s="286"/>
      <c r="E425" s="286"/>
      <c r="F425" s="286"/>
      <c r="G425" s="292"/>
      <c r="H425" s="471"/>
      <c r="I425" s="286"/>
      <c r="J425" s="286"/>
      <c r="K425" s="471"/>
    </row>
    <row r="426" spans="1:11" x14ac:dyDescent="0.2">
      <c r="D426" s="286"/>
      <c r="E426" s="286"/>
      <c r="F426" s="286"/>
      <c r="G426" s="286"/>
      <c r="H426" s="471"/>
      <c r="I426" s="286"/>
      <c r="J426" s="286"/>
      <c r="K426" s="471"/>
    </row>
    <row r="427" spans="1:11" x14ac:dyDescent="0.2">
      <c r="D427" s="286"/>
      <c r="E427" s="286"/>
      <c r="F427" s="286"/>
      <c r="G427" s="286"/>
      <c r="H427" s="471"/>
      <c r="I427" s="286"/>
      <c r="J427" s="286"/>
      <c r="K427" s="471"/>
    </row>
    <row r="428" spans="1:11" x14ac:dyDescent="0.2">
      <c r="D428" s="286"/>
      <c r="E428" s="286"/>
      <c r="F428" s="286"/>
      <c r="G428" s="286"/>
      <c r="H428" s="471"/>
      <c r="I428" s="286"/>
      <c r="J428" s="286"/>
      <c r="K428" s="471"/>
    </row>
    <row r="429" spans="1:11" x14ac:dyDescent="0.2">
      <c r="D429" s="286"/>
      <c r="E429" s="286"/>
      <c r="F429" s="286"/>
      <c r="G429" s="286"/>
      <c r="H429" s="471"/>
      <c r="I429" s="286"/>
      <c r="J429" s="286"/>
      <c r="K429" s="471"/>
    </row>
    <row r="430" spans="1:11" x14ac:dyDescent="0.2">
      <c r="D430" s="286"/>
      <c r="E430" s="286"/>
      <c r="F430" s="286"/>
      <c r="G430" s="286"/>
      <c r="H430" s="471"/>
      <c r="I430" s="286"/>
      <c r="J430" s="286"/>
      <c r="K430" s="471"/>
    </row>
    <row r="431" spans="1:11" x14ac:dyDescent="0.2">
      <c r="D431" s="286"/>
      <c r="E431" s="286"/>
      <c r="F431" s="286"/>
      <c r="G431" s="286"/>
      <c r="H431" s="471"/>
      <c r="I431" s="286"/>
      <c r="J431" s="286"/>
      <c r="K431" s="471"/>
    </row>
    <row r="432" spans="1:11" x14ac:dyDescent="0.2">
      <c r="D432" s="286"/>
      <c r="E432" s="286"/>
      <c r="F432" s="286"/>
      <c r="G432" s="286"/>
      <c r="H432" s="471"/>
      <c r="I432" s="286"/>
      <c r="J432" s="286"/>
      <c r="K432" s="471"/>
    </row>
    <row r="433" spans="1:11" x14ac:dyDescent="0.2">
      <c r="D433" s="286"/>
      <c r="E433" s="286"/>
      <c r="F433" s="286"/>
      <c r="G433" s="286"/>
      <c r="H433" s="471"/>
      <c r="I433" s="286"/>
      <c r="J433" s="286"/>
      <c r="K433" s="471"/>
    </row>
    <row r="434" spans="1:11" x14ac:dyDescent="0.2">
      <c r="D434" s="286"/>
      <c r="E434" s="286"/>
      <c r="F434" s="286"/>
      <c r="G434" s="286"/>
      <c r="H434" s="471"/>
      <c r="J434" s="286"/>
      <c r="K434" s="471"/>
    </row>
    <row r="435" spans="1:11" x14ac:dyDescent="0.2">
      <c r="D435" s="286"/>
      <c r="E435" s="286"/>
      <c r="F435" s="286"/>
      <c r="G435" s="286"/>
      <c r="H435" s="471"/>
      <c r="I435" s="286"/>
      <c r="J435" s="286"/>
      <c r="K435" s="471"/>
    </row>
    <row r="436" spans="1:11" x14ac:dyDescent="0.2">
      <c r="D436" s="286"/>
      <c r="E436" s="286"/>
      <c r="G436" s="286"/>
      <c r="H436" s="471"/>
      <c r="I436" s="286"/>
      <c r="J436" s="286"/>
      <c r="K436" s="471"/>
    </row>
    <row r="437" spans="1:11" x14ac:dyDescent="0.2">
      <c r="D437" s="286"/>
      <c r="E437" s="286"/>
      <c r="F437" s="286"/>
      <c r="G437" s="286"/>
      <c r="H437" s="471"/>
      <c r="I437" s="286"/>
      <c r="J437" s="286"/>
      <c r="K437" s="471"/>
    </row>
    <row r="438" spans="1:11" x14ac:dyDescent="0.2">
      <c r="D438" s="286"/>
      <c r="E438" s="286"/>
      <c r="F438" s="286"/>
      <c r="G438" s="286"/>
      <c r="H438" s="471"/>
      <c r="I438" s="286"/>
      <c r="J438" s="286"/>
      <c r="K438" s="471"/>
    </row>
    <row r="439" spans="1:11" x14ac:dyDescent="0.2">
      <c r="D439" s="286"/>
      <c r="E439" s="286"/>
      <c r="F439" s="286"/>
      <c r="G439" s="286"/>
      <c r="H439" s="471"/>
      <c r="I439" s="286"/>
      <c r="J439" s="286"/>
      <c r="K439" s="471"/>
    </row>
    <row r="440" spans="1:11" x14ac:dyDescent="0.2">
      <c r="D440" s="286"/>
      <c r="E440" s="286"/>
      <c r="F440" s="286"/>
      <c r="G440" s="286"/>
      <c r="H440" s="471"/>
      <c r="I440" s="286"/>
      <c r="J440" s="286"/>
      <c r="K440" s="471"/>
    </row>
    <row r="441" spans="1:11" x14ac:dyDescent="0.2">
      <c r="D441" s="286"/>
      <c r="E441" s="286"/>
      <c r="F441" s="286"/>
      <c r="G441" s="286"/>
      <c r="H441" s="471"/>
      <c r="I441" s="286"/>
      <c r="J441" s="286"/>
      <c r="K441" s="471"/>
    </row>
    <row r="442" spans="1:11" x14ac:dyDescent="0.2">
      <c r="A442" s="285"/>
      <c r="B442" s="285"/>
      <c r="C442" s="285"/>
      <c r="D442" s="286"/>
      <c r="E442" s="286"/>
      <c r="F442" s="286"/>
      <c r="G442" s="286"/>
      <c r="H442" s="471"/>
      <c r="I442" s="286"/>
      <c r="J442" s="286"/>
      <c r="K442" s="285"/>
    </row>
    <row r="443" spans="1:11" x14ac:dyDescent="0.2">
      <c r="A443" s="285"/>
      <c r="B443" s="285"/>
      <c r="C443" s="285"/>
      <c r="D443" s="286"/>
      <c r="E443" s="286"/>
      <c r="F443" s="286"/>
      <c r="G443" s="286"/>
      <c r="H443" s="471"/>
      <c r="I443" s="286"/>
      <c r="J443" s="286"/>
      <c r="K443" s="285"/>
    </row>
    <row r="444" spans="1:11" x14ac:dyDescent="0.2">
      <c r="A444" s="285"/>
      <c r="B444" s="285"/>
      <c r="C444" s="285"/>
      <c r="D444" s="286"/>
      <c r="E444" s="286"/>
      <c r="F444" s="286"/>
      <c r="G444" s="286"/>
      <c r="H444" s="471"/>
      <c r="I444" s="286"/>
      <c r="J444" s="286"/>
      <c r="K444" s="285"/>
    </row>
    <row r="445" spans="1:11" x14ac:dyDescent="0.2">
      <c r="A445" s="285"/>
      <c r="B445" s="285"/>
      <c r="C445" s="285"/>
      <c r="D445" s="286"/>
      <c r="E445" s="286"/>
      <c r="F445" s="286"/>
      <c r="G445" s="286"/>
      <c r="H445" s="471"/>
      <c r="I445" s="286"/>
      <c r="J445" s="286"/>
      <c r="K445" s="285"/>
    </row>
    <row r="446" spans="1:11" x14ac:dyDescent="0.2">
      <c r="A446" s="285"/>
      <c r="B446" s="285"/>
      <c r="C446" s="285"/>
      <c r="D446" s="286"/>
      <c r="E446" s="286"/>
      <c r="F446" s="286"/>
      <c r="G446" s="286"/>
      <c r="H446" s="471"/>
      <c r="I446" s="286"/>
      <c r="J446" s="286"/>
      <c r="K446" s="285"/>
    </row>
    <row r="447" spans="1:11" x14ac:dyDescent="0.2">
      <c r="A447" s="285"/>
      <c r="B447" s="285"/>
      <c r="C447" s="285"/>
      <c r="D447" s="286"/>
      <c r="E447" s="286"/>
      <c r="F447" s="286"/>
      <c r="G447" s="286"/>
      <c r="H447" s="471"/>
      <c r="I447" s="286"/>
      <c r="J447" s="286"/>
      <c r="K447" s="285"/>
    </row>
    <row r="448" spans="1:11" x14ac:dyDescent="0.2">
      <c r="A448" s="285"/>
      <c r="B448" s="285"/>
      <c r="C448" s="285"/>
      <c r="D448" s="286"/>
      <c r="E448" s="286"/>
      <c r="F448" s="286"/>
      <c r="G448" s="286"/>
      <c r="H448" s="471"/>
      <c r="I448" s="286"/>
      <c r="J448" s="286"/>
      <c r="K448" s="285"/>
    </row>
    <row r="449" spans="1:11" x14ac:dyDescent="0.2">
      <c r="A449" s="285"/>
      <c r="B449" s="285"/>
      <c r="C449" s="285"/>
      <c r="D449" s="286"/>
      <c r="E449" s="286"/>
      <c r="F449" s="286"/>
      <c r="G449" s="286"/>
      <c r="H449" s="471"/>
      <c r="I449" s="286"/>
      <c r="J449" s="286"/>
      <c r="K449" s="285"/>
    </row>
    <row r="450" spans="1:11" x14ac:dyDescent="0.2">
      <c r="A450" s="285"/>
      <c r="B450" s="285"/>
      <c r="C450" s="285"/>
      <c r="D450" s="286"/>
      <c r="E450" s="286"/>
      <c r="F450" s="286"/>
      <c r="G450" s="286"/>
      <c r="H450" s="471"/>
      <c r="I450" s="286"/>
      <c r="J450" s="286"/>
      <c r="K450" s="285"/>
    </row>
    <row r="451" spans="1:11" x14ac:dyDescent="0.2">
      <c r="A451" s="285"/>
      <c r="B451" s="285"/>
      <c r="C451" s="285"/>
      <c r="D451" s="286"/>
      <c r="E451" s="286"/>
      <c r="F451" s="286"/>
      <c r="G451" s="286"/>
      <c r="H451" s="471"/>
      <c r="I451" s="286"/>
      <c r="J451" s="286"/>
      <c r="K451" s="285"/>
    </row>
    <row r="452" spans="1:11" x14ac:dyDescent="0.2">
      <c r="A452" s="285"/>
      <c r="B452" s="285"/>
      <c r="C452" s="285"/>
      <c r="D452" s="286"/>
      <c r="E452" s="286"/>
      <c r="F452" s="286"/>
      <c r="G452" s="286"/>
      <c r="H452" s="471"/>
      <c r="I452" s="286"/>
      <c r="J452" s="286"/>
      <c r="K452" s="285"/>
    </row>
    <row r="453" spans="1:11" x14ac:dyDescent="0.2">
      <c r="A453" s="285"/>
      <c r="B453" s="285"/>
      <c r="C453" s="285"/>
      <c r="D453" s="286"/>
      <c r="E453" s="286"/>
      <c r="F453" s="286"/>
      <c r="G453" s="286"/>
      <c r="H453" s="471"/>
      <c r="I453" s="286"/>
      <c r="J453" s="286"/>
      <c r="K453" s="285"/>
    </row>
    <row r="454" spans="1:11" x14ac:dyDescent="0.2">
      <c r="A454" s="285"/>
      <c r="B454" s="285"/>
      <c r="C454" s="285"/>
      <c r="D454" s="286"/>
      <c r="E454" s="286"/>
      <c r="F454" s="286"/>
      <c r="G454" s="286"/>
      <c r="H454" s="471"/>
      <c r="I454" s="286"/>
      <c r="J454" s="286"/>
      <c r="K454" s="285"/>
    </row>
    <row r="455" spans="1:11" x14ac:dyDescent="0.2">
      <c r="A455" s="285"/>
      <c r="B455" s="285"/>
      <c r="C455" s="285"/>
      <c r="D455" s="286"/>
      <c r="E455" s="286"/>
      <c r="F455" s="286"/>
      <c r="G455" s="286"/>
      <c r="H455" s="471"/>
      <c r="I455" s="286"/>
      <c r="J455" s="286"/>
      <c r="K455" s="285"/>
    </row>
    <row r="456" spans="1:11" x14ac:dyDescent="0.2">
      <c r="A456" s="285"/>
      <c r="B456" s="285"/>
      <c r="C456" s="285"/>
      <c r="D456" s="286"/>
      <c r="E456" s="286"/>
      <c r="F456" s="286"/>
      <c r="G456" s="286"/>
      <c r="H456" s="471"/>
      <c r="I456" s="286"/>
      <c r="J456" s="286"/>
      <c r="K456" s="285"/>
    </row>
    <row r="457" spans="1:11" x14ac:dyDescent="0.2">
      <c r="A457" s="285"/>
      <c r="B457" s="285"/>
      <c r="C457" s="285"/>
      <c r="D457" s="286"/>
      <c r="E457" s="286"/>
      <c r="F457" s="286"/>
      <c r="G457" s="286"/>
      <c r="H457" s="471"/>
      <c r="I457" s="286"/>
      <c r="J457" s="286"/>
      <c r="K457" s="285"/>
    </row>
    <row r="458" spans="1:11" x14ac:dyDescent="0.2">
      <c r="A458" s="285"/>
      <c r="B458" s="285"/>
      <c r="C458" s="285"/>
      <c r="D458" s="286"/>
      <c r="E458" s="286"/>
      <c r="F458" s="286"/>
      <c r="G458" s="286"/>
      <c r="H458" s="471"/>
      <c r="I458" s="286"/>
      <c r="J458" s="286"/>
      <c r="K458" s="285"/>
    </row>
    <row r="459" spans="1:11" x14ac:dyDescent="0.2">
      <c r="A459" s="285"/>
      <c r="B459" s="285"/>
      <c r="C459" s="285"/>
      <c r="D459" s="286"/>
      <c r="E459" s="286"/>
      <c r="F459" s="286"/>
      <c r="G459" s="286"/>
      <c r="H459" s="471"/>
      <c r="I459" s="286"/>
      <c r="J459" s="286"/>
      <c r="K459" s="285"/>
    </row>
    <row r="460" spans="1:11" x14ac:dyDescent="0.2">
      <c r="A460" s="285"/>
      <c r="B460" s="285"/>
      <c r="C460" s="285"/>
      <c r="D460" s="286"/>
      <c r="E460" s="286"/>
      <c r="F460" s="286"/>
      <c r="G460" s="286"/>
      <c r="H460" s="471"/>
      <c r="I460" s="286"/>
      <c r="J460" s="286"/>
      <c r="K460" s="285"/>
    </row>
    <row r="461" spans="1:11" x14ac:dyDescent="0.2">
      <c r="A461" s="285"/>
      <c r="B461" s="285"/>
      <c r="C461" s="285"/>
      <c r="D461" s="286"/>
      <c r="E461" s="286"/>
      <c r="F461" s="286"/>
      <c r="G461" s="286"/>
      <c r="H461" s="471"/>
      <c r="I461" s="286"/>
      <c r="J461" s="286"/>
      <c r="K461" s="285"/>
    </row>
    <row r="462" spans="1:11" x14ac:dyDescent="0.2">
      <c r="A462" s="285"/>
      <c r="B462" s="285"/>
      <c r="C462" s="285"/>
      <c r="D462" s="286"/>
      <c r="E462" s="286"/>
      <c r="F462" s="286"/>
      <c r="G462" s="286"/>
      <c r="H462" s="471"/>
      <c r="I462" s="286"/>
      <c r="J462" s="286"/>
      <c r="K462" s="285"/>
    </row>
    <row r="463" spans="1:11" x14ac:dyDescent="0.2">
      <c r="A463" s="285"/>
      <c r="B463" s="285"/>
      <c r="C463" s="285"/>
      <c r="D463" s="286"/>
      <c r="E463" s="286"/>
      <c r="F463" s="286"/>
      <c r="G463" s="286"/>
      <c r="H463" s="471"/>
      <c r="I463" s="286"/>
      <c r="J463" s="286"/>
      <c r="K463" s="285"/>
    </row>
    <row r="464" spans="1:11" x14ac:dyDescent="0.2">
      <c r="A464" s="285"/>
      <c r="B464" s="285"/>
      <c r="C464" s="285"/>
      <c r="D464" s="286"/>
      <c r="E464" s="286"/>
      <c r="F464" s="286"/>
      <c r="G464" s="286"/>
      <c r="H464" s="471"/>
      <c r="I464" s="286"/>
      <c r="J464" s="286"/>
      <c r="K464" s="285"/>
    </row>
    <row r="465" spans="1:11" x14ac:dyDescent="0.2">
      <c r="A465" s="285"/>
      <c r="B465" s="285"/>
      <c r="C465" s="285"/>
      <c r="D465" s="286"/>
      <c r="E465" s="286"/>
      <c r="F465" s="286"/>
      <c r="G465" s="286"/>
      <c r="H465" s="471"/>
      <c r="I465" s="286"/>
      <c r="J465" s="286"/>
      <c r="K465" s="285"/>
    </row>
    <row r="466" spans="1:11" x14ac:dyDescent="0.2">
      <c r="A466" s="285"/>
      <c r="B466" s="285"/>
      <c r="C466" s="285"/>
      <c r="D466" s="286"/>
      <c r="E466" s="286"/>
      <c r="F466" s="286"/>
      <c r="G466" s="286"/>
      <c r="H466" s="471"/>
      <c r="I466" s="286"/>
      <c r="J466" s="286"/>
      <c r="K466" s="285"/>
    </row>
    <row r="467" spans="1:11" x14ac:dyDescent="0.2">
      <c r="A467" s="285"/>
      <c r="B467" s="285"/>
      <c r="C467" s="285"/>
      <c r="D467" s="286"/>
      <c r="E467" s="286"/>
      <c r="F467" s="286"/>
      <c r="G467" s="286"/>
      <c r="H467" s="471"/>
      <c r="I467" s="286"/>
      <c r="J467" s="286"/>
      <c r="K467" s="285"/>
    </row>
    <row r="468" spans="1:11" x14ac:dyDescent="0.2">
      <c r="A468" s="285"/>
      <c r="B468" s="285"/>
      <c r="C468" s="285"/>
      <c r="D468" s="286"/>
      <c r="E468" s="286"/>
      <c r="F468" s="286"/>
      <c r="G468" s="286"/>
      <c r="H468" s="471"/>
      <c r="I468" s="286"/>
      <c r="J468" s="286"/>
      <c r="K468" s="285"/>
    </row>
    <row r="469" spans="1:11" x14ac:dyDescent="0.2">
      <c r="A469" s="285"/>
      <c r="B469" s="285"/>
      <c r="C469" s="285"/>
      <c r="D469" s="286"/>
      <c r="E469" s="286"/>
      <c r="F469" s="286"/>
      <c r="G469" s="286"/>
      <c r="H469" s="471"/>
      <c r="I469" s="286"/>
      <c r="J469" s="286"/>
      <c r="K469" s="285"/>
    </row>
    <row r="470" spans="1:11" x14ac:dyDescent="0.2">
      <c r="A470" s="285"/>
      <c r="B470" s="285"/>
      <c r="C470" s="285"/>
      <c r="D470" s="286"/>
      <c r="E470" s="286"/>
      <c r="F470" s="286"/>
      <c r="G470" s="286"/>
      <c r="H470" s="471"/>
      <c r="I470" s="286"/>
      <c r="J470" s="286"/>
      <c r="K470" s="285"/>
    </row>
    <row r="471" spans="1:11" x14ac:dyDescent="0.2">
      <c r="A471" s="285"/>
      <c r="B471" s="285"/>
      <c r="C471" s="285"/>
      <c r="D471" s="286"/>
      <c r="E471" s="286"/>
      <c r="F471" s="286"/>
      <c r="G471" s="286"/>
      <c r="H471" s="471"/>
      <c r="I471" s="286"/>
      <c r="J471" s="286"/>
      <c r="K471" s="285"/>
    </row>
    <row r="472" spans="1:11" x14ac:dyDescent="0.2">
      <c r="A472" s="285"/>
      <c r="B472" s="285"/>
      <c r="C472" s="285"/>
      <c r="D472" s="286"/>
      <c r="E472" s="286"/>
      <c r="F472" s="286"/>
      <c r="G472" s="286"/>
      <c r="H472" s="471"/>
      <c r="I472" s="286"/>
      <c r="J472" s="286"/>
      <c r="K472" s="285"/>
    </row>
    <row r="473" spans="1:11" x14ac:dyDescent="0.2">
      <c r="A473" s="285"/>
      <c r="B473" s="285"/>
      <c r="C473" s="285"/>
      <c r="D473" s="286"/>
      <c r="E473" s="286"/>
      <c r="F473" s="286"/>
      <c r="G473" s="286"/>
      <c r="H473" s="471"/>
      <c r="I473" s="286"/>
      <c r="J473" s="286"/>
      <c r="K473" s="285"/>
    </row>
    <row r="474" spans="1:11" x14ac:dyDescent="0.2">
      <c r="A474" s="285"/>
      <c r="B474" s="285"/>
      <c r="C474" s="285"/>
      <c r="D474" s="286"/>
      <c r="E474" s="286"/>
      <c r="F474" s="286"/>
      <c r="G474" s="286"/>
      <c r="H474" s="471"/>
      <c r="I474" s="286"/>
      <c r="J474" s="286"/>
      <c r="K474" s="285"/>
    </row>
    <row r="475" spans="1:11" x14ac:dyDescent="0.2">
      <c r="A475" s="285"/>
      <c r="B475" s="285"/>
      <c r="C475" s="285"/>
      <c r="D475" s="286"/>
      <c r="E475" s="286"/>
      <c r="F475" s="286"/>
      <c r="G475" s="286"/>
      <c r="H475" s="471"/>
      <c r="I475" s="286"/>
      <c r="J475" s="286"/>
      <c r="K475" s="285"/>
    </row>
    <row r="476" spans="1:11" x14ac:dyDescent="0.2">
      <c r="A476" s="285"/>
      <c r="B476" s="285"/>
      <c r="C476" s="285"/>
      <c r="D476" s="286"/>
      <c r="E476" s="286"/>
      <c r="F476" s="286"/>
      <c r="G476" s="286"/>
      <c r="H476" s="471"/>
      <c r="I476" s="286"/>
      <c r="J476" s="286"/>
      <c r="K476" s="285"/>
    </row>
    <row r="477" spans="1:11" x14ac:dyDescent="0.2">
      <c r="A477" s="285"/>
      <c r="B477" s="285"/>
      <c r="C477" s="285"/>
      <c r="D477" s="286"/>
      <c r="E477" s="286"/>
      <c r="F477" s="286"/>
      <c r="G477" s="286"/>
      <c r="H477" s="471"/>
      <c r="I477" s="286"/>
      <c r="J477" s="286"/>
      <c r="K477" s="285"/>
    </row>
    <row r="478" spans="1:11" x14ac:dyDescent="0.2">
      <c r="A478" s="285"/>
      <c r="B478" s="285"/>
      <c r="C478" s="285"/>
      <c r="D478" s="286"/>
      <c r="E478" s="286"/>
      <c r="F478" s="286"/>
      <c r="G478" s="286"/>
      <c r="H478" s="471"/>
      <c r="I478" s="286"/>
      <c r="J478" s="286"/>
      <c r="K478" s="285"/>
    </row>
    <row r="479" spans="1:11" x14ac:dyDescent="0.2">
      <c r="A479" s="285"/>
      <c r="B479" s="285"/>
      <c r="C479" s="285"/>
      <c r="D479" s="286"/>
      <c r="E479" s="286"/>
      <c r="F479" s="286"/>
      <c r="G479" s="286"/>
      <c r="H479" s="471"/>
      <c r="I479" s="286"/>
      <c r="J479" s="286"/>
      <c r="K479" s="285"/>
    </row>
    <row r="480" spans="1:11" x14ac:dyDescent="0.2">
      <c r="A480" s="285"/>
      <c r="B480" s="285"/>
      <c r="C480" s="285"/>
      <c r="D480" s="286"/>
      <c r="E480" s="286"/>
      <c r="F480" s="286"/>
      <c r="G480" s="286"/>
      <c r="H480" s="471"/>
      <c r="I480" s="286"/>
      <c r="J480" s="286"/>
      <c r="K480" s="285"/>
    </row>
    <row r="481" spans="1:11" x14ac:dyDescent="0.2">
      <c r="A481" s="285"/>
      <c r="B481" s="285"/>
      <c r="C481" s="285"/>
      <c r="D481" s="286"/>
      <c r="E481" s="286"/>
      <c r="F481" s="286"/>
      <c r="G481" s="286"/>
      <c r="H481" s="471"/>
      <c r="I481" s="286"/>
      <c r="J481" s="286"/>
      <c r="K481" s="285"/>
    </row>
    <row r="482" spans="1:11" x14ac:dyDescent="0.2">
      <c r="A482" s="285"/>
      <c r="B482" s="285"/>
      <c r="C482" s="285"/>
      <c r="D482" s="286"/>
      <c r="E482" s="286"/>
      <c r="F482" s="286"/>
      <c r="G482" s="286"/>
      <c r="H482" s="471"/>
      <c r="I482" s="286"/>
      <c r="J482" s="286"/>
      <c r="K482" s="285"/>
    </row>
    <row r="483" spans="1:11" x14ac:dyDescent="0.2">
      <c r="A483" s="285"/>
      <c r="B483" s="285"/>
      <c r="C483" s="285"/>
      <c r="D483" s="286"/>
      <c r="E483" s="286"/>
      <c r="F483" s="286"/>
      <c r="G483" s="286"/>
      <c r="H483" s="471"/>
      <c r="I483" s="286"/>
      <c r="J483" s="286"/>
      <c r="K483" s="285"/>
    </row>
    <row r="484" spans="1:11" x14ac:dyDescent="0.2">
      <c r="A484" s="285"/>
      <c r="B484" s="285"/>
      <c r="C484" s="285"/>
      <c r="D484" s="286"/>
      <c r="E484" s="286"/>
      <c r="F484" s="286"/>
      <c r="G484" s="286"/>
      <c r="H484" s="471"/>
      <c r="I484" s="286"/>
      <c r="J484" s="286"/>
      <c r="K484" s="285"/>
    </row>
    <row r="485" spans="1:11" x14ac:dyDescent="0.2">
      <c r="A485" s="285"/>
      <c r="B485" s="285"/>
      <c r="C485" s="285"/>
      <c r="D485" s="286"/>
      <c r="E485" s="286"/>
      <c r="F485" s="286"/>
      <c r="G485" s="286"/>
      <c r="H485" s="471"/>
      <c r="I485" s="286"/>
      <c r="J485" s="286"/>
      <c r="K485" s="285"/>
    </row>
    <row r="486" spans="1:11" x14ac:dyDescent="0.2">
      <c r="A486" s="285"/>
      <c r="B486" s="285"/>
      <c r="C486" s="285"/>
      <c r="D486" s="286"/>
      <c r="E486" s="286"/>
      <c r="F486" s="286"/>
      <c r="G486" s="286"/>
      <c r="H486" s="471"/>
      <c r="I486" s="286"/>
      <c r="J486" s="286"/>
      <c r="K486" s="285"/>
    </row>
    <row r="487" spans="1:11" x14ac:dyDescent="0.2">
      <c r="A487" s="285"/>
      <c r="B487" s="285"/>
      <c r="C487" s="285"/>
      <c r="D487" s="286"/>
      <c r="E487" s="286"/>
      <c r="F487" s="286"/>
      <c r="G487" s="286"/>
      <c r="H487" s="471"/>
      <c r="I487" s="286"/>
      <c r="J487" s="286"/>
      <c r="K487" s="285"/>
    </row>
    <row r="488" spans="1:11" x14ac:dyDescent="0.2">
      <c r="A488" s="285"/>
      <c r="B488" s="285"/>
      <c r="C488" s="285"/>
      <c r="D488" s="286"/>
      <c r="E488" s="286"/>
      <c r="F488" s="286"/>
      <c r="G488" s="286"/>
      <c r="H488" s="471"/>
      <c r="I488" s="286"/>
      <c r="J488" s="286"/>
      <c r="K488" s="285"/>
    </row>
    <row r="489" spans="1:11" x14ac:dyDescent="0.2">
      <c r="A489" s="285"/>
      <c r="B489" s="285"/>
      <c r="C489" s="285"/>
      <c r="D489" s="286"/>
      <c r="E489" s="286"/>
      <c r="F489" s="286"/>
      <c r="G489" s="286"/>
      <c r="H489" s="471"/>
      <c r="I489" s="286"/>
      <c r="J489" s="286"/>
      <c r="K489" s="285"/>
    </row>
    <row r="490" spans="1:11" x14ac:dyDescent="0.2">
      <c r="A490" s="285"/>
      <c r="B490" s="285"/>
      <c r="C490" s="285"/>
      <c r="D490" s="286"/>
      <c r="E490" s="286"/>
      <c r="F490" s="286"/>
      <c r="G490" s="286"/>
      <c r="H490" s="471"/>
      <c r="I490" s="286"/>
      <c r="J490" s="286"/>
      <c r="K490" s="285"/>
    </row>
    <row r="491" spans="1:11" x14ac:dyDescent="0.2">
      <c r="A491" s="285"/>
      <c r="B491" s="285"/>
      <c r="C491" s="285"/>
      <c r="D491" s="286"/>
      <c r="E491" s="286"/>
      <c r="F491" s="286"/>
      <c r="G491" s="286"/>
      <c r="H491" s="471"/>
      <c r="I491" s="286"/>
      <c r="J491" s="286"/>
      <c r="K491" s="285"/>
    </row>
    <row r="492" spans="1:11" x14ac:dyDescent="0.2">
      <c r="A492" s="285"/>
      <c r="B492" s="285"/>
      <c r="C492" s="285"/>
      <c r="D492" s="286"/>
      <c r="E492" s="286"/>
      <c r="F492" s="286"/>
      <c r="G492" s="286"/>
      <c r="H492" s="471"/>
      <c r="I492" s="286"/>
      <c r="J492" s="286"/>
      <c r="K492" s="285"/>
    </row>
    <row r="493" spans="1:11" x14ac:dyDescent="0.2">
      <c r="A493" s="285"/>
      <c r="B493" s="285"/>
      <c r="C493" s="285"/>
      <c r="D493" s="286"/>
      <c r="E493" s="286"/>
      <c r="F493" s="286"/>
      <c r="G493" s="286"/>
      <c r="H493" s="471"/>
      <c r="I493" s="286"/>
      <c r="J493" s="286"/>
      <c r="K493" s="285"/>
    </row>
    <row r="494" spans="1:11" x14ac:dyDescent="0.2">
      <c r="A494" s="285"/>
      <c r="B494" s="285"/>
      <c r="C494" s="285"/>
      <c r="D494" s="286"/>
      <c r="E494" s="286"/>
      <c r="F494" s="286"/>
      <c r="G494" s="286"/>
      <c r="H494" s="471"/>
      <c r="I494" s="286"/>
      <c r="J494" s="286"/>
      <c r="K494" s="285"/>
    </row>
    <row r="495" spans="1:11" x14ac:dyDescent="0.2">
      <c r="A495" s="285"/>
      <c r="B495" s="285"/>
      <c r="C495" s="285"/>
      <c r="D495" s="286"/>
      <c r="E495" s="286"/>
      <c r="F495" s="286"/>
      <c r="G495" s="286"/>
      <c r="H495" s="471"/>
      <c r="I495" s="286"/>
      <c r="J495" s="286"/>
      <c r="K495" s="285"/>
    </row>
    <row r="496" spans="1:11" x14ac:dyDescent="0.2">
      <c r="A496" s="285"/>
      <c r="B496" s="285"/>
      <c r="C496" s="285"/>
      <c r="D496" s="286"/>
      <c r="E496" s="286"/>
      <c r="F496" s="286"/>
      <c r="G496" s="286"/>
      <c r="H496" s="471"/>
      <c r="I496" s="286"/>
      <c r="J496" s="286"/>
      <c r="K496" s="285"/>
    </row>
    <row r="497" spans="1:11" x14ac:dyDescent="0.2">
      <c r="A497" s="285"/>
      <c r="B497" s="285"/>
      <c r="C497" s="285"/>
      <c r="D497" s="286"/>
      <c r="E497" s="286"/>
      <c r="F497" s="286"/>
      <c r="G497" s="286"/>
      <c r="H497" s="471"/>
      <c r="I497" s="286"/>
      <c r="J497" s="286"/>
      <c r="K497" s="285"/>
    </row>
    <row r="498" spans="1:11" x14ac:dyDescent="0.2">
      <c r="A498" s="285"/>
      <c r="B498" s="285"/>
      <c r="C498" s="285"/>
      <c r="D498" s="286"/>
      <c r="E498" s="286"/>
      <c r="F498" s="286"/>
      <c r="G498" s="286"/>
      <c r="H498" s="471"/>
      <c r="I498" s="286"/>
      <c r="J498" s="286"/>
      <c r="K498" s="285"/>
    </row>
    <row r="499" spans="1:11" x14ac:dyDescent="0.2">
      <c r="A499" s="285"/>
      <c r="B499" s="285"/>
      <c r="C499" s="285"/>
      <c r="D499" s="286"/>
      <c r="E499" s="286"/>
      <c r="F499" s="286"/>
      <c r="G499" s="286"/>
      <c r="H499" s="471"/>
      <c r="I499" s="286"/>
      <c r="J499" s="286"/>
      <c r="K499" s="285"/>
    </row>
    <row r="500" spans="1:11" x14ac:dyDescent="0.2">
      <c r="A500" s="285"/>
      <c r="B500" s="285"/>
      <c r="C500" s="285"/>
      <c r="D500" s="286"/>
      <c r="E500" s="286"/>
      <c r="F500" s="286"/>
      <c r="G500" s="286"/>
      <c r="H500" s="471"/>
      <c r="I500" s="286"/>
      <c r="J500" s="286"/>
      <c r="K500" s="285"/>
    </row>
    <row r="501" spans="1:11" x14ac:dyDescent="0.2">
      <c r="A501" s="285"/>
      <c r="B501" s="285"/>
      <c r="C501" s="285"/>
      <c r="D501" s="286"/>
      <c r="E501" s="286"/>
      <c r="F501" s="286"/>
      <c r="G501" s="286"/>
      <c r="H501" s="471"/>
      <c r="I501" s="286"/>
      <c r="J501" s="286"/>
      <c r="K501" s="285"/>
    </row>
    <row r="502" spans="1:11" x14ac:dyDescent="0.2">
      <c r="A502" s="285"/>
      <c r="B502" s="285"/>
      <c r="C502" s="285"/>
      <c r="D502" s="286"/>
      <c r="E502" s="285"/>
      <c r="F502" s="285"/>
      <c r="G502" s="285"/>
      <c r="H502" s="471"/>
      <c r="I502" s="285"/>
      <c r="J502" s="285"/>
      <c r="K502" s="285"/>
    </row>
    <row r="503" spans="1:11" x14ac:dyDescent="0.2">
      <c r="A503" s="285"/>
      <c r="B503" s="285"/>
      <c r="C503" s="285"/>
      <c r="D503" s="286"/>
      <c r="E503" s="286"/>
      <c r="F503" s="286"/>
      <c r="G503" s="286"/>
      <c r="H503" s="471"/>
      <c r="I503" s="286"/>
      <c r="J503" s="286"/>
      <c r="K503" s="285"/>
    </row>
    <row r="504" spans="1:11" x14ac:dyDescent="0.2">
      <c r="A504" s="285"/>
      <c r="B504" s="285"/>
      <c r="C504" s="285"/>
      <c r="D504" s="286"/>
      <c r="E504" s="286"/>
      <c r="F504" s="286"/>
      <c r="G504" s="286"/>
      <c r="H504" s="471"/>
      <c r="I504" s="286"/>
      <c r="J504" s="286"/>
      <c r="K504" s="285"/>
    </row>
    <row r="505" spans="1:11" x14ac:dyDescent="0.2">
      <c r="A505" s="285"/>
      <c r="B505" s="285"/>
      <c r="C505" s="285"/>
      <c r="D505" s="286"/>
      <c r="E505" s="286"/>
      <c r="F505" s="286"/>
      <c r="G505" s="286"/>
      <c r="H505" s="471"/>
      <c r="I505" s="286"/>
      <c r="J505" s="286"/>
      <c r="K505" s="285"/>
    </row>
    <row r="506" spans="1:11" x14ac:dyDescent="0.2">
      <c r="A506" s="285"/>
      <c r="B506" s="285"/>
      <c r="C506" s="285"/>
      <c r="D506" s="286"/>
      <c r="E506" s="286"/>
      <c r="F506" s="286"/>
      <c r="G506" s="286"/>
      <c r="H506" s="471"/>
      <c r="I506" s="286"/>
      <c r="J506" s="286"/>
      <c r="K506" s="285"/>
    </row>
    <row r="507" spans="1:11" x14ac:dyDescent="0.2">
      <c r="A507" s="285"/>
      <c r="B507" s="285"/>
      <c r="C507" s="285"/>
      <c r="D507" s="288"/>
      <c r="E507" s="288"/>
      <c r="F507" s="288"/>
      <c r="G507" s="288"/>
      <c r="H507" s="704"/>
      <c r="I507" s="288"/>
      <c r="J507" s="288"/>
      <c r="K507" s="290"/>
    </row>
    <row r="508" spans="1:11" x14ac:dyDescent="0.2">
      <c r="A508" s="285"/>
      <c r="B508" s="285"/>
      <c r="C508" s="285"/>
      <c r="D508" s="288"/>
      <c r="E508" s="288"/>
      <c r="F508" s="288"/>
      <c r="G508" s="288"/>
      <c r="H508" s="704"/>
      <c r="I508" s="288"/>
      <c r="J508" s="288"/>
      <c r="K508" s="290"/>
    </row>
    <row r="509" spans="1:11" x14ac:dyDescent="0.2">
      <c r="A509" s="285"/>
      <c r="B509" s="285"/>
      <c r="C509" s="285"/>
      <c r="D509" s="288"/>
      <c r="E509" s="288"/>
      <c r="F509" s="288"/>
      <c r="G509" s="288"/>
      <c r="H509" s="704"/>
      <c r="I509" s="288"/>
      <c r="J509" s="288"/>
      <c r="K509" s="290"/>
    </row>
    <row r="510" spans="1:11" x14ac:dyDescent="0.2">
      <c r="A510" s="285"/>
      <c r="B510" s="285"/>
      <c r="C510" s="285"/>
      <c r="D510" s="286"/>
      <c r="E510" s="286"/>
      <c r="F510" s="286"/>
      <c r="G510" s="286"/>
      <c r="H510" s="471"/>
      <c r="I510" s="286"/>
      <c r="J510" s="286"/>
      <c r="K510" s="285"/>
    </row>
    <row r="511" spans="1:11" x14ac:dyDescent="0.2">
      <c r="A511" s="285"/>
      <c r="B511" s="285"/>
      <c r="C511" s="285"/>
      <c r="D511" s="286"/>
      <c r="E511" s="286"/>
      <c r="F511" s="286"/>
      <c r="G511" s="286"/>
      <c r="H511" s="471"/>
      <c r="I511" s="286"/>
      <c r="J511" s="286"/>
      <c r="K511" s="285"/>
    </row>
    <row r="512" spans="1:11" x14ac:dyDescent="0.2">
      <c r="A512" s="285"/>
      <c r="B512" s="285"/>
      <c r="C512" s="285"/>
      <c r="D512" s="286"/>
      <c r="E512" s="286"/>
      <c r="F512" s="286"/>
      <c r="G512" s="286"/>
      <c r="H512" s="471"/>
      <c r="I512" s="286"/>
      <c r="J512" s="286"/>
      <c r="K512" s="285"/>
    </row>
    <row r="513" spans="1:11" x14ac:dyDescent="0.2">
      <c r="A513" s="285"/>
      <c r="B513" s="285"/>
      <c r="C513" s="285"/>
      <c r="D513" s="286"/>
      <c r="E513" s="286"/>
      <c r="F513" s="286"/>
      <c r="G513" s="286"/>
      <c r="H513" s="471"/>
      <c r="I513" s="286"/>
      <c r="J513" s="286"/>
      <c r="K513" s="285"/>
    </row>
    <row r="514" spans="1:11" x14ac:dyDescent="0.2">
      <c r="A514" s="285"/>
      <c r="B514" s="285"/>
      <c r="C514" s="285"/>
      <c r="D514" s="286"/>
      <c r="E514" s="286"/>
      <c r="F514" s="286"/>
      <c r="G514" s="286"/>
      <c r="H514" s="471"/>
      <c r="I514" s="286"/>
      <c r="J514" s="286"/>
      <c r="K514" s="285"/>
    </row>
    <row r="515" spans="1:11" x14ac:dyDescent="0.2">
      <c r="A515" s="285"/>
      <c r="B515" s="285"/>
      <c r="C515" s="285"/>
      <c r="D515" s="286"/>
      <c r="E515" s="286"/>
      <c r="F515" s="286"/>
      <c r="G515" s="286"/>
      <c r="H515" s="471"/>
      <c r="I515" s="286"/>
      <c r="J515" s="286"/>
      <c r="K515" s="285"/>
    </row>
    <row r="516" spans="1:11" x14ac:dyDescent="0.2">
      <c r="A516" s="285"/>
      <c r="B516" s="285"/>
      <c r="C516" s="285"/>
      <c r="D516" s="286"/>
      <c r="E516" s="286"/>
      <c r="F516" s="286"/>
      <c r="G516" s="286"/>
      <c r="H516" s="471"/>
      <c r="I516" s="286"/>
      <c r="J516" s="286"/>
      <c r="K516" s="285"/>
    </row>
    <row r="517" spans="1:11" x14ac:dyDescent="0.2">
      <c r="A517" s="285"/>
      <c r="B517" s="285"/>
      <c r="C517" s="285"/>
      <c r="D517" s="286"/>
      <c r="E517" s="286"/>
      <c r="F517" s="286"/>
      <c r="G517" s="286"/>
      <c r="H517" s="471"/>
      <c r="I517" s="286"/>
      <c r="J517" s="286"/>
      <c r="K517" s="285"/>
    </row>
    <row r="518" spans="1:11" x14ac:dyDescent="0.2">
      <c r="A518" s="285"/>
      <c r="B518" s="285"/>
      <c r="C518" s="285"/>
      <c r="D518" s="286"/>
      <c r="E518" s="286"/>
      <c r="F518" s="286"/>
      <c r="G518" s="286"/>
      <c r="H518" s="471"/>
      <c r="I518" s="286"/>
      <c r="J518" s="286"/>
      <c r="K518" s="285"/>
    </row>
    <row r="519" spans="1:11" x14ac:dyDescent="0.2">
      <c r="A519" s="285"/>
      <c r="B519" s="285"/>
      <c r="C519" s="285"/>
      <c r="D519" s="286"/>
      <c r="E519" s="286"/>
      <c r="F519" s="286"/>
      <c r="G519" s="286"/>
      <c r="H519" s="471"/>
      <c r="I519" s="286"/>
      <c r="J519" s="286"/>
      <c r="K519" s="285"/>
    </row>
    <row r="520" spans="1:11" x14ac:dyDescent="0.2">
      <c r="A520" s="285"/>
      <c r="B520" s="285"/>
      <c r="C520" s="285"/>
      <c r="D520" s="286"/>
      <c r="E520" s="286"/>
      <c r="F520" s="286"/>
      <c r="G520" s="286"/>
      <c r="H520" s="471"/>
      <c r="I520" s="286"/>
      <c r="J520" s="286"/>
      <c r="K520" s="285"/>
    </row>
    <row r="521" spans="1:11" x14ac:dyDescent="0.2">
      <c r="A521" s="285"/>
      <c r="B521" s="285"/>
      <c r="C521" s="285"/>
      <c r="D521" s="286"/>
      <c r="E521" s="286"/>
      <c r="F521" s="286"/>
      <c r="G521" s="286"/>
      <c r="H521" s="471"/>
      <c r="I521" s="286"/>
      <c r="J521" s="286"/>
      <c r="K521" s="285"/>
    </row>
    <row r="522" spans="1:11" x14ac:dyDescent="0.2">
      <c r="A522" s="285"/>
      <c r="B522" s="285"/>
      <c r="C522" s="285"/>
      <c r="D522" s="286"/>
      <c r="E522" s="286"/>
      <c r="F522" s="286"/>
      <c r="G522" s="286"/>
      <c r="H522" s="471"/>
      <c r="I522" s="286"/>
      <c r="J522" s="286"/>
      <c r="K522" s="285"/>
    </row>
    <row r="523" spans="1:11" x14ac:dyDescent="0.2">
      <c r="A523" s="285"/>
      <c r="B523" s="285"/>
      <c r="C523" s="285"/>
      <c r="D523" s="286"/>
      <c r="E523" s="286"/>
      <c r="F523" s="286"/>
      <c r="G523" s="286"/>
      <c r="H523" s="471"/>
      <c r="I523" s="286"/>
      <c r="J523" s="286"/>
      <c r="K523" s="285"/>
    </row>
    <row r="524" spans="1:11" x14ac:dyDescent="0.2">
      <c r="A524" s="285"/>
      <c r="B524" s="285"/>
      <c r="C524" s="285"/>
      <c r="D524" s="286"/>
      <c r="E524" s="286"/>
      <c r="F524" s="286"/>
      <c r="G524" s="286"/>
      <c r="H524" s="471"/>
      <c r="I524" s="286"/>
      <c r="J524" s="286"/>
      <c r="K524" s="285"/>
    </row>
    <row r="525" spans="1:11" x14ac:dyDescent="0.2">
      <c r="A525" s="285"/>
      <c r="B525" s="285"/>
      <c r="C525" s="285"/>
      <c r="D525" s="286"/>
      <c r="E525" s="286"/>
      <c r="F525" s="286"/>
      <c r="G525" s="286"/>
      <c r="H525" s="471"/>
      <c r="I525" s="286"/>
      <c r="J525" s="286"/>
      <c r="K525" s="285"/>
    </row>
    <row r="526" spans="1:11" x14ac:dyDescent="0.2">
      <c r="A526" s="285"/>
      <c r="B526" s="285"/>
      <c r="C526" s="285"/>
      <c r="D526" s="286"/>
      <c r="E526" s="286"/>
      <c r="F526" s="286"/>
      <c r="G526" s="286"/>
      <c r="H526" s="471"/>
      <c r="I526" s="286"/>
      <c r="J526" s="286"/>
      <c r="K526" s="285"/>
    </row>
    <row r="527" spans="1:11" x14ac:dyDescent="0.2">
      <c r="A527" s="285"/>
      <c r="B527" s="285"/>
      <c r="C527" s="285"/>
      <c r="D527" s="286"/>
      <c r="E527" s="286"/>
      <c r="F527" s="286"/>
      <c r="G527" s="286"/>
      <c r="H527" s="471"/>
      <c r="I527" s="286"/>
      <c r="J527" s="286"/>
      <c r="K527" s="285"/>
    </row>
    <row r="528" spans="1:11" x14ac:dyDescent="0.2">
      <c r="A528" s="285"/>
      <c r="B528" s="285"/>
      <c r="C528" s="285"/>
      <c r="D528" s="286"/>
      <c r="E528" s="286"/>
      <c r="F528" s="286"/>
      <c r="G528" s="286"/>
      <c r="H528" s="471"/>
      <c r="I528" s="286"/>
      <c r="J528" s="286"/>
      <c r="K528" s="285"/>
    </row>
    <row r="529" spans="1:11" x14ac:dyDescent="0.2">
      <c r="A529" s="285"/>
      <c r="B529" s="285"/>
      <c r="C529" s="285"/>
      <c r="D529" s="286"/>
      <c r="E529" s="286"/>
      <c r="F529" s="286"/>
      <c r="G529" s="286"/>
      <c r="H529" s="471"/>
      <c r="I529" s="286"/>
      <c r="J529" s="286"/>
      <c r="K529" s="285"/>
    </row>
    <row r="530" spans="1:11" x14ac:dyDescent="0.2">
      <c r="A530" s="285"/>
      <c r="B530" s="285"/>
      <c r="C530" s="285"/>
      <c r="D530" s="286"/>
      <c r="E530" s="286"/>
      <c r="F530" s="286"/>
      <c r="G530" s="286"/>
      <c r="H530" s="471"/>
      <c r="I530" s="286"/>
      <c r="J530" s="286"/>
      <c r="K530" s="285"/>
    </row>
    <row r="531" spans="1:11" x14ac:dyDescent="0.2">
      <c r="A531" s="285"/>
      <c r="B531" s="285"/>
      <c r="C531" s="285"/>
      <c r="D531" s="286"/>
      <c r="E531" s="286"/>
      <c r="F531" s="286"/>
      <c r="G531" s="286"/>
      <c r="H531" s="471"/>
      <c r="I531" s="286"/>
      <c r="J531" s="286"/>
      <c r="K531" s="285"/>
    </row>
    <row r="532" spans="1:11" x14ac:dyDescent="0.2">
      <c r="A532" s="285"/>
      <c r="B532" s="285"/>
      <c r="C532" s="285"/>
      <c r="D532" s="286"/>
      <c r="E532" s="286"/>
      <c r="F532" s="286"/>
      <c r="G532" s="286"/>
      <c r="H532" s="471"/>
      <c r="I532" s="286"/>
      <c r="J532" s="286"/>
      <c r="K532" s="285"/>
    </row>
    <row r="533" spans="1:11" x14ac:dyDescent="0.2">
      <c r="A533" s="285"/>
      <c r="B533" s="285"/>
      <c r="C533" s="285"/>
      <c r="D533" s="286"/>
      <c r="E533" s="286"/>
      <c r="F533" s="286"/>
      <c r="G533" s="286"/>
      <c r="H533" s="471"/>
      <c r="I533" s="286"/>
      <c r="J533" s="286"/>
      <c r="K533" s="285"/>
    </row>
    <row r="534" spans="1:11" x14ac:dyDescent="0.2">
      <c r="A534" s="285"/>
      <c r="B534" s="285"/>
      <c r="C534" s="285"/>
      <c r="D534" s="286"/>
      <c r="E534" s="286"/>
      <c r="F534" s="286"/>
      <c r="G534" s="286"/>
      <c r="H534" s="471"/>
      <c r="I534" s="286"/>
      <c r="J534" s="286"/>
      <c r="K534" s="285"/>
    </row>
    <row r="535" spans="1:11" x14ac:dyDescent="0.2">
      <c r="A535" s="285"/>
      <c r="B535" s="285"/>
      <c r="C535" s="285"/>
      <c r="D535" s="286"/>
      <c r="E535" s="286"/>
      <c r="F535" s="286"/>
      <c r="G535" s="286"/>
      <c r="H535" s="471"/>
      <c r="I535" s="286"/>
      <c r="J535" s="286"/>
      <c r="K535" s="285"/>
    </row>
    <row r="536" spans="1:11" x14ac:dyDescent="0.2">
      <c r="A536" s="285"/>
      <c r="B536" s="285"/>
      <c r="C536" s="285"/>
      <c r="D536" s="286"/>
      <c r="E536" s="286"/>
      <c r="F536" s="286"/>
      <c r="G536" s="286"/>
      <c r="H536" s="471"/>
      <c r="I536" s="286"/>
      <c r="J536" s="286"/>
      <c r="K536" s="285"/>
    </row>
    <row r="537" spans="1:11" x14ac:dyDescent="0.2">
      <c r="A537" s="285"/>
      <c r="B537" s="285"/>
      <c r="C537" s="285"/>
      <c r="D537" s="286"/>
      <c r="E537" s="286"/>
      <c r="F537" s="286"/>
      <c r="G537" s="286"/>
      <c r="H537" s="471"/>
      <c r="I537" s="286"/>
      <c r="J537" s="286"/>
      <c r="K537" s="285"/>
    </row>
    <row r="538" spans="1:11" x14ac:dyDescent="0.2">
      <c r="A538" s="285"/>
      <c r="B538" s="285"/>
      <c r="C538" s="285"/>
      <c r="D538" s="286"/>
      <c r="E538" s="286"/>
      <c r="F538" s="286"/>
      <c r="G538" s="286"/>
      <c r="H538" s="471"/>
      <c r="I538" s="286"/>
      <c r="J538" s="286"/>
      <c r="K538" s="285"/>
    </row>
    <row r="539" spans="1:11" x14ac:dyDescent="0.2">
      <c r="A539" s="285"/>
      <c r="B539" s="285"/>
      <c r="C539" s="285"/>
      <c r="D539" s="286"/>
      <c r="E539" s="286"/>
      <c r="F539" s="286"/>
      <c r="G539" s="286"/>
      <c r="H539" s="471"/>
      <c r="I539" s="286"/>
      <c r="J539" s="286"/>
      <c r="K539" s="285"/>
    </row>
    <row r="540" spans="1:11" x14ac:dyDescent="0.2">
      <c r="A540" s="285"/>
      <c r="B540" s="285"/>
      <c r="C540" s="285"/>
      <c r="D540" s="286"/>
      <c r="E540" s="286"/>
      <c r="F540" s="286"/>
      <c r="G540" s="286"/>
      <c r="H540" s="471"/>
      <c r="I540" s="286"/>
      <c r="J540" s="286"/>
      <c r="K540" s="285"/>
    </row>
    <row r="541" spans="1:11" x14ac:dyDescent="0.2">
      <c r="A541" s="285"/>
      <c r="B541" s="285"/>
      <c r="C541" s="285"/>
      <c r="D541" s="286"/>
      <c r="E541" s="286"/>
      <c r="F541" s="286"/>
      <c r="G541" s="286"/>
      <c r="H541" s="471"/>
      <c r="I541" s="286"/>
      <c r="J541" s="286"/>
      <c r="K541" s="285"/>
    </row>
    <row r="542" spans="1:11" x14ac:dyDescent="0.2">
      <c r="A542" s="285"/>
      <c r="B542" s="285"/>
      <c r="C542" s="285"/>
      <c r="D542" s="286"/>
      <c r="E542" s="286"/>
      <c r="F542" s="286"/>
      <c r="G542" s="286"/>
      <c r="H542" s="471"/>
      <c r="I542" s="286"/>
      <c r="J542" s="286"/>
      <c r="K542" s="285"/>
    </row>
    <row r="543" spans="1:11" x14ac:dyDescent="0.2">
      <c r="A543" s="285"/>
      <c r="B543" s="285"/>
      <c r="C543" s="285"/>
      <c r="D543" s="286"/>
      <c r="E543" s="286"/>
      <c r="F543" s="286"/>
      <c r="G543" s="286"/>
      <c r="H543" s="471"/>
      <c r="I543" s="286"/>
      <c r="J543" s="286"/>
      <c r="K543" s="285"/>
    </row>
    <row r="544" spans="1:11" x14ac:dyDescent="0.2">
      <c r="A544" s="285"/>
      <c r="B544" s="285"/>
      <c r="C544" s="285"/>
      <c r="D544" s="286"/>
      <c r="E544" s="286"/>
      <c r="F544" s="286"/>
      <c r="G544" s="286"/>
      <c r="H544" s="471"/>
      <c r="I544" s="286"/>
      <c r="J544" s="286"/>
      <c r="K544" s="285"/>
    </row>
    <row r="545" spans="1:11" x14ac:dyDescent="0.2">
      <c r="A545" s="285"/>
      <c r="B545" s="285"/>
      <c r="C545" s="285"/>
      <c r="D545" s="286"/>
      <c r="E545" s="286"/>
      <c r="F545" s="286"/>
      <c r="G545" s="286"/>
      <c r="H545" s="471"/>
      <c r="I545" s="286"/>
      <c r="J545" s="286"/>
      <c r="K545" s="285"/>
    </row>
    <row r="546" spans="1:11" x14ac:dyDescent="0.2">
      <c r="A546" s="285"/>
      <c r="B546" s="285"/>
      <c r="C546" s="285"/>
      <c r="D546" s="286"/>
      <c r="E546" s="286"/>
      <c r="F546" s="286"/>
      <c r="G546" s="286"/>
      <c r="H546" s="471"/>
      <c r="I546" s="286"/>
      <c r="J546" s="286"/>
      <c r="K546" s="285"/>
    </row>
    <row r="547" spans="1:11" x14ac:dyDescent="0.2">
      <c r="A547" s="285"/>
      <c r="B547" s="285"/>
      <c r="C547" s="285"/>
      <c r="D547" s="286"/>
      <c r="E547" s="286"/>
      <c r="F547" s="286"/>
      <c r="G547" s="286"/>
      <c r="H547" s="471"/>
      <c r="I547" s="286"/>
      <c r="J547" s="286"/>
      <c r="K547" s="285"/>
    </row>
    <row r="548" spans="1:11" x14ac:dyDescent="0.2">
      <c r="A548" s="285"/>
      <c r="B548" s="285"/>
      <c r="C548" s="285"/>
      <c r="D548" s="286"/>
      <c r="E548" s="286"/>
      <c r="F548" s="286"/>
      <c r="G548" s="286"/>
      <c r="H548" s="471"/>
      <c r="I548" s="286"/>
      <c r="J548" s="286"/>
      <c r="K548" s="285"/>
    </row>
    <row r="549" spans="1:11" x14ac:dyDescent="0.2">
      <c r="A549" s="285"/>
      <c r="B549" s="285"/>
      <c r="C549" s="285"/>
      <c r="D549" s="286"/>
      <c r="E549" s="286"/>
      <c r="F549" s="286"/>
      <c r="G549" s="286"/>
      <c r="H549" s="471"/>
      <c r="I549" s="286"/>
      <c r="J549" s="286"/>
      <c r="K549" s="285"/>
    </row>
    <row r="550" spans="1:11" x14ac:dyDescent="0.2">
      <c r="A550" s="285"/>
      <c r="B550" s="285"/>
      <c r="C550" s="285"/>
      <c r="D550" s="286"/>
      <c r="E550" s="286"/>
      <c r="F550" s="286"/>
      <c r="G550" s="286"/>
      <c r="H550" s="471"/>
      <c r="I550" s="286"/>
      <c r="J550" s="286"/>
      <c r="K550" s="285"/>
    </row>
    <row r="551" spans="1:11" x14ac:dyDescent="0.2">
      <c r="A551" s="285"/>
      <c r="B551" s="285"/>
      <c r="C551" s="285"/>
      <c r="D551" s="286"/>
      <c r="E551" s="286"/>
      <c r="F551" s="286"/>
      <c r="G551" s="286"/>
      <c r="H551" s="471"/>
      <c r="I551" s="286"/>
      <c r="J551" s="286"/>
      <c r="K551" s="285"/>
    </row>
    <row r="552" spans="1:11" x14ac:dyDescent="0.2">
      <c r="A552" s="285"/>
      <c r="B552" s="285"/>
      <c r="C552" s="285"/>
      <c r="D552" s="286"/>
      <c r="E552" s="286"/>
      <c r="F552" s="286"/>
      <c r="G552" s="286"/>
      <c r="H552" s="471"/>
      <c r="I552" s="286"/>
      <c r="J552" s="286"/>
      <c r="K552" s="285"/>
    </row>
    <row r="553" spans="1:11" x14ac:dyDescent="0.2">
      <c r="A553" s="285"/>
      <c r="B553" s="285"/>
      <c r="C553" s="285"/>
      <c r="D553" s="286"/>
      <c r="E553" s="286"/>
      <c r="F553" s="286"/>
      <c r="G553" s="286"/>
      <c r="H553" s="471"/>
      <c r="I553" s="286"/>
      <c r="J553" s="286"/>
      <c r="K553" s="285"/>
    </row>
    <row r="554" spans="1:11" x14ac:dyDescent="0.2">
      <c r="A554" s="285"/>
      <c r="B554" s="285"/>
      <c r="C554" s="285"/>
      <c r="D554" s="286"/>
      <c r="E554" s="286"/>
      <c r="F554" s="286"/>
      <c r="G554" s="286"/>
      <c r="H554" s="471"/>
      <c r="I554" s="286"/>
      <c r="J554" s="286"/>
      <c r="K554" s="285"/>
    </row>
    <row r="555" spans="1:11" x14ac:dyDescent="0.2">
      <c r="A555" s="285"/>
      <c r="B555" s="285"/>
      <c r="C555" s="285"/>
      <c r="D555" s="286"/>
      <c r="E555" s="286"/>
      <c r="F555" s="286"/>
      <c r="G555" s="286"/>
      <c r="H555" s="471"/>
      <c r="I555" s="286"/>
      <c r="J555" s="286"/>
      <c r="K555" s="285"/>
    </row>
    <row r="556" spans="1:11" x14ac:dyDescent="0.2">
      <c r="A556" s="285"/>
      <c r="B556" s="285"/>
      <c r="C556" s="285"/>
      <c r="D556" s="286"/>
      <c r="E556" s="286"/>
      <c r="F556" s="286"/>
      <c r="G556" s="286"/>
      <c r="H556" s="471"/>
      <c r="I556" s="286"/>
      <c r="J556" s="286"/>
      <c r="K556" s="285"/>
    </row>
    <row r="557" spans="1:11" x14ac:dyDescent="0.2">
      <c r="A557" s="285"/>
      <c r="B557" s="285"/>
      <c r="C557" s="285"/>
      <c r="D557" s="286"/>
      <c r="E557" s="286"/>
      <c r="F557" s="286"/>
      <c r="G557" s="286"/>
      <c r="H557" s="471"/>
      <c r="I557" s="286"/>
      <c r="J557" s="286"/>
      <c r="K557" s="285"/>
    </row>
    <row r="558" spans="1:11" x14ac:dyDescent="0.2">
      <c r="A558" s="285"/>
      <c r="B558" s="285"/>
      <c r="C558" s="285"/>
      <c r="D558" s="286"/>
      <c r="E558" s="286"/>
      <c r="F558" s="286"/>
      <c r="G558" s="286"/>
      <c r="H558" s="471"/>
      <c r="I558" s="286"/>
      <c r="J558" s="286"/>
      <c r="K558" s="285"/>
    </row>
    <row r="559" spans="1:11" x14ac:dyDescent="0.2">
      <c r="A559" s="285"/>
      <c r="B559" s="285"/>
      <c r="C559" s="285"/>
      <c r="D559" s="286"/>
      <c r="E559" s="286"/>
      <c r="F559" s="286"/>
      <c r="G559" s="286"/>
      <c r="H559" s="471"/>
      <c r="I559" s="286"/>
      <c r="J559" s="286"/>
      <c r="K559" s="285"/>
    </row>
    <row r="560" spans="1:11" x14ac:dyDescent="0.2">
      <c r="A560" s="285"/>
      <c r="B560" s="285"/>
      <c r="C560" s="285"/>
      <c r="D560" s="286"/>
      <c r="E560" s="286"/>
      <c r="F560" s="286"/>
      <c r="G560" s="286"/>
      <c r="H560" s="471"/>
      <c r="I560" s="286"/>
      <c r="J560" s="286"/>
      <c r="K560" s="285"/>
    </row>
    <row r="561" spans="1:11" x14ac:dyDescent="0.2">
      <c r="A561" s="285"/>
      <c r="B561" s="285"/>
      <c r="C561" s="285"/>
      <c r="D561" s="286"/>
      <c r="E561" s="286"/>
      <c r="F561" s="286"/>
      <c r="G561" s="286"/>
      <c r="H561" s="471"/>
      <c r="I561" s="286"/>
      <c r="J561" s="286"/>
      <c r="K561" s="285"/>
    </row>
    <row r="562" spans="1:11" x14ac:dyDescent="0.2">
      <c r="A562" s="285"/>
      <c r="B562" s="285"/>
      <c r="C562" s="285"/>
      <c r="D562" s="286"/>
      <c r="E562" s="286"/>
      <c r="F562" s="286"/>
      <c r="G562" s="286"/>
      <c r="H562" s="471"/>
      <c r="I562" s="286"/>
      <c r="J562" s="286"/>
      <c r="K562" s="285"/>
    </row>
    <row r="563" spans="1:11" x14ac:dyDescent="0.2">
      <c r="A563" s="285"/>
      <c r="B563" s="285"/>
      <c r="C563" s="285"/>
      <c r="D563" s="286"/>
      <c r="E563" s="286"/>
      <c r="F563" s="286"/>
      <c r="G563" s="286"/>
      <c r="H563" s="471"/>
      <c r="I563" s="286"/>
      <c r="J563" s="286"/>
      <c r="K563" s="285"/>
    </row>
    <row r="564" spans="1:11" x14ac:dyDescent="0.2">
      <c r="A564" s="285"/>
      <c r="B564" s="285"/>
      <c r="C564" s="285"/>
      <c r="D564" s="286"/>
      <c r="E564" s="286"/>
      <c r="F564" s="286"/>
      <c r="G564" s="286"/>
      <c r="H564" s="471"/>
      <c r="I564" s="286"/>
      <c r="J564" s="286"/>
      <c r="K564" s="285"/>
    </row>
    <row r="565" spans="1:11" x14ac:dyDescent="0.2">
      <c r="A565" s="285"/>
      <c r="B565" s="285"/>
      <c r="C565" s="285"/>
      <c r="D565" s="286"/>
      <c r="E565" s="286"/>
      <c r="F565" s="286"/>
      <c r="G565" s="286"/>
      <c r="H565" s="471"/>
      <c r="I565" s="286"/>
      <c r="J565" s="286"/>
      <c r="K565" s="285"/>
    </row>
    <row r="566" spans="1:11" x14ac:dyDescent="0.2">
      <c r="A566" s="285"/>
      <c r="B566" s="285"/>
      <c r="C566" s="285"/>
      <c r="D566" s="286"/>
      <c r="E566" s="286"/>
      <c r="F566" s="286"/>
      <c r="G566" s="286"/>
      <c r="H566" s="471"/>
      <c r="I566" s="286"/>
      <c r="J566" s="286"/>
      <c r="K566" s="285"/>
    </row>
    <row r="567" spans="1:11" x14ac:dyDescent="0.2">
      <c r="A567" s="285"/>
      <c r="B567" s="285"/>
      <c r="C567" s="285"/>
      <c r="D567" s="286"/>
      <c r="E567" s="286"/>
      <c r="F567" s="286"/>
      <c r="G567" s="286"/>
      <c r="H567" s="471"/>
      <c r="I567" s="286"/>
      <c r="J567" s="286"/>
      <c r="K567" s="285"/>
    </row>
    <row r="568" spans="1:11" x14ac:dyDescent="0.2">
      <c r="A568" s="285"/>
      <c r="B568" s="285"/>
      <c r="C568" s="285"/>
      <c r="D568" s="286"/>
      <c r="E568" s="286"/>
      <c r="F568" s="286"/>
      <c r="G568" s="286"/>
      <c r="H568" s="471"/>
      <c r="I568" s="286"/>
      <c r="J568" s="286"/>
      <c r="K568" s="285"/>
    </row>
    <row r="569" spans="1:11" x14ac:dyDescent="0.2">
      <c r="A569" s="285"/>
      <c r="B569" s="285"/>
      <c r="C569" s="285"/>
      <c r="D569" s="286"/>
      <c r="E569" s="286"/>
      <c r="F569" s="286"/>
      <c r="G569" s="286"/>
      <c r="H569" s="471"/>
      <c r="I569" s="286"/>
      <c r="J569" s="286"/>
      <c r="K569" s="285"/>
    </row>
    <row r="570" spans="1:11" x14ac:dyDescent="0.2">
      <c r="A570" s="285"/>
      <c r="B570" s="285"/>
      <c r="C570" s="285"/>
      <c r="D570" s="286"/>
      <c r="E570" s="286"/>
      <c r="F570" s="286"/>
      <c r="G570" s="286"/>
      <c r="H570" s="471"/>
      <c r="I570" s="286"/>
      <c r="J570" s="286"/>
      <c r="K570" s="285"/>
    </row>
    <row r="571" spans="1:11" x14ac:dyDescent="0.2">
      <c r="A571" s="285"/>
      <c r="B571" s="285"/>
      <c r="C571" s="285"/>
      <c r="D571" s="286"/>
      <c r="E571" s="286"/>
      <c r="F571" s="286"/>
      <c r="G571" s="286"/>
      <c r="H571" s="471"/>
      <c r="I571" s="286"/>
      <c r="J571" s="286"/>
      <c r="K571" s="285"/>
    </row>
    <row r="572" spans="1:11" x14ac:dyDescent="0.2">
      <c r="A572" s="285"/>
      <c r="B572" s="285"/>
      <c r="C572" s="285"/>
      <c r="D572" s="286"/>
      <c r="E572" s="286"/>
      <c r="F572" s="286"/>
      <c r="G572" s="286"/>
      <c r="H572" s="471"/>
      <c r="I572" s="286"/>
      <c r="J572" s="286"/>
      <c r="K572" s="285"/>
    </row>
    <row r="573" spans="1:11" x14ac:dyDescent="0.2">
      <c r="A573" s="285"/>
      <c r="B573" s="285"/>
      <c r="C573" s="285"/>
      <c r="D573" s="286"/>
      <c r="E573" s="286"/>
      <c r="F573" s="286"/>
      <c r="G573" s="286"/>
      <c r="H573" s="471"/>
      <c r="I573" s="286"/>
      <c r="J573" s="286"/>
      <c r="K573" s="285"/>
    </row>
    <row r="574" spans="1:11" x14ac:dyDescent="0.2">
      <c r="A574" s="285"/>
      <c r="B574" s="285"/>
      <c r="C574" s="285"/>
      <c r="D574" s="286"/>
      <c r="E574" s="286"/>
      <c r="F574" s="286"/>
      <c r="G574" s="286"/>
      <c r="H574" s="471"/>
      <c r="I574" s="286"/>
      <c r="J574" s="286"/>
      <c r="K574" s="285"/>
    </row>
    <row r="575" spans="1:11" x14ac:dyDescent="0.2">
      <c r="A575" s="285"/>
      <c r="B575" s="285"/>
      <c r="C575" s="285"/>
      <c r="D575" s="286"/>
      <c r="E575" s="286"/>
      <c r="F575" s="286"/>
      <c r="G575" s="286"/>
      <c r="H575" s="471"/>
      <c r="I575" s="286"/>
      <c r="J575" s="286"/>
      <c r="K575" s="285"/>
    </row>
    <row r="576" spans="1:11" x14ac:dyDescent="0.2">
      <c r="A576" s="285"/>
      <c r="B576" s="285"/>
      <c r="C576" s="285"/>
      <c r="D576" s="286"/>
      <c r="E576" s="286"/>
      <c r="F576" s="286"/>
      <c r="G576" s="286"/>
      <c r="H576" s="471"/>
      <c r="I576" s="286"/>
      <c r="J576" s="286"/>
      <c r="K576" s="285"/>
    </row>
    <row r="577" spans="1:11" x14ac:dyDescent="0.2">
      <c r="A577" s="285"/>
      <c r="B577" s="285"/>
      <c r="C577" s="285"/>
      <c r="D577" s="286"/>
      <c r="E577" s="286"/>
      <c r="F577" s="286"/>
      <c r="G577" s="286"/>
      <c r="H577" s="471"/>
      <c r="I577" s="286"/>
      <c r="J577" s="286"/>
      <c r="K577" s="285"/>
    </row>
    <row r="578" spans="1:11" x14ac:dyDescent="0.2">
      <c r="A578" s="285"/>
      <c r="B578" s="285"/>
      <c r="C578" s="285"/>
      <c r="D578" s="286"/>
      <c r="E578" s="286"/>
      <c r="F578" s="286"/>
      <c r="G578" s="286"/>
      <c r="H578" s="471"/>
      <c r="I578" s="286"/>
      <c r="J578" s="286"/>
      <c r="K578" s="285"/>
    </row>
    <row r="579" spans="1:11" x14ac:dyDescent="0.2">
      <c r="A579" s="285"/>
      <c r="B579" s="285"/>
      <c r="C579" s="285"/>
      <c r="D579" s="286"/>
      <c r="E579" s="286"/>
      <c r="F579" s="286"/>
      <c r="G579" s="286"/>
      <c r="H579" s="471"/>
      <c r="I579" s="286"/>
      <c r="J579" s="286"/>
      <c r="K579" s="285"/>
    </row>
    <row r="580" spans="1:11" x14ac:dyDescent="0.2">
      <c r="A580" s="285"/>
      <c r="B580" s="285"/>
      <c r="C580" s="285"/>
      <c r="D580" s="286"/>
      <c r="E580" s="286"/>
      <c r="F580" s="286"/>
      <c r="G580" s="286"/>
      <c r="H580" s="471"/>
      <c r="I580" s="286"/>
      <c r="J580" s="286"/>
      <c r="K580" s="285"/>
    </row>
    <row r="581" spans="1:11" x14ac:dyDescent="0.2">
      <c r="A581" s="285"/>
      <c r="B581" s="285"/>
      <c r="C581" s="285"/>
      <c r="D581" s="286"/>
      <c r="E581" s="286"/>
      <c r="F581" s="286"/>
      <c r="G581" s="286"/>
      <c r="H581" s="471"/>
      <c r="I581" s="286"/>
      <c r="J581" s="286"/>
      <c r="K581" s="285"/>
    </row>
    <row r="582" spans="1:11" x14ac:dyDescent="0.2">
      <c r="A582" s="285"/>
      <c r="B582" s="285"/>
      <c r="C582" s="285"/>
      <c r="D582" s="286"/>
      <c r="E582" s="286"/>
      <c r="F582" s="286"/>
      <c r="G582" s="286"/>
      <c r="H582" s="471"/>
      <c r="I582" s="286"/>
      <c r="J582" s="286"/>
      <c r="K582" s="285"/>
    </row>
    <row r="583" spans="1:11" x14ac:dyDescent="0.2">
      <c r="A583" s="285"/>
      <c r="B583" s="285"/>
      <c r="C583" s="285"/>
      <c r="D583" s="286"/>
      <c r="E583" s="286"/>
      <c r="F583" s="286"/>
      <c r="G583" s="286"/>
      <c r="H583" s="471"/>
      <c r="I583" s="286"/>
      <c r="J583" s="286"/>
      <c r="K583" s="285"/>
    </row>
    <row r="584" spans="1:11" x14ac:dyDescent="0.2">
      <c r="A584" s="285"/>
      <c r="B584" s="285"/>
      <c r="C584" s="285"/>
      <c r="D584" s="286"/>
      <c r="E584" s="286"/>
      <c r="F584" s="286"/>
      <c r="G584" s="286"/>
      <c r="H584" s="471"/>
      <c r="I584" s="286"/>
      <c r="J584" s="286"/>
      <c r="K584" s="285"/>
    </row>
    <row r="585" spans="1:11" x14ac:dyDescent="0.2">
      <c r="A585" s="285"/>
      <c r="B585" s="285"/>
      <c r="C585" s="285"/>
      <c r="D585" s="286"/>
      <c r="E585" s="286"/>
      <c r="F585" s="286"/>
      <c r="G585" s="286"/>
      <c r="H585" s="471"/>
      <c r="I585" s="286"/>
      <c r="J585" s="286"/>
      <c r="K585" s="285"/>
    </row>
    <row r="586" spans="1:11" x14ac:dyDescent="0.2">
      <c r="A586" s="285"/>
      <c r="B586" s="285"/>
      <c r="C586" s="285"/>
      <c r="D586" s="286"/>
      <c r="E586" s="286"/>
      <c r="F586" s="286"/>
      <c r="G586" s="286"/>
      <c r="H586" s="471"/>
      <c r="I586" s="286"/>
      <c r="J586" s="286"/>
      <c r="K586" s="285"/>
    </row>
    <row r="587" spans="1:11" x14ac:dyDescent="0.2">
      <c r="A587" s="285"/>
      <c r="B587" s="285"/>
      <c r="C587" s="285"/>
      <c r="D587" s="286"/>
      <c r="E587" s="286"/>
      <c r="F587" s="286"/>
      <c r="G587" s="286"/>
      <c r="H587" s="471"/>
      <c r="I587" s="286"/>
      <c r="J587" s="286"/>
      <c r="K587" s="285"/>
    </row>
    <row r="588" spans="1:11" x14ac:dyDescent="0.2">
      <c r="A588" s="285"/>
      <c r="B588" s="285"/>
      <c r="C588" s="285"/>
      <c r="D588" s="286"/>
      <c r="E588" s="286"/>
      <c r="F588" s="286"/>
      <c r="G588" s="286"/>
      <c r="H588" s="471"/>
      <c r="I588" s="286"/>
      <c r="J588" s="286"/>
      <c r="K588" s="285"/>
    </row>
    <row r="589" spans="1:11" x14ac:dyDescent="0.2">
      <c r="A589" s="285"/>
      <c r="B589" s="285"/>
      <c r="C589" s="285"/>
      <c r="D589" s="286"/>
      <c r="E589" s="286"/>
      <c r="F589" s="286"/>
      <c r="G589" s="286"/>
      <c r="H589" s="471"/>
      <c r="I589" s="286"/>
      <c r="J589" s="286"/>
      <c r="K589" s="285"/>
    </row>
    <row r="590" spans="1:11" x14ac:dyDescent="0.2">
      <c r="A590" s="285"/>
      <c r="B590" s="285"/>
      <c r="C590" s="285"/>
      <c r="D590" s="286"/>
      <c r="E590" s="286"/>
      <c r="F590" s="286"/>
      <c r="G590" s="286"/>
      <c r="H590" s="471"/>
      <c r="I590" s="286"/>
      <c r="J590" s="286"/>
      <c r="K590" s="285"/>
    </row>
    <row r="591" spans="1:11" x14ac:dyDescent="0.2">
      <c r="A591" s="285"/>
      <c r="B591" s="285"/>
      <c r="C591" s="285"/>
      <c r="D591" s="286"/>
      <c r="E591" s="286"/>
      <c r="F591" s="286"/>
      <c r="G591" s="286"/>
      <c r="H591" s="471"/>
      <c r="I591" s="286"/>
      <c r="J591" s="286"/>
      <c r="K591" s="285"/>
    </row>
    <row r="592" spans="1:11" x14ac:dyDescent="0.2">
      <c r="A592" s="285"/>
      <c r="B592" s="285"/>
      <c r="C592" s="285"/>
      <c r="D592" s="286"/>
      <c r="E592" s="286"/>
      <c r="F592" s="286"/>
      <c r="G592" s="286"/>
      <c r="H592" s="471"/>
      <c r="I592" s="286"/>
      <c r="J592" s="286"/>
      <c r="K592" s="285"/>
    </row>
    <row r="593" spans="1:11" x14ac:dyDescent="0.2">
      <c r="A593" s="285"/>
      <c r="B593" s="285"/>
      <c r="C593" s="285"/>
      <c r="D593" s="286"/>
      <c r="E593" s="286"/>
      <c r="F593" s="286"/>
      <c r="G593" s="286"/>
      <c r="H593" s="471"/>
      <c r="I593" s="286"/>
      <c r="J593" s="286"/>
      <c r="K593" s="285"/>
    </row>
    <row r="594" spans="1:11" x14ac:dyDescent="0.2">
      <c r="A594" s="285"/>
      <c r="B594" s="285"/>
      <c r="C594" s="285"/>
      <c r="D594" s="286"/>
      <c r="E594" s="286"/>
      <c r="F594" s="286"/>
      <c r="G594" s="286"/>
      <c r="H594" s="471"/>
      <c r="I594" s="286"/>
      <c r="J594" s="286"/>
      <c r="K594" s="285"/>
    </row>
    <row r="595" spans="1:11" x14ac:dyDescent="0.2">
      <c r="A595" s="285"/>
      <c r="B595" s="285"/>
      <c r="C595" s="285"/>
      <c r="D595" s="286"/>
      <c r="E595" s="286"/>
      <c r="F595" s="286"/>
      <c r="G595" s="286"/>
      <c r="H595" s="471"/>
      <c r="I595" s="286"/>
      <c r="J595" s="286"/>
      <c r="K595" s="285"/>
    </row>
    <row r="596" spans="1:11" x14ac:dyDescent="0.2">
      <c r="A596" s="285"/>
      <c r="B596" s="285"/>
      <c r="C596" s="285"/>
      <c r="D596" s="286"/>
      <c r="E596" s="286"/>
      <c r="F596" s="286"/>
      <c r="G596" s="286"/>
      <c r="H596" s="471"/>
      <c r="I596" s="286"/>
      <c r="J596" s="286"/>
      <c r="K596" s="285"/>
    </row>
    <row r="597" spans="1:11" x14ac:dyDescent="0.2">
      <c r="A597" s="285"/>
      <c r="B597" s="285"/>
      <c r="C597" s="285"/>
      <c r="D597" s="286"/>
      <c r="E597" s="286"/>
      <c r="F597" s="286"/>
      <c r="G597" s="286"/>
      <c r="H597" s="471"/>
      <c r="I597" s="286"/>
      <c r="J597" s="286"/>
      <c r="K597" s="285"/>
    </row>
    <row r="598" spans="1:11" x14ac:dyDescent="0.2">
      <c r="A598" s="285"/>
      <c r="B598" s="285"/>
      <c r="C598" s="285"/>
      <c r="D598" s="286"/>
      <c r="E598" s="286"/>
      <c r="F598" s="286"/>
      <c r="G598" s="286"/>
      <c r="H598" s="471"/>
      <c r="I598" s="286"/>
      <c r="J598" s="286"/>
      <c r="K598" s="285"/>
    </row>
    <row r="599" spans="1:11" x14ac:dyDescent="0.2">
      <c r="A599" s="285"/>
      <c r="B599" s="285"/>
      <c r="C599" s="285"/>
      <c r="D599" s="286"/>
      <c r="E599" s="286"/>
      <c r="F599" s="286"/>
      <c r="G599" s="286"/>
      <c r="H599" s="471"/>
      <c r="I599" s="286"/>
      <c r="J599" s="286"/>
      <c r="K599" s="285"/>
    </row>
    <row r="600" spans="1:11" x14ac:dyDescent="0.2">
      <c r="A600" s="285"/>
      <c r="B600" s="285"/>
      <c r="C600" s="285"/>
      <c r="D600" s="286"/>
      <c r="E600" s="286"/>
      <c r="F600" s="286"/>
      <c r="G600" s="286"/>
      <c r="H600" s="471"/>
      <c r="I600" s="286"/>
      <c r="J600" s="286"/>
      <c r="K600" s="285"/>
    </row>
    <row r="601" spans="1:11" x14ac:dyDescent="0.2">
      <c r="A601" s="285"/>
      <c r="B601" s="285"/>
      <c r="C601" s="285"/>
      <c r="D601" s="286"/>
      <c r="E601" s="286"/>
      <c r="F601" s="286"/>
      <c r="G601" s="286"/>
      <c r="H601" s="471"/>
      <c r="I601" s="286"/>
      <c r="J601" s="286"/>
      <c r="K601" s="285"/>
    </row>
    <row r="602" spans="1:11" x14ac:dyDescent="0.2">
      <c r="A602" s="285"/>
      <c r="B602" s="285"/>
      <c r="C602" s="285"/>
      <c r="D602" s="286"/>
      <c r="E602" s="286"/>
      <c r="F602" s="286"/>
      <c r="G602" s="286"/>
      <c r="H602" s="471"/>
      <c r="I602" s="286"/>
      <c r="J602" s="286"/>
      <c r="K602" s="285"/>
    </row>
    <row r="603" spans="1:11" x14ac:dyDescent="0.2">
      <c r="A603" s="285"/>
      <c r="B603" s="285"/>
      <c r="C603" s="285"/>
      <c r="D603" s="286"/>
      <c r="E603" s="286"/>
      <c r="F603" s="286"/>
      <c r="G603" s="286"/>
      <c r="H603" s="471"/>
      <c r="I603" s="286"/>
      <c r="J603" s="286"/>
      <c r="K603" s="285"/>
    </row>
    <row r="604" spans="1:11" x14ac:dyDescent="0.2">
      <c r="A604" s="285"/>
      <c r="B604" s="285"/>
      <c r="C604" s="285"/>
      <c r="D604" s="286"/>
      <c r="E604" s="286"/>
      <c r="F604" s="286"/>
      <c r="G604" s="286"/>
      <c r="H604" s="471"/>
      <c r="I604" s="286"/>
      <c r="J604" s="286"/>
      <c r="K604" s="285"/>
    </row>
    <row r="605" spans="1:11" x14ac:dyDescent="0.2">
      <c r="A605" s="285"/>
      <c r="B605" s="285"/>
      <c r="C605" s="285"/>
      <c r="D605" s="286"/>
      <c r="E605" s="286"/>
      <c r="F605" s="286"/>
      <c r="G605" s="286"/>
      <c r="H605" s="471"/>
      <c r="I605" s="286"/>
      <c r="J605" s="286"/>
      <c r="K605" s="285"/>
    </row>
    <row r="606" spans="1:11" x14ac:dyDescent="0.2">
      <c r="A606" s="285"/>
      <c r="B606" s="285"/>
      <c r="C606" s="285"/>
      <c r="D606" s="286"/>
      <c r="E606" s="286"/>
      <c r="F606" s="286"/>
      <c r="G606" s="286"/>
      <c r="H606" s="471"/>
      <c r="I606" s="286"/>
      <c r="J606" s="286"/>
      <c r="K606" s="285"/>
    </row>
    <row r="607" spans="1:11" x14ac:dyDescent="0.2">
      <c r="A607" s="285"/>
      <c r="B607" s="285"/>
      <c r="C607" s="285"/>
      <c r="D607" s="286"/>
      <c r="E607" s="286"/>
      <c r="F607" s="286"/>
      <c r="G607" s="286"/>
      <c r="H607" s="471"/>
      <c r="I607" s="286"/>
      <c r="J607" s="286"/>
      <c r="K607" s="285"/>
    </row>
    <row r="608" spans="1:11" x14ac:dyDescent="0.2">
      <c r="A608" s="285"/>
      <c r="B608" s="285"/>
      <c r="C608" s="285"/>
      <c r="D608" s="286"/>
      <c r="E608" s="286"/>
      <c r="F608" s="286"/>
      <c r="G608" s="286"/>
      <c r="H608" s="471"/>
      <c r="I608" s="286"/>
      <c r="J608" s="286"/>
      <c r="K608" s="285"/>
    </row>
    <row r="609" spans="1:11" x14ac:dyDescent="0.2">
      <c r="A609" s="285"/>
      <c r="B609" s="285"/>
      <c r="C609" s="285"/>
      <c r="D609" s="286"/>
      <c r="E609" s="286"/>
      <c r="F609" s="286"/>
      <c r="G609" s="286"/>
      <c r="H609" s="471"/>
      <c r="I609" s="286"/>
      <c r="J609" s="286"/>
      <c r="K609" s="285"/>
    </row>
    <row r="610" spans="1:11" x14ac:dyDescent="0.2">
      <c r="A610" s="285"/>
      <c r="B610" s="285"/>
      <c r="C610" s="285"/>
      <c r="D610" s="286"/>
      <c r="E610" s="286"/>
      <c r="F610" s="286"/>
      <c r="G610" s="286"/>
      <c r="H610" s="471"/>
      <c r="I610" s="286"/>
      <c r="J610" s="286"/>
      <c r="K610" s="285"/>
    </row>
    <row r="611" spans="1:11" x14ac:dyDescent="0.2">
      <c r="A611" s="285"/>
      <c r="B611" s="285"/>
      <c r="C611" s="285"/>
      <c r="D611" s="286"/>
      <c r="E611" s="286"/>
      <c r="F611" s="286"/>
      <c r="G611" s="286"/>
      <c r="H611" s="471"/>
      <c r="I611" s="286"/>
      <c r="J611" s="286"/>
      <c r="K611" s="285"/>
    </row>
    <row r="612" spans="1:11" x14ac:dyDescent="0.2">
      <c r="A612" s="285"/>
      <c r="B612" s="285"/>
      <c r="C612" s="285"/>
      <c r="D612" s="286"/>
      <c r="E612" s="286"/>
      <c r="F612" s="286"/>
      <c r="G612" s="286"/>
      <c r="H612" s="471"/>
      <c r="I612" s="286"/>
      <c r="J612" s="286"/>
      <c r="K612" s="285"/>
    </row>
    <row r="613" spans="1:11" x14ac:dyDescent="0.2">
      <c r="A613" s="285"/>
      <c r="B613" s="285"/>
      <c r="C613" s="285"/>
      <c r="D613" s="286"/>
      <c r="E613" s="286"/>
      <c r="F613" s="286"/>
      <c r="G613" s="286"/>
      <c r="H613" s="471"/>
      <c r="I613" s="286"/>
      <c r="J613" s="286"/>
      <c r="K613" s="285"/>
    </row>
    <row r="614" spans="1:11" x14ac:dyDescent="0.2">
      <c r="A614" s="285"/>
      <c r="B614" s="285"/>
      <c r="C614" s="285"/>
      <c r="D614" s="286"/>
      <c r="E614" s="286"/>
      <c r="F614" s="286"/>
      <c r="G614" s="286"/>
      <c r="H614" s="471"/>
      <c r="I614" s="286"/>
      <c r="J614" s="286"/>
      <c r="K614" s="285"/>
    </row>
    <row r="615" spans="1:11" x14ac:dyDescent="0.2">
      <c r="A615" s="285"/>
      <c r="B615" s="285"/>
      <c r="C615" s="285"/>
      <c r="D615" s="286"/>
      <c r="E615" s="286"/>
      <c r="F615" s="286"/>
      <c r="G615" s="286"/>
      <c r="H615" s="471"/>
      <c r="I615" s="286"/>
      <c r="J615" s="286"/>
      <c r="K615" s="285"/>
    </row>
    <row r="616" spans="1:11" x14ac:dyDescent="0.2">
      <c r="A616" s="285"/>
      <c r="B616" s="285"/>
      <c r="C616" s="285"/>
      <c r="D616" s="286"/>
      <c r="E616" s="286"/>
      <c r="F616" s="286"/>
      <c r="G616" s="286"/>
      <c r="H616" s="471"/>
      <c r="I616" s="286"/>
      <c r="J616" s="286"/>
      <c r="K616" s="285"/>
    </row>
    <row r="617" spans="1:11" x14ac:dyDescent="0.2">
      <c r="A617" s="285"/>
      <c r="B617" s="285"/>
      <c r="C617" s="285"/>
      <c r="D617" s="286"/>
      <c r="E617" s="286"/>
      <c r="F617" s="286"/>
      <c r="G617" s="286"/>
      <c r="H617" s="471"/>
      <c r="I617" s="286"/>
      <c r="J617" s="286"/>
      <c r="K617" s="285"/>
    </row>
    <row r="618" spans="1:11" x14ac:dyDescent="0.2">
      <c r="A618" s="285"/>
      <c r="B618" s="285"/>
      <c r="C618" s="285"/>
      <c r="D618" s="286"/>
      <c r="E618" s="286"/>
      <c r="F618" s="286"/>
      <c r="G618" s="286"/>
      <c r="H618" s="471"/>
      <c r="I618" s="286"/>
      <c r="J618" s="286"/>
      <c r="K618" s="285"/>
    </row>
    <row r="619" spans="1:11" x14ac:dyDescent="0.2">
      <c r="A619" s="285"/>
      <c r="B619" s="285"/>
      <c r="C619" s="285"/>
      <c r="D619" s="286"/>
      <c r="E619" s="286"/>
      <c r="F619" s="286"/>
      <c r="G619" s="286"/>
      <c r="H619" s="471"/>
      <c r="I619" s="286"/>
      <c r="J619" s="286"/>
      <c r="K619" s="285"/>
    </row>
    <row r="620" spans="1:11" x14ac:dyDescent="0.2">
      <c r="A620" s="285"/>
      <c r="B620" s="285"/>
      <c r="C620" s="285"/>
      <c r="D620" s="286"/>
      <c r="E620" s="286"/>
      <c r="F620" s="286"/>
      <c r="G620" s="286"/>
      <c r="H620" s="471"/>
      <c r="I620" s="286"/>
      <c r="J620" s="286"/>
      <c r="K620" s="285"/>
    </row>
    <row r="621" spans="1:11" x14ac:dyDescent="0.2">
      <c r="A621" s="285"/>
      <c r="B621" s="285"/>
      <c r="C621" s="285"/>
      <c r="D621" s="286"/>
      <c r="E621" s="286"/>
      <c r="F621" s="286"/>
      <c r="G621" s="286"/>
      <c r="H621" s="471"/>
      <c r="I621" s="286"/>
      <c r="J621" s="286"/>
      <c r="K621" s="285"/>
    </row>
    <row r="622" spans="1:11" x14ac:dyDescent="0.2">
      <c r="A622" s="285"/>
      <c r="B622" s="285"/>
      <c r="C622" s="285"/>
      <c r="D622" s="286"/>
      <c r="E622" s="286"/>
      <c r="F622" s="286"/>
      <c r="G622" s="286"/>
      <c r="H622" s="471"/>
      <c r="I622" s="286"/>
      <c r="J622" s="286"/>
      <c r="K622" s="285"/>
    </row>
    <row r="623" spans="1:11" x14ac:dyDescent="0.2">
      <c r="A623" s="285"/>
      <c r="B623" s="285"/>
      <c r="C623" s="285"/>
      <c r="D623" s="286"/>
      <c r="E623" s="286"/>
      <c r="F623" s="286"/>
      <c r="G623" s="286"/>
      <c r="H623" s="471"/>
      <c r="I623" s="286"/>
      <c r="J623" s="286"/>
      <c r="K623" s="285"/>
    </row>
    <row r="624" spans="1:11" x14ac:dyDescent="0.2">
      <c r="A624" s="285"/>
      <c r="B624" s="285"/>
      <c r="C624" s="285"/>
      <c r="D624" s="286"/>
      <c r="E624" s="286"/>
      <c r="F624" s="286"/>
      <c r="G624" s="286"/>
      <c r="H624" s="471"/>
      <c r="I624" s="286"/>
      <c r="J624" s="286"/>
      <c r="K624" s="285"/>
    </row>
    <row r="625" spans="1:11" x14ac:dyDescent="0.2">
      <c r="A625" s="285"/>
      <c r="B625" s="285"/>
      <c r="C625" s="285"/>
      <c r="D625" s="286"/>
      <c r="E625" s="286"/>
      <c r="F625" s="286"/>
      <c r="G625" s="286"/>
      <c r="H625" s="471"/>
      <c r="I625" s="286"/>
      <c r="J625" s="286"/>
      <c r="K625" s="285"/>
    </row>
    <row r="626" spans="1:11" x14ac:dyDescent="0.2">
      <c r="A626" s="285"/>
      <c r="B626" s="285"/>
      <c r="C626" s="285"/>
      <c r="D626" s="287"/>
      <c r="E626" s="286"/>
      <c r="F626" s="286"/>
      <c r="G626" s="286"/>
      <c r="H626" s="703"/>
      <c r="I626" s="286"/>
      <c r="J626" s="286"/>
    </row>
    <row r="627" spans="1:11" x14ac:dyDescent="0.2">
      <c r="A627" s="285"/>
      <c r="B627" s="285"/>
      <c r="C627" s="285"/>
      <c r="D627" s="287"/>
      <c r="E627" s="286"/>
      <c r="F627" s="286"/>
      <c r="G627" s="286"/>
      <c r="H627" s="703"/>
      <c r="I627" s="286"/>
      <c r="J627" s="286"/>
    </row>
    <row r="628" spans="1:11" x14ac:dyDescent="0.2">
      <c r="A628" s="285"/>
      <c r="B628" s="285"/>
      <c r="C628" s="285"/>
      <c r="D628" s="287"/>
      <c r="E628" s="286"/>
      <c r="F628" s="286"/>
      <c r="G628" s="286"/>
      <c r="H628" s="703"/>
      <c r="I628" s="286"/>
      <c r="J628" s="286"/>
    </row>
    <row r="629" spans="1:11" x14ac:dyDescent="0.2">
      <c r="A629" s="285"/>
      <c r="B629" s="285"/>
      <c r="C629" s="285"/>
      <c r="D629" s="287"/>
      <c r="E629" s="286"/>
      <c r="F629" s="286"/>
      <c r="G629" s="286"/>
      <c r="H629" s="703"/>
      <c r="I629" s="286"/>
      <c r="J629" s="286"/>
    </row>
    <row r="630" spans="1:11" x14ac:dyDescent="0.2">
      <c r="A630" s="285"/>
      <c r="B630" s="285"/>
      <c r="C630" s="285"/>
      <c r="D630" s="287"/>
      <c r="E630" s="286"/>
      <c r="F630" s="286"/>
      <c r="G630" s="286"/>
      <c r="H630" s="703"/>
      <c r="I630" s="286"/>
      <c r="J630" s="286"/>
    </row>
    <row r="631" spans="1:11" x14ac:dyDescent="0.2">
      <c r="A631" s="285"/>
      <c r="B631" s="285"/>
      <c r="C631" s="285"/>
      <c r="D631" s="287"/>
      <c r="E631" s="286"/>
      <c r="F631" s="286"/>
      <c r="G631" s="286"/>
      <c r="H631" s="703"/>
      <c r="I631" s="286"/>
      <c r="J631" s="286"/>
      <c r="K631" s="285"/>
    </row>
    <row r="632" spans="1:11" x14ac:dyDescent="0.2">
      <c r="A632" s="285"/>
      <c r="B632" s="285"/>
      <c r="C632" s="285"/>
      <c r="D632" s="287"/>
      <c r="E632" s="286"/>
      <c r="F632" s="286"/>
      <c r="G632" s="286"/>
      <c r="H632" s="703"/>
      <c r="I632" s="286"/>
      <c r="J632" s="286"/>
      <c r="K632" s="285"/>
    </row>
    <row r="633" spans="1:11" x14ac:dyDescent="0.2">
      <c r="A633" s="285"/>
      <c r="B633" s="285"/>
      <c r="C633" s="285"/>
      <c r="D633" s="287"/>
      <c r="E633" s="286"/>
      <c r="F633" s="286"/>
      <c r="G633" s="286"/>
      <c r="H633" s="703"/>
      <c r="I633" s="286"/>
      <c r="J633" s="286"/>
      <c r="K633" s="285"/>
    </row>
    <row r="634" spans="1:11" x14ac:dyDescent="0.2">
      <c r="A634" s="285"/>
      <c r="B634" s="285"/>
      <c r="C634" s="285"/>
      <c r="D634" s="287"/>
      <c r="E634" s="286"/>
      <c r="F634" s="286"/>
      <c r="G634" s="286"/>
      <c r="H634" s="703"/>
      <c r="I634" s="286"/>
      <c r="J634" s="286"/>
      <c r="K634" s="285"/>
    </row>
    <row r="635" spans="1:11" x14ac:dyDescent="0.2">
      <c r="A635" s="285"/>
      <c r="B635" s="285"/>
      <c r="C635" s="285"/>
      <c r="D635" s="287"/>
      <c r="E635" s="286"/>
      <c r="F635" s="286"/>
      <c r="G635" s="286"/>
      <c r="H635" s="703"/>
      <c r="I635" s="286"/>
      <c r="J635" s="286"/>
      <c r="K635" s="285"/>
    </row>
    <row r="636" spans="1:11" x14ac:dyDescent="0.2">
      <c r="A636" s="285"/>
      <c r="B636" s="285"/>
      <c r="C636" s="285"/>
      <c r="D636" s="287"/>
      <c r="E636" s="286"/>
      <c r="F636" s="286"/>
      <c r="G636" s="286"/>
      <c r="H636" s="471"/>
      <c r="I636" s="286"/>
    </row>
    <row r="637" spans="1:11" x14ac:dyDescent="0.2">
      <c r="A637" s="285"/>
      <c r="B637" s="285"/>
      <c r="C637" s="285"/>
      <c r="D637" s="287"/>
      <c r="F637" s="286"/>
      <c r="G637" s="286"/>
      <c r="H637" s="471"/>
      <c r="I637" s="286"/>
    </row>
    <row r="638" spans="1:11" x14ac:dyDescent="0.2">
      <c r="A638" s="285"/>
      <c r="B638" s="285"/>
      <c r="C638" s="285"/>
      <c r="D638" s="287"/>
      <c r="E638" s="286"/>
      <c r="F638" s="286"/>
      <c r="G638" s="286"/>
      <c r="H638" s="471"/>
      <c r="I638" s="286"/>
    </row>
    <row r="639" spans="1:11" x14ac:dyDescent="0.2">
      <c r="A639" s="285"/>
      <c r="B639" s="285"/>
      <c r="C639" s="285"/>
      <c r="D639" s="286"/>
      <c r="E639" s="286"/>
      <c r="F639" s="286"/>
      <c r="G639" s="286"/>
      <c r="H639" s="471"/>
      <c r="I639" s="286"/>
      <c r="J639" s="286"/>
      <c r="K639" s="285"/>
    </row>
    <row r="640" spans="1:11" x14ac:dyDescent="0.2">
      <c r="A640" s="285"/>
      <c r="B640" s="285"/>
      <c r="C640" s="285"/>
      <c r="D640" s="286"/>
      <c r="E640" s="286"/>
      <c r="F640" s="286"/>
      <c r="G640" s="286"/>
      <c r="H640" s="471"/>
      <c r="I640" s="286"/>
      <c r="J640" s="286"/>
      <c r="K640" s="285"/>
    </row>
    <row r="641" spans="1:11" x14ac:dyDescent="0.2">
      <c r="A641" s="285"/>
      <c r="B641" s="285"/>
      <c r="C641" s="285"/>
      <c r="D641" s="286"/>
      <c r="E641" s="286"/>
      <c r="F641" s="286"/>
      <c r="G641" s="286"/>
      <c r="H641" s="471"/>
      <c r="I641" s="286"/>
      <c r="J641" s="286"/>
      <c r="K641" s="285"/>
    </row>
    <row r="642" spans="1:11" x14ac:dyDescent="0.2">
      <c r="A642" s="285"/>
      <c r="B642" s="285"/>
      <c r="C642" s="285"/>
      <c r="D642" s="286"/>
      <c r="E642" s="286"/>
      <c r="F642" s="286"/>
      <c r="G642" s="286"/>
      <c r="H642" s="471"/>
      <c r="I642" s="286"/>
      <c r="J642" s="286"/>
      <c r="K642" s="285"/>
    </row>
    <row r="643" spans="1:11" x14ac:dyDescent="0.2">
      <c r="A643" s="285"/>
      <c r="B643" s="285"/>
      <c r="C643" s="285"/>
      <c r="D643" s="286"/>
      <c r="E643" s="286"/>
      <c r="F643" s="286"/>
      <c r="G643" s="286"/>
      <c r="H643" s="471"/>
      <c r="I643" s="286"/>
      <c r="J643" s="286"/>
      <c r="K643" s="285"/>
    </row>
    <row r="644" spans="1:11" x14ac:dyDescent="0.2">
      <c r="A644" s="285"/>
      <c r="B644" s="285"/>
      <c r="C644" s="285"/>
      <c r="D644" s="286"/>
      <c r="E644" s="286"/>
      <c r="F644" s="286"/>
      <c r="G644" s="286"/>
      <c r="H644" s="471"/>
      <c r="I644" s="286"/>
      <c r="J644" s="286"/>
      <c r="K644" s="285"/>
    </row>
    <row r="645" spans="1:11" x14ac:dyDescent="0.2">
      <c r="A645" s="285"/>
      <c r="B645" s="285"/>
      <c r="C645" s="285"/>
      <c r="D645" s="286"/>
      <c r="E645" s="286"/>
      <c r="F645" s="286"/>
      <c r="G645" s="286"/>
      <c r="H645" s="471"/>
      <c r="I645" s="286"/>
      <c r="J645" s="286"/>
      <c r="K645" s="285"/>
    </row>
    <row r="646" spans="1:11" x14ac:dyDescent="0.2">
      <c r="A646" s="285"/>
      <c r="B646" s="285"/>
      <c r="C646" s="285"/>
      <c r="D646" s="286"/>
      <c r="E646" s="286"/>
      <c r="F646" s="286"/>
      <c r="G646" s="286"/>
      <c r="H646" s="471"/>
      <c r="I646" s="286"/>
      <c r="J646" s="286"/>
      <c r="K646" s="285"/>
    </row>
    <row r="647" spans="1:11" x14ac:dyDescent="0.2">
      <c r="A647" s="285"/>
      <c r="B647" s="285"/>
      <c r="C647" s="285"/>
      <c r="D647" s="286"/>
      <c r="E647" s="286"/>
      <c r="F647" s="286"/>
      <c r="G647" s="286"/>
      <c r="H647" s="471"/>
      <c r="I647" s="286"/>
      <c r="J647" s="286"/>
      <c r="K647" s="285"/>
    </row>
    <row r="648" spans="1:11" x14ac:dyDescent="0.2">
      <c r="A648" s="285"/>
      <c r="B648" s="285"/>
      <c r="C648" s="285"/>
      <c r="D648" s="286"/>
      <c r="E648" s="286"/>
      <c r="F648" s="286"/>
      <c r="G648" s="286"/>
      <c r="H648" s="471"/>
      <c r="I648" s="286"/>
      <c r="J648" s="286"/>
      <c r="K648" s="285"/>
    </row>
    <row r="649" spans="1:11" x14ac:dyDescent="0.2">
      <c r="A649" s="285"/>
      <c r="B649" s="285"/>
      <c r="C649" s="285"/>
      <c r="D649" s="286"/>
      <c r="E649" s="286"/>
      <c r="F649" s="286"/>
      <c r="G649" s="286"/>
      <c r="H649" s="471"/>
      <c r="I649" s="286"/>
      <c r="J649" s="286"/>
      <c r="K649" s="285"/>
    </row>
    <row r="650" spans="1:11" x14ac:dyDescent="0.2">
      <c r="A650" s="285"/>
      <c r="B650" s="285"/>
      <c r="C650" s="285"/>
      <c r="D650" s="286"/>
      <c r="E650" s="286"/>
      <c r="F650" s="286"/>
      <c r="G650" s="286"/>
      <c r="H650" s="471"/>
      <c r="I650" s="286"/>
      <c r="J650" s="286"/>
      <c r="K650" s="285"/>
    </row>
    <row r="651" spans="1:11" x14ac:dyDescent="0.2">
      <c r="A651" s="285"/>
      <c r="B651" s="285"/>
      <c r="C651" s="285"/>
      <c r="D651" s="286"/>
      <c r="E651" s="286"/>
      <c r="F651" s="286"/>
      <c r="G651" s="286"/>
      <c r="H651" s="471"/>
      <c r="I651" s="286"/>
      <c r="J651" s="286"/>
      <c r="K651" s="285"/>
    </row>
    <row r="652" spans="1:11" x14ac:dyDescent="0.2">
      <c r="A652" s="285"/>
      <c r="B652" s="285"/>
      <c r="C652" s="285"/>
      <c r="D652" s="286"/>
      <c r="E652" s="286"/>
      <c r="F652" s="286"/>
      <c r="G652" s="286"/>
      <c r="H652" s="471"/>
      <c r="I652" s="286"/>
      <c r="J652" s="286"/>
      <c r="K652" s="285"/>
    </row>
    <row r="653" spans="1:11" x14ac:dyDescent="0.2">
      <c r="A653" s="285"/>
      <c r="B653" s="285"/>
      <c r="C653" s="285"/>
      <c r="D653" s="286"/>
      <c r="E653" s="286"/>
      <c r="F653" s="286"/>
      <c r="G653" s="286"/>
      <c r="H653" s="471"/>
      <c r="I653" s="286"/>
      <c r="J653" s="286"/>
      <c r="K653" s="285"/>
    </row>
    <row r="654" spans="1:11" x14ac:dyDescent="0.2">
      <c r="A654" s="285"/>
      <c r="B654" s="285"/>
      <c r="C654" s="285"/>
      <c r="D654" s="286"/>
      <c r="E654" s="286"/>
      <c r="F654" s="286"/>
      <c r="G654" s="286"/>
      <c r="H654" s="471"/>
      <c r="I654" s="286"/>
      <c r="J654" s="286"/>
      <c r="K654" s="285"/>
    </row>
    <row r="655" spans="1:11" x14ac:dyDescent="0.2">
      <c r="A655" s="285"/>
      <c r="B655" s="285"/>
      <c r="C655" s="285"/>
      <c r="D655" s="286"/>
      <c r="E655" s="286"/>
      <c r="F655" s="286"/>
      <c r="G655" s="286"/>
      <c r="H655" s="471"/>
      <c r="I655" s="286"/>
      <c r="J655" s="286"/>
      <c r="K655" s="285"/>
    </row>
    <row r="656" spans="1:11" x14ac:dyDescent="0.2">
      <c r="A656" s="285"/>
      <c r="B656" s="285"/>
      <c r="C656" s="285"/>
      <c r="D656" s="286"/>
      <c r="E656" s="286"/>
      <c r="F656" s="286"/>
      <c r="G656" s="286"/>
      <c r="H656" s="471"/>
      <c r="I656" s="286"/>
      <c r="J656" s="286"/>
      <c r="K656" s="285"/>
    </row>
    <row r="657" spans="1:11" x14ac:dyDescent="0.2">
      <c r="A657" s="285"/>
      <c r="B657" s="285"/>
      <c r="C657" s="285"/>
      <c r="D657" s="286"/>
      <c r="E657" s="286"/>
      <c r="F657" s="286"/>
      <c r="G657" s="286"/>
      <c r="H657" s="471"/>
      <c r="I657" s="286"/>
      <c r="J657" s="286"/>
      <c r="K657" s="285"/>
    </row>
    <row r="658" spans="1:11" x14ac:dyDescent="0.2">
      <c r="A658" s="285"/>
      <c r="B658" s="285"/>
      <c r="C658" s="285"/>
      <c r="D658" s="286"/>
      <c r="E658" s="286"/>
      <c r="F658" s="286"/>
      <c r="G658" s="286"/>
      <c r="H658" s="471"/>
      <c r="I658" s="286"/>
      <c r="J658" s="286"/>
      <c r="K658" s="285"/>
    </row>
    <row r="659" spans="1:11" x14ac:dyDescent="0.2">
      <c r="A659" s="285"/>
      <c r="B659" s="285"/>
      <c r="C659" s="285"/>
      <c r="D659" s="286"/>
      <c r="E659" s="286"/>
      <c r="F659" s="286"/>
      <c r="G659" s="286"/>
      <c r="H659" s="471"/>
      <c r="I659" s="286"/>
      <c r="J659" s="286"/>
      <c r="K659" s="285"/>
    </row>
    <row r="660" spans="1:11" x14ac:dyDescent="0.2">
      <c r="A660" s="285"/>
      <c r="B660" s="285"/>
      <c r="C660" s="285"/>
      <c r="D660" s="286"/>
      <c r="E660" s="286"/>
      <c r="F660" s="286"/>
      <c r="G660" s="286"/>
      <c r="H660" s="471"/>
      <c r="I660" s="286"/>
      <c r="J660" s="286"/>
      <c r="K660" s="285"/>
    </row>
    <row r="661" spans="1:11" x14ac:dyDescent="0.2">
      <c r="A661" s="285"/>
      <c r="B661" s="285"/>
      <c r="C661" s="285"/>
      <c r="D661" s="286"/>
      <c r="E661" s="286"/>
      <c r="F661" s="286"/>
      <c r="G661" s="286"/>
      <c r="H661" s="471"/>
      <c r="I661" s="286"/>
      <c r="J661" s="286"/>
      <c r="K661" s="285"/>
    </row>
    <row r="662" spans="1:11" x14ac:dyDescent="0.2">
      <c r="A662" s="285"/>
      <c r="B662" s="285"/>
      <c r="C662" s="285"/>
      <c r="D662" s="286"/>
      <c r="E662" s="286"/>
      <c r="F662" s="286"/>
      <c r="G662" s="286"/>
      <c r="H662" s="471"/>
      <c r="I662" s="286"/>
      <c r="J662" s="286"/>
      <c r="K662" s="285"/>
    </row>
    <row r="663" spans="1:11" x14ac:dyDescent="0.2">
      <c r="A663" s="285"/>
      <c r="B663" s="285"/>
      <c r="C663" s="285"/>
      <c r="D663" s="286"/>
      <c r="E663" s="286"/>
      <c r="F663" s="286"/>
      <c r="G663" s="286"/>
      <c r="H663" s="471"/>
      <c r="I663" s="286"/>
      <c r="J663" s="286"/>
      <c r="K663" s="285"/>
    </row>
    <row r="664" spans="1:11" x14ac:dyDescent="0.2">
      <c r="A664" s="285"/>
      <c r="B664" s="285"/>
      <c r="C664" s="285"/>
      <c r="D664" s="286"/>
      <c r="E664" s="286"/>
      <c r="F664" s="286"/>
      <c r="G664" s="286"/>
      <c r="H664" s="471"/>
      <c r="I664" s="286"/>
      <c r="J664" s="286"/>
      <c r="K664" s="285"/>
    </row>
    <row r="665" spans="1:11" x14ac:dyDescent="0.2">
      <c r="A665" s="285"/>
      <c r="B665" s="285"/>
      <c r="C665" s="285"/>
      <c r="D665" s="286"/>
      <c r="E665" s="286"/>
      <c r="F665" s="286"/>
      <c r="G665" s="286"/>
      <c r="H665" s="471"/>
      <c r="I665" s="286"/>
      <c r="J665" s="286"/>
      <c r="K665" s="285"/>
    </row>
    <row r="666" spans="1:11" x14ac:dyDescent="0.2">
      <c r="A666" s="285"/>
      <c r="B666" s="285"/>
      <c r="C666" s="285"/>
      <c r="D666" s="286"/>
      <c r="E666" s="286"/>
      <c r="F666" s="286"/>
      <c r="G666" s="286"/>
      <c r="H666" s="471"/>
      <c r="I666" s="286"/>
      <c r="J666" s="286"/>
      <c r="K666" s="285"/>
    </row>
    <row r="667" spans="1:11" x14ac:dyDescent="0.2">
      <c r="A667" s="285"/>
      <c r="B667" s="285"/>
      <c r="C667" s="285"/>
      <c r="D667" s="286"/>
      <c r="E667" s="286"/>
      <c r="F667" s="286"/>
      <c r="G667" s="286"/>
      <c r="H667" s="471"/>
      <c r="I667" s="286"/>
      <c r="J667" s="286"/>
      <c r="K667" s="285"/>
    </row>
    <row r="668" spans="1:11" x14ac:dyDescent="0.2">
      <c r="A668" s="285"/>
      <c r="B668" s="285"/>
      <c r="C668" s="285"/>
      <c r="D668" s="286"/>
      <c r="E668" s="286"/>
      <c r="F668" s="286"/>
      <c r="G668" s="286"/>
      <c r="H668" s="471"/>
      <c r="I668" s="286"/>
      <c r="J668" s="286"/>
      <c r="K668" s="285"/>
    </row>
    <row r="669" spans="1:11" x14ac:dyDescent="0.2">
      <c r="A669" s="285"/>
      <c r="B669" s="285"/>
      <c r="C669" s="285"/>
      <c r="D669" s="286"/>
      <c r="E669" s="286"/>
      <c r="F669" s="286"/>
      <c r="G669" s="286"/>
      <c r="H669" s="471"/>
      <c r="I669" s="286"/>
      <c r="J669" s="286"/>
      <c r="K669" s="285"/>
    </row>
    <row r="670" spans="1:11" x14ac:dyDescent="0.2">
      <c r="A670" s="285"/>
      <c r="B670" s="285"/>
      <c r="C670" s="285"/>
      <c r="D670" s="286"/>
      <c r="E670" s="286"/>
      <c r="F670" s="286"/>
      <c r="G670" s="286"/>
      <c r="H670" s="471"/>
      <c r="I670" s="286"/>
      <c r="J670" s="286"/>
      <c r="K670" s="285"/>
    </row>
    <row r="671" spans="1:11" x14ac:dyDescent="0.2">
      <c r="A671" s="285"/>
      <c r="B671" s="285"/>
      <c r="C671" s="285"/>
      <c r="D671" s="286"/>
      <c r="E671" s="286"/>
      <c r="F671" s="286"/>
      <c r="G671" s="286"/>
      <c r="H671" s="471"/>
      <c r="I671" s="286"/>
      <c r="J671" s="286"/>
      <c r="K671" s="285"/>
    </row>
    <row r="672" spans="1:11" x14ac:dyDescent="0.2">
      <c r="A672" s="285"/>
      <c r="B672" s="285"/>
      <c r="C672" s="285"/>
      <c r="D672" s="286"/>
      <c r="E672" s="286"/>
      <c r="F672" s="286"/>
      <c r="G672" s="286"/>
      <c r="H672" s="471"/>
      <c r="I672" s="286"/>
      <c r="J672" s="286"/>
      <c r="K672" s="285"/>
    </row>
    <row r="673" spans="1:11" x14ac:dyDescent="0.2">
      <c r="A673" s="285"/>
      <c r="B673" s="285"/>
      <c r="C673" s="285"/>
      <c r="D673" s="286"/>
      <c r="E673" s="286"/>
      <c r="F673" s="286"/>
      <c r="G673" s="286"/>
      <c r="H673" s="471"/>
      <c r="I673" s="286"/>
      <c r="J673" s="286"/>
      <c r="K673" s="285"/>
    </row>
    <row r="674" spans="1:11" x14ac:dyDescent="0.2">
      <c r="A674" s="285"/>
      <c r="B674" s="285"/>
      <c r="C674" s="285"/>
      <c r="D674" s="286"/>
      <c r="E674" s="286"/>
      <c r="F674" s="286"/>
      <c r="G674" s="286"/>
      <c r="H674" s="471"/>
      <c r="I674" s="286"/>
      <c r="J674" s="286"/>
      <c r="K674" s="285"/>
    </row>
    <row r="675" spans="1:11" x14ac:dyDescent="0.2">
      <c r="A675" s="285"/>
      <c r="B675" s="285"/>
      <c r="C675" s="285"/>
      <c r="D675" s="286"/>
      <c r="E675" s="286"/>
      <c r="F675" s="286"/>
      <c r="G675" s="286"/>
      <c r="H675" s="471"/>
      <c r="I675" s="286"/>
      <c r="J675" s="286"/>
      <c r="K675" s="285"/>
    </row>
    <row r="676" spans="1:11" x14ac:dyDescent="0.2">
      <c r="A676" s="285"/>
      <c r="B676" s="285"/>
      <c r="C676" s="285"/>
      <c r="D676" s="286"/>
      <c r="E676" s="286"/>
      <c r="F676" s="286"/>
      <c r="G676" s="286"/>
      <c r="H676" s="471"/>
      <c r="I676" s="286"/>
      <c r="J676" s="286"/>
      <c r="K676" s="285"/>
    </row>
    <row r="677" spans="1:11" x14ac:dyDescent="0.2">
      <c r="A677" s="285"/>
      <c r="B677" s="285"/>
      <c r="C677" s="285"/>
      <c r="D677" s="286"/>
      <c r="E677" s="286"/>
      <c r="F677" s="286"/>
      <c r="G677" s="286"/>
      <c r="H677" s="471"/>
      <c r="I677" s="286"/>
      <c r="J677" s="286"/>
      <c r="K677" s="285"/>
    </row>
    <row r="678" spans="1:11" x14ac:dyDescent="0.2">
      <c r="A678" s="285"/>
      <c r="B678" s="285"/>
      <c r="C678" s="285"/>
      <c r="D678" s="286"/>
      <c r="E678" s="286"/>
      <c r="F678" s="286"/>
      <c r="G678" s="286"/>
      <c r="H678" s="471"/>
      <c r="I678" s="286"/>
      <c r="J678" s="286"/>
      <c r="K678" s="285"/>
    </row>
    <row r="679" spans="1:11" x14ac:dyDescent="0.2">
      <c r="H679" s="706"/>
    </row>
    <row r="680" spans="1:11" x14ac:dyDescent="0.2">
      <c r="H680" s="706"/>
    </row>
    <row r="681" spans="1:11" x14ac:dyDescent="0.2">
      <c r="H681" s="706"/>
    </row>
    <row r="682" spans="1:11" x14ac:dyDescent="0.2">
      <c r="H682" s="706"/>
    </row>
    <row r="683" spans="1:11" x14ac:dyDescent="0.2">
      <c r="H683" s="706"/>
    </row>
    <row r="684" spans="1:11" x14ac:dyDescent="0.2">
      <c r="H684" s="706"/>
    </row>
    <row r="685" spans="1:11" x14ac:dyDescent="0.2">
      <c r="H685" s="706"/>
    </row>
    <row r="686" spans="1:11" x14ac:dyDescent="0.2">
      <c r="H686" s="706"/>
    </row>
    <row r="687" spans="1:11" x14ac:dyDescent="0.2">
      <c r="H687" s="706"/>
    </row>
    <row r="688" spans="1:11" x14ac:dyDescent="0.2">
      <c r="H688" s="706"/>
    </row>
    <row r="689" spans="8:8" x14ac:dyDescent="0.2">
      <c r="H689" s="706"/>
    </row>
    <row r="690" spans="8:8" x14ac:dyDescent="0.2">
      <c r="H690" s="706"/>
    </row>
    <row r="691" spans="8:8" x14ac:dyDescent="0.2">
      <c r="H691" s="706"/>
    </row>
    <row r="692" spans="8:8" x14ac:dyDescent="0.2">
      <c r="H692" s="706"/>
    </row>
    <row r="693" spans="8:8" x14ac:dyDescent="0.2">
      <c r="H693" s="706"/>
    </row>
    <row r="694" spans="8:8" x14ac:dyDescent="0.2">
      <c r="H694" s="706"/>
    </row>
    <row r="695" spans="8:8" x14ac:dyDescent="0.2">
      <c r="H695" s="706"/>
    </row>
    <row r="696" spans="8:8" x14ac:dyDescent="0.2">
      <c r="H696" s="706"/>
    </row>
    <row r="697" spans="8:8" x14ac:dyDescent="0.2">
      <c r="H697" s="706"/>
    </row>
    <row r="698" spans="8:8" x14ac:dyDescent="0.2">
      <c r="H698" s="706"/>
    </row>
    <row r="699" spans="8:8" x14ac:dyDescent="0.2">
      <c r="H699" s="706"/>
    </row>
    <row r="700" spans="8:8" x14ac:dyDescent="0.2">
      <c r="H700" s="706"/>
    </row>
    <row r="701" spans="8:8" x14ac:dyDescent="0.2">
      <c r="H701" s="706"/>
    </row>
    <row r="702" spans="8:8" x14ac:dyDescent="0.2">
      <c r="H702" s="706"/>
    </row>
    <row r="703" spans="8:8" x14ac:dyDescent="0.2">
      <c r="H703" s="706"/>
    </row>
    <row r="704" spans="8:8" x14ac:dyDescent="0.2">
      <c r="H704" s="706"/>
    </row>
    <row r="705" spans="4:11" x14ac:dyDescent="0.2">
      <c r="H705" s="706"/>
    </row>
    <row r="706" spans="4:11" x14ac:dyDescent="0.2">
      <c r="D706" s="286"/>
      <c r="E706" s="286"/>
      <c r="F706" s="286"/>
      <c r="G706" s="286"/>
      <c r="H706" s="703"/>
      <c r="I706" s="286"/>
      <c r="J706" s="286"/>
      <c r="K706" s="285"/>
    </row>
    <row r="707" spans="4:11" x14ac:dyDescent="0.2">
      <c r="D707" s="526"/>
      <c r="E707" s="286"/>
      <c r="F707" s="286"/>
      <c r="G707" s="286"/>
      <c r="H707" s="703"/>
      <c r="I707" s="286"/>
      <c r="J707" s="286"/>
      <c r="K707" s="285"/>
    </row>
    <row r="708" spans="4:11" x14ac:dyDescent="0.2">
      <c r="D708" s="286"/>
      <c r="E708" s="286"/>
      <c r="F708" s="286"/>
      <c r="G708" s="286"/>
      <c r="H708" s="703"/>
      <c r="I708" s="286"/>
      <c r="J708" s="286"/>
      <c r="K708" s="285"/>
    </row>
    <row r="709" spans="4:11" x14ac:dyDescent="0.2">
      <c r="D709" s="286"/>
      <c r="E709" s="286"/>
      <c r="F709" s="286"/>
      <c r="G709" s="286"/>
      <c r="H709" s="703"/>
      <c r="I709" s="286"/>
      <c r="J709" s="286"/>
      <c r="K709" s="285"/>
    </row>
    <row r="710" spans="4:11" x14ac:dyDescent="0.2">
      <c r="D710" s="286"/>
      <c r="E710" s="286"/>
      <c r="F710" s="286"/>
      <c r="G710" s="286"/>
      <c r="H710" s="703"/>
      <c r="I710" s="286"/>
      <c r="J710" s="286"/>
      <c r="K710" s="285"/>
    </row>
    <row r="711" spans="4:11" x14ac:dyDescent="0.2">
      <c r="D711" s="286"/>
      <c r="E711" s="286"/>
      <c r="F711" s="286"/>
      <c r="G711" s="286"/>
      <c r="H711" s="703"/>
      <c r="I711" s="286"/>
      <c r="J711" s="286"/>
      <c r="K711" s="285"/>
    </row>
    <row r="712" spans="4:11" x14ac:dyDescent="0.2">
      <c r="D712" s="286"/>
      <c r="E712" s="286"/>
      <c r="F712" s="286"/>
      <c r="G712" s="286"/>
      <c r="H712" s="703"/>
      <c r="I712" s="286"/>
      <c r="J712" s="286"/>
      <c r="K712" s="285"/>
    </row>
    <row r="713" spans="4:11" x14ac:dyDescent="0.2">
      <c r="D713" s="286"/>
      <c r="E713" s="286"/>
      <c r="F713" s="286"/>
      <c r="G713" s="286"/>
      <c r="H713" s="703"/>
      <c r="I713" s="286"/>
      <c r="J713" s="286"/>
      <c r="K713" s="285"/>
    </row>
    <row r="714" spans="4:11" x14ac:dyDescent="0.2">
      <c r="D714" s="286"/>
      <c r="E714" s="286"/>
      <c r="F714" s="286"/>
      <c r="G714" s="286"/>
      <c r="H714" s="703"/>
      <c r="I714" s="286"/>
      <c r="J714" s="286"/>
      <c r="K714" s="285"/>
    </row>
    <row r="715" spans="4:11" x14ac:dyDescent="0.2">
      <c r="D715" s="286"/>
      <c r="E715" s="286"/>
      <c r="F715" s="286"/>
      <c r="G715" s="286"/>
      <c r="H715" s="703"/>
      <c r="I715" s="286"/>
      <c r="J715" s="286"/>
      <c r="K715" s="285"/>
    </row>
    <row r="716" spans="4:11" x14ac:dyDescent="0.2">
      <c r="D716" s="286"/>
      <c r="E716" s="286"/>
      <c r="F716" s="286"/>
      <c r="G716" s="286"/>
      <c r="H716" s="703"/>
      <c r="I716" s="286"/>
      <c r="J716" s="286"/>
      <c r="K716" s="285"/>
    </row>
    <row r="717" spans="4:11" x14ac:dyDescent="0.2">
      <c r="D717" s="286"/>
      <c r="E717" s="286"/>
      <c r="F717" s="286"/>
      <c r="G717" s="286"/>
      <c r="H717" s="703"/>
      <c r="I717" s="286"/>
      <c r="J717" s="286"/>
      <c r="K717" s="285"/>
    </row>
    <row r="718" spans="4:11" x14ac:dyDescent="0.2">
      <c r="D718" s="286"/>
      <c r="E718" s="286"/>
      <c r="F718" s="286"/>
      <c r="G718" s="286"/>
      <c r="H718" s="471"/>
      <c r="I718" s="286"/>
      <c r="J718" s="286"/>
      <c r="K718" s="285"/>
    </row>
    <row r="719" spans="4:11" x14ac:dyDescent="0.2">
      <c r="D719" s="286"/>
      <c r="E719" s="286"/>
      <c r="F719" s="286"/>
      <c r="G719" s="286"/>
      <c r="H719" s="471"/>
      <c r="I719" s="286"/>
      <c r="J719" s="286"/>
      <c r="K719" s="285"/>
    </row>
    <row r="720" spans="4:11" x14ac:dyDescent="0.2">
      <c r="D720" s="286"/>
      <c r="E720" s="286"/>
      <c r="F720" s="286"/>
      <c r="G720" s="286"/>
      <c r="H720" s="471"/>
      <c r="I720" s="286"/>
      <c r="J720" s="286"/>
      <c r="K720" s="285"/>
    </row>
    <row r="721" spans="1:11" x14ac:dyDescent="0.2">
      <c r="D721" s="286"/>
      <c r="E721" s="286"/>
      <c r="F721" s="286"/>
      <c r="G721" s="286"/>
      <c r="H721" s="471"/>
      <c r="I721" s="286"/>
      <c r="J721" s="286"/>
      <c r="K721" s="285"/>
    </row>
    <row r="722" spans="1:11" x14ac:dyDescent="0.2">
      <c r="D722" s="286"/>
      <c r="E722" s="286"/>
      <c r="F722" s="286"/>
      <c r="G722" s="286"/>
      <c r="H722" s="471"/>
      <c r="I722" s="286"/>
      <c r="J722" s="286"/>
      <c r="K722" s="285"/>
    </row>
    <row r="723" spans="1:11" x14ac:dyDescent="0.2">
      <c r="D723" s="286"/>
      <c r="E723" s="286"/>
      <c r="F723" s="286"/>
      <c r="G723" s="286"/>
      <c r="H723" s="471"/>
      <c r="I723" s="286"/>
      <c r="J723" s="286"/>
      <c r="K723" s="285"/>
    </row>
    <row r="724" spans="1:11" x14ac:dyDescent="0.2">
      <c r="A724" s="285"/>
      <c r="B724" s="285"/>
      <c r="C724" s="285"/>
      <c r="D724" s="286"/>
      <c r="E724" s="286"/>
      <c r="F724" s="286"/>
      <c r="G724" s="286"/>
      <c r="H724" s="471"/>
      <c r="I724" s="286"/>
      <c r="J724" s="286"/>
      <c r="K724" s="285"/>
    </row>
    <row r="725" spans="1:11" x14ac:dyDescent="0.2">
      <c r="A725" s="285"/>
      <c r="B725" s="285"/>
      <c r="C725" s="285"/>
      <c r="D725" s="286"/>
      <c r="E725" s="286"/>
      <c r="F725" s="286"/>
      <c r="G725" s="286"/>
      <c r="H725" s="471"/>
      <c r="I725" s="286"/>
      <c r="J725" s="286"/>
      <c r="K725" s="285"/>
    </row>
    <row r="726" spans="1:11" x14ac:dyDescent="0.2">
      <c r="A726" s="285"/>
      <c r="B726" s="285"/>
      <c r="C726" s="285"/>
      <c r="D726" s="286"/>
      <c r="E726" s="286"/>
      <c r="F726" s="286"/>
      <c r="G726" s="286"/>
      <c r="H726" s="471"/>
      <c r="I726" s="286"/>
      <c r="J726" s="286"/>
      <c r="K726" s="285"/>
    </row>
    <row r="727" spans="1:11" x14ac:dyDescent="0.2">
      <c r="A727" s="285"/>
      <c r="B727" s="285"/>
      <c r="C727" s="285"/>
      <c r="D727" s="286"/>
      <c r="E727" s="286"/>
      <c r="F727" s="286"/>
      <c r="G727" s="292"/>
      <c r="H727" s="471"/>
      <c r="I727" s="286"/>
      <c r="J727" s="286"/>
      <c r="K727" s="285"/>
    </row>
    <row r="728" spans="1:11" x14ac:dyDescent="0.2">
      <c r="A728" s="285"/>
      <c r="B728" s="285"/>
      <c r="C728" s="285"/>
      <c r="D728" s="286"/>
      <c r="E728" s="286"/>
      <c r="F728" s="286"/>
      <c r="G728" s="286"/>
      <c r="H728" s="471"/>
      <c r="I728" s="286"/>
      <c r="J728" s="286"/>
      <c r="K728" s="285"/>
    </row>
    <row r="729" spans="1:11" x14ac:dyDescent="0.2">
      <c r="A729" s="285"/>
      <c r="B729" s="285"/>
      <c r="C729" s="285"/>
      <c r="D729" s="286"/>
      <c r="E729" s="286"/>
      <c r="F729" s="286"/>
      <c r="G729" s="286"/>
      <c r="H729" s="471"/>
      <c r="I729" s="286"/>
      <c r="J729" s="286"/>
      <c r="K729" s="285"/>
    </row>
    <row r="730" spans="1:11" x14ac:dyDescent="0.2">
      <c r="A730" s="285"/>
      <c r="B730" s="285"/>
      <c r="C730" s="285"/>
      <c r="D730" s="286"/>
      <c r="E730" s="286"/>
      <c r="F730" s="286"/>
      <c r="G730" s="286"/>
      <c r="H730" s="471"/>
      <c r="I730" s="286"/>
      <c r="J730" s="286"/>
      <c r="K730" s="285"/>
    </row>
    <row r="731" spans="1:11" x14ac:dyDescent="0.2">
      <c r="A731" s="285"/>
      <c r="B731" s="285"/>
      <c r="C731" s="285"/>
      <c r="D731" s="286"/>
      <c r="E731" s="286"/>
      <c r="F731" s="286"/>
      <c r="G731" s="286"/>
      <c r="H731" s="471"/>
      <c r="I731" s="286"/>
      <c r="J731" s="286"/>
      <c r="K731" s="285"/>
    </row>
    <row r="732" spans="1:11" x14ac:dyDescent="0.2">
      <c r="A732" s="285"/>
      <c r="B732" s="285"/>
      <c r="C732" s="285"/>
      <c r="D732" s="286"/>
      <c r="E732" s="286"/>
      <c r="F732" s="286"/>
      <c r="G732" s="286"/>
      <c r="H732" s="471"/>
      <c r="I732" s="286"/>
      <c r="J732" s="286"/>
      <c r="K732" s="285"/>
    </row>
    <row r="733" spans="1:11" x14ac:dyDescent="0.2">
      <c r="A733" s="285"/>
      <c r="B733" s="285"/>
      <c r="C733" s="285"/>
      <c r="D733" s="286"/>
      <c r="E733" s="286"/>
      <c r="F733" s="286"/>
      <c r="G733" s="286"/>
      <c r="H733" s="471"/>
      <c r="I733" s="286"/>
      <c r="J733" s="286"/>
      <c r="K733" s="285"/>
    </row>
    <row r="734" spans="1:11" x14ac:dyDescent="0.2">
      <c r="A734" s="285"/>
      <c r="B734" s="285"/>
      <c r="C734" s="285"/>
      <c r="D734" s="286"/>
      <c r="E734" s="286"/>
      <c r="F734" s="286"/>
      <c r="G734" s="286"/>
      <c r="H734" s="471"/>
      <c r="I734" s="286"/>
      <c r="J734" s="286"/>
      <c r="K734" s="285"/>
    </row>
    <row r="735" spans="1:11" x14ac:dyDescent="0.2">
      <c r="A735" s="285"/>
      <c r="B735" s="285"/>
      <c r="C735" s="285"/>
      <c r="D735" s="286"/>
      <c r="E735" s="286"/>
      <c r="F735" s="286"/>
      <c r="G735" s="286"/>
      <c r="H735" s="471"/>
      <c r="I735" s="286"/>
      <c r="J735" s="286"/>
      <c r="K735" s="285"/>
    </row>
    <row r="736" spans="1:11" x14ac:dyDescent="0.2">
      <c r="A736" s="285"/>
      <c r="B736" s="285"/>
      <c r="C736" s="285"/>
      <c r="D736" s="286"/>
      <c r="E736" s="286"/>
      <c r="F736" s="286"/>
      <c r="G736" s="286"/>
      <c r="H736" s="471"/>
      <c r="I736" s="286"/>
      <c r="J736" s="286"/>
      <c r="K736" s="285"/>
    </row>
    <row r="737" spans="1:11" x14ac:dyDescent="0.2">
      <c r="A737" s="285"/>
      <c r="B737" s="285"/>
      <c r="C737" s="285"/>
      <c r="D737" s="286"/>
      <c r="E737" s="286"/>
      <c r="F737" s="286"/>
      <c r="G737" s="286"/>
      <c r="H737" s="471"/>
      <c r="I737" s="286"/>
      <c r="J737" s="286"/>
      <c r="K737" s="285"/>
    </row>
    <row r="738" spans="1:11" x14ac:dyDescent="0.2">
      <c r="A738" s="285"/>
      <c r="B738" s="285"/>
      <c r="C738" s="285"/>
      <c r="D738" s="286"/>
      <c r="E738" s="286"/>
      <c r="F738" s="286"/>
      <c r="G738" s="286"/>
      <c r="H738" s="471"/>
      <c r="I738" s="286"/>
      <c r="J738" s="286"/>
      <c r="K738" s="285"/>
    </row>
    <row r="739" spans="1:11" x14ac:dyDescent="0.2">
      <c r="A739" s="285"/>
      <c r="B739" s="285"/>
      <c r="C739" s="285"/>
      <c r="D739" s="286"/>
      <c r="E739" s="286"/>
      <c r="F739" s="286"/>
      <c r="G739" s="286"/>
      <c r="H739" s="471"/>
      <c r="I739" s="286"/>
      <c r="J739" s="286"/>
      <c r="K739" s="285"/>
    </row>
    <row r="740" spans="1:11" x14ac:dyDescent="0.2">
      <c r="A740" s="285"/>
      <c r="B740" s="285"/>
      <c r="C740" s="285"/>
      <c r="D740" s="286"/>
      <c r="E740" s="286"/>
      <c r="F740" s="286"/>
      <c r="G740" s="286"/>
      <c r="H740" s="471"/>
      <c r="I740" s="286"/>
      <c r="J740" s="286"/>
      <c r="K740" s="285"/>
    </row>
    <row r="741" spans="1:11" x14ac:dyDescent="0.2">
      <c r="A741" s="285"/>
      <c r="B741" s="285"/>
      <c r="C741" s="285"/>
      <c r="D741" s="286"/>
      <c r="E741" s="286"/>
      <c r="F741" s="286"/>
      <c r="G741" s="286"/>
      <c r="H741" s="471"/>
      <c r="I741" s="286"/>
      <c r="J741" s="286"/>
      <c r="K741" s="285"/>
    </row>
    <row r="742" spans="1:11" x14ac:dyDescent="0.2">
      <c r="A742" s="285"/>
      <c r="B742" s="285"/>
      <c r="C742" s="285"/>
      <c r="D742" s="286"/>
      <c r="E742" s="286"/>
      <c r="F742" s="286"/>
      <c r="G742" s="286"/>
      <c r="H742" s="471"/>
      <c r="I742" s="286"/>
      <c r="J742" s="286"/>
      <c r="K742" s="285"/>
    </row>
    <row r="743" spans="1:11" x14ac:dyDescent="0.2">
      <c r="A743" s="285"/>
      <c r="B743" s="285"/>
      <c r="C743" s="285"/>
      <c r="D743" s="286"/>
      <c r="E743" s="286"/>
      <c r="F743" s="286"/>
      <c r="G743" s="286"/>
      <c r="H743" s="471"/>
      <c r="I743" s="286"/>
      <c r="J743" s="286"/>
      <c r="K743" s="285"/>
    </row>
    <row r="744" spans="1:11" x14ac:dyDescent="0.2">
      <c r="H744" s="706"/>
    </row>
    <row r="745" spans="1:11" x14ac:dyDescent="0.2">
      <c r="A745" s="285"/>
      <c r="B745" s="285"/>
      <c r="C745" s="285"/>
      <c r="D745" s="286"/>
      <c r="E745" s="286"/>
      <c r="F745" s="286"/>
      <c r="G745" s="286"/>
      <c r="H745" s="471"/>
      <c r="I745" s="286"/>
      <c r="J745" s="286"/>
      <c r="K745" s="285"/>
    </row>
    <row r="746" spans="1:11" x14ac:dyDescent="0.2">
      <c r="A746" s="285"/>
      <c r="B746" s="285"/>
      <c r="C746" s="285"/>
      <c r="D746" s="286"/>
      <c r="E746" s="286"/>
      <c r="F746" s="286"/>
      <c r="G746" s="286"/>
      <c r="H746" s="471"/>
      <c r="I746" s="286"/>
      <c r="J746" s="286"/>
      <c r="K746" s="285"/>
    </row>
    <row r="747" spans="1:11" x14ac:dyDescent="0.2">
      <c r="A747" s="285"/>
      <c r="B747" s="285"/>
      <c r="C747" s="285"/>
      <c r="D747" s="286"/>
      <c r="E747" s="286"/>
      <c r="F747" s="286"/>
      <c r="G747" s="286"/>
      <c r="H747" s="471"/>
      <c r="I747" s="286"/>
      <c r="J747" s="286"/>
      <c r="K747" s="285"/>
    </row>
    <row r="748" spans="1:11" x14ac:dyDescent="0.2">
      <c r="A748" s="285"/>
      <c r="B748" s="285"/>
      <c r="C748" s="285"/>
      <c r="D748" s="286"/>
      <c r="E748" s="286"/>
      <c r="F748" s="286"/>
      <c r="G748" s="286"/>
      <c r="H748" s="471"/>
      <c r="I748" s="286"/>
      <c r="J748" s="286"/>
      <c r="K748" s="285"/>
    </row>
    <row r="749" spans="1:11" x14ac:dyDescent="0.2">
      <c r="A749" s="285"/>
      <c r="B749" s="285"/>
      <c r="C749" s="285"/>
      <c r="D749" s="286"/>
      <c r="E749" s="286"/>
      <c r="F749" s="286"/>
      <c r="G749" s="286"/>
      <c r="H749" s="471"/>
      <c r="I749" s="286"/>
      <c r="J749" s="286"/>
      <c r="K749" s="285"/>
    </row>
    <row r="750" spans="1:11" x14ac:dyDescent="0.2">
      <c r="A750" s="285"/>
      <c r="B750" s="285"/>
      <c r="C750" s="285"/>
      <c r="D750" s="286"/>
      <c r="E750" s="286"/>
      <c r="F750" s="286"/>
      <c r="G750" s="286"/>
      <c r="H750" s="471"/>
      <c r="I750" s="286"/>
      <c r="J750" s="286"/>
      <c r="K750" s="285"/>
    </row>
    <row r="751" spans="1:11" x14ac:dyDescent="0.2">
      <c r="A751" s="285"/>
      <c r="B751" s="285"/>
      <c r="C751" s="285"/>
      <c r="D751" s="286"/>
      <c r="E751" s="286"/>
      <c r="F751" s="286"/>
      <c r="G751" s="286"/>
      <c r="H751" s="471"/>
      <c r="I751" s="286"/>
      <c r="J751" s="286"/>
      <c r="K751" s="285"/>
    </row>
    <row r="752" spans="1:11" x14ac:dyDescent="0.2">
      <c r="A752" s="285"/>
      <c r="B752" s="285"/>
      <c r="C752" s="285"/>
      <c r="D752" s="286"/>
      <c r="E752" s="286"/>
      <c r="F752" s="286"/>
      <c r="G752" s="286"/>
      <c r="H752" s="471"/>
      <c r="I752" s="286"/>
      <c r="J752" s="286"/>
      <c r="K752" s="285"/>
    </row>
    <row r="753" spans="1:11" x14ac:dyDescent="0.2">
      <c r="A753" s="285"/>
      <c r="B753" s="285"/>
      <c r="C753" s="285"/>
      <c r="D753" s="286"/>
      <c r="E753" s="286"/>
      <c r="F753" s="286"/>
      <c r="G753" s="286"/>
      <c r="H753" s="471"/>
      <c r="I753" s="286"/>
      <c r="J753" s="286"/>
      <c r="K753" s="285"/>
    </row>
    <row r="754" spans="1:11" x14ac:dyDescent="0.2">
      <c r="A754" s="285"/>
      <c r="B754" s="285"/>
      <c r="C754" s="285"/>
      <c r="D754" s="286"/>
      <c r="E754" s="286"/>
      <c r="F754" s="286"/>
      <c r="G754" s="286"/>
      <c r="H754" s="471"/>
      <c r="I754" s="292"/>
      <c r="J754" s="286"/>
      <c r="K754" s="285"/>
    </row>
    <row r="755" spans="1:11" x14ac:dyDescent="0.2">
      <c r="A755" s="285"/>
      <c r="B755" s="285"/>
      <c r="C755" s="285"/>
      <c r="D755" s="286"/>
      <c r="E755" s="286"/>
      <c r="F755" s="286"/>
      <c r="G755" s="286"/>
      <c r="H755" s="471"/>
      <c r="I755" s="292"/>
      <c r="J755" s="286"/>
      <c r="K755" s="285"/>
    </row>
    <row r="756" spans="1:11" x14ac:dyDescent="0.2">
      <c r="A756" s="285"/>
      <c r="B756" s="285"/>
      <c r="C756" s="285"/>
      <c r="D756" s="286"/>
      <c r="E756" s="286"/>
      <c r="F756" s="286"/>
      <c r="G756" s="286"/>
      <c r="H756" s="471"/>
      <c r="I756" s="286"/>
      <c r="J756" s="286"/>
      <c r="K756" s="285"/>
    </row>
    <row r="757" spans="1:11" x14ac:dyDescent="0.2">
      <c r="A757" s="285"/>
      <c r="B757" s="285"/>
      <c r="C757" s="285"/>
      <c r="D757" s="286"/>
      <c r="E757" s="286"/>
      <c r="F757" s="286"/>
      <c r="G757" s="286"/>
      <c r="H757" s="471"/>
      <c r="I757" s="292"/>
      <c r="J757" s="286"/>
      <c r="K757" s="285"/>
    </row>
    <row r="758" spans="1:11" x14ac:dyDescent="0.2">
      <c r="A758" s="285"/>
      <c r="B758" s="285"/>
      <c r="C758" s="285"/>
      <c r="D758" s="286"/>
      <c r="E758" s="296"/>
      <c r="F758" s="286"/>
      <c r="G758" s="286"/>
      <c r="H758" s="471"/>
      <c r="I758" s="292"/>
      <c r="J758" s="286"/>
      <c r="K758" s="285"/>
    </row>
    <row r="759" spans="1:11" x14ac:dyDescent="0.2">
      <c r="A759" s="285"/>
      <c r="B759" s="285"/>
      <c r="C759" s="285"/>
      <c r="D759" s="286"/>
      <c r="E759" s="286"/>
      <c r="F759" s="286"/>
      <c r="G759" s="286"/>
      <c r="H759" s="471"/>
      <c r="I759" s="292"/>
      <c r="J759" s="286"/>
      <c r="K759" s="285"/>
    </row>
    <row r="760" spans="1:11" x14ac:dyDescent="0.2">
      <c r="A760" s="285"/>
      <c r="B760" s="285"/>
      <c r="C760" s="285"/>
      <c r="D760" s="286"/>
      <c r="E760" s="286"/>
      <c r="F760" s="286"/>
      <c r="G760" s="286"/>
      <c r="H760" s="471"/>
      <c r="I760" s="292"/>
      <c r="J760" s="286"/>
      <c r="K760" s="285"/>
    </row>
    <row r="761" spans="1:11" x14ac:dyDescent="0.2">
      <c r="A761" s="285"/>
      <c r="B761" s="285"/>
      <c r="C761" s="285"/>
      <c r="D761" s="286"/>
      <c r="E761" s="286"/>
      <c r="F761" s="286"/>
      <c r="G761" s="286"/>
      <c r="H761" s="471"/>
      <c r="I761" s="286"/>
      <c r="J761" s="286"/>
      <c r="K761" s="285"/>
    </row>
    <row r="762" spans="1:11" x14ac:dyDescent="0.2">
      <c r="A762" s="285"/>
      <c r="B762" s="285"/>
      <c r="C762" s="285"/>
      <c r="D762" s="286"/>
      <c r="E762" s="286"/>
      <c r="F762" s="286"/>
      <c r="G762" s="286"/>
      <c r="H762" s="471"/>
      <c r="I762" s="286"/>
      <c r="J762" s="286"/>
      <c r="K762" s="285"/>
    </row>
    <row r="763" spans="1:11" x14ac:dyDescent="0.2">
      <c r="A763" s="285"/>
      <c r="B763" s="285"/>
      <c r="C763" s="285"/>
      <c r="D763" s="286"/>
      <c r="E763" s="286"/>
      <c r="F763" s="286"/>
      <c r="G763" s="286"/>
      <c r="H763" s="471"/>
      <c r="J763" s="286"/>
      <c r="K763" s="285"/>
    </row>
    <row r="764" spans="1:11" x14ac:dyDescent="0.2">
      <c r="A764" s="285"/>
      <c r="B764" s="285"/>
      <c r="C764" s="285"/>
      <c r="D764" s="286"/>
      <c r="E764" s="286"/>
      <c r="F764" s="286"/>
      <c r="G764" s="286"/>
      <c r="H764" s="471"/>
      <c r="I764" s="286"/>
      <c r="J764" s="286"/>
      <c r="K764" s="285"/>
    </row>
    <row r="765" spans="1:11" x14ac:dyDescent="0.2">
      <c r="A765" s="285"/>
      <c r="B765" s="285"/>
      <c r="C765" s="285"/>
      <c r="D765" s="286"/>
      <c r="E765" s="286"/>
      <c r="F765" s="286"/>
      <c r="G765" s="286"/>
      <c r="H765" s="471"/>
      <c r="I765" s="286"/>
      <c r="J765" s="286"/>
      <c r="K765" s="285"/>
    </row>
    <row r="766" spans="1:11" x14ac:dyDescent="0.2">
      <c r="A766" s="285"/>
      <c r="B766" s="285"/>
      <c r="C766" s="285"/>
      <c r="D766" s="286"/>
      <c r="E766" s="286"/>
      <c r="F766" s="286"/>
      <c r="G766" s="286"/>
      <c r="H766" s="471"/>
      <c r="I766" s="286"/>
      <c r="J766" s="286"/>
      <c r="K766" s="285"/>
    </row>
    <row r="767" spans="1:11" x14ac:dyDescent="0.2">
      <c r="A767" s="285"/>
      <c r="B767" s="285"/>
      <c r="C767" s="285"/>
      <c r="D767" s="286"/>
      <c r="E767" s="286"/>
      <c r="F767" s="286"/>
      <c r="G767" s="286"/>
      <c r="H767" s="471"/>
      <c r="I767" s="286"/>
      <c r="J767" s="286"/>
      <c r="K767" s="285"/>
    </row>
    <row r="768" spans="1:11" x14ac:dyDescent="0.2">
      <c r="A768" s="285"/>
      <c r="B768" s="285"/>
      <c r="C768" s="285"/>
      <c r="D768" s="286"/>
      <c r="E768" s="286"/>
      <c r="F768" s="286"/>
      <c r="G768" s="286"/>
      <c r="H768" s="471"/>
      <c r="I768" s="286"/>
      <c r="J768" s="286"/>
      <c r="K768" s="285"/>
    </row>
    <row r="769" spans="1:11" x14ac:dyDescent="0.2">
      <c r="A769" s="285"/>
      <c r="B769" s="285"/>
      <c r="C769" s="285"/>
      <c r="D769" s="286"/>
      <c r="E769" s="286"/>
      <c r="F769" s="286"/>
      <c r="G769" s="286"/>
      <c r="H769" s="471"/>
      <c r="I769" s="286"/>
      <c r="J769" s="286"/>
      <c r="K769" s="285"/>
    </row>
    <row r="770" spans="1:11" x14ac:dyDescent="0.2">
      <c r="A770" s="285"/>
      <c r="B770" s="285"/>
      <c r="C770" s="285"/>
      <c r="D770" s="286"/>
      <c r="E770" s="286"/>
      <c r="F770" s="286"/>
      <c r="G770" s="286"/>
      <c r="H770" s="471"/>
      <c r="I770" s="286"/>
      <c r="J770" s="286"/>
      <c r="K770" s="285"/>
    </row>
    <row r="771" spans="1:11" x14ac:dyDescent="0.2">
      <c r="A771" s="285"/>
      <c r="B771" s="285"/>
      <c r="C771" s="285"/>
      <c r="D771" s="286"/>
      <c r="E771" s="286"/>
      <c r="F771" s="286"/>
      <c r="G771" s="286"/>
      <c r="H771" s="471"/>
      <c r="I771" s="286"/>
      <c r="J771" s="286"/>
      <c r="K771" s="285"/>
    </row>
    <row r="772" spans="1:11" x14ac:dyDescent="0.2">
      <c r="A772" s="285"/>
      <c r="B772" s="285"/>
      <c r="C772" s="285"/>
      <c r="D772" s="286"/>
      <c r="E772" s="286"/>
      <c r="F772" s="286"/>
      <c r="G772" s="286"/>
      <c r="H772" s="471"/>
      <c r="I772" s="286"/>
      <c r="J772" s="286"/>
      <c r="K772" s="285"/>
    </row>
    <row r="773" spans="1:11" x14ac:dyDescent="0.2">
      <c r="A773" s="285"/>
      <c r="B773" s="285"/>
      <c r="C773" s="285"/>
      <c r="D773" s="286"/>
      <c r="E773" s="286"/>
      <c r="F773" s="286"/>
      <c r="G773" s="286"/>
      <c r="H773" s="471"/>
      <c r="I773" s="286"/>
      <c r="J773" s="286"/>
      <c r="K773" s="285"/>
    </row>
    <row r="774" spans="1:11" x14ac:dyDescent="0.2">
      <c r="A774" s="285"/>
      <c r="B774" s="285"/>
      <c r="C774" s="285"/>
      <c r="D774" s="286"/>
      <c r="E774" s="286"/>
      <c r="F774" s="286"/>
      <c r="G774" s="286"/>
      <c r="H774" s="471"/>
      <c r="I774" s="286"/>
      <c r="J774" s="286"/>
      <c r="K774" s="285"/>
    </row>
    <row r="775" spans="1:11" x14ac:dyDescent="0.2">
      <c r="A775" s="285"/>
      <c r="B775" s="285"/>
      <c r="C775" s="285"/>
      <c r="D775" s="286"/>
      <c r="E775" s="286"/>
      <c r="F775" s="286"/>
      <c r="G775" s="286"/>
      <c r="H775" s="471"/>
      <c r="I775" s="286"/>
      <c r="J775" s="286"/>
      <c r="K775" s="285"/>
    </row>
    <row r="776" spans="1:11" x14ac:dyDescent="0.2">
      <c r="H776" s="706"/>
    </row>
    <row r="777" spans="1:11" x14ac:dyDescent="0.2">
      <c r="A777" s="285"/>
      <c r="B777" s="285"/>
      <c r="C777" s="285"/>
      <c r="D777" s="286"/>
      <c r="E777" s="286"/>
      <c r="F777" s="286"/>
      <c r="G777" s="286"/>
      <c r="H777" s="471"/>
      <c r="I777" s="286"/>
      <c r="J777" s="286"/>
      <c r="K777" s="285"/>
    </row>
    <row r="778" spans="1:11" x14ac:dyDescent="0.2">
      <c r="A778" s="285"/>
      <c r="B778" s="285"/>
      <c r="C778" s="285"/>
      <c r="D778" s="286"/>
      <c r="E778" s="286"/>
      <c r="F778" s="286"/>
      <c r="G778" s="286"/>
      <c r="H778" s="471"/>
      <c r="I778" s="286"/>
      <c r="J778" s="286"/>
      <c r="K778" s="285"/>
    </row>
    <row r="779" spans="1:11" x14ac:dyDescent="0.2">
      <c r="A779" s="285"/>
      <c r="B779" s="285"/>
      <c r="C779" s="285"/>
      <c r="D779" s="286"/>
      <c r="E779" s="286"/>
      <c r="F779" s="286"/>
      <c r="G779" s="286"/>
      <c r="H779" s="471"/>
      <c r="I779" s="286"/>
      <c r="J779" s="286"/>
      <c r="K779" s="285"/>
    </row>
    <row r="780" spans="1:11" x14ac:dyDescent="0.2">
      <c r="A780" s="285"/>
      <c r="B780" s="285"/>
      <c r="C780" s="285"/>
      <c r="D780" s="286"/>
      <c r="E780" s="286"/>
      <c r="F780" s="286"/>
      <c r="G780" s="286"/>
      <c r="H780" s="703"/>
      <c r="I780" s="286"/>
      <c r="J780" s="286"/>
      <c r="K780" s="285"/>
    </row>
    <row r="781" spans="1:11" x14ac:dyDescent="0.2">
      <c r="A781" s="285"/>
      <c r="B781" s="285"/>
      <c r="C781" s="285"/>
      <c r="D781" s="286"/>
      <c r="E781" s="286"/>
      <c r="F781" s="286"/>
      <c r="G781" s="286"/>
      <c r="H781" s="703"/>
      <c r="I781" s="286"/>
      <c r="J781" s="286"/>
      <c r="K781" s="285"/>
    </row>
    <row r="782" spans="1:11" x14ac:dyDescent="0.2">
      <c r="A782" s="285"/>
      <c r="B782" s="285"/>
      <c r="C782" s="285"/>
      <c r="D782" s="286"/>
      <c r="E782" s="286"/>
      <c r="F782" s="286"/>
      <c r="G782" s="286"/>
      <c r="H782" s="703"/>
      <c r="I782" s="286"/>
      <c r="J782" s="286"/>
      <c r="K782" s="285"/>
    </row>
    <row r="783" spans="1:11" x14ac:dyDescent="0.2">
      <c r="A783" s="285"/>
      <c r="B783" s="285"/>
      <c r="C783" s="285"/>
      <c r="D783" s="286"/>
      <c r="E783" s="286"/>
      <c r="F783" s="286"/>
      <c r="G783" s="286"/>
      <c r="H783" s="703"/>
      <c r="I783" s="286"/>
      <c r="J783" s="286"/>
      <c r="K783" s="285"/>
    </row>
    <row r="784" spans="1:11" x14ac:dyDescent="0.2">
      <c r="A784" s="285"/>
      <c r="B784" s="285"/>
      <c r="C784" s="285"/>
      <c r="D784" s="286"/>
      <c r="E784" s="286"/>
      <c r="F784" s="286"/>
      <c r="G784" s="286"/>
      <c r="H784" s="703"/>
      <c r="I784" s="286"/>
      <c r="J784" s="286"/>
      <c r="K784" s="285"/>
    </row>
    <row r="785" spans="1:11" x14ac:dyDescent="0.2">
      <c r="A785" s="285"/>
      <c r="B785" s="285"/>
      <c r="C785" s="285"/>
      <c r="D785" s="286"/>
      <c r="E785" s="286"/>
      <c r="F785" s="286"/>
      <c r="G785" s="286"/>
      <c r="H785" s="703"/>
      <c r="I785" s="286"/>
      <c r="J785" s="286"/>
      <c r="K785" s="285"/>
    </row>
    <row r="786" spans="1:11" x14ac:dyDescent="0.2">
      <c r="A786" s="285"/>
      <c r="B786" s="285"/>
      <c r="C786" s="285"/>
      <c r="D786" s="286"/>
      <c r="E786" s="286"/>
      <c r="F786" s="286"/>
      <c r="G786" s="286"/>
      <c r="H786" s="703"/>
      <c r="I786" s="286"/>
      <c r="J786" s="286"/>
    </row>
    <row r="787" spans="1:11" x14ac:dyDescent="0.2">
      <c r="A787" s="285"/>
      <c r="B787" s="285"/>
      <c r="C787" s="285"/>
      <c r="D787" s="286"/>
      <c r="E787" s="286"/>
      <c r="F787" s="286"/>
      <c r="G787" s="286"/>
      <c r="H787" s="703"/>
      <c r="I787" s="286"/>
      <c r="J787" s="286"/>
      <c r="K787" s="285"/>
    </row>
    <row r="788" spans="1:11" x14ac:dyDescent="0.2">
      <c r="A788" s="285"/>
      <c r="B788" s="285"/>
      <c r="C788" s="285"/>
      <c r="D788" s="286"/>
      <c r="E788" s="286"/>
      <c r="F788" s="286"/>
      <c r="G788" s="286"/>
      <c r="H788" s="703"/>
      <c r="I788" s="286"/>
      <c r="J788" s="286"/>
      <c r="K788" s="285"/>
    </row>
    <row r="789" spans="1:11" x14ac:dyDescent="0.2">
      <c r="A789" s="285"/>
      <c r="B789" s="285"/>
      <c r="C789" s="285"/>
      <c r="D789" s="286"/>
      <c r="E789" s="286"/>
      <c r="F789" s="286"/>
      <c r="G789" s="286"/>
      <c r="H789" s="703"/>
      <c r="I789" s="286"/>
      <c r="J789" s="286"/>
      <c r="K789" s="285"/>
    </row>
    <row r="790" spans="1:11" x14ac:dyDescent="0.2">
      <c r="A790" s="285"/>
      <c r="B790" s="285"/>
      <c r="C790" s="285"/>
      <c r="D790" s="286"/>
      <c r="E790" s="286"/>
      <c r="F790" s="286"/>
      <c r="G790" s="286"/>
      <c r="H790" s="703"/>
      <c r="I790" s="286"/>
      <c r="J790" s="286"/>
      <c r="K790" s="285"/>
    </row>
    <row r="791" spans="1:11" x14ac:dyDescent="0.2">
      <c r="A791" s="285"/>
      <c r="B791" s="285"/>
      <c r="C791" s="285"/>
      <c r="D791" s="286"/>
      <c r="E791" s="286"/>
      <c r="F791" s="286"/>
      <c r="G791" s="286"/>
      <c r="H791" s="703"/>
      <c r="I791" s="286"/>
      <c r="J791" s="286"/>
      <c r="K791" s="285"/>
    </row>
    <row r="792" spans="1:11" x14ac:dyDescent="0.2">
      <c r="A792" s="285"/>
      <c r="B792" s="285"/>
      <c r="C792" s="285"/>
      <c r="D792" s="286"/>
      <c r="E792" s="286"/>
      <c r="F792" s="286"/>
      <c r="G792" s="286"/>
      <c r="H792" s="703"/>
      <c r="I792" s="286"/>
      <c r="J792" s="286"/>
      <c r="K792" s="285"/>
    </row>
    <row r="793" spans="1:11" x14ac:dyDescent="0.2">
      <c r="A793" s="285"/>
      <c r="B793" s="285"/>
      <c r="C793" s="285"/>
      <c r="D793" s="286"/>
      <c r="E793" s="286"/>
      <c r="F793" s="286"/>
      <c r="G793" s="286"/>
      <c r="H793" s="703"/>
      <c r="I793" s="286"/>
      <c r="J793" s="286"/>
    </row>
    <row r="794" spans="1:11" x14ac:dyDescent="0.2">
      <c r="D794" s="294"/>
      <c r="H794" s="710"/>
    </row>
    <row r="795" spans="1:11" x14ac:dyDescent="0.2">
      <c r="D795" s="294"/>
      <c r="H795" s="710"/>
    </row>
    <row r="796" spans="1:11" x14ac:dyDescent="0.2">
      <c r="H796" s="706"/>
    </row>
    <row r="797" spans="1:11" x14ac:dyDescent="0.2">
      <c r="A797" s="285"/>
      <c r="B797" s="285"/>
      <c r="C797" s="285"/>
      <c r="D797" s="286"/>
      <c r="E797" s="286"/>
      <c r="F797" s="286"/>
      <c r="G797" s="286"/>
      <c r="H797" s="471"/>
      <c r="I797" s="286"/>
      <c r="J797" s="286"/>
      <c r="K797" s="285"/>
    </row>
    <row r="798" spans="1:11" x14ac:dyDescent="0.2">
      <c r="A798" s="285"/>
      <c r="B798" s="285"/>
      <c r="C798" s="285"/>
      <c r="D798" s="286"/>
      <c r="E798" s="286"/>
      <c r="F798" s="286"/>
      <c r="G798" s="286"/>
      <c r="H798" s="471"/>
      <c r="I798" s="286"/>
      <c r="J798" s="286"/>
      <c r="K798" s="285"/>
    </row>
    <row r="799" spans="1:11" x14ac:dyDescent="0.2">
      <c r="A799" s="285"/>
      <c r="B799" s="285"/>
      <c r="C799" s="285"/>
      <c r="D799" s="286"/>
      <c r="E799" s="286"/>
      <c r="F799" s="286"/>
      <c r="G799" s="286"/>
      <c r="H799" s="471"/>
      <c r="I799" s="286"/>
      <c r="J799" s="286"/>
      <c r="K799" s="285"/>
    </row>
    <row r="800" spans="1:11" x14ac:dyDescent="0.2">
      <c r="A800" s="285"/>
      <c r="B800" s="285"/>
      <c r="C800" s="285"/>
      <c r="D800" s="286"/>
      <c r="E800" s="286"/>
      <c r="F800" s="286"/>
      <c r="G800" s="286"/>
      <c r="H800" s="471"/>
      <c r="I800" s="286"/>
      <c r="J800" s="286"/>
      <c r="K800" s="285"/>
    </row>
    <row r="801" spans="1:11" x14ac:dyDescent="0.2">
      <c r="A801" s="285"/>
      <c r="B801" s="285"/>
      <c r="C801" s="285"/>
      <c r="D801" s="286"/>
      <c r="E801" s="286"/>
      <c r="F801" s="286"/>
      <c r="G801" s="286"/>
      <c r="H801" s="471"/>
      <c r="I801" s="286"/>
      <c r="J801" s="286"/>
      <c r="K801" s="285"/>
    </row>
    <row r="802" spans="1:11" x14ac:dyDescent="0.2">
      <c r="A802" s="285"/>
      <c r="B802" s="285"/>
      <c r="C802" s="285"/>
      <c r="D802" s="286"/>
      <c r="E802" s="286"/>
      <c r="F802" s="286"/>
      <c r="G802" s="286"/>
      <c r="H802" s="471"/>
      <c r="I802" s="286"/>
      <c r="J802" s="286"/>
      <c r="K802" s="285"/>
    </row>
    <row r="803" spans="1:11" x14ac:dyDescent="0.2">
      <c r="A803" s="285"/>
      <c r="B803" s="285"/>
      <c r="C803" s="285"/>
      <c r="D803" s="286"/>
      <c r="E803" s="286"/>
      <c r="F803" s="286"/>
      <c r="G803" s="286"/>
      <c r="H803" s="471"/>
      <c r="I803" s="286"/>
      <c r="J803" s="286"/>
      <c r="K803" s="285"/>
    </row>
    <row r="804" spans="1:11" x14ac:dyDescent="0.2">
      <c r="A804" s="285"/>
      <c r="B804" s="285"/>
      <c r="C804" s="285"/>
      <c r="D804" s="286"/>
      <c r="E804" s="286"/>
      <c r="F804" s="286"/>
      <c r="G804" s="286"/>
      <c r="H804" s="471"/>
      <c r="I804" s="286"/>
      <c r="J804" s="286"/>
      <c r="K804" s="285"/>
    </row>
    <row r="805" spans="1:11" x14ac:dyDescent="0.2">
      <c r="A805" s="285"/>
      <c r="B805" s="285"/>
      <c r="C805" s="285"/>
      <c r="D805" s="286"/>
      <c r="E805" s="286"/>
      <c r="F805" s="286"/>
      <c r="G805" s="286"/>
      <c r="H805" s="471"/>
      <c r="I805" s="286"/>
      <c r="J805" s="286"/>
      <c r="K805" s="285"/>
    </row>
    <row r="806" spans="1:11" x14ac:dyDescent="0.2">
      <c r="A806" s="285"/>
      <c r="B806" s="285"/>
      <c r="C806" s="285"/>
      <c r="D806" s="286"/>
      <c r="E806" s="286"/>
      <c r="F806" s="286"/>
      <c r="G806" s="286"/>
      <c r="H806" s="471"/>
      <c r="I806" s="286"/>
      <c r="J806" s="286"/>
      <c r="K806" s="285"/>
    </row>
    <row r="807" spans="1:11" x14ac:dyDescent="0.2">
      <c r="A807" s="285"/>
      <c r="B807" s="285"/>
      <c r="C807" s="285"/>
      <c r="D807" s="286"/>
      <c r="E807" s="286"/>
      <c r="F807" s="286"/>
      <c r="G807" s="286"/>
      <c r="H807" s="471"/>
      <c r="I807" s="286"/>
      <c r="J807" s="286"/>
      <c r="K807" s="285"/>
    </row>
    <row r="808" spans="1:11" x14ac:dyDescent="0.2">
      <c r="A808" s="285"/>
      <c r="B808" s="285"/>
      <c r="C808" s="285"/>
      <c r="D808" s="286"/>
      <c r="E808" s="286"/>
      <c r="F808" s="286"/>
      <c r="G808" s="286"/>
      <c r="H808" s="471"/>
      <c r="I808" s="286"/>
      <c r="J808" s="286"/>
      <c r="K808" s="285"/>
    </row>
    <row r="809" spans="1:11" x14ac:dyDescent="0.2">
      <c r="A809" s="285"/>
      <c r="B809" s="285"/>
      <c r="C809" s="285"/>
      <c r="D809" s="286"/>
      <c r="E809" s="286"/>
      <c r="F809" s="286"/>
      <c r="G809" s="286"/>
      <c r="H809" s="471"/>
      <c r="I809" s="286"/>
      <c r="J809" s="286"/>
      <c r="K809" s="285"/>
    </row>
    <row r="810" spans="1:11" x14ac:dyDescent="0.2">
      <c r="A810" s="285"/>
      <c r="B810" s="285"/>
      <c r="C810" s="285"/>
      <c r="D810" s="286"/>
      <c r="E810" s="286"/>
      <c r="F810" s="286"/>
      <c r="G810" s="286"/>
      <c r="H810" s="471"/>
      <c r="I810" s="286"/>
      <c r="J810" s="286"/>
      <c r="K810" s="285"/>
    </row>
    <row r="811" spans="1:11" x14ac:dyDescent="0.2">
      <c r="A811" s="285"/>
      <c r="B811" s="285"/>
      <c r="C811" s="285"/>
      <c r="D811" s="286"/>
      <c r="E811" s="286"/>
      <c r="F811" s="286"/>
      <c r="G811" s="286"/>
      <c r="H811" s="471"/>
      <c r="I811" s="286"/>
      <c r="J811" s="286"/>
      <c r="K811" s="285"/>
    </row>
    <row r="812" spans="1:11" x14ac:dyDescent="0.2">
      <c r="H812" s="706"/>
    </row>
    <row r="813" spans="1:11" x14ac:dyDescent="0.2">
      <c r="A813" s="285"/>
      <c r="B813" s="285"/>
      <c r="C813" s="285"/>
      <c r="D813" s="286"/>
      <c r="E813" s="286"/>
      <c r="F813" s="286"/>
      <c r="G813" s="286"/>
      <c r="H813" s="471"/>
      <c r="I813" s="286"/>
      <c r="J813" s="286"/>
      <c r="K813" s="285"/>
    </row>
    <row r="814" spans="1:11" x14ac:dyDescent="0.2">
      <c r="A814" s="285"/>
      <c r="B814" s="285"/>
      <c r="C814" s="285"/>
      <c r="D814" s="286"/>
      <c r="E814" s="286"/>
      <c r="F814" s="286"/>
      <c r="G814" s="286"/>
      <c r="H814" s="471"/>
      <c r="I814" s="286"/>
      <c r="J814" s="286"/>
      <c r="K814" s="285"/>
    </row>
    <row r="815" spans="1:11" x14ac:dyDescent="0.2">
      <c r="A815" s="285"/>
      <c r="B815" s="285"/>
      <c r="C815" s="285"/>
      <c r="D815" s="286"/>
      <c r="E815" s="286"/>
      <c r="F815" s="286"/>
      <c r="G815" s="286"/>
      <c r="H815" s="471"/>
      <c r="I815" s="286"/>
      <c r="J815" s="286"/>
      <c r="K815" s="285"/>
    </row>
    <row r="816" spans="1:11" x14ac:dyDescent="0.2">
      <c r="A816" s="285"/>
      <c r="B816" s="285"/>
      <c r="C816" s="285"/>
      <c r="D816" s="286"/>
      <c r="E816" s="286"/>
      <c r="F816" s="286"/>
      <c r="G816" s="286"/>
      <c r="H816" s="471"/>
      <c r="I816" s="286"/>
      <c r="J816" s="286"/>
      <c r="K816" s="285"/>
    </row>
    <row r="817" spans="1:11" x14ac:dyDescent="0.2">
      <c r="A817" s="285"/>
      <c r="B817" s="285"/>
      <c r="C817" s="285"/>
      <c r="D817" s="286"/>
      <c r="E817" s="286"/>
      <c r="F817" s="286"/>
      <c r="G817" s="286"/>
      <c r="H817" s="471"/>
      <c r="I817" s="286"/>
      <c r="J817" s="286"/>
      <c r="K817" s="285"/>
    </row>
    <row r="818" spans="1:11" x14ac:dyDescent="0.2">
      <c r="A818" s="285"/>
      <c r="B818" s="285"/>
      <c r="C818" s="285"/>
      <c r="D818" s="286"/>
      <c r="E818" s="286"/>
      <c r="F818" s="286"/>
      <c r="G818" s="286"/>
      <c r="H818" s="471"/>
      <c r="I818" s="286"/>
      <c r="J818" s="286"/>
      <c r="K818" s="285"/>
    </row>
    <row r="819" spans="1:11" x14ac:dyDescent="0.2">
      <c r="A819" s="285"/>
      <c r="B819" s="285"/>
      <c r="C819" s="285"/>
      <c r="D819" s="286"/>
      <c r="E819" s="286"/>
      <c r="F819" s="286"/>
      <c r="G819" s="286"/>
      <c r="H819" s="471"/>
      <c r="I819" s="286"/>
      <c r="J819" s="286"/>
      <c r="K819" s="285"/>
    </row>
    <row r="820" spans="1:11" x14ac:dyDescent="0.2">
      <c r="A820" s="285"/>
      <c r="B820" s="285"/>
      <c r="C820" s="285"/>
      <c r="D820" s="286"/>
      <c r="E820" s="286"/>
      <c r="F820" s="286"/>
      <c r="G820" s="286"/>
      <c r="H820" s="471"/>
      <c r="I820" s="286"/>
      <c r="J820" s="286"/>
      <c r="K820" s="285"/>
    </row>
    <row r="821" spans="1:11" x14ac:dyDescent="0.2">
      <c r="A821" s="285"/>
      <c r="B821" s="285"/>
      <c r="C821" s="285"/>
      <c r="D821" s="286"/>
      <c r="E821" s="286"/>
      <c r="F821" s="286"/>
      <c r="G821" s="286"/>
      <c r="H821" s="471"/>
      <c r="I821" s="286"/>
      <c r="J821" s="286"/>
      <c r="K821" s="285"/>
    </row>
    <row r="822" spans="1:11" x14ac:dyDescent="0.2">
      <c r="H822" s="706"/>
    </row>
    <row r="823" spans="1:11" x14ac:dyDescent="0.2">
      <c r="A823" s="285"/>
      <c r="B823" s="285"/>
      <c r="C823" s="285"/>
      <c r="D823" s="286"/>
      <c r="E823" s="286"/>
      <c r="F823" s="286"/>
      <c r="G823" s="286"/>
      <c r="H823" s="471"/>
      <c r="I823" s="286"/>
      <c r="J823" s="286"/>
      <c r="K823" s="285"/>
    </row>
    <row r="824" spans="1:11" x14ac:dyDescent="0.2">
      <c r="A824" s="285"/>
      <c r="B824" s="285"/>
      <c r="C824" s="285"/>
      <c r="D824" s="286"/>
      <c r="E824" s="286"/>
      <c r="F824" s="286"/>
      <c r="G824" s="286"/>
      <c r="H824" s="471"/>
      <c r="I824" s="286"/>
      <c r="J824" s="286"/>
      <c r="K824" s="285"/>
    </row>
    <row r="825" spans="1:11" x14ac:dyDescent="0.2">
      <c r="A825" s="285"/>
      <c r="B825" s="285"/>
      <c r="C825" s="285"/>
      <c r="D825" s="286"/>
      <c r="E825" s="286"/>
      <c r="F825" s="286"/>
      <c r="G825" s="286"/>
      <c r="H825" s="471"/>
      <c r="I825" s="286"/>
      <c r="J825" s="286"/>
      <c r="K825" s="285"/>
    </row>
    <row r="826" spans="1:11" x14ac:dyDescent="0.2">
      <c r="H826" s="706"/>
    </row>
    <row r="827" spans="1:11" x14ac:dyDescent="0.2">
      <c r="A827" s="285"/>
      <c r="B827" s="285"/>
      <c r="C827" s="285"/>
      <c r="D827" s="286"/>
      <c r="E827" s="286"/>
      <c r="F827" s="286"/>
      <c r="G827" s="286"/>
      <c r="H827" s="471"/>
      <c r="I827" s="286"/>
      <c r="J827" s="286"/>
      <c r="K827" s="285"/>
    </row>
    <row r="828" spans="1:11" x14ac:dyDescent="0.2">
      <c r="A828" s="285"/>
      <c r="B828" s="285"/>
      <c r="C828" s="285"/>
      <c r="D828" s="286"/>
      <c r="E828" s="286"/>
      <c r="F828" s="286"/>
      <c r="G828" s="286"/>
      <c r="H828" s="471"/>
      <c r="I828" s="286"/>
      <c r="J828" s="286"/>
      <c r="K828" s="285"/>
    </row>
    <row r="829" spans="1:11" x14ac:dyDescent="0.2">
      <c r="A829" s="285"/>
      <c r="B829" s="285"/>
      <c r="C829" s="285"/>
      <c r="D829" s="286"/>
      <c r="E829" s="286"/>
      <c r="F829" s="286"/>
      <c r="G829" s="286"/>
      <c r="H829" s="471"/>
      <c r="I829" s="286"/>
      <c r="J829" s="286"/>
      <c r="K829" s="285"/>
    </row>
    <row r="830" spans="1:11" x14ac:dyDescent="0.2">
      <c r="A830" s="285"/>
      <c r="B830" s="285"/>
      <c r="C830" s="285"/>
      <c r="D830" s="286"/>
      <c r="E830" s="286"/>
      <c r="F830" s="286"/>
      <c r="G830" s="286"/>
      <c r="H830" s="471"/>
      <c r="I830" s="286"/>
      <c r="J830" s="286"/>
      <c r="K830" s="285"/>
    </row>
    <row r="831" spans="1:11" x14ac:dyDescent="0.2">
      <c r="A831" s="285"/>
      <c r="B831" s="285"/>
      <c r="C831" s="285"/>
      <c r="D831" s="286"/>
      <c r="E831" s="286"/>
      <c r="F831" s="286"/>
      <c r="G831" s="286"/>
      <c r="H831" s="471"/>
      <c r="I831" s="286"/>
      <c r="J831" s="286"/>
      <c r="K831" s="285"/>
    </row>
    <row r="832" spans="1:11" x14ac:dyDescent="0.2">
      <c r="A832" s="285"/>
      <c r="B832" s="285"/>
      <c r="C832" s="285"/>
      <c r="D832" s="286"/>
      <c r="E832" s="286"/>
      <c r="F832" s="286"/>
      <c r="G832" s="286"/>
      <c r="H832" s="471"/>
      <c r="I832" s="286"/>
      <c r="J832" s="286"/>
      <c r="K832" s="285"/>
    </row>
    <row r="833" spans="1:11" x14ac:dyDescent="0.2">
      <c r="A833" s="285"/>
      <c r="B833" s="285"/>
      <c r="C833" s="285"/>
      <c r="D833" s="286"/>
      <c r="E833" s="286"/>
      <c r="F833" s="286"/>
      <c r="G833" s="286"/>
      <c r="H833" s="471"/>
      <c r="I833" s="286"/>
      <c r="J833" s="286"/>
      <c r="K833" s="285"/>
    </row>
    <row r="834" spans="1:11" x14ac:dyDescent="0.2">
      <c r="A834" s="285"/>
      <c r="B834" s="285"/>
      <c r="C834" s="285"/>
      <c r="D834" s="286"/>
      <c r="E834" s="286"/>
      <c r="F834" s="286"/>
      <c r="G834" s="286"/>
      <c r="H834" s="471"/>
      <c r="I834" s="286"/>
      <c r="J834" s="286"/>
      <c r="K834" s="285"/>
    </row>
    <row r="835" spans="1:11" x14ac:dyDescent="0.2">
      <c r="A835" s="285"/>
      <c r="B835" s="285"/>
      <c r="C835" s="285"/>
      <c r="D835" s="286"/>
      <c r="E835" s="286"/>
      <c r="F835" s="286"/>
      <c r="G835" s="286"/>
      <c r="H835" s="471"/>
      <c r="I835" s="286"/>
      <c r="J835" s="286"/>
      <c r="K835" s="285"/>
    </row>
    <row r="836" spans="1:11" x14ac:dyDescent="0.2">
      <c r="A836" s="285"/>
      <c r="B836" s="285"/>
      <c r="C836" s="285"/>
      <c r="D836" s="286"/>
      <c r="E836" s="286"/>
      <c r="F836" s="286"/>
      <c r="G836" s="286"/>
      <c r="H836" s="471"/>
      <c r="I836" s="286"/>
      <c r="J836" s="286"/>
      <c r="K836" s="285"/>
    </row>
    <row r="837" spans="1:11" x14ac:dyDescent="0.2">
      <c r="H837" s="706"/>
    </row>
    <row r="838" spans="1:11" x14ac:dyDescent="0.2">
      <c r="A838" s="285"/>
      <c r="B838" s="285"/>
      <c r="C838" s="285"/>
      <c r="D838" s="286"/>
      <c r="E838" s="286"/>
      <c r="F838" s="286"/>
      <c r="G838" s="286"/>
      <c r="H838" s="703"/>
      <c r="I838" s="286"/>
      <c r="J838" s="286"/>
      <c r="K838" s="285"/>
    </row>
    <row r="839" spans="1:11" x14ac:dyDescent="0.2">
      <c r="A839" s="285"/>
      <c r="B839" s="285"/>
      <c r="C839" s="285"/>
      <c r="D839" s="286"/>
      <c r="E839" s="286"/>
      <c r="F839" s="286"/>
      <c r="G839" s="286"/>
      <c r="H839" s="471"/>
      <c r="I839" s="286"/>
      <c r="J839" s="286"/>
      <c r="K839" s="285"/>
    </row>
    <row r="840" spans="1:11" x14ac:dyDescent="0.2">
      <c r="A840" s="285"/>
      <c r="B840" s="285"/>
      <c r="C840" s="285"/>
      <c r="D840" s="286"/>
      <c r="E840" s="286"/>
      <c r="F840" s="286"/>
      <c r="G840" s="286"/>
      <c r="H840" s="471"/>
      <c r="I840" s="286"/>
      <c r="J840" s="286"/>
      <c r="K840" s="285"/>
    </row>
    <row r="841" spans="1:11" x14ac:dyDescent="0.2">
      <c r="A841" s="285"/>
      <c r="B841" s="285"/>
      <c r="C841" s="285"/>
      <c r="D841" s="286"/>
      <c r="E841" s="286"/>
      <c r="F841" s="286"/>
      <c r="G841" s="286"/>
      <c r="H841" s="471"/>
      <c r="I841" s="286"/>
      <c r="J841" s="286"/>
      <c r="K841" s="285"/>
    </row>
    <row r="842" spans="1:11" x14ac:dyDescent="0.2">
      <c r="A842" s="285"/>
      <c r="B842" s="285"/>
      <c r="C842" s="285"/>
      <c r="D842" s="286"/>
      <c r="E842" s="286"/>
      <c r="F842" s="286"/>
      <c r="G842" s="286"/>
      <c r="H842" s="471"/>
      <c r="I842" s="286"/>
      <c r="J842" s="286"/>
      <c r="K842" s="285"/>
    </row>
    <row r="843" spans="1:11" x14ac:dyDescent="0.2">
      <c r="A843" s="285"/>
      <c r="B843" s="285"/>
      <c r="C843" s="285"/>
      <c r="D843" s="286"/>
      <c r="E843" s="286"/>
      <c r="F843" s="286"/>
      <c r="G843" s="286"/>
      <c r="H843" s="471"/>
      <c r="I843" s="286"/>
      <c r="J843" s="286"/>
      <c r="K843" s="285"/>
    </row>
    <row r="844" spans="1:11" x14ac:dyDescent="0.2">
      <c r="A844" s="285"/>
      <c r="B844" s="285"/>
      <c r="C844" s="285"/>
      <c r="D844" s="286"/>
      <c r="E844" s="286"/>
      <c r="F844" s="286"/>
      <c r="G844" s="286"/>
      <c r="H844" s="471"/>
      <c r="I844" s="286"/>
      <c r="J844" s="286"/>
      <c r="K844" s="285"/>
    </row>
    <row r="845" spans="1:11" x14ac:dyDescent="0.2">
      <c r="A845" s="285"/>
      <c r="B845" s="285"/>
      <c r="C845" s="285"/>
      <c r="D845" s="286"/>
      <c r="E845" s="286"/>
      <c r="F845" s="286"/>
      <c r="G845" s="286"/>
      <c r="H845" s="471"/>
      <c r="I845" s="286"/>
      <c r="J845" s="286"/>
      <c r="K845" s="285"/>
    </row>
    <row r="846" spans="1:11" x14ac:dyDescent="0.2">
      <c r="A846" s="285"/>
      <c r="B846" s="285"/>
      <c r="C846" s="285"/>
      <c r="D846" s="286"/>
      <c r="E846" s="286"/>
      <c r="F846" s="286"/>
      <c r="G846" s="286"/>
      <c r="H846" s="471"/>
      <c r="I846" s="286"/>
      <c r="J846" s="286"/>
      <c r="K846" s="285"/>
    </row>
    <row r="847" spans="1:11" x14ac:dyDescent="0.2">
      <c r="A847" s="285"/>
      <c r="B847" s="285"/>
      <c r="C847" s="285"/>
      <c r="D847" s="286"/>
      <c r="E847" s="286"/>
      <c r="F847" s="286"/>
      <c r="G847" s="286"/>
      <c r="H847" s="471"/>
      <c r="I847" s="286"/>
      <c r="J847" s="286"/>
      <c r="K847" s="285"/>
    </row>
    <row r="848" spans="1:11" x14ac:dyDescent="0.2">
      <c r="A848" s="285"/>
      <c r="B848" s="285"/>
      <c r="C848" s="285"/>
      <c r="D848" s="286"/>
      <c r="E848" s="286"/>
      <c r="F848" s="286"/>
      <c r="G848" s="286"/>
      <c r="H848" s="471"/>
      <c r="I848" s="286"/>
      <c r="J848" s="286"/>
      <c r="K848" s="285"/>
    </row>
    <row r="849" spans="1:11" x14ac:dyDescent="0.2">
      <c r="A849" s="285"/>
      <c r="B849" s="285"/>
      <c r="C849" s="285"/>
      <c r="D849" s="286"/>
      <c r="E849" s="286"/>
      <c r="F849" s="286"/>
      <c r="G849" s="286"/>
      <c r="H849" s="471"/>
      <c r="I849" s="286"/>
      <c r="J849" s="286"/>
      <c r="K849" s="285"/>
    </row>
    <row r="850" spans="1:11" x14ac:dyDescent="0.2">
      <c r="A850" s="285"/>
      <c r="B850" s="285"/>
      <c r="C850" s="285"/>
      <c r="D850" s="286"/>
      <c r="E850" s="286"/>
      <c r="F850" s="286"/>
      <c r="G850" s="286"/>
      <c r="H850" s="471"/>
      <c r="I850" s="286"/>
      <c r="J850" s="286"/>
      <c r="K850" s="285"/>
    </row>
    <row r="851" spans="1:11" x14ac:dyDescent="0.2">
      <c r="A851" s="285"/>
      <c r="B851" s="285"/>
      <c r="C851" s="285"/>
      <c r="D851" s="286"/>
      <c r="E851" s="286"/>
      <c r="F851" s="286"/>
      <c r="G851" s="286"/>
      <c r="H851" s="471"/>
      <c r="I851" s="286"/>
      <c r="J851" s="286"/>
      <c r="K851" s="285"/>
    </row>
    <row r="852" spans="1:11" x14ac:dyDescent="0.2">
      <c r="A852" s="285"/>
      <c r="B852" s="285"/>
      <c r="C852" s="285"/>
      <c r="D852" s="286"/>
      <c r="E852" s="286"/>
      <c r="F852" s="286"/>
      <c r="G852" s="286"/>
      <c r="H852" s="471"/>
      <c r="I852" s="286"/>
      <c r="J852" s="286"/>
      <c r="K852" s="285"/>
    </row>
    <row r="853" spans="1:11" x14ac:dyDescent="0.2">
      <c r="A853" s="285"/>
      <c r="B853" s="285"/>
      <c r="C853" s="285"/>
      <c r="D853" s="286"/>
      <c r="E853" s="286"/>
      <c r="F853" s="286"/>
      <c r="G853" s="286"/>
      <c r="H853" s="471"/>
      <c r="I853" s="286"/>
      <c r="J853" s="286"/>
      <c r="K853" s="285"/>
    </row>
    <row r="854" spans="1:11" x14ac:dyDescent="0.2">
      <c r="A854" s="285"/>
      <c r="B854" s="285"/>
      <c r="C854" s="285"/>
      <c r="D854" s="286"/>
      <c r="E854" s="286"/>
      <c r="F854" s="286"/>
      <c r="G854" s="286"/>
      <c r="H854" s="471"/>
      <c r="I854" s="286"/>
      <c r="J854" s="286"/>
      <c r="K854" s="285"/>
    </row>
    <row r="855" spans="1:11" x14ac:dyDescent="0.2">
      <c r="A855" s="285"/>
      <c r="B855" s="285"/>
      <c r="C855" s="285"/>
      <c r="D855" s="286"/>
      <c r="E855" s="286"/>
      <c r="F855" s="286"/>
      <c r="G855" s="286"/>
      <c r="H855" s="471"/>
      <c r="I855" s="286"/>
      <c r="J855" s="286"/>
      <c r="K855" s="285"/>
    </row>
    <row r="856" spans="1:11" x14ac:dyDescent="0.2">
      <c r="H856" s="706"/>
    </row>
    <row r="857" spans="1:11" x14ac:dyDescent="0.2">
      <c r="A857" s="285"/>
      <c r="B857" s="285"/>
      <c r="C857" s="285"/>
      <c r="D857" s="286"/>
      <c r="E857" s="286"/>
      <c r="F857" s="286"/>
      <c r="G857" s="286"/>
      <c r="H857" s="471"/>
      <c r="I857" s="286"/>
      <c r="J857" s="286"/>
      <c r="K857" s="285"/>
    </row>
    <row r="858" spans="1:11" x14ac:dyDescent="0.2">
      <c r="A858" s="285"/>
      <c r="B858" s="285"/>
      <c r="C858" s="285"/>
      <c r="D858" s="286"/>
      <c r="E858" s="286"/>
      <c r="F858" s="286"/>
      <c r="G858" s="286"/>
      <c r="H858" s="471"/>
      <c r="I858" s="286"/>
      <c r="J858" s="286"/>
      <c r="K858" s="285"/>
    </row>
    <row r="859" spans="1:11" x14ac:dyDescent="0.2">
      <c r="A859" s="285"/>
      <c r="B859" s="285"/>
      <c r="C859" s="285"/>
      <c r="D859" s="286"/>
      <c r="E859" s="286"/>
      <c r="F859" s="286"/>
      <c r="G859" s="286"/>
      <c r="H859" s="471"/>
      <c r="I859" s="286"/>
      <c r="J859" s="286"/>
      <c r="K859" s="285"/>
    </row>
    <row r="860" spans="1:11" x14ac:dyDescent="0.2">
      <c r="A860" s="285"/>
      <c r="B860" s="285"/>
      <c r="C860" s="285"/>
      <c r="D860" s="286"/>
      <c r="E860" s="286"/>
      <c r="F860" s="286"/>
      <c r="G860" s="286"/>
      <c r="H860" s="471"/>
      <c r="I860" s="286"/>
      <c r="J860" s="286"/>
      <c r="K860" s="285"/>
    </row>
    <row r="861" spans="1:11" x14ac:dyDescent="0.2">
      <c r="A861" s="285"/>
      <c r="B861" s="285"/>
      <c r="C861" s="285"/>
      <c r="D861" s="286"/>
      <c r="E861" s="286"/>
      <c r="F861" s="286"/>
      <c r="G861" s="286"/>
      <c r="H861" s="471"/>
      <c r="I861" s="286"/>
      <c r="J861" s="286"/>
      <c r="K861" s="285"/>
    </row>
    <row r="862" spans="1:11" x14ac:dyDescent="0.2">
      <c r="A862" s="285"/>
      <c r="B862" s="285"/>
      <c r="C862" s="285"/>
      <c r="D862" s="286"/>
      <c r="E862" s="286"/>
      <c r="F862" s="286"/>
      <c r="G862" s="286"/>
      <c r="H862" s="471"/>
      <c r="I862" s="286"/>
      <c r="J862" s="286"/>
      <c r="K862" s="285"/>
    </row>
    <row r="863" spans="1:11" x14ac:dyDescent="0.2">
      <c r="A863" s="285"/>
      <c r="B863" s="285"/>
      <c r="C863" s="285"/>
      <c r="D863" s="286"/>
      <c r="E863" s="286"/>
      <c r="F863" s="286"/>
      <c r="G863" s="286"/>
      <c r="H863" s="471"/>
      <c r="I863" s="286"/>
      <c r="J863" s="286"/>
      <c r="K863" s="285"/>
    </row>
    <row r="864" spans="1:11" x14ac:dyDescent="0.2">
      <c r="A864" s="285"/>
      <c r="B864" s="285"/>
      <c r="C864" s="285"/>
      <c r="D864" s="286"/>
      <c r="E864" s="286"/>
      <c r="F864" s="286"/>
      <c r="G864" s="286"/>
      <c r="H864" s="471"/>
      <c r="I864" s="286"/>
      <c r="J864" s="286"/>
      <c r="K864" s="285"/>
    </row>
    <row r="865" spans="1:11" x14ac:dyDescent="0.2">
      <c r="A865" s="285"/>
      <c r="B865" s="285"/>
      <c r="C865" s="285"/>
      <c r="D865" s="286"/>
      <c r="E865" s="286"/>
      <c r="F865" s="286"/>
      <c r="G865" s="286"/>
      <c r="H865" s="471"/>
      <c r="I865" s="286"/>
      <c r="J865" s="286"/>
      <c r="K865" s="285"/>
    </row>
    <row r="866" spans="1:11" x14ac:dyDescent="0.2">
      <c r="A866" s="285"/>
      <c r="B866" s="285"/>
      <c r="C866" s="285"/>
      <c r="D866" s="286"/>
      <c r="E866" s="286"/>
      <c r="F866" s="286"/>
      <c r="G866" s="286"/>
      <c r="H866" s="471"/>
      <c r="I866" s="286"/>
      <c r="J866" s="286"/>
      <c r="K866" s="285"/>
    </row>
    <row r="867" spans="1:11" x14ac:dyDescent="0.2">
      <c r="A867" s="285"/>
      <c r="B867" s="285"/>
      <c r="C867" s="285"/>
      <c r="D867" s="286"/>
      <c r="E867" s="286"/>
      <c r="F867" s="286"/>
      <c r="G867" s="286"/>
      <c r="H867" s="471"/>
      <c r="I867" s="286"/>
      <c r="J867" s="286"/>
      <c r="K867" s="285"/>
    </row>
    <row r="868" spans="1:11" x14ac:dyDescent="0.2">
      <c r="A868" s="285"/>
      <c r="B868" s="285"/>
      <c r="C868" s="285"/>
      <c r="D868" s="286"/>
      <c r="E868" s="286"/>
      <c r="F868" s="286"/>
      <c r="G868" s="286"/>
      <c r="H868" s="471"/>
      <c r="I868" s="286"/>
      <c r="J868" s="286"/>
      <c r="K868" s="285"/>
    </row>
    <row r="869" spans="1:11" x14ac:dyDescent="0.2">
      <c r="A869" s="285"/>
      <c r="B869" s="285"/>
      <c r="C869" s="285"/>
      <c r="D869" s="286"/>
      <c r="E869" s="286"/>
      <c r="F869" s="286"/>
      <c r="G869" s="286"/>
      <c r="H869" s="471"/>
      <c r="I869" s="286"/>
      <c r="J869" s="286"/>
      <c r="K869" s="285"/>
    </row>
    <row r="870" spans="1:11" x14ac:dyDescent="0.2">
      <c r="A870" s="285"/>
      <c r="B870" s="285"/>
      <c r="C870" s="285"/>
      <c r="D870" s="286"/>
      <c r="E870" s="286"/>
      <c r="F870" s="286"/>
      <c r="G870" s="286"/>
      <c r="H870" s="471"/>
      <c r="I870" s="286"/>
      <c r="J870" s="286"/>
      <c r="K870" s="285"/>
    </row>
    <row r="871" spans="1:11" x14ac:dyDescent="0.2">
      <c r="A871" s="285"/>
      <c r="B871" s="285"/>
      <c r="C871" s="285"/>
      <c r="D871" s="286"/>
      <c r="E871" s="286"/>
      <c r="F871" s="286"/>
      <c r="G871" s="286"/>
      <c r="H871" s="471"/>
      <c r="I871" s="286"/>
      <c r="J871" s="286"/>
      <c r="K871" s="285"/>
    </row>
    <row r="872" spans="1:11" x14ac:dyDescent="0.2">
      <c r="A872" s="285"/>
      <c r="B872" s="285"/>
      <c r="C872" s="285"/>
      <c r="D872" s="286"/>
      <c r="E872" s="286"/>
      <c r="F872" s="286"/>
      <c r="G872" s="286"/>
      <c r="H872" s="471"/>
      <c r="I872" s="286"/>
      <c r="J872" s="286"/>
      <c r="K872" s="285"/>
    </row>
    <row r="873" spans="1:11" x14ac:dyDescent="0.2">
      <c r="A873" s="285"/>
      <c r="B873" s="285"/>
      <c r="C873" s="285"/>
      <c r="D873" s="286"/>
      <c r="E873" s="286"/>
      <c r="F873" s="286"/>
      <c r="G873" s="286"/>
      <c r="H873" s="471"/>
      <c r="I873" s="286"/>
      <c r="J873" s="286"/>
      <c r="K873" s="285"/>
    </row>
    <row r="874" spans="1:11" x14ac:dyDescent="0.2">
      <c r="A874" s="285"/>
      <c r="B874" s="285"/>
      <c r="C874" s="285"/>
      <c r="D874" s="286"/>
      <c r="E874" s="286"/>
      <c r="F874" s="286"/>
      <c r="G874" s="286"/>
      <c r="H874" s="471"/>
      <c r="I874" s="286"/>
      <c r="J874" s="286"/>
      <c r="K874" s="285"/>
    </row>
    <row r="875" spans="1:11" x14ac:dyDescent="0.2">
      <c r="A875" s="285"/>
      <c r="B875" s="285"/>
      <c r="C875" s="285"/>
      <c r="D875" s="286"/>
      <c r="E875" s="286"/>
      <c r="F875" s="286"/>
      <c r="G875" s="286"/>
      <c r="H875" s="471"/>
      <c r="I875" s="286"/>
      <c r="J875" s="286"/>
      <c r="K875" s="285"/>
    </row>
    <row r="876" spans="1:11" x14ac:dyDescent="0.2">
      <c r="A876" s="285"/>
      <c r="B876" s="285"/>
      <c r="C876" s="285"/>
      <c r="D876" s="286"/>
      <c r="E876" s="286"/>
      <c r="F876" s="286"/>
      <c r="G876" s="286"/>
      <c r="H876" s="471"/>
      <c r="I876" s="286"/>
      <c r="J876" s="286"/>
      <c r="K876" s="285"/>
    </row>
    <row r="877" spans="1:11" x14ac:dyDescent="0.2">
      <c r="H877" s="706"/>
    </row>
    <row r="878" spans="1:11" x14ac:dyDescent="0.2">
      <c r="A878" s="285"/>
      <c r="B878" s="285"/>
      <c r="C878" s="285"/>
      <c r="D878" s="286"/>
      <c r="E878" s="286"/>
      <c r="F878" s="286"/>
      <c r="G878" s="286"/>
      <c r="H878" s="703"/>
      <c r="I878" s="286"/>
      <c r="J878" s="286"/>
      <c r="K878" s="285"/>
    </row>
    <row r="879" spans="1:11" x14ac:dyDescent="0.2">
      <c r="A879" s="285"/>
      <c r="B879" s="285"/>
      <c r="C879" s="285"/>
      <c r="D879" s="286"/>
      <c r="E879" s="286"/>
      <c r="F879" s="286"/>
      <c r="G879" s="286"/>
      <c r="H879" s="703"/>
      <c r="I879" s="286"/>
      <c r="J879" s="286"/>
      <c r="K879" s="285"/>
    </row>
    <row r="880" spans="1:11" x14ac:dyDescent="0.2">
      <c r="A880" s="285"/>
      <c r="B880" s="285"/>
      <c r="C880" s="285"/>
      <c r="D880" s="286"/>
      <c r="E880" s="286"/>
      <c r="F880" s="286"/>
      <c r="G880" s="286"/>
      <c r="H880" s="703"/>
      <c r="I880" s="286"/>
      <c r="J880" s="286"/>
      <c r="K880" s="285"/>
    </row>
    <row r="881" spans="1:11" x14ac:dyDescent="0.2">
      <c r="A881" s="285"/>
      <c r="B881" s="285"/>
      <c r="C881" s="285"/>
      <c r="D881" s="286"/>
      <c r="E881" s="286"/>
      <c r="F881" s="286"/>
      <c r="G881" s="286"/>
      <c r="H881" s="703"/>
      <c r="I881" s="286"/>
      <c r="J881" s="286"/>
      <c r="K881" s="285"/>
    </row>
    <row r="882" spans="1:11" x14ac:dyDescent="0.2">
      <c r="H882" s="706"/>
    </row>
    <row r="883" spans="1:11" x14ac:dyDescent="0.2">
      <c r="A883" s="285"/>
      <c r="B883" s="285"/>
      <c r="C883" s="285"/>
      <c r="D883" s="285"/>
      <c r="E883" s="286"/>
      <c r="F883" s="286"/>
      <c r="G883" s="286"/>
      <c r="H883" s="471"/>
      <c r="I883" s="285"/>
      <c r="J883" s="286"/>
      <c r="K883" s="286"/>
    </row>
    <row r="884" spans="1:11" x14ac:dyDescent="0.2">
      <c r="A884" s="285"/>
      <c r="B884" s="285"/>
      <c r="C884" s="285"/>
      <c r="D884" s="285"/>
      <c r="E884" s="286"/>
      <c r="F884" s="286"/>
      <c r="G884" s="286"/>
      <c r="H884" s="471"/>
      <c r="I884" s="285"/>
      <c r="J884" s="286"/>
      <c r="K884" s="286"/>
    </row>
    <row r="885" spans="1:11" x14ac:dyDescent="0.2">
      <c r="A885" s="285"/>
      <c r="B885" s="285"/>
      <c r="C885" s="285"/>
      <c r="D885" s="285"/>
      <c r="E885" s="286"/>
      <c r="F885" s="286"/>
      <c r="G885" s="286"/>
      <c r="H885" s="471"/>
      <c r="I885" s="285"/>
      <c r="J885" s="286"/>
      <c r="K885" s="286"/>
    </row>
    <row r="886" spans="1:11" x14ac:dyDescent="0.2">
      <c r="A886" s="285"/>
      <c r="B886" s="285"/>
      <c r="C886" s="285"/>
      <c r="D886" s="285"/>
      <c r="E886" s="286"/>
      <c r="F886" s="286"/>
      <c r="G886" s="286"/>
      <c r="H886" s="471"/>
      <c r="I886" s="285"/>
      <c r="J886" s="286"/>
      <c r="K886" s="286"/>
    </row>
    <row r="887" spans="1:11" x14ac:dyDescent="0.2">
      <c r="A887" s="285"/>
      <c r="B887" s="285"/>
      <c r="C887" s="285"/>
      <c r="D887" s="285"/>
      <c r="E887" s="286"/>
      <c r="F887" s="286"/>
      <c r="G887" s="286"/>
      <c r="H887" s="471"/>
      <c r="I887" s="285"/>
      <c r="J887" s="286"/>
      <c r="K887" s="286"/>
    </row>
    <row r="888" spans="1:11" x14ac:dyDescent="0.2">
      <c r="A888" s="285"/>
      <c r="B888" s="285"/>
      <c r="C888" s="285"/>
      <c r="D888" s="285"/>
      <c r="E888" s="286"/>
      <c r="F888" s="286"/>
      <c r="G888" s="286"/>
      <c r="H888" s="471"/>
      <c r="I888" s="285"/>
      <c r="J888" s="286"/>
      <c r="K888" s="286"/>
    </row>
    <row r="889" spans="1:11" x14ac:dyDescent="0.2">
      <c r="A889" s="285"/>
      <c r="B889" s="285"/>
      <c r="C889" s="285"/>
      <c r="D889" s="285"/>
      <c r="E889" s="286"/>
      <c r="F889" s="286"/>
      <c r="G889" s="286"/>
      <c r="H889" s="471"/>
      <c r="I889" s="285"/>
      <c r="J889" s="286"/>
      <c r="K889" s="286"/>
    </row>
    <row r="890" spans="1:11" x14ac:dyDescent="0.2">
      <c r="A890" s="285"/>
      <c r="B890" s="285"/>
      <c r="C890" s="285"/>
      <c r="D890" s="285"/>
      <c r="E890" s="286"/>
      <c r="F890" s="286"/>
      <c r="G890" s="286"/>
      <c r="H890" s="471"/>
      <c r="I890" s="285"/>
      <c r="J890" s="286"/>
      <c r="K890" s="286"/>
    </row>
    <row r="891" spans="1:11" x14ac:dyDescent="0.2">
      <c r="A891" s="285"/>
      <c r="B891" s="285"/>
      <c r="C891" s="285"/>
      <c r="D891" s="285"/>
      <c r="E891" s="286"/>
      <c r="F891" s="286"/>
      <c r="G891" s="286"/>
      <c r="H891" s="471"/>
      <c r="I891" s="285"/>
      <c r="J891" s="286"/>
      <c r="K891" s="286"/>
    </row>
    <row r="892" spans="1:11" x14ac:dyDescent="0.2">
      <c r="A892" s="285"/>
      <c r="B892" s="285"/>
      <c r="C892" s="285"/>
      <c r="D892" s="285"/>
      <c r="E892" s="286"/>
      <c r="F892" s="286"/>
      <c r="G892" s="286"/>
      <c r="H892" s="471"/>
      <c r="I892" s="285"/>
      <c r="J892" s="286"/>
      <c r="K892" s="286"/>
    </row>
    <row r="893" spans="1:11" x14ac:dyDescent="0.2">
      <c r="A893" s="285"/>
      <c r="B893" s="285"/>
      <c r="C893" s="285"/>
      <c r="D893" s="285"/>
      <c r="E893" s="286"/>
      <c r="F893" s="286"/>
      <c r="G893" s="286"/>
      <c r="H893" s="471"/>
      <c r="I893" s="285"/>
      <c r="J893" s="286"/>
      <c r="K893" s="286"/>
    </row>
    <row r="894" spans="1:11" x14ac:dyDescent="0.2">
      <c r="A894" s="285"/>
      <c r="B894" s="285"/>
      <c r="C894" s="285"/>
      <c r="D894" s="285"/>
      <c r="E894" s="286"/>
      <c r="F894" s="286"/>
      <c r="G894" s="286"/>
      <c r="H894" s="471"/>
      <c r="I894" s="285"/>
      <c r="J894" s="286"/>
      <c r="K894" s="286"/>
    </row>
    <row r="895" spans="1:11" x14ac:dyDescent="0.2">
      <c r="A895" s="285"/>
      <c r="B895" s="285"/>
      <c r="C895" s="285"/>
      <c r="D895" s="285"/>
      <c r="E895" s="286"/>
      <c r="F895" s="286"/>
      <c r="G895" s="286"/>
      <c r="H895" s="471"/>
      <c r="I895" s="285"/>
      <c r="J895" s="286"/>
      <c r="K895" s="286"/>
    </row>
    <row r="896" spans="1:11" x14ac:dyDescent="0.2">
      <c r="A896" s="285"/>
      <c r="B896" s="285"/>
      <c r="C896" s="285"/>
      <c r="D896" s="285"/>
      <c r="E896" s="286"/>
      <c r="F896" s="286"/>
      <c r="G896" s="286"/>
      <c r="H896" s="471"/>
      <c r="I896" s="285"/>
      <c r="J896" s="286"/>
      <c r="K896" s="285"/>
    </row>
    <row r="897" spans="1:11" x14ac:dyDescent="0.2">
      <c r="A897" s="285"/>
      <c r="B897" s="285"/>
      <c r="C897" s="285"/>
      <c r="D897" s="285"/>
      <c r="E897" s="286"/>
      <c r="F897" s="286"/>
      <c r="G897" s="286"/>
      <c r="H897" s="471"/>
      <c r="I897" s="285"/>
      <c r="J897" s="286"/>
      <c r="K897" s="285"/>
    </row>
    <row r="898" spans="1:11" x14ac:dyDescent="0.2">
      <c r="A898" s="285"/>
      <c r="B898" s="285"/>
      <c r="C898" s="285"/>
      <c r="D898" s="285"/>
      <c r="E898" s="286"/>
      <c r="F898" s="286"/>
      <c r="G898" s="286"/>
      <c r="H898" s="471"/>
      <c r="I898" s="285"/>
      <c r="J898" s="286"/>
      <c r="K898" s="285"/>
    </row>
    <row r="899" spans="1:11" x14ac:dyDescent="0.2">
      <c r="A899" s="285"/>
      <c r="B899" s="285"/>
      <c r="C899" s="285"/>
      <c r="D899" s="285"/>
      <c r="E899" s="286"/>
      <c r="F899" s="286"/>
      <c r="G899" s="286"/>
      <c r="H899" s="471"/>
      <c r="I899" s="285"/>
      <c r="J899" s="286"/>
      <c r="K899" s="285"/>
    </row>
    <row r="900" spans="1:11" x14ac:dyDescent="0.2">
      <c r="A900" s="285"/>
      <c r="B900" s="285"/>
      <c r="C900" s="285"/>
      <c r="D900" s="285"/>
      <c r="E900" s="286"/>
      <c r="F900" s="286"/>
      <c r="G900" s="286"/>
      <c r="H900" s="471"/>
      <c r="I900" s="285"/>
      <c r="J900" s="286"/>
      <c r="K900" s="286"/>
    </row>
    <row r="901" spans="1:11" x14ac:dyDescent="0.2">
      <c r="A901" s="285"/>
      <c r="B901" s="285"/>
      <c r="C901" s="285"/>
      <c r="D901" s="285"/>
      <c r="E901" s="286"/>
      <c r="F901" s="286"/>
      <c r="G901" s="286"/>
      <c r="H901" s="471"/>
      <c r="I901" s="285"/>
      <c r="J901" s="286"/>
      <c r="K901" s="286"/>
    </row>
    <row r="902" spans="1:11" x14ac:dyDescent="0.2">
      <c r="A902" s="285"/>
      <c r="B902" s="285"/>
      <c r="C902" s="285"/>
      <c r="D902" s="285"/>
      <c r="E902" s="286"/>
      <c r="F902" s="286"/>
      <c r="G902" s="286"/>
      <c r="H902" s="471"/>
      <c r="I902" s="285"/>
      <c r="J902" s="286"/>
      <c r="K902" s="285"/>
    </row>
    <row r="903" spans="1:11" x14ac:dyDescent="0.2">
      <c r="H903" s="706"/>
    </row>
    <row r="904" spans="1:11" x14ac:dyDescent="0.2">
      <c r="A904" s="285"/>
      <c r="B904" s="285"/>
      <c r="C904" s="285"/>
      <c r="D904" s="286"/>
      <c r="E904" s="286"/>
      <c r="F904" s="286"/>
      <c r="G904" s="286"/>
      <c r="H904" s="471"/>
      <c r="I904" s="286"/>
      <c r="J904" s="286"/>
      <c r="K904" s="285"/>
    </row>
    <row r="905" spans="1:11" x14ac:dyDescent="0.2">
      <c r="A905" s="285"/>
      <c r="B905" s="285"/>
      <c r="C905" s="285"/>
      <c r="D905" s="286"/>
      <c r="E905" s="286"/>
      <c r="F905" s="286"/>
      <c r="G905" s="286"/>
      <c r="H905" s="471"/>
      <c r="I905" s="286"/>
      <c r="J905" s="286"/>
      <c r="K905" s="285"/>
    </row>
    <row r="906" spans="1:11" x14ac:dyDescent="0.2">
      <c r="A906" s="285"/>
      <c r="B906" s="285"/>
      <c r="C906" s="285"/>
      <c r="D906" s="286"/>
      <c r="E906" s="286"/>
      <c r="F906" s="286"/>
      <c r="G906" s="286"/>
      <c r="H906" s="471"/>
      <c r="I906" s="286"/>
      <c r="J906" s="286"/>
      <c r="K906" s="285"/>
    </row>
    <row r="907" spans="1:11" x14ac:dyDescent="0.2">
      <c r="A907" s="285"/>
      <c r="B907" s="285"/>
      <c r="C907" s="285"/>
      <c r="D907" s="286"/>
      <c r="E907" s="286"/>
      <c r="F907" s="286"/>
      <c r="G907" s="286"/>
      <c r="H907" s="471"/>
      <c r="I907" s="286"/>
      <c r="J907" s="286"/>
      <c r="K907" s="285"/>
    </row>
    <row r="908" spans="1:11" x14ac:dyDescent="0.2">
      <c r="H908" s="706"/>
    </row>
    <row r="909" spans="1:11" x14ac:dyDescent="0.2">
      <c r="A909" s="285"/>
      <c r="B909" s="285"/>
      <c r="C909" s="285"/>
      <c r="D909" s="286"/>
      <c r="E909" s="286"/>
      <c r="F909" s="286"/>
      <c r="G909" s="286"/>
      <c r="H909" s="703"/>
      <c r="I909" s="286"/>
      <c r="J909" s="286"/>
      <c r="K909" s="285"/>
    </row>
    <row r="910" spans="1:11" x14ac:dyDescent="0.2">
      <c r="A910" s="285"/>
      <c r="B910" s="285"/>
      <c r="C910" s="285"/>
      <c r="D910" s="286"/>
      <c r="E910" s="286"/>
      <c r="F910" s="286"/>
      <c r="G910" s="286"/>
      <c r="H910" s="703"/>
      <c r="I910" s="286"/>
      <c r="J910" s="286"/>
      <c r="K910" s="285"/>
    </row>
    <row r="911" spans="1:11" x14ac:dyDescent="0.2">
      <c r="A911" s="285"/>
      <c r="B911" s="285"/>
      <c r="C911" s="285"/>
      <c r="D911" s="286"/>
      <c r="E911" s="286"/>
      <c r="F911" s="286"/>
      <c r="G911" s="286"/>
      <c r="H911" s="703"/>
      <c r="I911" s="286"/>
      <c r="J911" s="286"/>
      <c r="K911" s="285"/>
    </row>
    <row r="912" spans="1:11" x14ac:dyDescent="0.2">
      <c r="A912" s="285"/>
      <c r="B912" s="285"/>
      <c r="C912" s="285"/>
      <c r="D912" s="286"/>
      <c r="E912" s="286"/>
      <c r="F912" s="286"/>
      <c r="G912" s="286"/>
      <c r="H912" s="287"/>
      <c r="I912" s="286"/>
      <c r="J912" s="286"/>
      <c r="K912" s="285"/>
    </row>
    <row r="913" spans="1:11" x14ac:dyDescent="0.2">
      <c r="A913" s="285"/>
      <c r="B913" s="285"/>
      <c r="C913" s="285"/>
      <c r="D913" s="286"/>
      <c r="E913" s="286"/>
      <c r="F913" s="286"/>
      <c r="G913" s="286"/>
      <c r="H913" s="287"/>
      <c r="I913" s="286"/>
      <c r="J913" s="286"/>
      <c r="K913" s="285"/>
    </row>
    <row r="914" spans="1:11" x14ac:dyDescent="0.2">
      <c r="A914" s="285"/>
      <c r="B914" s="285"/>
      <c r="C914" s="285"/>
      <c r="D914" s="286"/>
      <c r="E914" s="286"/>
      <c r="F914" s="286"/>
      <c r="G914" s="286"/>
      <c r="H914" s="287"/>
      <c r="I914" s="286"/>
      <c r="J914" s="286"/>
      <c r="K914" s="285"/>
    </row>
    <row r="915" spans="1:11" x14ac:dyDescent="0.2">
      <c r="A915" s="285"/>
      <c r="B915" s="285"/>
      <c r="C915" s="285"/>
      <c r="D915" s="286"/>
      <c r="E915" s="286"/>
      <c r="F915" s="286"/>
      <c r="G915" s="286"/>
      <c r="H915" s="287"/>
      <c r="I915" s="286"/>
      <c r="J915" s="286"/>
      <c r="K915" s="285"/>
    </row>
    <row r="916" spans="1:11" x14ac:dyDescent="0.2">
      <c r="A916" s="285"/>
      <c r="B916" s="285"/>
      <c r="C916" s="285"/>
      <c r="D916" s="286"/>
      <c r="E916" s="286"/>
      <c r="F916" s="286"/>
      <c r="G916" s="286"/>
      <c r="H916" s="287"/>
      <c r="I916" s="286"/>
      <c r="J916" s="286"/>
      <c r="K916" s="285"/>
    </row>
    <row r="917" spans="1:11" x14ac:dyDescent="0.2">
      <c r="A917" s="285"/>
      <c r="B917" s="285"/>
      <c r="C917" s="285"/>
      <c r="D917" s="286"/>
      <c r="E917" s="286"/>
      <c r="F917" s="286"/>
      <c r="G917" s="286"/>
      <c r="H917" s="287"/>
      <c r="I917" s="286"/>
      <c r="J917" s="286"/>
      <c r="K917" s="285"/>
    </row>
    <row r="918" spans="1:11" x14ac:dyDescent="0.2">
      <c r="A918" s="285"/>
      <c r="B918" s="285"/>
      <c r="C918" s="285"/>
      <c r="D918" s="286"/>
      <c r="E918" s="286"/>
      <c r="F918" s="286"/>
      <c r="G918" s="286"/>
      <c r="H918" s="287"/>
      <c r="I918" s="286"/>
      <c r="J918" s="286"/>
      <c r="K918" s="285"/>
    </row>
    <row r="919" spans="1:11" x14ac:dyDescent="0.2">
      <c r="A919" s="285"/>
      <c r="B919" s="285"/>
      <c r="C919" s="285"/>
      <c r="D919" s="286"/>
      <c r="E919" s="286"/>
      <c r="F919" s="286"/>
      <c r="G919" s="286"/>
      <c r="H919" s="287"/>
      <c r="I919" s="286"/>
      <c r="J919" s="286"/>
      <c r="K919" s="285"/>
    </row>
    <row r="920" spans="1:11" x14ac:dyDescent="0.2">
      <c r="A920" s="285"/>
      <c r="B920" s="285"/>
      <c r="C920" s="285"/>
      <c r="D920" s="286"/>
      <c r="E920" s="286"/>
      <c r="F920" s="286"/>
      <c r="G920" s="286"/>
      <c r="H920" s="287"/>
      <c r="I920" s="286"/>
      <c r="J920" s="286"/>
      <c r="K920" s="285"/>
    </row>
    <row r="921" spans="1:11" x14ac:dyDescent="0.2">
      <c r="A921" s="285"/>
      <c r="B921" s="285"/>
      <c r="C921" s="285"/>
      <c r="D921" s="286"/>
      <c r="E921" s="286"/>
      <c r="F921" s="286"/>
      <c r="G921" s="286"/>
      <c r="H921" s="287"/>
      <c r="I921" s="286"/>
      <c r="J921" s="286"/>
      <c r="K921" s="285"/>
    </row>
    <row r="922" spans="1:11" x14ac:dyDescent="0.2">
      <c r="A922" s="285"/>
      <c r="B922" s="285"/>
      <c r="C922" s="285"/>
      <c r="D922" s="286"/>
      <c r="E922" s="286"/>
      <c r="F922" s="286"/>
      <c r="G922" s="286"/>
      <c r="H922" s="287"/>
      <c r="I922" s="286"/>
      <c r="J922" s="286"/>
      <c r="K922" s="285"/>
    </row>
    <row r="923" spans="1:11" x14ac:dyDescent="0.2">
      <c r="A923" s="285"/>
      <c r="B923" s="285"/>
      <c r="C923" s="285"/>
      <c r="D923" s="286"/>
      <c r="E923" s="286"/>
      <c r="F923" s="286"/>
      <c r="G923" s="287"/>
      <c r="H923" s="287"/>
      <c r="I923" s="286"/>
      <c r="J923" s="286"/>
      <c r="K923" s="285"/>
    </row>
    <row r="924" spans="1:11" x14ac:dyDescent="0.2">
      <c r="A924" s="285"/>
      <c r="B924" s="285"/>
      <c r="C924" s="285"/>
      <c r="D924" s="286"/>
      <c r="E924" s="286"/>
      <c r="F924" s="286"/>
      <c r="G924" s="286"/>
      <c r="H924" s="287"/>
      <c r="I924" s="286"/>
      <c r="J924" s="286"/>
      <c r="K924" s="285"/>
    </row>
    <row r="925" spans="1:11" x14ac:dyDescent="0.2">
      <c r="A925" s="285"/>
      <c r="B925" s="285"/>
      <c r="C925" s="285"/>
      <c r="D925" s="286"/>
      <c r="E925" s="286"/>
      <c r="F925" s="286"/>
      <c r="G925" s="286"/>
      <c r="H925" s="287"/>
      <c r="I925" s="286"/>
      <c r="J925" s="286"/>
      <c r="K925" s="285"/>
    </row>
    <row r="926" spans="1:11" x14ac:dyDescent="0.2">
      <c r="A926" s="285"/>
      <c r="B926" s="285"/>
      <c r="C926" s="285"/>
      <c r="D926" s="286"/>
      <c r="E926" s="286"/>
      <c r="F926" s="286"/>
      <c r="G926" s="286"/>
      <c r="H926" s="287"/>
      <c r="I926" s="286"/>
      <c r="J926" s="286"/>
      <c r="K926" s="285"/>
    </row>
    <row r="927" spans="1:11" x14ac:dyDescent="0.2">
      <c r="A927" s="285"/>
      <c r="B927" s="285"/>
      <c r="C927" s="285"/>
      <c r="D927" s="286"/>
      <c r="E927" s="286"/>
      <c r="F927" s="286"/>
      <c r="G927" s="286"/>
      <c r="H927" s="287"/>
      <c r="I927" s="286"/>
      <c r="J927" s="286"/>
      <c r="K927" s="285"/>
    </row>
    <row r="928" spans="1:11" x14ac:dyDescent="0.2">
      <c r="A928" s="285"/>
      <c r="B928" s="285"/>
      <c r="C928" s="285"/>
      <c r="D928" s="286"/>
      <c r="E928" s="286"/>
      <c r="F928" s="286"/>
      <c r="G928" s="286"/>
      <c r="H928" s="287"/>
      <c r="I928" s="286"/>
      <c r="J928" s="286"/>
      <c r="K928" s="285"/>
    </row>
    <row r="929" spans="1:11" x14ac:dyDescent="0.2">
      <c r="A929" s="285"/>
      <c r="B929" s="285"/>
      <c r="C929" s="285"/>
      <c r="D929" s="286"/>
      <c r="E929" s="286"/>
      <c r="F929" s="286"/>
      <c r="G929" s="286"/>
      <c r="H929" s="287"/>
      <c r="I929" s="286"/>
      <c r="J929" s="286"/>
      <c r="K929" s="285"/>
    </row>
    <row r="930" spans="1:11" x14ac:dyDescent="0.2">
      <c r="A930" s="285"/>
      <c r="B930" s="285"/>
      <c r="C930" s="285"/>
      <c r="D930" s="286"/>
      <c r="E930" s="286"/>
      <c r="F930" s="286"/>
      <c r="G930" s="286"/>
      <c r="H930" s="287"/>
      <c r="I930" s="286"/>
      <c r="J930" s="286"/>
      <c r="K930" s="285"/>
    </row>
    <row r="931" spans="1:11" x14ac:dyDescent="0.2">
      <c r="A931" s="285"/>
      <c r="B931" s="285"/>
      <c r="C931" s="285"/>
      <c r="D931" s="286"/>
      <c r="E931" s="286"/>
      <c r="F931" s="286"/>
      <c r="G931" s="286"/>
      <c r="H931" s="287"/>
      <c r="I931" s="286"/>
      <c r="J931" s="286"/>
      <c r="K931" s="285"/>
    </row>
    <row r="932" spans="1:11" x14ac:dyDescent="0.2">
      <c r="A932" s="285"/>
      <c r="B932" s="285"/>
      <c r="C932" s="285"/>
      <c r="D932" s="286"/>
      <c r="E932" s="286"/>
      <c r="F932" s="286"/>
      <c r="G932" s="286"/>
      <c r="H932" s="287"/>
      <c r="I932" s="286"/>
      <c r="J932" s="286"/>
      <c r="K932" s="285"/>
    </row>
    <row r="933" spans="1:11" x14ac:dyDescent="0.2">
      <c r="A933" s="285"/>
      <c r="B933" s="285"/>
      <c r="C933" s="285"/>
      <c r="D933" s="286"/>
      <c r="E933" s="286"/>
      <c r="F933" s="286"/>
      <c r="G933" s="286"/>
      <c r="H933" s="287"/>
      <c r="I933" s="286"/>
      <c r="J933" s="286"/>
      <c r="K933" s="285"/>
    </row>
    <row r="934" spans="1:11" x14ac:dyDescent="0.2">
      <c r="A934" s="285"/>
      <c r="B934" s="285"/>
      <c r="C934" s="285"/>
      <c r="D934" s="286"/>
      <c r="E934" s="286"/>
      <c r="F934" s="286"/>
      <c r="G934" s="286"/>
      <c r="H934" s="287"/>
      <c r="I934" s="286"/>
      <c r="J934" s="286"/>
      <c r="K934" s="285"/>
    </row>
    <row r="935" spans="1:11" x14ac:dyDescent="0.2">
      <c r="A935" s="285"/>
      <c r="B935" s="285"/>
      <c r="C935" s="285"/>
      <c r="D935" s="286"/>
      <c r="E935" s="286"/>
      <c r="F935" s="286"/>
      <c r="G935" s="286"/>
      <c r="H935" s="287"/>
      <c r="I935" s="286"/>
      <c r="J935" s="286"/>
      <c r="K935" s="285"/>
    </row>
    <row r="937" spans="1:11" x14ac:dyDescent="0.2">
      <c r="A937" s="285"/>
      <c r="B937" s="285"/>
      <c r="C937" s="285"/>
      <c r="D937" s="286"/>
      <c r="E937" s="286"/>
      <c r="F937" s="286"/>
      <c r="G937" s="286"/>
      <c r="H937" s="286"/>
      <c r="I937" s="286"/>
      <c r="J937" s="286"/>
      <c r="K937" s="285"/>
    </row>
    <row r="938" spans="1:11" x14ac:dyDescent="0.2">
      <c r="A938" s="285"/>
      <c r="B938" s="285"/>
      <c r="C938" s="285"/>
      <c r="D938" s="286"/>
      <c r="E938" s="286"/>
      <c r="F938" s="286"/>
      <c r="G938" s="286"/>
      <c r="H938" s="286"/>
      <c r="I938" s="286"/>
      <c r="J938" s="286"/>
      <c r="K938" s="285"/>
    </row>
    <row r="939" spans="1:11" x14ac:dyDescent="0.2">
      <c r="A939" s="285"/>
      <c r="B939" s="285"/>
      <c r="C939" s="285"/>
      <c r="D939" s="286"/>
      <c r="E939" s="286"/>
      <c r="F939" s="286"/>
      <c r="G939" s="286"/>
      <c r="H939" s="286"/>
      <c r="I939" s="286"/>
      <c r="J939" s="286"/>
      <c r="K939" s="285"/>
    </row>
    <row r="940" spans="1:11" x14ac:dyDescent="0.2">
      <c r="A940" s="285"/>
      <c r="B940" s="285"/>
      <c r="C940" s="285"/>
      <c r="D940" s="286"/>
      <c r="E940" s="286"/>
      <c r="F940" s="286"/>
      <c r="G940" s="286"/>
      <c r="H940" s="286"/>
      <c r="I940" s="286"/>
      <c r="J940" s="286"/>
      <c r="K940" s="285"/>
    </row>
    <row r="941" spans="1:11" x14ac:dyDescent="0.2">
      <c r="A941" s="285"/>
      <c r="B941" s="285"/>
      <c r="C941" s="285"/>
      <c r="D941" s="286"/>
      <c r="E941" s="286"/>
      <c r="F941" s="286"/>
      <c r="G941" s="286"/>
      <c r="H941" s="286"/>
      <c r="I941" s="286"/>
      <c r="J941" s="286"/>
      <c r="K941" s="285"/>
    </row>
    <row r="942" spans="1:11" x14ac:dyDescent="0.2">
      <c r="A942" s="285"/>
      <c r="B942" s="285"/>
      <c r="C942" s="285"/>
      <c r="D942" s="286"/>
      <c r="E942" s="286"/>
      <c r="F942" s="286"/>
      <c r="G942" s="286"/>
      <c r="H942" s="286"/>
      <c r="I942" s="286"/>
      <c r="J942" s="286"/>
      <c r="K942" s="285"/>
    </row>
    <row r="943" spans="1:11" x14ac:dyDescent="0.2">
      <c r="A943" s="285"/>
      <c r="B943" s="285"/>
      <c r="C943" s="285"/>
      <c r="D943" s="286"/>
      <c r="E943" s="286"/>
      <c r="F943" s="286"/>
      <c r="G943" s="286"/>
      <c r="H943" s="286"/>
      <c r="I943" s="286"/>
      <c r="J943" s="286"/>
      <c r="K943" s="285"/>
    </row>
    <row r="944" spans="1:11" x14ac:dyDescent="0.2">
      <c r="A944" s="285"/>
      <c r="B944" s="285"/>
      <c r="C944" s="285"/>
      <c r="D944" s="286"/>
      <c r="E944" s="286"/>
      <c r="F944" s="286"/>
      <c r="G944" s="286"/>
      <c r="H944" s="286"/>
      <c r="I944" s="286"/>
      <c r="J944" s="286"/>
      <c r="K944" s="285"/>
    </row>
    <row r="945" spans="1:11" x14ac:dyDescent="0.2">
      <c r="A945" s="285"/>
      <c r="B945" s="285"/>
      <c r="C945" s="285"/>
      <c r="D945" s="286"/>
      <c r="E945" s="286"/>
      <c r="F945" s="286"/>
      <c r="G945" s="286"/>
      <c r="H945" s="286"/>
      <c r="I945" s="286"/>
      <c r="J945" s="286"/>
      <c r="K945" s="285"/>
    </row>
    <row r="947" spans="1:11" x14ac:dyDescent="0.2">
      <c r="A947" s="285"/>
      <c r="B947" s="285"/>
      <c r="C947" s="285"/>
      <c r="D947" s="286"/>
      <c r="E947" s="286"/>
      <c r="F947" s="286"/>
      <c r="G947" s="286"/>
      <c r="H947" s="286"/>
      <c r="I947" s="286"/>
      <c r="J947" s="286"/>
      <c r="K947" s="285"/>
    </row>
    <row r="948" spans="1:11" x14ac:dyDescent="0.2">
      <c r="A948" s="285"/>
      <c r="B948" s="285"/>
      <c r="C948" s="285"/>
      <c r="D948" s="286"/>
      <c r="E948" s="286"/>
      <c r="F948" s="286"/>
      <c r="G948" s="286"/>
      <c r="H948" s="286"/>
      <c r="I948" s="286"/>
      <c r="J948" s="286"/>
      <c r="K948" s="285"/>
    </row>
    <row r="949" spans="1:11" x14ac:dyDescent="0.2">
      <c r="A949" s="285"/>
      <c r="B949" s="285"/>
      <c r="C949" s="285"/>
      <c r="D949" s="286"/>
      <c r="E949" s="286"/>
      <c r="F949" s="286"/>
      <c r="G949" s="286"/>
      <c r="H949" s="286"/>
      <c r="I949" s="286"/>
      <c r="J949" s="286"/>
      <c r="K949" s="285"/>
    </row>
    <row r="950" spans="1:11" x14ac:dyDescent="0.2">
      <c r="A950" s="285"/>
      <c r="B950" s="285"/>
      <c r="C950" s="285"/>
      <c r="D950" s="286"/>
      <c r="E950" s="286"/>
      <c r="F950" s="286"/>
      <c r="G950" s="286"/>
      <c r="H950" s="286"/>
      <c r="I950" s="286"/>
      <c r="J950" s="286"/>
      <c r="K950" s="285"/>
    </row>
    <row r="951" spans="1:11" x14ac:dyDescent="0.2">
      <c r="A951" s="285"/>
      <c r="B951" s="285"/>
      <c r="C951" s="285"/>
      <c r="D951" s="286"/>
      <c r="E951" s="286"/>
      <c r="F951" s="286"/>
      <c r="G951" s="286"/>
      <c r="H951" s="286"/>
      <c r="I951" s="286"/>
      <c r="J951" s="286"/>
      <c r="K951" s="285"/>
    </row>
    <row r="952" spans="1:11" x14ac:dyDescent="0.2">
      <c r="A952" s="285"/>
      <c r="B952" s="285"/>
      <c r="C952" s="285"/>
      <c r="D952" s="286"/>
      <c r="E952" s="286"/>
      <c r="F952" s="286"/>
      <c r="G952" s="286"/>
      <c r="H952" s="286"/>
      <c r="I952" s="286"/>
      <c r="J952" s="286"/>
      <c r="K952" s="285"/>
    </row>
    <row r="953" spans="1:11" x14ac:dyDescent="0.2">
      <c r="A953" s="285"/>
      <c r="B953" s="285"/>
      <c r="C953" s="285"/>
      <c r="D953" s="286"/>
      <c r="E953" s="286"/>
      <c r="F953" s="286"/>
      <c r="G953" s="286"/>
      <c r="H953" s="286"/>
      <c r="I953" s="286"/>
      <c r="J953" s="286"/>
      <c r="K953" s="285"/>
    </row>
    <row r="954" spans="1:11" x14ac:dyDescent="0.2">
      <c r="A954" s="285"/>
      <c r="B954" s="285"/>
      <c r="C954" s="285"/>
      <c r="D954" s="286"/>
      <c r="E954" s="286"/>
      <c r="F954" s="286"/>
      <c r="G954" s="286"/>
      <c r="H954" s="286"/>
      <c r="I954" s="286"/>
      <c r="J954" s="286"/>
      <c r="K954" s="285"/>
    </row>
    <row r="955" spans="1:11" x14ac:dyDescent="0.2">
      <c r="A955" s="285"/>
      <c r="B955" s="285"/>
      <c r="C955" s="285"/>
      <c r="D955" s="286"/>
      <c r="E955" s="286"/>
      <c r="F955" s="286"/>
      <c r="G955" s="286"/>
      <c r="H955" s="286"/>
      <c r="I955" s="286"/>
      <c r="J955" s="286"/>
      <c r="K955" s="285"/>
    </row>
    <row r="956" spans="1:11" x14ac:dyDescent="0.2">
      <c r="A956" s="285"/>
      <c r="B956" s="285"/>
      <c r="C956" s="285"/>
      <c r="D956" s="286"/>
      <c r="E956" s="286"/>
      <c r="F956" s="286"/>
      <c r="G956" s="286"/>
      <c r="H956" s="286"/>
      <c r="I956" s="286"/>
      <c r="J956" s="286"/>
      <c r="K956" s="285"/>
    </row>
    <row r="957" spans="1:11" x14ac:dyDescent="0.2">
      <c r="A957" s="285"/>
      <c r="B957" s="285"/>
      <c r="C957" s="285"/>
      <c r="D957" s="286"/>
      <c r="E957" s="286"/>
      <c r="F957" s="286"/>
      <c r="G957" s="286"/>
      <c r="H957" s="286"/>
      <c r="I957" s="286"/>
      <c r="J957" s="286"/>
      <c r="K957" s="285"/>
    </row>
    <row r="958" spans="1:11" x14ac:dyDescent="0.2">
      <c r="A958" s="285"/>
      <c r="B958" s="285"/>
      <c r="C958" s="285"/>
      <c r="D958" s="286"/>
      <c r="E958" s="286"/>
      <c r="F958" s="286"/>
      <c r="G958" s="286"/>
      <c r="H958" s="286"/>
      <c r="I958" s="286"/>
      <c r="J958" s="286"/>
      <c r="K958" s="285"/>
    </row>
    <row r="959" spans="1:11" x14ac:dyDescent="0.2">
      <c r="A959" s="285"/>
      <c r="B959" s="285"/>
      <c r="C959" s="285"/>
      <c r="D959" s="286"/>
      <c r="E959" s="286"/>
      <c r="F959" s="286"/>
      <c r="G959" s="286"/>
      <c r="H959" s="286"/>
      <c r="I959" s="286"/>
      <c r="J959" s="286"/>
      <c r="K959" s="285"/>
    </row>
    <row r="960" spans="1:11" x14ac:dyDescent="0.2">
      <c r="A960" s="285"/>
      <c r="B960" s="285"/>
      <c r="C960" s="285"/>
      <c r="D960" s="286"/>
      <c r="E960" s="286"/>
      <c r="F960" s="286"/>
      <c r="G960" s="286"/>
      <c r="H960" s="286"/>
      <c r="I960" s="286"/>
      <c r="J960" s="286"/>
      <c r="K960" s="285"/>
    </row>
    <row r="961" spans="1:11" x14ac:dyDescent="0.2">
      <c r="A961" s="285"/>
      <c r="B961" s="285"/>
      <c r="C961" s="285"/>
      <c r="D961" s="286"/>
      <c r="E961" s="286"/>
      <c r="F961" s="286"/>
      <c r="G961" s="286"/>
      <c r="H961" s="286"/>
      <c r="I961" s="286"/>
      <c r="J961" s="286"/>
      <c r="K961" s="285"/>
    </row>
    <row r="962" spans="1:11" x14ac:dyDescent="0.2">
      <c r="A962" s="285"/>
      <c r="B962" s="285"/>
      <c r="C962" s="285"/>
      <c r="D962" s="286"/>
      <c r="E962" s="286"/>
      <c r="F962" s="286"/>
      <c r="G962" s="286"/>
      <c r="H962" s="286"/>
      <c r="I962" s="286"/>
      <c r="J962" s="286"/>
      <c r="K962" s="285"/>
    </row>
    <row r="963" spans="1:11" x14ac:dyDescent="0.2">
      <c r="A963" s="285"/>
      <c r="B963" s="285"/>
      <c r="C963" s="285"/>
      <c r="D963" s="286"/>
      <c r="E963" s="286"/>
      <c r="F963" s="286"/>
      <c r="G963" s="286"/>
      <c r="H963" s="286"/>
      <c r="I963" s="286"/>
      <c r="J963" s="286"/>
      <c r="K963" s="285"/>
    </row>
    <row r="964" spans="1:11" x14ac:dyDescent="0.2">
      <c r="A964" s="285"/>
      <c r="B964" s="285"/>
      <c r="C964" s="285"/>
      <c r="D964" s="286"/>
      <c r="E964" s="286"/>
      <c r="F964" s="286"/>
      <c r="G964" s="286"/>
      <c r="H964" s="286"/>
      <c r="I964" s="286"/>
      <c r="J964" s="286"/>
      <c r="K964" s="285"/>
    </row>
    <row r="965" spans="1:11" x14ac:dyDescent="0.2">
      <c r="A965" s="285"/>
      <c r="B965" s="285"/>
      <c r="C965" s="285"/>
      <c r="D965" s="286"/>
      <c r="E965" s="286"/>
      <c r="F965" s="286"/>
      <c r="G965" s="286"/>
      <c r="H965" s="286"/>
      <c r="I965" s="286"/>
      <c r="J965" s="286"/>
      <c r="K965" s="285"/>
    </row>
    <row r="966" spans="1:11" x14ac:dyDescent="0.2">
      <c r="A966" s="285"/>
      <c r="B966" s="285"/>
      <c r="C966" s="285"/>
      <c r="D966" s="286"/>
      <c r="E966" s="286"/>
      <c r="F966" s="286"/>
      <c r="G966" s="286"/>
      <c r="H966" s="286"/>
      <c r="I966" s="286"/>
      <c r="J966" s="286"/>
      <c r="K966" s="285"/>
    </row>
    <row r="967" spans="1:11" x14ac:dyDescent="0.2">
      <c r="A967" s="285"/>
      <c r="B967" s="285"/>
      <c r="C967" s="285"/>
      <c r="D967" s="286"/>
      <c r="E967" s="286"/>
      <c r="F967" s="286"/>
      <c r="G967" s="286"/>
      <c r="H967" s="286"/>
      <c r="I967" s="286"/>
      <c r="J967" s="286"/>
      <c r="K967" s="285"/>
    </row>
    <row r="968" spans="1:11" x14ac:dyDescent="0.2">
      <c r="A968" s="285"/>
      <c r="B968" s="285"/>
      <c r="C968" s="285"/>
      <c r="D968" s="286"/>
      <c r="E968" s="286"/>
      <c r="F968" s="286"/>
      <c r="G968" s="286"/>
      <c r="H968" s="286"/>
      <c r="I968" s="286"/>
      <c r="J968" s="286"/>
      <c r="K968" s="285"/>
    </row>
    <row r="970" spans="1:11" x14ac:dyDescent="0.2">
      <c r="A970" s="285"/>
      <c r="B970" s="285"/>
      <c r="C970" s="285"/>
      <c r="D970" s="286"/>
      <c r="E970" s="286"/>
      <c r="F970" s="286"/>
      <c r="G970" s="286"/>
      <c r="H970" s="295"/>
      <c r="I970" s="286"/>
      <c r="J970" s="286"/>
      <c r="K970" s="285"/>
    </row>
    <row r="971" spans="1:11" x14ac:dyDescent="0.2">
      <c r="A971" s="285"/>
      <c r="B971" s="285"/>
      <c r="C971" s="285"/>
      <c r="D971" s="286"/>
      <c r="E971" s="286"/>
      <c r="F971" s="286"/>
      <c r="G971" s="286"/>
      <c r="H971" s="295"/>
      <c r="I971" s="286"/>
      <c r="J971" s="286"/>
      <c r="K971" s="285"/>
    </row>
    <row r="972" spans="1:11" x14ac:dyDescent="0.2">
      <c r="A972" s="285"/>
      <c r="B972" s="285"/>
      <c r="C972" s="285"/>
      <c r="D972" s="286"/>
      <c r="E972" s="286"/>
      <c r="F972" s="286"/>
      <c r="G972" s="286"/>
      <c r="H972" s="295"/>
      <c r="I972" s="286"/>
      <c r="J972" s="286"/>
      <c r="K972" s="285"/>
    </row>
    <row r="973" spans="1:11" x14ac:dyDescent="0.2">
      <c r="A973" s="285"/>
      <c r="B973" s="285"/>
      <c r="C973" s="285"/>
      <c r="D973" s="286"/>
      <c r="E973" s="286"/>
      <c r="F973" s="286"/>
      <c r="G973" s="286"/>
      <c r="H973" s="295"/>
      <c r="I973" s="286"/>
      <c r="J973" s="286"/>
      <c r="K973" s="285"/>
    </row>
    <row r="974" spans="1:11" x14ac:dyDescent="0.2">
      <c r="A974" s="285"/>
      <c r="B974" s="285"/>
      <c r="C974" s="285"/>
      <c r="D974" s="286"/>
      <c r="E974" s="286"/>
      <c r="F974" s="286"/>
      <c r="G974" s="286"/>
      <c r="H974" s="295"/>
      <c r="I974" s="286"/>
      <c r="J974" s="286"/>
      <c r="K974" s="285"/>
    </row>
    <row r="975" spans="1:11" x14ac:dyDescent="0.2">
      <c r="A975" s="285"/>
      <c r="B975" s="285"/>
      <c r="C975" s="285"/>
      <c r="D975" s="286"/>
      <c r="E975" s="286"/>
      <c r="F975" s="286"/>
      <c r="G975" s="286"/>
      <c r="H975" s="295"/>
      <c r="I975" s="286"/>
      <c r="J975" s="286"/>
      <c r="K975" s="285"/>
    </row>
    <row r="976" spans="1:11" x14ac:dyDescent="0.2">
      <c r="A976" s="285"/>
      <c r="B976" s="285"/>
      <c r="C976" s="285"/>
      <c r="D976" s="286"/>
      <c r="E976" s="286"/>
      <c r="F976" s="286"/>
      <c r="G976" s="286"/>
      <c r="H976" s="295"/>
      <c r="I976" s="286"/>
      <c r="J976" s="286"/>
      <c r="K976" s="285"/>
    </row>
    <row r="977" spans="1:11" x14ac:dyDescent="0.2">
      <c r="A977" s="285"/>
      <c r="B977" s="285"/>
      <c r="C977" s="285"/>
      <c r="D977" s="286"/>
      <c r="E977" s="286"/>
      <c r="F977" s="286"/>
      <c r="G977" s="286"/>
      <c r="H977" s="295"/>
      <c r="I977" s="286"/>
      <c r="J977" s="286"/>
      <c r="K977" s="285"/>
    </row>
    <row r="978" spans="1:11" x14ac:dyDescent="0.2">
      <c r="A978" s="285"/>
      <c r="B978" s="285"/>
      <c r="C978" s="285"/>
      <c r="D978" s="286"/>
      <c r="E978" s="286"/>
      <c r="F978" s="286"/>
      <c r="G978" s="286"/>
      <c r="H978" s="295"/>
      <c r="I978" s="286"/>
      <c r="J978" s="286"/>
      <c r="K978" s="285"/>
    </row>
    <row r="979" spans="1:11" x14ac:dyDescent="0.2">
      <c r="A979" s="285"/>
      <c r="B979" s="285"/>
      <c r="C979" s="285"/>
      <c r="D979" s="286"/>
      <c r="E979" s="286"/>
      <c r="F979" s="286"/>
      <c r="G979" s="286"/>
      <c r="H979" s="295"/>
      <c r="I979" s="286"/>
      <c r="J979" s="286"/>
      <c r="K979" s="285"/>
    </row>
    <row r="980" spans="1:11" x14ac:dyDescent="0.2">
      <c r="A980" s="285"/>
      <c r="B980" s="285"/>
      <c r="C980" s="285"/>
      <c r="D980" s="286"/>
      <c r="E980" s="286"/>
      <c r="F980" s="286"/>
      <c r="G980" s="286"/>
      <c r="H980" s="295"/>
      <c r="I980" s="286"/>
      <c r="J980" s="286"/>
      <c r="K980" s="285"/>
    </row>
    <row r="981" spans="1:11" x14ac:dyDescent="0.2">
      <c r="A981" s="285"/>
      <c r="B981" s="285"/>
      <c r="C981" s="285"/>
      <c r="D981" s="286"/>
      <c r="E981" s="286"/>
      <c r="F981" s="286"/>
      <c r="G981" s="286"/>
      <c r="H981" s="295"/>
      <c r="I981" s="286"/>
      <c r="J981" s="286"/>
      <c r="K981" s="285"/>
    </row>
    <row r="982" spans="1:11" x14ac:dyDescent="0.2">
      <c r="A982" s="285"/>
      <c r="B982" s="285"/>
      <c r="C982" s="285"/>
      <c r="D982" s="286"/>
      <c r="E982" s="286"/>
      <c r="F982" s="286"/>
      <c r="G982" s="286"/>
      <c r="H982" s="295"/>
      <c r="I982" s="286"/>
      <c r="J982" s="286"/>
      <c r="K982" s="285"/>
    </row>
    <row r="983" spans="1:11" x14ac:dyDescent="0.2">
      <c r="A983" s="285"/>
      <c r="B983" s="285"/>
      <c r="C983" s="285"/>
      <c r="D983" s="286"/>
      <c r="E983" s="286"/>
      <c r="F983" s="286"/>
      <c r="G983" s="286"/>
      <c r="H983" s="295"/>
      <c r="I983" s="286"/>
      <c r="J983" s="286"/>
      <c r="K983" s="285"/>
    </row>
    <row r="984" spans="1:11" x14ac:dyDescent="0.2">
      <c r="A984" s="285"/>
      <c r="B984" s="285"/>
      <c r="C984" s="285"/>
      <c r="D984" s="286"/>
      <c r="E984" s="286"/>
      <c r="F984" s="286"/>
      <c r="G984" s="286"/>
      <c r="H984" s="295"/>
      <c r="I984" s="286"/>
      <c r="J984" s="286"/>
      <c r="K984" s="285"/>
    </row>
    <row r="985" spans="1:11" x14ac:dyDescent="0.2">
      <c r="A985" s="285"/>
      <c r="B985" s="285"/>
      <c r="C985" s="285"/>
      <c r="D985" s="286"/>
      <c r="E985" s="286"/>
      <c r="F985" s="286"/>
      <c r="G985" s="286"/>
      <c r="H985" s="295"/>
      <c r="I985" s="286"/>
      <c r="J985" s="286"/>
      <c r="K985" s="285"/>
    </row>
    <row r="986" spans="1:11" x14ac:dyDescent="0.2">
      <c r="A986" s="285"/>
      <c r="B986" s="285"/>
      <c r="C986" s="285"/>
      <c r="D986" s="286"/>
      <c r="E986" s="286"/>
      <c r="F986" s="286"/>
      <c r="G986" s="286"/>
      <c r="H986" s="295"/>
      <c r="I986" s="286"/>
      <c r="J986" s="286"/>
      <c r="K986" s="285"/>
    </row>
    <row r="987" spans="1:11" x14ac:dyDescent="0.2">
      <c r="A987" s="285"/>
      <c r="B987" s="285"/>
      <c r="C987" s="285"/>
      <c r="D987" s="286"/>
      <c r="E987" s="286"/>
      <c r="F987" s="286"/>
      <c r="G987" s="286"/>
      <c r="H987" s="295"/>
      <c r="I987" s="286"/>
      <c r="J987" s="286"/>
      <c r="K987" s="285"/>
    </row>
    <row r="988" spans="1:11" x14ac:dyDescent="0.2">
      <c r="A988" s="285"/>
      <c r="B988" s="285"/>
      <c r="C988" s="285"/>
      <c r="D988" s="286"/>
      <c r="E988" s="286"/>
      <c r="F988" s="286"/>
      <c r="G988" s="286"/>
      <c r="H988" s="295"/>
      <c r="I988" s="286"/>
      <c r="J988" s="286"/>
      <c r="K988" s="285"/>
    </row>
    <row r="989" spans="1:11" x14ac:dyDescent="0.2">
      <c r="A989" s="285"/>
      <c r="B989" s="285"/>
      <c r="C989" s="285"/>
      <c r="D989" s="286"/>
      <c r="E989" s="286"/>
      <c r="F989" s="286"/>
      <c r="G989" s="286"/>
      <c r="H989" s="295"/>
      <c r="I989" s="286"/>
      <c r="J989" s="286"/>
      <c r="K989" s="285"/>
    </row>
    <row r="990" spans="1:11" x14ac:dyDescent="0.2">
      <c r="A990" s="285"/>
      <c r="B990" s="285"/>
      <c r="C990" s="285"/>
      <c r="D990" s="286"/>
      <c r="E990" s="286"/>
      <c r="F990" s="286"/>
      <c r="G990" s="286"/>
      <c r="H990" s="295"/>
      <c r="I990" s="286"/>
      <c r="J990" s="286"/>
      <c r="K990" s="285"/>
    </row>
    <row r="991" spans="1:11" x14ac:dyDescent="0.2">
      <c r="A991" s="285"/>
      <c r="B991" s="285"/>
      <c r="C991" s="285"/>
      <c r="D991" s="286"/>
      <c r="E991" s="286"/>
      <c r="F991" s="286"/>
      <c r="G991" s="286"/>
      <c r="H991" s="295"/>
      <c r="I991" s="286"/>
      <c r="J991" s="286"/>
      <c r="K991" s="285"/>
    </row>
    <row r="992" spans="1:11" x14ac:dyDescent="0.2">
      <c r="A992" s="285"/>
      <c r="B992" s="285"/>
      <c r="C992" s="285"/>
      <c r="D992" s="286"/>
      <c r="E992" s="286"/>
      <c r="F992" s="286"/>
      <c r="G992" s="286"/>
      <c r="H992" s="295"/>
      <c r="I992" s="286"/>
      <c r="J992" s="286"/>
      <c r="K992" s="285"/>
    </row>
    <row r="994" spans="1:11" x14ac:dyDescent="0.2">
      <c r="A994" s="285"/>
      <c r="B994" s="285"/>
      <c r="C994" s="285"/>
      <c r="D994" s="286"/>
      <c r="E994" s="286"/>
      <c r="F994" s="286"/>
      <c r="G994" s="286"/>
      <c r="H994" s="286"/>
      <c r="I994" s="286"/>
      <c r="J994" s="286"/>
      <c r="K994" s="285"/>
    </row>
    <row r="995" spans="1:11" x14ac:dyDescent="0.2">
      <c r="A995" s="285"/>
      <c r="B995" s="285"/>
      <c r="C995" s="285"/>
      <c r="D995" s="286"/>
      <c r="E995" s="286"/>
      <c r="F995" s="286"/>
      <c r="G995" s="286"/>
      <c r="H995" s="286"/>
      <c r="I995" s="286"/>
      <c r="J995" s="286"/>
      <c r="K995" s="285"/>
    </row>
    <row r="996" spans="1:11" x14ac:dyDescent="0.2">
      <c r="A996" s="285"/>
      <c r="B996" s="285"/>
      <c r="C996" s="285"/>
      <c r="D996" s="286"/>
      <c r="E996" s="286"/>
      <c r="F996" s="286"/>
      <c r="G996" s="286"/>
      <c r="H996" s="286"/>
      <c r="I996" s="286"/>
      <c r="J996" s="286"/>
      <c r="K996" s="285"/>
    </row>
    <row r="997" spans="1:11" x14ac:dyDescent="0.2">
      <c r="A997" s="285"/>
      <c r="B997" s="285"/>
      <c r="C997" s="285"/>
      <c r="D997" s="286"/>
      <c r="E997" s="286"/>
      <c r="F997" s="286"/>
      <c r="G997" s="286"/>
      <c r="H997" s="286"/>
      <c r="I997" s="286"/>
      <c r="J997" s="286"/>
      <c r="K997" s="285"/>
    </row>
    <row r="998" spans="1:11" x14ac:dyDescent="0.2">
      <c r="A998" s="285"/>
      <c r="B998" s="285"/>
      <c r="C998" s="285"/>
      <c r="D998" s="286"/>
      <c r="E998" s="286"/>
      <c r="F998" s="286"/>
      <c r="G998" s="286"/>
      <c r="H998" s="286"/>
      <c r="I998" s="286"/>
      <c r="J998" s="286"/>
      <c r="K998" s="285"/>
    </row>
    <row r="999" spans="1:11" x14ac:dyDescent="0.2">
      <c r="A999" s="285"/>
      <c r="B999" s="285"/>
      <c r="C999" s="285"/>
      <c r="D999" s="286"/>
      <c r="E999" s="286"/>
      <c r="F999" s="286"/>
      <c r="G999" s="286"/>
      <c r="H999" s="286"/>
      <c r="I999" s="286"/>
      <c r="J999" s="286"/>
      <c r="K999" s="285"/>
    </row>
    <row r="1000" spans="1:11" x14ac:dyDescent="0.2">
      <c r="A1000" s="285"/>
      <c r="B1000" s="285"/>
      <c r="C1000" s="285"/>
      <c r="D1000" s="286"/>
      <c r="E1000" s="286"/>
      <c r="F1000" s="286"/>
      <c r="G1000" s="286"/>
      <c r="H1000" s="286"/>
      <c r="I1000" s="286"/>
      <c r="J1000" s="286"/>
      <c r="K1000" s="285"/>
    </row>
    <row r="1001" spans="1:11" x14ac:dyDescent="0.2">
      <c r="A1001" s="285"/>
      <c r="B1001" s="285"/>
      <c r="C1001" s="285"/>
      <c r="D1001" s="286"/>
      <c r="E1001" s="286"/>
      <c r="F1001" s="286"/>
      <c r="G1001" s="286"/>
      <c r="H1001" s="286"/>
      <c r="I1001" s="286"/>
      <c r="J1001" s="286"/>
      <c r="K1001" s="285"/>
    </row>
    <row r="1002" spans="1:11" x14ac:dyDescent="0.2">
      <c r="A1002" s="285"/>
      <c r="B1002" s="285"/>
      <c r="C1002" s="285"/>
      <c r="D1002" s="286"/>
      <c r="E1002" s="286"/>
      <c r="F1002" s="286"/>
      <c r="G1002" s="286"/>
      <c r="H1002" s="286"/>
      <c r="I1002" s="286"/>
      <c r="J1002" s="286"/>
      <c r="K1002" s="285"/>
    </row>
    <row r="1003" spans="1:11" x14ac:dyDescent="0.2">
      <c r="A1003" s="285"/>
      <c r="B1003" s="285"/>
      <c r="C1003" s="285"/>
      <c r="D1003" s="286"/>
      <c r="E1003" s="286"/>
      <c r="F1003" s="286"/>
      <c r="G1003" s="286"/>
      <c r="H1003" s="286"/>
      <c r="I1003" s="286"/>
      <c r="J1003" s="286"/>
      <c r="K1003" s="285"/>
    </row>
    <row r="1004" spans="1:11" x14ac:dyDescent="0.2">
      <c r="A1004" s="285"/>
      <c r="B1004" s="285"/>
      <c r="C1004" s="285"/>
      <c r="D1004" s="286"/>
      <c r="E1004" s="286"/>
      <c r="F1004" s="286"/>
      <c r="G1004" s="286"/>
      <c r="H1004" s="286"/>
      <c r="I1004" s="286"/>
      <c r="J1004" s="286"/>
      <c r="K1004" s="285"/>
    </row>
    <row r="1005" spans="1:11" x14ac:dyDescent="0.2">
      <c r="A1005" s="285"/>
      <c r="B1005" s="285"/>
      <c r="C1005" s="285"/>
      <c r="D1005" s="286"/>
      <c r="E1005" s="286"/>
      <c r="F1005" s="286"/>
      <c r="G1005" s="286"/>
      <c r="H1005" s="286"/>
      <c r="I1005" s="286"/>
      <c r="J1005" s="286"/>
      <c r="K1005" s="285"/>
    </row>
    <row r="1007" spans="1:11" x14ac:dyDescent="0.2">
      <c r="A1007" s="285"/>
      <c r="B1007" s="285"/>
      <c r="C1007" s="285"/>
      <c r="D1007" s="286"/>
      <c r="E1007" s="286"/>
      <c r="F1007" s="286"/>
      <c r="G1007" s="286"/>
      <c r="H1007" s="286"/>
      <c r="I1007" s="286"/>
      <c r="J1007" s="286"/>
      <c r="K1007" s="285"/>
    </row>
    <row r="1008" spans="1:11" x14ac:dyDescent="0.2">
      <c r="A1008" s="285"/>
      <c r="B1008" s="285"/>
      <c r="C1008" s="285"/>
      <c r="D1008" s="286"/>
      <c r="E1008" s="286"/>
      <c r="F1008" s="286"/>
      <c r="G1008" s="286"/>
      <c r="H1008" s="286"/>
      <c r="I1008" s="286"/>
      <c r="J1008" s="286"/>
      <c r="K1008" s="285"/>
    </row>
    <row r="1009" spans="1:11" x14ac:dyDescent="0.2">
      <c r="A1009" s="285"/>
      <c r="B1009" s="285"/>
      <c r="C1009" s="285"/>
      <c r="D1009" s="286"/>
      <c r="E1009" s="286"/>
      <c r="F1009" s="286"/>
      <c r="G1009" s="286"/>
      <c r="H1009" s="286"/>
      <c r="I1009" s="286"/>
      <c r="J1009" s="286"/>
      <c r="K1009" s="285"/>
    </row>
    <row r="1010" spans="1:11" x14ac:dyDescent="0.2">
      <c r="A1010" s="285"/>
      <c r="B1010" s="285"/>
      <c r="C1010" s="285"/>
      <c r="D1010" s="286"/>
      <c r="E1010" s="286"/>
      <c r="F1010" s="286"/>
      <c r="G1010" s="286"/>
      <c r="H1010" s="286"/>
      <c r="I1010" s="286"/>
      <c r="J1010" s="286"/>
      <c r="K1010" s="285"/>
    </row>
    <row r="1011" spans="1:11" x14ac:dyDescent="0.2">
      <c r="A1011" s="285"/>
      <c r="B1011" s="285"/>
      <c r="C1011" s="285"/>
      <c r="D1011" s="286"/>
      <c r="E1011" s="286"/>
      <c r="F1011" s="286"/>
      <c r="G1011" s="286"/>
      <c r="H1011" s="286"/>
      <c r="I1011" s="286"/>
      <c r="J1011" s="286"/>
      <c r="K1011" s="285"/>
    </row>
    <row r="1012" spans="1:11" x14ac:dyDescent="0.2">
      <c r="A1012" s="285"/>
      <c r="B1012" s="285"/>
      <c r="C1012" s="285"/>
      <c r="D1012" s="286"/>
      <c r="E1012" s="286"/>
      <c r="F1012" s="286"/>
      <c r="G1012" s="286"/>
      <c r="H1012" s="286"/>
      <c r="I1012" s="286"/>
      <c r="J1012" s="286"/>
      <c r="K1012" s="285"/>
    </row>
    <row r="1013" spans="1:11" x14ac:dyDescent="0.2">
      <c r="A1013" s="285"/>
      <c r="B1013" s="285"/>
      <c r="C1013" s="285"/>
      <c r="D1013" s="286"/>
      <c r="E1013" s="286"/>
      <c r="F1013" s="286"/>
      <c r="G1013" s="286"/>
      <c r="H1013" s="286"/>
      <c r="I1013" s="286"/>
      <c r="J1013" s="286"/>
      <c r="K1013" s="285"/>
    </row>
    <row r="1014" spans="1:11" x14ac:dyDescent="0.2">
      <c r="A1014" s="285"/>
      <c r="B1014" s="285"/>
      <c r="C1014" s="285"/>
      <c r="D1014" s="286"/>
      <c r="E1014" s="286"/>
      <c r="F1014" s="286"/>
      <c r="G1014" s="286"/>
      <c r="H1014" s="286"/>
      <c r="I1014" s="286"/>
      <c r="J1014" s="286"/>
      <c r="K1014" s="285"/>
    </row>
    <row r="1015" spans="1:11" x14ac:dyDescent="0.2">
      <c r="A1015" s="285"/>
      <c r="B1015" s="285"/>
      <c r="C1015" s="285"/>
      <c r="D1015" s="286"/>
      <c r="E1015" s="286"/>
      <c r="F1015" s="286"/>
      <c r="G1015" s="286"/>
      <c r="H1015" s="286"/>
      <c r="I1015" s="286"/>
      <c r="J1015" s="286"/>
      <c r="K1015" s="285"/>
    </row>
    <row r="1016" spans="1:11" x14ac:dyDescent="0.2">
      <c r="A1016" s="285"/>
      <c r="B1016" s="285"/>
      <c r="C1016" s="285"/>
      <c r="D1016" s="286"/>
      <c r="E1016" s="286"/>
      <c r="F1016" s="286"/>
      <c r="G1016" s="286"/>
      <c r="H1016" s="286"/>
      <c r="I1016" s="286"/>
      <c r="J1016" s="286"/>
      <c r="K1016" s="285"/>
    </row>
    <row r="1017" spans="1:11" x14ac:dyDescent="0.2">
      <c r="A1017" s="285"/>
      <c r="B1017" s="285"/>
      <c r="C1017" s="285"/>
      <c r="D1017" s="286"/>
      <c r="E1017" s="286"/>
      <c r="F1017" s="286"/>
      <c r="G1017" s="286"/>
      <c r="H1017" s="286"/>
      <c r="I1017" s="286"/>
      <c r="J1017" s="286"/>
      <c r="K1017" s="285"/>
    </row>
    <row r="1018" spans="1:11" x14ac:dyDescent="0.2">
      <c r="A1018" s="285"/>
      <c r="B1018" s="285"/>
      <c r="C1018" s="285"/>
      <c r="D1018" s="286"/>
      <c r="E1018" s="286"/>
      <c r="F1018" s="286"/>
      <c r="G1018" s="286"/>
      <c r="H1018" s="286"/>
      <c r="I1018" s="286"/>
      <c r="J1018" s="286"/>
      <c r="K1018" s="285"/>
    </row>
    <row r="1019" spans="1:11" x14ac:dyDescent="0.2">
      <c r="A1019" s="285"/>
      <c r="B1019" s="285"/>
      <c r="C1019" s="285"/>
      <c r="D1019" s="286"/>
      <c r="E1019" s="286"/>
      <c r="F1019" s="286"/>
      <c r="G1019" s="286"/>
      <c r="H1019" s="286"/>
      <c r="I1019" s="286"/>
      <c r="J1019" s="286"/>
      <c r="K1019" s="285"/>
    </row>
    <row r="1020" spans="1:11" x14ac:dyDescent="0.2">
      <c r="A1020" s="285"/>
      <c r="B1020" s="285"/>
      <c r="C1020" s="285"/>
      <c r="D1020" s="286"/>
      <c r="E1020" s="286"/>
      <c r="F1020" s="286"/>
      <c r="G1020" s="286"/>
      <c r="H1020" s="286"/>
      <c r="I1020" s="286"/>
      <c r="J1020" s="286"/>
      <c r="K1020" s="285"/>
    </row>
    <row r="1022" spans="1:11" x14ac:dyDescent="0.2">
      <c r="A1022" s="285"/>
      <c r="B1022" s="285"/>
      <c r="C1022" s="285"/>
      <c r="D1022" s="286"/>
      <c r="E1022" s="286"/>
      <c r="F1022" s="286"/>
      <c r="G1022" s="286"/>
      <c r="H1022" s="286"/>
      <c r="I1022" s="286"/>
      <c r="J1022" s="286"/>
      <c r="K1022" s="285"/>
    </row>
    <row r="1023" spans="1:11" x14ac:dyDescent="0.2">
      <c r="A1023" s="285"/>
      <c r="B1023" s="285"/>
      <c r="C1023" s="285"/>
      <c r="D1023" s="286"/>
      <c r="E1023" s="286"/>
      <c r="F1023" s="286"/>
      <c r="G1023" s="286"/>
      <c r="H1023" s="286"/>
      <c r="I1023" s="286"/>
      <c r="J1023" s="286"/>
      <c r="K1023" s="285"/>
    </row>
    <row r="1024" spans="1:11" x14ac:dyDescent="0.2">
      <c r="A1024" s="285"/>
      <c r="B1024" s="285"/>
      <c r="C1024" s="285"/>
      <c r="D1024" s="286"/>
      <c r="E1024" s="286"/>
      <c r="F1024" s="286"/>
      <c r="G1024" s="286"/>
      <c r="H1024" s="286"/>
      <c r="I1024" s="286"/>
      <c r="J1024" s="286"/>
      <c r="K1024" s="285"/>
    </row>
    <row r="1025" spans="1:11" x14ac:dyDescent="0.2">
      <c r="A1025" s="285"/>
      <c r="B1025" s="285"/>
      <c r="C1025" s="285"/>
      <c r="D1025" s="286"/>
      <c r="E1025" s="286"/>
      <c r="F1025" s="286"/>
      <c r="G1025" s="286"/>
      <c r="H1025" s="286"/>
      <c r="I1025" s="286"/>
      <c r="J1025" s="286"/>
      <c r="K1025" s="285"/>
    </row>
    <row r="1026" spans="1:11" x14ac:dyDescent="0.2">
      <c r="A1026" s="285"/>
      <c r="B1026" s="285"/>
      <c r="C1026" s="285"/>
      <c r="D1026" s="286"/>
      <c r="E1026" s="286"/>
      <c r="F1026" s="286"/>
      <c r="G1026" s="286"/>
      <c r="H1026" s="286"/>
      <c r="I1026" s="286"/>
      <c r="J1026" s="286"/>
      <c r="K1026" s="285"/>
    </row>
    <row r="1027" spans="1:11" x14ac:dyDescent="0.2">
      <c r="A1027" s="285"/>
      <c r="B1027" s="285"/>
      <c r="C1027" s="285"/>
      <c r="D1027" s="286"/>
      <c r="E1027" s="286"/>
      <c r="F1027" s="286"/>
      <c r="G1027" s="286"/>
      <c r="H1027" s="286"/>
      <c r="I1027" s="286"/>
      <c r="J1027" s="286"/>
      <c r="K1027" s="285"/>
    </row>
    <row r="1028" spans="1:11" x14ac:dyDescent="0.2">
      <c r="A1028" s="285"/>
      <c r="B1028" s="285"/>
      <c r="C1028" s="285"/>
      <c r="D1028" s="286"/>
      <c r="E1028" s="286"/>
      <c r="F1028" s="286"/>
      <c r="G1028" s="286"/>
      <c r="H1028" s="286"/>
      <c r="I1028" s="286"/>
      <c r="J1028" s="286"/>
      <c r="K1028" s="285"/>
    </row>
    <row r="1029" spans="1:11" x14ac:dyDescent="0.2">
      <c r="A1029" s="285"/>
      <c r="B1029" s="285"/>
      <c r="C1029" s="285"/>
      <c r="D1029" s="286"/>
      <c r="E1029" s="286"/>
      <c r="F1029" s="286"/>
      <c r="G1029" s="286"/>
      <c r="H1029" s="286"/>
      <c r="I1029" s="286"/>
      <c r="J1029" s="286"/>
      <c r="K1029" s="285"/>
    </row>
    <row r="1030" spans="1:11" x14ac:dyDescent="0.2">
      <c r="A1030" s="285"/>
      <c r="B1030" s="285"/>
      <c r="C1030" s="285"/>
      <c r="D1030" s="286"/>
      <c r="E1030" s="286"/>
      <c r="F1030" s="286"/>
      <c r="G1030" s="286"/>
      <c r="H1030" s="286"/>
      <c r="I1030" s="286"/>
      <c r="J1030" s="286"/>
      <c r="K1030" s="285"/>
    </row>
    <row r="1031" spans="1:11" x14ac:dyDescent="0.2">
      <c r="A1031" s="285"/>
      <c r="B1031" s="285"/>
      <c r="C1031" s="285"/>
      <c r="D1031" s="286"/>
      <c r="E1031" s="286"/>
      <c r="F1031" s="286"/>
      <c r="G1031" s="286"/>
      <c r="H1031" s="286"/>
      <c r="I1031" s="286"/>
      <c r="J1031" s="286"/>
      <c r="K1031" s="285"/>
    </row>
    <row r="1032" spans="1:11" x14ac:dyDescent="0.2">
      <c r="A1032" s="285"/>
      <c r="B1032" s="285"/>
      <c r="C1032" s="285"/>
      <c r="D1032" s="286"/>
      <c r="E1032" s="286"/>
      <c r="F1032" s="286"/>
      <c r="G1032" s="286"/>
      <c r="H1032" s="286"/>
      <c r="I1032" s="286"/>
      <c r="J1032" s="286"/>
      <c r="K1032" s="285"/>
    </row>
    <row r="1034" spans="1:11" x14ac:dyDescent="0.2">
      <c r="A1034" s="285"/>
      <c r="B1034" s="285"/>
      <c r="C1034" s="285"/>
      <c r="D1034" s="286"/>
      <c r="E1034" s="286"/>
      <c r="F1034" s="286"/>
      <c r="G1034" s="286"/>
      <c r="H1034" s="286"/>
      <c r="I1034" s="286"/>
      <c r="J1034" s="286"/>
      <c r="K1034" s="285"/>
    </row>
    <row r="1035" spans="1:11" x14ac:dyDescent="0.2">
      <c r="A1035" s="285"/>
      <c r="B1035" s="285"/>
      <c r="C1035" s="285"/>
      <c r="D1035" s="286"/>
      <c r="E1035" s="286"/>
      <c r="F1035" s="286"/>
      <c r="G1035" s="286"/>
      <c r="H1035" s="286"/>
      <c r="I1035" s="286"/>
      <c r="J1035" s="286"/>
      <c r="K1035" s="285"/>
    </row>
    <row r="1036" spans="1:11" x14ac:dyDescent="0.2">
      <c r="A1036" s="285"/>
      <c r="B1036" s="285"/>
      <c r="C1036" s="285"/>
      <c r="D1036" s="286"/>
      <c r="E1036" s="286"/>
      <c r="F1036" s="286"/>
      <c r="G1036" s="286"/>
      <c r="H1036" s="286"/>
      <c r="I1036" s="286"/>
      <c r="J1036" s="286"/>
      <c r="K1036" s="285"/>
    </row>
    <row r="1037" spans="1:11" x14ac:dyDescent="0.2">
      <c r="A1037" s="285"/>
      <c r="B1037" s="285"/>
      <c r="C1037" s="285"/>
      <c r="D1037" s="286"/>
      <c r="E1037" s="286"/>
      <c r="F1037" s="286"/>
      <c r="G1037" s="286"/>
      <c r="H1037" s="286"/>
      <c r="I1037" s="286"/>
      <c r="J1037" s="286"/>
      <c r="K1037" s="285"/>
    </row>
    <row r="1038" spans="1:11" x14ac:dyDescent="0.2">
      <c r="A1038" s="285"/>
      <c r="B1038" s="285"/>
      <c r="C1038" s="285"/>
      <c r="D1038" s="286"/>
      <c r="E1038" s="286"/>
      <c r="F1038" s="286"/>
      <c r="G1038" s="286"/>
      <c r="H1038" s="286"/>
      <c r="I1038" s="286"/>
      <c r="J1038" s="286"/>
      <c r="K1038" s="285"/>
    </row>
    <row r="1039" spans="1:11" x14ac:dyDescent="0.2">
      <c r="A1039" s="285"/>
      <c r="B1039" s="285"/>
      <c r="C1039" s="285"/>
      <c r="D1039" s="286"/>
      <c r="E1039" s="286"/>
      <c r="F1039" s="286"/>
      <c r="G1039" s="286"/>
      <c r="H1039" s="286"/>
      <c r="I1039" s="286"/>
      <c r="J1039" s="286"/>
      <c r="K1039" s="285"/>
    </row>
    <row r="1040" spans="1:11" x14ac:dyDescent="0.2">
      <c r="A1040" s="285"/>
      <c r="B1040" s="285"/>
      <c r="C1040" s="285"/>
      <c r="D1040" s="286"/>
      <c r="E1040" s="286"/>
      <c r="F1040" s="286"/>
      <c r="G1040" s="286"/>
      <c r="H1040" s="286"/>
      <c r="I1040" s="286"/>
      <c r="J1040" s="286"/>
      <c r="K1040" s="285"/>
    </row>
    <row r="1041" spans="1:11" x14ac:dyDescent="0.2">
      <c r="A1041" s="285"/>
      <c r="B1041" s="285"/>
      <c r="C1041" s="285"/>
      <c r="D1041" s="286"/>
      <c r="E1041" s="286"/>
      <c r="F1041" s="286"/>
      <c r="G1041" s="286"/>
      <c r="H1041" s="286"/>
      <c r="I1041" s="286"/>
      <c r="J1041" s="286"/>
      <c r="K1041" s="285"/>
    </row>
    <row r="1042" spans="1:11" x14ac:dyDescent="0.2">
      <c r="A1042" s="285"/>
      <c r="B1042" s="285"/>
      <c r="C1042" s="285"/>
      <c r="D1042" s="286"/>
      <c r="E1042" s="286"/>
      <c r="F1042" s="286"/>
      <c r="G1042" s="286"/>
      <c r="H1042" s="286"/>
      <c r="I1042" s="286"/>
      <c r="J1042" s="286"/>
      <c r="K1042" s="285"/>
    </row>
    <row r="1043" spans="1:11" x14ac:dyDescent="0.2">
      <c r="A1043" s="285"/>
      <c r="B1043" s="285"/>
      <c r="C1043" s="285"/>
      <c r="D1043" s="286"/>
      <c r="E1043" s="286"/>
      <c r="F1043" s="286"/>
      <c r="G1043" s="286"/>
      <c r="H1043" s="286"/>
      <c r="I1043" s="286"/>
      <c r="J1043" s="286"/>
      <c r="K1043" s="285"/>
    </row>
    <row r="1044" spans="1:11" x14ac:dyDescent="0.2">
      <c r="A1044" s="285"/>
      <c r="B1044" s="285"/>
      <c r="C1044" s="285"/>
      <c r="D1044" s="286"/>
      <c r="E1044" s="286"/>
      <c r="F1044" s="286"/>
      <c r="G1044" s="286"/>
      <c r="H1044" s="286"/>
      <c r="I1044" s="286"/>
      <c r="J1044" s="286"/>
      <c r="K1044" s="285"/>
    </row>
    <row r="1045" spans="1:11" x14ac:dyDescent="0.2">
      <c r="A1045" s="285"/>
      <c r="B1045" s="285"/>
      <c r="C1045" s="285"/>
      <c r="D1045" s="286"/>
      <c r="E1045" s="286"/>
      <c r="F1045" s="286"/>
      <c r="G1045" s="286"/>
      <c r="H1045" s="286"/>
      <c r="I1045" s="286"/>
      <c r="J1045" s="286"/>
      <c r="K1045" s="285"/>
    </row>
    <row r="1046" spans="1:11" x14ac:dyDescent="0.2">
      <c r="A1046" s="285"/>
      <c r="B1046" s="285"/>
      <c r="C1046" s="285"/>
      <c r="D1046" s="286"/>
      <c r="E1046" s="286"/>
      <c r="F1046" s="286"/>
      <c r="G1046" s="286"/>
      <c r="H1046" s="286"/>
      <c r="I1046" s="286"/>
      <c r="J1046" s="286"/>
      <c r="K1046" s="285"/>
    </row>
    <row r="1047" spans="1:11" x14ac:dyDescent="0.2">
      <c r="A1047" s="285"/>
      <c r="B1047" s="285"/>
      <c r="C1047" s="285"/>
      <c r="D1047" s="286"/>
      <c r="E1047" s="286"/>
      <c r="F1047" s="286"/>
      <c r="G1047" s="286"/>
      <c r="H1047" s="286"/>
      <c r="I1047" s="286"/>
      <c r="J1047" s="286"/>
      <c r="K1047" s="285"/>
    </row>
    <row r="1048" spans="1:11" x14ac:dyDescent="0.2">
      <c r="A1048" s="285"/>
      <c r="B1048" s="285"/>
      <c r="C1048" s="285"/>
      <c r="D1048" s="286"/>
      <c r="E1048" s="286"/>
      <c r="F1048" s="286"/>
      <c r="G1048" s="286"/>
      <c r="H1048" s="286"/>
      <c r="I1048" s="286"/>
      <c r="J1048" s="286"/>
      <c r="K1048" s="285"/>
    </row>
    <row r="1049" spans="1:11" x14ac:dyDescent="0.2">
      <c r="A1049" s="285"/>
      <c r="B1049" s="285"/>
      <c r="C1049" s="285"/>
      <c r="D1049" s="286"/>
      <c r="E1049" s="286"/>
      <c r="F1049" s="286"/>
      <c r="G1049" s="286"/>
      <c r="H1049" s="286"/>
      <c r="I1049" s="286"/>
      <c r="J1049" s="286"/>
      <c r="K1049" s="285"/>
    </row>
    <row r="1050" spans="1:11" x14ac:dyDescent="0.2">
      <c r="A1050" s="285"/>
      <c r="B1050" s="285"/>
      <c r="C1050" s="285"/>
      <c r="D1050" s="286"/>
      <c r="E1050" s="286"/>
      <c r="F1050" s="286"/>
      <c r="G1050" s="286"/>
      <c r="H1050" s="286"/>
      <c r="I1050" s="286"/>
      <c r="J1050" s="286"/>
      <c r="K1050" s="285"/>
    </row>
    <row r="1051" spans="1:11" x14ac:dyDescent="0.2">
      <c r="A1051" s="285"/>
      <c r="B1051" s="285"/>
      <c r="C1051" s="285"/>
      <c r="D1051" s="286"/>
      <c r="E1051" s="286"/>
      <c r="F1051" s="286"/>
      <c r="G1051" s="286"/>
      <c r="H1051" s="286"/>
      <c r="I1051" s="286"/>
      <c r="J1051" s="286"/>
      <c r="K1051" s="285"/>
    </row>
    <row r="1052" spans="1:11" x14ac:dyDescent="0.2">
      <c r="A1052" s="285"/>
      <c r="B1052" s="285"/>
      <c r="C1052" s="285"/>
      <c r="D1052" s="286"/>
      <c r="E1052" s="286"/>
      <c r="F1052" s="286"/>
      <c r="G1052" s="286"/>
      <c r="H1052" s="286"/>
      <c r="I1052" s="286"/>
      <c r="J1052" s="286"/>
      <c r="K1052" s="285"/>
    </row>
    <row r="1053" spans="1:11" x14ac:dyDescent="0.2">
      <c r="A1053" s="285"/>
      <c r="B1053" s="285"/>
      <c r="C1053" s="285"/>
      <c r="D1053" s="286"/>
      <c r="E1053" s="286"/>
      <c r="F1053" s="286"/>
      <c r="G1053" s="286"/>
      <c r="H1053" s="286"/>
      <c r="I1053" s="286"/>
      <c r="J1053" s="286"/>
      <c r="K1053" s="285"/>
    </row>
    <row r="1054" spans="1:11" x14ac:dyDescent="0.2">
      <c r="A1054" s="285"/>
      <c r="B1054" s="285"/>
      <c r="C1054" s="285"/>
      <c r="D1054" s="286"/>
      <c r="E1054" s="286"/>
      <c r="F1054" s="286"/>
      <c r="G1054" s="286"/>
      <c r="H1054" s="286"/>
      <c r="I1054" s="286"/>
      <c r="J1054" s="286"/>
      <c r="K1054" s="285"/>
    </row>
    <row r="1055" spans="1:11" x14ac:dyDescent="0.2">
      <c r="A1055" s="285"/>
      <c r="B1055" s="285"/>
      <c r="C1055" s="285"/>
      <c r="D1055" s="286"/>
      <c r="E1055" s="286"/>
      <c r="F1055" s="286"/>
      <c r="G1055" s="286"/>
      <c r="H1055" s="286"/>
      <c r="I1055" s="286"/>
      <c r="J1055" s="286"/>
      <c r="K1055" s="285"/>
    </row>
    <row r="1056" spans="1:11" x14ac:dyDescent="0.2">
      <c r="A1056" s="285"/>
      <c r="B1056" s="285"/>
      <c r="C1056" s="285"/>
      <c r="D1056" s="286"/>
      <c r="E1056" s="286"/>
      <c r="F1056" s="286"/>
      <c r="G1056" s="286"/>
      <c r="H1056" s="286"/>
      <c r="I1056" s="286"/>
      <c r="J1056" s="286"/>
      <c r="K1056" s="285"/>
    </row>
    <row r="1057" spans="1:11" x14ac:dyDescent="0.2">
      <c r="A1057" s="285"/>
      <c r="B1057" s="285"/>
      <c r="C1057" s="285"/>
      <c r="D1057" s="286"/>
      <c r="E1057" s="286"/>
      <c r="F1057" s="286"/>
      <c r="G1057" s="286"/>
      <c r="H1057" s="286"/>
      <c r="I1057" s="286"/>
      <c r="J1057" s="286"/>
      <c r="K1057" s="285"/>
    </row>
    <row r="1058" spans="1:11" x14ac:dyDescent="0.2">
      <c r="A1058" s="285"/>
      <c r="B1058" s="285"/>
      <c r="C1058" s="285"/>
      <c r="D1058" s="286"/>
      <c r="E1058" s="286"/>
      <c r="F1058" s="286"/>
      <c r="G1058" s="286"/>
      <c r="H1058" s="286"/>
      <c r="I1058" s="286"/>
      <c r="J1058" s="286"/>
      <c r="K1058" s="285"/>
    </row>
    <row r="1059" spans="1:11" x14ac:dyDescent="0.2">
      <c r="A1059" s="285"/>
      <c r="B1059" s="285"/>
      <c r="C1059" s="285"/>
      <c r="D1059" s="286"/>
      <c r="E1059" s="286"/>
      <c r="F1059" s="286"/>
      <c r="G1059" s="286"/>
      <c r="H1059" s="286"/>
      <c r="I1059" s="286"/>
      <c r="J1059" s="286"/>
      <c r="K1059" s="285"/>
    </row>
    <row r="1067" spans="1:11" x14ac:dyDescent="0.2">
      <c r="D1067" s="315"/>
      <c r="E1067" s="316"/>
      <c r="F1067" s="316"/>
      <c r="G1067" s="316"/>
      <c r="H1067" s="317"/>
      <c r="I1067" s="288"/>
      <c r="J1067" s="288"/>
      <c r="K1067" s="290"/>
    </row>
    <row r="1068" spans="1:11" x14ac:dyDescent="0.2">
      <c r="D1068" s="288"/>
      <c r="E1068" s="288"/>
      <c r="F1068" s="288"/>
      <c r="G1068" s="288"/>
      <c r="H1068" s="289"/>
      <c r="I1068" s="288"/>
      <c r="J1068" s="288"/>
      <c r="K1068" s="290"/>
    </row>
    <row r="1069" spans="1:11" x14ac:dyDescent="0.2">
      <c r="D1069" s="286"/>
      <c r="E1069" s="286"/>
      <c r="F1069" s="286"/>
      <c r="G1069" s="286"/>
      <c r="H1069" s="286"/>
      <c r="I1069" s="286"/>
      <c r="J1069" s="286"/>
      <c r="K1069" s="285"/>
    </row>
    <row r="1070" spans="1:11" x14ac:dyDescent="0.2">
      <c r="D1070" s="286"/>
      <c r="E1070" s="286"/>
      <c r="F1070" s="286"/>
      <c r="G1070" s="286"/>
      <c r="H1070" s="286"/>
      <c r="I1070" s="286"/>
      <c r="J1070" s="286"/>
      <c r="K1070" s="285"/>
    </row>
    <row r="1071" spans="1:11" x14ac:dyDescent="0.2">
      <c r="D1071" s="286"/>
      <c r="E1071" s="286"/>
      <c r="F1071" s="286"/>
      <c r="G1071" s="286"/>
      <c r="H1071" s="287"/>
      <c r="I1071" s="286"/>
      <c r="J1071" s="286"/>
      <c r="K1071" s="285"/>
    </row>
    <row r="1072" spans="1:11" x14ac:dyDescent="0.2">
      <c r="D1072" s="286"/>
      <c r="E1072" s="286"/>
      <c r="F1072" s="286"/>
      <c r="G1072" s="286"/>
      <c r="H1072" s="287"/>
      <c r="I1072" s="286"/>
      <c r="J1072" s="286"/>
      <c r="K1072" s="285"/>
    </row>
    <row r="1073" spans="3:11" x14ac:dyDescent="0.2">
      <c r="D1073" s="286"/>
      <c r="E1073" s="286"/>
      <c r="F1073" s="286"/>
      <c r="G1073" s="286"/>
      <c r="H1073" s="287"/>
      <c r="I1073" s="286"/>
      <c r="J1073" s="286"/>
      <c r="K1073" s="285"/>
    </row>
    <row r="1074" spans="3:11" x14ac:dyDescent="0.2">
      <c r="C1074" s="285"/>
      <c r="D1074" s="288"/>
      <c r="E1074" s="291"/>
      <c r="F1074" s="288"/>
      <c r="G1074" s="288"/>
      <c r="H1074" s="289"/>
      <c r="I1074" s="288"/>
      <c r="J1074" s="288"/>
    </row>
    <row r="1075" spans="3:11" x14ac:dyDescent="0.2">
      <c r="C1075" s="285"/>
      <c r="D1075" s="288"/>
      <c r="E1075" s="288"/>
      <c r="F1075" s="288"/>
      <c r="G1075" s="288"/>
      <c r="H1075" s="289"/>
      <c r="I1075" s="288"/>
      <c r="J1075" s="288"/>
    </row>
    <row r="1076" spans="3:11" x14ac:dyDescent="0.2">
      <c r="C1076" s="285"/>
      <c r="D1076" s="288"/>
      <c r="E1076" s="288"/>
      <c r="F1076" s="288"/>
      <c r="G1076" s="288"/>
      <c r="H1076" s="289"/>
      <c r="I1076" s="288"/>
      <c r="J1076" s="288"/>
    </row>
    <row r="1077" spans="3:11" x14ac:dyDescent="0.2">
      <c r="C1077" s="285"/>
      <c r="D1077" s="315"/>
      <c r="E1077" s="316"/>
      <c r="F1077" s="316"/>
      <c r="G1077" s="316"/>
      <c r="H1077" s="317"/>
      <c r="I1077" s="288"/>
      <c r="J1077" s="288"/>
    </row>
    <row r="1078" spans="3:11" x14ac:dyDescent="0.2">
      <c r="C1078" s="285"/>
      <c r="D1078" s="288"/>
      <c r="E1078" s="288"/>
      <c r="F1078" s="288"/>
      <c r="G1078" s="288"/>
      <c r="H1078" s="289"/>
      <c r="I1078" s="288"/>
      <c r="J1078" s="288"/>
    </row>
    <row r="1079" spans="3:11" x14ac:dyDescent="0.2">
      <c r="C1079" s="285"/>
      <c r="D1079" s="286"/>
      <c r="E1079" s="286"/>
      <c r="F1079" s="286"/>
      <c r="G1079" s="286"/>
      <c r="H1079" s="286"/>
      <c r="I1079" s="286"/>
      <c r="J1079" s="286"/>
    </row>
    <row r="1080" spans="3:11" x14ac:dyDescent="0.2">
      <c r="C1080" s="285"/>
      <c r="D1080" s="286"/>
      <c r="E1080" s="286"/>
      <c r="F1080" s="286"/>
      <c r="G1080" s="286"/>
      <c r="H1080" s="286"/>
      <c r="I1080" s="286"/>
      <c r="J1080" s="286"/>
    </row>
    <row r="1081" spans="3:11" x14ac:dyDescent="0.2">
      <c r="C1081" s="285"/>
      <c r="D1081" s="286"/>
      <c r="E1081" s="286"/>
      <c r="F1081" s="286"/>
      <c r="G1081" s="286"/>
      <c r="H1081" s="287"/>
      <c r="I1081" s="286"/>
      <c r="J1081" s="286"/>
    </row>
    <row r="1082" spans="3:11" x14ac:dyDescent="0.2">
      <c r="C1082" s="285"/>
      <c r="D1082" s="286"/>
      <c r="E1082" s="286"/>
      <c r="F1082" s="286"/>
      <c r="G1082" s="286"/>
      <c r="H1082" s="287"/>
      <c r="I1082" s="286"/>
      <c r="J1082" s="286"/>
    </row>
    <row r="1083" spans="3:11" x14ac:dyDescent="0.2">
      <c r="C1083" s="285"/>
      <c r="D1083" s="286"/>
      <c r="E1083" s="286"/>
      <c r="F1083" s="286"/>
      <c r="G1083" s="286"/>
      <c r="H1083" s="287"/>
      <c r="I1083" s="286"/>
      <c r="J1083" s="286"/>
    </row>
    <row r="1084" spans="3:11" x14ac:dyDescent="0.2">
      <c r="C1084" s="285"/>
      <c r="D1084" s="286"/>
      <c r="E1084" s="286"/>
      <c r="F1084" s="286"/>
      <c r="G1084" s="286"/>
      <c r="H1084" s="287"/>
      <c r="I1084" s="286"/>
      <c r="J1084" s="286"/>
    </row>
    <row r="1085" spans="3:11" x14ac:dyDescent="0.2">
      <c r="D1085" s="288"/>
      <c r="E1085" s="288"/>
      <c r="F1085" s="288"/>
      <c r="G1085" s="288"/>
      <c r="H1085" s="289"/>
      <c r="I1085" s="288"/>
      <c r="J1085" s="286"/>
      <c r="K1085" s="285"/>
    </row>
    <row r="1086" spans="3:11" x14ac:dyDescent="0.2">
      <c r="D1086" s="315"/>
      <c r="E1086" s="316"/>
      <c r="F1086" s="316"/>
      <c r="G1086" s="316"/>
      <c r="H1086" s="317"/>
      <c r="I1086" s="286"/>
      <c r="J1086" s="286"/>
      <c r="K1086" s="290"/>
    </row>
    <row r="1087" spans="3:11" x14ac:dyDescent="0.2">
      <c r="D1087" s="288"/>
      <c r="E1087" s="288"/>
      <c r="F1087" s="288"/>
      <c r="G1087" s="288"/>
      <c r="H1087" s="289"/>
      <c r="I1087" s="288"/>
      <c r="J1087" s="286"/>
      <c r="K1087" s="290"/>
    </row>
    <row r="1088" spans="3:11" x14ac:dyDescent="0.2">
      <c r="D1088" s="286"/>
      <c r="E1088" s="286"/>
      <c r="F1088" s="286"/>
      <c r="G1088" s="286"/>
      <c r="H1088" s="286"/>
      <c r="I1088" s="288"/>
      <c r="J1088" s="286"/>
      <c r="K1088" s="290"/>
    </row>
    <row r="1089" spans="4:11" x14ac:dyDescent="0.2">
      <c r="D1089" s="494"/>
      <c r="E1089" s="495"/>
      <c r="F1089" s="494"/>
      <c r="G1089" s="494"/>
      <c r="H1089" s="496"/>
      <c r="I1089" s="494"/>
      <c r="J1089" s="494"/>
      <c r="K1089" s="497"/>
    </row>
    <row r="1090" spans="4:11" x14ac:dyDescent="0.2">
      <c r="D1090" s="494"/>
      <c r="E1090" s="494"/>
      <c r="F1090" s="494"/>
      <c r="G1090" s="494"/>
      <c r="H1090" s="496"/>
      <c r="I1090" s="494"/>
      <c r="J1090" s="494"/>
      <c r="K1090" s="497"/>
    </row>
    <row r="1091" spans="4:11" x14ac:dyDescent="0.2">
      <c r="D1091" s="494"/>
      <c r="E1091" s="494"/>
      <c r="F1091" s="494"/>
      <c r="G1091" s="494"/>
      <c r="H1091" s="496"/>
      <c r="I1091" s="494"/>
      <c r="J1091" s="494"/>
      <c r="K1091" s="497"/>
    </row>
    <row r="1092" spans="4:11" x14ac:dyDescent="0.2">
      <c r="D1092" s="498"/>
      <c r="E1092" s="499"/>
      <c r="F1092" s="499"/>
      <c r="G1092" s="499"/>
      <c r="H1092" s="500"/>
      <c r="I1092" s="494"/>
      <c r="J1092" s="494"/>
      <c r="K1092" s="497"/>
    </row>
    <row r="1093" spans="4:11" x14ac:dyDescent="0.2">
      <c r="D1093" s="494"/>
      <c r="E1093" s="494"/>
      <c r="F1093" s="494"/>
      <c r="G1093" s="494"/>
      <c r="H1093" s="496"/>
      <c r="I1093" s="494"/>
      <c r="J1093" s="494"/>
      <c r="K1093" s="497"/>
    </row>
    <row r="1094" spans="4:11" x14ac:dyDescent="0.2">
      <c r="D1094" s="286"/>
      <c r="E1094" s="286"/>
      <c r="F1094" s="286"/>
      <c r="G1094" s="286"/>
      <c r="H1094" s="287"/>
      <c r="I1094" s="286"/>
      <c r="J1094" s="286"/>
      <c r="K1094" s="285"/>
    </row>
    <row r="1095" spans="4:11" x14ac:dyDescent="0.2">
      <c r="D1095" s="286"/>
      <c r="E1095" s="286"/>
      <c r="F1095" s="286"/>
      <c r="G1095" s="286"/>
      <c r="H1095" s="287"/>
      <c r="I1095" s="286"/>
      <c r="J1095" s="286"/>
      <c r="K1095" s="285"/>
    </row>
    <row r="1096" spans="4:11" x14ac:dyDescent="0.2">
      <c r="D1096" s="286"/>
      <c r="E1096" s="286"/>
      <c r="F1096" s="286"/>
      <c r="G1096" s="286"/>
      <c r="H1096" s="286"/>
      <c r="I1096" s="286"/>
      <c r="J1096" s="286"/>
      <c r="K1096" s="285"/>
    </row>
    <row r="1097" spans="4:11" x14ac:dyDescent="0.2">
      <c r="D1097" s="286"/>
      <c r="E1097" s="286"/>
      <c r="F1097" s="286"/>
      <c r="G1097" s="286"/>
      <c r="H1097" s="286"/>
      <c r="I1097" s="286"/>
      <c r="J1097" s="286"/>
      <c r="K1097" s="285"/>
    </row>
    <row r="1098" spans="4:11" x14ac:dyDescent="0.2">
      <c r="D1098" s="286"/>
      <c r="E1098" s="286"/>
      <c r="F1098" s="286"/>
      <c r="G1098" s="286"/>
      <c r="H1098" s="286"/>
      <c r="I1098" s="286"/>
      <c r="J1098" s="286"/>
      <c r="K1098" s="285"/>
    </row>
    <row r="1099" spans="4:11" x14ac:dyDescent="0.2">
      <c r="D1099" s="286"/>
      <c r="E1099" s="286"/>
      <c r="F1099" s="286"/>
      <c r="G1099" s="286"/>
      <c r="H1099" s="286"/>
      <c r="I1099" s="286"/>
      <c r="J1099" s="286"/>
      <c r="K1099" s="285"/>
    </row>
    <row r="1100" spans="4:11" x14ac:dyDescent="0.2">
      <c r="D1100" s="286"/>
      <c r="E1100" s="286"/>
      <c r="F1100" s="286"/>
      <c r="G1100" s="286"/>
      <c r="H1100" s="287"/>
      <c r="I1100" s="286"/>
      <c r="J1100" s="286"/>
      <c r="K1100" s="285"/>
    </row>
    <row r="1115" spans="4:10" x14ac:dyDescent="0.2">
      <c r="D1115" s="286"/>
      <c r="E1115" s="286"/>
      <c r="F1115" s="286"/>
      <c r="G1115" s="286"/>
      <c r="H1115" s="287"/>
      <c r="I1115" s="286"/>
      <c r="J1115" s="286"/>
    </row>
    <row r="1116" spans="4:10" x14ac:dyDescent="0.2">
      <c r="D1116" s="286"/>
      <c r="E1116" s="286"/>
      <c r="F1116" s="286"/>
      <c r="G1116" s="286"/>
      <c r="H1116" s="287"/>
      <c r="I1116" s="286"/>
      <c r="J1116" s="286"/>
    </row>
    <row r="1117" spans="4:10" x14ac:dyDescent="0.2">
      <c r="D1117" s="286"/>
      <c r="E1117" s="286"/>
      <c r="F1117" s="286"/>
      <c r="G1117" s="286"/>
      <c r="H1117" s="287"/>
      <c r="I1117" s="286"/>
      <c r="J1117" s="286"/>
    </row>
    <row r="1118" spans="4:10" x14ac:dyDescent="0.2">
      <c r="D1118" s="286"/>
      <c r="E1118" s="286"/>
      <c r="F1118" s="286"/>
      <c r="G1118" s="286"/>
      <c r="H1118" s="287"/>
      <c r="I1118" s="286"/>
      <c r="J1118" s="286"/>
    </row>
    <row r="1119" spans="4:10" x14ac:dyDescent="0.2">
      <c r="D1119" s="286"/>
      <c r="E1119" s="286"/>
      <c r="F1119" s="286"/>
      <c r="G1119" s="286"/>
      <c r="H1119" s="287"/>
      <c r="I1119" s="286"/>
      <c r="J1119" s="286"/>
    </row>
    <row r="1120" spans="4:10" x14ac:dyDescent="0.2">
      <c r="D1120" s="286"/>
      <c r="E1120" s="286"/>
      <c r="F1120" s="286"/>
      <c r="G1120" s="286"/>
      <c r="H1120" s="287"/>
      <c r="I1120" s="286"/>
      <c r="J1120" s="286"/>
    </row>
    <row r="1121" spans="4:11" x14ac:dyDescent="0.2">
      <c r="D1121" s="286"/>
      <c r="E1121" s="286"/>
      <c r="F1121" s="286"/>
      <c r="G1121" s="286"/>
      <c r="H1121" s="287"/>
      <c r="I1121" s="286"/>
      <c r="J1121" s="286"/>
    </row>
    <row r="1122" spans="4:11" x14ac:dyDescent="0.2">
      <c r="D1122" s="287"/>
      <c r="E1122" s="286"/>
      <c r="F1122" s="286"/>
      <c r="G1122" s="286"/>
      <c r="H1122" s="287"/>
      <c r="I1122" s="286"/>
      <c r="J1122" s="286"/>
      <c r="K1122" s="285"/>
    </row>
    <row r="1123" spans="4:11" x14ac:dyDescent="0.2">
      <c r="D1123" s="287"/>
      <c r="E1123" s="286"/>
      <c r="F1123" s="286"/>
      <c r="G1123" s="286"/>
      <c r="H1123" s="287"/>
      <c r="I1123" s="286"/>
      <c r="J1123" s="286"/>
      <c r="K1123" s="285"/>
    </row>
    <row r="1124" spans="4:11" x14ac:dyDescent="0.2">
      <c r="D1124" s="287"/>
      <c r="E1124" s="286"/>
      <c r="F1124" s="286"/>
      <c r="H1124" s="287"/>
      <c r="I1124" s="286"/>
      <c r="J1124" s="286"/>
      <c r="K1124" s="285"/>
    </row>
    <row r="1125" spans="4:11" x14ac:dyDescent="0.2">
      <c r="D1125" s="286"/>
      <c r="E1125" s="286"/>
      <c r="F1125" s="286"/>
      <c r="G1125" s="286"/>
      <c r="H1125" s="287"/>
      <c r="I1125" s="286"/>
      <c r="J1125" s="286"/>
      <c r="K1125" s="285"/>
    </row>
    <row r="1126" spans="4:11" x14ac:dyDescent="0.2">
      <c r="D1126" s="286"/>
      <c r="E1126" s="286"/>
      <c r="F1126" s="286"/>
      <c r="G1126" s="286"/>
      <c r="H1126" s="287"/>
      <c r="I1126" s="286"/>
      <c r="J1126" s="286"/>
      <c r="K1126" s="285"/>
    </row>
    <row r="1127" spans="4:11" x14ac:dyDescent="0.2">
      <c r="D1127" s="286"/>
      <c r="E1127" s="286"/>
      <c r="F1127" s="286"/>
      <c r="G1127" s="286"/>
      <c r="H1127" s="287"/>
      <c r="I1127" s="286"/>
      <c r="J1127" s="286"/>
      <c r="K1127" s="285"/>
    </row>
    <row r="1128" spans="4:11" x14ac:dyDescent="0.2">
      <c r="D1128" s="286"/>
      <c r="E1128" s="286"/>
      <c r="F1128" s="286"/>
      <c r="G1128" s="286"/>
      <c r="H1128" s="287"/>
      <c r="I1128" s="286"/>
      <c r="J1128" s="286"/>
      <c r="K1128" s="285"/>
    </row>
    <row r="1129" spans="4:11" x14ac:dyDescent="0.2">
      <c r="D1129" s="286"/>
      <c r="E1129" s="286"/>
      <c r="F1129" s="286"/>
      <c r="G1129" s="286"/>
      <c r="H1129" s="287"/>
      <c r="I1129" s="286"/>
    </row>
    <row r="1130" spans="4:11" x14ac:dyDescent="0.2">
      <c r="D1130" s="286"/>
      <c r="E1130" s="286"/>
      <c r="F1130" s="286"/>
      <c r="G1130" s="286"/>
      <c r="H1130" s="287"/>
      <c r="I1130" s="286"/>
    </row>
    <row r="1131" spans="4:11" x14ac:dyDescent="0.2">
      <c r="D1131" s="286"/>
      <c r="E1131" s="286"/>
      <c r="F1131" s="286"/>
      <c r="G1131" s="286"/>
      <c r="H1131" s="287"/>
      <c r="I1131" s="286"/>
      <c r="J1131" s="286"/>
      <c r="K1131" s="285"/>
    </row>
    <row r="1132" spans="4:11" x14ac:dyDescent="0.2">
      <c r="D1132" s="286"/>
      <c r="E1132" s="286"/>
      <c r="F1132" s="286"/>
      <c r="G1132" s="286"/>
      <c r="H1132" s="287"/>
      <c r="I1132" s="286"/>
      <c r="J1132" s="286"/>
      <c r="K1132" s="285"/>
    </row>
    <row r="1133" spans="4:11" x14ac:dyDescent="0.2">
      <c r="D1133" s="286"/>
      <c r="E1133" s="286"/>
      <c r="F1133" s="286"/>
      <c r="G1133" s="286"/>
      <c r="H1133" s="287"/>
      <c r="I1133" s="286"/>
      <c r="J1133" s="286"/>
      <c r="K1133" s="285"/>
    </row>
    <row r="1134" spans="4:11" x14ac:dyDescent="0.2">
      <c r="D1134" s="286"/>
      <c r="E1134" s="286"/>
      <c r="F1134" s="286"/>
      <c r="G1134" s="286"/>
      <c r="H1134" s="287"/>
      <c r="I1134" s="286"/>
      <c r="J1134" s="286"/>
      <c r="K1134" s="285"/>
    </row>
    <row r="1135" spans="4:11" x14ac:dyDescent="0.2">
      <c r="D1135" s="286"/>
      <c r="E1135" s="319"/>
      <c r="F1135" s="286"/>
      <c r="G1135" s="286"/>
      <c r="H1135" s="287"/>
      <c r="I1135" s="286"/>
      <c r="J1135" s="286"/>
      <c r="K1135" s="285"/>
    </row>
    <row r="1136" spans="4:11" x14ac:dyDescent="0.2">
      <c r="D1136" s="286"/>
      <c r="E1136" s="286"/>
      <c r="F1136" s="286"/>
      <c r="G1136" s="286"/>
      <c r="H1136" s="287"/>
      <c r="I1136" s="286"/>
      <c r="J1136" s="286"/>
      <c r="K1136" s="285"/>
    </row>
    <row r="1137" spans="4:11" x14ac:dyDescent="0.2">
      <c r="D1137" s="286"/>
      <c r="E1137" s="286"/>
      <c r="F1137" s="286"/>
      <c r="G1137" s="286"/>
      <c r="H1137" s="287"/>
      <c r="I1137" s="286"/>
      <c r="J1137" s="286"/>
      <c r="K1137" s="285"/>
    </row>
    <row r="1138" spans="4:11" x14ac:dyDescent="0.2">
      <c r="D1138" s="286"/>
      <c r="E1138" s="286"/>
      <c r="F1138" s="286"/>
      <c r="G1138" s="286"/>
      <c r="H1138" s="287"/>
      <c r="I1138" s="319"/>
      <c r="J1138" s="286"/>
      <c r="K1138" s="285"/>
    </row>
    <row r="1139" spans="4:11" x14ac:dyDescent="0.2">
      <c r="D1139" s="286"/>
      <c r="E1139" s="286"/>
      <c r="F1139" s="286"/>
      <c r="G1139" s="286"/>
      <c r="H1139" s="287"/>
      <c r="I1139" s="286"/>
      <c r="J1139" s="286"/>
      <c r="K1139" s="285"/>
    </row>
    <row r="1140" spans="4:11" x14ac:dyDescent="0.2">
      <c r="D1140" s="286"/>
      <c r="E1140" s="286"/>
      <c r="F1140" s="286"/>
      <c r="G1140" s="286"/>
      <c r="H1140" s="287"/>
      <c r="I1140" s="286"/>
      <c r="J1140" s="286"/>
      <c r="K1140" s="285"/>
    </row>
    <row r="1141" spans="4:11" x14ac:dyDescent="0.2">
      <c r="D1141" s="286"/>
      <c r="E1141" s="286"/>
      <c r="F1141" s="286"/>
      <c r="G1141" s="286"/>
      <c r="H1141" s="287"/>
      <c r="I1141" s="286"/>
      <c r="J1141" s="286"/>
      <c r="K1141" s="285"/>
    </row>
    <row r="1142" spans="4:11" x14ac:dyDescent="0.2">
      <c r="D1142" s="286"/>
      <c r="E1142" s="286"/>
      <c r="F1142" s="286"/>
      <c r="G1142" s="286"/>
      <c r="H1142" s="287"/>
      <c r="I1142" s="286"/>
      <c r="J1142" s="286"/>
      <c r="K1142" s="285"/>
    </row>
    <row r="1143" spans="4:11" x14ac:dyDescent="0.2">
      <c r="D1143" s="286"/>
      <c r="E1143" s="286"/>
      <c r="F1143" s="286"/>
      <c r="G1143" s="286"/>
      <c r="H1143" s="287"/>
      <c r="I1143" s="286"/>
      <c r="J1143" s="286"/>
      <c r="K1143" s="285"/>
    </row>
    <row r="1144" spans="4:11" x14ac:dyDescent="0.2">
      <c r="D1144" s="286"/>
      <c r="E1144" s="286"/>
      <c r="F1144" s="286"/>
      <c r="G1144" s="286"/>
      <c r="H1144" s="287"/>
      <c r="I1144" s="286"/>
      <c r="J1144" s="286"/>
      <c r="K1144" s="285"/>
    </row>
    <row r="1145" spans="4:11" x14ac:dyDescent="0.2">
      <c r="D1145" s="286"/>
      <c r="E1145" s="286"/>
      <c r="F1145" s="286"/>
      <c r="G1145" s="286"/>
      <c r="H1145" s="297"/>
      <c r="I1145" s="286"/>
      <c r="J1145" s="286"/>
      <c r="K1145" s="285"/>
    </row>
    <row r="1146" spans="4:11" x14ac:dyDescent="0.2">
      <c r="D1146" s="286"/>
      <c r="E1146" s="286"/>
      <c r="F1146" s="286"/>
      <c r="G1146" s="286"/>
      <c r="H1146" s="287"/>
      <c r="I1146" s="286"/>
      <c r="J1146" s="286"/>
      <c r="K1146" s="285"/>
    </row>
    <row r="1147" spans="4:11" x14ac:dyDescent="0.2">
      <c r="D1147" s="286"/>
      <c r="E1147" s="286"/>
      <c r="F1147" s="286"/>
      <c r="G1147" s="286"/>
      <c r="H1147" s="287"/>
      <c r="I1147" s="286"/>
      <c r="J1147" s="286"/>
      <c r="K1147" s="285"/>
    </row>
    <row r="1148" spans="4:11" x14ac:dyDescent="0.2">
      <c r="D1148" s="286"/>
      <c r="E1148" s="286"/>
      <c r="F1148" s="286"/>
      <c r="G1148" s="286"/>
      <c r="H1148" s="321"/>
      <c r="I1148" s="286"/>
      <c r="J1148" s="286"/>
      <c r="K1148" s="285"/>
    </row>
    <row r="1149" spans="4:11" x14ac:dyDescent="0.2">
      <c r="D1149" s="286"/>
      <c r="E1149" s="286"/>
      <c r="F1149" s="286"/>
      <c r="G1149" s="286"/>
      <c r="H1149" s="287"/>
      <c r="I1149" s="286"/>
      <c r="J1149" s="286"/>
      <c r="K1149" s="285"/>
    </row>
    <row r="1150" spans="4:11" x14ac:dyDescent="0.2">
      <c r="D1150" s="286"/>
      <c r="E1150" s="286"/>
      <c r="F1150" s="286"/>
      <c r="G1150" s="286"/>
      <c r="H1150" s="287"/>
      <c r="I1150" s="286"/>
      <c r="J1150" s="286"/>
      <c r="K1150" s="285"/>
    </row>
    <row r="1151" spans="4:11" x14ac:dyDescent="0.2">
      <c r="D1151" s="286"/>
      <c r="E1151" s="286"/>
      <c r="F1151" s="286"/>
      <c r="G1151" s="286"/>
      <c r="H1151" s="287"/>
      <c r="I1151" s="286"/>
      <c r="J1151" s="286"/>
      <c r="K1151" s="285"/>
    </row>
    <row r="1152" spans="4:11" x14ac:dyDescent="0.2">
      <c r="D1152" s="322"/>
      <c r="E1152" s="323"/>
      <c r="F1152" s="323"/>
      <c r="G1152" s="323"/>
      <c r="H1152" s="324"/>
      <c r="I1152" s="323"/>
      <c r="J1152" s="323"/>
      <c r="K1152" s="323"/>
    </row>
    <row r="1153" spans="1:11" x14ac:dyDescent="0.2">
      <c r="D1153" s="286"/>
      <c r="E1153" s="286"/>
      <c r="F1153" s="286"/>
      <c r="G1153" s="286"/>
      <c r="H1153" s="287"/>
      <c r="I1153" s="286"/>
      <c r="J1153" s="286"/>
      <c r="K1153" s="285"/>
    </row>
    <row r="1154" spans="1:11" x14ac:dyDescent="0.2">
      <c r="D1154" s="286"/>
      <c r="E1154" s="286"/>
      <c r="F1154" s="286"/>
      <c r="G1154" s="286"/>
      <c r="H1154" s="287"/>
      <c r="I1154" s="286"/>
      <c r="J1154" s="286"/>
      <c r="K1154" s="285"/>
    </row>
    <row r="1155" spans="1:11" x14ac:dyDescent="0.2">
      <c r="D1155" s="286"/>
      <c r="E1155" s="286"/>
      <c r="F1155" s="286"/>
      <c r="G1155" s="286"/>
      <c r="H1155" s="287"/>
      <c r="I1155" s="286"/>
      <c r="J1155" s="286"/>
      <c r="K1155" s="285"/>
    </row>
    <row r="1156" spans="1:11" x14ac:dyDescent="0.2">
      <c r="D1156" s="286"/>
      <c r="E1156" s="286"/>
      <c r="F1156" s="286"/>
      <c r="G1156" s="286"/>
      <c r="H1156" s="287"/>
      <c r="I1156" s="286"/>
      <c r="J1156" s="286"/>
      <c r="K1156" s="285"/>
    </row>
    <row r="1157" spans="1:11" x14ac:dyDescent="0.2">
      <c r="D1157" s="286"/>
      <c r="E1157" s="286"/>
      <c r="F1157" s="286"/>
      <c r="G1157" s="286"/>
      <c r="H1157" s="287"/>
      <c r="I1157" s="286"/>
      <c r="J1157" s="286"/>
      <c r="K1157" s="285"/>
    </row>
    <row r="1158" spans="1:11" x14ac:dyDescent="0.2">
      <c r="E1158" s="286"/>
      <c r="F1158" s="286"/>
      <c r="G1158" s="286"/>
      <c r="H1158" s="286"/>
      <c r="I1158" s="286"/>
      <c r="J1158" s="286"/>
      <c r="K1158" s="285"/>
    </row>
    <row r="1159" spans="1:11" x14ac:dyDescent="0.2">
      <c r="E1159" s="286"/>
      <c r="F1159" s="286"/>
      <c r="G1159" s="286"/>
      <c r="H1159" s="286"/>
      <c r="I1159" s="286"/>
      <c r="J1159" s="286"/>
      <c r="K1159" s="285"/>
    </row>
    <row r="1160" spans="1:11" x14ac:dyDescent="0.2">
      <c r="A1160" s="285"/>
      <c r="B1160" s="285"/>
      <c r="C1160" s="285"/>
      <c r="D1160" s="286"/>
      <c r="E1160" s="286"/>
      <c r="F1160" s="286"/>
      <c r="G1160" s="286"/>
      <c r="H1160" s="286"/>
      <c r="I1160" s="286"/>
      <c r="J1160" s="286"/>
      <c r="K1160" s="285"/>
    </row>
    <row r="1161" spans="1:11" x14ac:dyDescent="0.2">
      <c r="A1161" s="285"/>
      <c r="B1161" s="285"/>
      <c r="C1161" s="285"/>
      <c r="D1161" s="286"/>
      <c r="E1161" s="286"/>
      <c r="F1161" s="286"/>
      <c r="G1161" s="286"/>
      <c r="H1161" s="286"/>
      <c r="I1161" s="286"/>
      <c r="J1161" s="286"/>
      <c r="K1161" s="285"/>
    </row>
    <row r="1162" spans="1:11" x14ac:dyDescent="0.2">
      <c r="A1162" s="285"/>
      <c r="B1162" s="285"/>
      <c r="C1162" s="285"/>
      <c r="D1162" s="286"/>
      <c r="E1162" s="286"/>
      <c r="F1162" s="286"/>
      <c r="G1162" s="286"/>
      <c r="H1162" s="286"/>
      <c r="I1162" s="286"/>
      <c r="J1162" s="286"/>
      <c r="K1162" s="285"/>
    </row>
    <row r="1163" spans="1:11" x14ac:dyDescent="0.2">
      <c r="A1163" s="285"/>
      <c r="B1163" s="285"/>
      <c r="C1163" s="285"/>
      <c r="D1163" s="286"/>
      <c r="E1163" s="286"/>
      <c r="F1163" s="286"/>
      <c r="G1163" s="286"/>
      <c r="H1163" s="286"/>
      <c r="I1163" s="286"/>
      <c r="J1163" s="286"/>
      <c r="K1163" s="285"/>
    </row>
    <row r="1164" spans="1:11" x14ac:dyDescent="0.2">
      <c r="A1164" s="285"/>
      <c r="B1164" s="285"/>
      <c r="C1164" s="285"/>
      <c r="D1164" s="286"/>
      <c r="E1164" s="286"/>
      <c r="F1164" s="286"/>
      <c r="G1164" s="286"/>
      <c r="H1164" s="286"/>
      <c r="I1164" s="286"/>
      <c r="J1164" s="286"/>
      <c r="K1164" s="285"/>
    </row>
    <row r="1165" spans="1:11" x14ac:dyDescent="0.2">
      <c r="A1165" s="285"/>
      <c r="B1165" s="285"/>
      <c r="C1165" s="285"/>
      <c r="D1165" s="286"/>
      <c r="E1165" s="286"/>
      <c r="F1165" s="286"/>
      <c r="G1165" s="286"/>
      <c r="H1165" s="286"/>
      <c r="I1165" s="286"/>
      <c r="J1165" s="286"/>
      <c r="K1165" s="285"/>
    </row>
    <row r="1166" spans="1:11" x14ac:dyDescent="0.2">
      <c r="A1166" s="285"/>
      <c r="B1166" s="285"/>
      <c r="C1166" s="285"/>
      <c r="D1166" s="286"/>
      <c r="E1166" s="286"/>
      <c r="F1166" s="286"/>
      <c r="G1166" s="286"/>
      <c r="H1166" s="286"/>
      <c r="I1166" s="286"/>
      <c r="J1166" s="286"/>
      <c r="K1166" s="285"/>
    </row>
    <row r="1167" spans="1:11" x14ac:dyDescent="0.2">
      <c r="A1167" s="285"/>
      <c r="B1167" s="285"/>
      <c r="C1167" s="285"/>
      <c r="D1167" s="286"/>
      <c r="E1167" s="286"/>
      <c r="F1167" s="286"/>
      <c r="G1167" s="286"/>
      <c r="H1167" s="286"/>
      <c r="I1167" s="286"/>
      <c r="J1167" s="286"/>
      <c r="K1167" s="285"/>
    </row>
    <row r="1168" spans="1:11" x14ac:dyDescent="0.2">
      <c r="A1168" s="285"/>
      <c r="B1168" s="285"/>
      <c r="C1168" s="285"/>
      <c r="D1168" s="286"/>
      <c r="E1168" s="286"/>
      <c r="F1168" s="286"/>
      <c r="G1168" s="286"/>
      <c r="H1168" s="286"/>
      <c r="I1168" s="286"/>
      <c r="J1168" s="286"/>
      <c r="K1168" s="285"/>
    </row>
    <row r="1169" spans="1:11" x14ac:dyDescent="0.2">
      <c r="A1169" s="285"/>
      <c r="B1169" s="285"/>
      <c r="C1169" s="285"/>
      <c r="D1169" s="286"/>
      <c r="E1169" s="286"/>
      <c r="F1169" s="286"/>
      <c r="G1169" s="286"/>
      <c r="H1169" s="286"/>
      <c r="I1169" s="286"/>
      <c r="J1169" s="286"/>
      <c r="K1169" s="285"/>
    </row>
    <row r="1170" spans="1:11" x14ac:dyDescent="0.2">
      <c r="A1170" s="285"/>
      <c r="B1170" s="285"/>
      <c r="C1170" s="285"/>
      <c r="D1170" s="286"/>
      <c r="E1170" s="286"/>
      <c r="F1170" s="286"/>
      <c r="G1170" s="286"/>
      <c r="H1170" s="286"/>
      <c r="I1170" s="286"/>
      <c r="J1170" s="286"/>
      <c r="K1170" s="285"/>
    </row>
    <row r="1171" spans="1:11" x14ac:dyDescent="0.2">
      <c r="A1171" s="285"/>
      <c r="B1171" s="285"/>
      <c r="C1171" s="285"/>
      <c r="D1171" s="286"/>
      <c r="E1171" s="286"/>
      <c r="F1171" s="286"/>
      <c r="G1171" s="286"/>
      <c r="H1171" s="286"/>
      <c r="I1171" s="286"/>
      <c r="J1171" s="286"/>
      <c r="K1171" s="285"/>
    </row>
    <row r="1172" spans="1:11" x14ac:dyDescent="0.2">
      <c r="A1172" s="285"/>
      <c r="B1172" s="285"/>
      <c r="C1172" s="285"/>
      <c r="D1172" s="286"/>
      <c r="E1172" s="286"/>
      <c r="F1172" s="286"/>
      <c r="G1172" s="286"/>
      <c r="H1172" s="286"/>
      <c r="I1172" s="286"/>
      <c r="J1172" s="286"/>
      <c r="K1172" s="285"/>
    </row>
    <row r="1173" spans="1:11" x14ac:dyDescent="0.2">
      <c r="A1173" s="285"/>
      <c r="B1173" s="285"/>
      <c r="C1173" s="285"/>
      <c r="D1173" s="286"/>
      <c r="E1173" s="286"/>
      <c r="F1173" s="286"/>
      <c r="G1173" s="286"/>
      <c r="H1173" s="286"/>
      <c r="I1173" s="286"/>
      <c r="J1173" s="286"/>
      <c r="K1173" s="285"/>
    </row>
    <row r="1174" spans="1:11" x14ac:dyDescent="0.2">
      <c r="A1174" s="285"/>
      <c r="B1174" s="285"/>
      <c r="C1174" s="285"/>
      <c r="D1174" s="286"/>
      <c r="E1174" s="286"/>
      <c r="F1174" s="286"/>
      <c r="G1174" s="286"/>
      <c r="H1174" s="286"/>
      <c r="I1174" s="286"/>
      <c r="J1174" s="286"/>
      <c r="K1174" s="285"/>
    </row>
    <row r="1175" spans="1:11" x14ac:dyDescent="0.2">
      <c r="A1175" s="285"/>
      <c r="B1175" s="285"/>
      <c r="C1175" s="285"/>
      <c r="D1175" s="286"/>
      <c r="E1175" s="286"/>
      <c r="F1175" s="286"/>
      <c r="G1175" s="286"/>
      <c r="H1175" s="286"/>
      <c r="I1175" s="286"/>
      <c r="J1175" s="286"/>
      <c r="K1175" s="285"/>
    </row>
    <row r="1176" spans="1:11" x14ac:dyDescent="0.2">
      <c r="A1176" s="285"/>
      <c r="B1176" s="285"/>
      <c r="C1176" s="285"/>
      <c r="D1176" s="286"/>
      <c r="E1176" s="286"/>
      <c r="F1176" s="286"/>
      <c r="G1176" s="286"/>
      <c r="H1176" s="286"/>
      <c r="I1176" s="286"/>
      <c r="J1176" s="286"/>
      <c r="K1176" s="285"/>
    </row>
    <row r="1177" spans="1:11" x14ac:dyDescent="0.2">
      <c r="A1177" s="285"/>
      <c r="B1177" s="285"/>
      <c r="C1177" s="285"/>
      <c r="D1177" s="286"/>
      <c r="E1177" s="286"/>
      <c r="F1177" s="286"/>
      <c r="G1177" s="286"/>
      <c r="H1177" s="286"/>
      <c r="J1177" s="286"/>
      <c r="K1177" s="285"/>
    </row>
    <row r="1178" spans="1:11" x14ac:dyDescent="0.2">
      <c r="A1178" s="285"/>
      <c r="B1178" s="285"/>
      <c r="C1178" s="285"/>
      <c r="D1178" s="286"/>
      <c r="E1178" s="286"/>
      <c r="F1178" s="286"/>
      <c r="G1178" s="286"/>
      <c r="H1178" s="286"/>
      <c r="I1178" s="286"/>
      <c r="J1178" s="286"/>
      <c r="K1178" s="285"/>
    </row>
    <row r="1179" spans="1:11" x14ac:dyDescent="0.2">
      <c r="A1179" s="285"/>
      <c r="B1179" s="285"/>
      <c r="C1179" s="285"/>
      <c r="D1179" s="286"/>
      <c r="E1179" s="286"/>
      <c r="F1179" s="286"/>
      <c r="G1179" s="286"/>
      <c r="H1179" s="286"/>
      <c r="I1179" s="286"/>
      <c r="J1179" s="286"/>
      <c r="K1179" s="285"/>
    </row>
    <row r="1180" spans="1:11" x14ac:dyDescent="0.2">
      <c r="A1180" s="285"/>
      <c r="B1180" s="285"/>
      <c r="C1180" s="285"/>
      <c r="D1180" s="286"/>
      <c r="E1180" s="286"/>
      <c r="F1180" s="286"/>
      <c r="G1180" s="286"/>
      <c r="H1180" s="286"/>
      <c r="I1180" s="286"/>
      <c r="J1180" s="286"/>
      <c r="K1180" s="285"/>
    </row>
    <row r="1181" spans="1:11" x14ac:dyDescent="0.2">
      <c r="A1181" s="285"/>
      <c r="B1181" s="285"/>
      <c r="C1181" s="285"/>
      <c r="D1181" s="286"/>
      <c r="E1181" s="286"/>
      <c r="F1181" s="286"/>
      <c r="G1181" s="286"/>
      <c r="H1181" s="286"/>
      <c r="I1181" s="286"/>
      <c r="J1181" s="286"/>
      <c r="K1181" s="285"/>
    </row>
    <row r="1182" spans="1:11" x14ac:dyDescent="0.2">
      <c r="A1182" s="285"/>
      <c r="B1182" s="285"/>
      <c r="C1182" s="285"/>
      <c r="D1182" s="286"/>
      <c r="E1182" s="286"/>
      <c r="F1182" s="286"/>
      <c r="G1182" s="286"/>
      <c r="H1182" s="286"/>
      <c r="I1182" s="286"/>
      <c r="J1182" s="286"/>
      <c r="K1182" s="285"/>
    </row>
    <row r="1183" spans="1:11" x14ac:dyDescent="0.2">
      <c r="A1183" s="285"/>
      <c r="B1183" s="285"/>
      <c r="C1183" s="285"/>
      <c r="D1183" s="286"/>
      <c r="E1183" s="286"/>
      <c r="F1183" s="286"/>
      <c r="G1183" s="286"/>
      <c r="H1183" s="286"/>
      <c r="I1183" s="286"/>
      <c r="J1183" s="286"/>
      <c r="K1183" s="285"/>
    </row>
    <row r="1184" spans="1:11" x14ac:dyDescent="0.2">
      <c r="A1184" s="285"/>
      <c r="B1184" s="285"/>
      <c r="C1184" s="285"/>
      <c r="D1184" s="286"/>
      <c r="E1184" s="286"/>
      <c r="F1184" s="286"/>
      <c r="G1184" s="286"/>
      <c r="H1184" s="286"/>
      <c r="I1184" s="286"/>
      <c r="J1184" s="286"/>
      <c r="K1184" s="285"/>
    </row>
    <row r="1185" spans="1:11" x14ac:dyDescent="0.2">
      <c r="A1185" s="285"/>
      <c r="B1185" s="285"/>
      <c r="C1185" s="285"/>
      <c r="D1185" s="286"/>
      <c r="E1185" s="286"/>
      <c r="F1185" s="286"/>
      <c r="G1185" s="286"/>
      <c r="H1185" s="286"/>
      <c r="I1185" s="286"/>
      <c r="J1185" s="286"/>
      <c r="K1185" s="285"/>
    </row>
    <row r="1187" spans="1:11" x14ac:dyDescent="0.2">
      <c r="A1187" s="285"/>
      <c r="B1187" s="285"/>
      <c r="C1187" s="285"/>
      <c r="D1187" s="286"/>
      <c r="E1187" s="286"/>
      <c r="F1187" s="286"/>
      <c r="G1187" s="286"/>
      <c r="H1187" s="287"/>
      <c r="I1187" s="286"/>
      <c r="J1187" s="286"/>
      <c r="K1187" s="285"/>
    </row>
    <row r="1188" spans="1:11" x14ac:dyDescent="0.2">
      <c r="A1188" s="285"/>
      <c r="B1188" s="285"/>
      <c r="C1188" s="285"/>
      <c r="D1188" s="286"/>
      <c r="E1188" s="286"/>
      <c r="F1188" s="286"/>
      <c r="G1188" s="286"/>
      <c r="H1188" s="287"/>
      <c r="I1188" s="286"/>
      <c r="J1188" s="286"/>
      <c r="K1188" s="285"/>
    </row>
    <row r="1189" spans="1:11" x14ac:dyDescent="0.2">
      <c r="A1189" s="285"/>
      <c r="B1189" s="285"/>
      <c r="C1189" s="285"/>
      <c r="D1189" s="286"/>
      <c r="E1189" s="286"/>
      <c r="F1189" s="286"/>
      <c r="G1189" s="286"/>
      <c r="H1189" s="287"/>
      <c r="I1189" s="286"/>
      <c r="J1189" s="286"/>
      <c r="K1189" s="285"/>
    </row>
    <row r="1190" spans="1:11" x14ac:dyDescent="0.2">
      <c r="A1190" s="285"/>
      <c r="B1190" s="285"/>
      <c r="C1190" s="285"/>
      <c r="D1190" s="286"/>
      <c r="E1190" s="286"/>
      <c r="F1190" s="286"/>
      <c r="G1190" s="286"/>
      <c r="H1190" s="287"/>
      <c r="I1190" s="286"/>
      <c r="J1190" s="286"/>
      <c r="K1190" s="285"/>
    </row>
    <row r="1191" spans="1:11" x14ac:dyDescent="0.2">
      <c r="A1191" s="285"/>
      <c r="B1191" s="285"/>
      <c r="C1191" s="285"/>
      <c r="D1191" s="286"/>
      <c r="E1191" s="286"/>
      <c r="F1191" s="286"/>
      <c r="G1191" s="286"/>
      <c r="H1191" s="287"/>
      <c r="I1191" s="286"/>
      <c r="J1191" s="286"/>
      <c r="K1191" s="285"/>
    </row>
    <row r="1192" spans="1:11" x14ac:dyDescent="0.2">
      <c r="A1192" s="285"/>
      <c r="B1192" s="285"/>
      <c r="C1192" s="285"/>
      <c r="D1192" s="286"/>
      <c r="E1192" s="286"/>
      <c r="F1192" s="286"/>
      <c r="G1192" s="286"/>
      <c r="H1192" s="287"/>
      <c r="I1192" s="286"/>
      <c r="J1192" s="286"/>
      <c r="K1192" s="285"/>
    </row>
    <row r="1193" spans="1:11" x14ac:dyDescent="0.2">
      <c r="A1193" s="285"/>
      <c r="B1193" s="285"/>
      <c r="C1193" s="285"/>
      <c r="D1193" s="286"/>
      <c r="E1193" s="286"/>
      <c r="F1193" s="286"/>
      <c r="G1193" s="286"/>
      <c r="H1193" s="287"/>
      <c r="I1193" s="286"/>
      <c r="J1193" s="286"/>
      <c r="K1193" s="285"/>
    </row>
    <row r="1194" spans="1:11" x14ac:dyDescent="0.2">
      <c r="A1194" s="285"/>
      <c r="B1194" s="285"/>
      <c r="C1194" s="285"/>
      <c r="D1194" s="286"/>
      <c r="E1194" s="286"/>
      <c r="F1194" s="286"/>
      <c r="G1194" s="286"/>
      <c r="H1194" s="287"/>
      <c r="I1194" s="286"/>
      <c r="J1194" s="286"/>
      <c r="K1194" s="285"/>
    </row>
    <row r="1195" spans="1:11" x14ac:dyDescent="0.2">
      <c r="A1195" s="285"/>
      <c r="B1195" s="285"/>
      <c r="C1195" s="285"/>
      <c r="D1195" s="286"/>
      <c r="E1195" s="286"/>
      <c r="F1195" s="286"/>
      <c r="G1195" s="286"/>
      <c r="H1195" s="287"/>
      <c r="I1195" s="286"/>
      <c r="J1195" s="286"/>
      <c r="K1195" s="285"/>
    </row>
    <row r="1196" spans="1:11" x14ac:dyDescent="0.2">
      <c r="A1196" s="285"/>
      <c r="B1196" s="285"/>
      <c r="C1196" s="285"/>
      <c r="D1196" s="286"/>
      <c r="E1196" s="286"/>
      <c r="F1196" s="286"/>
      <c r="G1196" s="286"/>
      <c r="H1196" s="287"/>
      <c r="I1196" s="286"/>
      <c r="J1196" s="286"/>
      <c r="K1196" s="285"/>
    </row>
    <row r="1197" spans="1:11" x14ac:dyDescent="0.2">
      <c r="A1197" s="285"/>
      <c r="B1197" s="285"/>
      <c r="C1197" s="285"/>
      <c r="D1197" s="286"/>
      <c r="E1197" s="286"/>
      <c r="F1197" s="286"/>
      <c r="G1197" s="286"/>
      <c r="H1197" s="286"/>
      <c r="I1197" s="286"/>
      <c r="J1197" s="286"/>
      <c r="K1197" s="285"/>
    </row>
    <row r="1198" spans="1:11" x14ac:dyDescent="0.2">
      <c r="A1198" s="285"/>
      <c r="B1198" s="285"/>
      <c r="C1198" s="285"/>
      <c r="D1198" s="286"/>
      <c r="E1198" s="286"/>
      <c r="F1198" s="286"/>
      <c r="G1198" s="286"/>
      <c r="H1198" s="287"/>
      <c r="I1198" s="286"/>
      <c r="J1198" s="286"/>
      <c r="K1198" s="285"/>
    </row>
    <row r="1199" spans="1:11" x14ac:dyDescent="0.2">
      <c r="A1199" s="285"/>
      <c r="B1199" s="285"/>
      <c r="C1199" s="285"/>
      <c r="D1199" s="286"/>
      <c r="E1199" s="286"/>
      <c r="F1199" s="286"/>
      <c r="G1199" s="286"/>
      <c r="H1199" s="287"/>
      <c r="I1199" s="286"/>
      <c r="J1199" s="286"/>
      <c r="K1199" s="285"/>
    </row>
    <row r="1200" spans="1:11" x14ac:dyDescent="0.2">
      <c r="A1200" s="285"/>
      <c r="B1200" s="285"/>
      <c r="C1200" s="285"/>
      <c r="D1200" s="286"/>
      <c r="E1200" s="286"/>
      <c r="F1200" s="286"/>
      <c r="G1200" s="286"/>
      <c r="H1200" s="287"/>
      <c r="I1200" s="286"/>
      <c r="J1200" s="286"/>
      <c r="K1200" s="285"/>
    </row>
    <row r="1201" spans="1:11" x14ac:dyDescent="0.2">
      <c r="A1201" s="285"/>
      <c r="B1201" s="285"/>
      <c r="C1201" s="285"/>
      <c r="D1201" s="286"/>
      <c r="E1201" s="286"/>
      <c r="F1201" s="286"/>
      <c r="G1201" s="286"/>
      <c r="H1201" s="287"/>
      <c r="I1201" s="286"/>
      <c r="J1201" s="286"/>
      <c r="K1201" s="285"/>
    </row>
    <row r="1202" spans="1:11" x14ac:dyDescent="0.2">
      <c r="A1202" s="285"/>
      <c r="B1202" s="285"/>
      <c r="C1202" s="285"/>
      <c r="D1202" s="286"/>
      <c r="E1202" s="286"/>
      <c r="F1202" s="286"/>
      <c r="G1202" s="286"/>
      <c r="H1202" s="287"/>
      <c r="I1202" s="286"/>
      <c r="J1202" s="286"/>
      <c r="K1202" s="285"/>
    </row>
    <row r="1203" spans="1:11" x14ac:dyDescent="0.2">
      <c r="A1203" s="285"/>
      <c r="B1203" s="285"/>
      <c r="C1203" s="285"/>
      <c r="D1203" s="286"/>
      <c r="E1203" s="286"/>
      <c r="F1203" s="286"/>
      <c r="G1203" s="286"/>
      <c r="H1203" s="287"/>
      <c r="I1203" s="286"/>
      <c r="J1203" s="286"/>
      <c r="K1203" s="285"/>
    </row>
    <row r="1204" spans="1:11" x14ac:dyDescent="0.2">
      <c r="A1204" s="285"/>
      <c r="B1204" s="285"/>
      <c r="C1204" s="285"/>
      <c r="D1204" s="286"/>
      <c r="E1204" s="286"/>
      <c r="F1204" s="286"/>
      <c r="G1204" s="286"/>
      <c r="H1204" s="287"/>
      <c r="I1204" s="286"/>
      <c r="J1204" s="286"/>
      <c r="K1204" s="285"/>
    </row>
    <row r="1205" spans="1:11" x14ac:dyDescent="0.2">
      <c r="A1205" s="285"/>
      <c r="B1205" s="285"/>
      <c r="C1205" s="285"/>
      <c r="D1205" s="286"/>
      <c r="E1205" s="286"/>
      <c r="F1205" s="286"/>
      <c r="G1205" s="286"/>
      <c r="H1205" s="287"/>
      <c r="I1205" s="286"/>
      <c r="J1205" s="286"/>
      <c r="K1205" s="285"/>
    </row>
    <row r="1206" spans="1:11" x14ac:dyDescent="0.2">
      <c r="A1206" s="285"/>
      <c r="B1206" s="285"/>
      <c r="C1206" s="285"/>
      <c r="D1206" s="286"/>
      <c r="E1206" s="286"/>
      <c r="F1206" s="286"/>
      <c r="G1206" s="286"/>
      <c r="H1206" s="287"/>
      <c r="I1206" s="286"/>
      <c r="J1206" s="286"/>
      <c r="K1206" s="285"/>
    </row>
    <row r="1207" spans="1:11" x14ac:dyDescent="0.2">
      <c r="A1207" s="285"/>
      <c r="B1207" s="285"/>
      <c r="C1207" s="285"/>
      <c r="D1207" s="286"/>
      <c r="E1207" s="286"/>
      <c r="F1207" s="286"/>
      <c r="G1207" s="286"/>
      <c r="H1207" s="287"/>
      <c r="I1207" s="286"/>
      <c r="J1207" s="286"/>
      <c r="K1207" s="285"/>
    </row>
    <row r="1208" spans="1:11" x14ac:dyDescent="0.2">
      <c r="A1208" s="285"/>
      <c r="B1208" s="285"/>
      <c r="C1208" s="285"/>
      <c r="D1208" s="286"/>
      <c r="E1208" s="286"/>
      <c r="F1208" s="286"/>
      <c r="G1208" s="286"/>
      <c r="H1208" s="287"/>
      <c r="I1208" s="286"/>
      <c r="J1208" s="286"/>
      <c r="K1208" s="285"/>
    </row>
    <row r="1209" spans="1:11" x14ac:dyDescent="0.2">
      <c r="A1209" s="285"/>
      <c r="B1209" s="285"/>
      <c r="C1209" s="285"/>
      <c r="D1209" s="286"/>
      <c r="E1209" s="286"/>
      <c r="F1209" s="286"/>
      <c r="G1209" s="286"/>
      <c r="H1209" s="287"/>
      <c r="I1209" s="286"/>
      <c r="J1209" s="286"/>
      <c r="K1209" s="285"/>
    </row>
    <row r="1210" spans="1:11" x14ac:dyDescent="0.2">
      <c r="A1210" s="285"/>
      <c r="B1210" s="285"/>
      <c r="C1210" s="285"/>
      <c r="D1210" s="286"/>
      <c r="E1210" s="286"/>
      <c r="F1210" s="286"/>
      <c r="G1210" s="286"/>
      <c r="H1210" s="287"/>
      <c r="I1210" s="286"/>
      <c r="J1210" s="286"/>
      <c r="K1210" s="285"/>
    </row>
    <row r="1211" spans="1:11" x14ac:dyDescent="0.2">
      <c r="A1211" s="285"/>
      <c r="B1211" s="285"/>
      <c r="C1211" s="285"/>
      <c r="D1211" s="286"/>
      <c r="E1211" s="286"/>
      <c r="F1211" s="286"/>
      <c r="G1211" s="286"/>
      <c r="H1211" s="287"/>
      <c r="I1211" s="286"/>
      <c r="J1211" s="286"/>
      <c r="K1211" s="285"/>
    </row>
    <row r="1212" spans="1:11" x14ac:dyDescent="0.2">
      <c r="A1212" s="285"/>
      <c r="B1212" s="285"/>
      <c r="C1212" s="285"/>
      <c r="D1212" s="286"/>
      <c r="E1212" s="286"/>
      <c r="F1212" s="286"/>
      <c r="G1212" s="286"/>
      <c r="H1212" s="287"/>
      <c r="I1212" s="286"/>
      <c r="J1212" s="286"/>
      <c r="K1212" s="285"/>
    </row>
    <row r="1214" spans="1:11" x14ac:dyDescent="0.2">
      <c r="A1214" s="285"/>
      <c r="B1214" s="285"/>
      <c r="C1214" s="285"/>
      <c r="D1214" s="286"/>
      <c r="E1214" s="286"/>
      <c r="F1214" s="286"/>
      <c r="G1214" s="286"/>
      <c r="H1214" s="286"/>
      <c r="I1214" s="286"/>
      <c r="J1214" s="286"/>
      <c r="K1214" s="285"/>
    </row>
    <row r="1215" spans="1:11" x14ac:dyDescent="0.2">
      <c r="A1215" s="285"/>
      <c r="B1215" s="285"/>
      <c r="C1215" s="285"/>
      <c r="D1215" s="286"/>
      <c r="E1215" s="286"/>
      <c r="F1215" s="286"/>
      <c r="G1215" s="286"/>
      <c r="H1215" s="286"/>
      <c r="I1215" s="286"/>
      <c r="J1215" s="286"/>
      <c r="K1215" s="285"/>
    </row>
    <row r="1216" spans="1:11" x14ac:dyDescent="0.2">
      <c r="A1216" s="285"/>
      <c r="B1216" s="285"/>
      <c r="C1216" s="285"/>
      <c r="D1216" s="286"/>
      <c r="E1216" s="286"/>
      <c r="F1216" s="286"/>
      <c r="G1216" s="286"/>
      <c r="H1216" s="286"/>
      <c r="I1216" s="286"/>
      <c r="J1216" s="286"/>
      <c r="K1216" s="285"/>
    </row>
    <row r="1217" spans="1:11" x14ac:dyDescent="0.2">
      <c r="A1217" s="285"/>
      <c r="B1217" s="285"/>
      <c r="C1217" s="285"/>
      <c r="D1217" s="286"/>
      <c r="E1217" s="286"/>
      <c r="F1217" s="286"/>
      <c r="G1217" s="286"/>
      <c r="H1217" s="286"/>
      <c r="I1217" s="286"/>
      <c r="J1217" s="286"/>
      <c r="K1217" s="285"/>
    </row>
    <row r="1218" spans="1:11" x14ac:dyDescent="0.2">
      <c r="A1218" s="285"/>
      <c r="B1218" s="285"/>
      <c r="C1218" s="285"/>
      <c r="D1218" s="286"/>
      <c r="E1218" s="286"/>
      <c r="F1218" s="286"/>
      <c r="G1218" s="286"/>
      <c r="H1218" s="286"/>
      <c r="I1218" s="286"/>
      <c r="J1218" s="286"/>
      <c r="K1218" s="285"/>
    </row>
    <row r="1219" spans="1:11" x14ac:dyDescent="0.2">
      <c r="A1219" s="285"/>
      <c r="B1219" s="285"/>
      <c r="C1219" s="285"/>
      <c r="D1219" s="286"/>
      <c r="E1219" s="286"/>
      <c r="F1219" s="286"/>
      <c r="G1219" s="286"/>
      <c r="H1219" s="286"/>
      <c r="I1219" s="286"/>
      <c r="J1219" s="286"/>
      <c r="K1219" s="285"/>
    </row>
    <row r="1220" spans="1:11" x14ac:dyDescent="0.2">
      <c r="A1220" s="285"/>
      <c r="B1220" s="285"/>
      <c r="C1220" s="285"/>
      <c r="D1220" s="286"/>
      <c r="E1220" s="286"/>
      <c r="F1220" s="286"/>
      <c r="G1220" s="286"/>
      <c r="H1220" s="286"/>
      <c r="I1220" s="286"/>
      <c r="J1220" s="286"/>
      <c r="K1220" s="285"/>
    </row>
    <row r="1221" spans="1:11" x14ac:dyDescent="0.2">
      <c r="A1221" s="285"/>
      <c r="B1221" s="285"/>
      <c r="C1221" s="285"/>
      <c r="D1221" s="286"/>
      <c r="E1221" s="286"/>
      <c r="F1221" s="286"/>
      <c r="G1221" s="286"/>
      <c r="H1221" s="286"/>
      <c r="I1221" s="286"/>
      <c r="J1221" s="286"/>
      <c r="K1221" s="285"/>
    </row>
    <row r="1222" spans="1:11" x14ac:dyDescent="0.2">
      <c r="A1222" s="285"/>
      <c r="B1222" s="285"/>
      <c r="C1222" s="285"/>
      <c r="D1222" s="286"/>
      <c r="E1222" s="286"/>
      <c r="F1222" s="286"/>
      <c r="G1222" s="286"/>
      <c r="H1222" s="286"/>
      <c r="I1222" s="286"/>
      <c r="J1222" s="286"/>
      <c r="K1222" s="285"/>
    </row>
    <row r="1223" spans="1:11" x14ac:dyDescent="0.2">
      <c r="A1223" s="285"/>
      <c r="B1223" s="285"/>
      <c r="C1223" s="285"/>
      <c r="D1223" s="286"/>
      <c r="E1223" s="286"/>
      <c r="F1223" s="286"/>
      <c r="G1223" s="286"/>
      <c r="H1223" s="286"/>
      <c r="I1223" s="286"/>
      <c r="J1223" s="286"/>
      <c r="K1223" s="285"/>
    </row>
    <row r="1224" spans="1:11" x14ac:dyDescent="0.2">
      <c r="A1224" s="285"/>
      <c r="B1224" s="285"/>
      <c r="C1224" s="285"/>
      <c r="D1224" s="286"/>
      <c r="E1224" s="286"/>
      <c r="F1224" s="286"/>
      <c r="G1224" s="286"/>
      <c r="H1224" s="286"/>
      <c r="I1224" s="286"/>
      <c r="J1224" s="286"/>
      <c r="K1224" s="285"/>
    </row>
    <row r="1225" spans="1:11" x14ac:dyDescent="0.2">
      <c r="A1225" s="285"/>
      <c r="B1225" s="285"/>
      <c r="C1225" s="285"/>
      <c r="D1225" s="286"/>
      <c r="E1225" s="286"/>
      <c r="F1225" s="286"/>
      <c r="G1225" s="286"/>
      <c r="H1225" s="286"/>
      <c r="I1225" s="286"/>
      <c r="J1225" s="286"/>
      <c r="K1225" s="285"/>
    </row>
    <row r="1226" spans="1:11" x14ac:dyDescent="0.2">
      <c r="A1226" s="285"/>
      <c r="B1226" s="285"/>
      <c r="C1226" s="285"/>
      <c r="D1226" s="286"/>
      <c r="E1226" s="286"/>
      <c r="F1226" s="286"/>
      <c r="G1226" s="286"/>
      <c r="H1226" s="286"/>
      <c r="I1226" s="286"/>
      <c r="J1226" s="286"/>
      <c r="K1226" s="285"/>
    </row>
    <row r="1236" spans="1:11" x14ac:dyDescent="0.2">
      <c r="A1236" s="285"/>
      <c r="B1236" s="285"/>
      <c r="C1236" s="285"/>
      <c r="D1236" s="286"/>
      <c r="E1236" s="286"/>
      <c r="F1236" s="286"/>
      <c r="G1236" s="286"/>
      <c r="H1236" s="287"/>
      <c r="I1236" s="286"/>
      <c r="J1236" s="286"/>
      <c r="K1236" s="285"/>
    </row>
    <row r="1237" spans="1:11" x14ac:dyDescent="0.2">
      <c r="A1237" s="285"/>
      <c r="B1237" s="285"/>
      <c r="C1237" s="285"/>
      <c r="D1237" s="286"/>
      <c r="E1237" s="286"/>
      <c r="F1237" s="286"/>
      <c r="G1237" s="286"/>
      <c r="H1237" s="287"/>
      <c r="I1237" s="286"/>
      <c r="J1237" s="286"/>
      <c r="K1237" s="285"/>
    </row>
    <row r="1238" spans="1:11" x14ac:dyDescent="0.2">
      <c r="A1238" s="285"/>
      <c r="B1238" s="285"/>
      <c r="C1238" s="285"/>
      <c r="D1238" s="286"/>
      <c r="E1238" s="286"/>
      <c r="F1238" s="286"/>
      <c r="G1238" s="286"/>
      <c r="H1238" s="287"/>
      <c r="I1238" s="286"/>
      <c r="J1238" s="286"/>
      <c r="K1238" s="285"/>
    </row>
    <row r="1239" spans="1:11" x14ac:dyDescent="0.2">
      <c r="A1239" s="285"/>
      <c r="B1239" s="285"/>
      <c r="C1239" s="285"/>
      <c r="D1239" s="286"/>
      <c r="E1239" s="286"/>
      <c r="F1239" s="286"/>
      <c r="G1239" s="286"/>
      <c r="H1239" s="287"/>
      <c r="I1239" s="286"/>
      <c r="J1239" s="286"/>
      <c r="K1239" s="285"/>
    </row>
    <row r="1240" spans="1:11" x14ac:dyDescent="0.2">
      <c r="A1240" s="285"/>
      <c r="B1240" s="285"/>
      <c r="C1240" s="285"/>
      <c r="D1240" s="286"/>
      <c r="E1240" s="286"/>
      <c r="F1240" s="286"/>
      <c r="G1240" s="286"/>
      <c r="H1240" s="287"/>
      <c r="I1240" s="286"/>
      <c r="J1240" s="286"/>
      <c r="K1240" s="285"/>
    </row>
    <row r="1241" spans="1:11" x14ac:dyDescent="0.2">
      <c r="A1241" s="285"/>
      <c r="B1241" s="285"/>
      <c r="C1241" s="285"/>
      <c r="D1241" s="286"/>
      <c r="E1241" s="286"/>
      <c r="F1241" s="286"/>
      <c r="G1241" s="286"/>
      <c r="H1241" s="287"/>
      <c r="I1241" s="286"/>
      <c r="J1241" s="286"/>
      <c r="K1241" s="285"/>
    </row>
    <row r="1242" spans="1:11" x14ac:dyDescent="0.2">
      <c r="A1242" s="285"/>
      <c r="B1242" s="285"/>
      <c r="C1242" s="285"/>
      <c r="D1242" s="286"/>
      <c r="E1242" s="286"/>
      <c r="F1242" s="286"/>
      <c r="G1242" s="286"/>
      <c r="H1242" s="287"/>
      <c r="I1242" s="286"/>
      <c r="J1242" s="286"/>
      <c r="K1242" s="285"/>
    </row>
    <row r="1243" spans="1:11" x14ac:dyDescent="0.2">
      <c r="A1243" s="285"/>
      <c r="B1243" s="285"/>
      <c r="C1243" s="285"/>
      <c r="D1243" s="286"/>
      <c r="E1243" s="286"/>
      <c r="F1243" s="286"/>
      <c r="G1243" s="286"/>
      <c r="H1243" s="287"/>
      <c r="I1243" s="286"/>
      <c r="J1243" s="286"/>
      <c r="K1243" s="285"/>
    </row>
    <row r="1244" spans="1:11" x14ac:dyDescent="0.2">
      <c r="A1244" s="285"/>
      <c r="B1244" s="285"/>
      <c r="C1244" s="285"/>
      <c r="D1244" s="286"/>
      <c r="E1244" s="286"/>
      <c r="F1244" s="286"/>
      <c r="G1244" s="286"/>
      <c r="H1244" s="287"/>
      <c r="I1244" s="286"/>
      <c r="J1244" s="286"/>
      <c r="K1244" s="285"/>
    </row>
    <row r="1245" spans="1:11" x14ac:dyDescent="0.2">
      <c r="A1245" s="285"/>
      <c r="B1245" s="285"/>
      <c r="C1245" s="285"/>
      <c r="D1245" s="286"/>
      <c r="E1245" s="286"/>
      <c r="F1245" s="286"/>
      <c r="G1245" s="286"/>
      <c r="H1245" s="287"/>
      <c r="I1245" s="286"/>
      <c r="J1245" s="286"/>
      <c r="K1245" s="285"/>
    </row>
    <row r="1246" spans="1:11" x14ac:dyDescent="0.2">
      <c r="A1246" s="285"/>
      <c r="B1246" s="285"/>
      <c r="C1246" s="285"/>
      <c r="D1246" s="286"/>
      <c r="E1246" s="286"/>
      <c r="F1246" s="286"/>
      <c r="G1246" s="286"/>
      <c r="H1246" s="287"/>
      <c r="I1246" s="286"/>
      <c r="J1246" s="286"/>
      <c r="K1246" s="285"/>
    </row>
    <row r="1247" spans="1:11" x14ac:dyDescent="0.2">
      <c r="A1247" s="285"/>
      <c r="B1247" s="285"/>
      <c r="C1247" s="285"/>
      <c r="D1247" s="286"/>
      <c r="E1247" s="286"/>
      <c r="F1247" s="286"/>
      <c r="G1247" s="286"/>
      <c r="H1247" s="287"/>
      <c r="I1247" s="286"/>
      <c r="J1247" s="286"/>
      <c r="K1247" s="285"/>
    </row>
    <row r="1248" spans="1:11" x14ac:dyDescent="0.2">
      <c r="A1248" s="285"/>
      <c r="B1248" s="285"/>
      <c r="C1248" s="285"/>
      <c r="D1248" s="286"/>
      <c r="E1248" s="286"/>
      <c r="F1248" s="286"/>
      <c r="G1248" s="286"/>
      <c r="H1248" s="287"/>
      <c r="I1248" s="286"/>
      <c r="J1248" s="286"/>
      <c r="K1248" s="285"/>
    </row>
    <row r="1249" spans="1:11" x14ac:dyDescent="0.2">
      <c r="A1249" s="285"/>
      <c r="B1249" s="285"/>
      <c r="C1249" s="285"/>
      <c r="D1249" s="286"/>
      <c r="E1249" s="286"/>
      <c r="F1249" s="286"/>
      <c r="G1249" s="286"/>
      <c r="H1249" s="287"/>
      <c r="I1249" s="286"/>
      <c r="J1249" s="286"/>
      <c r="K1249" s="285"/>
    </row>
    <row r="1250" spans="1:11" x14ac:dyDescent="0.2">
      <c r="A1250" s="285"/>
      <c r="B1250" s="285"/>
      <c r="C1250" s="285"/>
      <c r="D1250" s="286"/>
      <c r="E1250" s="286"/>
      <c r="F1250" s="286"/>
      <c r="G1250" s="286"/>
      <c r="H1250" s="287"/>
      <c r="I1250" s="286"/>
      <c r="J1250" s="286"/>
      <c r="K1250" s="285"/>
    </row>
    <row r="1251" spans="1:11" x14ac:dyDescent="0.2">
      <c r="A1251" s="285"/>
      <c r="B1251" s="285"/>
      <c r="C1251" s="285"/>
      <c r="D1251" s="286"/>
      <c r="E1251" s="286"/>
      <c r="F1251" s="286"/>
      <c r="G1251" s="286"/>
      <c r="H1251" s="287"/>
      <c r="I1251" s="286"/>
      <c r="J1251" s="286"/>
      <c r="K1251" s="285"/>
    </row>
    <row r="1252" spans="1:11" x14ac:dyDescent="0.2">
      <c r="A1252" s="285"/>
      <c r="B1252" s="285"/>
      <c r="C1252" s="285"/>
      <c r="D1252" s="286"/>
      <c r="E1252" s="286"/>
      <c r="F1252" s="286"/>
      <c r="G1252" s="286"/>
      <c r="H1252" s="287"/>
      <c r="I1252" s="286"/>
      <c r="J1252" s="286"/>
      <c r="K1252" s="285"/>
    </row>
    <row r="1253" spans="1:11" x14ac:dyDescent="0.2">
      <c r="A1253" s="285"/>
      <c r="B1253" s="285"/>
      <c r="C1253" s="285"/>
      <c r="D1253" s="286"/>
      <c r="E1253" s="286"/>
      <c r="F1253" s="286"/>
      <c r="G1253" s="286"/>
      <c r="H1253" s="287"/>
      <c r="I1253" s="286"/>
      <c r="J1253" s="286"/>
      <c r="K1253" s="285"/>
    </row>
    <row r="1254" spans="1:11" x14ac:dyDescent="0.2">
      <c r="A1254" s="285"/>
      <c r="B1254" s="285"/>
      <c r="C1254" s="285"/>
      <c r="D1254" s="286"/>
      <c r="E1254" s="286"/>
      <c r="F1254" s="286"/>
      <c r="G1254" s="286"/>
      <c r="H1254" s="287"/>
      <c r="I1254" s="286"/>
      <c r="J1254" s="286"/>
      <c r="K1254" s="285"/>
    </row>
    <row r="1283" spans="1:11" x14ac:dyDescent="0.2">
      <c r="A1283" s="285"/>
      <c r="B1283" s="285"/>
      <c r="C1283" s="285"/>
      <c r="D1283" s="286"/>
      <c r="E1283" s="286"/>
      <c r="F1283" s="286"/>
      <c r="G1283" s="286"/>
      <c r="H1283" s="286"/>
      <c r="I1283" s="286"/>
      <c r="J1283" s="286"/>
      <c r="K1283" s="285"/>
    </row>
    <row r="1284" spans="1:11" x14ac:dyDescent="0.2">
      <c r="A1284" s="285"/>
      <c r="B1284" s="285"/>
      <c r="C1284" s="285"/>
      <c r="D1284" s="286"/>
      <c r="E1284" s="286"/>
      <c r="F1284" s="286"/>
      <c r="G1284" s="286"/>
      <c r="H1284" s="286"/>
      <c r="I1284" s="286"/>
      <c r="J1284" s="286"/>
      <c r="K1284" s="285"/>
    </row>
    <row r="1285" spans="1:11" x14ac:dyDescent="0.2">
      <c r="A1285" s="285"/>
      <c r="B1285" s="285"/>
      <c r="C1285" s="285"/>
      <c r="D1285" s="286"/>
      <c r="E1285" s="286"/>
      <c r="F1285" s="286"/>
      <c r="G1285" s="286"/>
      <c r="H1285" s="286"/>
      <c r="I1285" s="286"/>
      <c r="J1285" s="286"/>
      <c r="K1285" s="285"/>
    </row>
    <row r="1286" spans="1:11" x14ac:dyDescent="0.2">
      <c r="A1286" s="285"/>
      <c r="B1286" s="285"/>
      <c r="C1286" s="285"/>
      <c r="D1286" s="286"/>
      <c r="E1286" s="286"/>
      <c r="F1286" s="286"/>
      <c r="G1286" s="286"/>
      <c r="H1286" s="286"/>
      <c r="I1286" s="286"/>
      <c r="J1286" s="286"/>
      <c r="K1286" s="285"/>
    </row>
    <row r="1287" spans="1:11" x14ac:dyDescent="0.2">
      <c r="A1287" s="285"/>
      <c r="B1287" s="285"/>
      <c r="C1287" s="285"/>
      <c r="D1287" s="286"/>
      <c r="E1287" s="286"/>
      <c r="F1287" s="286"/>
      <c r="G1287" s="286"/>
      <c r="H1287" s="286"/>
      <c r="I1287" s="286"/>
      <c r="J1287" s="286"/>
      <c r="K1287" s="285"/>
    </row>
    <row r="1288" spans="1:11" x14ac:dyDescent="0.2">
      <c r="A1288" s="285"/>
      <c r="B1288" s="285"/>
      <c r="C1288" s="285"/>
      <c r="D1288" s="286"/>
      <c r="E1288" s="286"/>
      <c r="F1288" s="286"/>
      <c r="G1288" s="286"/>
      <c r="H1288" s="286"/>
      <c r="I1288" s="286"/>
      <c r="J1288" s="286"/>
      <c r="K1288" s="285"/>
    </row>
    <row r="1289" spans="1:11" x14ac:dyDescent="0.2">
      <c r="A1289" s="285"/>
      <c r="B1289" s="285"/>
      <c r="C1289" s="285"/>
      <c r="D1289" s="286"/>
      <c r="E1289" s="286"/>
      <c r="F1289" s="286"/>
      <c r="G1289" s="286"/>
      <c r="H1289" s="286"/>
      <c r="I1289" s="286"/>
      <c r="J1289" s="286"/>
      <c r="K1289" s="285"/>
    </row>
    <row r="1290" spans="1:11" x14ac:dyDescent="0.2">
      <c r="A1290" s="285"/>
      <c r="B1290" s="285"/>
      <c r="C1290" s="285"/>
      <c r="D1290" s="286"/>
      <c r="E1290" s="286"/>
      <c r="F1290" s="286"/>
      <c r="G1290" s="286"/>
      <c r="H1290" s="286"/>
      <c r="I1290" s="286"/>
      <c r="J1290" s="286"/>
      <c r="K1290" s="285"/>
    </row>
    <row r="1291" spans="1:11" x14ac:dyDescent="0.2">
      <c r="A1291" s="285"/>
      <c r="B1291" s="285"/>
      <c r="C1291" s="285"/>
      <c r="D1291" s="286"/>
      <c r="E1291" s="286"/>
      <c r="F1291" s="286"/>
      <c r="G1291" s="286"/>
      <c r="H1291" s="286"/>
      <c r="I1291" s="286"/>
      <c r="J1291" s="286"/>
      <c r="K1291" s="285"/>
    </row>
    <row r="1293" spans="1:11" x14ac:dyDescent="0.2">
      <c r="A1293" s="285"/>
      <c r="B1293" s="285"/>
      <c r="C1293" s="285"/>
      <c r="D1293" s="286"/>
      <c r="E1293" s="286"/>
      <c r="F1293" s="286"/>
      <c r="G1293" s="286"/>
      <c r="H1293" s="286"/>
      <c r="I1293" s="286"/>
      <c r="J1293" s="286"/>
      <c r="K1293" s="285"/>
    </row>
    <row r="1294" spans="1:11" x14ac:dyDescent="0.2">
      <c r="A1294" s="285"/>
      <c r="B1294" s="285"/>
      <c r="C1294" s="285"/>
      <c r="D1294" s="286"/>
      <c r="E1294" s="286"/>
      <c r="F1294" s="286"/>
      <c r="G1294" s="286"/>
      <c r="H1294" s="286"/>
      <c r="I1294" s="286"/>
      <c r="J1294" s="286"/>
      <c r="K1294" s="285"/>
    </row>
    <row r="1295" spans="1:11" x14ac:dyDescent="0.2">
      <c r="A1295" s="285"/>
      <c r="B1295" s="285"/>
      <c r="C1295" s="285"/>
      <c r="D1295" s="286"/>
      <c r="E1295" s="286"/>
      <c r="F1295" s="286"/>
      <c r="G1295" s="286"/>
      <c r="H1295" s="286"/>
      <c r="I1295" s="286"/>
      <c r="J1295" s="286"/>
      <c r="K1295" s="285"/>
    </row>
    <row r="1296" spans="1:11" x14ac:dyDescent="0.2">
      <c r="A1296" s="285"/>
      <c r="B1296" s="285"/>
      <c r="C1296" s="285"/>
      <c r="D1296" s="286"/>
      <c r="E1296" s="286"/>
      <c r="F1296" s="286"/>
      <c r="G1296" s="286"/>
      <c r="H1296" s="286"/>
      <c r="I1296" s="286"/>
      <c r="J1296" s="286"/>
      <c r="K1296" s="285"/>
    </row>
    <row r="1297" spans="1:11" x14ac:dyDescent="0.2">
      <c r="A1297" s="285"/>
      <c r="B1297" s="285"/>
      <c r="C1297" s="285"/>
      <c r="D1297" s="286"/>
      <c r="E1297" s="286"/>
      <c r="F1297" s="286"/>
      <c r="G1297" s="286"/>
      <c r="H1297" s="286"/>
      <c r="I1297" s="286"/>
      <c r="J1297" s="286"/>
      <c r="K1297" s="285"/>
    </row>
    <row r="1298" spans="1:11" x14ac:dyDescent="0.2">
      <c r="A1298" s="285"/>
      <c r="B1298" s="285"/>
      <c r="C1298" s="285"/>
      <c r="D1298" s="286"/>
      <c r="E1298" s="286"/>
      <c r="F1298" s="286"/>
      <c r="G1298" s="286"/>
      <c r="H1298" s="286"/>
      <c r="I1298" s="286"/>
      <c r="J1298" s="286"/>
      <c r="K1298" s="285"/>
    </row>
    <row r="1299" spans="1:11" x14ac:dyDescent="0.2">
      <c r="A1299" s="285"/>
      <c r="B1299" s="285"/>
      <c r="C1299" s="285"/>
      <c r="D1299" s="286"/>
      <c r="E1299" s="286"/>
      <c r="F1299" s="286"/>
      <c r="G1299" s="286"/>
      <c r="H1299" s="286"/>
      <c r="I1299" s="286"/>
      <c r="J1299" s="286"/>
      <c r="K1299" s="285"/>
    </row>
    <row r="1300" spans="1:11" x14ac:dyDescent="0.2">
      <c r="A1300" s="285"/>
      <c r="B1300" s="285"/>
      <c r="C1300" s="285"/>
      <c r="D1300" s="286"/>
      <c r="E1300" s="286"/>
      <c r="F1300" s="286"/>
      <c r="G1300" s="286"/>
      <c r="H1300" s="286"/>
      <c r="I1300" s="286"/>
      <c r="J1300" s="286"/>
      <c r="K1300" s="285"/>
    </row>
    <row r="1301" spans="1:11" x14ac:dyDescent="0.2">
      <c r="A1301" s="285"/>
      <c r="B1301" s="285"/>
      <c r="C1301" s="285"/>
      <c r="D1301" s="286"/>
      <c r="E1301" s="286"/>
      <c r="F1301" s="286"/>
      <c r="G1301" s="286"/>
      <c r="H1301" s="286"/>
      <c r="I1301" s="286"/>
      <c r="J1301" s="286"/>
      <c r="K1301" s="285"/>
    </row>
    <row r="1302" spans="1:11" x14ac:dyDescent="0.2">
      <c r="A1302" s="285"/>
      <c r="B1302" s="285"/>
      <c r="C1302" s="285"/>
      <c r="D1302" s="286"/>
      <c r="E1302" s="286"/>
      <c r="F1302" s="286"/>
      <c r="G1302" s="286"/>
      <c r="H1302" s="286"/>
      <c r="I1302" s="286"/>
      <c r="J1302" s="286"/>
      <c r="K1302" s="285"/>
    </row>
    <row r="1303" spans="1:11" x14ac:dyDescent="0.2">
      <c r="A1303" s="285"/>
      <c r="B1303" s="285"/>
      <c r="C1303" s="285"/>
      <c r="D1303" s="286"/>
      <c r="E1303" s="286"/>
      <c r="F1303" s="286"/>
      <c r="G1303" s="286"/>
      <c r="H1303" s="286"/>
      <c r="I1303" s="286"/>
      <c r="J1303" s="286"/>
      <c r="K1303" s="285"/>
    </row>
    <row r="1304" spans="1:11" x14ac:dyDescent="0.2">
      <c r="A1304" s="285"/>
      <c r="B1304" s="285"/>
      <c r="C1304" s="285"/>
      <c r="D1304" s="286"/>
      <c r="E1304" s="286"/>
      <c r="F1304" s="286"/>
      <c r="G1304" s="286"/>
      <c r="H1304" s="286"/>
      <c r="I1304" s="286"/>
      <c r="J1304" s="286"/>
      <c r="K1304" s="285"/>
    </row>
    <row r="1305" spans="1:11" x14ac:dyDescent="0.2">
      <c r="A1305" s="285"/>
      <c r="B1305" s="285"/>
      <c r="C1305" s="285"/>
      <c r="D1305" s="286"/>
      <c r="E1305" s="286"/>
      <c r="F1305" s="286"/>
      <c r="G1305" s="286"/>
      <c r="H1305" s="286"/>
      <c r="I1305" s="286"/>
      <c r="J1305" s="286"/>
      <c r="K1305" s="285"/>
    </row>
    <row r="1306" spans="1:11" x14ac:dyDescent="0.2">
      <c r="A1306" s="285"/>
      <c r="B1306" s="285"/>
      <c r="C1306" s="285"/>
      <c r="D1306" s="286"/>
      <c r="E1306" s="286"/>
      <c r="F1306" s="286"/>
      <c r="G1306" s="286"/>
      <c r="H1306" s="286"/>
      <c r="I1306" s="286"/>
      <c r="J1306" s="286"/>
      <c r="K1306" s="285"/>
    </row>
    <row r="1307" spans="1:11" x14ac:dyDescent="0.2">
      <c r="A1307" s="285"/>
      <c r="B1307" s="285"/>
      <c r="C1307" s="285"/>
      <c r="D1307" s="286"/>
      <c r="E1307" s="286"/>
      <c r="F1307" s="286"/>
      <c r="G1307" s="286"/>
      <c r="H1307" s="286"/>
      <c r="I1307" s="286"/>
      <c r="J1307" s="286"/>
      <c r="K1307" s="285"/>
    </row>
    <row r="1308" spans="1:11" x14ac:dyDescent="0.2">
      <c r="A1308" s="285"/>
      <c r="B1308" s="285"/>
      <c r="C1308" s="285"/>
      <c r="D1308" s="286"/>
      <c r="E1308" s="286"/>
      <c r="F1308" s="286"/>
      <c r="G1308" s="286"/>
      <c r="H1308" s="286"/>
      <c r="I1308" s="286"/>
      <c r="J1308" s="286"/>
      <c r="K1308" s="285"/>
    </row>
    <row r="1309" spans="1:11" x14ac:dyDescent="0.2">
      <c r="A1309" s="285"/>
      <c r="B1309" s="285"/>
      <c r="C1309" s="285"/>
      <c r="D1309" s="286"/>
      <c r="E1309" s="286"/>
      <c r="F1309" s="286"/>
      <c r="G1309" s="286"/>
      <c r="H1309" s="286"/>
      <c r="I1309" s="286"/>
      <c r="J1309" s="286"/>
      <c r="K1309" s="285"/>
    </row>
    <row r="1310" spans="1:11" x14ac:dyDescent="0.2">
      <c r="A1310" s="285"/>
      <c r="B1310" s="285"/>
      <c r="C1310" s="285"/>
      <c r="D1310" s="286"/>
      <c r="E1310" s="286"/>
      <c r="F1310" s="286"/>
      <c r="G1310" s="286"/>
      <c r="H1310" s="286"/>
      <c r="I1310" s="286"/>
      <c r="J1310" s="286"/>
      <c r="K1310" s="285"/>
    </row>
    <row r="1311" spans="1:11" x14ac:dyDescent="0.2">
      <c r="A1311" s="285"/>
      <c r="B1311" s="285"/>
      <c r="C1311" s="285"/>
      <c r="D1311" s="286"/>
      <c r="E1311" s="286"/>
      <c r="F1311" s="286"/>
      <c r="G1311" s="286"/>
      <c r="H1311" s="286"/>
      <c r="I1311" s="286"/>
      <c r="J1311" s="286"/>
      <c r="K1311" s="285"/>
    </row>
    <row r="1313" spans="1:11" x14ac:dyDescent="0.2">
      <c r="A1313" s="285"/>
      <c r="B1313" s="285"/>
      <c r="C1313" s="285"/>
      <c r="D1313" s="285"/>
      <c r="E1313" s="286"/>
      <c r="F1313" s="286"/>
      <c r="G1313" s="286"/>
      <c r="H1313" s="285"/>
      <c r="I1313" s="285"/>
      <c r="J1313" s="286"/>
      <c r="K1313" s="285"/>
    </row>
    <row r="1314" spans="1:11" x14ac:dyDescent="0.2">
      <c r="A1314" s="285"/>
      <c r="B1314" s="285"/>
      <c r="C1314" s="285"/>
      <c r="D1314" s="285"/>
      <c r="E1314" s="325"/>
      <c r="F1314" s="286"/>
      <c r="G1314" s="286"/>
      <c r="H1314" s="285"/>
      <c r="I1314" s="285"/>
      <c r="J1314" s="286"/>
      <c r="K1314" s="285"/>
    </row>
    <row r="1315" spans="1:11" x14ac:dyDescent="0.2">
      <c r="A1315" s="285"/>
      <c r="B1315" s="285"/>
      <c r="C1315" s="285"/>
      <c r="D1315" s="285"/>
      <c r="E1315" s="286"/>
      <c r="F1315" s="286"/>
      <c r="G1315" s="286"/>
      <c r="H1315" s="285"/>
      <c r="I1315" s="285"/>
      <c r="J1315" s="286"/>
      <c r="K1315" s="285"/>
    </row>
    <row r="1316" spans="1:11" x14ac:dyDescent="0.2">
      <c r="A1316" s="285"/>
      <c r="B1316" s="285"/>
      <c r="C1316" s="285"/>
      <c r="D1316" s="288"/>
      <c r="E1316" s="288"/>
      <c r="F1316" s="288"/>
      <c r="G1316" s="288"/>
      <c r="H1316" s="289"/>
      <c r="I1316" s="288"/>
      <c r="J1316" s="288"/>
      <c r="K1316" s="290"/>
    </row>
    <row r="1317" spans="1:11" x14ac:dyDescent="0.2">
      <c r="A1317" s="285"/>
      <c r="B1317" s="285"/>
      <c r="C1317" s="285"/>
      <c r="D1317" s="286"/>
      <c r="E1317" s="286"/>
      <c r="F1317" s="286"/>
      <c r="G1317" s="286"/>
      <c r="H1317" s="286"/>
      <c r="I1317" s="286"/>
      <c r="J1317" s="286"/>
      <c r="K1317" s="285"/>
    </row>
    <row r="1318" spans="1:11" x14ac:dyDescent="0.2">
      <c r="A1318" s="285"/>
      <c r="B1318" s="285"/>
      <c r="C1318" s="285"/>
      <c r="D1318" s="286"/>
      <c r="E1318" s="286"/>
      <c r="F1318" s="286"/>
      <c r="G1318" s="286"/>
      <c r="H1318" s="286"/>
      <c r="I1318" s="286"/>
      <c r="J1318" s="286"/>
      <c r="K1318" s="285"/>
    </row>
    <row r="1319" spans="1:11" x14ac:dyDescent="0.2">
      <c r="A1319" s="285"/>
      <c r="B1319" s="285"/>
      <c r="C1319" s="285"/>
      <c r="D1319" s="286"/>
      <c r="E1319" s="286"/>
      <c r="F1319" s="286"/>
      <c r="G1319" s="286"/>
      <c r="H1319" s="287"/>
      <c r="I1319" s="286"/>
      <c r="J1319" s="286"/>
      <c r="K1319" s="285"/>
    </row>
    <row r="1320" spans="1:11" x14ac:dyDescent="0.2">
      <c r="A1320" s="285"/>
      <c r="B1320" s="285"/>
      <c r="C1320" s="285"/>
      <c r="D1320" s="286"/>
      <c r="E1320" s="286"/>
      <c r="F1320" s="286"/>
      <c r="G1320" s="286"/>
      <c r="H1320" s="287"/>
      <c r="I1320" s="286"/>
      <c r="J1320" s="286"/>
      <c r="K1320" s="285"/>
    </row>
    <row r="1321" spans="1:11" x14ac:dyDescent="0.2">
      <c r="A1321" s="285"/>
      <c r="B1321" s="285"/>
      <c r="C1321" s="285"/>
      <c r="D1321" s="286"/>
      <c r="E1321" s="286"/>
      <c r="F1321" s="286"/>
      <c r="G1321" s="286"/>
      <c r="H1321" s="287"/>
      <c r="I1321" s="286"/>
      <c r="J1321" s="286"/>
      <c r="K1321" s="285"/>
    </row>
    <row r="1322" spans="1:11" x14ac:dyDescent="0.2">
      <c r="A1322" s="285"/>
      <c r="B1322" s="285"/>
      <c r="C1322" s="285"/>
      <c r="D1322" s="286"/>
      <c r="E1322" s="286"/>
      <c r="F1322" s="286"/>
      <c r="G1322" s="286"/>
      <c r="H1322" s="287"/>
      <c r="I1322" s="286"/>
      <c r="J1322" s="286"/>
      <c r="K1322" s="285"/>
    </row>
    <row r="1323" spans="1:11" x14ac:dyDescent="0.2">
      <c r="A1323" s="285"/>
      <c r="B1323" s="285"/>
      <c r="C1323" s="285"/>
      <c r="D1323" s="288"/>
      <c r="E1323" s="286"/>
      <c r="F1323" s="286"/>
      <c r="G1323" s="286"/>
      <c r="H1323" s="292"/>
      <c r="I1323" s="286"/>
      <c r="J1323" s="286"/>
      <c r="K1323" s="285"/>
    </row>
    <row r="1324" spans="1:11" x14ac:dyDescent="0.2">
      <c r="A1324" s="285"/>
      <c r="B1324" s="285"/>
      <c r="C1324" s="285"/>
      <c r="D1324" s="288"/>
      <c r="E1324" s="286"/>
      <c r="F1324" s="286"/>
      <c r="G1324" s="286"/>
      <c r="H1324" s="292"/>
      <c r="I1324" s="286"/>
      <c r="J1324" s="286"/>
      <c r="K1324" s="285"/>
    </row>
    <row r="1325" spans="1:11" x14ac:dyDescent="0.2">
      <c r="A1325" s="285"/>
      <c r="B1325" s="285"/>
      <c r="C1325" s="285"/>
      <c r="D1325" s="288"/>
      <c r="E1325" s="286"/>
      <c r="F1325" s="286"/>
      <c r="G1325" s="286"/>
      <c r="H1325" s="292"/>
      <c r="J1325" s="286"/>
      <c r="K1325" s="285"/>
    </row>
    <row r="1326" spans="1:11" x14ac:dyDescent="0.2">
      <c r="A1326" s="285"/>
      <c r="B1326" s="285"/>
      <c r="C1326" s="285"/>
      <c r="D1326" s="285"/>
      <c r="E1326" s="286"/>
      <c r="F1326" s="286"/>
      <c r="G1326" s="286"/>
      <c r="H1326" s="285"/>
      <c r="I1326" s="285"/>
      <c r="J1326" s="286"/>
      <c r="K1326" s="285"/>
    </row>
    <row r="1327" spans="1:11" x14ac:dyDescent="0.2">
      <c r="A1327" s="285"/>
      <c r="B1327" s="285"/>
      <c r="C1327" s="285"/>
      <c r="D1327" s="285"/>
      <c r="E1327" s="286"/>
      <c r="F1327" s="286"/>
      <c r="G1327" s="286"/>
      <c r="H1327" s="285"/>
      <c r="I1327" s="285"/>
      <c r="J1327" s="286"/>
      <c r="K1327" s="285"/>
    </row>
    <row r="1328" spans="1:11" x14ac:dyDescent="0.2">
      <c r="A1328" s="285"/>
      <c r="B1328" s="285"/>
      <c r="C1328" s="285"/>
      <c r="D1328" s="285"/>
      <c r="E1328" s="286"/>
      <c r="F1328" s="286"/>
      <c r="G1328" s="286"/>
      <c r="H1328" s="285"/>
      <c r="I1328" s="285"/>
      <c r="J1328" s="286"/>
      <c r="K1328" s="285"/>
    </row>
    <row r="1329" spans="1:11" x14ac:dyDescent="0.2">
      <c r="A1329" s="285"/>
      <c r="B1329" s="285"/>
      <c r="C1329" s="285"/>
      <c r="D1329" s="286"/>
      <c r="E1329" s="286"/>
      <c r="F1329" s="286"/>
      <c r="G1329" s="286"/>
      <c r="H1329" s="286"/>
      <c r="I1329" s="286"/>
      <c r="J1329" s="286"/>
      <c r="K1329" s="285"/>
    </row>
    <row r="1330" spans="1:11" x14ac:dyDescent="0.2">
      <c r="A1330" s="285"/>
      <c r="B1330" s="285"/>
      <c r="C1330" s="285"/>
      <c r="D1330" s="286"/>
      <c r="E1330" s="286"/>
      <c r="F1330" s="286"/>
      <c r="G1330" s="286"/>
      <c r="H1330" s="286"/>
      <c r="I1330" s="286"/>
      <c r="J1330" s="286"/>
      <c r="K1330" s="285"/>
    </row>
    <row r="1331" spans="1:11" x14ac:dyDescent="0.2">
      <c r="A1331" s="285"/>
      <c r="B1331" s="285"/>
      <c r="C1331" s="285"/>
      <c r="D1331" s="286"/>
      <c r="E1331" s="286"/>
      <c r="F1331" s="286"/>
      <c r="G1331" s="286"/>
      <c r="H1331" s="286"/>
      <c r="I1331" s="286"/>
      <c r="J1331" s="286"/>
      <c r="K1331" s="285"/>
    </row>
    <row r="1332" spans="1:11" x14ac:dyDescent="0.2">
      <c r="A1332" s="285"/>
      <c r="B1332" s="285"/>
      <c r="C1332" s="285"/>
      <c r="D1332" s="286"/>
      <c r="E1332" s="286"/>
      <c r="F1332" s="286"/>
      <c r="G1332" s="286"/>
      <c r="H1332" s="286"/>
      <c r="I1332" s="286"/>
      <c r="J1332" s="286"/>
      <c r="K1332" s="285"/>
    </row>
    <row r="1333" spans="1:11" x14ac:dyDescent="0.2">
      <c r="A1333" s="285"/>
      <c r="B1333" s="285"/>
      <c r="C1333" s="285"/>
      <c r="D1333" s="286"/>
      <c r="E1333" s="286"/>
      <c r="F1333" s="286"/>
      <c r="G1333" s="286"/>
      <c r="H1333" s="286"/>
      <c r="I1333" s="286"/>
      <c r="J1333" s="286"/>
      <c r="K1333" s="285"/>
    </row>
    <row r="1334" spans="1:11" x14ac:dyDescent="0.2">
      <c r="A1334" s="285"/>
      <c r="B1334" s="285"/>
      <c r="C1334" s="285"/>
      <c r="D1334" s="286"/>
      <c r="E1334" s="286"/>
      <c r="F1334" s="286"/>
      <c r="G1334" s="286"/>
      <c r="H1334" s="286"/>
      <c r="I1334" s="286"/>
      <c r="J1334" s="286"/>
      <c r="K1334" s="285"/>
    </row>
    <row r="1335" spans="1:11" x14ac:dyDescent="0.2">
      <c r="D1335" s="286"/>
      <c r="E1335" s="286"/>
      <c r="F1335" s="286"/>
      <c r="G1335" s="286"/>
      <c r="H1335" s="286"/>
      <c r="I1335" s="286"/>
      <c r="J1335" s="286"/>
      <c r="K1335" s="285"/>
    </row>
    <row r="1336" spans="1:11" x14ac:dyDescent="0.2">
      <c r="A1336" s="285"/>
      <c r="B1336" s="285"/>
      <c r="C1336" s="285"/>
      <c r="D1336" s="286"/>
      <c r="E1336" s="286"/>
      <c r="F1336" s="286"/>
      <c r="G1336" s="286"/>
      <c r="H1336" s="286"/>
      <c r="I1336" s="286"/>
      <c r="J1336" s="286"/>
      <c r="K1336" s="285"/>
    </row>
    <row r="1337" spans="1:11" x14ac:dyDescent="0.2">
      <c r="A1337" s="285"/>
      <c r="B1337" s="285"/>
      <c r="C1337" s="285"/>
      <c r="D1337" s="286"/>
      <c r="E1337" s="286"/>
      <c r="F1337" s="286"/>
      <c r="G1337" s="286"/>
      <c r="H1337" s="286"/>
      <c r="I1337" s="286"/>
      <c r="J1337" s="286"/>
      <c r="K1337" s="285"/>
    </row>
    <row r="1338" spans="1:11" x14ac:dyDescent="0.2">
      <c r="A1338" s="285"/>
      <c r="B1338" s="285"/>
      <c r="C1338" s="285"/>
      <c r="D1338" s="286"/>
      <c r="E1338" s="286"/>
      <c r="F1338" s="286"/>
      <c r="G1338" s="286"/>
      <c r="H1338" s="286"/>
      <c r="I1338" s="286"/>
      <c r="J1338" s="286"/>
      <c r="K1338" s="285"/>
    </row>
    <row r="1339" spans="1:11" x14ac:dyDescent="0.2">
      <c r="A1339" s="285"/>
      <c r="B1339" s="285"/>
      <c r="C1339" s="285"/>
      <c r="D1339" s="286"/>
      <c r="E1339" s="286"/>
      <c r="F1339" s="286"/>
      <c r="G1339" s="286"/>
      <c r="H1339" s="286"/>
      <c r="I1339" s="286"/>
      <c r="J1339" s="286"/>
      <c r="K1339" s="285"/>
    </row>
    <row r="1340" spans="1:11" x14ac:dyDescent="0.2">
      <c r="A1340" s="285"/>
      <c r="B1340" s="285"/>
      <c r="C1340" s="285"/>
      <c r="D1340" s="286"/>
      <c r="E1340" s="286"/>
      <c r="F1340" s="286"/>
      <c r="G1340" s="286"/>
      <c r="H1340" s="286"/>
      <c r="I1340" s="286"/>
      <c r="J1340" s="286"/>
      <c r="K1340" s="285"/>
    </row>
    <row r="1341" spans="1:11" x14ac:dyDescent="0.2">
      <c r="A1341" s="285"/>
      <c r="B1341" s="285"/>
      <c r="C1341" s="285"/>
      <c r="D1341" s="286"/>
      <c r="E1341" s="286"/>
      <c r="F1341" s="286"/>
      <c r="G1341" s="286"/>
      <c r="H1341" s="286"/>
      <c r="I1341" s="286"/>
      <c r="J1341" s="286"/>
      <c r="K1341" s="285"/>
    </row>
    <row r="1342" spans="1:11" x14ac:dyDescent="0.2">
      <c r="A1342" s="285"/>
      <c r="B1342" s="285"/>
      <c r="C1342" s="285"/>
      <c r="D1342" s="286"/>
      <c r="E1342" s="286"/>
      <c r="F1342" s="286"/>
      <c r="G1342" s="286"/>
      <c r="H1342" s="286"/>
      <c r="I1342" s="286"/>
      <c r="J1342" s="286"/>
      <c r="K1342" s="285"/>
    </row>
    <row r="1343" spans="1:11" x14ac:dyDescent="0.2">
      <c r="A1343" s="285"/>
      <c r="B1343" s="285"/>
      <c r="C1343" s="285"/>
      <c r="D1343" s="286"/>
      <c r="E1343" s="286"/>
      <c r="F1343" s="286"/>
      <c r="G1343" s="286"/>
      <c r="H1343" s="286"/>
      <c r="I1343" s="286"/>
      <c r="J1343" s="286"/>
      <c r="K1343" s="285"/>
    </row>
    <row r="1344" spans="1:11" x14ac:dyDescent="0.2">
      <c r="A1344" s="285"/>
      <c r="B1344" s="285"/>
      <c r="C1344" s="285"/>
      <c r="D1344" s="286"/>
      <c r="E1344" s="286"/>
      <c r="F1344" s="286"/>
      <c r="G1344" s="286"/>
      <c r="H1344" s="286"/>
      <c r="I1344" s="286"/>
      <c r="J1344" s="286"/>
      <c r="K1344" s="285"/>
    </row>
    <row r="1345" spans="1:11" x14ac:dyDescent="0.2">
      <c r="A1345" s="285"/>
      <c r="B1345" s="285"/>
      <c r="C1345" s="285"/>
      <c r="D1345" s="286"/>
      <c r="E1345" s="286"/>
      <c r="F1345" s="286"/>
      <c r="G1345" s="286"/>
      <c r="H1345" s="286"/>
      <c r="I1345" s="286"/>
      <c r="J1345" s="286"/>
      <c r="K1345" s="285"/>
    </row>
    <row r="1346" spans="1:11" x14ac:dyDescent="0.2">
      <c r="A1346" s="285"/>
      <c r="B1346" s="285"/>
      <c r="C1346" s="285"/>
      <c r="D1346" s="286"/>
      <c r="E1346" s="286"/>
      <c r="F1346" s="286"/>
      <c r="G1346" s="286"/>
      <c r="H1346" s="286"/>
      <c r="I1346" s="286"/>
      <c r="J1346" s="286"/>
      <c r="K1346" s="285"/>
    </row>
    <row r="1347" spans="1:11" x14ac:dyDescent="0.2">
      <c r="A1347" s="285"/>
      <c r="B1347" s="285"/>
      <c r="C1347" s="285"/>
      <c r="D1347" s="286"/>
      <c r="E1347" s="286"/>
      <c r="F1347" s="286"/>
      <c r="G1347" s="286"/>
      <c r="H1347" s="286"/>
      <c r="I1347" s="286"/>
      <c r="J1347" s="286"/>
      <c r="K1347" s="285"/>
    </row>
    <row r="1348" spans="1:11" x14ac:dyDescent="0.2">
      <c r="A1348" s="285"/>
      <c r="B1348" s="285"/>
      <c r="C1348" s="285"/>
      <c r="D1348" s="286"/>
      <c r="E1348" s="286"/>
      <c r="F1348" s="286"/>
      <c r="G1348" s="286"/>
      <c r="H1348" s="286"/>
      <c r="I1348" s="286"/>
      <c r="J1348" s="286"/>
      <c r="K1348" s="285"/>
    </row>
    <row r="1349" spans="1:11" x14ac:dyDescent="0.2">
      <c r="A1349" s="285"/>
      <c r="B1349" s="285"/>
      <c r="C1349" s="285"/>
      <c r="D1349" s="286"/>
      <c r="E1349" s="286"/>
      <c r="F1349" s="286"/>
      <c r="G1349" s="286"/>
      <c r="H1349" s="286"/>
      <c r="I1349" s="286"/>
      <c r="J1349" s="286"/>
      <c r="K1349" s="285"/>
    </row>
    <row r="1350" spans="1:11" x14ac:dyDescent="0.2">
      <c r="A1350" s="285"/>
      <c r="B1350" s="285"/>
      <c r="C1350" s="285"/>
      <c r="D1350" s="286"/>
      <c r="E1350" s="286"/>
      <c r="F1350" s="286"/>
      <c r="G1350" s="286"/>
      <c r="H1350" s="286"/>
      <c r="I1350" s="286"/>
      <c r="J1350" s="286"/>
      <c r="K1350" s="285"/>
    </row>
    <row r="1351" spans="1:11" x14ac:dyDescent="0.2">
      <c r="A1351" s="285"/>
      <c r="B1351" s="285"/>
      <c r="C1351" s="285"/>
      <c r="D1351" s="286"/>
      <c r="E1351" s="286"/>
      <c r="F1351" s="286"/>
      <c r="G1351" s="286"/>
      <c r="H1351" s="286"/>
      <c r="I1351" s="286"/>
      <c r="J1351" s="286"/>
      <c r="K1351" s="285"/>
    </row>
    <row r="1352" spans="1:11" x14ac:dyDescent="0.2">
      <c r="A1352" s="285"/>
      <c r="B1352" s="285"/>
      <c r="C1352" s="285"/>
      <c r="D1352" s="286"/>
      <c r="E1352" s="286"/>
      <c r="F1352" s="286"/>
      <c r="G1352" s="286"/>
      <c r="H1352" s="286"/>
      <c r="I1352" s="286"/>
      <c r="J1352" s="286"/>
      <c r="K1352" s="285"/>
    </row>
    <row r="1353" spans="1:11" x14ac:dyDescent="0.2">
      <c r="A1353" s="285"/>
      <c r="B1353" s="285"/>
      <c r="C1353" s="285"/>
      <c r="D1353" s="286"/>
      <c r="E1353" s="286"/>
      <c r="F1353" s="286"/>
      <c r="G1353" s="286"/>
      <c r="H1353" s="286"/>
      <c r="I1353" s="286"/>
      <c r="J1353" s="286"/>
      <c r="K1353" s="285"/>
    </row>
    <row r="1354" spans="1:11" x14ac:dyDescent="0.2">
      <c r="A1354" s="285"/>
      <c r="B1354" s="285"/>
      <c r="C1354" s="285"/>
      <c r="D1354" s="286"/>
      <c r="E1354" s="286"/>
      <c r="F1354" s="286"/>
      <c r="G1354" s="286"/>
      <c r="H1354" s="286"/>
      <c r="I1354" s="286"/>
      <c r="J1354" s="286"/>
      <c r="K1354" s="285"/>
    </row>
    <row r="1355" spans="1:11" x14ac:dyDescent="0.2">
      <c r="A1355" s="285"/>
      <c r="B1355" s="285"/>
      <c r="C1355" s="285"/>
      <c r="D1355" s="286"/>
      <c r="E1355" s="286"/>
      <c r="F1355" s="286"/>
      <c r="G1355" s="286"/>
      <c r="H1355" s="286"/>
      <c r="I1355" s="286"/>
      <c r="J1355" s="286"/>
      <c r="K1355" s="285"/>
    </row>
    <row r="1356" spans="1:11" x14ac:dyDescent="0.2">
      <c r="D1356" s="286"/>
      <c r="E1356" s="286"/>
      <c r="F1356" s="286"/>
      <c r="G1356" s="286"/>
      <c r="H1356" s="286"/>
      <c r="I1356" s="286"/>
      <c r="J1356" s="286"/>
      <c r="K1356" s="285"/>
    </row>
    <row r="1357" spans="1:11" x14ac:dyDescent="0.2">
      <c r="A1357" s="285"/>
      <c r="B1357" s="285"/>
      <c r="C1357" s="285"/>
      <c r="D1357" s="286"/>
      <c r="E1357" s="286"/>
      <c r="F1357" s="286"/>
      <c r="G1357" s="286"/>
      <c r="H1357" s="286"/>
      <c r="I1357" s="286"/>
      <c r="J1357" s="286"/>
      <c r="K1357" s="285"/>
    </row>
    <row r="1358" spans="1:11" x14ac:dyDescent="0.2">
      <c r="A1358" s="285"/>
      <c r="B1358" s="285"/>
      <c r="C1358" s="285"/>
      <c r="D1358" s="286"/>
      <c r="E1358" s="286"/>
      <c r="F1358" s="286"/>
      <c r="G1358" s="286"/>
      <c r="H1358" s="286"/>
      <c r="I1358" s="286"/>
      <c r="J1358" s="286"/>
      <c r="K1358" s="285"/>
    </row>
    <row r="1359" spans="1:11" x14ac:dyDescent="0.2">
      <c r="A1359" s="285"/>
      <c r="B1359" s="285"/>
      <c r="C1359" s="285"/>
      <c r="D1359" s="286"/>
      <c r="E1359" s="286"/>
      <c r="F1359" s="286"/>
      <c r="G1359" s="286"/>
      <c r="H1359" s="286"/>
      <c r="I1359" s="286"/>
      <c r="J1359" s="286"/>
      <c r="K1359" s="285"/>
    </row>
    <row r="1360" spans="1:11" x14ac:dyDescent="0.2">
      <c r="A1360" s="285"/>
      <c r="B1360" s="285"/>
      <c r="C1360" s="285"/>
      <c r="D1360" s="286"/>
      <c r="E1360" s="286"/>
      <c r="F1360" s="286"/>
      <c r="G1360" s="286"/>
      <c r="H1360" s="286"/>
      <c r="I1360" s="286"/>
      <c r="J1360" s="286"/>
      <c r="K1360" s="285"/>
    </row>
    <row r="1361" spans="1:11" x14ac:dyDescent="0.2">
      <c r="A1361" s="285"/>
      <c r="B1361" s="285"/>
      <c r="C1361" s="285"/>
      <c r="D1361" s="286"/>
      <c r="E1361" s="286"/>
      <c r="F1361" s="286"/>
      <c r="G1361" s="286"/>
      <c r="H1361" s="286"/>
      <c r="I1361" s="286"/>
      <c r="J1361" s="286"/>
      <c r="K1361" s="285"/>
    </row>
    <row r="1362" spans="1:11" x14ac:dyDescent="0.2">
      <c r="A1362" s="285"/>
      <c r="B1362" s="285"/>
      <c r="C1362" s="285"/>
      <c r="D1362" s="286"/>
      <c r="E1362" s="286"/>
      <c r="F1362" s="286"/>
      <c r="G1362" s="286"/>
      <c r="H1362" s="286"/>
      <c r="I1362" s="286"/>
      <c r="J1362" s="286"/>
      <c r="K1362" s="285"/>
    </row>
    <row r="1363" spans="1:11" x14ac:dyDescent="0.2">
      <c r="A1363" s="285"/>
      <c r="B1363" s="285"/>
      <c r="C1363" s="285"/>
      <c r="D1363" s="286"/>
      <c r="E1363" s="286"/>
      <c r="F1363" s="286"/>
      <c r="G1363" s="286"/>
      <c r="H1363" s="286"/>
      <c r="I1363" s="286"/>
      <c r="J1363" s="286"/>
      <c r="K1363" s="285"/>
    </row>
    <row r="1364" spans="1:11" x14ac:dyDescent="0.2">
      <c r="A1364" s="285"/>
      <c r="B1364" s="285"/>
      <c r="C1364" s="285"/>
      <c r="D1364" s="286"/>
      <c r="E1364" s="286"/>
      <c r="F1364" s="286"/>
      <c r="G1364" s="286"/>
      <c r="H1364" s="286"/>
      <c r="I1364" s="286"/>
      <c r="J1364" s="286"/>
      <c r="K1364" s="285"/>
    </row>
    <row r="1365" spans="1:11" x14ac:dyDescent="0.2">
      <c r="D1365" s="286"/>
      <c r="E1365" s="286"/>
      <c r="F1365" s="286"/>
      <c r="G1365" s="286"/>
      <c r="H1365" s="286"/>
      <c r="I1365" s="286"/>
      <c r="J1365" s="286"/>
      <c r="K1365" s="285"/>
    </row>
    <row r="1366" spans="1:11" x14ac:dyDescent="0.2">
      <c r="A1366" s="285"/>
      <c r="B1366" s="285"/>
      <c r="C1366" s="285"/>
      <c r="D1366" s="286"/>
      <c r="E1366" s="286"/>
      <c r="F1366" s="286"/>
      <c r="G1366" s="286"/>
      <c r="H1366" s="286"/>
      <c r="I1366" s="286"/>
      <c r="J1366" s="286"/>
      <c r="K1366" s="285"/>
    </row>
    <row r="1367" spans="1:11" x14ac:dyDescent="0.2">
      <c r="A1367" s="285"/>
      <c r="B1367" s="285"/>
      <c r="C1367" s="285"/>
      <c r="D1367" s="286"/>
      <c r="E1367" s="286"/>
      <c r="F1367" s="286"/>
      <c r="G1367" s="286"/>
      <c r="H1367" s="286"/>
      <c r="I1367" s="286"/>
      <c r="J1367" s="286"/>
      <c r="K1367" s="285"/>
    </row>
    <row r="1368" spans="1:11" x14ac:dyDescent="0.2">
      <c r="A1368" s="285"/>
      <c r="B1368" s="285"/>
      <c r="C1368" s="285"/>
      <c r="D1368" s="286"/>
      <c r="E1368" s="286"/>
      <c r="F1368" s="286"/>
      <c r="G1368" s="286"/>
      <c r="H1368" s="286"/>
      <c r="I1368" s="286"/>
      <c r="J1368" s="286"/>
      <c r="K1368" s="285"/>
    </row>
    <row r="1369" spans="1:11" x14ac:dyDescent="0.2">
      <c r="A1369" s="285"/>
      <c r="B1369" s="285"/>
      <c r="C1369" s="285"/>
      <c r="D1369" s="286"/>
      <c r="E1369" s="286"/>
      <c r="F1369" s="286"/>
      <c r="G1369" s="286"/>
      <c r="H1369" s="286"/>
      <c r="I1369" s="286"/>
      <c r="J1369" s="286"/>
      <c r="K1369" s="285"/>
    </row>
    <row r="1370" spans="1:11" x14ac:dyDescent="0.2">
      <c r="A1370" s="285"/>
      <c r="B1370" s="285"/>
      <c r="C1370" s="285"/>
      <c r="D1370" s="286"/>
      <c r="E1370" s="286"/>
      <c r="F1370" s="286"/>
      <c r="G1370" s="286"/>
      <c r="H1370" s="286"/>
      <c r="I1370" s="286"/>
      <c r="J1370" s="286"/>
      <c r="K1370" s="285"/>
    </row>
    <row r="1371" spans="1:11" x14ac:dyDescent="0.2">
      <c r="A1371" s="285"/>
      <c r="B1371" s="285"/>
      <c r="C1371" s="285"/>
      <c r="D1371" s="286"/>
      <c r="E1371" s="286"/>
      <c r="F1371" s="286"/>
      <c r="G1371" s="286"/>
      <c r="H1371" s="286"/>
      <c r="I1371" s="286"/>
      <c r="J1371" s="286"/>
      <c r="K1371" s="285"/>
    </row>
    <row r="1372" spans="1:11" x14ac:dyDescent="0.2">
      <c r="A1372" s="285"/>
      <c r="B1372" s="285"/>
      <c r="C1372" s="285"/>
      <c r="D1372" s="286"/>
      <c r="E1372" s="286"/>
      <c r="F1372" s="286"/>
      <c r="G1372" s="286"/>
      <c r="H1372" s="286"/>
      <c r="I1372" s="286"/>
      <c r="J1372" s="286"/>
      <c r="K1372" s="285"/>
    </row>
    <row r="1373" spans="1:11" x14ac:dyDescent="0.2">
      <c r="A1373" s="285"/>
      <c r="B1373" s="285"/>
      <c r="C1373" s="285"/>
      <c r="D1373" s="286"/>
      <c r="E1373" s="286"/>
      <c r="F1373" s="286"/>
      <c r="G1373" s="286"/>
      <c r="H1373" s="286"/>
      <c r="I1373" s="286"/>
      <c r="J1373" s="286"/>
      <c r="K1373" s="285"/>
    </row>
    <row r="1374" spans="1:11" x14ac:dyDescent="0.2">
      <c r="A1374" s="285"/>
      <c r="B1374" s="285"/>
      <c r="C1374" s="285"/>
      <c r="D1374" s="286"/>
      <c r="E1374" s="286"/>
      <c r="F1374" s="286"/>
      <c r="G1374" s="286"/>
      <c r="H1374" s="286"/>
      <c r="I1374" s="286"/>
      <c r="J1374" s="286"/>
      <c r="K1374" s="285"/>
    </row>
    <row r="1375" spans="1:11" x14ac:dyDescent="0.2">
      <c r="A1375" s="285"/>
      <c r="B1375" s="285"/>
      <c r="C1375" s="285"/>
      <c r="D1375" s="286"/>
      <c r="E1375" s="286"/>
      <c r="F1375" s="286"/>
      <c r="G1375" s="286"/>
      <c r="H1375" s="286"/>
      <c r="I1375" s="286"/>
      <c r="J1375" s="286"/>
      <c r="K1375" s="285"/>
    </row>
    <row r="1376" spans="1:11" x14ac:dyDescent="0.2">
      <c r="A1376" s="285"/>
      <c r="B1376" s="285"/>
      <c r="C1376" s="285"/>
      <c r="D1376" s="286"/>
      <c r="E1376" s="286"/>
      <c r="F1376" s="286"/>
      <c r="G1376" s="286"/>
      <c r="H1376" s="286"/>
      <c r="I1376" s="286"/>
      <c r="J1376" s="286"/>
      <c r="K1376" s="285"/>
    </row>
    <row r="1377" spans="1:11" x14ac:dyDescent="0.2">
      <c r="A1377" s="285"/>
      <c r="B1377" s="285"/>
      <c r="C1377" s="285"/>
      <c r="D1377" s="286"/>
      <c r="E1377" s="286"/>
      <c r="F1377" s="286"/>
      <c r="G1377" s="286"/>
      <c r="H1377" s="286"/>
      <c r="I1377" s="286"/>
      <c r="J1377" s="286"/>
      <c r="K1377" s="285"/>
    </row>
    <row r="1378" spans="1:11" x14ac:dyDescent="0.2">
      <c r="A1378" s="285"/>
      <c r="B1378" s="285"/>
      <c r="C1378" s="285"/>
      <c r="D1378" s="286"/>
      <c r="E1378" s="286"/>
      <c r="F1378" s="286"/>
      <c r="G1378" s="286"/>
      <c r="H1378" s="286"/>
      <c r="I1378" s="286"/>
      <c r="J1378" s="286"/>
      <c r="K1378" s="285"/>
    </row>
    <row r="1379" spans="1:11" x14ac:dyDescent="0.2">
      <c r="A1379" s="285"/>
      <c r="B1379" s="285"/>
      <c r="C1379" s="285"/>
      <c r="D1379" s="286"/>
      <c r="E1379" s="286"/>
      <c r="F1379" s="286"/>
      <c r="G1379" s="286"/>
      <c r="H1379" s="286"/>
      <c r="I1379" s="286"/>
      <c r="J1379" s="286"/>
      <c r="K1379" s="285"/>
    </row>
    <row r="1380" spans="1:11" x14ac:dyDescent="0.2">
      <c r="A1380" s="285"/>
      <c r="B1380" s="285"/>
      <c r="C1380" s="285"/>
      <c r="D1380" s="286"/>
      <c r="E1380" s="286"/>
      <c r="F1380" s="286"/>
      <c r="G1380" s="286"/>
      <c r="H1380" s="286"/>
      <c r="I1380" s="286"/>
      <c r="J1380" s="286"/>
      <c r="K1380" s="285"/>
    </row>
    <row r="1381" spans="1:11" x14ac:dyDescent="0.2">
      <c r="A1381" s="285"/>
      <c r="B1381" s="285"/>
      <c r="C1381" s="285"/>
      <c r="D1381" s="286"/>
      <c r="E1381" s="286"/>
      <c r="F1381" s="286"/>
      <c r="G1381" s="286"/>
      <c r="H1381" s="286"/>
      <c r="I1381" s="286"/>
      <c r="J1381" s="286"/>
      <c r="K1381" s="285"/>
    </row>
    <row r="1382" spans="1:11" x14ac:dyDescent="0.2">
      <c r="A1382" s="285"/>
      <c r="B1382" s="285"/>
      <c r="C1382" s="285"/>
      <c r="D1382" s="286"/>
      <c r="E1382" s="286"/>
      <c r="F1382" s="286"/>
      <c r="G1382" s="286"/>
      <c r="H1382" s="286"/>
      <c r="I1382" s="286"/>
      <c r="J1382" s="286"/>
      <c r="K1382" s="285"/>
    </row>
    <row r="1383" spans="1:11" x14ac:dyDescent="0.2">
      <c r="A1383" s="285"/>
      <c r="B1383" s="285"/>
      <c r="C1383" s="285"/>
      <c r="D1383" s="286"/>
      <c r="E1383" s="286"/>
      <c r="F1383" s="286"/>
      <c r="G1383" s="286"/>
      <c r="H1383" s="286"/>
      <c r="I1383" s="286"/>
      <c r="J1383" s="286"/>
      <c r="K1383" s="285"/>
    </row>
    <row r="1384" spans="1:11" x14ac:dyDescent="0.2">
      <c r="D1384" s="286"/>
      <c r="E1384" s="286"/>
      <c r="F1384" s="286"/>
      <c r="G1384" s="286"/>
      <c r="H1384" s="286"/>
      <c r="I1384" s="286"/>
      <c r="J1384" s="286"/>
      <c r="K1384" s="285"/>
    </row>
    <row r="1385" spans="1:11" x14ac:dyDescent="0.2">
      <c r="A1385" s="285"/>
      <c r="B1385" s="285"/>
      <c r="C1385" s="285"/>
      <c r="D1385" s="286"/>
      <c r="E1385" s="286"/>
      <c r="F1385" s="286"/>
      <c r="G1385" s="286"/>
      <c r="H1385" s="286"/>
      <c r="I1385" s="286"/>
      <c r="J1385" s="286"/>
      <c r="K1385" s="285"/>
    </row>
    <row r="1386" spans="1:11" x14ac:dyDescent="0.2">
      <c r="A1386" s="285"/>
      <c r="B1386" s="285"/>
      <c r="C1386" s="285"/>
      <c r="D1386" s="286"/>
      <c r="E1386" s="286"/>
      <c r="F1386" s="286"/>
      <c r="G1386" s="286"/>
      <c r="H1386" s="286"/>
      <c r="I1386" s="286"/>
      <c r="J1386" s="286"/>
      <c r="K1386" s="285"/>
    </row>
    <row r="1388" spans="1:11" x14ac:dyDescent="0.2">
      <c r="A1388" s="285"/>
      <c r="B1388" s="285"/>
      <c r="C1388" s="285"/>
      <c r="D1388" s="286"/>
      <c r="E1388" s="286"/>
      <c r="F1388" s="286"/>
      <c r="G1388" s="286"/>
      <c r="H1388" s="286"/>
      <c r="I1388" s="286"/>
      <c r="J1388" s="286"/>
      <c r="K1388" s="285"/>
    </row>
    <row r="1389" spans="1:11" x14ac:dyDescent="0.2">
      <c r="A1389" s="285"/>
      <c r="B1389" s="285"/>
      <c r="C1389" s="285"/>
      <c r="D1389" s="286"/>
      <c r="E1389" s="286"/>
      <c r="F1389" s="286"/>
      <c r="G1389" s="286"/>
      <c r="H1389" s="286"/>
      <c r="I1389" s="286"/>
      <c r="J1389" s="286"/>
      <c r="K1389" s="285"/>
    </row>
    <row r="1390" spans="1:11" x14ac:dyDescent="0.2">
      <c r="A1390" s="285"/>
      <c r="B1390" s="285"/>
      <c r="C1390" s="285"/>
      <c r="D1390" s="286"/>
      <c r="E1390" s="286"/>
      <c r="F1390" s="286"/>
      <c r="G1390" s="286"/>
      <c r="H1390" s="286"/>
      <c r="I1390" s="286"/>
      <c r="J1390" s="286"/>
      <c r="K1390" s="285"/>
    </row>
    <row r="1391" spans="1:11" x14ac:dyDescent="0.2">
      <c r="A1391" s="285"/>
      <c r="B1391" s="285"/>
      <c r="C1391" s="285"/>
      <c r="D1391" s="286"/>
      <c r="E1391" s="286"/>
      <c r="F1391" s="286"/>
      <c r="G1391" s="286"/>
      <c r="H1391" s="286"/>
      <c r="I1391" s="286"/>
      <c r="J1391" s="286"/>
      <c r="K1391" s="285"/>
    </row>
    <row r="1392" spans="1:11" x14ac:dyDescent="0.2">
      <c r="A1392" s="285"/>
      <c r="B1392" s="285"/>
      <c r="C1392" s="285"/>
      <c r="D1392" s="286"/>
      <c r="E1392" s="286"/>
      <c r="F1392" s="286"/>
      <c r="G1392" s="286"/>
      <c r="H1392" s="286"/>
      <c r="I1392" s="286"/>
      <c r="J1392" s="286"/>
      <c r="K1392" s="285"/>
    </row>
    <row r="1393" spans="1:11" x14ac:dyDescent="0.2">
      <c r="A1393" s="285"/>
      <c r="B1393" s="285"/>
      <c r="C1393" s="285"/>
      <c r="D1393" s="286"/>
      <c r="E1393" s="286"/>
      <c r="F1393" s="286"/>
      <c r="G1393" s="286"/>
      <c r="H1393" s="286"/>
      <c r="I1393" s="286"/>
      <c r="J1393" s="286"/>
      <c r="K1393" s="285"/>
    </row>
    <row r="1394" spans="1:11" x14ac:dyDescent="0.2">
      <c r="A1394" s="285"/>
      <c r="B1394" s="285"/>
      <c r="C1394" s="285"/>
      <c r="D1394" s="286"/>
      <c r="E1394" s="286"/>
      <c r="F1394" s="286"/>
      <c r="G1394" s="286"/>
      <c r="H1394" s="286"/>
      <c r="I1394" s="286"/>
      <c r="J1394" s="286"/>
      <c r="K1394" s="285"/>
    </row>
    <row r="1395" spans="1:11" x14ac:dyDescent="0.2">
      <c r="A1395" s="285"/>
      <c r="B1395" s="285"/>
      <c r="C1395" s="285"/>
      <c r="D1395" s="286"/>
      <c r="E1395" s="286"/>
      <c r="F1395" s="286"/>
      <c r="G1395" s="286"/>
      <c r="H1395" s="286"/>
      <c r="I1395" s="286"/>
      <c r="J1395" s="286"/>
      <c r="K1395" s="285"/>
    </row>
    <row r="1397" spans="1:11" x14ac:dyDescent="0.2">
      <c r="A1397" s="285"/>
      <c r="B1397" s="285"/>
      <c r="C1397" s="285"/>
      <c r="D1397" s="286"/>
      <c r="E1397" s="286"/>
      <c r="F1397" s="286"/>
      <c r="G1397" s="286"/>
      <c r="H1397" s="286"/>
      <c r="I1397" s="286"/>
      <c r="J1397" s="286"/>
      <c r="K1397" s="285"/>
    </row>
    <row r="1398" spans="1:11" x14ac:dyDescent="0.2">
      <c r="A1398" s="285"/>
      <c r="B1398" s="285"/>
      <c r="C1398" s="285"/>
      <c r="D1398" s="286"/>
      <c r="E1398" s="286"/>
      <c r="F1398" s="286"/>
      <c r="G1398" s="286"/>
      <c r="H1398" s="286"/>
      <c r="I1398" s="286"/>
      <c r="J1398" s="286"/>
      <c r="K1398" s="285"/>
    </row>
    <row r="1399" spans="1:11" x14ac:dyDescent="0.2">
      <c r="A1399" s="285"/>
      <c r="B1399" s="285"/>
      <c r="C1399" s="285"/>
      <c r="D1399" s="286"/>
      <c r="E1399" s="286"/>
      <c r="F1399" s="286"/>
      <c r="G1399" s="286"/>
      <c r="H1399" s="286"/>
      <c r="I1399" s="286"/>
      <c r="J1399" s="286"/>
      <c r="K1399" s="285"/>
    </row>
    <row r="1400" spans="1:11" x14ac:dyDescent="0.2">
      <c r="A1400" s="285"/>
      <c r="B1400" s="285"/>
      <c r="C1400" s="285"/>
      <c r="D1400" s="286"/>
      <c r="E1400" s="286"/>
      <c r="F1400" s="286"/>
      <c r="G1400" s="286"/>
      <c r="H1400" s="286"/>
      <c r="I1400" s="286"/>
      <c r="J1400" s="286"/>
      <c r="K1400" s="285"/>
    </row>
    <row r="1401" spans="1:11" x14ac:dyDescent="0.2">
      <c r="A1401" s="285"/>
      <c r="B1401" s="285"/>
      <c r="C1401" s="285"/>
      <c r="D1401" s="286"/>
      <c r="E1401" s="286"/>
      <c r="F1401" s="286"/>
      <c r="G1401" s="286"/>
      <c r="H1401" s="286"/>
      <c r="I1401" s="286"/>
      <c r="J1401" s="286"/>
      <c r="K1401" s="285"/>
    </row>
    <row r="1402" spans="1:11" x14ac:dyDescent="0.2">
      <c r="A1402" s="285"/>
      <c r="B1402" s="285"/>
      <c r="C1402" s="285"/>
      <c r="D1402" s="286"/>
      <c r="E1402" s="286"/>
      <c r="F1402" s="286"/>
      <c r="G1402" s="286"/>
      <c r="H1402" s="286"/>
      <c r="I1402" s="286"/>
      <c r="J1402" s="286"/>
      <c r="K1402" s="285"/>
    </row>
    <row r="1403" spans="1:11" x14ac:dyDescent="0.2">
      <c r="A1403" s="285"/>
      <c r="B1403" s="285"/>
      <c r="C1403" s="285"/>
      <c r="D1403" s="286"/>
      <c r="E1403" s="286"/>
      <c r="F1403" s="286"/>
      <c r="G1403" s="286"/>
      <c r="H1403" s="286"/>
      <c r="I1403" s="286"/>
      <c r="J1403" s="286"/>
      <c r="K1403" s="285"/>
    </row>
    <row r="1404" spans="1:11" x14ac:dyDescent="0.2">
      <c r="A1404" s="285"/>
      <c r="B1404" s="285"/>
      <c r="C1404" s="285"/>
      <c r="D1404" s="286"/>
      <c r="E1404" s="286"/>
      <c r="F1404" s="286"/>
      <c r="G1404" s="286"/>
      <c r="H1404" s="286"/>
      <c r="I1404" s="286"/>
      <c r="J1404" s="286"/>
      <c r="K1404" s="285"/>
    </row>
    <row r="1405" spans="1:11" x14ac:dyDescent="0.2">
      <c r="A1405" s="285"/>
      <c r="B1405" s="285"/>
      <c r="C1405" s="285"/>
      <c r="D1405" s="286"/>
      <c r="E1405" s="286"/>
      <c r="F1405" s="286"/>
      <c r="G1405" s="286"/>
      <c r="H1405" s="286"/>
      <c r="I1405" s="286"/>
      <c r="J1405" s="286"/>
      <c r="K1405" s="285"/>
    </row>
    <row r="1406" spans="1:11" x14ac:dyDescent="0.2">
      <c r="A1406" s="285"/>
      <c r="B1406" s="285"/>
      <c r="C1406" s="285"/>
      <c r="D1406" s="286"/>
      <c r="E1406" s="286"/>
      <c r="F1406" s="286"/>
      <c r="G1406" s="286"/>
      <c r="H1406" s="286"/>
      <c r="I1406" s="286"/>
      <c r="J1406" s="286"/>
      <c r="K1406" s="285"/>
    </row>
    <row r="1407" spans="1:11" x14ac:dyDescent="0.2">
      <c r="A1407" s="285"/>
      <c r="B1407" s="285"/>
      <c r="C1407" s="285"/>
      <c r="D1407" s="286"/>
      <c r="E1407" s="286"/>
      <c r="F1407" s="286"/>
      <c r="G1407" s="286"/>
      <c r="H1407" s="286"/>
      <c r="I1407" s="286"/>
      <c r="J1407" s="286"/>
      <c r="K1407" s="285"/>
    </row>
    <row r="1408" spans="1:11" x14ac:dyDescent="0.2">
      <c r="A1408" s="285"/>
      <c r="B1408" s="285"/>
      <c r="C1408" s="285"/>
      <c r="D1408" s="286"/>
      <c r="E1408" s="286"/>
      <c r="F1408" s="286"/>
      <c r="G1408" s="286"/>
      <c r="H1408" s="286"/>
      <c r="I1408" s="286"/>
      <c r="J1408" s="286"/>
      <c r="K1408" s="285"/>
    </row>
    <row r="1409" spans="1:11" x14ac:dyDescent="0.2">
      <c r="A1409" s="285"/>
      <c r="B1409" s="285"/>
      <c r="C1409" s="285"/>
      <c r="D1409" s="286"/>
      <c r="E1409" s="286"/>
      <c r="F1409" s="286"/>
      <c r="G1409" s="286"/>
      <c r="H1409" s="286"/>
      <c r="I1409" s="286"/>
      <c r="J1409" s="286"/>
      <c r="K1409" s="285"/>
    </row>
    <row r="1410" spans="1:11" x14ac:dyDescent="0.2">
      <c r="A1410" s="285"/>
      <c r="B1410" s="285"/>
      <c r="C1410" s="285"/>
      <c r="D1410" s="286"/>
      <c r="E1410" s="286"/>
      <c r="F1410" s="286"/>
      <c r="G1410" s="286"/>
      <c r="H1410" s="286"/>
      <c r="I1410" s="286"/>
      <c r="J1410" s="286"/>
      <c r="K1410" s="285"/>
    </row>
    <row r="1412" spans="1:11" x14ac:dyDescent="0.2">
      <c r="A1412" s="285"/>
      <c r="B1412" s="285"/>
      <c r="C1412" s="285"/>
      <c r="D1412" s="286"/>
      <c r="E1412" s="286"/>
      <c r="F1412" s="286"/>
      <c r="G1412" s="286"/>
      <c r="H1412" s="286"/>
      <c r="I1412" s="286"/>
      <c r="J1412" s="286"/>
      <c r="K1412" s="285"/>
    </row>
    <row r="1413" spans="1:11" x14ac:dyDescent="0.2">
      <c r="A1413" s="285"/>
      <c r="B1413" s="285"/>
      <c r="C1413" s="285"/>
      <c r="D1413" s="286"/>
      <c r="E1413" s="286"/>
      <c r="F1413" s="286"/>
      <c r="G1413" s="286"/>
      <c r="H1413" s="286"/>
      <c r="I1413" s="286"/>
      <c r="J1413" s="286"/>
      <c r="K1413" s="285"/>
    </row>
    <row r="1414" spans="1:11" x14ac:dyDescent="0.2">
      <c r="A1414" s="285"/>
      <c r="B1414" s="285"/>
      <c r="C1414" s="285"/>
      <c r="D1414" s="286"/>
      <c r="E1414" s="286"/>
      <c r="F1414" s="286"/>
      <c r="G1414" s="286"/>
      <c r="H1414" s="286"/>
      <c r="I1414" s="286"/>
      <c r="J1414" s="286"/>
      <c r="K1414" s="285"/>
    </row>
    <row r="1415" spans="1:11" x14ac:dyDescent="0.2">
      <c r="A1415" s="285"/>
      <c r="B1415" s="285"/>
      <c r="C1415" s="285"/>
      <c r="D1415" s="286"/>
      <c r="E1415" s="286"/>
      <c r="F1415" s="286"/>
      <c r="G1415" s="286"/>
      <c r="H1415" s="286"/>
      <c r="I1415" s="286"/>
      <c r="J1415" s="286"/>
      <c r="K1415" s="285"/>
    </row>
    <row r="1416" spans="1:11" x14ac:dyDescent="0.2">
      <c r="A1416" s="285"/>
      <c r="B1416" s="285"/>
      <c r="C1416" s="285"/>
      <c r="D1416" s="286"/>
      <c r="E1416" s="286"/>
      <c r="F1416" s="286"/>
      <c r="G1416" s="286"/>
      <c r="H1416" s="286"/>
      <c r="I1416" s="286"/>
      <c r="J1416" s="286"/>
      <c r="K1416" s="285"/>
    </row>
    <row r="1417" spans="1:11" x14ac:dyDescent="0.2">
      <c r="A1417" s="285"/>
      <c r="B1417" s="285"/>
      <c r="C1417" s="285"/>
      <c r="D1417" s="286"/>
      <c r="E1417" s="286"/>
      <c r="F1417" s="286"/>
      <c r="G1417" s="286"/>
      <c r="H1417" s="286"/>
      <c r="I1417" s="286"/>
      <c r="J1417" s="286"/>
      <c r="K1417" s="285"/>
    </row>
    <row r="1418" spans="1:11" x14ac:dyDescent="0.2">
      <c r="A1418" s="285"/>
      <c r="B1418" s="285"/>
      <c r="C1418" s="285"/>
      <c r="D1418" s="286"/>
      <c r="E1418" s="286"/>
      <c r="F1418" s="286"/>
      <c r="G1418" s="286"/>
      <c r="H1418" s="286"/>
      <c r="I1418" s="286"/>
      <c r="J1418" s="286"/>
      <c r="K1418" s="285"/>
    </row>
    <row r="1419" spans="1:11" x14ac:dyDescent="0.2">
      <c r="A1419" s="285"/>
      <c r="B1419" s="285"/>
      <c r="C1419" s="285"/>
      <c r="D1419" s="286"/>
      <c r="E1419" s="286"/>
      <c r="F1419" s="286"/>
      <c r="G1419" s="286"/>
      <c r="H1419" s="286"/>
      <c r="J1419" s="286"/>
      <c r="K1419" s="285"/>
    </row>
    <row r="1420" spans="1:11" x14ac:dyDescent="0.2">
      <c r="A1420" s="285"/>
      <c r="B1420" s="285"/>
      <c r="C1420" s="285"/>
      <c r="D1420" s="286"/>
      <c r="E1420" s="286"/>
      <c r="F1420" s="286"/>
      <c r="G1420" s="286"/>
      <c r="H1420" s="286"/>
      <c r="I1420" s="286"/>
      <c r="J1420" s="286"/>
      <c r="K1420" s="285"/>
    </row>
    <row r="1421" spans="1:11" x14ac:dyDescent="0.2">
      <c r="A1421" s="285"/>
      <c r="B1421" s="285"/>
      <c r="C1421" s="285"/>
      <c r="D1421" s="286"/>
      <c r="E1421" s="286"/>
      <c r="F1421" s="286"/>
      <c r="G1421" s="286"/>
      <c r="H1421" s="286"/>
      <c r="I1421" s="286"/>
      <c r="J1421" s="286"/>
      <c r="K1421" s="285"/>
    </row>
    <row r="1422" spans="1:11" x14ac:dyDescent="0.2">
      <c r="A1422" s="285"/>
      <c r="B1422" s="285"/>
      <c r="C1422" s="285"/>
      <c r="D1422" s="286"/>
      <c r="E1422" s="286"/>
      <c r="F1422" s="286"/>
      <c r="G1422" s="286"/>
      <c r="H1422" s="286"/>
      <c r="I1422" s="286"/>
      <c r="J1422" s="286"/>
      <c r="K1422" s="285"/>
    </row>
    <row r="1423" spans="1:11" x14ac:dyDescent="0.2">
      <c r="A1423" s="285"/>
      <c r="B1423" s="285"/>
      <c r="C1423" s="285"/>
      <c r="D1423" s="286"/>
      <c r="E1423" s="286"/>
      <c r="F1423" s="286"/>
      <c r="G1423" s="286"/>
      <c r="H1423" s="286"/>
      <c r="I1423" s="286"/>
      <c r="J1423" s="286"/>
      <c r="K1423" s="285"/>
    </row>
    <row r="1424" spans="1:11" x14ac:dyDescent="0.2">
      <c r="A1424" s="285"/>
      <c r="B1424" s="285"/>
      <c r="C1424" s="285"/>
      <c r="D1424" s="286"/>
      <c r="E1424" s="286"/>
      <c r="F1424" s="286"/>
      <c r="G1424" s="286"/>
      <c r="H1424" s="286"/>
      <c r="I1424" s="286"/>
      <c r="J1424" s="286"/>
      <c r="K1424" s="285"/>
    </row>
    <row r="1425" spans="1:11" x14ac:dyDescent="0.2">
      <c r="A1425" s="285"/>
      <c r="B1425" s="285"/>
      <c r="C1425" s="285"/>
      <c r="D1425" s="286"/>
      <c r="E1425" s="286"/>
      <c r="F1425" s="286"/>
      <c r="G1425" s="286"/>
      <c r="H1425" s="286"/>
      <c r="I1425" s="286"/>
      <c r="J1425" s="286"/>
      <c r="K1425" s="285"/>
    </row>
    <row r="1426" spans="1:11" x14ac:dyDescent="0.2">
      <c r="A1426" s="285"/>
      <c r="B1426" s="285"/>
      <c r="C1426" s="285"/>
      <c r="D1426" s="286"/>
      <c r="E1426" s="286"/>
      <c r="F1426" s="286"/>
      <c r="G1426" s="286"/>
      <c r="H1426" s="286"/>
      <c r="I1426" s="286"/>
      <c r="J1426" s="286"/>
      <c r="K1426" s="285"/>
    </row>
    <row r="1427" spans="1:11" x14ac:dyDescent="0.2">
      <c r="A1427" s="285"/>
      <c r="B1427" s="285"/>
      <c r="C1427" s="285"/>
      <c r="D1427" s="286"/>
      <c r="E1427" s="286"/>
      <c r="F1427" s="286"/>
      <c r="G1427" s="286"/>
      <c r="H1427" s="286"/>
      <c r="I1427" s="286"/>
      <c r="J1427" s="286"/>
      <c r="K1427" s="285"/>
    </row>
    <row r="1428" spans="1:11" x14ac:dyDescent="0.2">
      <c r="A1428" s="285"/>
      <c r="B1428" s="285"/>
      <c r="C1428" s="285"/>
      <c r="D1428" s="286"/>
      <c r="E1428" s="286"/>
      <c r="F1428" s="286"/>
      <c r="G1428" s="286"/>
      <c r="H1428" s="286"/>
      <c r="I1428" s="286"/>
      <c r="J1428" s="286"/>
      <c r="K1428" s="285"/>
    </row>
    <row r="1429" spans="1:11" x14ac:dyDescent="0.2">
      <c r="A1429" s="285"/>
      <c r="B1429" s="285"/>
      <c r="C1429" s="285"/>
      <c r="D1429" s="286"/>
      <c r="E1429" s="286"/>
      <c r="F1429" s="286"/>
      <c r="G1429" s="286"/>
      <c r="H1429" s="286"/>
      <c r="I1429" s="286"/>
      <c r="J1429" s="286"/>
      <c r="K1429" s="285"/>
    </row>
    <row r="1430" spans="1:11" x14ac:dyDescent="0.2">
      <c r="A1430" s="285"/>
      <c r="B1430" s="285"/>
      <c r="C1430" s="285"/>
      <c r="D1430" s="286"/>
      <c r="E1430" s="286"/>
      <c r="F1430" s="286"/>
      <c r="G1430" s="286"/>
      <c r="H1430" s="286"/>
      <c r="I1430" s="286"/>
      <c r="J1430" s="286"/>
      <c r="K1430" s="285"/>
    </row>
    <row r="1431" spans="1:11" x14ac:dyDescent="0.2">
      <c r="A1431" s="285"/>
      <c r="B1431" s="285"/>
      <c r="C1431" s="285"/>
      <c r="D1431" s="286"/>
      <c r="E1431" s="286"/>
      <c r="F1431" s="286"/>
      <c r="G1431" s="286"/>
      <c r="H1431" s="292"/>
      <c r="I1431" s="286"/>
      <c r="J1431" s="286"/>
      <c r="K1431" s="285"/>
    </row>
    <row r="1432" spans="1:11" x14ac:dyDescent="0.2">
      <c r="A1432" s="285"/>
      <c r="B1432" s="285"/>
      <c r="C1432" s="285"/>
      <c r="D1432" s="286"/>
      <c r="E1432" s="286"/>
      <c r="F1432" s="286"/>
      <c r="G1432" s="286"/>
      <c r="H1432" s="292"/>
      <c r="I1432" s="286"/>
      <c r="J1432" s="286"/>
      <c r="K1432" s="285"/>
    </row>
    <row r="1433" spans="1:11" x14ac:dyDescent="0.2">
      <c r="A1433" s="285"/>
      <c r="B1433" s="285"/>
      <c r="C1433" s="285"/>
      <c r="D1433" s="286"/>
      <c r="E1433" s="286"/>
      <c r="F1433" s="286"/>
      <c r="G1433" s="286"/>
      <c r="H1433" s="292"/>
      <c r="I1433" s="286"/>
      <c r="J1433" s="286"/>
      <c r="K1433" s="285"/>
    </row>
    <row r="1434" spans="1:11" x14ac:dyDescent="0.2">
      <c r="A1434" s="285"/>
      <c r="B1434" s="285"/>
      <c r="C1434" s="285"/>
      <c r="D1434" s="286"/>
      <c r="E1434" s="286"/>
      <c r="F1434" s="286"/>
      <c r="G1434" s="286"/>
      <c r="H1434" s="292"/>
      <c r="I1434" s="286"/>
      <c r="J1434" s="286"/>
      <c r="K1434" s="285"/>
    </row>
    <row r="1435" spans="1:11" x14ac:dyDescent="0.2">
      <c r="A1435" s="285"/>
      <c r="B1435" s="285"/>
      <c r="C1435" s="285"/>
      <c r="D1435" s="286"/>
      <c r="E1435" s="286"/>
      <c r="F1435" s="286"/>
      <c r="G1435" s="286"/>
      <c r="H1435" s="292"/>
      <c r="I1435" s="286"/>
      <c r="J1435" s="286"/>
      <c r="K1435" s="285"/>
    </row>
    <row r="1436" spans="1:11" x14ac:dyDescent="0.2">
      <c r="A1436" s="285"/>
      <c r="B1436" s="285"/>
      <c r="C1436" s="285"/>
      <c r="D1436" s="286"/>
      <c r="E1436" s="286"/>
      <c r="F1436" s="286"/>
      <c r="G1436" s="286"/>
      <c r="H1436" s="292"/>
      <c r="I1436" s="286"/>
      <c r="J1436" s="286"/>
      <c r="K1436" s="285"/>
    </row>
    <row r="1437" spans="1:11" x14ac:dyDescent="0.2">
      <c r="A1437" s="285"/>
      <c r="B1437" s="285"/>
      <c r="C1437" s="285"/>
      <c r="D1437" s="286"/>
      <c r="E1437" s="286"/>
      <c r="F1437" s="286"/>
      <c r="G1437" s="286"/>
      <c r="H1437" s="292"/>
      <c r="I1437" s="286"/>
      <c r="J1437" s="286"/>
      <c r="K1437" s="285"/>
    </row>
    <row r="1438" spans="1:11" x14ac:dyDescent="0.2">
      <c r="A1438" s="285"/>
      <c r="B1438" s="285"/>
      <c r="C1438" s="285"/>
      <c r="D1438" s="286"/>
      <c r="E1438" s="286"/>
      <c r="F1438" s="286"/>
      <c r="G1438" s="286"/>
      <c r="H1438" s="292"/>
      <c r="I1438" s="286"/>
      <c r="J1438" s="286"/>
      <c r="K1438" s="285"/>
    </row>
    <row r="1439" spans="1:11" x14ac:dyDescent="0.2">
      <c r="A1439" s="285"/>
      <c r="B1439" s="285"/>
      <c r="C1439" s="285"/>
      <c r="D1439" s="286"/>
      <c r="E1439" s="286"/>
      <c r="F1439" s="286"/>
      <c r="G1439" s="286"/>
      <c r="H1439" s="292"/>
      <c r="I1439" s="286"/>
      <c r="J1439" s="286"/>
      <c r="K1439" s="285"/>
    </row>
    <row r="1440" spans="1:11" x14ac:dyDescent="0.2">
      <c r="A1440" s="285"/>
      <c r="B1440" s="285"/>
      <c r="C1440" s="285"/>
      <c r="D1440" s="286"/>
      <c r="E1440" s="286"/>
      <c r="F1440" s="286"/>
      <c r="G1440" s="286"/>
      <c r="H1440" s="292"/>
      <c r="I1440" s="286"/>
      <c r="J1440" s="286"/>
      <c r="K1440" s="285"/>
    </row>
    <row r="1441" spans="1:11" x14ac:dyDescent="0.2">
      <c r="A1441" s="285"/>
      <c r="B1441" s="285"/>
      <c r="C1441" s="285"/>
      <c r="D1441" s="286"/>
      <c r="E1441" s="286"/>
      <c r="F1441" s="286"/>
      <c r="G1441" s="286"/>
      <c r="H1441" s="292"/>
      <c r="I1441" s="286"/>
      <c r="J1441" s="286"/>
      <c r="K1441" s="285"/>
    </row>
    <row r="1442" spans="1:11" x14ac:dyDescent="0.2">
      <c r="A1442" s="285"/>
      <c r="B1442" s="285"/>
      <c r="C1442" s="285"/>
      <c r="D1442" s="286"/>
      <c r="E1442" s="286"/>
      <c r="F1442" s="286"/>
      <c r="G1442" s="286"/>
      <c r="H1442" s="292"/>
      <c r="I1442" s="286"/>
      <c r="J1442" s="286"/>
      <c r="K1442" s="285"/>
    </row>
    <row r="1443" spans="1:11" x14ac:dyDescent="0.2">
      <c r="A1443" s="285"/>
      <c r="B1443" s="285"/>
      <c r="C1443" s="285"/>
      <c r="D1443" s="286"/>
      <c r="E1443" s="286"/>
      <c r="F1443" s="286"/>
      <c r="G1443" s="286"/>
      <c r="H1443" s="292"/>
      <c r="I1443" s="286"/>
      <c r="J1443" s="286"/>
      <c r="K1443" s="285"/>
    </row>
    <row r="1444" spans="1:11" x14ac:dyDescent="0.2">
      <c r="A1444" s="285"/>
      <c r="B1444" s="285"/>
      <c r="C1444" s="285"/>
      <c r="D1444" s="286"/>
      <c r="E1444" s="286"/>
      <c r="F1444" s="286"/>
      <c r="G1444" s="286"/>
      <c r="H1444" s="292"/>
      <c r="I1444" s="286"/>
      <c r="J1444" s="286"/>
      <c r="K1444" s="285"/>
    </row>
    <row r="1445" spans="1:11" x14ac:dyDescent="0.2">
      <c r="A1445" s="285"/>
      <c r="B1445" s="285"/>
      <c r="C1445" s="285"/>
      <c r="D1445" s="286"/>
      <c r="E1445" s="286"/>
      <c r="F1445" s="286"/>
      <c r="G1445" s="286"/>
      <c r="H1445" s="292"/>
      <c r="I1445" s="286"/>
      <c r="J1445" s="286"/>
      <c r="K1445" s="285"/>
    </row>
    <row r="1446" spans="1:11" x14ac:dyDescent="0.2">
      <c r="A1446" s="285"/>
      <c r="B1446" s="285"/>
      <c r="C1446" s="285"/>
      <c r="D1446" s="286"/>
      <c r="E1446" s="286"/>
      <c r="F1446" s="286"/>
      <c r="G1446" s="286"/>
      <c r="H1446" s="292"/>
      <c r="I1446" s="286"/>
      <c r="J1446" s="286"/>
      <c r="K1446" s="285"/>
    </row>
    <row r="1447" spans="1:11" x14ac:dyDescent="0.2">
      <c r="A1447" s="285"/>
      <c r="B1447" s="285"/>
      <c r="C1447" s="285"/>
      <c r="D1447" s="286"/>
      <c r="E1447" s="286"/>
      <c r="F1447" s="286"/>
      <c r="G1447" s="286"/>
      <c r="H1447" s="292"/>
      <c r="I1447" s="286"/>
      <c r="J1447" s="286"/>
      <c r="K1447" s="285"/>
    </row>
    <row r="1448" spans="1:11" x14ac:dyDescent="0.2">
      <c r="D1448" s="286"/>
      <c r="E1448" s="286"/>
      <c r="F1448" s="286"/>
      <c r="G1448" s="286"/>
      <c r="H1448" s="292"/>
      <c r="I1448" s="286"/>
      <c r="J1448" s="286"/>
      <c r="K1448" s="285"/>
    </row>
    <row r="1449" spans="1:11" x14ac:dyDescent="0.2">
      <c r="A1449" s="285"/>
      <c r="B1449" s="285"/>
      <c r="C1449" s="285"/>
      <c r="D1449" s="286"/>
      <c r="E1449" s="286"/>
      <c r="F1449" s="286"/>
      <c r="G1449" s="286"/>
      <c r="H1449" s="292"/>
      <c r="I1449" s="286"/>
      <c r="J1449" s="286"/>
      <c r="K1449" s="285"/>
    </row>
    <row r="1450" spans="1:11" x14ac:dyDescent="0.2">
      <c r="A1450" s="285"/>
      <c r="B1450" s="285"/>
      <c r="C1450" s="285"/>
      <c r="D1450" s="286"/>
      <c r="E1450" s="286"/>
      <c r="F1450" s="286"/>
      <c r="G1450" s="286"/>
      <c r="H1450" s="292"/>
      <c r="I1450" s="286"/>
      <c r="J1450" s="286"/>
      <c r="K1450" s="285"/>
    </row>
    <row r="1451" spans="1:11" x14ac:dyDescent="0.2">
      <c r="A1451" s="285"/>
      <c r="B1451" s="285"/>
      <c r="C1451" s="285"/>
      <c r="D1451" s="286"/>
      <c r="E1451" s="286"/>
      <c r="F1451" s="286"/>
      <c r="G1451" s="286"/>
      <c r="H1451" s="292"/>
      <c r="I1451" s="286"/>
      <c r="J1451" s="286"/>
      <c r="K1451" s="285"/>
    </row>
    <row r="1452" spans="1:11" x14ac:dyDescent="0.2">
      <c r="A1452" s="285"/>
      <c r="B1452" s="285"/>
      <c r="C1452" s="285"/>
      <c r="D1452" s="286"/>
      <c r="E1452" s="286"/>
      <c r="F1452" s="286"/>
      <c r="G1452" s="286"/>
      <c r="H1452" s="292"/>
      <c r="I1452" s="286"/>
      <c r="J1452" s="286"/>
      <c r="K1452" s="285"/>
    </row>
    <row r="1453" spans="1:11" x14ac:dyDescent="0.2">
      <c r="A1453" s="285"/>
      <c r="B1453" s="285"/>
      <c r="C1453" s="285"/>
      <c r="D1453" s="286"/>
      <c r="E1453" s="286"/>
      <c r="F1453" s="286"/>
      <c r="G1453" s="286"/>
      <c r="H1453" s="292"/>
      <c r="I1453" s="286"/>
      <c r="J1453" s="286"/>
      <c r="K1453" s="285"/>
    </row>
    <row r="1454" spans="1:11" x14ac:dyDescent="0.2">
      <c r="A1454" s="285"/>
      <c r="B1454" s="285"/>
      <c r="C1454" s="285"/>
      <c r="D1454" s="286"/>
      <c r="E1454" s="286"/>
      <c r="F1454" s="286"/>
      <c r="G1454" s="286"/>
      <c r="H1454" s="292"/>
      <c r="I1454" s="286"/>
      <c r="J1454" s="286"/>
      <c r="K1454" s="285"/>
    </row>
    <row r="1455" spans="1:11" x14ac:dyDescent="0.2">
      <c r="A1455" s="285"/>
      <c r="B1455" s="285"/>
      <c r="C1455" s="285"/>
      <c r="D1455" s="286"/>
      <c r="E1455" s="286"/>
      <c r="F1455" s="286"/>
      <c r="G1455" s="286"/>
      <c r="H1455" s="292"/>
      <c r="I1455" s="286"/>
      <c r="J1455" s="286"/>
      <c r="K1455" s="285"/>
    </row>
    <row r="1456" spans="1:11" x14ac:dyDescent="0.2">
      <c r="A1456" s="285"/>
      <c r="B1456" s="285"/>
      <c r="C1456" s="285"/>
      <c r="D1456" s="286"/>
      <c r="E1456" s="286"/>
      <c r="F1456" s="286"/>
      <c r="G1456" s="286"/>
      <c r="H1456" s="292"/>
      <c r="I1456" s="286"/>
      <c r="J1456" s="286"/>
      <c r="K1456" s="285"/>
    </row>
    <row r="1457" spans="1:11" x14ac:dyDescent="0.2">
      <c r="D1457" s="286"/>
      <c r="E1457" s="286"/>
      <c r="F1457" s="286"/>
      <c r="G1457" s="286"/>
      <c r="H1457" s="292"/>
      <c r="I1457" s="286"/>
      <c r="J1457" s="286"/>
      <c r="K1457" s="285"/>
    </row>
    <row r="1458" spans="1:11" x14ac:dyDescent="0.2">
      <c r="A1458" s="285"/>
      <c r="B1458" s="285"/>
      <c r="C1458" s="285"/>
      <c r="D1458" s="286"/>
      <c r="E1458" s="286"/>
      <c r="F1458" s="286"/>
      <c r="G1458" s="286"/>
      <c r="H1458" s="292"/>
      <c r="I1458" s="286"/>
      <c r="J1458" s="286"/>
      <c r="K1458" s="285"/>
    </row>
    <row r="1459" spans="1:11" x14ac:dyDescent="0.2">
      <c r="A1459" s="285"/>
      <c r="B1459" s="285"/>
      <c r="C1459" s="285"/>
      <c r="D1459" s="286"/>
      <c r="E1459" s="286"/>
      <c r="F1459" s="286"/>
      <c r="G1459" s="286"/>
      <c r="H1459" s="292"/>
      <c r="I1459" s="286"/>
      <c r="J1459" s="286"/>
      <c r="K1459" s="285"/>
    </row>
    <row r="1460" spans="1:11" x14ac:dyDescent="0.2">
      <c r="A1460" s="285"/>
      <c r="B1460" s="285"/>
      <c r="C1460" s="285"/>
      <c r="D1460" s="286"/>
      <c r="E1460" s="286"/>
      <c r="F1460" s="286"/>
      <c r="G1460" s="286"/>
      <c r="H1460" s="287"/>
      <c r="I1460" s="286"/>
      <c r="J1460" s="286"/>
      <c r="K1460" s="285"/>
    </row>
    <row r="1461" spans="1:11" x14ac:dyDescent="0.2">
      <c r="A1461" s="285"/>
      <c r="B1461" s="285"/>
      <c r="C1461" s="285"/>
      <c r="D1461" s="286"/>
      <c r="E1461" s="286"/>
      <c r="F1461" s="286"/>
      <c r="G1461" s="286"/>
      <c r="H1461" s="287"/>
      <c r="I1461" s="286"/>
      <c r="J1461" s="286"/>
      <c r="K1461" s="285"/>
    </row>
    <row r="1462" spans="1:11" x14ac:dyDescent="0.2">
      <c r="A1462" s="285"/>
      <c r="B1462" s="285"/>
      <c r="C1462" s="285"/>
      <c r="D1462" s="286"/>
      <c r="E1462" s="286"/>
      <c r="F1462" s="286"/>
      <c r="G1462" s="286"/>
      <c r="H1462" s="287"/>
      <c r="I1462" s="286"/>
      <c r="J1462" s="286"/>
      <c r="K1462" s="285"/>
    </row>
    <row r="1463" spans="1:11" x14ac:dyDescent="0.2">
      <c r="A1463" s="285"/>
      <c r="B1463" s="285"/>
      <c r="C1463" s="285"/>
      <c r="D1463" s="286"/>
      <c r="E1463" s="286"/>
      <c r="F1463" s="286"/>
      <c r="G1463" s="286"/>
      <c r="H1463" s="287"/>
      <c r="I1463" s="286"/>
      <c r="J1463" s="286"/>
      <c r="K1463" s="285"/>
    </row>
    <row r="1464" spans="1:11" x14ac:dyDescent="0.2">
      <c r="A1464" s="285"/>
      <c r="B1464" s="285"/>
      <c r="C1464" s="285"/>
      <c r="D1464" s="286"/>
      <c r="E1464" s="286"/>
      <c r="F1464" s="286"/>
      <c r="G1464" s="286"/>
      <c r="H1464" s="287"/>
      <c r="I1464" s="286"/>
      <c r="J1464" s="286"/>
      <c r="K1464" s="285"/>
    </row>
    <row r="1465" spans="1:11" x14ac:dyDescent="0.2">
      <c r="A1465" s="285"/>
      <c r="B1465" s="285"/>
      <c r="C1465" s="285"/>
      <c r="D1465" s="286"/>
      <c r="E1465" s="286"/>
      <c r="F1465" s="286"/>
      <c r="G1465" s="286"/>
      <c r="H1465" s="287"/>
      <c r="I1465" s="286"/>
      <c r="J1465" s="286"/>
      <c r="K1465" s="285"/>
    </row>
    <row r="1466" spans="1:11" x14ac:dyDescent="0.2">
      <c r="A1466" s="285"/>
      <c r="B1466" s="285"/>
      <c r="C1466" s="285"/>
      <c r="D1466" s="286"/>
      <c r="E1466" s="286"/>
      <c r="F1466" s="286"/>
      <c r="G1466" s="286"/>
      <c r="H1466" s="287"/>
      <c r="I1466" s="286"/>
      <c r="J1466" s="286"/>
      <c r="K1466" s="285"/>
    </row>
    <row r="1467" spans="1:11" x14ac:dyDescent="0.2">
      <c r="A1467" s="285"/>
      <c r="B1467" s="285"/>
      <c r="C1467" s="285"/>
      <c r="D1467" s="286"/>
      <c r="E1467" s="286"/>
      <c r="F1467" s="286"/>
      <c r="G1467" s="286"/>
      <c r="H1467" s="287"/>
      <c r="I1467" s="286"/>
      <c r="J1467" s="286"/>
      <c r="K1467" s="285"/>
    </row>
    <row r="1468" spans="1:11" x14ac:dyDescent="0.2">
      <c r="A1468" s="285"/>
      <c r="B1468" s="285"/>
      <c r="C1468" s="285"/>
      <c r="D1468" s="286"/>
      <c r="E1468" s="286"/>
      <c r="F1468" s="286"/>
      <c r="G1468" s="286"/>
      <c r="H1468" s="287"/>
      <c r="I1468" s="286"/>
      <c r="J1468" s="286"/>
      <c r="K1468" s="285"/>
    </row>
    <row r="1469" spans="1:11" x14ac:dyDescent="0.2">
      <c r="A1469" s="285"/>
      <c r="B1469" s="285"/>
      <c r="C1469" s="285"/>
      <c r="D1469" s="286"/>
      <c r="E1469" s="286"/>
      <c r="F1469" s="286"/>
      <c r="G1469" s="286"/>
      <c r="H1469" s="292"/>
      <c r="I1469" s="286"/>
      <c r="J1469" s="286"/>
      <c r="K1469" s="285"/>
    </row>
    <row r="1470" spans="1:11" x14ac:dyDescent="0.2">
      <c r="A1470" s="285"/>
      <c r="B1470" s="285"/>
      <c r="C1470" s="285"/>
      <c r="D1470" s="286"/>
      <c r="E1470" s="286"/>
      <c r="F1470" s="286"/>
      <c r="G1470" s="286"/>
      <c r="H1470" s="292"/>
      <c r="I1470" s="286"/>
      <c r="J1470" s="286"/>
      <c r="K1470" s="285"/>
    </row>
    <row r="1471" spans="1:11" x14ac:dyDescent="0.2">
      <c r="A1471" s="285"/>
      <c r="B1471" s="285"/>
      <c r="C1471" s="285"/>
      <c r="D1471" s="286"/>
      <c r="E1471" s="286"/>
      <c r="F1471" s="286"/>
      <c r="G1471" s="286"/>
      <c r="H1471" s="292"/>
      <c r="I1471" s="286"/>
      <c r="J1471" s="286"/>
      <c r="K1471" s="285"/>
    </row>
    <row r="1472" spans="1:11" x14ac:dyDescent="0.2">
      <c r="A1472" s="285"/>
      <c r="B1472" s="285"/>
      <c r="C1472" s="285"/>
      <c r="D1472" s="286"/>
      <c r="E1472" s="286"/>
      <c r="F1472" s="286"/>
      <c r="G1472" s="286"/>
      <c r="H1472" s="292"/>
      <c r="I1472" s="286"/>
      <c r="J1472" s="286"/>
      <c r="K1472" s="285"/>
    </row>
    <row r="1473" spans="1:11" x14ac:dyDescent="0.2">
      <c r="A1473" s="285"/>
      <c r="B1473" s="285"/>
      <c r="C1473" s="285"/>
      <c r="D1473" s="286"/>
      <c r="E1473" s="286"/>
      <c r="F1473" s="286"/>
      <c r="G1473" s="286"/>
      <c r="H1473" s="287"/>
      <c r="I1473" s="286"/>
      <c r="J1473" s="286"/>
      <c r="K1473" s="285"/>
    </row>
    <row r="1474" spans="1:11" x14ac:dyDescent="0.2">
      <c r="A1474" s="285"/>
      <c r="B1474" s="285"/>
      <c r="C1474" s="285"/>
      <c r="D1474" s="286"/>
      <c r="E1474" s="286"/>
      <c r="F1474" s="286"/>
      <c r="G1474" s="286"/>
      <c r="H1474" s="287"/>
      <c r="I1474" s="286"/>
      <c r="J1474" s="286"/>
      <c r="K1474" s="285"/>
    </row>
    <row r="1475" spans="1:11" x14ac:dyDescent="0.2">
      <c r="A1475" s="285"/>
      <c r="B1475" s="285"/>
      <c r="C1475" s="285"/>
      <c r="D1475" s="286"/>
      <c r="E1475" s="286"/>
      <c r="F1475" s="286"/>
      <c r="G1475" s="286"/>
      <c r="H1475" s="287"/>
      <c r="I1475" s="286"/>
      <c r="J1475" s="286"/>
      <c r="K1475" s="285"/>
    </row>
    <row r="1476" spans="1:11" x14ac:dyDescent="0.2">
      <c r="A1476" s="285"/>
      <c r="B1476" s="285"/>
      <c r="C1476" s="285"/>
      <c r="D1476" s="286"/>
      <c r="E1476" s="286"/>
      <c r="F1476" s="286"/>
      <c r="G1476" s="286"/>
      <c r="H1476" s="287"/>
      <c r="I1476" s="286"/>
      <c r="J1476" s="286"/>
      <c r="K1476" s="285"/>
    </row>
    <row r="1477" spans="1:11" x14ac:dyDescent="0.2">
      <c r="A1477" s="285"/>
      <c r="B1477" s="285"/>
      <c r="C1477" s="285"/>
      <c r="D1477" s="286"/>
      <c r="E1477" s="286"/>
      <c r="F1477" s="286"/>
      <c r="G1477" s="286"/>
      <c r="H1477" s="287"/>
      <c r="I1477" s="286"/>
      <c r="J1477" s="286"/>
      <c r="K1477" s="285"/>
    </row>
    <row r="1478" spans="1:11" x14ac:dyDescent="0.2">
      <c r="A1478" s="285"/>
      <c r="B1478" s="285"/>
      <c r="C1478" s="285"/>
      <c r="D1478" s="286"/>
      <c r="E1478" s="286"/>
      <c r="F1478" s="286"/>
      <c r="G1478" s="286"/>
      <c r="H1478" s="287"/>
      <c r="I1478" s="286"/>
      <c r="J1478" s="286"/>
      <c r="K1478" s="285"/>
    </row>
    <row r="1480" spans="1:11" x14ac:dyDescent="0.2">
      <c r="D1480" s="286"/>
      <c r="E1480" s="286"/>
      <c r="F1480" s="286"/>
      <c r="G1480" s="286"/>
      <c r="H1480" s="287"/>
      <c r="I1480" s="286"/>
      <c r="J1480" s="286"/>
      <c r="K1480" s="285"/>
    </row>
    <row r="1481" spans="1:11" x14ac:dyDescent="0.2">
      <c r="D1481" s="286"/>
      <c r="E1481" s="286"/>
      <c r="F1481" s="286"/>
      <c r="G1481" s="286"/>
      <c r="H1481" s="287"/>
      <c r="I1481" s="286"/>
      <c r="J1481" s="286"/>
      <c r="K1481" s="285"/>
    </row>
    <row r="1482" spans="1:11" x14ac:dyDescent="0.2">
      <c r="D1482" s="286"/>
      <c r="E1482" s="286"/>
      <c r="F1482" s="286"/>
      <c r="G1482" s="286"/>
      <c r="H1482" s="287"/>
      <c r="I1482" s="319"/>
      <c r="J1482" s="286"/>
      <c r="K1482" s="285"/>
    </row>
    <row r="1483" spans="1:11" x14ac:dyDescent="0.2">
      <c r="D1483" s="286"/>
      <c r="E1483" s="286"/>
      <c r="F1483" s="286"/>
      <c r="G1483" s="286"/>
      <c r="H1483" s="287"/>
      <c r="I1483" s="326"/>
      <c r="J1483" s="286"/>
      <c r="K1483" s="285"/>
    </row>
    <row r="1484" spans="1:11" x14ac:dyDescent="0.2">
      <c r="D1484" s="286"/>
      <c r="E1484" s="286"/>
      <c r="F1484" s="286"/>
      <c r="G1484" s="286"/>
      <c r="H1484" s="286"/>
      <c r="I1484" s="286"/>
      <c r="J1484" s="286"/>
    </row>
    <row r="1485" spans="1:11" x14ac:dyDescent="0.2">
      <c r="D1485" s="286"/>
      <c r="E1485" s="286"/>
      <c r="F1485" s="286"/>
      <c r="G1485" s="286"/>
      <c r="H1485" s="286"/>
      <c r="I1485" s="286"/>
    </row>
    <row r="1486" spans="1:11" x14ac:dyDescent="0.2">
      <c r="D1486" s="286"/>
      <c r="E1486" s="286"/>
      <c r="F1486" s="286"/>
      <c r="G1486" s="286"/>
      <c r="H1486" s="286"/>
      <c r="I1486" s="286"/>
      <c r="J1486" s="286"/>
      <c r="K1486" s="285"/>
    </row>
    <row r="1487" spans="1:11" x14ac:dyDescent="0.2">
      <c r="D1487" s="286"/>
      <c r="E1487" s="286"/>
      <c r="F1487" s="286"/>
      <c r="G1487" s="286"/>
      <c r="H1487" s="286"/>
      <c r="I1487" s="286"/>
      <c r="J1487" s="286"/>
      <c r="K1487" s="285"/>
    </row>
    <row r="1488" spans="1:11" x14ac:dyDescent="0.2">
      <c r="D1488" s="286"/>
      <c r="E1488" s="286"/>
      <c r="F1488" s="286"/>
      <c r="G1488" s="286"/>
      <c r="H1488" s="286"/>
      <c r="I1488" s="286"/>
      <c r="J1488" s="286"/>
      <c r="K1488" s="285"/>
    </row>
    <row r="1489" spans="1:11" x14ac:dyDescent="0.2">
      <c r="D1489" s="286"/>
      <c r="E1489" s="286"/>
      <c r="F1489" s="286"/>
      <c r="G1489" s="286"/>
      <c r="H1489" s="286"/>
      <c r="I1489" s="286"/>
      <c r="J1489" s="286"/>
      <c r="K1489" s="285"/>
    </row>
    <row r="1490" spans="1:11" x14ac:dyDescent="0.2">
      <c r="D1490" s="286"/>
      <c r="E1490" s="286"/>
      <c r="F1490" s="286"/>
      <c r="G1490" s="286"/>
      <c r="H1490" s="286"/>
      <c r="I1490" s="286"/>
      <c r="J1490" s="286"/>
      <c r="K1490" s="285"/>
    </row>
    <row r="1491" spans="1:11" x14ac:dyDescent="0.2">
      <c r="D1491" s="286"/>
      <c r="E1491" s="286"/>
      <c r="F1491" s="286"/>
      <c r="G1491" s="286"/>
      <c r="H1491" s="287"/>
      <c r="I1491" s="286"/>
      <c r="J1491" s="286"/>
      <c r="K1491" s="285"/>
    </row>
    <row r="1492" spans="1:11" x14ac:dyDescent="0.2">
      <c r="D1492" s="286"/>
      <c r="E1492" s="286"/>
      <c r="F1492" s="286"/>
      <c r="G1492" s="286"/>
      <c r="H1492" s="287"/>
      <c r="I1492" s="286"/>
      <c r="J1492" s="286"/>
      <c r="K1492" s="285"/>
    </row>
    <row r="1493" spans="1:11" x14ac:dyDescent="0.2">
      <c r="D1493" s="286"/>
      <c r="E1493" s="286"/>
      <c r="F1493" s="286"/>
      <c r="G1493" s="286"/>
      <c r="H1493" s="321"/>
      <c r="I1493" s="286"/>
      <c r="J1493" s="286"/>
      <c r="K1493" s="285"/>
    </row>
    <row r="1494" spans="1:11" x14ac:dyDescent="0.2">
      <c r="D1494" s="286"/>
      <c r="E1494" s="286"/>
      <c r="F1494" s="286"/>
      <c r="G1494" s="286"/>
      <c r="H1494" s="287"/>
      <c r="I1494" s="286"/>
      <c r="J1494" s="286"/>
      <c r="K1494" s="285"/>
    </row>
    <row r="1495" spans="1:11" x14ac:dyDescent="0.2">
      <c r="D1495" s="286"/>
      <c r="E1495" s="286"/>
      <c r="F1495" s="286"/>
      <c r="G1495" s="286"/>
      <c r="H1495" s="287"/>
      <c r="I1495" s="286"/>
      <c r="J1495" s="286"/>
      <c r="K1495" s="285"/>
    </row>
    <row r="1496" spans="1:11" x14ac:dyDescent="0.2">
      <c r="D1496" s="286"/>
      <c r="E1496" s="286"/>
      <c r="F1496" s="286"/>
      <c r="G1496" s="286"/>
      <c r="H1496" s="287"/>
      <c r="I1496" s="286"/>
      <c r="J1496" s="286"/>
      <c r="K1496" s="285"/>
    </row>
    <row r="1497" spans="1:11" x14ac:dyDescent="0.2">
      <c r="D1497" s="286"/>
      <c r="E1497" s="286"/>
      <c r="F1497" s="286"/>
      <c r="G1497" s="286"/>
      <c r="H1497" s="287"/>
      <c r="I1497" s="286"/>
      <c r="J1497" s="286"/>
      <c r="K1497" s="285"/>
    </row>
    <row r="1498" spans="1:11" x14ac:dyDescent="0.2">
      <c r="D1498" s="286"/>
      <c r="E1498" s="286"/>
      <c r="F1498" s="286"/>
      <c r="G1498" s="286"/>
      <c r="H1498" s="287"/>
      <c r="I1498" s="286"/>
      <c r="J1498" s="286"/>
      <c r="K1498" s="285"/>
    </row>
    <row r="1499" spans="1:11" x14ac:dyDescent="0.2">
      <c r="D1499" s="286"/>
      <c r="E1499" s="286"/>
      <c r="F1499" s="286"/>
      <c r="G1499" s="286"/>
      <c r="H1499" s="287"/>
      <c r="I1499" s="286"/>
      <c r="J1499" s="286"/>
      <c r="K1499" s="285"/>
    </row>
    <row r="1500" spans="1:11" x14ac:dyDescent="0.2">
      <c r="D1500" s="286"/>
      <c r="E1500" s="286"/>
      <c r="F1500" s="286"/>
      <c r="G1500" s="286"/>
      <c r="H1500" s="287"/>
      <c r="I1500" s="286"/>
      <c r="J1500" s="286"/>
      <c r="K1500" s="285"/>
    </row>
    <row r="1501" spans="1:11" x14ac:dyDescent="0.2">
      <c r="D1501" s="318"/>
      <c r="E1501" s="327"/>
      <c r="F1501" s="327"/>
      <c r="G1501" s="327"/>
      <c r="H1501" s="327"/>
      <c r="I1501" s="327"/>
      <c r="J1501" s="327"/>
    </row>
    <row r="1503" spans="1:11" x14ac:dyDescent="0.2">
      <c r="A1503" s="285"/>
      <c r="B1503" s="285"/>
      <c r="C1503" s="285"/>
      <c r="D1503" s="286"/>
      <c r="E1503" s="286"/>
      <c r="F1503" s="286"/>
      <c r="G1503" s="286"/>
      <c r="H1503" s="286"/>
      <c r="I1503" s="286"/>
      <c r="J1503" s="286"/>
      <c r="K1503" s="285"/>
    </row>
    <row r="1504" spans="1:11" x14ac:dyDescent="0.2">
      <c r="A1504" s="285"/>
      <c r="B1504" s="285"/>
      <c r="C1504" s="285"/>
      <c r="D1504" s="286"/>
      <c r="E1504" s="286"/>
      <c r="F1504" s="286"/>
      <c r="G1504" s="286"/>
      <c r="H1504" s="286"/>
      <c r="I1504" s="286"/>
      <c r="J1504" s="286"/>
      <c r="K1504" s="285"/>
    </row>
    <row r="1505" spans="1:11" x14ac:dyDescent="0.2">
      <c r="A1505" s="285"/>
      <c r="B1505" s="285"/>
      <c r="C1505" s="285"/>
      <c r="D1505" s="286"/>
      <c r="E1505" s="286"/>
      <c r="F1505" s="286"/>
      <c r="G1505" s="286"/>
      <c r="H1505" s="286"/>
      <c r="I1505" s="286"/>
      <c r="J1505" s="286"/>
      <c r="K1505" s="285"/>
    </row>
    <row r="1506" spans="1:11" x14ac:dyDescent="0.2">
      <c r="A1506" s="285"/>
      <c r="B1506" s="285"/>
      <c r="C1506" s="285"/>
      <c r="D1506" s="286"/>
      <c r="E1506" s="286"/>
      <c r="F1506" s="286"/>
      <c r="G1506" s="286"/>
      <c r="H1506" s="286"/>
      <c r="I1506" s="286"/>
      <c r="J1506" s="286"/>
      <c r="K1506" s="285"/>
    </row>
    <row r="1507" spans="1:11" x14ac:dyDescent="0.2">
      <c r="A1507" s="285"/>
      <c r="B1507" s="285"/>
      <c r="C1507" s="285"/>
      <c r="D1507" s="286"/>
      <c r="E1507" s="286"/>
      <c r="F1507" s="286"/>
      <c r="G1507" s="286"/>
      <c r="H1507" s="286"/>
      <c r="I1507" s="286"/>
      <c r="J1507" s="286"/>
      <c r="K1507" s="285"/>
    </row>
    <row r="1508" spans="1:11" x14ac:dyDescent="0.2">
      <c r="A1508" s="285"/>
      <c r="B1508" s="285"/>
      <c r="C1508" s="285"/>
      <c r="D1508" s="286"/>
      <c r="E1508" s="286"/>
      <c r="F1508" s="286"/>
      <c r="G1508" s="286"/>
      <c r="H1508" s="286"/>
      <c r="I1508" s="286"/>
      <c r="J1508" s="286"/>
      <c r="K1508" s="285"/>
    </row>
    <row r="1509" spans="1:11" x14ac:dyDescent="0.2">
      <c r="A1509" s="285"/>
      <c r="B1509" s="285"/>
      <c r="C1509" s="285"/>
      <c r="D1509" s="286"/>
      <c r="E1509" s="286"/>
      <c r="F1509" s="286"/>
      <c r="G1509" s="286"/>
      <c r="H1509" s="286"/>
      <c r="I1509" s="286"/>
      <c r="J1509" s="286"/>
      <c r="K1509" s="285"/>
    </row>
    <row r="1510" spans="1:11" x14ac:dyDescent="0.2">
      <c r="A1510" s="285"/>
      <c r="B1510" s="285"/>
      <c r="C1510" s="285"/>
      <c r="D1510" s="286"/>
      <c r="E1510" s="286"/>
      <c r="F1510" s="286"/>
      <c r="G1510" s="286"/>
      <c r="H1510" s="286"/>
      <c r="I1510" s="286"/>
      <c r="J1510" s="286"/>
      <c r="K1510" s="285"/>
    </row>
    <row r="1512" spans="1:11" x14ac:dyDescent="0.2">
      <c r="A1512" s="285"/>
      <c r="B1512" s="285"/>
      <c r="C1512" s="285"/>
      <c r="D1512" s="286"/>
      <c r="E1512" s="286"/>
      <c r="F1512" s="286"/>
      <c r="G1512" s="286"/>
      <c r="H1512" s="287"/>
      <c r="I1512" s="286"/>
      <c r="J1512" s="286"/>
      <c r="K1512" s="285"/>
    </row>
    <row r="1513" spans="1:11" x14ac:dyDescent="0.2">
      <c r="A1513" s="285"/>
      <c r="B1513" s="285"/>
      <c r="C1513" s="285"/>
      <c r="D1513" s="286"/>
      <c r="E1513" s="286"/>
      <c r="F1513" s="286"/>
      <c r="G1513" s="286"/>
      <c r="H1513" s="287"/>
      <c r="I1513" s="286"/>
      <c r="J1513" s="286"/>
      <c r="K1513" s="285"/>
    </row>
    <row r="1514" spans="1:11" x14ac:dyDescent="0.2">
      <c r="A1514" s="285"/>
      <c r="B1514" s="285"/>
      <c r="C1514" s="285"/>
      <c r="D1514" s="286"/>
      <c r="E1514" s="286"/>
      <c r="F1514" s="286"/>
      <c r="G1514" s="286"/>
      <c r="H1514" s="287"/>
      <c r="I1514" s="286"/>
      <c r="J1514" s="286"/>
      <c r="K1514" s="285"/>
    </row>
    <row r="1515" spans="1:11" x14ac:dyDescent="0.2">
      <c r="A1515" s="285"/>
      <c r="B1515" s="285"/>
      <c r="C1515" s="285"/>
      <c r="D1515" s="286"/>
      <c r="E1515" s="286"/>
      <c r="F1515" s="286"/>
      <c r="G1515" s="286"/>
      <c r="H1515" s="287"/>
      <c r="I1515" s="286"/>
      <c r="J1515" s="286"/>
      <c r="K1515" s="285"/>
    </row>
    <row r="1516" spans="1:11" x14ac:dyDescent="0.2">
      <c r="A1516" s="285"/>
      <c r="B1516" s="285"/>
      <c r="C1516" s="285"/>
      <c r="D1516" s="286"/>
      <c r="E1516" s="286"/>
      <c r="F1516" s="286"/>
      <c r="G1516" s="286"/>
      <c r="H1516" s="287"/>
      <c r="I1516" s="286"/>
      <c r="J1516" s="286"/>
      <c r="K1516" s="285"/>
    </row>
    <row r="1517" spans="1:11" x14ac:dyDescent="0.2">
      <c r="A1517" s="285"/>
      <c r="B1517" s="285"/>
      <c r="C1517" s="285"/>
      <c r="D1517" s="286"/>
      <c r="E1517" s="286"/>
      <c r="F1517" s="286"/>
      <c r="G1517" s="286"/>
      <c r="H1517" s="287"/>
      <c r="I1517" s="286"/>
      <c r="J1517" s="286"/>
      <c r="K1517" s="285"/>
    </row>
    <row r="1518" spans="1:11" x14ac:dyDescent="0.2">
      <c r="A1518" s="285"/>
      <c r="B1518" s="285"/>
      <c r="C1518" s="285"/>
      <c r="D1518" s="286"/>
      <c r="E1518" s="286"/>
      <c r="F1518" s="286"/>
      <c r="G1518" s="286"/>
      <c r="H1518" s="287"/>
      <c r="I1518" s="286"/>
      <c r="J1518" s="286"/>
      <c r="K1518" s="285"/>
    </row>
    <row r="1519" spans="1:11" x14ac:dyDescent="0.2">
      <c r="A1519" s="285"/>
      <c r="B1519" s="285"/>
      <c r="C1519" s="285"/>
      <c r="D1519" s="286"/>
      <c r="E1519" s="286"/>
      <c r="F1519" s="286"/>
      <c r="G1519" s="286"/>
      <c r="H1519" s="287"/>
      <c r="I1519" s="286"/>
      <c r="J1519" s="286"/>
      <c r="K1519" s="285"/>
    </row>
    <row r="1520" spans="1:11" x14ac:dyDescent="0.2">
      <c r="A1520" s="285"/>
      <c r="B1520" s="285"/>
      <c r="C1520" s="285"/>
      <c r="D1520" s="286"/>
      <c r="E1520" s="286"/>
      <c r="F1520" s="286"/>
      <c r="G1520" s="286"/>
      <c r="H1520" s="287"/>
      <c r="I1520" s="286"/>
      <c r="J1520" s="286"/>
      <c r="K1520" s="285"/>
    </row>
    <row r="1521" spans="1:11" x14ac:dyDescent="0.2">
      <c r="A1521" s="285"/>
      <c r="B1521" s="285"/>
      <c r="C1521" s="285"/>
      <c r="D1521" s="286"/>
      <c r="E1521" s="286"/>
      <c r="F1521" s="286"/>
      <c r="G1521" s="286"/>
      <c r="H1521" s="287"/>
      <c r="I1521" s="286"/>
      <c r="J1521" s="286"/>
      <c r="K1521" s="285"/>
    </row>
    <row r="1522" spans="1:11" x14ac:dyDescent="0.2">
      <c r="A1522" s="285"/>
      <c r="B1522" s="285"/>
      <c r="C1522" s="285"/>
      <c r="D1522" s="286"/>
      <c r="E1522" s="286"/>
      <c r="F1522" s="286"/>
      <c r="G1522" s="286"/>
      <c r="H1522" s="287"/>
      <c r="I1522" s="286"/>
      <c r="J1522" s="286"/>
      <c r="K1522" s="285"/>
    </row>
    <row r="1523" spans="1:11" x14ac:dyDescent="0.2">
      <c r="A1523" s="285"/>
      <c r="B1523" s="285"/>
      <c r="C1523" s="285"/>
      <c r="D1523" s="286"/>
      <c r="E1523" s="286"/>
      <c r="F1523" s="286"/>
      <c r="G1523" s="286"/>
      <c r="H1523" s="287"/>
      <c r="I1523" s="286"/>
      <c r="J1523" s="286"/>
      <c r="K1523" s="285"/>
    </row>
    <row r="1524" spans="1:11" x14ac:dyDescent="0.2">
      <c r="A1524" s="285"/>
      <c r="B1524" s="285"/>
      <c r="C1524" s="285"/>
      <c r="D1524" s="286"/>
      <c r="E1524" s="286"/>
      <c r="F1524" s="286"/>
      <c r="G1524" s="286"/>
      <c r="H1524" s="287"/>
      <c r="I1524" s="286"/>
      <c r="J1524" s="286"/>
      <c r="K1524" s="285"/>
    </row>
    <row r="1525" spans="1:11" x14ac:dyDescent="0.2">
      <c r="A1525" s="285"/>
      <c r="B1525" s="285"/>
      <c r="C1525" s="285"/>
      <c r="D1525" s="286"/>
      <c r="E1525" s="286"/>
      <c r="F1525" s="286"/>
      <c r="G1525" s="286"/>
      <c r="H1525" s="287"/>
      <c r="I1525" s="286"/>
      <c r="J1525" s="286"/>
      <c r="K1525" s="285"/>
    </row>
    <row r="1526" spans="1:11" x14ac:dyDescent="0.2">
      <c r="A1526" s="285"/>
      <c r="B1526" s="285"/>
      <c r="C1526" s="285"/>
      <c r="D1526" s="286"/>
      <c r="E1526" s="286"/>
      <c r="F1526" s="286"/>
      <c r="G1526" s="286"/>
      <c r="H1526" s="287"/>
      <c r="I1526" s="286"/>
      <c r="J1526" s="286"/>
      <c r="K1526" s="285"/>
    </row>
    <row r="1527" spans="1:11" x14ac:dyDescent="0.2">
      <c r="A1527" s="285"/>
      <c r="B1527" s="285"/>
      <c r="C1527" s="285"/>
      <c r="D1527" s="286"/>
      <c r="E1527" s="286"/>
      <c r="F1527" s="286"/>
      <c r="G1527" s="286"/>
      <c r="H1527" s="287"/>
      <c r="I1527" s="286"/>
      <c r="J1527" s="286"/>
      <c r="K1527" s="285"/>
    </row>
    <row r="1528" spans="1:11" x14ac:dyDescent="0.2">
      <c r="A1528" s="285"/>
      <c r="B1528" s="285"/>
      <c r="C1528" s="285"/>
      <c r="D1528" s="286"/>
      <c r="E1528" s="286"/>
      <c r="F1528" s="286"/>
      <c r="G1528" s="286"/>
      <c r="H1528" s="287"/>
      <c r="I1528" s="286"/>
      <c r="J1528" s="286"/>
      <c r="K1528" s="285"/>
    </row>
    <row r="1529" spans="1:11" x14ac:dyDescent="0.2">
      <c r="A1529" s="285"/>
      <c r="B1529" s="285"/>
      <c r="C1529" s="285"/>
      <c r="D1529" s="286"/>
      <c r="E1529" s="286"/>
      <c r="F1529" s="286"/>
      <c r="G1529" s="286"/>
      <c r="H1529" s="287"/>
      <c r="I1529" s="286"/>
      <c r="J1529" s="286"/>
      <c r="K1529" s="285"/>
    </row>
    <row r="1530" spans="1:11" x14ac:dyDescent="0.2">
      <c r="A1530" s="285"/>
      <c r="B1530" s="285"/>
      <c r="C1530" s="285"/>
      <c r="D1530" s="286"/>
      <c r="E1530" s="286"/>
      <c r="F1530" s="286"/>
      <c r="G1530" s="286"/>
      <c r="H1530" s="287"/>
      <c r="I1530" s="286"/>
      <c r="J1530" s="286"/>
      <c r="K1530" s="285"/>
    </row>
    <row r="1531" spans="1:11" x14ac:dyDescent="0.2">
      <c r="A1531" s="285"/>
      <c r="B1531" s="285"/>
      <c r="C1531" s="285"/>
      <c r="D1531" s="286"/>
      <c r="E1531" s="286"/>
      <c r="F1531" s="286"/>
      <c r="G1531" s="286"/>
      <c r="H1531" s="287"/>
      <c r="I1531" s="286"/>
      <c r="J1531" s="286"/>
      <c r="K1531" s="285"/>
    </row>
    <row r="1532" spans="1:11" x14ac:dyDescent="0.2">
      <c r="A1532" s="285"/>
      <c r="B1532" s="285"/>
      <c r="C1532" s="285"/>
      <c r="D1532" s="286"/>
      <c r="E1532" s="286"/>
      <c r="F1532" s="286"/>
      <c r="G1532" s="286"/>
      <c r="H1532" s="287"/>
      <c r="I1532" s="286"/>
      <c r="J1532" s="286"/>
      <c r="K1532" s="285"/>
    </row>
    <row r="1533" spans="1:11" x14ac:dyDescent="0.2">
      <c r="A1533" s="285"/>
      <c r="B1533" s="285"/>
      <c r="C1533" s="285"/>
      <c r="D1533" s="286"/>
      <c r="E1533" s="286"/>
      <c r="F1533" s="286"/>
      <c r="G1533" s="286"/>
      <c r="H1533" s="287"/>
      <c r="I1533" s="286"/>
      <c r="J1533" s="286"/>
      <c r="K1533" s="285"/>
    </row>
    <row r="1534" spans="1:11" x14ac:dyDescent="0.2">
      <c r="A1534" s="285"/>
      <c r="B1534" s="285"/>
      <c r="C1534" s="285"/>
      <c r="D1534" s="286"/>
      <c r="E1534" s="286"/>
      <c r="F1534" s="286"/>
      <c r="G1534" s="286"/>
      <c r="H1534" s="287"/>
      <c r="I1534" s="286"/>
      <c r="J1534" s="286"/>
      <c r="K1534" s="285"/>
    </row>
    <row r="1535" spans="1:11" x14ac:dyDescent="0.2">
      <c r="A1535" s="285"/>
      <c r="B1535" s="285"/>
      <c r="C1535" s="285"/>
      <c r="D1535" s="286"/>
      <c r="E1535" s="286"/>
      <c r="F1535" s="286"/>
      <c r="G1535" s="286"/>
      <c r="H1535" s="287"/>
      <c r="I1535" s="286"/>
      <c r="J1535" s="286"/>
      <c r="K1535" s="285"/>
    </row>
    <row r="1536" spans="1:11" x14ac:dyDescent="0.2">
      <c r="A1536" s="285"/>
      <c r="B1536" s="285"/>
      <c r="C1536" s="285"/>
      <c r="D1536" s="286"/>
      <c r="E1536" s="286"/>
      <c r="F1536" s="286"/>
      <c r="G1536" s="286"/>
      <c r="H1536" s="287"/>
      <c r="I1536" s="286"/>
      <c r="J1536" s="286"/>
      <c r="K1536" s="285"/>
    </row>
    <row r="1537" spans="1:11" x14ac:dyDescent="0.2">
      <c r="A1537" s="285"/>
      <c r="B1537" s="285"/>
      <c r="C1537" s="285"/>
      <c r="D1537" s="286"/>
      <c r="E1537" s="286"/>
      <c r="F1537" s="286"/>
      <c r="G1537" s="286"/>
      <c r="H1537" s="287"/>
      <c r="I1537" s="286"/>
      <c r="J1537" s="286"/>
      <c r="K1537" s="285"/>
    </row>
    <row r="1538" spans="1:11" x14ac:dyDescent="0.2">
      <c r="A1538" s="285"/>
      <c r="B1538" s="285"/>
      <c r="C1538" s="285"/>
      <c r="D1538" s="286"/>
      <c r="E1538" s="286"/>
      <c r="F1538" s="286"/>
      <c r="G1538" s="286"/>
      <c r="H1538" s="287"/>
      <c r="I1538" s="286"/>
      <c r="J1538" s="286"/>
      <c r="K1538" s="285"/>
    </row>
    <row r="1539" spans="1:11" x14ac:dyDescent="0.2">
      <c r="A1539" s="285"/>
      <c r="B1539" s="285"/>
      <c r="C1539" s="285"/>
      <c r="D1539" s="286"/>
      <c r="E1539" s="286"/>
      <c r="F1539" s="286"/>
      <c r="G1539" s="286"/>
      <c r="H1539" s="287"/>
      <c r="I1539" s="286"/>
      <c r="J1539" s="286"/>
      <c r="K1539" s="285"/>
    </row>
    <row r="1540" spans="1:11" x14ac:dyDescent="0.2">
      <c r="A1540" s="285"/>
      <c r="B1540" s="285"/>
      <c r="C1540" s="285"/>
      <c r="D1540" s="286"/>
      <c r="E1540" s="286"/>
      <c r="F1540" s="286"/>
      <c r="G1540" s="286"/>
      <c r="H1540" s="287"/>
      <c r="I1540" s="286"/>
      <c r="J1540" s="286"/>
      <c r="K1540" s="285"/>
    </row>
    <row r="1541" spans="1:11" x14ac:dyDescent="0.2">
      <c r="A1541" s="285"/>
      <c r="B1541" s="285"/>
      <c r="C1541" s="285"/>
      <c r="D1541" s="286"/>
      <c r="E1541" s="286"/>
      <c r="F1541" s="286"/>
      <c r="G1541" s="286"/>
      <c r="H1541" s="287"/>
      <c r="I1541" s="286"/>
      <c r="J1541" s="286"/>
      <c r="K1541" s="285"/>
    </row>
    <row r="1542" spans="1:11" x14ac:dyDescent="0.2">
      <c r="A1542" s="285"/>
      <c r="B1542" s="285"/>
      <c r="C1542" s="285"/>
      <c r="D1542" s="286"/>
      <c r="E1542" s="286"/>
      <c r="F1542" s="286"/>
      <c r="G1542" s="286"/>
      <c r="H1542" s="287"/>
      <c r="I1542" s="286"/>
      <c r="J1542" s="286"/>
      <c r="K1542" s="285"/>
    </row>
    <row r="1543" spans="1:11" x14ac:dyDescent="0.2">
      <c r="A1543" s="285"/>
      <c r="B1543" s="285"/>
      <c r="C1543" s="285"/>
      <c r="D1543" s="286"/>
      <c r="E1543" s="286"/>
      <c r="F1543" s="286"/>
      <c r="G1543" s="286"/>
      <c r="H1543" s="287"/>
      <c r="I1543" s="286"/>
      <c r="J1543" s="286"/>
      <c r="K1543" s="285"/>
    </row>
    <row r="1544" spans="1:11" x14ac:dyDescent="0.2">
      <c r="A1544" s="285"/>
      <c r="B1544" s="285"/>
      <c r="C1544" s="285"/>
      <c r="D1544" s="286"/>
      <c r="E1544" s="286"/>
      <c r="F1544" s="286"/>
      <c r="G1544" s="286"/>
      <c r="H1544" s="287"/>
      <c r="I1544" s="286"/>
      <c r="J1544" s="286"/>
      <c r="K1544" s="285"/>
    </row>
    <row r="1546" spans="1:11" x14ac:dyDescent="0.2">
      <c r="A1546" s="285"/>
      <c r="B1546" s="285"/>
      <c r="C1546" s="285"/>
      <c r="D1546" s="286"/>
      <c r="E1546" s="286"/>
      <c r="F1546" s="286"/>
      <c r="G1546" s="286"/>
      <c r="H1546" s="286"/>
      <c r="I1546" s="286"/>
      <c r="J1546" s="286"/>
      <c r="K1546" s="285"/>
    </row>
    <row r="1547" spans="1:11" x14ac:dyDescent="0.2">
      <c r="A1547" s="285"/>
      <c r="B1547" s="285"/>
      <c r="C1547" s="285"/>
      <c r="D1547" s="286"/>
      <c r="E1547" s="286"/>
      <c r="F1547" s="286"/>
      <c r="G1547" s="286"/>
      <c r="H1547" s="286"/>
      <c r="I1547" s="286"/>
      <c r="J1547" s="286"/>
      <c r="K1547" s="285"/>
    </row>
    <row r="1548" spans="1:11" x14ac:dyDescent="0.2">
      <c r="A1548" s="285"/>
      <c r="B1548" s="285"/>
      <c r="C1548" s="285"/>
      <c r="D1548" s="286"/>
      <c r="E1548" s="286"/>
      <c r="F1548" s="286"/>
      <c r="G1548" s="286"/>
      <c r="H1548" s="286"/>
      <c r="I1548" s="286"/>
      <c r="J1548" s="286"/>
      <c r="K1548" s="285"/>
    </row>
    <row r="1549" spans="1:11" x14ac:dyDescent="0.2">
      <c r="A1549" s="285"/>
      <c r="B1549" s="285"/>
      <c r="C1549" s="285"/>
      <c r="D1549" s="286"/>
      <c r="E1549" s="286"/>
      <c r="F1549" s="286"/>
      <c r="G1549" s="286"/>
      <c r="H1549" s="286"/>
      <c r="I1549" s="286"/>
      <c r="J1549" s="286"/>
      <c r="K1549" s="285"/>
    </row>
    <row r="1550" spans="1:11" x14ac:dyDescent="0.2">
      <c r="A1550" s="285"/>
      <c r="B1550" s="285"/>
      <c r="C1550" s="285"/>
      <c r="D1550" s="286"/>
      <c r="E1550" s="286"/>
      <c r="F1550" s="286"/>
      <c r="G1550" s="286"/>
      <c r="H1550" s="286"/>
      <c r="I1550" s="286"/>
      <c r="J1550" s="286"/>
      <c r="K1550" s="285"/>
    </row>
    <row r="1552" spans="1:11" x14ac:dyDescent="0.2">
      <c r="A1552" s="285"/>
      <c r="B1552" s="285"/>
      <c r="C1552" s="285"/>
      <c r="D1552" s="286"/>
      <c r="E1552" s="286"/>
      <c r="F1552" s="286"/>
      <c r="G1552" s="286"/>
      <c r="H1552" s="286"/>
      <c r="I1552" s="286"/>
      <c r="J1552" s="286"/>
      <c r="K1552" s="285"/>
    </row>
    <row r="1553" spans="1:11" x14ac:dyDescent="0.2">
      <c r="A1553" s="285"/>
      <c r="B1553" s="285"/>
      <c r="C1553" s="285"/>
      <c r="D1553" s="286"/>
      <c r="E1553" s="286"/>
      <c r="F1553" s="286"/>
      <c r="G1553" s="286"/>
      <c r="H1553" s="286"/>
      <c r="I1553" s="286"/>
      <c r="J1553" s="286"/>
      <c r="K1553" s="285"/>
    </row>
    <row r="1554" spans="1:11" x14ac:dyDescent="0.2">
      <c r="A1554" s="285"/>
      <c r="B1554" s="285"/>
      <c r="C1554" s="285"/>
      <c r="D1554" s="286"/>
      <c r="E1554" s="286"/>
      <c r="F1554" s="286"/>
      <c r="G1554" s="286"/>
      <c r="H1554" s="286"/>
      <c r="I1554" s="286"/>
      <c r="J1554" s="286"/>
      <c r="K1554" s="285"/>
    </row>
    <row r="1555" spans="1:11" x14ac:dyDescent="0.2">
      <c r="A1555" s="285"/>
      <c r="B1555" s="285"/>
      <c r="C1555" s="285"/>
      <c r="D1555" s="286"/>
      <c r="E1555" s="286"/>
      <c r="F1555" s="286"/>
      <c r="G1555" s="286"/>
      <c r="H1555" s="286"/>
      <c r="I1555" s="286"/>
      <c r="J1555" s="286"/>
      <c r="K1555" s="285"/>
    </row>
    <row r="1556" spans="1:11" x14ac:dyDescent="0.2">
      <c r="A1556" s="285"/>
      <c r="B1556" s="285"/>
      <c r="C1556" s="285"/>
      <c r="D1556" s="286"/>
      <c r="E1556" s="286"/>
      <c r="F1556" s="286"/>
      <c r="G1556" s="286"/>
      <c r="H1556" s="286"/>
      <c r="I1556" s="286"/>
      <c r="J1556" s="286"/>
      <c r="K1556" s="285"/>
    </row>
    <row r="1557" spans="1:11" x14ac:dyDescent="0.2">
      <c r="A1557" s="285"/>
      <c r="B1557" s="285"/>
      <c r="C1557" s="285"/>
      <c r="D1557" s="286"/>
      <c r="E1557" s="286"/>
      <c r="F1557" s="286"/>
      <c r="G1557" s="286"/>
      <c r="H1557" s="286"/>
      <c r="I1557" s="286"/>
      <c r="J1557" s="286"/>
      <c r="K1557" s="285"/>
    </row>
    <row r="1558" spans="1:11" x14ac:dyDescent="0.2">
      <c r="A1558" s="285"/>
      <c r="B1558" s="285"/>
      <c r="C1558" s="285"/>
      <c r="D1558" s="286"/>
      <c r="E1558" s="286"/>
      <c r="F1558" s="286"/>
      <c r="G1558" s="286"/>
      <c r="H1558" s="286"/>
      <c r="I1558" s="286"/>
      <c r="J1558" s="286"/>
      <c r="K1558" s="285"/>
    </row>
    <row r="1559" spans="1:11" x14ac:dyDescent="0.2">
      <c r="A1559" s="285"/>
      <c r="B1559" s="285"/>
      <c r="C1559" s="285"/>
      <c r="D1559" s="286"/>
      <c r="E1559" s="286"/>
      <c r="F1559" s="286"/>
      <c r="G1559" s="286"/>
      <c r="H1559" s="286"/>
      <c r="I1559" s="286"/>
      <c r="J1559" s="286"/>
      <c r="K1559" s="285"/>
    </row>
    <row r="1560" spans="1:11" x14ac:dyDescent="0.2">
      <c r="A1560" s="285"/>
      <c r="B1560" s="285"/>
      <c r="C1560" s="285"/>
      <c r="D1560" s="286"/>
      <c r="E1560" s="286"/>
      <c r="F1560" s="286"/>
      <c r="G1560" s="286"/>
      <c r="H1560" s="286"/>
      <c r="I1560" s="286"/>
      <c r="J1560" s="286"/>
      <c r="K1560" s="285"/>
    </row>
    <row r="1561" spans="1:11" x14ac:dyDescent="0.2">
      <c r="A1561" s="285"/>
      <c r="B1561" s="285"/>
      <c r="C1561" s="285"/>
      <c r="D1561" s="286"/>
      <c r="E1561" s="286"/>
      <c r="F1561" s="286"/>
      <c r="G1561" s="286"/>
      <c r="H1561" s="286"/>
      <c r="I1561" s="286"/>
      <c r="J1561" s="286"/>
      <c r="K1561" s="285"/>
    </row>
    <row r="1562" spans="1:11" x14ac:dyDescent="0.2">
      <c r="A1562" s="285"/>
      <c r="B1562" s="285"/>
      <c r="C1562" s="285"/>
      <c r="D1562" s="286"/>
      <c r="E1562" s="286"/>
      <c r="F1562" s="286"/>
      <c r="G1562" s="286"/>
      <c r="H1562" s="286"/>
      <c r="I1562" s="286"/>
      <c r="J1562" s="286"/>
      <c r="K1562" s="285"/>
    </row>
    <row r="1563" spans="1:11" x14ac:dyDescent="0.2">
      <c r="A1563" s="285"/>
      <c r="B1563" s="285"/>
      <c r="C1563" s="285"/>
      <c r="D1563" s="286"/>
      <c r="E1563" s="286"/>
      <c r="F1563" s="286"/>
      <c r="G1563" s="286"/>
      <c r="H1563" s="286"/>
      <c r="I1563" s="286"/>
      <c r="J1563" s="286"/>
      <c r="K1563" s="285"/>
    </row>
    <row r="1564" spans="1:11" x14ac:dyDescent="0.2">
      <c r="A1564" s="285"/>
      <c r="B1564" s="285"/>
      <c r="C1564" s="285"/>
      <c r="D1564" s="286"/>
      <c r="E1564" s="286"/>
      <c r="F1564" s="286"/>
      <c r="G1564" s="286"/>
      <c r="H1564" s="286"/>
      <c r="I1564" s="286"/>
      <c r="J1564" s="286"/>
      <c r="K1564" s="285"/>
    </row>
    <row r="1565" spans="1:11" x14ac:dyDescent="0.2">
      <c r="A1565" s="285"/>
      <c r="B1565" s="285"/>
      <c r="C1565" s="285"/>
      <c r="D1565" s="286"/>
      <c r="E1565" s="286"/>
      <c r="F1565" s="286"/>
      <c r="G1565" s="286"/>
      <c r="H1565" s="286"/>
      <c r="I1565" s="286"/>
      <c r="J1565" s="286"/>
      <c r="K1565" s="285"/>
    </row>
    <row r="1566" spans="1:11" x14ac:dyDescent="0.2">
      <c r="A1566" s="285"/>
      <c r="B1566" s="285"/>
      <c r="C1566" s="285"/>
      <c r="D1566" s="286"/>
      <c r="E1566" s="286"/>
      <c r="F1566" s="286"/>
      <c r="G1566" s="286"/>
      <c r="H1566" s="286"/>
      <c r="I1566" s="286"/>
      <c r="J1566" s="286"/>
      <c r="K1566" s="285"/>
    </row>
    <row r="1567" spans="1:11" x14ac:dyDescent="0.2">
      <c r="A1567" s="285"/>
      <c r="B1567" s="285"/>
      <c r="C1567" s="285"/>
      <c r="D1567" s="286"/>
      <c r="E1567" s="286"/>
      <c r="F1567" s="286"/>
      <c r="G1567" s="286"/>
      <c r="H1567" s="286"/>
      <c r="I1567" s="286"/>
      <c r="J1567" s="286"/>
      <c r="K1567" s="285"/>
    </row>
    <row r="1568" spans="1:11" x14ac:dyDescent="0.2">
      <c r="A1568" s="285"/>
      <c r="B1568" s="285"/>
      <c r="C1568" s="285"/>
      <c r="D1568" s="286"/>
      <c r="E1568" s="286"/>
      <c r="F1568" s="286"/>
      <c r="G1568" s="286"/>
      <c r="H1568" s="286"/>
      <c r="I1568" s="286"/>
      <c r="J1568" s="286"/>
      <c r="K1568" s="285"/>
    </row>
    <row r="1569" spans="1:11" x14ac:dyDescent="0.2">
      <c r="A1569" s="285"/>
      <c r="B1569" s="285"/>
      <c r="C1569" s="285"/>
      <c r="D1569" s="286"/>
      <c r="E1569" s="286"/>
      <c r="F1569" s="286"/>
      <c r="G1569" s="286"/>
      <c r="H1569" s="286"/>
      <c r="I1569" s="286"/>
      <c r="J1569" s="286"/>
      <c r="K1569" s="285"/>
    </row>
    <row r="1570" spans="1:11" x14ac:dyDescent="0.2">
      <c r="A1570" s="285"/>
      <c r="B1570" s="285"/>
      <c r="C1570" s="285"/>
      <c r="D1570" s="286"/>
      <c r="E1570" s="286"/>
      <c r="F1570" s="286"/>
      <c r="G1570" s="286"/>
      <c r="H1570" s="286"/>
      <c r="I1570" s="286"/>
      <c r="J1570" s="286"/>
      <c r="K1570" s="285"/>
    </row>
    <row r="1571" spans="1:11" x14ac:dyDescent="0.2">
      <c r="A1571" s="285"/>
      <c r="B1571" s="285"/>
      <c r="C1571" s="285"/>
      <c r="D1571" s="286"/>
      <c r="E1571" s="286"/>
      <c r="F1571" s="286"/>
      <c r="G1571" s="286"/>
      <c r="H1571" s="286"/>
      <c r="I1571" s="286"/>
      <c r="J1571" s="286"/>
      <c r="K1571" s="285"/>
    </row>
    <row r="1573" spans="1:11" x14ac:dyDescent="0.2">
      <c r="A1573" s="285"/>
      <c r="B1573" s="285"/>
      <c r="C1573" s="285"/>
      <c r="D1573" s="286"/>
      <c r="E1573" s="286"/>
      <c r="F1573" s="286"/>
      <c r="G1573" s="286"/>
      <c r="H1573" s="287"/>
      <c r="I1573" s="286"/>
      <c r="J1573" s="286"/>
      <c r="K1573" s="285"/>
    </row>
    <row r="1574" spans="1:11" x14ac:dyDescent="0.2">
      <c r="A1574" s="285"/>
      <c r="B1574" s="285"/>
      <c r="C1574" s="285"/>
      <c r="D1574" s="286"/>
      <c r="E1574" s="286"/>
      <c r="F1574" s="286"/>
      <c r="G1574" s="286"/>
      <c r="H1574" s="287"/>
      <c r="I1574" s="286"/>
      <c r="J1574" s="286"/>
      <c r="K1574" s="285"/>
    </row>
    <row r="1575" spans="1:11" x14ac:dyDescent="0.2">
      <c r="A1575" s="285"/>
      <c r="B1575" s="285"/>
      <c r="C1575" s="285"/>
      <c r="D1575" s="286"/>
      <c r="E1575" s="286"/>
      <c r="F1575" s="286"/>
      <c r="G1575" s="286"/>
      <c r="H1575" s="287"/>
      <c r="I1575" s="286"/>
      <c r="J1575" s="286"/>
      <c r="K1575" s="285"/>
    </row>
    <row r="1576" spans="1:11" x14ac:dyDescent="0.2">
      <c r="A1576" s="285"/>
      <c r="B1576" s="285"/>
      <c r="C1576" s="285"/>
      <c r="D1576" s="286"/>
      <c r="E1576" s="286"/>
      <c r="F1576" s="286"/>
      <c r="G1576" s="286"/>
      <c r="H1576" s="287"/>
      <c r="I1576" s="286"/>
      <c r="J1576" s="286"/>
      <c r="K1576" s="285"/>
    </row>
    <row r="1577" spans="1:11" x14ac:dyDescent="0.2">
      <c r="A1577" s="285"/>
      <c r="B1577" s="285"/>
      <c r="C1577" s="285"/>
      <c r="D1577" s="286"/>
      <c r="E1577" s="286"/>
      <c r="F1577" s="286"/>
      <c r="G1577" s="286"/>
      <c r="H1577" s="287"/>
      <c r="I1577" s="286"/>
      <c r="J1577" s="286"/>
      <c r="K1577" s="285"/>
    </row>
    <row r="1578" spans="1:11" x14ac:dyDescent="0.2">
      <c r="A1578" s="285"/>
      <c r="B1578" s="285"/>
      <c r="C1578" s="285"/>
      <c r="D1578" s="286"/>
      <c r="E1578" s="286"/>
      <c r="F1578" s="286"/>
      <c r="G1578" s="286"/>
      <c r="H1578" s="287"/>
      <c r="I1578" s="286"/>
      <c r="J1578" s="286"/>
      <c r="K1578" s="285"/>
    </row>
    <row r="1579" spans="1:11" x14ac:dyDescent="0.2">
      <c r="A1579" s="285"/>
      <c r="B1579" s="285"/>
      <c r="C1579" s="285"/>
      <c r="D1579" s="286"/>
      <c r="E1579" s="286"/>
      <c r="F1579" s="286"/>
      <c r="G1579" s="286"/>
      <c r="H1579" s="287"/>
      <c r="I1579" s="286"/>
      <c r="J1579" s="286"/>
      <c r="K1579" s="285"/>
    </row>
    <row r="1580" spans="1:11" x14ac:dyDescent="0.2">
      <c r="A1580" s="285"/>
      <c r="B1580" s="285"/>
      <c r="C1580" s="285"/>
      <c r="D1580" s="286"/>
      <c r="E1580" s="286"/>
      <c r="F1580" s="286"/>
      <c r="G1580" s="286"/>
      <c r="H1580" s="287"/>
      <c r="I1580" s="286"/>
      <c r="J1580" s="286"/>
      <c r="K1580" s="285"/>
    </row>
    <row r="1581" spans="1:11" x14ac:dyDescent="0.2">
      <c r="A1581" s="285"/>
      <c r="B1581" s="285"/>
      <c r="C1581" s="285"/>
      <c r="D1581" s="286"/>
      <c r="E1581" s="286"/>
      <c r="F1581" s="286"/>
      <c r="G1581" s="286"/>
      <c r="H1581" s="287"/>
      <c r="I1581" s="286"/>
      <c r="J1581" s="286"/>
      <c r="K1581" s="285"/>
    </row>
    <row r="1582" spans="1:11" x14ac:dyDescent="0.2">
      <c r="A1582" s="285"/>
      <c r="B1582" s="285"/>
      <c r="C1582" s="285"/>
      <c r="D1582" s="286"/>
      <c r="E1582" s="286"/>
      <c r="F1582" s="286"/>
      <c r="G1582" s="286"/>
      <c r="H1582" s="287"/>
      <c r="I1582" s="286"/>
      <c r="J1582" s="286"/>
      <c r="K1582" s="285"/>
    </row>
    <row r="1583" spans="1:11" x14ac:dyDescent="0.2">
      <c r="A1583" s="285"/>
      <c r="B1583" s="285"/>
      <c r="C1583" s="285"/>
      <c r="D1583" s="286"/>
      <c r="E1583" s="286"/>
      <c r="F1583" s="286"/>
      <c r="G1583" s="286"/>
      <c r="H1583" s="287"/>
      <c r="I1583" s="286"/>
      <c r="J1583" s="286"/>
      <c r="K1583" s="285"/>
    </row>
    <row r="1584" spans="1:11" x14ac:dyDescent="0.2">
      <c r="A1584" s="285"/>
      <c r="B1584" s="285"/>
      <c r="C1584" s="285"/>
      <c r="D1584" s="286"/>
      <c r="E1584" s="286"/>
      <c r="F1584" s="286"/>
      <c r="G1584" s="286"/>
      <c r="H1584" s="287"/>
      <c r="I1584" s="286"/>
      <c r="J1584" s="286"/>
      <c r="K1584" s="285"/>
    </row>
    <row r="1585" spans="1:11" x14ac:dyDescent="0.2">
      <c r="A1585" s="285"/>
      <c r="B1585" s="285"/>
      <c r="C1585" s="285"/>
      <c r="D1585" s="286"/>
      <c r="E1585" s="286"/>
      <c r="F1585" s="286"/>
      <c r="G1585" s="286"/>
      <c r="H1585" s="287"/>
      <c r="I1585" s="286"/>
      <c r="J1585" s="286"/>
      <c r="K1585" s="285"/>
    </row>
    <row r="1586" spans="1:11" x14ac:dyDescent="0.2">
      <c r="A1586" s="285"/>
      <c r="B1586" s="285"/>
      <c r="C1586" s="285"/>
      <c r="D1586" s="286"/>
      <c r="E1586" s="286"/>
      <c r="F1586" s="286"/>
      <c r="G1586" s="286"/>
      <c r="H1586" s="287"/>
      <c r="I1586" s="286"/>
      <c r="J1586" s="286"/>
      <c r="K1586" s="285"/>
    </row>
    <row r="1588" spans="1:11" x14ac:dyDescent="0.2">
      <c r="A1588" s="285"/>
      <c r="B1588" s="285"/>
      <c r="C1588" s="285"/>
      <c r="D1588" s="286"/>
      <c r="E1588" s="286"/>
      <c r="F1588" s="286"/>
      <c r="G1588" s="286"/>
      <c r="H1588" s="292"/>
      <c r="I1588" s="286"/>
      <c r="J1588" s="286"/>
      <c r="K1588" s="285"/>
    </row>
    <row r="1589" spans="1:11" x14ac:dyDescent="0.2">
      <c r="A1589" s="285"/>
      <c r="B1589" s="285"/>
      <c r="C1589" s="285"/>
      <c r="D1589" s="286"/>
      <c r="E1589" s="286"/>
      <c r="F1589" s="286"/>
      <c r="G1589" s="286"/>
      <c r="H1589" s="292"/>
      <c r="I1589" s="286"/>
      <c r="J1589" s="286"/>
      <c r="K1589" s="285"/>
    </row>
    <row r="1590" spans="1:11" x14ac:dyDescent="0.2">
      <c r="A1590" s="285"/>
      <c r="B1590" s="285"/>
      <c r="C1590" s="285"/>
      <c r="D1590" s="286"/>
      <c r="E1590" s="286"/>
      <c r="F1590" s="286"/>
      <c r="G1590" s="286"/>
      <c r="H1590" s="292"/>
      <c r="I1590" s="286"/>
      <c r="J1590" s="286"/>
      <c r="K1590" s="285"/>
    </row>
    <row r="1591" spans="1:11" x14ac:dyDescent="0.2">
      <c r="A1591" s="285"/>
      <c r="B1591" s="285"/>
      <c r="C1591" s="285"/>
      <c r="D1591" s="286"/>
      <c r="E1591" s="286"/>
      <c r="F1591" s="286"/>
      <c r="G1591" s="286"/>
      <c r="H1591" s="292"/>
      <c r="I1591" s="286"/>
      <c r="J1591" s="286"/>
      <c r="K1591" s="285"/>
    </row>
    <row r="1592" spans="1:11" x14ac:dyDescent="0.2">
      <c r="A1592" s="285"/>
      <c r="B1592" s="285"/>
      <c r="C1592" s="285"/>
      <c r="D1592" s="286"/>
      <c r="E1592" s="286"/>
      <c r="F1592" s="286"/>
      <c r="G1592" s="286"/>
      <c r="H1592" s="292"/>
      <c r="I1592" s="286"/>
      <c r="J1592" s="286"/>
      <c r="K1592" s="285"/>
    </row>
    <row r="1593" spans="1:11" x14ac:dyDescent="0.2">
      <c r="A1593" s="285"/>
      <c r="B1593" s="285"/>
      <c r="C1593" s="285"/>
      <c r="D1593" s="286"/>
      <c r="E1593" s="286"/>
      <c r="F1593" s="286"/>
      <c r="G1593" s="286"/>
      <c r="H1593" s="292"/>
      <c r="I1593" s="286"/>
      <c r="J1593" s="286"/>
      <c r="K1593" s="285"/>
    </row>
    <row r="1594" spans="1:11" x14ac:dyDescent="0.2">
      <c r="A1594" s="285"/>
      <c r="B1594" s="285"/>
      <c r="C1594" s="285"/>
      <c r="D1594" s="286"/>
      <c r="E1594" s="286"/>
      <c r="F1594" s="286"/>
      <c r="G1594" s="286"/>
      <c r="H1594" s="292"/>
      <c r="I1594" s="286"/>
      <c r="J1594" s="286"/>
      <c r="K1594" s="285"/>
    </row>
    <row r="1595" spans="1:11" x14ac:dyDescent="0.2">
      <c r="A1595" s="285"/>
      <c r="B1595" s="285"/>
      <c r="C1595" s="285"/>
      <c r="D1595" s="286"/>
      <c r="E1595" s="296"/>
      <c r="F1595" s="286"/>
      <c r="G1595" s="286"/>
      <c r="H1595" s="292"/>
      <c r="I1595" s="286"/>
      <c r="J1595" s="286"/>
      <c r="K1595" s="285"/>
    </row>
    <row r="1596" spans="1:11" x14ac:dyDescent="0.2">
      <c r="A1596" s="285"/>
      <c r="B1596" s="285"/>
      <c r="C1596" s="285"/>
      <c r="D1596" s="286"/>
      <c r="E1596" s="286"/>
      <c r="F1596" s="286"/>
      <c r="G1596" s="286"/>
      <c r="H1596" s="292"/>
      <c r="I1596" s="328"/>
      <c r="J1596" s="286"/>
      <c r="K1596" s="285"/>
    </row>
    <row r="1597" spans="1:11" x14ac:dyDescent="0.2">
      <c r="A1597" s="285"/>
      <c r="B1597" s="285"/>
      <c r="C1597" s="285"/>
      <c r="D1597" s="286"/>
      <c r="E1597" s="286"/>
      <c r="F1597" s="286"/>
      <c r="G1597" s="286"/>
      <c r="H1597" s="292"/>
      <c r="I1597" s="292"/>
      <c r="J1597" s="286"/>
      <c r="K1597" s="285"/>
    </row>
    <row r="1598" spans="1:11" x14ac:dyDescent="0.2">
      <c r="A1598" s="285"/>
      <c r="B1598" s="285"/>
      <c r="C1598" s="285"/>
      <c r="D1598" s="286"/>
      <c r="E1598" s="286"/>
      <c r="F1598" s="286"/>
      <c r="G1598" s="286"/>
      <c r="H1598" s="292"/>
      <c r="I1598" s="286"/>
      <c r="J1598" s="286"/>
      <c r="K1598" s="285"/>
    </row>
    <row r="1599" spans="1:11" x14ac:dyDescent="0.2">
      <c r="A1599" s="285"/>
      <c r="B1599" s="285"/>
      <c r="C1599" s="285"/>
      <c r="D1599" s="286"/>
      <c r="E1599" s="286"/>
      <c r="F1599" s="286"/>
      <c r="G1599" s="286"/>
      <c r="H1599" s="292"/>
      <c r="I1599" s="292"/>
      <c r="J1599" s="286"/>
      <c r="K1599" s="285"/>
    </row>
    <row r="1600" spans="1:11" x14ac:dyDescent="0.2">
      <c r="A1600" s="285"/>
      <c r="B1600" s="285"/>
      <c r="C1600" s="285"/>
      <c r="D1600" s="286"/>
      <c r="E1600" s="296"/>
      <c r="F1600" s="286"/>
      <c r="G1600" s="286"/>
      <c r="H1600" s="292"/>
      <c r="I1600" s="292"/>
      <c r="J1600" s="286"/>
      <c r="K1600" s="285"/>
    </row>
    <row r="1601" spans="1:11" x14ac:dyDescent="0.2">
      <c r="A1601" s="285"/>
      <c r="B1601" s="285"/>
      <c r="C1601" s="285"/>
      <c r="D1601" s="286"/>
      <c r="E1601" s="286"/>
      <c r="F1601" s="286"/>
      <c r="G1601" s="286"/>
      <c r="H1601" s="292"/>
      <c r="I1601" s="292"/>
      <c r="J1601" s="286"/>
      <c r="K1601" s="285"/>
    </row>
    <row r="1602" spans="1:11" x14ac:dyDescent="0.2">
      <c r="A1602" s="285"/>
      <c r="B1602" s="285"/>
      <c r="C1602" s="285"/>
      <c r="D1602" s="286"/>
      <c r="E1602" s="286"/>
      <c r="F1602" s="286"/>
      <c r="G1602" s="286"/>
      <c r="H1602" s="292"/>
      <c r="I1602" s="286"/>
      <c r="J1602" s="286"/>
      <c r="K1602" s="285"/>
    </row>
    <row r="1603" spans="1:11" x14ac:dyDescent="0.2">
      <c r="A1603" s="285"/>
      <c r="B1603" s="285"/>
      <c r="C1603" s="285"/>
      <c r="D1603" s="286"/>
      <c r="E1603" s="286"/>
      <c r="F1603" s="286"/>
      <c r="G1603" s="286"/>
      <c r="H1603" s="292"/>
      <c r="I1603" s="286"/>
      <c r="J1603" s="286"/>
      <c r="K1603" s="285"/>
    </row>
    <row r="1604" spans="1:11" x14ac:dyDescent="0.2">
      <c r="A1604" s="285"/>
      <c r="B1604" s="285"/>
      <c r="C1604" s="285"/>
      <c r="D1604" s="286"/>
      <c r="E1604" s="286"/>
      <c r="F1604" s="286"/>
      <c r="G1604" s="286"/>
      <c r="H1604" s="292"/>
      <c r="I1604" s="286"/>
      <c r="J1604" s="286"/>
      <c r="K1604" s="285"/>
    </row>
    <row r="1605" spans="1:11" x14ac:dyDescent="0.2">
      <c r="A1605" s="285"/>
      <c r="B1605" s="285"/>
      <c r="C1605" s="285"/>
      <c r="D1605" s="286"/>
      <c r="E1605" s="286"/>
      <c r="F1605" s="286"/>
      <c r="G1605" s="286"/>
      <c r="H1605" s="292"/>
      <c r="J1605" s="286"/>
      <c r="K1605" s="285"/>
    </row>
    <row r="1606" spans="1:11" x14ac:dyDescent="0.2">
      <c r="A1606" s="285"/>
      <c r="B1606" s="285"/>
      <c r="C1606" s="285"/>
      <c r="D1606" s="286"/>
      <c r="E1606" s="286"/>
      <c r="F1606" s="286"/>
      <c r="G1606" s="286"/>
      <c r="H1606" s="292"/>
      <c r="I1606" s="286"/>
      <c r="J1606" s="286"/>
      <c r="K1606" s="285"/>
    </row>
    <row r="1607" spans="1:11" x14ac:dyDescent="0.2">
      <c r="A1607" s="285"/>
      <c r="B1607" s="285"/>
      <c r="C1607" s="285"/>
      <c r="D1607" s="286"/>
      <c r="E1607" s="286"/>
      <c r="F1607" s="286"/>
      <c r="G1607" s="286"/>
      <c r="H1607" s="292"/>
      <c r="I1607" s="286"/>
      <c r="J1607" s="286"/>
      <c r="K1607" s="285"/>
    </row>
    <row r="1608" spans="1:11" x14ac:dyDescent="0.2">
      <c r="A1608" s="285"/>
      <c r="B1608" s="285"/>
      <c r="C1608" s="285"/>
      <c r="D1608" s="286"/>
      <c r="E1608" s="286"/>
      <c r="F1608" s="286"/>
      <c r="G1608" s="286"/>
      <c r="H1608" s="292"/>
      <c r="I1608" s="286"/>
      <c r="J1608" s="286"/>
      <c r="K1608" s="285"/>
    </row>
    <row r="1609" spans="1:11" x14ac:dyDescent="0.2">
      <c r="A1609" s="285"/>
      <c r="B1609" s="285"/>
      <c r="C1609" s="285"/>
      <c r="D1609" s="286"/>
      <c r="E1609" s="286"/>
      <c r="F1609" s="286"/>
      <c r="G1609" s="286"/>
      <c r="H1609" s="292"/>
      <c r="I1609" s="286"/>
      <c r="J1609" s="286"/>
      <c r="K1609" s="285"/>
    </row>
    <row r="1610" spans="1:11" x14ac:dyDescent="0.2">
      <c r="A1610" s="285"/>
      <c r="B1610" s="285"/>
      <c r="C1610" s="285"/>
      <c r="D1610" s="286"/>
      <c r="E1610" s="286"/>
      <c r="F1610" s="286"/>
      <c r="G1610" s="286"/>
      <c r="H1610" s="292"/>
      <c r="I1610" s="286"/>
      <c r="J1610" s="286"/>
      <c r="K1610" s="285"/>
    </row>
    <row r="1612" spans="1:11" x14ac:dyDescent="0.2">
      <c r="A1612" s="285"/>
      <c r="B1612" s="285"/>
      <c r="C1612" s="285"/>
      <c r="D1612" s="286"/>
      <c r="E1612" s="286"/>
      <c r="F1612" s="286"/>
      <c r="G1612" s="286"/>
      <c r="H1612" s="286"/>
      <c r="I1612" s="286"/>
      <c r="J1612" s="286"/>
      <c r="K1612" s="285"/>
    </row>
    <row r="1613" spans="1:11" x14ac:dyDescent="0.2">
      <c r="A1613" s="285"/>
      <c r="B1613" s="285"/>
      <c r="C1613" s="285"/>
      <c r="D1613" s="286"/>
      <c r="E1613" s="286"/>
      <c r="F1613" s="286"/>
      <c r="G1613" s="286"/>
      <c r="H1613" s="286"/>
      <c r="I1613" s="286"/>
      <c r="J1613" s="286"/>
      <c r="K1613" s="285"/>
    </row>
    <row r="1614" spans="1:11" x14ac:dyDescent="0.2">
      <c r="A1614" s="285"/>
      <c r="B1614" s="285"/>
      <c r="C1614" s="285"/>
      <c r="D1614" s="286"/>
      <c r="E1614" s="286"/>
      <c r="F1614" s="286"/>
      <c r="G1614" s="286"/>
      <c r="H1614" s="286"/>
      <c r="I1614" s="286"/>
      <c r="J1614" s="286"/>
      <c r="K1614" s="285"/>
    </row>
    <row r="1615" spans="1:11" x14ac:dyDescent="0.2">
      <c r="A1615" s="285"/>
      <c r="B1615" s="285"/>
      <c r="C1615" s="285"/>
      <c r="D1615" s="286"/>
      <c r="E1615" s="286"/>
      <c r="F1615" s="286"/>
      <c r="G1615" s="286"/>
      <c r="H1615" s="286"/>
      <c r="I1615" s="286"/>
      <c r="J1615" s="286"/>
      <c r="K1615" s="285"/>
    </row>
    <row r="1616" spans="1:11" x14ac:dyDescent="0.2">
      <c r="A1616" s="285"/>
      <c r="B1616" s="285"/>
      <c r="C1616" s="285"/>
      <c r="D1616" s="286"/>
      <c r="E1616" s="286"/>
      <c r="F1616" s="286"/>
      <c r="G1616" s="286"/>
      <c r="H1616" s="286"/>
      <c r="I1616" s="286"/>
      <c r="J1616" s="286"/>
      <c r="K1616" s="285"/>
    </row>
    <row r="1617" spans="1:11" x14ac:dyDescent="0.2">
      <c r="A1617" s="285"/>
      <c r="B1617" s="285"/>
      <c r="C1617" s="285"/>
      <c r="D1617" s="286"/>
      <c r="E1617" s="286"/>
      <c r="F1617" s="286"/>
      <c r="G1617" s="286"/>
      <c r="H1617" s="286"/>
      <c r="I1617" s="286"/>
      <c r="J1617" s="286"/>
      <c r="K1617" s="285"/>
    </row>
    <row r="1618" spans="1:11" x14ac:dyDescent="0.2">
      <c r="A1618" s="285"/>
      <c r="B1618" s="285"/>
      <c r="C1618" s="285"/>
      <c r="D1618" s="286"/>
      <c r="E1618" s="286"/>
      <c r="F1618" s="286"/>
      <c r="G1618" s="286"/>
      <c r="H1618" s="286"/>
      <c r="I1618" s="286"/>
      <c r="J1618" s="286"/>
      <c r="K1618" s="285"/>
    </row>
    <row r="1619" spans="1:11" x14ac:dyDescent="0.2">
      <c r="A1619" s="285"/>
      <c r="B1619" s="285"/>
      <c r="C1619" s="285"/>
      <c r="D1619" s="286"/>
      <c r="E1619" s="286"/>
      <c r="F1619" s="286"/>
      <c r="G1619" s="286"/>
      <c r="H1619" s="286"/>
      <c r="I1619" s="286"/>
      <c r="J1619" s="286"/>
      <c r="K1619" s="285"/>
    </row>
    <row r="1620" spans="1:11" x14ac:dyDescent="0.2">
      <c r="A1620" s="285"/>
      <c r="B1620" s="285"/>
      <c r="C1620" s="285"/>
      <c r="D1620" s="286"/>
      <c r="E1620" s="286"/>
      <c r="F1620" s="286"/>
      <c r="G1620" s="286"/>
      <c r="H1620" s="286"/>
      <c r="I1620" s="286"/>
      <c r="J1620" s="286"/>
      <c r="K1620" s="285"/>
    </row>
    <row r="1621" spans="1:11" x14ac:dyDescent="0.2">
      <c r="A1621" s="285"/>
      <c r="B1621" s="285"/>
      <c r="C1621" s="285"/>
      <c r="D1621" s="286"/>
      <c r="E1621" s="286"/>
      <c r="F1621" s="286"/>
      <c r="G1621" s="286"/>
      <c r="H1621" s="286"/>
      <c r="I1621" s="286"/>
      <c r="J1621" s="286"/>
      <c r="K1621" s="285"/>
    </row>
    <row r="1622" spans="1:11" x14ac:dyDescent="0.2">
      <c r="A1622" s="285"/>
      <c r="B1622" s="285"/>
      <c r="C1622" s="285"/>
      <c r="D1622" s="286"/>
      <c r="E1622" s="286"/>
      <c r="F1622" s="286"/>
      <c r="G1622" s="286"/>
      <c r="H1622" s="286"/>
      <c r="I1622" s="286"/>
      <c r="J1622" s="286"/>
      <c r="K1622" s="285"/>
    </row>
    <row r="1623" spans="1:11" x14ac:dyDescent="0.2">
      <c r="A1623" s="285"/>
      <c r="B1623" s="285"/>
      <c r="C1623" s="285"/>
      <c r="D1623" s="286"/>
      <c r="E1623" s="286"/>
      <c r="F1623" s="286"/>
      <c r="G1623" s="286"/>
      <c r="H1623" s="286"/>
      <c r="I1623" s="286"/>
      <c r="J1623" s="286"/>
      <c r="K1623" s="285"/>
    </row>
    <row r="1624" spans="1:11" x14ac:dyDescent="0.2">
      <c r="A1624" s="285"/>
      <c r="B1624" s="285"/>
      <c r="C1624" s="285"/>
      <c r="D1624" s="286"/>
      <c r="E1624" s="286"/>
      <c r="F1624" s="286"/>
      <c r="G1624" s="286"/>
      <c r="H1624" s="286"/>
      <c r="I1624" s="286"/>
      <c r="J1624" s="286"/>
      <c r="K1624" s="285"/>
    </row>
    <row r="1625" spans="1:11" x14ac:dyDescent="0.2">
      <c r="A1625" s="285"/>
      <c r="B1625" s="285"/>
      <c r="C1625" s="285"/>
      <c r="D1625" s="286"/>
      <c r="E1625" s="286"/>
      <c r="F1625" s="286"/>
      <c r="G1625" s="286"/>
      <c r="H1625" s="286"/>
      <c r="I1625" s="286"/>
      <c r="J1625" s="286"/>
      <c r="K1625" s="285"/>
    </row>
    <row r="1626" spans="1:11" x14ac:dyDescent="0.2">
      <c r="A1626" s="285"/>
      <c r="B1626" s="285"/>
      <c r="C1626" s="285"/>
      <c r="D1626" s="286"/>
      <c r="E1626" s="286"/>
      <c r="F1626" s="286"/>
      <c r="G1626" s="286"/>
      <c r="H1626" s="286"/>
      <c r="I1626" s="286"/>
      <c r="J1626" s="286"/>
      <c r="K1626" s="285"/>
    </row>
    <row r="1627" spans="1:11" x14ac:dyDescent="0.2">
      <c r="A1627" s="285"/>
      <c r="B1627" s="285"/>
      <c r="C1627" s="285"/>
      <c r="D1627" s="286"/>
      <c r="E1627" s="286"/>
      <c r="F1627" s="286"/>
      <c r="G1627" s="286"/>
      <c r="H1627" s="286"/>
      <c r="I1627" s="286"/>
      <c r="J1627" s="286"/>
      <c r="K1627" s="285"/>
    </row>
    <row r="1629" spans="1:11" x14ac:dyDescent="0.2">
      <c r="A1629" s="285"/>
      <c r="B1629" s="285"/>
      <c r="C1629" s="285"/>
      <c r="D1629" s="286"/>
      <c r="E1629" s="286"/>
      <c r="F1629" s="286"/>
      <c r="G1629" s="286"/>
      <c r="H1629" s="286"/>
      <c r="I1629" s="286"/>
      <c r="J1629" s="286"/>
      <c r="K1629" s="285"/>
    </row>
    <row r="1630" spans="1:11" x14ac:dyDescent="0.2">
      <c r="A1630" s="285"/>
      <c r="B1630" s="285"/>
      <c r="C1630" s="285"/>
      <c r="D1630" s="286"/>
      <c r="E1630" s="286"/>
      <c r="F1630" s="286"/>
      <c r="G1630" s="286"/>
      <c r="H1630" s="286"/>
      <c r="I1630" s="286"/>
      <c r="J1630" s="286"/>
      <c r="K1630" s="285"/>
    </row>
    <row r="1631" spans="1:11" x14ac:dyDescent="0.2">
      <c r="A1631" s="285"/>
      <c r="B1631" s="285"/>
      <c r="C1631" s="285"/>
      <c r="D1631" s="286"/>
      <c r="E1631" s="286"/>
      <c r="F1631" s="286"/>
      <c r="G1631" s="286"/>
      <c r="H1631" s="286"/>
      <c r="I1631" s="286"/>
      <c r="J1631" s="286"/>
      <c r="K1631" s="285"/>
    </row>
    <row r="1632" spans="1:11" x14ac:dyDescent="0.2">
      <c r="A1632" s="285"/>
      <c r="B1632" s="285"/>
      <c r="C1632" s="285"/>
      <c r="D1632" s="286"/>
      <c r="E1632" s="286"/>
      <c r="F1632" s="286"/>
      <c r="G1632" s="286"/>
      <c r="H1632" s="286"/>
      <c r="I1632" s="286"/>
      <c r="J1632" s="286"/>
      <c r="K1632" s="285"/>
    </row>
    <row r="1633" spans="1:11" x14ac:dyDescent="0.2">
      <c r="A1633" s="285"/>
      <c r="B1633" s="285"/>
      <c r="C1633" s="285"/>
      <c r="D1633" s="286"/>
      <c r="E1633" s="286"/>
      <c r="F1633" s="286"/>
      <c r="G1633" s="286"/>
      <c r="H1633" s="286"/>
      <c r="I1633" s="286"/>
      <c r="J1633" s="286"/>
      <c r="K1633" s="285"/>
    </row>
    <row r="1634" spans="1:11" x14ac:dyDescent="0.2">
      <c r="A1634" s="285"/>
      <c r="B1634" s="285"/>
      <c r="C1634" s="285"/>
      <c r="D1634" s="286"/>
      <c r="E1634" s="286"/>
      <c r="F1634" s="286"/>
      <c r="G1634" s="286"/>
      <c r="H1634" s="286"/>
      <c r="I1634" s="286"/>
      <c r="J1634" s="286"/>
      <c r="K1634" s="285"/>
    </row>
    <row r="1635" spans="1:11" x14ac:dyDescent="0.2">
      <c r="A1635" s="285"/>
      <c r="B1635" s="285"/>
      <c r="C1635" s="285"/>
      <c r="D1635" s="286"/>
      <c r="E1635" s="286"/>
      <c r="F1635" s="286"/>
      <c r="G1635" s="286"/>
      <c r="H1635" s="286"/>
      <c r="I1635" s="286"/>
      <c r="J1635" s="286"/>
      <c r="K1635" s="285"/>
    </row>
    <row r="1636" spans="1:11" x14ac:dyDescent="0.2">
      <c r="A1636" s="285"/>
      <c r="B1636" s="285"/>
      <c r="C1636" s="285"/>
      <c r="D1636" s="286"/>
      <c r="E1636" s="286"/>
      <c r="F1636" s="286"/>
      <c r="G1636" s="286"/>
      <c r="H1636" s="286"/>
      <c r="I1636" s="286"/>
      <c r="J1636" s="286"/>
      <c r="K1636" s="285"/>
    </row>
    <row r="1637" spans="1:11" x14ac:dyDescent="0.2">
      <c r="A1637" s="285"/>
      <c r="B1637" s="285"/>
      <c r="C1637" s="285"/>
      <c r="D1637" s="286"/>
      <c r="E1637" s="286"/>
      <c r="F1637" s="286"/>
      <c r="G1637" s="286"/>
      <c r="H1637" s="286"/>
      <c r="I1637" s="286"/>
      <c r="J1637" s="286"/>
      <c r="K1637" s="285"/>
    </row>
    <row r="1638" spans="1:11" x14ac:dyDescent="0.2">
      <c r="A1638" s="285"/>
      <c r="B1638" s="285"/>
      <c r="C1638" s="285"/>
      <c r="D1638" s="286"/>
      <c r="E1638" s="286"/>
      <c r="F1638" s="286"/>
      <c r="G1638" s="286"/>
      <c r="H1638" s="286"/>
      <c r="I1638" s="286"/>
      <c r="J1638" s="286"/>
      <c r="K1638" s="285"/>
    </row>
    <row r="1640" spans="1:11" x14ac:dyDescent="0.2">
      <c r="A1640" s="285"/>
      <c r="B1640" s="285"/>
      <c r="C1640" s="285"/>
      <c r="D1640" s="286"/>
      <c r="E1640" s="286"/>
      <c r="F1640" s="286"/>
      <c r="G1640" s="286"/>
      <c r="H1640" s="286"/>
      <c r="I1640" s="286"/>
      <c r="J1640" s="286"/>
      <c r="K1640" s="285"/>
    </row>
    <row r="1641" spans="1:11" x14ac:dyDescent="0.2">
      <c r="A1641" s="285"/>
      <c r="B1641" s="285"/>
      <c r="C1641" s="285"/>
      <c r="D1641" s="286"/>
      <c r="E1641" s="286"/>
      <c r="F1641" s="286"/>
      <c r="G1641" s="286"/>
      <c r="H1641" s="286"/>
      <c r="I1641" s="286"/>
      <c r="J1641" s="286"/>
      <c r="K1641" s="285"/>
    </row>
    <row r="1642" spans="1:11" x14ac:dyDescent="0.2">
      <c r="A1642" s="285"/>
      <c r="B1642" s="285"/>
      <c r="C1642" s="285"/>
      <c r="D1642" s="286"/>
      <c r="E1642" s="286"/>
      <c r="F1642" s="286"/>
      <c r="G1642" s="286"/>
      <c r="H1642" s="286"/>
      <c r="I1642" s="286"/>
      <c r="J1642" s="286"/>
      <c r="K1642" s="285"/>
    </row>
    <row r="1643" spans="1:11" x14ac:dyDescent="0.2">
      <c r="A1643" s="285"/>
      <c r="B1643" s="285"/>
      <c r="C1643" s="285"/>
      <c r="D1643" s="286"/>
      <c r="E1643" s="286"/>
      <c r="F1643" s="286"/>
      <c r="G1643" s="286"/>
      <c r="H1643" s="286"/>
      <c r="I1643" s="286"/>
      <c r="J1643" s="286"/>
      <c r="K1643" s="285"/>
    </row>
    <row r="1644" spans="1:11" x14ac:dyDescent="0.2">
      <c r="A1644" s="285"/>
      <c r="B1644" s="285"/>
      <c r="C1644" s="285"/>
      <c r="D1644" s="286"/>
      <c r="E1644" s="286"/>
      <c r="F1644" s="286"/>
      <c r="G1644" s="286"/>
      <c r="H1644" s="286"/>
      <c r="I1644" s="286"/>
      <c r="J1644" s="286"/>
      <c r="K1644" s="285"/>
    </row>
    <row r="1645" spans="1:11" x14ac:dyDescent="0.2">
      <c r="A1645" s="285"/>
      <c r="B1645" s="285"/>
      <c r="C1645" s="285"/>
      <c r="D1645" s="286"/>
      <c r="E1645" s="286"/>
      <c r="F1645" s="286"/>
      <c r="G1645" s="286"/>
      <c r="H1645" s="286"/>
      <c r="I1645" s="286"/>
      <c r="J1645" s="286"/>
      <c r="K1645" s="285"/>
    </row>
    <row r="1646" spans="1:11" x14ac:dyDescent="0.2">
      <c r="A1646" s="285"/>
      <c r="B1646" s="285"/>
      <c r="C1646" s="285"/>
      <c r="D1646" s="286"/>
      <c r="E1646" s="286"/>
      <c r="F1646" s="286"/>
      <c r="G1646" s="286"/>
      <c r="H1646" s="286"/>
      <c r="I1646" s="286"/>
      <c r="J1646" s="286"/>
      <c r="K1646" s="285"/>
    </row>
    <row r="1647" spans="1:11" x14ac:dyDescent="0.2">
      <c r="A1647" s="285"/>
      <c r="B1647" s="285"/>
      <c r="C1647" s="285"/>
      <c r="D1647" s="286"/>
      <c r="E1647" s="286"/>
      <c r="F1647" s="286"/>
      <c r="G1647" s="286"/>
      <c r="H1647" s="286"/>
      <c r="I1647" s="286"/>
      <c r="J1647" s="286"/>
      <c r="K1647" s="285"/>
    </row>
    <row r="1648" spans="1:11" x14ac:dyDescent="0.2">
      <c r="A1648" s="285"/>
      <c r="B1648" s="285"/>
      <c r="C1648" s="285"/>
      <c r="D1648" s="286"/>
      <c r="E1648" s="286"/>
      <c r="F1648" s="286"/>
      <c r="G1648" s="286"/>
      <c r="H1648" s="286"/>
      <c r="I1648" s="286"/>
      <c r="J1648" s="286"/>
      <c r="K1648" s="285"/>
    </row>
    <row r="1649" spans="1:11" x14ac:dyDescent="0.2">
      <c r="A1649" s="285"/>
      <c r="B1649" s="285"/>
      <c r="C1649" s="285"/>
      <c r="D1649" s="286"/>
      <c r="E1649" s="286"/>
      <c r="F1649" s="286"/>
      <c r="G1649" s="286"/>
      <c r="H1649" s="286"/>
      <c r="I1649" s="286"/>
      <c r="J1649" s="286"/>
      <c r="K1649" s="285"/>
    </row>
    <row r="1651" spans="1:11" x14ac:dyDescent="0.2">
      <c r="A1651" s="285"/>
      <c r="B1651" s="285"/>
      <c r="C1651" s="285"/>
      <c r="D1651" s="286"/>
      <c r="E1651" s="286"/>
      <c r="F1651" s="286"/>
      <c r="G1651" s="286"/>
      <c r="H1651" s="286"/>
      <c r="I1651" s="286"/>
      <c r="J1651" s="286"/>
      <c r="K1651" s="285"/>
    </row>
    <row r="1652" spans="1:11" x14ac:dyDescent="0.2">
      <c r="A1652" s="285"/>
      <c r="B1652" s="285"/>
      <c r="C1652" s="285"/>
      <c r="D1652" s="286"/>
      <c r="E1652" s="286"/>
      <c r="F1652" s="286"/>
      <c r="G1652" s="286"/>
      <c r="H1652" s="286"/>
      <c r="I1652" s="286"/>
      <c r="J1652" s="286"/>
      <c r="K1652" s="285"/>
    </row>
    <row r="1653" spans="1:11" x14ac:dyDescent="0.2">
      <c r="A1653" s="285"/>
      <c r="B1653" s="285"/>
      <c r="C1653" s="285"/>
      <c r="D1653" s="286"/>
      <c r="E1653" s="286"/>
      <c r="F1653" s="286"/>
      <c r="G1653" s="286"/>
      <c r="H1653" s="286"/>
      <c r="I1653" s="286"/>
      <c r="J1653" s="286"/>
      <c r="K1653" s="285"/>
    </row>
    <row r="1654" spans="1:11" x14ac:dyDescent="0.2">
      <c r="A1654" s="285"/>
      <c r="B1654" s="285"/>
      <c r="C1654" s="285"/>
      <c r="D1654" s="286"/>
      <c r="E1654" s="286"/>
      <c r="F1654" s="286"/>
      <c r="G1654" s="286"/>
      <c r="H1654" s="286"/>
      <c r="I1654" s="286"/>
      <c r="J1654" s="286"/>
      <c r="K1654" s="285"/>
    </row>
    <row r="1655" spans="1:11" x14ac:dyDescent="0.2">
      <c r="A1655" s="285"/>
      <c r="B1655" s="285"/>
      <c r="C1655" s="285"/>
      <c r="D1655" s="286"/>
      <c r="E1655" s="286"/>
      <c r="F1655" s="286"/>
      <c r="G1655" s="286"/>
      <c r="H1655" s="286"/>
      <c r="I1655" s="286"/>
      <c r="J1655" s="286"/>
      <c r="K1655" s="285"/>
    </row>
    <row r="1656" spans="1:11" x14ac:dyDescent="0.2">
      <c r="A1656" s="285"/>
      <c r="B1656" s="285"/>
      <c r="C1656" s="285"/>
      <c r="D1656" s="286"/>
      <c r="E1656" s="286"/>
      <c r="F1656" s="286"/>
      <c r="G1656" s="286"/>
      <c r="H1656" s="286"/>
      <c r="I1656" s="286"/>
      <c r="J1656" s="286"/>
      <c r="K1656" s="285"/>
    </row>
    <row r="1657" spans="1:11" x14ac:dyDescent="0.2">
      <c r="A1657" s="285"/>
      <c r="B1657" s="285"/>
      <c r="C1657" s="285"/>
      <c r="D1657" s="286"/>
      <c r="E1657" s="286"/>
      <c r="F1657" s="286"/>
      <c r="G1657" s="286"/>
      <c r="H1657" s="286"/>
      <c r="I1657" s="286"/>
      <c r="J1657" s="286"/>
      <c r="K1657" s="285"/>
    </row>
    <row r="1658" spans="1:11" x14ac:dyDescent="0.2">
      <c r="A1658" s="285"/>
      <c r="B1658" s="285"/>
      <c r="C1658" s="285"/>
      <c r="D1658" s="286"/>
      <c r="E1658" s="286"/>
      <c r="F1658" s="286"/>
      <c r="G1658" s="286"/>
      <c r="H1658" s="286"/>
      <c r="I1658" s="286"/>
      <c r="J1658" s="286"/>
      <c r="K1658" s="285"/>
    </row>
    <row r="1660" spans="1:11" x14ac:dyDescent="0.2">
      <c r="A1660" s="285"/>
      <c r="B1660" s="285"/>
      <c r="C1660" s="285"/>
      <c r="D1660" s="286"/>
      <c r="E1660" s="286"/>
      <c r="F1660" s="286"/>
      <c r="G1660" s="286"/>
      <c r="H1660" s="286"/>
      <c r="I1660" s="286"/>
      <c r="J1660" s="286"/>
      <c r="K1660" s="285"/>
    </row>
    <row r="1662" spans="1:11" x14ac:dyDescent="0.2">
      <c r="A1662" s="285"/>
      <c r="B1662" s="285"/>
      <c r="C1662" s="285"/>
      <c r="D1662" s="286"/>
      <c r="E1662" s="286"/>
      <c r="F1662" s="286"/>
      <c r="G1662" s="286"/>
      <c r="H1662" s="286"/>
      <c r="I1662" s="286"/>
      <c r="J1662" s="286"/>
      <c r="K1662" s="285"/>
    </row>
    <row r="1663" spans="1:11" x14ac:dyDescent="0.2">
      <c r="A1663" s="285"/>
      <c r="B1663" s="285"/>
      <c r="C1663" s="285"/>
      <c r="D1663" s="286"/>
      <c r="E1663" s="286"/>
      <c r="F1663" s="286"/>
      <c r="G1663" s="286"/>
      <c r="H1663" s="286"/>
      <c r="I1663" s="286"/>
      <c r="J1663" s="286"/>
      <c r="K1663" s="285"/>
    </row>
    <row r="1664" spans="1:11" x14ac:dyDescent="0.2">
      <c r="A1664" s="285"/>
      <c r="B1664" s="285"/>
      <c r="C1664" s="285"/>
      <c r="D1664" s="286"/>
      <c r="E1664" s="286"/>
      <c r="F1664" s="286"/>
      <c r="G1664" s="286"/>
      <c r="H1664" s="286"/>
      <c r="I1664" s="286"/>
      <c r="J1664" s="286"/>
      <c r="K1664" s="285"/>
    </row>
    <row r="1665" spans="1:11" x14ac:dyDescent="0.2">
      <c r="A1665" s="285"/>
      <c r="B1665" s="285"/>
      <c r="C1665" s="285"/>
      <c r="D1665" s="286"/>
      <c r="E1665" s="286"/>
      <c r="F1665" s="286"/>
      <c r="G1665" s="286"/>
      <c r="H1665" s="286"/>
      <c r="I1665" s="286"/>
      <c r="J1665" s="286"/>
      <c r="K1665" s="286"/>
    </row>
    <row r="1666" spans="1:11" x14ac:dyDescent="0.2">
      <c r="A1666" s="285"/>
      <c r="B1666" s="285"/>
      <c r="C1666" s="285"/>
      <c r="D1666" s="286"/>
      <c r="E1666" s="286"/>
      <c r="F1666" s="286"/>
      <c r="G1666" s="286"/>
      <c r="H1666" s="286"/>
      <c r="I1666" s="286"/>
      <c r="J1666" s="286"/>
      <c r="K1666" s="285"/>
    </row>
    <row r="1667" spans="1:11" x14ac:dyDescent="0.2">
      <c r="A1667" s="285"/>
      <c r="B1667" s="285"/>
      <c r="C1667" s="285"/>
      <c r="D1667" s="286"/>
      <c r="E1667" s="286"/>
      <c r="F1667" s="286"/>
      <c r="G1667" s="286"/>
      <c r="H1667" s="286"/>
      <c r="I1667" s="286"/>
      <c r="J1667" s="286"/>
      <c r="K1667" s="285"/>
    </row>
    <row r="1668" spans="1:11" x14ac:dyDescent="0.2">
      <c r="A1668" s="285"/>
      <c r="B1668" s="285"/>
      <c r="C1668" s="285"/>
      <c r="D1668" s="286"/>
      <c r="E1668" s="286"/>
      <c r="F1668" s="286"/>
      <c r="G1668" s="286"/>
      <c r="H1668" s="286"/>
      <c r="I1668" s="286"/>
      <c r="J1668" s="286"/>
      <c r="K1668" s="285"/>
    </row>
    <row r="1669" spans="1:11" x14ac:dyDescent="0.2">
      <c r="A1669" s="285"/>
      <c r="B1669" s="285"/>
      <c r="C1669" s="285"/>
      <c r="D1669" s="286"/>
      <c r="E1669" s="286"/>
      <c r="F1669" s="286"/>
      <c r="G1669" s="286"/>
      <c r="H1669" s="286"/>
      <c r="I1669" s="286"/>
      <c r="J1669" s="286"/>
      <c r="K1669" s="285"/>
    </row>
    <row r="1670" spans="1:11" x14ac:dyDescent="0.2">
      <c r="A1670" s="285"/>
      <c r="B1670" s="285"/>
      <c r="C1670" s="285"/>
      <c r="D1670" s="286"/>
      <c r="E1670" s="286"/>
      <c r="F1670" s="286"/>
      <c r="G1670" s="286"/>
      <c r="H1670" s="286"/>
      <c r="I1670" s="286"/>
      <c r="J1670" s="286"/>
      <c r="K1670" s="285"/>
    </row>
    <row r="1671" spans="1:11" x14ac:dyDescent="0.2">
      <c r="A1671" s="285"/>
      <c r="B1671" s="285"/>
      <c r="C1671" s="285"/>
      <c r="D1671" s="286"/>
      <c r="E1671" s="286"/>
      <c r="F1671" s="286"/>
      <c r="G1671" s="286"/>
      <c r="H1671" s="286"/>
      <c r="I1671" s="286"/>
      <c r="J1671" s="286"/>
      <c r="K1671" s="285"/>
    </row>
    <row r="1672" spans="1:11" x14ac:dyDescent="0.2">
      <c r="A1672" s="285"/>
      <c r="B1672" s="285"/>
      <c r="C1672" s="285"/>
      <c r="D1672" s="286"/>
      <c r="E1672" s="286"/>
      <c r="F1672" s="286"/>
      <c r="G1672" s="286"/>
      <c r="H1672" s="286"/>
      <c r="I1672" s="286"/>
      <c r="J1672" s="286"/>
      <c r="K1672" s="285"/>
    </row>
    <row r="1673" spans="1:11" x14ac:dyDescent="0.2">
      <c r="A1673" s="285"/>
      <c r="B1673" s="285"/>
      <c r="C1673" s="285"/>
      <c r="D1673" s="286"/>
      <c r="E1673" s="286"/>
      <c r="F1673" s="286"/>
      <c r="G1673" s="286"/>
      <c r="H1673" s="286"/>
      <c r="I1673" s="286"/>
      <c r="J1673" s="286"/>
      <c r="K1673" s="285"/>
    </row>
    <row r="1674" spans="1:11" x14ac:dyDescent="0.2">
      <c r="A1674" s="285"/>
      <c r="B1674" s="285"/>
      <c r="C1674" s="285"/>
      <c r="D1674" s="286"/>
      <c r="E1674" s="286"/>
      <c r="F1674" s="286"/>
      <c r="G1674" s="286"/>
      <c r="H1674" s="286"/>
      <c r="I1674" s="286"/>
      <c r="J1674" s="286"/>
      <c r="K1674" s="285"/>
    </row>
    <row r="1675" spans="1:11" x14ac:dyDescent="0.2">
      <c r="A1675" s="285"/>
      <c r="B1675" s="285"/>
      <c r="C1675" s="285"/>
      <c r="D1675" s="286"/>
      <c r="E1675" s="286"/>
      <c r="F1675" s="286"/>
      <c r="G1675" s="286"/>
      <c r="H1675" s="286"/>
      <c r="I1675" s="286"/>
      <c r="J1675" s="286"/>
      <c r="K1675" s="285"/>
    </row>
    <row r="1676" spans="1:11" x14ac:dyDescent="0.2">
      <c r="A1676" s="285"/>
      <c r="B1676" s="285"/>
      <c r="C1676" s="285"/>
      <c r="D1676" s="286"/>
      <c r="E1676" s="286"/>
      <c r="F1676" s="286"/>
      <c r="G1676" s="286"/>
      <c r="H1676" s="286"/>
      <c r="I1676" s="286"/>
      <c r="J1676" s="286"/>
      <c r="K1676" s="285"/>
    </row>
    <row r="1677" spans="1:11" x14ac:dyDescent="0.2">
      <c r="A1677" s="285"/>
      <c r="B1677" s="285"/>
      <c r="C1677" s="285"/>
      <c r="D1677" s="286"/>
      <c r="E1677" s="286"/>
      <c r="F1677" s="286"/>
      <c r="G1677" s="286"/>
      <c r="H1677" s="286"/>
      <c r="I1677" s="286"/>
      <c r="J1677" s="286"/>
      <c r="K1677" s="285"/>
    </row>
    <row r="1678" spans="1:11" x14ac:dyDescent="0.2">
      <c r="A1678" s="285"/>
      <c r="B1678" s="285"/>
      <c r="C1678" s="285"/>
      <c r="D1678" s="286"/>
      <c r="E1678" s="286"/>
      <c r="F1678" s="286"/>
      <c r="G1678" s="286"/>
      <c r="H1678" s="286"/>
      <c r="I1678" s="286"/>
      <c r="J1678" s="286"/>
      <c r="K1678" s="285"/>
    </row>
    <row r="1679" spans="1:11" x14ac:dyDescent="0.2">
      <c r="A1679" s="285"/>
      <c r="B1679" s="285"/>
      <c r="C1679" s="285"/>
      <c r="D1679" s="286"/>
      <c r="E1679" s="286"/>
      <c r="F1679" s="286"/>
      <c r="G1679" s="286"/>
      <c r="H1679" s="286"/>
      <c r="I1679" s="286"/>
      <c r="J1679" s="286"/>
      <c r="K1679" s="285"/>
    </row>
    <row r="1680" spans="1:11" x14ac:dyDescent="0.2">
      <c r="A1680" s="285"/>
      <c r="B1680" s="285"/>
      <c r="C1680" s="285"/>
      <c r="D1680" s="286"/>
      <c r="E1680" s="286"/>
      <c r="F1680" s="286"/>
      <c r="G1680" s="286"/>
      <c r="H1680" s="286"/>
      <c r="I1680" s="286"/>
      <c r="J1680" s="286"/>
      <c r="K1680" s="285"/>
    </row>
    <row r="1681" spans="1:11" x14ac:dyDescent="0.2">
      <c r="A1681" s="285"/>
      <c r="B1681" s="285"/>
      <c r="C1681" s="285"/>
      <c r="D1681" s="286"/>
      <c r="E1681" s="286"/>
      <c r="F1681" s="286"/>
      <c r="G1681" s="286"/>
      <c r="H1681" s="286"/>
      <c r="I1681" s="286"/>
      <c r="J1681" s="286"/>
      <c r="K1681" s="285"/>
    </row>
    <row r="1682" spans="1:11" x14ac:dyDescent="0.2">
      <c r="A1682" s="285"/>
      <c r="B1682" s="285"/>
      <c r="C1682" s="285"/>
      <c r="D1682" s="286"/>
      <c r="E1682" s="286"/>
      <c r="F1682" s="286"/>
      <c r="G1682" s="286"/>
      <c r="H1682" s="286"/>
      <c r="I1682" s="286"/>
      <c r="J1682" s="286"/>
      <c r="K1682" s="285"/>
    </row>
    <row r="1684" spans="1:11" x14ac:dyDescent="0.2">
      <c r="A1684" s="285"/>
      <c r="B1684" s="285"/>
      <c r="C1684" s="285"/>
      <c r="D1684" s="286"/>
      <c r="E1684" s="286"/>
      <c r="F1684" s="286"/>
      <c r="G1684" s="286"/>
      <c r="H1684" s="286"/>
      <c r="I1684" s="286"/>
      <c r="J1684" s="286"/>
      <c r="K1684" s="285"/>
    </row>
    <row r="1685" spans="1:11" x14ac:dyDescent="0.2">
      <c r="A1685" s="285"/>
      <c r="B1685" s="285"/>
      <c r="C1685" s="285"/>
      <c r="D1685" s="286"/>
      <c r="E1685" s="286"/>
      <c r="F1685" s="286"/>
      <c r="G1685" s="286"/>
      <c r="H1685" s="286"/>
      <c r="I1685" s="286"/>
      <c r="J1685" s="286"/>
      <c r="K1685" s="285"/>
    </row>
    <row r="1686" spans="1:11" x14ac:dyDescent="0.2">
      <c r="A1686" s="285"/>
      <c r="B1686" s="285"/>
      <c r="C1686" s="285"/>
      <c r="D1686" s="286"/>
      <c r="E1686" s="286"/>
      <c r="F1686" s="286"/>
      <c r="G1686" s="286"/>
      <c r="H1686" s="286"/>
      <c r="I1686" s="286"/>
      <c r="J1686" s="286"/>
      <c r="K1686" s="285"/>
    </row>
    <row r="1687" spans="1:11" x14ac:dyDescent="0.2">
      <c r="A1687" s="285"/>
      <c r="B1687" s="285"/>
      <c r="C1687" s="285"/>
      <c r="D1687" s="286"/>
      <c r="E1687" s="286"/>
      <c r="F1687" s="286"/>
      <c r="G1687" s="286"/>
      <c r="H1687" s="286"/>
      <c r="I1687" s="286"/>
      <c r="J1687" s="286"/>
      <c r="K1687" s="285"/>
    </row>
    <row r="1688" spans="1:11" x14ac:dyDescent="0.2">
      <c r="A1688" s="285"/>
      <c r="B1688" s="285"/>
      <c r="C1688" s="285"/>
      <c r="D1688" s="286"/>
      <c r="E1688" s="286"/>
      <c r="F1688" s="286"/>
      <c r="G1688" s="286"/>
      <c r="H1688" s="286"/>
      <c r="I1688" s="286"/>
      <c r="J1688" s="286"/>
      <c r="K1688" s="285"/>
    </row>
    <row r="1689" spans="1:11" x14ac:dyDescent="0.2">
      <c r="A1689" s="285"/>
      <c r="B1689" s="285"/>
      <c r="C1689" s="285"/>
      <c r="D1689" s="286"/>
      <c r="E1689" s="286"/>
      <c r="F1689" s="286"/>
      <c r="G1689" s="286"/>
      <c r="H1689" s="286"/>
      <c r="I1689" s="286"/>
      <c r="J1689" s="286"/>
      <c r="K1689" s="285"/>
    </row>
    <row r="1690" spans="1:11" x14ac:dyDescent="0.2">
      <c r="A1690" s="285"/>
      <c r="B1690" s="285"/>
      <c r="C1690" s="285"/>
      <c r="D1690" s="286"/>
      <c r="E1690" s="286"/>
      <c r="F1690" s="286"/>
      <c r="G1690" s="286"/>
      <c r="H1690" s="286"/>
      <c r="I1690" s="286"/>
      <c r="J1690" s="286"/>
      <c r="K1690" s="285"/>
    </row>
    <row r="1691" spans="1:11" x14ac:dyDescent="0.2">
      <c r="A1691" s="285"/>
      <c r="B1691" s="285"/>
      <c r="C1691" s="285"/>
      <c r="D1691" s="286"/>
      <c r="E1691" s="286"/>
      <c r="F1691" s="286"/>
      <c r="G1691" s="286"/>
      <c r="H1691" s="286"/>
      <c r="I1691" s="286"/>
      <c r="J1691" s="286"/>
      <c r="K1691" s="285"/>
    </row>
    <row r="1692" spans="1:11" x14ac:dyDescent="0.2">
      <c r="A1692" s="285"/>
      <c r="B1692" s="285"/>
      <c r="C1692" s="285"/>
      <c r="D1692" s="286"/>
      <c r="E1692" s="286"/>
      <c r="F1692" s="286"/>
      <c r="G1692" s="286"/>
      <c r="H1692" s="286"/>
      <c r="I1692" s="286"/>
      <c r="J1692" s="286"/>
      <c r="K1692" s="285"/>
    </row>
    <row r="1693" spans="1:11" x14ac:dyDescent="0.2">
      <c r="A1693" s="285"/>
      <c r="B1693" s="285"/>
      <c r="C1693" s="285"/>
      <c r="D1693" s="286"/>
      <c r="E1693" s="286"/>
      <c r="F1693" s="286"/>
      <c r="G1693" s="286"/>
      <c r="H1693" s="286"/>
      <c r="I1693" s="286"/>
      <c r="J1693" s="286"/>
      <c r="K1693" s="285"/>
    </row>
    <row r="1694" spans="1:11" x14ac:dyDescent="0.2">
      <c r="A1694" s="285"/>
      <c r="B1694" s="285"/>
      <c r="C1694" s="285"/>
      <c r="D1694" s="286"/>
      <c r="E1694" s="286"/>
      <c r="F1694" s="286"/>
      <c r="G1694" s="286"/>
      <c r="H1694" s="286"/>
      <c r="I1694" s="286"/>
      <c r="J1694" s="286"/>
      <c r="K1694" s="285"/>
    </row>
    <row r="1695" spans="1:11" x14ac:dyDescent="0.2">
      <c r="A1695" s="285"/>
      <c r="B1695" s="285"/>
      <c r="C1695" s="285"/>
      <c r="D1695" s="286"/>
      <c r="E1695" s="286"/>
      <c r="F1695" s="286"/>
      <c r="G1695" s="286"/>
      <c r="H1695" s="286"/>
      <c r="I1695" s="286"/>
      <c r="J1695" s="286"/>
      <c r="K1695" s="285"/>
    </row>
    <row r="1696" spans="1:11" x14ac:dyDescent="0.2">
      <c r="A1696" s="285"/>
      <c r="B1696" s="285"/>
      <c r="C1696" s="285"/>
      <c r="D1696" s="286"/>
      <c r="E1696" s="286"/>
      <c r="F1696" s="286"/>
      <c r="G1696" s="286"/>
      <c r="H1696" s="286"/>
      <c r="I1696" s="286"/>
      <c r="J1696" s="286"/>
      <c r="K1696" s="285"/>
    </row>
    <row r="1697" spans="1:11" x14ac:dyDescent="0.2">
      <c r="A1697" s="285"/>
      <c r="B1697" s="285"/>
      <c r="C1697" s="285"/>
      <c r="D1697" s="286"/>
      <c r="E1697" s="286"/>
      <c r="F1697" s="286"/>
      <c r="G1697" s="286"/>
      <c r="H1697" s="286"/>
      <c r="I1697" s="286"/>
      <c r="J1697" s="286"/>
      <c r="K1697" s="285"/>
    </row>
    <row r="1698" spans="1:11" x14ac:dyDescent="0.2">
      <c r="A1698" s="285"/>
      <c r="B1698" s="285"/>
      <c r="C1698" s="285"/>
      <c r="D1698" s="286"/>
      <c r="E1698" s="286"/>
      <c r="F1698" s="286"/>
      <c r="G1698" s="286"/>
      <c r="H1698" s="286"/>
      <c r="I1698" s="286"/>
      <c r="J1698" s="286"/>
      <c r="K1698" s="285"/>
    </row>
    <row r="1700" spans="1:11" x14ac:dyDescent="0.2">
      <c r="A1700" s="285"/>
      <c r="B1700" s="285"/>
      <c r="C1700" s="285"/>
      <c r="D1700" s="286"/>
      <c r="E1700" s="286"/>
      <c r="F1700" s="286"/>
      <c r="G1700" s="286"/>
      <c r="H1700" s="295"/>
      <c r="I1700" s="286"/>
      <c r="J1700" s="286"/>
      <c r="K1700" s="285"/>
    </row>
    <row r="1701" spans="1:11" x14ac:dyDescent="0.2">
      <c r="A1701" s="285"/>
      <c r="B1701" s="285"/>
      <c r="C1701" s="285"/>
      <c r="D1701" s="286"/>
      <c r="E1701" s="286"/>
      <c r="F1701" s="286"/>
      <c r="G1701" s="286"/>
      <c r="H1701" s="295"/>
      <c r="I1701" s="286"/>
      <c r="J1701" s="286"/>
      <c r="K1701" s="285"/>
    </row>
    <row r="1702" spans="1:11" x14ac:dyDescent="0.2">
      <c r="A1702" s="285"/>
      <c r="B1702" s="285"/>
      <c r="C1702" s="285"/>
      <c r="D1702" s="286"/>
      <c r="E1702" s="286"/>
      <c r="F1702" s="286"/>
      <c r="G1702" s="286"/>
      <c r="H1702" s="295"/>
      <c r="I1702" s="286"/>
      <c r="J1702" s="286"/>
      <c r="K1702" s="285"/>
    </row>
    <row r="1703" spans="1:11" x14ac:dyDescent="0.2">
      <c r="A1703" s="285"/>
      <c r="B1703" s="285"/>
      <c r="C1703" s="285"/>
      <c r="D1703" s="286"/>
      <c r="E1703" s="286"/>
      <c r="F1703" s="286"/>
      <c r="G1703" s="286"/>
      <c r="H1703" s="295"/>
      <c r="I1703" s="286"/>
      <c r="J1703" s="286"/>
      <c r="K1703" s="285"/>
    </row>
    <row r="1704" spans="1:11" x14ac:dyDescent="0.2">
      <c r="A1704" s="285"/>
      <c r="B1704" s="285"/>
      <c r="C1704" s="285"/>
      <c r="D1704" s="286"/>
      <c r="E1704" s="286"/>
      <c r="F1704" s="286"/>
      <c r="G1704" s="286"/>
      <c r="H1704" s="295"/>
      <c r="I1704" s="286"/>
      <c r="J1704" s="286"/>
      <c r="K1704" s="285"/>
    </row>
    <row r="1705" spans="1:11" x14ac:dyDescent="0.2">
      <c r="A1705" s="285"/>
      <c r="B1705" s="285"/>
      <c r="C1705" s="285"/>
      <c r="D1705" s="286"/>
      <c r="E1705" s="286"/>
      <c r="F1705" s="286"/>
      <c r="G1705" s="286"/>
      <c r="H1705" s="295"/>
      <c r="I1705" s="286"/>
      <c r="J1705" s="286"/>
      <c r="K1705" s="285"/>
    </row>
    <row r="1706" spans="1:11" x14ac:dyDescent="0.2">
      <c r="A1706" s="285"/>
      <c r="B1706" s="285"/>
      <c r="C1706" s="285"/>
      <c r="D1706" s="286"/>
      <c r="E1706" s="286"/>
      <c r="F1706" s="286"/>
      <c r="G1706" s="286"/>
      <c r="H1706" s="295"/>
      <c r="I1706" s="286"/>
      <c r="J1706" s="286"/>
      <c r="K1706" s="285"/>
    </row>
    <row r="1707" spans="1:11" x14ac:dyDescent="0.2">
      <c r="A1707" s="285"/>
      <c r="B1707" s="285"/>
      <c r="C1707" s="285"/>
      <c r="D1707" s="286"/>
      <c r="E1707" s="286"/>
      <c r="F1707" s="286"/>
      <c r="G1707" s="286"/>
      <c r="H1707" s="295"/>
      <c r="I1707" s="286"/>
      <c r="J1707" s="286"/>
      <c r="K1707" s="285"/>
    </row>
    <row r="1708" spans="1:11" x14ac:dyDescent="0.2">
      <c r="A1708" s="285"/>
      <c r="B1708" s="285"/>
      <c r="C1708" s="285"/>
      <c r="D1708" s="286"/>
      <c r="E1708" s="286"/>
      <c r="F1708" s="286"/>
      <c r="G1708" s="286"/>
      <c r="H1708" s="295"/>
      <c r="I1708" s="286"/>
      <c r="J1708" s="286"/>
      <c r="K1708" s="285"/>
    </row>
    <row r="1709" spans="1:11" x14ac:dyDescent="0.2">
      <c r="A1709" s="285"/>
      <c r="B1709" s="285"/>
      <c r="C1709" s="285"/>
      <c r="D1709" s="286"/>
      <c r="E1709" s="286"/>
      <c r="F1709" s="286"/>
      <c r="G1709" s="286"/>
      <c r="H1709" s="295"/>
      <c r="I1709" s="286"/>
      <c r="J1709" s="286"/>
      <c r="K1709" s="285"/>
    </row>
    <row r="1710" spans="1:11" x14ac:dyDescent="0.2">
      <c r="A1710" s="285"/>
      <c r="B1710" s="285"/>
      <c r="C1710" s="285"/>
      <c r="D1710" s="286"/>
      <c r="E1710" s="286"/>
      <c r="F1710" s="286"/>
      <c r="G1710" s="286"/>
      <c r="H1710" s="295"/>
      <c r="I1710" s="286"/>
      <c r="J1710" s="286"/>
      <c r="K1710" s="285"/>
    </row>
    <row r="1711" spans="1:11" x14ac:dyDescent="0.2">
      <c r="A1711" s="285"/>
      <c r="B1711" s="285"/>
      <c r="C1711" s="285"/>
      <c r="D1711" s="286"/>
      <c r="E1711" s="286"/>
      <c r="F1711" s="286"/>
      <c r="G1711" s="286"/>
      <c r="H1711" s="295"/>
      <c r="I1711" s="286"/>
      <c r="J1711" s="286"/>
      <c r="K1711" s="285"/>
    </row>
    <row r="1712" spans="1:11" x14ac:dyDescent="0.2">
      <c r="A1712" s="285"/>
      <c r="B1712" s="285"/>
      <c r="C1712" s="285"/>
      <c r="D1712" s="286"/>
      <c r="E1712" s="286"/>
      <c r="F1712" s="286"/>
      <c r="G1712" s="286"/>
      <c r="H1712" s="295"/>
      <c r="I1712" s="286"/>
      <c r="J1712" s="286"/>
      <c r="K1712" s="285"/>
    </row>
    <row r="1713" spans="1:11" x14ac:dyDescent="0.2">
      <c r="A1713" s="285"/>
      <c r="B1713" s="285"/>
      <c r="C1713" s="285"/>
      <c r="D1713" s="286"/>
      <c r="E1713" s="286"/>
      <c r="F1713" s="286"/>
      <c r="G1713" s="286"/>
      <c r="H1713" s="295"/>
      <c r="I1713" s="286"/>
      <c r="J1713" s="286"/>
      <c r="K1713" s="285"/>
    </row>
    <row r="1714" spans="1:11" x14ac:dyDescent="0.2">
      <c r="A1714" s="285"/>
      <c r="B1714" s="285"/>
      <c r="C1714" s="285"/>
      <c r="D1714" s="286"/>
      <c r="E1714" s="286"/>
      <c r="F1714" s="286"/>
      <c r="G1714" s="286"/>
      <c r="H1714" s="295"/>
      <c r="I1714" s="286"/>
      <c r="J1714" s="286"/>
      <c r="K1714" s="285"/>
    </row>
    <row r="1715" spans="1:11" x14ac:dyDescent="0.2">
      <c r="A1715" s="285"/>
      <c r="B1715" s="285"/>
      <c r="C1715" s="285"/>
      <c r="D1715" s="286"/>
      <c r="E1715" s="286"/>
      <c r="F1715" s="286"/>
      <c r="G1715" s="286"/>
      <c r="H1715" s="295"/>
      <c r="I1715" s="286"/>
      <c r="J1715" s="286"/>
      <c r="K1715" s="285"/>
    </row>
    <row r="1716" spans="1:11" x14ac:dyDescent="0.2">
      <c r="A1716" s="285"/>
      <c r="B1716" s="285"/>
      <c r="C1716" s="285"/>
      <c r="D1716" s="286"/>
      <c r="E1716" s="286"/>
      <c r="F1716" s="286"/>
      <c r="G1716" s="286"/>
      <c r="H1716" s="295"/>
      <c r="I1716" s="286"/>
      <c r="J1716" s="286"/>
      <c r="K1716" s="285"/>
    </row>
    <row r="1717" spans="1:11" x14ac:dyDescent="0.2">
      <c r="A1717" s="285"/>
      <c r="B1717" s="285"/>
      <c r="C1717" s="285"/>
      <c r="D1717" s="286"/>
      <c r="E1717" s="286"/>
      <c r="F1717" s="286"/>
      <c r="G1717" s="286"/>
      <c r="H1717" s="295"/>
      <c r="I1717" s="286"/>
      <c r="J1717" s="286"/>
      <c r="K1717" s="285"/>
    </row>
    <row r="1718" spans="1:11" x14ac:dyDescent="0.2">
      <c r="A1718" s="285"/>
      <c r="B1718" s="285"/>
      <c r="C1718" s="285"/>
      <c r="D1718" s="286"/>
      <c r="E1718" s="286"/>
      <c r="F1718" s="286"/>
      <c r="G1718" s="286"/>
      <c r="H1718" s="295"/>
      <c r="I1718" s="286"/>
      <c r="J1718" s="286"/>
      <c r="K1718" s="285"/>
    </row>
    <row r="1719" spans="1:11" x14ac:dyDescent="0.2">
      <c r="A1719" s="285"/>
      <c r="B1719" s="285"/>
      <c r="C1719" s="285"/>
      <c r="D1719" s="286"/>
      <c r="E1719" s="286"/>
      <c r="F1719" s="286"/>
      <c r="G1719" s="286"/>
      <c r="H1719" s="295"/>
      <c r="I1719" s="286"/>
      <c r="J1719" s="286"/>
      <c r="K1719" s="285"/>
    </row>
    <row r="1720" spans="1:11" x14ac:dyDescent="0.2">
      <c r="A1720" s="285"/>
      <c r="B1720" s="285"/>
      <c r="C1720" s="285"/>
      <c r="D1720" s="286"/>
      <c r="E1720" s="285"/>
      <c r="F1720" s="285"/>
      <c r="G1720" s="285"/>
      <c r="H1720" s="295"/>
      <c r="I1720" s="285"/>
      <c r="J1720" s="285"/>
      <c r="K1720" s="285"/>
    </row>
    <row r="1722" spans="1:11" x14ac:dyDescent="0.2">
      <c r="A1722" s="285"/>
      <c r="B1722" s="285"/>
      <c r="C1722" s="285"/>
      <c r="D1722" s="286"/>
      <c r="E1722" s="286"/>
      <c r="F1722" s="286"/>
      <c r="G1722" s="286"/>
      <c r="H1722" s="286"/>
      <c r="I1722" s="286"/>
      <c r="J1722" s="286"/>
      <c r="K1722" s="285"/>
    </row>
    <row r="1723" spans="1:11" x14ac:dyDescent="0.2">
      <c r="A1723" s="285"/>
      <c r="B1723" s="285"/>
      <c r="C1723" s="285"/>
      <c r="D1723" s="286"/>
      <c r="E1723" s="286"/>
      <c r="F1723" s="286"/>
      <c r="G1723" s="286"/>
      <c r="H1723" s="286"/>
      <c r="I1723" s="286"/>
      <c r="J1723" s="286"/>
      <c r="K1723" s="285"/>
    </row>
    <row r="1724" spans="1:11" x14ac:dyDescent="0.2">
      <c r="A1724" s="285"/>
      <c r="B1724" s="285"/>
      <c r="C1724" s="285"/>
      <c r="D1724" s="286"/>
      <c r="E1724" s="286"/>
      <c r="F1724" s="286"/>
      <c r="G1724" s="286"/>
      <c r="H1724" s="286"/>
      <c r="I1724" s="286"/>
      <c r="J1724" s="286"/>
      <c r="K1724" s="285"/>
    </row>
    <row r="1725" spans="1:11" x14ac:dyDescent="0.2">
      <c r="A1725" s="285"/>
      <c r="B1725" s="285"/>
      <c r="C1725" s="285"/>
      <c r="D1725" s="286"/>
      <c r="E1725" s="286"/>
      <c r="F1725" s="286"/>
      <c r="G1725" s="286"/>
      <c r="H1725" s="286"/>
      <c r="I1725" s="286"/>
      <c r="J1725" s="286"/>
      <c r="K1725" s="285"/>
    </row>
    <row r="1726" spans="1:11" x14ac:dyDescent="0.2">
      <c r="A1726" s="285"/>
      <c r="B1726" s="285"/>
      <c r="C1726" s="285"/>
      <c r="D1726" s="286"/>
      <c r="E1726" s="286"/>
      <c r="F1726" s="286"/>
      <c r="G1726" s="286"/>
      <c r="H1726" s="286"/>
      <c r="I1726" s="286"/>
      <c r="J1726" s="286"/>
      <c r="K1726" s="285"/>
    </row>
    <row r="1727" spans="1:11" x14ac:dyDescent="0.2">
      <c r="A1727" s="285"/>
      <c r="B1727" s="285"/>
      <c r="C1727" s="285"/>
      <c r="D1727" s="286"/>
      <c r="E1727" s="286"/>
      <c r="F1727" s="286"/>
      <c r="G1727" s="286"/>
      <c r="H1727" s="286"/>
      <c r="I1727" s="286"/>
      <c r="J1727" s="286"/>
      <c r="K1727" s="285"/>
    </row>
    <row r="1728" spans="1:11" x14ac:dyDescent="0.2">
      <c r="A1728" s="285"/>
      <c r="B1728" s="285"/>
      <c r="C1728" s="285"/>
      <c r="D1728" s="286"/>
      <c r="E1728" s="286"/>
      <c r="F1728" s="286"/>
      <c r="G1728" s="286"/>
      <c r="H1728" s="286"/>
      <c r="I1728" s="286"/>
      <c r="J1728" s="286"/>
      <c r="K1728" s="285"/>
    </row>
    <row r="1729" spans="1:11" x14ac:dyDescent="0.2">
      <c r="A1729" s="285"/>
      <c r="B1729" s="285"/>
      <c r="C1729" s="285"/>
      <c r="D1729" s="286"/>
      <c r="E1729" s="286"/>
      <c r="F1729" s="286"/>
      <c r="G1729" s="286"/>
      <c r="H1729" s="286"/>
      <c r="I1729" s="286"/>
      <c r="J1729" s="286"/>
      <c r="K1729" s="285"/>
    </row>
    <row r="1730" spans="1:11" x14ac:dyDescent="0.2">
      <c r="A1730" s="285"/>
      <c r="B1730" s="285"/>
      <c r="C1730" s="285"/>
      <c r="D1730" s="286"/>
      <c r="E1730" s="286"/>
      <c r="F1730" s="286"/>
      <c r="G1730" s="286"/>
      <c r="H1730" s="286"/>
      <c r="I1730" s="286"/>
      <c r="J1730" s="286"/>
      <c r="K1730" s="285"/>
    </row>
    <row r="1732" spans="1:11" x14ac:dyDescent="0.2">
      <c r="A1732" s="285"/>
      <c r="B1732" s="285"/>
      <c r="C1732" s="285"/>
      <c r="D1732" s="286"/>
      <c r="E1732" s="286"/>
      <c r="F1732" s="286"/>
      <c r="G1732" s="286"/>
      <c r="H1732" s="287"/>
      <c r="I1732" s="286"/>
      <c r="J1732" s="286"/>
      <c r="K1732" s="285"/>
    </row>
    <row r="1733" spans="1:11" x14ac:dyDescent="0.2">
      <c r="A1733" s="285"/>
      <c r="B1733" s="285"/>
      <c r="C1733" s="285"/>
      <c r="D1733" s="286"/>
      <c r="E1733" s="286"/>
      <c r="F1733" s="286"/>
      <c r="G1733" s="286"/>
      <c r="H1733" s="286"/>
      <c r="I1733" s="286"/>
      <c r="J1733" s="286"/>
      <c r="K1733" s="285"/>
    </row>
    <row r="1734" spans="1:11" x14ac:dyDescent="0.2">
      <c r="A1734" s="285"/>
      <c r="B1734" s="285"/>
      <c r="C1734" s="285"/>
      <c r="D1734" s="286"/>
      <c r="E1734" s="286"/>
      <c r="F1734" s="286"/>
      <c r="G1734" s="286"/>
      <c r="H1734" s="286"/>
      <c r="I1734" s="286"/>
      <c r="J1734" s="286"/>
      <c r="K1734" s="285"/>
    </row>
    <row r="1735" spans="1:11" x14ac:dyDescent="0.2">
      <c r="A1735" s="285"/>
      <c r="B1735" s="285"/>
      <c r="C1735" s="285"/>
      <c r="D1735" s="286"/>
      <c r="E1735" s="286"/>
      <c r="F1735" s="286"/>
      <c r="G1735" s="286"/>
      <c r="H1735" s="286"/>
      <c r="I1735" s="286"/>
      <c r="J1735" s="286"/>
      <c r="K1735" s="285"/>
    </row>
    <row r="1736" spans="1:11" x14ac:dyDescent="0.2">
      <c r="A1736" s="285"/>
      <c r="B1736" s="285"/>
      <c r="C1736" s="285"/>
      <c r="D1736" s="286"/>
      <c r="E1736" s="286"/>
      <c r="F1736" s="286"/>
      <c r="G1736" s="286"/>
      <c r="H1736" s="286"/>
      <c r="I1736" s="286"/>
      <c r="J1736" s="286"/>
      <c r="K1736" s="285"/>
    </row>
    <row r="1737" spans="1:11" x14ac:dyDescent="0.2">
      <c r="A1737" s="285"/>
      <c r="B1737" s="285"/>
      <c r="C1737" s="285"/>
      <c r="D1737" s="286"/>
      <c r="E1737" s="286"/>
      <c r="F1737" s="286"/>
      <c r="G1737" s="286"/>
      <c r="H1737" s="286"/>
      <c r="I1737" s="286"/>
      <c r="J1737" s="286"/>
      <c r="K1737" s="285"/>
    </row>
    <row r="1738" spans="1:11" x14ac:dyDescent="0.2">
      <c r="A1738" s="285"/>
      <c r="B1738" s="285"/>
      <c r="C1738" s="285"/>
      <c r="D1738" s="286"/>
      <c r="E1738" s="286"/>
      <c r="F1738" s="286"/>
      <c r="G1738" s="286"/>
      <c r="H1738" s="286"/>
      <c r="I1738" s="286"/>
      <c r="J1738" s="286"/>
      <c r="K1738" s="285"/>
    </row>
    <row r="1739" spans="1:11" x14ac:dyDescent="0.2">
      <c r="A1739" s="285"/>
      <c r="B1739" s="285"/>
      <c r="C1739" s="285"/>
      <c r="D1739" s="286"/>
      <c r="E1739" s="286"/>
      <c r="F1739" s="286"/>
      <c r="G1739" s="286"/>
      <c r="H1739" s="286"/>
      <c r="I1739" s="286"/>
      <c r="J1739" s="286"/>
      <c r="K1739" s="285"/>
    </row>
    <row r="1740" spans="1:11" x14ac:dyDescent="0.2">
      <c r="A1740" s="285"/>
      <c r="B1740" s="285"/>
      <c r="C1740" s="285"/>
      <c r="D1740" s="286"/>
      <c r="E1740" s="286"/>
      <c r="F1740" s="286"/>
      <c r="G1740" s="286"/>
      <c r="H1740" s="286"/>
      <c r="I1740" s="286"/>
      <c r="J1740" s="286"/>
      <c r="K1740" s="285"/>
    </row>
    <row r="1741" spans="1:11" x14ac:dyDescent="0.2">
      <c r="A1741" s="285"/>
      <c r="B1741" s="285"/>
      <c r="C1741" s="285"/>
      <c r="D1741" s="286"/>
      <c r="E1741" s="286"/>
      <c r="F1741" s="286"/>
      <c r="G1741" s="286"/>
      <c r="H1741" s="286"/>
      <c r="I1741" s="286"/>
      <c r="J1741" s="286"/>
      <c r="K1741" s="285"/>
    </row>
    <row r="1742" spans="1:11" x14ac:dyDescent="0.2">
      <c r="A1742" s="285"/>
      <c r="B1742" s="285"/>
      <c r="C1742" s="285"/>
      <c r="D1742" s="286"/>
      <c r="E1742" s="286"/>
      <c r="F1742" s="286"/>
      <c r="G1742" s="286"/>
      <c r="H1742" s="286"/>
      <c r="I1742" s="286"/>
      <c r="J1742" s="286"/>
      <c r="K1742" s="285"/>
    </row>
    <row r="1743" spans="1:11" x14ac:dyDescent="0.2">
      <c r="A1743" s="285"/>
      <c r="B1743" s="285"/>
      <c r="C1743" s="285"/>
      <c r="D1743" s="286"/>
      <c r="E1743" s="286"/>
      <c r="F1743" s="286"/>
      <c r="G1743" s="286"/>
      <c r="H1743" s="286"/>
      <c r="I1743" s="286"/>
      <c r="J1743" s="286"/>
      <c r="K1743" s="285"/>
    </row>
    <row r="1745" spans="1:11" x14ac:dyDescent="0.2">
      <c r="A1745" s="285"/>
      <c r="B1745" s="285"/>
      <c r="C1745" s="285"/>
      <c r="D1745" s="286"/>
      <c r="E1745" s="286"/>
      <c r="F1745" s="286"/>
      <c r="G1745" s="286"/>
      <c r="H1745" s="286"/>
      <c r="I1745" s="286"/>
      <c r="J1745" s="286"/>
      <c r="K1745" s="285"/>
    </row>
    <row r="1746" spans="1:11" x14ac:dyDescent="0.2">
      <c r="A1746" s="285"/>
      <c r="B1746" s="285"/>
      <c r="C1746" s="285"/>
      <c r="D1746" s="286"/>
      <c r="E1746" s="286"/>
      <c r="F1746" s="286"/>
      <c r="G1746" s="286"/>
      <c r="H1746" s="286"/>
      <c r="I1746" s="286"/>
      <c r="J1746" s="286"/>
      <c r="K1746" s="285"/>
    </row>
    <row r="1747" spans="1:11" x14ac:dyDescent="0.2">
      <c r="A1747" s="285"/>
      <c r="B1747" s="285"/>
      <c r="C1747" s="285"/>
      <c r="D1747" s="286"/>
      <c r="E1747" s="286"/>
      <c r="F1747" s="286"/>
      <c r="G1747" s="286"/>
      <c r="H1747" s="286"/>
      <c r="I1747" s="286"/>
      <c r="J1747" s="286"/>
      <c r="K1747" s="285"/>
    </row>
    <row r="1748" spans="1:11" x14ac:dyDescent="0.2">
      <c r="A1748" s="285"/>
      <c r="B1748" s="285"/>
      <c r="C1748" s="285"/>
      <c r="D1748" s="286"/>
      <c r="E1748" s="286"/>
      <c r="F1748" s="286"/>
      <c r="G1748" s="286"/>
      <c r="H1748" s="286"/>
      <c r="I1748" s="286"/>
      <c r="J1748" s="286"/>
      <c r="K1748" s="285"/>
    </row>
    <row r="1749" spans="1:11" x14ac:dyDescent="0.2">
      <c r="A1749" s="285"/>
      <c r="B1749" s="285"/>
      <c r="C1749" s="285"/>
      <c r="D1749" s="286"/>
      <c r="E1749" s="286"/>
      <c r="F1749" s="286"/>
      <c r="G1749" s="286"/>
      <c r="H1749" s="286"/>
      <c r="I1749" s="286"/>
      <c r="J1749" s="286"/>
      <c r="K1749" s="285"/>
    </row>
    <row r="1750" spans="1:11" x14ac:dyDescent="0.2">
      <c r="A1750" s="285"/>
      <c r="B1750" s="285"/>
      <c r="C1750" s="285"/>
      <c r="D1750" s="286"/>
      <c r="E1750" s="286"/>
      <c r="F1750" s="286"/>
      <c r="G1750" s="286"/>
      <c r="H1750" s="286"/>
      <c r="I1750" s="286"/>
      <c r="J1750" s="286"/>
      <c r="K1750" s="285"/>
    </row>
    <row r="1751" spans="1:11" x14ac:dyDescent="0.2">
      <c r="A1751" s="285"/>
      <c r="B1751" s="285"/>
      <c r="C1751" s="285"/>
      <c r="D1751" s="286"/>
      <c r="E1751" s="286"/>
      <c r="F1751" s="286"/>
      <c r="G1751" s="286"/>
      <c r="H1751" s="286"/>
      <c r="I1751" s="286"/>
      <c r="J1751" s="286"/>
      <c r="K1751" s="285"/>
    </row>
    <row r="1752" spans="1:11" x14ac:dyDescent="0.2">
      <c r="A1752" s="285"/>
      <c r="B1752" s="285"/>
      <c r="C1752" s="285"/>
      <c r="D1752" s="286"/>
      <c r="E1752" s="286"/>
      <c r="F1752" s="286"/>
      <c r="G1752" s="286"/>
      <c r="H1752" s="286"/>
      <c r="I1752" s="286"/>
      <c r="J1752" s="286"/>
      <c r="K1752" s="285"/>
    </row>
    <row r="1753" spans="1:11" x14ac:dyDescent="0.2">
      <c r="A1753" s="285"/>
      <c r="B1753" s="285"/>
      <c r="C1753" s="285"/>
      <c r="D1753" s="286"/>
      <c r="E1753" s="286"/>
      <c r="F1753" s="286"/>
      <c r="G1753" s="286"/>
      <c r="H1753" s="286"/>
      <c r="I1753" s="286"/>
      <c r="J1753" s="286"/>
      <c r="K1753" s="285"/>
    </row>
    <row r="1754" spans="1:11" x14ac:dyDescent="0.2">
      <c r="A1754" s="285"/>
      <c r="B1754" s="285"/>
      <c r="C1754" s="285"/>
      <c r="D1754" s="286"/>
      <c r="E1754" s="286"/>
      <c r="F1754" s="286"/>
      <c r="G1754" s="286"/>
      <c r="H1754" s="286"/>
      <c r="I1754" s="286"/>
      <c r="J1754" s="286"/>
      <c r="K1754" s="285"/>
    </row>
    <row r="1755" spans="1:11" x14ac:dyDescent="0.2">
      <c r="A1755" s="285"/>
      <c r="B1755" s="285"/>
      <c r="C1755" s="285"/>
      <c r="D1755" s="286"/>
      <c r="E1755" s="286"/>
      <c r="F1755" s="286"/>
      <c r="G1755" s="286"/>
      <c r="H1755" s="286"/>
      <c r="I1755" s="286"/>
      <c r="J1755" s="286"/>
      <c r="K1755" s="285"/>
    </row>
    <row r="1756" spans="1:11" x14ac:dyDescent="0.2">
      <c r="A1756" s="285"/>
      <c r="B1756" s="285"/>
      <c r="C1756" s="285"/>
      <c r="D1756" s="286"/>
      <c r="E1756" s="286"/>
      <c r="F1756" s="286"/>
      <c r="G1756" s="286"/>
      <c r="H1756" s="286"/>
      <c r="I1756" s="286"/>
      <c r="J1756" s="286"/>
      <c r="K1756" s="285"/>
    </row>
    <row r="1757" spans="1:11" x14ac:dyDescent="0.2">
      <c r="A1757" s="285"/>
      <c r="B1757" s="285"/>
      <c r="C1757" s="285"/>
      <c r="D1757" s="286"/>
      <c r="E1757" s="286"/>
      <c r="F1757" s="286"/>
      <c r="G1757" s="286"/>
      <c r="H1757" s="286"/>
      <c r="I1757" s="286"/>
      <c r="J1757" s="286"/>
      <c r="K1757" s="285"/>
    </row>
    <row r="1758" spans="1:11" x14ac:dyDescent="0.2">
      <c r="A1758" s="285"/>
      <c r="B1758" s="285"/>
      <c r="C1758" s="285"/>
      <c r="D1758" s="286"/>
      <c r="E1758" s="286"/>
      <c r="F1758" s="286"/>
      <c r="G1758" s="286"/>
      <c r="H1758" s="286"/>
      <c r="I1758" s="286"/>
      <c r="J1758" s="286"/>
      <c r="K1758" s="285"/>
    </row>
    <row r="1759" spans="1:11" x14ac:dyDescent="0.2">
      <c r="A1759" s="285"/>
      <c r="B1759" s="285"/>
      <c r="C1759" s="285"/>
      <c r="D1759" s="286"/>
      <c r="E1759" s="286"/>
      <c r="F1759" s="286"/>
      <c r="G1759" s="286"/>
      <c r="H1759" s="286"/>
      <c r="I1759" s="286"/>
      <c r="J1759" s="286"/>
      <c r="K1759" s="285"/>
    </row>
    <row r="1760" spans="1:11" x14ac:dyDescent="0.2">
      <c r="A1760" s="285"/>
      <c r="B1760" s="285"/>
      <c r="C1760" s="285"/>
      <c r="D1760" s="286"/>
      <c r="E1760" s="286"/>
      <c r="F1760" s="286"/>
      <c r="G1760" s="286"/>
      <c r="H1760" s="286"/>
      <c r="I1760" s="286"/>
      <c r="J1760" s="286"/>
      <c r="K1760" s="285"/>
    </row>
    <row r="1762" spans="1:11" x14ac:dyDescent="0.2">
      <c r="A1762" s="285"/>
      <c r="B1762" s="285"/>
      <c r="C1762" s="285"/>
      <c r="D1762" s="286"/>
      <c r="E1762" s="286"/>
      <c r="F1762" s="286"/>
      <c r="G1762" s="285"/>
      <c r="H1762" s="285"/>
      <c r="I1762" s="286"/>
      <c r="J1762" s="285"/>
      <c r="K1762" s="285"/>
    </row>
    <row r="1763" spans="1:11" x14ac:dyDescent="0.2">
      <c r="A1763" s="285"/>
      <c r="B1763" s="285"/>
      <c r="C1763" s="285"/>
      <c r="D1763" s="286"/>
      <c r="E1763" s="286"/>
      <c r="F1763" s="286"/>
      <c r="G1763" s="285"/>
      <c r="H1763" s="285"/>
      <c r="I1763" s="286"/>
      <c r="J1763" s="285"/>
      <c r="K1763" s="285"/>
    </row>
    <row r="1764" spans="1:11" x14ac:dyDescent="0.2">
      <c r="A1764" s="285"/>
      <c r="B1764" s="285"/>
      <c r="C1764" s="285"/>
      <c r="D1764" s="286"/>
      <c r="E1764" s="286"/>
      <c r="F1764" s="286"/>
      <c r="G1764" s="285"/>
      <c r="H1764" s="285"/>
      <c r="I1764" s="286"/>
      <c r="J1764" s="285"/>
      <c r="K1764" s="285"/>
    </row>
    <row r="1765" spans="1:11" x14ac:dyDescent="0.2">
      <c r="A1765" s="285"/>
      <c r="B1765" s="285"/>
      <c r="C1765" s="285"/>
      <c r="D1765" s="286"/>
      <c r="E1765" s="286"/>
      <c r="F1765" s="286"/>
      <c r="G1765" s="285"/>
      <c r="H1765" s="285"/>
      <c r="I1765" s="286"/>
      <c r="J1765" s="285"/>
      <c r="K1765" s="285"/>
    </row>
    <row r="1766" spans="1:11" x14ac:dyDescent="0.2">
      <c r="A1766" s="285"/>
      <c r="B1766" s="285"/>
      <c r="C1766" s="285"/>
      <c r="D1766" s="286"/>
      <c r="E1766" s="286"/>
      <c r="F1766" s="286"/>
      <c r="G1766" s="285"/>
      <c r="H1766" s="285"/>
      <c r="I1766" s="286"/>
      <c r="J1766" s="285"/>
      <c r="K1766" s="285"/>
    </row>
    <row r="1767" spans="1:11" x14ac:dyDescent="0.2">
      <c r="A1767" s="285"/>
      <c r="B1767" s="285"/>
      <c r="C1767" s="285"/>
      <c r="D1767" s="286"/>
      <c r="E1767" s="286"/>
      <c r="F1767" s="286"/>
      <c r="G1767" s="285"/>
      <c r="H1767" s="285"/>
      <c r="I1767" s="286"/>
      <c r="J1767" s="285"/>
      <c r="K1767" s="285"/>
    </row>
    <row r="1768" spans="1:11" x14ac:dyDescent="0.2">
      <c r="A1768" s="285"/>
      <c r="B1768" s="285"/>
      <c r="C1768" s="285"/>
      <c r="D1768" s="286"/>
      <c r="E1768" s="286"/>
      <c r="F1768" s="286"/>
      <c r="G1768" s="285"/>
      <c r="H1768" s="285"/>
      <c r="I1768" s="286"/>
      <c r="J1768" s="285"/>
      <c r="K1768" s="285"/>
    </row>
    <row r="1769" spans="1:11" x14ac:dyDescent="0.2">
      <c r="A1769" s="285"/>
      <c r="B1769" s="285"/>
      <c r="C1769" s="285"/>
      <c r="D1769" s="286"/>
      <c r="E1769" s="286"/>
      <c r="F1769" s="286"/>
      <c r="G1769" s="285"/>
      <c r="H1769" s="285"/>
      <c r="I1769" s="286"/>
      <c r="J1769" s="285"/>
      <c r="K1769" s="285"/>
    </row>
    <row r="1770" spans="1:11" x14ac:dyDescent="0.2">
      <c r="A1770" s="285"/>
      <c r="B1770" s="285"/>
      <c r="C1770" s="285"/>
      <c r="D1770" s="286"/>
      <c r="E1770" s="286"/>
      <c r="F1770" s="286"/>
      <c r="G1770" s="285"/>
      <c r="H1770" s="285"/>
      <c r="I1770" s="286"/>
      <c r="J1770" s="285"/>
      <c r="K1770" s="285"/>
    </row>
    <row r="1771" spans="1:11" x14ac:dyDescent="0.2">
      <c r="A1771" s="285"/>
      <c r="B1771" s="285"/>
      <c r="C1771" s="285"/>
      <c r="D1771" s="286"/>
      <c r="E1771" s="286"/>
      <c r="F1771" s="286"/>
      <c r="G1771" s="285"/>
      <c r="H1771" s="285"/>
      <c r="I1771" s="286"/>
      <c r="J1771" s="285"/>
      <c r="K1771" s="285"/>
    </row>
    <row r="1772" spans="1:11" x14ac:dyDescent="0.2">
      <c r="A1772" s="285"/>
      <c r="B1772" s="285"/>
      <c r="C1772" s="285"/>
      <c r="D1772" s="286"/>
      <c r="E1772" s="286"/>
      <c r="F1772" s="286"/>
      <c r="G1772" s="285"/>
      <c r="H1772" s="285"/>
      <c r="I1772" s="286"/>
      <c r="J1772" s="285"/>
    </row>
    <row r="1773" spans="1:11" x14ac:dyDescent="0.2">
      <c r="A1773" s="285"/>
      <c r="B1773" s="285"/>
      <c r="C1773" s="285"/>
      <c r="D1773" s="286"/>
      <c r="E1773" s="286"/>
      <c r="F1773" s="286"/>
      <c r="G1773" s="285"/>
      <c r="H1773" s="285"/>
      <c r="I1773" s="286"/>
      <c r="J1773" s="285"/>
    </row>
    <row r="1774" spans="1:11" x14ac:dyDescent="0.2">
      <c r="A1774" s="285"/>
      <c r="B1774" s="285"/>
      <c r="C1774" s="285"/>
      <c r="D1774" s="286"/>
      <c r="E1774" s="286"/>
      <c r="F1774" s="286"/>
      <c r="G1774" s="285"/>
      <c r="H1774" s="285"/>
      <c r="I1774" s="286"/>
      <c r="J1774" s="285"/>
    </row>
    <row r="1775" spans="1:11" x14ac:dyDescent="0.2">
      <c r="A1775" s="285"/>
      <c r="B1775" s="285"/>
      <c r="C1775" s="285"/>
      <c r="D1775" s="286"/>
      <c r="E1775" s="286"/>
      <c r="F1775" s="286"/>
      <c r="G1775" s="285"/>
      <c r="H1775" s="285"/>
      <c r="I1775" s="286"/>
      <c r="J1775" s="285"/>
    </row>
    <row r="1776" spans="1:11" x14ac:dyDescent="0.2">
      <c r="A1776" s="285"/>
      <c r="B1776" s="285"/>
      <c r="C1776" s="285"/>
      <c r="D1776" s="286"/>
      <c r="E1776" s="286"/>
      <c r="F1776" s="286"/>
      <c r="G1776" s="285"/>
      <c r="H1776" s="285"/>
      <c r="I1776" s="286"/>
      <c r="J1776" s="285"/>
    </row>
    <row r="1777" spans="1:11" x14ac:dyDescent="0.2">
      <c r="A1777" s="285"/>
      <c r="B1777" s="285"/>
      <c r="C1777" s="285"/>
      <c r="D1777" s="286"/>
      <c r="E1777" s="286"/>
      <c r="F1777" s="286"/>
      <c r="G1777" s="285"/>
      <c r="H1777" s="285"/>
      <c r="I1777" s="286"/>
      <c r="J1777" s="285"/>
    </row>
    <row r="1778" spans="1:11" x14ac:dyDescent="0.2">
      <c r="A1778" s="285"/>
      <c r="B1778" s="285"/>
      <c r="C1778" s="285"/>
      <c r="D1778" s="286"/>
      <c r="E1778" s="286"/>
      <c r="F1778" s="286"/>
      <c r="G1778" s="285"/>
      <c r="H1778" s="285"/>
      <c r="I1778" s="286"/>
      <c r="J1778" s="285"/>
    </row>
    <row r="1779" spans="1:11" x14ac:dyDescent="0.2">
      <c r="A1779" s="285"/>
      <c r="B1779" s="285"/>
      <c r="C1779" s="285"/>
      <c r="D1779" s="286"/>
      <c r="E1779" s="286"/>
      <c r="F1779" s="286"/>
      <c r="G1779" s="285"/>
      <c r="H1779" s="285"/>
      <c r="I1779" s="286"/>
      <c r="J1779" s="285"/>
    </row>
    <row r="1781" spans="1:11" x14ac:dyDescent="0.2">
      <c r="A1781" s="285"/>
      <c r="B1781" s="285"/>
      <c r="C1781" s="285"/>
      <c r="D1781" s="286"/>
      <c r="E1781" s="286"/>
      <c r="F1781" s="286"/>
      <c r="G1781" s="286"/>
      <c r="H1781" s="287"/>
      <c r="I1781" s="286"/>
      <c r="J1781" s="286"/>
      <c r="K1781" s="285"/>
    </row>
    <row r="1782" spans="1:11" x14ac:dyDescent="0.2">
      <c r="A1782" s="285"/>
      <c r="B1782" s="285"/>
      <c r="C1782" s="285"/>
      <c r="D1782" s="286"/>
      <c r="E1782" s="286"/>
      <c r="F1782" s="286"/>
      <c r="G1782" s="286"/>
      <c r="H1782" s="286"/>
      <c r="I1782" s="286"/>
      <c r="J1782" s="286"/>
      <c r="K1782" s="285"/>
    </row>
    <row r="1783" spans="1:11" x14ac:dyDescent="0.2">
      <c r="A1783" s="285"/>
      <c r="B1783" s="285"/>
      <c r="C1783" s="285"/>
      <c r="D1783" s="286"/>
      <c r="E1783" s="286"/>
      <c r="F1783" s="286"/>
      <c r="G1783" s="286"/>
      <c r="H1783" s="286"/>
      <c r="I1783" s="286"/>
      <c r="J1783" s="286"/>
      <c r="K1783" s="285"/>
    </row>
    <row r="1784" spans="1:11" x14ac:dyDescent="0.2">
      <c r="A1784" s="285"/>
      <c r="B1784" s="285"/>
      <c r="C1784" s="285"/>
      <c r="D1784" s="286"/>
      <c r="E1784" s="286"/>
      <c r="F1784" s="286"/>
      <c r="G1784" s="286"/>
      <c r="H1784" s="286"/>
      <c r="I1784" s="286"/>
      <c r="J1784" s="286"/>
      <c r="K1784" s="285"/>
    </row>
    <row r="1785" spans="1:11" x14ac:dyDescent="0.2">
      <c r="A1785" s="285"/>
      <c r="B1785" s="285"/>
      <c r="C1785" s="285"/>
      <c r="D1785" s="286"/>
      <c r="E1785" s="286"/>
      <c r="F1785" s="286"/>
      <c r="G1785" s="286"/>
      <c r="H1785" s="286"/>
      <c r="I1785" s="286"/>
      <c r="J1785" s="286"/>
      <c r="K1785" s="285"/>
    </row>
    <row r="1786" spans="1:11" x14ac:dyDescent="0.2">
      <c r="A1786" s="285"/>
      <c r="B1786" s="285"/>
      <c r="C1786" s="285"/>
      <c r="D1786" s="286"/>
      <c r="E1786" s="286"/>
      <c r="F1786" s="286"/>
      <c r="G1786" s="286"/>
      <c r="H1786" s="286"/>
      <c r="I1786" s="286"/>
      <c r="J1786" s="286"/>
      <c r="K1786" s="285"/>
    </row>
    <row r="1787" spans="1:11" x14ac:dyDescent="0.2">
      <c r="A1787" s="285"/>
      <c r="B1787" s="285"/>
      <c r="C1787" s="285"/>
      <c r="D1787" s="286"/>
      <c r="E1787" s="286"/>
      <c r="F1787" s="286"/>
      <c r="G1787" s="286"/>
      <c r="H1787" s="286"/>
      <c r="I1787" s="286"/>
      <c r="J1787" s="286"/>
      <c r="K1787" s="285"/>
    </row>
    <row r="1788" spans="1:11" x14ac:dyDescent="0.2">
      <c r="A1788" s="285"/>
      <c r="B1788" s="285"/>
      <c r="C1788" s="285"/>
      <c r="D1788" s="286"/>
      <c r="E1788" s="286"/>
      <c r="F1788" s="286"/>
      <c r="G1788" s="286"/>
      <c r="H1788" s="286"/>
      <c r="I1788" s="286"/>
      <c r="J1788" s="286"/>
      <c r="K1788" s="285"/>
    </row>
    <row r="1789" spans="1:11" x14ac:dyDescent="0.2">
      <c r="A1789" s="285"/>
      <c r="B1789" s="285"/>
      <c r="C1789" s="285"/>
      <c r="D1789" s="286"/>
      <c r="E1789" s="286"/>
      <c r="F1789" s="286"/>
      <c r="G1789" s="286"/>
      <c r="H1789" s="286"/>
      <c r="I1789" s="286"/>
      <c r="J1789" s="286"/>
      <c r="K1789" s="285"/>
    </row>
    <row r="1790" spans="1:11" x14ac:dyDescent="0.2">
      <c r="A1790" s="285"/>
      <c r="B1790" s="285"/>
      <c r="C1790" s="285"/>
      <c r="D1790" s="286"/>
      <c r="E1790" s="286"/>
      <c r="F1790" s="286"/>
      <c r="G1790" s="286"/>
      <c r="H1790" s="286"/>
      <c r="I1790" s="286"/>
      <c r="J1790" s="286"/>
      <c r="K1790" s="285"/>
    </row>
    <row r="1791" spans="1:11" x14ac:dyDescent="0.2">
      <c r="A1791" s="285"/>
      <c r="B1791" s="285"/>
      <c r="C1791" s="285"/>
      <c r="D1791" s="286"/>
      <c r="E1791" s="286"/>
      <c r="F1791" s="286"/>
      <c r="G1791" s="286"/>
      <c r="H1791" s="286"/>
      <c r="I1791" s="286"/>
      <c r="J1791" s="286"/>
      <c r="K1791" s="285"/>
    </row>
    <row r="1792" spans="1:11" x14ac:dyDescent="0.2">
      <c r="A1792" s="285"/>
      <c r="B1792" s="285"/>
      <c r="C1792" s="285"/>
      <c r="D1792" s="286"/>
      <c r="E1792" s="286"/>
      <c r="F1792" s="286"/>
      <c r="G1792" s="286"/>
      <c r="H1792" s="286"/>
      <c r="I1792" s="286"/>
      <c r="J1792" s="286"/>
      <c r="K1792" s="285"/>
    </row>
    <row r="1795" spans="4:11" x14ac:dyDescent="0.2">
      <c r="D1795" s="286"/>
      <c r="E1795" s="286"/>
      <c r="F1795" s="286"/>
      <c r="G1795" s="286"/>
      <c r="H1795" s="287"/>
      <c r="I1795" s="286"/>
      <c r="J1795" s="286"/>
      <c r="K1795" s="285"/>
    </row>
    <row r="1796" spans="4:11" x14ac:dyDescent="0.2">
      <c r="D1796" s="286"/>
      <c r="E1796" s="286"/>
      <c r="F1796" s="286"/>
      <c r="G1796" s="286"/>
      <c r="H1796" s="287"/>
      <c r="I1796" s="286"/>
      <c r="J1796" s="286"/>
      <c r="K1796" s="285"/>
    </row>
    <row r="1797" spans="4:11" x14ac:dyDescent="0.2">
      <c r="D1797" s="286"/>
      <c r="E1797" s="286"/>
      <c r="F1797" s="286"/>
      <c r="G1797" s="286"/>
      <c r="H1797" s="287"/>
      <c r="I1797" s="286"/>
      <c r="J1797" s="286"/>
      <c r="K1797" s="285"/>
    </row>
    <row r="1798" spans="4:11" x14ac:dyDescent="0.2">
      <c r="D1798" s="286"/>
      <c r="E1798" s="286"/>
      <c r="F1798" s="286"/>
      <c r="G1798" s="286"/>
      <c r="H1798" s="287"/>
      <c r="I1798" s="286"/>
      <c r="J1798" s="286"/>
      <c r="K1798" s="285"/>
    </row>
    <row r="1799" spans="4:11" x14ac:dyDescent="0.2">
      <c r="D1799" s="286"/>
      <c r="E1799" s="286"/>
      <c r="F1799" s="286"/>
      <c r="G1799" s="286"/>
      <c r="H1799" s="287"/>
      <c r="I1799" s="286"/>
      <c r="J1799" s="286"/>
      <c r="K1799" s="285"/>
    </row>
    <row r="1800" spans="4:11" x14ac:dyDescent="0.2">
      <c r="D1800" s="286"/>
      <c r="E1800" s="286"/>
      <c r="F1800" s="286"/>
      <c r="G1800" s="286"/>
      <c r="H1800" s="286"/>
      <c r="I1800" s="286"/>
      <c r="J1800" s="286"/>
      <c r="K1800" s="285"/>
    </row>
    <row r="1801" spans="4:11" x14ac:dyDescent="0.2">
      <c r="D1801" s="286"/>
      <c r="E1801" s="286"/>
      <c r="F1801" s="286"/>
      <c r="G1801" s="286"/>
      <c r="H1801" s="286"/>
      <c r="I1801" s="286"/>
      <c r="J1801" s="286"/>
      <c r="K1801" s="285"/>
    </row>
    <row r="1802" spans="4:11" x14ac:dyDescent="0.2">
      <c r="D1802" s="286"/>
      <c r="E1802" s="286"/>
      <c r="F1802" s="286"/>
      <c r="G1802" s="286"/>
      <c r="H1802" s="286"/>
      <c r="I1802" s="286"/>
      <c r="J1802" s="286"/>
    </row>
    <row r="1803" spans="4:11" x14ac:dyDescent="0.2">
      <c r="D1803" s="286"/>
      <c r="E1803" s="286"/>
      <c r="F1803" s="286"/>
      <c r="G1803" s="286"/>
      <c r="H1803" s="286"/>
      <c r="I1803" s="286"/>
      <c r="J1803" s="286"/>
    </row>
    <row r="1804" spans="4:11" x14ac:dyDescent="0.2">
      <c r="D1804" s="286"/>
      <c r="E1804" s="286"/>
      <c r="F1804" s="286"/>
      <c r="G1804" s="286"/>
      <c r="H1804" s="286"/>
      <c r="I1804" s="286"/>
      <c r="J1804" s="286"/>
    </row>
    <row r="1805" spans="4:11" x14ac:dyDescent="0.2">
      <c r="D1805" s="286"/>
      <c r="E1805" s="286"/>
      <c r="F1805" s="286"/>
      <c r="G1805" s="286"/>
      <c r="H1805" s="286"/>
      <c r="I1805" s="286"/>
      <c r="J1805" s="286"/>
    </row>
    <row r="1806" spans="4:11" x14ac:dyDescent="0.2">
      <c r="D1806" s="286"/>
      <c r="E1806" s="286"/>
      <c r="F1806" s="286"/>
      <c r="G1806" s="286"/>
      <c r="H1806" s="286"/>
      <c r="I1806" s="286"/>
      <c r="J1806" s="286"/>
    </row>
    <row r="1807" spans="4:11" x14ac:dyDescent="0.2">
      <c r="D1807" s="286"/>
      <c r="E1807" s="286"/>
      <c r="F1807" s="286"/>
      <c r="G1807" s="286"/>
      <c r="H1807" s="287"/>
      <c r="I1807" s="286"/>
    </row>
    <row r="1808" spans="4:11" x14ac:dyDescent="0.2">
      <c r="D1808" s="286"/>
      <c r="E1808" s="286"/>
      <c r="F1808" s="286"/>
      <c r="G1808" s="286"/>
      <c r="H1808" s="287"/>
      <c r="I1808" s="286"/>
    </row>
    <row r="1809" spans="4:11" x14ac:dyDescent="0.2">
      <c r="D1809" s="286"/>
      <c r="E1809" s="286"/>
      <c r="F1809" s="286"/>
      <c r="G1809" s="286"/>
      <c r="H1809" s="286"/>
      <c r="I1809" s="286"/>
    </row>
    <row r="1810" spans="4:11" x14ac:dyDescent="0.2">
      <c r="D1810" s="286"/>
      <c r="E1810" s="286"/>
      <c r="F1810" s="286"/>
      <c r="G1810" s="286"/>
      <c r="H1810" s="287"/>
      <c r="I1810" s="286"/>
      <c r="J1810" s="286"/>
      <c r="K1810" s="285"/>
    </row>
    <row r="1811" spans="4:11" x14ac:dyDescent="0.2">
      <c r="D1811" s="286"/>
      <c r="E1811" s="286"/>
      <c r="F1811" s="286"/>
      <c r="G1811" s="286"/>
      <c r="H1811" s="287"/>
      <c r="I1811" s="286"/>
      <c r="J1811" s="286"/>
      <c r="K1811" s="285"/>
    </row>
    <row r="1812" spans="4:11" x14ac:dyDescent="0.2">
      <c r="D1812" s="286"/>
      <c r="E1812" s="286"/>
      <c r="F1812" s="286"/>
      <c r="G1812" s="286"/>
      <c r="H1812" s="286"/>
      <c r="I1812" s="286"/>
      <c r="J1812" s="286"/>
    </row>
    <row r="1813" spans="4:11" x14ac:dyDescent="0.2">
      <c r="D1813" s="286"/>
      <c r="E1813" s="286"/>
      <c r="F1813" s="286"/>
      <c r="G1813" s="286"/>
      <c r="H1813" s="286"/>
      <c r="I1813" s="286"/>
      <c r="J1813" s="286"/>
    </row>
    <row r="1814" spans="4:11" x14ac:dyDescent="0.2">
      <c r="D1814" s="286"/>
      <c r="E1814" s="286"/>
      <c r="F1814" s="286"/>
      <c r="G1814" s="286"/>
      <c r="H1814" s="286"/>
      <c r="I1814" s="286"/>
      <c r="J1814" s="286"/>
    </row>
    <row r="1815" spans="4:11" x14ac:dyDescent="0.2">
      <c r="D1815" s="286"/>
      <c r="E1815" s="286"/>
      <c r="F1815" s="286"/>
      <c r="G1815" s="286"/>
      <c r="H1815" s="286"/>
      <c r="I1815" s="286"/>
      <c r="J1815" s="286"/>
    </row>
    <row r="1816" spans="4:11" x14ac:dyDescent="0.2">
      <c r="D1816" s="286"/>
      <c r="E1816" s="286"/>
      <c r="F1816" s="286"/>
      <c r="G1816" s="286"/>
      <c r="H1816" s="287"/>
      <c r="I1816" s="286"/>
      <c r="J1816" s="286"/>
      <c r="K1816" s="285"/>
    </row>
    <row r="1817" spans="4:11" x14ac:dyDescent="0.2">
      <c r="D1817" s="286"/>
      <c r="E1817" s="286"/>
      <c r="F1817" s="286"/>
      <c r="G1817" s="286"/>
      <c r="H1817" s="287"/>
      <c r="I1817" s="286"/>
      <c r="J1817" s="286"/>
      <c r="K1817" s="285"/>
    </row>
    <row r="1818" spans="4:11" x14ac:dyDescent="0.2">
      <c r="D1818" s="286"/>
      <c r="E1818" s="286"/>
      <c r="F1818" s="286"/>
      <c r="G1818" s="286"/>
      <c r="H1818" s="287"/>
      <c r="I1818" s="286"/>
      <c r="J1818" s="286"/>
      <c r="K1818" s="285"/>
    </row>
    <row r="1819" spans="4:11" x14ac:dyDescent="0.2">
      <c r="D1819" s="286"/>
      <c r="E1819" s="286"/>
      <c r="F1819" s="286"/>
      <c r="G1819" s="286"/>
      <c r="H1819" s="287"/>
      <c r="I1819" s="286"/>
      <c r="J1819" s="286"/>
      <c r="K1819" s="285"/>
    </row>
    <row r="1820" spans="4:11" x14ac:dyDescent="0.2">
      <c r="D1820" s="286"/>
      <c r="E1820" s="286"/>
      <c r="F1820" s="286"/>
      <c r="G1820" s="286"/>
      <c r="H1820" s="329"/>
      <c r="I1820" s="286"/>
      <c r="J1820" s="286"/>
      <c r="K1820" s="285"/>
    </row>
    <row r="1821" spans="4:11" x14ac:dyDescent="0.2">
      <c r="D1821" s="286"/>
      <c r="E1821" s="286"/>
      <c r="F1821" s="286"/>
      <c r="G1821" s="286"/>
      <c r="H1821" s="329"/>
      <c r="I1821" s="286"/>
      <c r="J1821" s="286"/>
      <c r="K1821" s="285"/>
    </row>
    <row r="1822" spans="4:11" x14ac:dyDescent="0.2">
      <c r="D1822" s="286"/>
      <c r="E1822" s="286"/>
      <c r="F1822" s="286"/>
      <c r="G1822" s="286"/>
      <c r="H1822" s="318"/>
      <c r="I1822" s="286"/>
      <c r="J1822" s="286"/>
      <c r="K1822" s="285"/>
    </row>
    <row r="1823" spans="4:11" x14ac:dyDescent="0.2">
      <c r="D1823" s="286"/>
      <c r="E1823" s="286"/>
      <c r="F1823" s="286"/>
      <c r="G1823" s="286"/>
      <c r="H1823" s="318"/>
      <c r="I1823" s="286"/>
      <c r="J1823" s="286"/>
      <c r="K1823" s="285"/>
    </row>
    <row r="1824" spans="4:11" x14ac:dyDescent="0.2">
      <c r="D1824" s="286"/>
      <c r="E1824" s="286"/>
      <c r="F1824" s="286"/>
      <c r="G1824" s="286"/>
      <c r="H1824" s="287"/>
      <c r="I1824" s="286"/>
      <c r="J1824" s="286"/>
    </row>
    <row r="1826" spans="1:11" x14ac:dyDescent="0.2">
      <c r="A1826" s="285"/>
      <c r="B1826" s="285"/>
      <c r="C1826" s="285"/>
      <c r="D1826" s="286"/>
      <c r="E1826" s="286"/>
      <c r="F1826" s="286"/>
      <c r="G1826" s="286"/>
      <c r="H1826" s="287"/>
      <c r="I1826" s="286"/>
      <c r="J1826" s="286"/>
      <c r="K1826" s="285"/>
    </row>
    <row r="1827" spans="1:11" x14ac:dyDescent="0.2">
      <c r="A1827" s="285"/>
      <c r="B1827" s="285"/>
      <c r="C1827" s="285"/>
      <c r="D1827" s="286"/>
      <c r="E1827" s="286"/>
      <c r="F1827" s="286"/>
      <c r="G1827" s="286"/>
      <c r="H1827" s="286"/>
      <c r="I1827" s="286"/>
      <c r="J1827" s="286"/>
      <c r="K1827" s="285"/>
    </row>
    <row r="1828" spans="1:11" x14ac:dyDescent="0.2">
      <c r="A1828" s="285"/>
      <c r="B1828" s="285"/>
      <c r="C1828" s="285"/>
      <c r="D1828" s="286"/>
      <c r="E1828" s="286"/>
      <c r="F1828" s="286"/>
      <c r="G1828" s="286"/>
      <c r="H1828" s="286"/>
      <c r="I1828" s="286"/>
      <c r="J1828" s="286"/>
      <c r="K1828" s="285"/>
    </row>
    <row r="1829" spans="1:11" x14ac:dyDescent="0.2">
      <c r="A1829" s="285"/>
      <c r="B1829" s="285"/>
      <c r="C1829" s="285"/>
      <c r="D1829" s="286"/>
      <c r="E1829" s="286"/>
      <c r="F1829" s="286"/>
      <c r="G1829" s="286"/>
      <c r="H1829" s="286"/>
      <c r="I1829" s="286"/>
      <c r="J1829" s="286"/>
      <c r="K1829" s="285"/>
    </row>
    <row r="1830" spans="1:11" x14ac:dyDescent="0.2">
      <c r="A1830" s="285"/>
      <c r="B1830" s="285"/>
      <c r="C1830" s="285"/>
      <c r="D1830" s="286"/>
      <c r="E1830" s="286"/>
      <c r="F1830" s="286"/>
      <c r="G1830" s="286"/>
      <c r="H1830" s="286"/>
      <c r="I1830" s="286"/>
      <c r="J1830" s="286"/>
      <c r="K1830" s="285"/>
    </row>
    <row r="1831" spans="1:11" x14ac:dyDescent="0.2">
      <c r="A1831" s="285"/>
      <c r="B1831" s="285"/>
      <c r="C1831" s="285"/>
      <c r="D1831" s="286"/>
      <c r="E1831" s="286"/>
      <c r="F1831" s="286"/>
      <c r="G1831" s="286"/>
      <c r="H1831" s="286"/>
      <c r="I1831" s="286"/>
      <c r="J1831" s="286"/>
      <c r="K1831" s="285"/>
    </row>
    <row r="1832" spans="1:11" x14ac:dyDescent="0.2">
      <c r="A1832" s="285"/>
      <c r="B1832" s="285"/>
      <c r="C1832" s="285"/>
      <c r="D1832" s="286"/>
      <c r="E1832" s="286"/>
      <c r="F1832" s="286"/>
      <c r="G1832" s="286"/>
      <c r="H1832" s="286"/>
      <c r="I1832" s="286"/>
      <c r="J1832" s="286"/>
      <c r="K1832" s="285"/>
    </row>
    <row r="1833" spans="1:11" x14ac:dyDescent="0.2">
      <c r="A1833" s="285"/>
      <c r="B1833" s="285"/>
      <c r="C1833" s="285"/>
      <c r="D1833" s="286"/>
      <c r="E1833" s="286"/>
      <c r="F1833" s="286"/>
      <c r="G1833" s="286"/>
      <c r="H1833" s="286"/>
      <c r="I1833" s="286"/>
      <c r="J1833" s="286"/>
      <c r="K1833" s="285"/>
    </row>
    <row r="1834" spans="1:11" x14ac:dyDescent="0.2">
      <c r="A1834" s="285"/>
      <c r="B1834" s="285"/>
      <c r="C1834" s="285"/>
      <c r="D1834" s="286"/>
      <c r="E1834" s="286"/>
      <c r="F1834" s="286"/>
      <c r="G1834" s="286"/>
      <c r="H1834" s="286"/>
      <c r="I1834" s="286"/>
      <c r="J1834" s="286"/>
      <c r="K1834" s="285"/>
    </row>
    <row r="1835" spans="1:11" x14ac:dyDescent="0.2">
      <c r="A1835" s="285"/>
      <c r="B1835" s="285"/>
      <c r="C1835" s="285"/>
      <c r="D1835" s="286"/>
      <c r="E1835" s="286"/>
      <c r="F1835" s="286"/>
      <c r="G1835" s="286"/>
      <c r="H1835" s="286"/>
      <c r="I1835" s="286"/>
      <c r="J1835" s="286"/>
      <c r="K1835" s="285"/>
    </row>
    <row r="1836" spans="1:11" x14ac:dyDescent="0.2">
      <c r="A1836" s="285"/>
      <c r="B1836" s="285"/>
      <c r="C1836" s="285"/>
      <c r="D1836" s="286"/>
      <c r="E1836" s="286"/>
      <c r="F1836" s="286"/>
      <c r="G1836" s="286"/>
      <c r="H1836" s="286"/>
      <c r="I1836" s="286"/>
      <c r="J1836" s="286"/>
      <c r="K1836" s="285"/>
    </row>
    <row r="1837" spans="1:11" x14ac:dyDescent="0.2">
      <c r="A1837" s="285"/>
      <c r="B1837" s="285"/>
      <c r="C1837" s="285"/>
      <c r="D1837" s="286"/>
      <c r="E1837" s="286"/>
      <c r="F1837" s="286"/>
      <c r="G1837" s="286"/>
      <c r="H1837" s="286"/>
      <c r="I1837" s="286"/>
      <c r="J1837" s="286"/>
      <c r="K1837" s="285"/>
    </row>
    <row r="1838" spans="1:11" x14ac:dyDescent="0.2">
      <c r="A1838" s="285"/>
      <c r="B1838" s="285"/>
      <c r="C1838" s="285"/>
      <c r="D1838" s="286"/>
      <c r="E1838" s="286"/>
      <c r="F1838" s="286"/>
      <c r="G1838" s="286"/>
      <c r="H1838" s="286"/>
      <c r="I1838" s="286"/>
      <c r="J1838" s="286"/>
      <c r="K1838" s="285"/>
    </row>
    <row r="1839" spans="1:11" x14ac:dyDescent="0.2">
      <c r="A1839" s="285"/>
      <c r="B1839" s="285"/>
      <c r="C1839" s="285"/>
      <c r="D1839" s="286"/>
      <c r="E1839" s="286"/>
      <c r="F1839" s="286"/>
      <c r="G1839" s="286"/>
      <c r="H1839" s="286"/>
      <c r="I1839" s="286"/>
      <c r="J1839" s="286"/>
      <c r="K1839" s="285"/>
    </row>
    <row r="1840" spans="1:11" x14ac:dyDescent="0.2">
      <c r="A1840" s="285"/>
      <c r="B1840" s="285"/>
      <c r="C1840" s="285"/>
      <c r="D1840" s="286"/>
      <c r="E1840" s="286"/>
      <c r="F1840" s="286"/>
      <c r="G1840" s="286"/>
      <c r="H1840" s="286"/>
      <c r="I1840" s="286"/>
      <c r="J1840" s="286"/>
      <c r="K1840" s="285"/>
    </row>
    <row r="1841" spans="1:11" x14ac:dyDescent="0.2">
      <c r="A1841" s="285"/>
      <c r="B1841" s="285"/>
      <c r="C1841" s="285"/>
      <c r="D1841" s="286"/>
      <c r="E1841" s="286"/>
      <c r="F1841" s="286"/>
      <c r="G1841" s="286"/>
      <c r="H1841" s="286"/>
      <c r="I1841" s="286"/>
      <c r="J1841" s="286"/>
      <c r="K1841" s="285"/>
    </row>
    <row r="1842" spans="1:11" x14ac:dyDescent="0.2">
      <c r="A1842" s="285"/>
      <c r="B1842" s="285"/>
      <c r="C1842" s="285"/>
      <c r="D1842" s="286"/>
      <c r="E1842" s="286"/>
      <c r="F1842" s="286"/>
      <c r="G1842" s="286"/>
      <c r="H1842" s="286"/>
      <c r="I1842" s="286"/>
      <c r="J1842" s="286"/>
      <c r="K1842" s="285"/>
    </row>
    <row r="1843" spans="1:11" x14ac:dyDescent="0.2">
      <c r="A1843" s="285"/>
      <c r="B1843" s="285"/>
      <c r="C1843" s="285"/>
      <c r="D1843" s="286"/>
      <c r="E1843" s="286"/>
      <c r="F1843" s="286"/>
      <c r="G1843" s="286"/>
      <c r="H1843" s="286"/>
      <c r="I1843" s="286"/>
      <c r="J1843" s="286"/>
      <c r="K1843" s="285"/>
    </row>
    <row r="1844" spans="1:11" x14ac:dyDescent="0.2">
      <c r="A1844" s="285"/>
      <c r="B1844" s="285"/>
      <c r="C1844" s="285"/>
      <c r="D1844" s="286"/>
      <c r="E1844" s="286"/>
      <c r="F1844" s="286"/>
      <c r="G1844" s="286"/>
      <c r="H1844" s="286"/>
      <c r="I1844" s="286"/>
      <c r="J1844" s="286"/>
      <c r="K1844" s="285"/>
    </row>
    <row r="1845" spans="1:11" x14ac:dyDescent="0.2">
      <c r="A1845" s="285"/>
      <c r="B1845" s="285"/>
      <c r="C1845" s="285"/>
      <c r="D1845" s="286"/>
      <c r="E1845" s="286"/>
      <c r="F1845" s="286"/>
      <c r="G1845" s="286"/>
      <c r="H1845" s="286"/>
      <c r="I1845" s="286"/>
      <c r="J1845" s="286"/>
      <c r="K1845" s="285"/>
    </row>
    <row r="1846" spans="1:11" x14ac:dyDescent="0.2">
      <c r="A1846" s="285"/>
      <c r="B1846" s="285"/>
      <c r="C1846" s="285"/>
      <c r="D1846" s="286"/>
      <c r="E1846" s="286"/>
      <c r="F1846" s="286"/>
      <c r="G1846" s="286"/>
      <c r="H1846" s="286"/>
      <c r="I1846" s="286"/>
      <c r="J1846" s="286"/>
      <c r="K1846" s="285"/>
    </row>
    <row r="1847" spans="1:11" x14ac:dyDescent="0.2">
      <c r="A1847" s="285"/>
      <c r="B1847" s="285"/>
      <c r="C1847" s="285"/>
      <c r="D1847" s="286"/>
      <c r="E1847" s="286"/>
      <c r="F1847" s="286"/>
      <c r="G1847" s="286"/>
      <c r="H1847" s="286"/>
      <c r="I1847" s="286"/>
      <c r="J1847" s="286"/>
      <c r="K1847" s="285"/>
    </row>
    <row r="1848" spans="1:11" x14ac:dyDescent="0.2">
      <c r="A1848" s="285"/>
      <c r="B1848" s="285"/>
      <c r="C1848" s="285"/>
      <c r="D1848" s="286"/>
      <c r="E1848" s="286"/>
      <c r="F1848" s="286"/>
      <c r="G1848" s="286"/>
      <c r="H1848" s="286"/>
      <c r="I1848" s="286"/>
      <c r="J1848" s="286"/>
      <c r="K1848" s="285"/>
    </row>
    <row r="1849" spans="1:11" x14ac:dyDescent="0.2">
      <c r="A1849" s="285"/>
      <c r="B1849" s="285"/>
      <c r="C1849" s="285"/>
      <c r="D1849" s="286"/>
      <c r="E1849" s="286"/>
      <c r="F1849" s="286"/>
      <c r="G1849" s="286"/>
      <c r="H1849" s="286"/>
      <c r="I1849" s="286"/>
      <c r="J1849" s="286"/>
      <c r="K1849" s="285"/>
    </row>
    <row r="1850" spans="1:11" x14ac:dyDescent="0.2">
      <c r="A1850" s="285"/>
      <c r="B1850" s="285"/>
      <c r="C1850" s="285"/>
      <c r="D1850" s="286"/>
      <c r="E1850" s="286"/>
      <c r="F1850" s="286"/>
      <c r="G1850" s="286"/>
      <c r="H1850" s="286"/>
      <c r="I1850" s="286"/>
      <c r="J1850" s="286"/>
      <c r="K1850" s="285"/>
    </row>
    <row r="1851" spans="1:11" x14ac:dyDescent="0.2">
      <c r="A1851" s="285"/>
      <c r="B1851" s="285"/>
      <c r="C1851" s="285"/>
      <c r="D1851" s="286"/>
      <c r="E1851" s="286"/>
      <c r="F1851" s="286"/>
      <c r="G1851" s="286"/>
      <c r="H1851" s="286"/>
      <c r="I1851" s="286"/>
      <c r="J1851" s="286"/>
      <c r="K1851" s="285"/>
    </row>
    <row r="1852" spans="1:11" x14ac:dyDescent="0.2">
      <c r="A1852" s="285"/>
      <c r="B1852" s="285"/>
      <c r="C1852" s="285"/>
      <c r="D1852" s="286"/>
      <c r="E1852" s="286"/>
      <c r="F1852" s="286"/>
      <c r="G1852" s="286"/>
      <c r="H1852" s="286"/>
      <c r="I1852" s="286"/>
      <c r="J1852" s="286"/>
      <c r="K1852" s="285"/>
    </row>
    <row r="1853" spans="1:11" x14ac:dyDescent="0.2">
      <c r="A1853" s="285"/>
      <c r="B1853" s="285"/>
      <c r="C1853" s="285"/>
      <c r="D1853" s="286"/>
      <c r="E1853" s="286"/>
      <c r="F1853" s="286"/>
      <c r="G1853" s="286"/>
      <c r="H1853" s="286"/>
      <c r="I1853" s="286"/>
      <c r="J1853" s="286"/>
      <c r="K1853" s="285"/>
    </row>
    <row r="1854" spans="1:11" x14ac:dyDescent="0.2">
      <c r="A1854" s="285"/>
      <c r="B1854" s="285"/>
      <c r="C1854" s="285"/>
      <c r="D1854" s="286"/>
      <c r="E1854" s="286"/>
      <c r="F1854" s="286"/>
      <c r="G1854" s="286"/>
      <c r="H1854" s="286"/>
      <c r="I1854" s="286"/>
      <c r="J1854" s="286"/>
      <c r="K1854" s="285"/>
    </row>
    <row r="1855" spans="1:11" x14ac:dyDescent="0.2">
      <c r="A1855" s="285"/>
      <c r="B1855" s="285"/>
      <c r="C1855" s="285"/>
      <c r="D1855" s="286"/>
      <c r="E1855" s="286"/>
      <c r="F1855" s="286"/>
      <c r="G1855" s="286"/>
      <c r="H1855" s="286"/>
      <c r="I1855" s="286"/>
      <c r="J1855" s="286"/>
      <c r="K1855" s="285"/>
    </row>
    <row r="1856" spans="1:11" x14ac:dyDescent="0.2">
      <c r="A1856" s="285"/>
      <c r="B1856" s="285"/>
      <c r="C1856" s="285"/>
      <c r="D1856" s="286"/>
      <c r="E1856" s="286"/>
      <c r="F1856" s="286"/>
      <c r="G1856" s="286"/>
      <c r="H1856" s="286"/>
      <c r="I1856" s="286"/>
      <c r="J1856" s="286"/>
      <c r="K1856" s="285"/>
    </row>
    <row r="1857" spans="1:11" x14ac:dyDescent="0.2">
      <c r="A1857" s="285"/>
      <c r="B1857" s="285"/>
      <c r="C1857" s="285"/>
      <c r="D1857" s="286"/>
      <c r="E1857" s="286"/>
      <c r="F1857" s="286"/>
      <c r="G1857" s="286"/>
      <c r="H1857" s="286"/>
      <c r="I1857" s="286"/>
      <c r="J1857" s="286"/>
      <c r="K1857" s="285"/>
    </row>
    <row r="1858" spans="1:11" x14ac:dyDescent="0.2">
      <c r="A1858" s="285"/>
      <c r="B1858" s="285"/>
      <c r="C1858" s="285"/>
      <c r="D1858" s="286"/>
      <c r="E1858" s="286"/>
      <c r="F1858" s="286"/>
      <c r="G1858" s="286"/>
      <c r="H1858" s="286"/>
      <c r="I1858" s="286"/>
      <c r="J1858" s="286"/>
      <c r="K1858" s="285"/>
    </row>
    <row r="1859" spans="1:11" x14ac:dyDescent="0.2">
      <c r="A1859" s="285"/>
      <c r="B1859" s="285"/>
      <c r="C1859" s="285"/>
      <c r="D1859" s="286"/>
      <c r="E1859" s="286"/>
      <c r="F1859" s="286"/>
      <c r="G1859" s="286"/>
      <c r="H1859" s="286"/>
      <c r="I1859" s="286"/>
      <c r="J1859" s="286"/>
      <c r="K1859" s="285"/>
    </row>
    <row r="1860" spans="1:11" x14ac:dyDescent="0.2">
      <c r="A1860" s="285"/>
      <c r="B1860" s="285"/>
      <c r="C1860" s="285"/>
      <c r="D1860" s="286"/>
      <c r="E1860" s="286"/>
      <c r="F1860" s="286"/>
      <c r="G1860" s="286"/>
      <c r="H1860" s="286"/>
      <c r="I1860" s="286"/>
      <c r="J1860" s="286"/>
      <c r="K1860" s="285"/>
    </row>
    <row r="1861" spans="1:11" x14ac:dyDescent="0.2">
      <c r="A1861" s="285"/>
      <c r="B1861" s="285"/>
      <c r="C1861" s="285"/>
      <c r="D1861" s="286"/>
      <c r="E1861" s="286"/>
      <c r="F1861" s="286"/>
      <c r="G1861" s="286"/>
      <c r="H1861" s="286"/>
      <c r="I1861" s="286"/>
      <c r="J1861" s="286"/>
      <c r="K1861" s="285"/>
    </row>
    <row r="1862" spans="1:11" x14ac:dyDescent="0.2">
      <c r="A1862" s="285"/>
      <c r="B1862" s="285"/>
      <c r="C1862" s="285"/>
      <c r="D1862" s="286"/>
      <c r="E1862" s="286"/>
      <c r="F1862" s="286"/>
      <c r="G1862" s="286"/>
      <c r="H1862" s="286"/>
      <c r="I1862" s="286"/>
      <c r="J1862" s="286"/>
      <c r="K1862" s="285"/>
    </row>
    <row r="1863" spans="1:11" x14ac:dyDescent="0.2">
      <c r="A1863" s="285"/>
      <c r="B1863" s="285"/>
      <c r="C1863" s="285"/>
      <c r="D1863" s="286"/>
      <c r="E1863" s="286"/>
      <c r="F1863" s="286"/>
      <c r="G1863" s="286"/>
      <c r="H1863" s="286"/>
      <c r="I1863" s="286"/>
      <c r="J1863" s="286"/>
      <c r="K1863" s="285"/>
    </row>
    <row r="1864" spans="1:11" x14ac:dyDescent="0.2">
      <c r="A1864" s="285"/>
      <c r="B1864" s="285"/>
      <c r="C1864" s="285"/>
      <c r="D1864" s="286"/>
      <c r="E1864" s="286"/>
      <c r="F1864" s="286"/>
      <c r="G1864" s="286"/>
      <c r="H1864" s="286"/>
      <c r="I1864" s="286"/>
      <c r="J1864" s="286"/>
      <c r="K1864" s="285"/>
    </row>
    <row r="1865" spans="1:11" x14ac:dyDescent="0.2">
      <c r="A1865" s="285"/>
      <c r="B1865" s="285"/>
      <c r="C1865" s="285"/>
      <c r="D1865" s="286"/>
      <c r="E1865" s="286"/>
      <c r="F1865" s="286"/>
      <c r="G1865" s="286"/>
      <c r="H1865" s="286"/>
      <c r="I1865" s="286"/>
      <c r="J1865" s="286"/>
      <c r="K1865" s="285"/>
    </row>
    <row r="1866" spans="1:11" x14ac:dyDescent="0.2">
      <c r="A1866" s="285"/>
      <c r="B1866" s="285"/>
      <c r="C1866" s="285"/>
      <c r="D1866" s="286"/>
      <c r="E1866" s="286"/>
      <c r="F1866" s="286"/>
      <c r="G1866" s="286"/>
      <c r="H1866" s="286"/>
      <c r="I1866" s="286"/>
      <c r="J1866" s="286"/>
      <c r="K1866" s="285"/>
    </row>
    <row r="1867" spans="1:11" x14ac:dyDescent="0.2">
      <c r="A1867" s="285"/>
      <c r="B1867" s="285"/>
      <c r="C1867" s="285"/>
      <c r="D1867" s="286"/>
      <c r="E1867" s="286"/>
      <c r="F1867" s="286"/>
      <c r="G1867" s="286"/>
      <c r="H1867" s="286"/>
      <c r="I1867" s="286"/>
      <c r="J1867" s="286"/>
      <c r="K1867" s="285"/>
    </row>
    <row r="1868" spans="1:11" x14ac:dyDescent="0.2">
      <c r="A1868" s="285"/>
      <c r="B1868" s="285"/>
      <c r="C1868" s="285"/>
      <c r="D1868" s="286"/>
      <c r="E1868" s="286"/>
      <c r="F1868" s="286"/>
      <c r="G1868" s="286"/>
      <c r="H1868" s="286"/>
      <c r="I1868" s="286"/>
      <c r="J1868" s="286"/>
      <c r="K1868" s="285"/>
    </row>
    <row r="1869" spans="1:11" x14ac:dyDescent="0.2">
      <c r="A1869" s="285"/>
      <c r="B1869" s="285"/>
      <c r="C1869" s="285"/>
      <c r="D1869" s="286"/>
      <c r="E1869" s="286"/>
      <c r="F1869" s="286"/>
      <c r="G1869" s="286"/>
      <c r="H1869" s="286"/>
      <c r="I1869" s="286"/>
      <c r="J1869" s="286"/>
      <c r="K1869" s="285"/>
    </row>
    <row r="1870" spans="1:11" x14ac:dyDescent="0.2">
      <c r="A1870" s="285"/>
      <c r="B1870" s="285"/>
      <c r="C1870" s="285"/>
      <c r="D1870" s="286"/>
      <c r="E1870" s="286"/>
      <c r="F1870" s="286"/>
      <c r="G1870" s="286"/>
      <c r="H1870" s="286"/>
      <c r="I1870" s="286"/>
      <c r="J1870" s="286"/>
      <c r="K1870" s="285"/>
    </row>
    <row r="1871" spans="1:11" x14ac:dyDescent="0.2">
      <c r="A1871" s="285"/>
      <c r="B1871" s="285"/>
      <c r="C1871" s="285"/>
      <c r="D1871" s="286"/>
      <c r="E1871" s="286"/>
      <c r="F1871" s="286"/>
      <c r="G1871" s="286"/>
      <c r="H1871" s="286"/>
      <c r="I1871" s="286"/>
      <c r="J1871" s="286"/>
      <c r="K1871" s="285"/>
    </row>
    <row r="1872" spans="1:11" x14ac:dyDescent="0.2">
      <c r="A1872" s="285"/>
      <c r="B1872" s="285"/>
      <c r="C1872" s="285"/>
      <c r="D1872" s="286"/>
      <c r="E1872" s="286"/>
      <c r="F1872" s="286"/>
      <c r="G1872" s="286"/>
      <c r="H1872" s="286"/>
      <c r="I1872" s="286"/>
      <c r="J1872" s="286"/>
      <c r="K1872" s="285"/>
    </row>
    <row r="1873" spans="1:11" x14ac:dyDescent="0.2">
      <c r="A1873" s="285"/>
      <c r="B1873" s="285"/>
      <c r="C1873" s="285"/>
      <c r="D1873" s="286"/>
      <c r="E1873" s="286"/>
      <c r="F1873" s="286"/>
      <c r="G1873" s="286"/>
      <c r="H1873" s="286"/>
      <c r="I1873" s="286"/>
      <c r="J1873" s="286"/>
      <c r="K1873" s="285"/>
    </row>
    <row r="1874" spans="1:11" x14ac:dyDescent="0.2">
      <c r="A1874" s="285"/>
      <c r="B1874" s="285"/>
      <c r="C1874" s="285"/>
      <c r="D1874" s="286"/>
      <c r="E1874" s="286"/>
      <c r="F1874" s="286"/>
      <c r="G1874" s="286"/>
      <c r="H1874" s="286"/>
      <c r="I1874" s="286"/>
      <c r="J1874" s="286"/>
      <c r="K1874" s="285"/>
    </row>
    <row r="1875" spans="1:11" x14ac:dyDescent="0.2">
      <c r="A1875" s="285"/>
      <c r="B1875" s="285"/>
      <c r="C1875" s="285"/>
      <c r="D1875" s="286"/>
      <c r="E1875" s="286"/>
      <c r="F1875" s="286"/>
      <c r="G1875" s="286"/>
      <c r="H1875" s="286"/>
      <c r="I1875" s="286"/>
      <c r="J1875" s="286"/>
      <c r="K1875" s="285"/>
    </row>
    <row r="1876" spans="1:11" x14ac:dyDescent="0.2">
      <c r="A1876" s="285"/>
      <c r="B1876" s="285"/>
      <c r="C1876" s="285"/>
      <c r="D1876" s="286"/>
      <c r="E1876" s="286"/>
      <c r="F1876" s="286"/>
      <c r="G1876" s="286"/>
      <c r="H1876" s="286"/>
      <c r="I1876" s="286"/>
      <c r="J1876" s="286"/>
      <c r="K1876" s="285"/>
    </row>
    <row r="1877" spans="1:11" x14ac:dyDescent="0.2">
      <c r="A1877" s="285"/>
      <c r="B1877" s="285"/>
      <c r="C1877" s="285"/>
      <c r="D1877" s="286"/>
      <c r="E1877" s="286"/>
      <c r="F1877" s="286"/>
      <c r="G1877" s="286"/>
      <c r="H1877" s="286"/>
      <c r="I1877" s="286"/>
      <c r="J1877" s="286"/>
      <c r="K1877" s="285"/>
    </row>
    <row r="1878" spans="1:11" x14ac:dyDescent="0.2">
      <c r="A1878" s="285"/>
      <c r="B1878" s="285"/>
      <c r="C1878" s="285"/>
      <c r="D1878" s="286"/>
      <c r="E1878" s="286"/>
      <c r="F1878" s="286"/>
      <c r="G1878" s="286"/>
      <c r="H1878" s="286"/>
      <c r="I1878" s="286"/>
      <c r="J1878" s="286"/>
      <c r="K1878" s="285"/>
    </row>
    <row r="1879" spans="1:11" x14ac:dyDescent="0.2">
      <c r="A1879" s="285"/>
      <c r="B1879" s="285"/>
      <c r="C1879" s="285"/>
      <c r="D1879" s="286"/>
      <c r="E1879" s="286"/>
      <c r="F1879" s="286"/>
      <c r="G1879" s="286"/>
      <c r="H1879" s="286"/>
      <c r="I1879" s="286"/>
      <c r="J1879" s="286"/>
      <c r="K1879" s="285"/>
    </row>
    <row r="1880" spans="1:11" x14ac:dyDescent="0.2">
      <c r="A1880" s="285"/>
      <c r="B1880" s="285"/>
      <c r="C1880" s="285"/>
      <c r="D1880" s="286"/>
      <c r="E1880" s="286"/>
      <c r="F1880" s="286"/>
      <c r="G1880" s="286"/>
      <c r="H1880" s="286"/>
      <c r="I1880" s="286"/>
      <c r="J1880" s="286"/>
      <c r="K1880" s="285"/>
    </row>
    <row r="1881" spans="1:11" x14ac:dyDescent="0.2">
      <c r="A1881" s="285"/>
      <c r="B1881" s="285"/>
      <c r="C1881" s="285"/>
      <c r="D1881" s="286"/>
      <c r="E1881" s="286"/>
      <c r="F1881" s="286"/>
      <c r="G1881" s="286"/>
      <c r="H1881" s="286"/>
      <c r="I1881" s="286"/>
      <c r="J1881" s="286"/>
      <c r="K1881" s="285"/>
    </row>
    <row r="1882" spans="1:11" x14ac:dyDescent="0.2">
      <c r="A1882" s="285"/>
      <c r="B1882" s="285"/>
      <c r="C1882" s="285"/>
      <c r="D1882" s="286"/>
      <c r="E1882" s="286"/>
      <c r="F1882" s="286"/>
      <c r="G1882" s="286"/>
      <c r="H1882" s="286"/>
      <c r="I1882" s="286"/>
      <c r="J1882" s="286"/>
      <c r="K1882" s="285"/>
    </row>
    <row r="1883" spans="1:11" x14ac:dyDescent="0.2">
      <c r="A1883" s="285"/>
      <c r="B1883" s="285"/>
      <c r="C1883" s="285"/>
      <c r="D1883" s="286"/>
      <c r="E1883" s="286"/>
      <c r="F1883" s="286"/>
      <c r="G1883" s="286"/>
      <c r="H1883" s="286"/>
      <c r="I1883" s="286"/>
      <c r="J1883" s="286"/>
      <c r="K1883" s="285"/>
    </row>
    <row r="1884" spans="1:11" x14ac:dyDescent="0.2">
      <c r="A1884" s="285"/>
      <c r="B1884" s="285"/>
      <c r="C1884" s="285"/>
      <c r="D1884" s="286"/>
      <c r="E1884" s="286"/>
      <c r="F1884" s="286"/>
      <c r="G1884" s="286"/>
      <c r="H1884" s="286"/>
      <c r="I1884" s="286"/>
      <c r="J1884" s="286"/>
      <c r="K1884" s="285"/>
    </row>
    <row r="1885" spans="1:11" x14ac:dyDescent="0.2">
      <c r="A1885" s="285"/>
      <c r="B1885" s="285"/>
      <c r="C1885" s="285"/>
      <c r="D1885" s="286"/>
      <c r="E1885" s="286"/>
      <c r="F1885" s="286"/>
      <c r="G1885" s="286"/>
      <c r="H1885" s="286"/>
      <c r="I1885" s="286"/>
      <c r="J1885" s="286"/>
      <c r="K1885" s="285"/>
    </row>
    <row r="1886" spans="1:11" x14ac:dyDescent="0.2">
      <c r="A1886" s="285"/>
      <c r="B1886" s="285"/>
      <c r="C1886" s="285"/>
      <c r="D1886" s="286"/>
      <c r="E1886" s="286"/>
      <c r="F1886" s="286"/>
      <c r="G1886" s="286"/>
      <c r="H1886" s="286"/>
      <c r="I1886" s="286"/>
      <c r="J1886" s="286"/>
      <c r="K1886" s="285"/>
    </row>
    <row r="1887" spans="1:11" x14ac:dyDescent="0.2">
      <c r="A1887" s="285"/>
      <c r="B1887" s="285"/>
      <c r="C1887" s="285"/>
      <c r="D1887" s="286"/>
      <c r="E1887" s="286"/>
      <c r="F1887" s="286"/>
      <c r="G1887" s="286"/>
      <c r="H1887" s="286"/>
      <c r="I1887" s="286"/>
      <c r="J1887" s="286"/>
      <c r="K1887" s="285"/>
    </row>
    <row r="1888" spans="1:11" x14ac:dyDescent="0.2">
      <c r="A1888" s="285"/>
      <c r="B1888" s="285"/>
      <c r="C1888" s="285"/>
      <c r="D1888" s="286"/>
      <c r="E1888" s="286"/>
      <c r="F1888" s="286"/>
      <c r="G1888" s="286"/>
      <c r="H1888" s="286"/>
      <c r="I1888" s="286"/>
      <c r="J1888" s="286"/>
      <c r="K1888" s="285"/>
    </row>
    <row r="1889" spans="1:11" x14ac:dyDescent="0.2">
      <c r="A1889" s="285"/>
      <c r="B1889" s="285"/>
      <c r="C1889" s="285"/>
      <c r="D1889" s="286"/>
      <c r="E1889" s="286"/>
      <c r="F1889" s="286"/>
      <c r="G1889" s="286"/>
      <c r="H1889" s="286"/>
      <c r="I1889" s="286"/>
      <c r="J1889" s="286"/>
      <c r="K1889" s="285"/>
    </row>
    <row r="1890" spans="1:11" x14ac:dyDescent="0.2">
      <c r="A1890" s="285"/>
      <c r="B1890" s="285"/>
      <c r="C1890" s="285"/>
      <c r="D1890" s="286"/>
      <c r="E1890" s="286"/>
      <c r="F1890" s="286"/>
      <c r="G1890" s="286"/>
      <c r="H1890" s="286"/>
      <c r="I1890" s="286"/>
      <c r="J1890" s="286"/>
      <c r="K1890" s="285"/>
    </row>
    <row r="1891" spans="1:11" x14ac:dyDescent="0.2">
      <c r="A1891" s="285"/>
      <c r="B1891" s="285"/>
      <c r="C1891" s="285"/>
      <c r="D1891" s="286"/>
      <c r="E1891" s="286"/>
      <c r="F1891" s="286"/>
      <c r="G1891" s="286"/>
      <c r="H1891" s="286"/>
      <c r="I1891" s="286"/>
      <c r="J1891" s="286"/>
      <c r="K1891" s="285"/>
    </row>
    <row r="1892" spans="1:11" x14ac:dyDescent="0.2">
      <c r="A1892" s="285"/>
      <c r="B1892" s="285"/>
      <c r="C1892" s="285"/>
      <c r="D1892" s="286"/>
      <c r="E1892" s="286"/>
      <c r="F1892" s="286"/>
      <c r="G1892" s="286"/>
      <c r="H1892" s="286"/>
      <c r="I1892" s="286"/>
      <c r="J1892" s="286"/>
      <c r="K1892" s="285"/>
    </row>
    <row r="1893" spans="1:11" x14ac:dyDescent="0.2">
      <c r="A1893" s="285"/>
      <c r="B1893" s="285"/>
      <c r="C1893" s="285"/>
      <c r="D1893" s="286"/>
      <c r="E1893" s="286"/>
      <c r="F1893" s="286"/>
      <c r="G1893" s="286"/>
      <c r="H1893" s="286"/>
      <c r="I1893" s="286"/>
      <c r="J1893" s="286"/>
      <c r="K1893" s="285"/>
    </row>
    <row r="1895" spans="1:11" x14ac:dyDescent="0.2">
      <c r="A1895" s="285"/>
      <c r="B1895" s="285"/>
      <c r="C1895" s="285"/>
      <c r="D1895" s="286"/>
      <c r="E1895" s="286"/>
      <c r="F1895" s="286"/>
      <c r="G1895" s="286"/>
      <c r="H1895" s="286"/>
      <c r="I1895" s="286"/>
      <c r="J1895" s="286"/>
      <c r="K1895" s="285"/>
    </row>
    <row r="1896" spans="1:11" x14ac:dyDescent="0.2">
      <c r="A1896" s="285"/>
      <c r="B1896" s="285"/>
      <c r="C1896" s="285"/>
      <c r="D1896" s="286"/>
      <c r="E1896" s="286"/>
      <c r="F1896" s="286"/>
      <c r="G1896" s="286"/>
      <c r="H1896" s="286"/>
      <c r="I1896" s="286"/>
      <c r="J1896" s="286"/>
      <c r="K1896" s="285"/>
    </row>
    <row r="1897" spans="1:11" x14ac:dyDescent="0.2">
      <c r="A1897" s="285"/>
      <c r="B1897" s="285"/>
      <c r="C1897" s="285"/>
      <c r="D1897" s="286"/>
      <c r="E1897" s="286"/>
      <c r="F1897" s="286"/>
      <c r="G1897" s="286"/>
      <c r="H1897" s="286"/>
      <c r="I1897" s="286"/>
      <c r="J1897" s="286"/>
      <c r="K1897" s="285"/>
    </row>
    <row r="1898" spans="1:11" x14ac:dyDescent="0.2">
      <c r="A1898" s="285"/>
      <c r="B1898" s="285"/>
      <c r="C1898" s="285"/>
      <c r="D1898" s="286"/>
      <c r="E1898" s="286"/>
      <c r="F1898" s="286"/>
      <c r="G1898" s="286"/>
      <c r="H1898" s="286"/>
      <c r="I1898" s="286"/>
      <c r="J1898" s="286"/>
      <c r="K1898" s="285"/>
    </row>
    <row r="1899" spans="1:11" x14ac:dyDescent="0.2">
      <c r="A1899" s="285"/>
      <c r="B1899" s="285"/>
      <c r="C1899" s="285"/>
      <c r="D1899" s="286"/>
      <c r="E1899" s="286"/>
      <c r="F1899" s="286"/>
      <c r="G1899" s="286"/>
      <c r="H1899" s="286"/>
      <c r="I1899" s="286"/>
      <c r="J1899" s="286"/>
      <c r="K1899" s="285"/>
    </row>
    <row r="1900" spans="1:11" x14ac:dyDescent="0.2">
      <c r="A1900" s="285"/>
      <c r="B1900" s="285"/>
      <c r="C1900" s="285"/>
      <c r="D1900" s="286"/>
      <c r="E1900" s="286"/>
      <c r="F1900" s="286"/>
      <c r="G1900" s="286"/>
      <c r="H1900" s="286"/>
      <c r="I1900" s="286"/>
      <c r="J1900" s="286"/>
      <c r="K1900" s="285"/>
    </row>
    <row r="1901" spans="1:11" x14ac:dyDescent="0.2">
      <c r="A1901" s="285"/>
      <c r="B1901" s="285"/>
      <c r="C1901" s="285"/>
      <c r="D1901" s="286"/>
      <c r="E1901" s="286"/>
      <c r="F1901" s="286"/>
      <c r="G1901" s="286"/>
      <c r="H1901" s="286"/>
      <c r="I1901" s="286"/>
      <c r="J1901" s="286"/>
      <c r="K1901" s="285"/>
    </row>
    <row r="1902" spans="1:11" x14ac:dyDescent="0.2">
      <c r="A1902" s="285"/>
      <c r="B1902" s="285"/>
      <c r="C1902" s="285"/>
      <c r="D1902" s="286"/>
      <c r="E1902" s="286"/>
      <c r="F1902" s="286"/>
      <c r="G1902" s="286"/>
      <c r="H1902" s="286"/>
      <c r="I1902" s="286"/>
      <c r="J1902" s="286"/>
      <c r="K1902" s="285"/>
    </row>
    <row r="1903" spans="1:11" x14ac:dyDescent="0.2">
      <c r="A1903" s="285"/>
      <c r="B1903" s="285"/>
      <c r="C1903" s="285"/>
      <c r="D1903" s="286"/>
      <c r="E1903" s="286"/>
      <c r="F1903" s="286"/>
      <c r="G1903" s="286"/>
      <c r="H1903" s="286"/>
      <c r="I1903" s="286"/>
      <c r="J1903" s="286"/>
      <c r="K1903" s="285"/>
    </row>
    <row r="1904" spans="1:11" x14ac:dyDescent="0.2">
      <c r="A1904" s="285"/>
      <c r="B1904" s="285"/>
      <c r="C1904" s="285"/>
      <c r="D1904" s="286"/>
      <c r="E1904" s="286"/>
      <c r="F1904" s="286"/>
      <c r="G1904" s="286"/>
      <c r="H1904" s="286"/>
      <c r="I1904" s="286"/>
      <c r="J1904" s="286"/>
      <c r="K1904" s="285"/>
    </row>
    <row r="1905" spans="1:11" x14ac:dyDescent="0.2">
      <c r="A1905" s="285"/>
      <c r="B1905" s="285"/>
      <c r="C1905" s="285"/>
      <c r="D1905" s="286"/>
      <c r="E1905" s="286"/>
      <c r="F1905" s="286"/>
      <c r="G1905" s="286"/>
      <c r="H1905" s="286"/>
      <c r="I1905" s="286"/>
      <c r="J1905" s="286"/>
      <c r="K1905" s="285"/>
    </row>
    <row r="1906" spans="1:11" x14ac:dyDescent="0.2">
      <c r="A1906" s="285"/>
      <c r="B1906" s="285"/>
      <c r="C1906" s="285"/>
      <c r="D1906" s="286"/>
      <c r="E1906" s="286"/>
      <c r="F1906" s="286"/>
      <c r="G1906" s="286"/>
      <c r="H1906" s="286"/>
      <c r="I1906" s="286"/>
      <c r="J1906" s="286"/>
      <c r="K1906" s="285"/>
    </row>
    <row r="1907" spans="1:11" x14ac:dyDescent="0.2">
      <c r="A1907" s="285"/>
      <c r="B1907" s="285"/>
      <c r="C1907" s="285"/>
      <c r="D1907" s="286"/>
      <c r="E1907" s="286"/>
      <c r="F1907" s="286"/>
      <c r="G1907" s="286"/>
      <c r="H1907" s="286"/>
      <c r="I1907" s="286"/>
      <c r="J1907" s="286"/>
      <c r="K1907" s="285"/>
    </row>
    <row r="1908" spans="1:11" x14ac:dyDescent="0.2">
      <c r="A1908" s="285"/>
      <c r="B1908" s="285"/>
      <c r="C1908" s="285"/>
      <c r="D1908" s="286"/>
      <c r="E1908" s="286"/>
      <c r="F1908" s="286"/>
      <c r="G1908" s="286"/>
      <c r="H1908" s="286"/>
      <c r="I1908" s="286"/>
      <c r="J1908" s="286"/>
      <c r="K1908" s="285"/>
    </row>
    <row r="1909" spans="1:11" x14ac:dyDescent="0.2">
      <c r="A1909" s="285"/>
      <c r="B1909" s="285"/>
      <c r="C1909" s="285"/>
      <c r="D1909" s="286"/>
      <c r="E1909" s="286"/>
      <c r="F1909" s="286"/>
      <c r="G1909" s="286"/>
      <c r="H1909" s="286"/>
      <c r="I1909" s="286"/>
      <c r="J1909" s="286"/>
      <c r="K1909" s="285"/>
    </row>
    <row r="1910" spans="1:11" x14ac:dyDescent="0.2">
      <c r="A1910" s="285"/>
      <c r="B1910" s="285"/>
      <c r="C1910" s="285"/>
      <c r="D1910" s="286"/>
      <c r="E1910" s="286"/>
      <c r="F1910" s="286"/>
      <c r="G1910" s="286"/>
      <c r="H1910" s="286"/>
      <c r="I1910" s="286"/>
      <c r="J1910" s="286"/>
      <c r="K1910" s="285"/>
    </row>
    <row r="1911" spans="1:11" x14ac:dyDescent="0.2">
      <c r="A1911" s="285"/>
      <c r="B1911" s="285"/>
      <c r="C1911" s="285"/>
      <c r="D1911" s="286"/>
      <c r="E1911" s="286"/>
      <c r="F1911" s="286"/>
      <c r="G1911" s="286"/>
      <c r="H1911" s="286"/>
      <c r="I1911" s="286"/>
      <c r="J1911" s="286"/>
      <c r="K1911" s="285"/>
    </row>
    <row r="1912" spans="1:11" x14ac:dyDescent="0.2">
      <c r="A1912" s="285"/>
      <c r="B1912" s="285"/>
      <c r="C1912" s="285"/>
      <c r="D1912" s="286"/>
      <c r="E1912" s="286"/>
      <c r="F1912" s="286"/>
      <c r="G1912" s="286"/>
      <c r="H1912" s="286"/>
      <c r="I1912" s="286"/>
      <c r="J1912" s="286"/>
      <c r="K1912" s="285"/>
    </row>
    <row r="1913" spans="1:11" x14ac:dyDescent="0.2">
      <c r="A1913" s="285"/>
      <c r="B1913" s="285"/>
      <c r="C1913" s="285"/>
      <c r="D1913" s="286"/>
      <c r="E1913" s="286"/>
      <c r="F1913" s="286"/>
      <c r="G1913" s="286"/>
      <c r="H1913" s="286"/>
      <c r="I1913" s="286"/>
      <c r="J1913" s="286"/>
      <c r="K1913" s="285"/>
    </row>
    <row r="1914" spans="1:11" x14ac:dyDescent="0.2">
      <c r="A1914" s="285"/>
      <c r="B1914" s="285"/>
      <c r="C1914" s="285"/>
      <c r="D1914" s="286"/>
      <c r="E1914" s="286"/>
      <c r="F1914" s="286"/>
      <c r="G1914" s="286"/>
      <c r="H1914" s="286"/>
      <c r="I1914" s="286"/>
      <c r="J1914" s="286"/>
      <c r="K1914" s="285"/>
    </row>
    <row r="1915" spans="1:11" x14ac:dyDescent="0.2">
      <c r="A1915" s="285"/>
      <c r="B1915" s="285"/>
      <c r="C1915" s="285"/>
      <c r="D1915" s="286"/>
      <c r="E1915" s="286"/>
      <c r="F1915" s="286"/>
      <c r="G1915" s="286"/>
      <c r="H1915" s="286"/>
      <c r="I1915" s="286"/>
      <c r="J1915" s="286"/>
      <c r="K1915" s="285"/>
    </row>
    <row r="1916" spans="1:11" x14ac:dyDescent="0.2">
      <c r="A1916" s="285"/>
      <c r="B1916" s="285"/>
      <c r="C1916" s="285"/>
      <c r="D1916" s="286"/>
      <c r="E1916" s="286"/>
      <c r="F1916" s="286"/>
      <c r="G1916" s="286"/>
      <c r="H1916" s="286"/>
      <c r="I1916" s="286"/>
      <c r="J1916" s="286"/>
      <c r="K1916" s="285"/>
    </row>
    <row r="1918" spans="1:11" x14ac:dyDescent="0.2">
      <c r="A1918" s="285"/>
      <c r="B1918" s="285"/>
      <c r="C1918" s="285"/>
      <c r="D1918" s="286"/>
      <c r="E1918" s="286"/>
      <c r="F1918" s="286"/>
      <c r="G1918" s="286"/>
      <c r="H1918" s="287"/>
      <c r="I1918" s="286"/>
      <c r="J1918" s="286"/>
      <c r="K1918" s="285"/>
    </row>
    <row r="1919" spans="1:11" x14ac:dyDescent="0.2">
      <c r="A1919" s="285"/>
      <c r="B1919" s="285"/>
      <c r="C1919" s="285"/>
      <c r="D1919" s="286"/>
      <c r="E1919" s="286"/>
      <c r="F1919" s="286"/>
      <c r="G1919" s="286"/>
      <c r="H1919" s="287"/>
      <c r="I1919" s="286"/>
      <c r="J1919" s="286"/>
      <c r="K1919" s="285"/>
    </row>
    <row r="1920" spans="1:11" x14ac:dyDescent="0.2">
      <c r="A1920" s="285"/>
      <c r="B1920" s="285"/>
      <c r="C1920" s="285"/>
      <c r="D1920" s="286"/>
      <c r="E1920" s="286"/>
      <c r="F1920" s="286"/>
      <c r="G1920" s="286"/>
      <c r="H1920" s="287"/>
      <c r="I1920" s="286"/>
      <c r="J1920" s="286"/>
      <c r="K1920" s="285"/>
    </row>
    <row r="1921" spans="1:11" x14ac:dyDescent="0.2">
      <c r="A1921" s="285"/>
      <c r="B1921" s="285"/>
      <c r="C1921" s="285"/>
      <c r="D1921" s="286"/>
      <c r="E1921" s="286"/>
      <c r="F1921" s="286"/>
      <c r="G1921" s="286"/>
      <c r="H1921" s="287"/>
      <c r="I1921" s="286"/>
      <c r="J1921" s="286"/>
      <c r="K1921" s="285"/>
    </row>
    <row r="1922" spans="1:11" x14ac:dyDescent="0.2">
      <c r="A1922" s="285"/>
      <c r="B1922" s="285"/>
      <c r="C1922" s="285"/>
      <c r="D1922" s="286"/>
      <c r="E1922" s="286"/>
      <c r="F1922" s="286"/>
      <c r="G1922" s="286"/>
      <c r="H1922" s="287"/>
      <c r="I1922" s="286"/>
      <c r="J1922" s="286"/>
      <c r="K1922" s="285"/>
    </row>
    <row r="1923" spans="1:11" x14ac:dyDescent="0.2">
      <c r="A1923" s="285"/>
      <c r="B1923" s="285"/>
      <c r="C1923" s="285"/>
      <c r="D1923" s="286"/>
      <c r="E1923" s="286"/>
      <c r="F1923" s="286"/>
      <c r="G1923" s="286"/>
      <c r="H1923" s="287"/>
      <c r="I1923" s="286"/>
      <c r="J1923" s="286"/>
      <c r="K1923" s="285"/>
    </row>
    <row r="1924" spans="1:11" x14ac:dyDescent="0.2">
      <c r="A1924" s="285"/>
      <c r="B1924" s="285"/>
      <c r="C1924" s="285"/>
      <c r="D1924" s="286"/>
      <c r="E1924" s="286"/>
      <c r="F1924" s="286"/>
      <c r="G1924" s="286"/>
      <c r="H1924" s="287"/>
      <c r="I1924" s="286"/>
      <c r="J1924" s="286"/>
      <c r="K1924" s="285"/>
    </row>
    <row r="1925" spans="1:11" x14ac:dyDescent="0.2">
      <c r="A1925" s="285"/>
      <c r="B1925" s="285"/>
      <c r="C1925" s="285"/>
      <c r="D1925" s="286"/>
      <c r="E1925" s="286"/>
      <c r="F1925" s="286"/>
      <c r="G1925" s="286"/>
      <c r="H1925" s="287"/>
      <c r="I1925" s="286"/>
      <c r="J1925" s="286"/>
      <c r="K1925" s="285"/>
    </row>
    <row r="1926" spans="1:11" x14ac:dyDescent="0.2">
      <c r="A1926" s="285"/>
      <c r="B1926" s="285"/>
      <c r="C1926" s="285"/>
      <c r="D1926" s="286"/>
      <c r="E1926" s="286"/>
      <c r="F1926" s="286"/>
      <c r="G1926" s="286"/>
      <c r="H1926" s="287"/>
      <c r="I1926" s="286"/>
      <c r="J1926" s="286"/>
      <c r="K1926" s="285"/>
    </row>
    <row r="1927" spans="1:11" x14ac:dyDescent="0.2">
      <c r="A1927" s="285"/>
      <c r="B1927" s="285"/>
      <c r="C1927" s="285"/>
      <c r="D1927" s="286"/>
      <c r="E1927" s="286"/>
      <c r="F1927" s="286"/>
      <c r="G1927" s="286"/>
      <c r="H1927" s="287"/>
      <c r="I1927" s="286"/>
      <c r="J1927" s="286"/>
      <c r="K1927" s="285"/>
    </row>
    <row r="1928" spans="1:11" x14ac:dyDescent="0.2">
      <c r="A1928" s="285"/>
      <c r="B1928" s="285"/>
      <c r="C1928" s="285"/>
      <c r="D1928" s="286"/>
      <c r="E1928" s="286"/>
      <c r="F1928" s="286"/>
      <c r="G1928" s="286"/>
      <c r="H1928" s="287"/>
      <c r="I1928" s="286"/>
      <c r="J1928" s="286"/>
      <c r="K1928" s="285"/>
    </row>
    <row r="1929" spans="1:11" x14ac:dyDescent="0.2">
      <c r="A1929" s="527"/>
      <c r="B1929" s="285"/>
      <c r="C1929" s="286"/>
      <c r="D1929" s="286"/>
      <c r="E1929" s="286"/>
      <c r="F1929" s="286"/>
      <c r="G1929" s="286"/>
      <c r="H1929" s="287"/>
      <c r="I1929" s="286"/>
      <c r="J1929" s="286"/>
      <c r="K1929" s="285"/>
    </row>
    <row r="1930" spans="1:11" x14ac:dyDescent="0.2">
      <c r="A1930" s="285"/>
      <c r="B1930" s="285"/>
      <c r="C1930" s="286"/>
      <c r="D1930" s="286"/>
      <c r="E1930" s="286"/>
      <c r="F1930" s="286"/>
      <c r="G1930" s="286"/>
      <c r="H1930" s="287"/>
      <c r="I1930" s="286"/>
      <c r="J1930" s="286"/>
      <c r="K1930" s="285"/>
    </row>
    <row r="1931" spans="1:11" x14ac:dyDescent="0.2">
      <c r="A1931" s="285"/>
      <c r="B1931" s="285"/>
      <c r="C1931" s="286"/>
      <c r="D1931" s="286"/>
      <c r="E1931" s="286"/>
      <c r="F1931" s="286"/>
      <c r="G1931" s="286"/>
      <c r="H1931" s="287"/>
      <c r="I1931" s="286"/>
      <c r="J1931" s="286"/>
      <c r="K1931" s="285"/>
    </row>
    <row r="1932" spans="1:11" x14ac:dyDescent="0.2">
      <c r="A1932" s="285"/>
      <c r="B1932" s="285"/>
      <c r="C1932" s="286"/>
      <c r="D1932" s="286"/>
      <c r="E1932" s="286"/>
      <c r="F1932" s="286"/>
      <c r="G1932" s="286"/>
      <c r="H1932" s="287"/>
      <c r="I1932" s="286"/>
      <c r="J1932" s="286"/>
      <c r="K1932" s="285"/>
    </row>
    <row r="1933" spans="1:11" x14ac:dyDescent="0.2">
      <c r="A1933" s="285"/>
      <c r="B1933" s="285"/>
      <c r="C1933" s="286"/>
      <c r="D1933" s="286"/>
      <c r="E1933" s="286"/>
      <c r="F1933" s="286"/>
      <c r="G1933" s="286"/>
      <c r="H1933" s="287"/>
      <c r="I1933" s="286"/>
      <c r="J1933" s="286"/>
      <c r="K1933" s="285"/>
    </row>
    <row r="1934" spans="1:11" x14ac:dyDescent="0.2">
      <c r="A1934" s="285"/>
      <c r="B1934" s="285"/>
      <c r="C1934" s="286"/>
      <c r="D1934" s="286"/>
      <c r="E1934" s="286"/>
      <c r="F1934" s="286"/>
      <c r="G1934" s="286"/>
      <c r="H1934" s="287"/>
      <c r="I1934" s="286"/>
      <c r="J1934" s="286"/>
      <c r="K1934" s="285"/>
    </row>
    <row r="1935" spans="1:11" x14ac:dyDescent="0.2">
      <c r="A1935" s="285"/>
      <c r="B1935" s="285"/>
      <c r="C1935" s="286"/>
      <c r="D1935" s="286"/>
      <c r="E1935" s="286"/>
      <c r="F1935" s="286"/>
      <c r="G1935" s="286"/>
      <c r="H1935" s="287"/>
      <c r="I1935" s="286"/>
      <c r="J1935" s="286"/>
      <c r="K1935" s="285"/>
    </row>
    <row r="1936" spans="1:11" x14ac:dyDescent="0.2">
      <c r="A1936" s="285"/>
      <c r="B1936" s="285"/>
      <c r="C1936" s="286"/>
      <c r="D1936" s="286"/>
      <c r="E1936" s="286"/>
      <c r="F1936" s="286"/>
      <c r="G1936" s="286"/>
      <c r="H1936" s="287"/>
      <c r="I1936" s="286"/>
      <c r="J1936" s="286"/>
      <c r="K1936" s="285"/>
    </row>
    <row r="1937" spans="1:11" x14ac:dyDescent="0.2">
      <c r="A1937" s="285"/>
      <c r="B1937" s="285"/>
      <c r="C1937" s="286"/>
      <c r="D1937" s="286"/>
      <c r="E1937" s="286"/>
      <c r="F1937" s="286"/>
      <c r="G1937" s="286"/>
      <c r="H1937" s="287"/>
      <c r="I1937" s="286"/>
      <c r="J1937" s="286"/>
      <c r="K1937" s="285"/>
    </row>
    <row r="1938" spans="1:11" x14ac:dyDescent="0.2">
      <c r="A1938" s="285"/>
      <c r="B1938" s="285"/>
      <c r="C1938" s="286"/>
      <c r="D1938" s="286"/>
      <c r="E1938" s="286"/>
      <c r="F1938" s="286"/>
      <c r="G1938" s="286"/>
      <c r="H1938" s="287"/>
      <c r="I1938" s="286"/>
      <c r="J1938" s="286"/>
      <c r="K1938" s="285"/>
    </row>
    <row r="1939" spans="1:11" x14ac:dyDescent="0.2">
      <c r="A1939" s="285"/>
      <c r="B1939" s="285"/>
      <c r="C1939" s="286"/>
      <c r="D1939" s="286"/>
      <c r="E1939" s="286"/>
      <c r="F1939" s="286"/>
      <c r="G1939" s="286"/>
      <c r="H1939" s="287"/>
      <c r="I1939" s="286"/>
      <c r="J1939" s="286"/>
      <c r="K1939" s="285"/>
    </row>
    <row r="1940" spans="1:11" x14ac:dyDescent="0.2">
      <c r="A1940" s="285"/>
      <c r="B1940" s="285"/>
      <c r="C1940" s="286"/>
      <c r="D1940" s="286"/>
      <c r="E1940" s="286"/>
      <c r="F1940" s="286"/>
      <c r="G1940" s="286"/>
      <c r="H1940" s="287"/>
      <c r="I1940" s="286"/>
      <c r="J1940" s="286"/>
      <c r="K1940" s="285"/>
    </row>
    <row r="1941" spans="1:11" x14ac:dyDescent="0.2">
      <c r="A1941" s="285"/>
      <c r="B1941" s="285"/>
      <c r="C1941" s="286"/>
      <c r="D1941" s="286"/>
      <c r="E1941" s="286"/>
      <c r="F1941" s="286"/>
      <c r="G1941" s="286"/>
      <c r="H1941" s="287"/>
      <c r="I1941" s="286"/>
      <c r="J1941" s="286"/>
      <c r="K1941" s="285"/>
    </row>
    <row r="1942" spans="1:11" x14ac:dyDescent="0.2">
      <c r="A1942" s="285"/>
      <c r="B1942" s="285"/>
      <c r="C1942" s="286"/>
      <c r="D1942" s="286"/>
      <c r="E1942" s="286"/>
      <c r="F1942" s="286"/>
      <c r="G1942" s="286"/>
      <c r="H1942" s="287"/>
      <c r="I1942" s="286"/>
      <c r="J1942" s="286"/>
      <c r="K1942" s="285"/>
    </row>
    <row r="1943" spans="1:11" x14ac:dyDescent="0.2">
      <c r="A1943" s="285"/>
      <c r="B1943" s="285"/>
      <c r="C1943" s="286"/>
      <c r="D1943" s="286"/>
      <c r="E1943" s="286"/>
      <c r="F1943" s="286"/>
      <c r="G1943" s="286"/>
      <c r="H1943" s="287"/>
      <c r="I1943" s="286"/>
      <c r="J1943" s="286"/>
      <c r="K1943" s="285"/>
    </row>
    <row r="1944" spans="1:11" x14ac:dyDescent="0.2">
      <c r="A1944" s="285"/>
      <c r="B1944" s="285"/>
      <c r="C1944" s="286"/>
      <c r="D1944" s="286"/>
      <c r="E1944" s="286"/>
      <c r="F1944" s="286"/>
      <c r="G1944" s="286"/>
      <c r="H1944" s="287"/>
      <c r="I1944" s="286"/>
      <c r="J1944" s="286"/>
      <c r="K1944" s="285"/>
    </row>
    <row r="1945" spans="1:11" x14ac:dyDescent="0.2">
      <c r="A1945" s="285"/>
      <c r="B1945" s="285"/>
      <c r="C1945" s="286"/>
      <c r="D1945" s="286"/>
      <c r="E1945" s="286"/>
      <c r="F1945" s="286"/>
      <c r="G1945" s="286"/>
      <c r="H1945" s="287"/>
      <c r="I1945" s="286"/>
      <c r="J1945" s="286"/>
      <c r="K1945" s="285"/>
    </row>
    <row r="1946" spans="1:11" x14ac:dyDescent="0.2">
      <c r="A1946" s="285"/>
      <c r="B1946" s="285"/>
      <c r="C1946" s="286"/>
      <c r="D1946" s="286"/>
      <c r="E1946" s="286"/>
      <c r="F1946" s="286"/>
      <c r="G1946" s="286"/>
      <c r="H1946" s="287"/>
      <c r="I1946" s="286"/>
      <c r="J1946" s="286"/>
      <c r="K1946" s="285"/>
    </row>
    <row r="1947" spans="1:11" x14ac:dyDescent="0.2">
      <c r="A1947" s="285"/>
      <c r="B1947" s="285"/>
      <c r="C1947" s="286"/>
      <c r="D1947" s="286"/>
      <c r="E1947" s="286"/>
      <c r="F1947" s="286"/>
      <c r="G1947" s="286"/>
      <c r="H1947" s="287"/>
      <c r="I1947" s="286"/>
      <c r="J1947" s="286"/>
      <c r="K1947" s="285"/>
    </row>
    <row r="1948" spans="1:11" x14ac:dyDescent="0.2">
      <c r="A1948" s="285"/>
      <c r="B1948" s="285"/>
      <c r="C1948" s="286"/>
      <c r="D1948" s="286"/>
      <c r="E1948" s="286"/>
      <c r="F1948" s="286"/>
      <c r="G1948" s="286"/>
      <c r="H1948" s="287"/>
      <c r="I1948" s="286"/>
      <c r="J1948" s="286"/>
      <c r="K1948" s="285"/>
    </row>
    <row r="1949" spans="1:11" x14ac:dyDescent="0.2">
      <c r="A1949" s="285"/>
      <c r="B1949" s="285"/>
      <c r="C1949" s="286"/>
      <c r="D1949" s="286"/>
      <c r="E1949" s="286"/>
      <c r="F1949" s="286"/>
      <c r="G1949" s="286"/>
      <c r="H1949" s="287"/>
      <c r="I1949" s="286"/>
      <c r="J1949" s="286"/>
      <c r="K1949" s="285"/>
    </row>
    <row r="1950" spans="1:11" x14ac:dyDescent="0.2">
      <c r="A1950" s="285"/>
      <c r="B1950" s="285"/>
      <c r="C1950" s="286"/>
      <c r="D1950" s="286"/>
      <c r="E1950" s="286"/>
      <c r="F1950" s="286"/>
      <c r="G1950" s="286"/>
      <c r="H1950" s="287"/>
      <c r="I1950" s="286"/>
      <c r="J1950" s="286"/>
      <c r="K1950" s="285"/>
    </row>
    <row r="1951" spans="1:11" x14ac:dyDescent="0.2">
      <c r="A1951" s="285"/>
      <c r="B1951" s="285"/>
      <c r="C1951" s="286"/>
      <c r="D1951" s="286"/>
      <c r="E1951" s="286"/>
      <c r="F1951" s="286"/>
      <c r="G1951" s="286"/>
      <c r="H1951" s="287"/>
      <c r="I1951" s="286"/>
      <c r="J1951" s="286"/>
      <c r="K1951" s="285"/>
    </row>
    <row r="1952" spans="1:11" x14ac:dyDescent="0.2">
      <c r="A1952" s="285"/>
      <c r="B1952" s="285"/>
      <c r="C1952" s="286"/>
      <c r="D1952" s="286"/>
      <c r="E1952" s="286"/>
      <c r="F1952" s="286"/>
      <c r="G1952" s="286"/>
      <c r="H1952" s="287"/>
      <c r="I1952" s="286"/>
      <c r="J1952" s="286"/>
      <c r="K1952" s="285"/>
    </row>
    <row r="1953" spans="1:11" x14ac:dyDescent="0.2">
      <c r="A1953" s="285"/>
      <c r="B1953" s="285"/>
      <c r="C1953" s="286"/>
      <c r="D1953" s="286"/>
      <c r="E1953" s="286"/>
      <c r="F1953" s="286"/>
      <c r="G1953" s="286"/>
      <c r="H1953" s="287"/>
      <c r="I1953" s="286"/>
      <c r="J1953" s="286"/>
      <c r="K1953" s="285"/>
    </row>
    <row r="1954" spans="1:11" x14ac:dyDescent="0.2">
      <c r="A1954" s="285"/>
      <c r="B1954" s="285"/>
      <c r="C1954" s="286"/>
      <c r="D1954" s="286"/>
      <c r="E1954" s="286"/>
      <c r="F1954" s="286"/>
      <c r="G1954" s="286"/>
      <c r="H1954" s="287"/>
      <c r="I1954" s="286"/>
      <c r="J1954" s="286"/>
      <c r="K1954" s="285"/>
    </row>
    <row r="1955" spans="1:11" x14ac:dyDescent="0.2">
      <c r="A1955" s="285"/>
      <c r="B1955" s="285"/>
      <c r="C1955" s="286"/>
      <c r="D1955" s="286"/>
      <c r="E1955" s="286"/>
      <c r="F1955" s="286"/>
      <c r="G1955" s="286"/>
      <c r="H1955" s="287"/>
      <c r="I1955" s="286"/>
      <c r="J1955" s="286"/>
      <c r="K1955" s="285"/>
    </row>
    <row r="1956" spans="1:11" x14ac:dyDescent="0.2">
      <c r="A1956" s="285"/>
      <c r="B1956" s="285"/>
      <c r="C1956" s="285"/>
      <c r="D1956" s="285"/>
      <c r="E1956" s="286"/>
      <c r="F1956" s="286"/>
      <c r="G1956" s="286"/>
      <c r="H1956" s="286"/>
      <c r="I1956" s="286"/>
      <c r="J1956" s="286"/>
      <c r="K1956" s="286"/>
    </row>
    <row r="1957" spans="1:11" x14ac:dyDescent="0.2">
      <c r="A1957" s="285"/>
      <c r="B1957" s="285"/>
      <c r="C1957" s="285"/>
      <c r="D1957" s="285"/>
      <c r="E1957" s="286"/>
      <c r="F1957" s="286"/>
      <c r="G1957" s="286"/>
      <c r="H1957" s="286"/>
      <c r="I1957" s="286"/>
      <c r="J1957" s="286"/>
      <c r="K1957" s="286"/>
    </row>
    <row r="1958" spans="1:11" x14ac:dyDescent="0.2">
      <c r="A1958" s="285"/>
      <c r="B1958" s="285"/>
      <c r="C1958" s="285"/>
      <c r="D1958" s="285"/>
      <c r="E1958" s="286"/>
      <c r="F1958" s="286"/>
      <c r="G1958" s="286"/>
      <c r="H1958" s="286"/>
      <c r="I1958" s="286"/>
      <c r="J1958" s="286"/>
      <c r="K1958" s="286"/>
    </row>
    <row r="1959" spans="1:11" x14ac:dyDescent="0.2">
      <c r="A1959" s="285"/>
      <c r="B1959" s="285"/>
      <c r="C1959" s="285"/>
      <c r="D1959" s="285"/>
      <c r="E1959" s="286"/>
      <c r="F1959" s="286"/>
      <c r="G1959" s="286"/>
      <c r="H1959" s="286"/>
      <c r="I1959" s="286"/>
      <c r="J1959" s="286"/>
      <c r="K1959" s="286"/>
    </row>
    <row r="1960" spans="1:11" x14ac:dyDescent="0.2">
      <c r="A1960" s="285"/>
      <c r="B1960" s="285"/>
      <c r="C1960" s="285"/>
      <c r="D1960" s="285"/>
      <c r="E1960" s="286"/>
      <c r="F1960" s="286"/>
      <c r="G1960" s="286"/>
      <c r="H1960" s="286"/>
      <c r="I1960" s="286"/>
      <c r="J1960" s="286"/>
      <c r="K1960" s="286"/>
    </row>
    <row r="1961" spans="1:11" x14ac:dyDescent="0.2">
      <c r="A1961" s="285"/>
      <c r="B1961" s="285"/>
      <c r="C1961" s="285"/>
      <c r="D1961" s="285"/>
      <c r="E1961" s="286"/>
      <c r="F1961" s="286"/>
      <c r="G1961" s="286"/>
      <c r="H1961" s="286"/>
      <c r="I1961" s="286"/>
      <c r="J1961" s="286"/>
      <c r="K1961" s="286"/>
    </row>
    <row r="1962" spans="1:11" x14ac:dyDescent="0.2">
      <c r="A1962" s="285"/>
      <c r="B1962" s="285"/>
      <c r="C1962" s="285"/>
      <c r="D1962" s="285"/>
      <c r="E1962" s="286"/>
      <c r="F1962" s="286"/>
      <c r="G1962" s="286"/>
      <c r="H1962" s="286"/>
      <c r="I1962" s="286"/>
      <c r="J1962" s="286"/>
      <c r="K1962" s="286"/>
    </row>
    <row r="1963" spans="1:11" x14ac:dyDescent="0.2">
      <c r="A1963" s="285"/>
      <c r="B1963" s="285"/>
      <c r="C1963" s="285"/>
      <c r="D1963" s="286"/>
      <c r="E1963" s="286"/>
      <c r="F1963" s="286"/>
      <c r="G1963" s="286"/>
      <c r="H1963" s="286"/>
      <c r="I1963" s="286"/>
      <c r="J1963" s="286"/>
      <c r="K1963" s="285"/>
    </row>
    <row r="1964" spans="1:11" x14ac:dyDescent="0.2">
      <c r="A1964" s="285"/>
      <c r="B1964" s="285"/>
      <c r="C1964" s="285"/>
      <c r="D1964" s="286"/>
      <c r="E1964" s="286"/>
      <c r="F1964" s="286"/>
      <c r="G1964" s="286"/>
      <c r="H1964" s="286"/>
      <c r="I1964" s="286"/>
      <c r="J1964" s="286"/>
      <c r="K1964" s="285"/>
    </row>
    <row r="1965" spans="1:11" x14ac:dyDescent="0.2">
      <c r="A1965" s="285"/>
      <c r="B1965" s="285"/>
      <c r="C1965" s="285"/>
      <c r="D1965" s="286"/>
      <c r="E1965" s="286"/>
      <c r="F1965" s="286"/>
      <c r="G1965" s="286"/>
      <c r="H1965" s="286"/>
      <c r="I1965" s="286"/>
      <c r="J1965" s="286"/>
      <c r="K1965" s="285"/>
    </row>
    <row r="1966" spans="1:11" x14ac:dyDescent="0.2">
      <c r="A1966" s="285"/>
      <c r="B1966" s="285"/>
      <c r="C1966" s="285"/>
      <c r="D1966" s="286"/>
      <c r="E1966" s="286"/>
      <c r="F1966" s="286"/>
      <c r="G1966" s="286"/>
      <c r="H1966" s="286"/>
      <c r="I1966" s="286"/>
      <c r="J1966" s="286"/>
      <c r="K1966" s="285"/>
    </row>
    <row r="1967" spans="1:11" x14ac:dyDescent="0.2">
      <c r="A1967" s="285"/>
      <c r="B1967" s="285"/>
      <c r="C1967" s="285"/>
      <c r="D1967" s="286"/>
      <c r="E1967" s="286"/>
      <c r="F1967" s="286"/>
      <c r="G1967" s="286"/>
      <c r="H1967" s="286"/>
      <c r="I1967" s="286"/>
      <c r="J1967" s="286"/>
      <c r="K1967" s="285"/>
    </row>
    <row r="1968" spans="1:11" x14ac:dyDescent="0.2">
      <c r="A1968" s="285"/>
      <c r="B1968" s="285"/>
      <c r="C1968" s="285"/>
      <c r="D1968" s="286"/>
      <c r="E1968" s="286"/>
      <c r="F1968" s="286"/>
      <c r="G1968" s="286"/>
      <c r="H1968" s="286"/>
      <c r="I1968" s="286"/>
      <c r="J1968" s="286"/>
      <c r="K1968" s="285"/>
    </row>
    <row r="1969" spans="1:11" x14ac:dyDescent="0.2">
      <c r="A1969" s="285"/>
      <c r="B1969" s="285"/>
      <c r="C1969" s="285"/>
      <c r="D1969" s="286"/>
      <c r="E1969" s="286"/>
      <c r="F1969" s="286"/>
      <c r="G1969" s="286"/>
      <c r="H1969" s="286"/>
      <c r="I1969" s="286"/>
      <c r="J1969" s="286"/>
      <c r="K1969" s="285"/>
    </row>
    <row r="1970" spans="1:11" x14ac:dyDescent="0.2">
      <c r="A1970" s="285"/>
      <c r="B1970" s="285"/>
      <c r="C1970" s="285"/>
      <c r="D1970" s="286"/>
      <c r="E1970" s="286"/>
      <c r="F1970" s="286"/>
      <c r="G1970" s="286"/>
      <c r="H1970" s="286"/>
      <c r="I1970" s="286"/>
      <c r="J1970" s="286"/>
      <c r="K1970" s="285"/>
    </row>
    <row r="1971" spans="1:11" x14ac:dyDescent="0.2">
      <c r="A1971" s="285"/>
      <c r="B1971" s="285"/>
      <c r="C1971" s="285"/>
      <c r="D1971" s="286"/>
      <c r="E1971" s="286"/>
      <c r="F1971" s="286"/>
      <c r="G1971" s="286"/>
      <c r="H1971" s="286"/>
      <c r="I1971" s="286"/>
      <c r="J1971" s="286"/>
      <c r="K1971" s="285"/>
    </row>
    <row r="1972" spans="1:11" x14ac:dyDescent="0.2">
      <c r="A1972" s="285"/>
      <c r="B1972" s="285"/>
      <c r="C1972" s="285"/>
      <c r="D1972" s="286"/>
      <c r="E1972" s="286"/>
      <c r="F1972" s="286"/>
      <c r="G1972" s="286"/>
      <c r="H1972" s="286"/>
      <c r="I1972" s="286"/>
      <c r="J1972" s="286"/>
      <c r="K1972" s="285"/>
    </row>
    <row r="1973" spans="1:11" x14ac:dyDescent="0.2">
      <c r="A1973" s="285"/>
      <c r="B1973" s="285"/>
      <c r="C1973" s="285"/>
      <c r="D1973" s="286"/>
      <c r="E1973" s="286"/>
      <c r="F1973" s="286"/>
      <c r="G1973" s="286"/>
      <c r="H1973" s="286"/>
      <c r="I1973" s="286"/>
      <c r="J1973" s="286"/>
      <c r="K1973" s="285"/>
    </row>
    <row r="1974" spans="1:11" x14ac:dyDescent="0.2">
      <c r="A1974" s="285"/>
      <c r="B1974" s="285"/>
      <c r="C1974" s="285"/>
      <c r="D1974" s="286"/>
      <c r="E1974" s="286"/>
      <c r="F1974" s="286"/>
      <c r="G1974" s="286"/>
      <c r="H1974" s="286"/>
      <c r="I1974" s="286"/>
      <c r="J1974" s="286"/>
      <c r="K1974" s="285"/>
    </row>
    <row r="1975" spans="1:11" x14ac:dyDescent="0.2">
      <c r="A1975" s="285"/>
      <c r="B1975" s="285"/>
      <c r="C1975" s="285"/>
      <c r="D1975" s="286"/>
      <c r="E1975" s="286"/>
      <c r="F1975" s="286"/>
      <c r="G1975" s="286"/>
      <c r="H1975" s="286"/>
      <c r="I1975" s="286"/>
      <c r="J1975" s="286"/>
      <c r="K1975" s="285"/>
    </row>
    <row r="1976" spans="1:11" x14ac:dyDescent="0.2">
      <c r="A1976" s="285"/>
      <c r="B1976" s="285"/>
      <c r="C1976" s="285"/>
      <c r="D1976" s="286"/>
      <c r="E1976" s="286"/>
      <c r="F1976" s="286"/>
      <c r="G1976" s="286"/>
      <c r="H1976" s="286"/>
      <c r="I1976" s="286"/>
      <c r="J1976" s="286"/>
      <c r="K1976" s="285"/>
    </row>
    <row r="1977" spans="1:11" x14ac:dyDescent="0.2">
      <c r="A1977" s="285"/>
      <c r="B1977" s="285"/>
      <c r="C1977" s="285"/>
      <c r="D1977" s="286"/>
      <c r="E1977" s="286"/>
      <c r="F1977" s="286"/>
      <c r="G1977" s="286"/>
      <c r="H1977" s="286"/>
      <c r="I1977" s="286"/>
      <c r="J1977" s="286"/>
      <c r="K1977" s="285"/>
    </row>
    <row r="1978" spans="1:11" x14ac:dyDescent="0.2">
      <c r="A1978" s="285"/>
      <c r="B1978" s="285"/>
      <c r="C1978" s="285"/>
      <c r="D1978" s="286"/>
      <c r="E1978" s="286"/>
      <c r="F1978" s="286"/>
      <c r="G1978" s="286"/>
      <c r="H1978" s="286"/>
      <c r="I1978" s="286"/>
      <c r="J1978" s="286"/>
      <c r="K1978" s="285"/>
    </row>
    <row r="1979" spans="1:11" x14ac:dyDescent="0.2">
      <c r="A1979" s="285"/>
      <c r="B1979" s="285"/>
      <c r="C1979" s="285"/>
      <c r="D1979" s="286"/>
      <c r="E1979" s="286"/>
      <c r="F1979" s="286"/>
      <c r="G1979" s="286"/>
      <c r="H1979" s="286"/>
      <c r="I1979" s="286"/>
      <c r="J1979" s="286"/>
      <c r="K1979" s="285"/>
    </row>
    <row r="1980" spans="1:11" x14ac:dyDescent="0.2">
      <c r="A1980" s="285"/>
      <c r="B1980" s="285"/>
      <c r="C1980" s="285"/>
      <c r="D1980" s="286"/>
      <c r="E1980" s="286"/>
      <c r="F1980" s="286"/>
      <c r="G1980" s="286"/>
      <c r="H1980" s="286"/>
      <c r="I1980" s="286"/>
      <c r="J1980" s="286"/>
      <c r="K1980" s="285"/>
    </row>
    <row r="1981" spans="1:11" x14ac:dyDescent="0.2">
      <c r="A1981" s="285"/>
      <c r="B1981" s="285"/>
      <c r="C1981" s="285"/>
      <c r="D1981" s="286"/>
      <c r="E1981" s="286"/>
      <c r="F1981" s="286"/>
      <c r="G1981" s="286"/>
      <c r="H1981" s="286"/>
      <c r="I1981" s="286"/>
      <c r="J1981" s="286"/>
      <c r="K1981" s="285"/>
    </row>
    <row r="1982" spans="1:11" x14ac:dyDescent="0.2">
      <c r="A1982" s="285"/>
      <c r="B1982" s="285"/>
      <c r="C1982" s="471"/>
      <c r="D1982" s="286"/>
      <c r="E1982" s="528"/>
      <c r="F1982" s="528"/>
      <c r="G1982" s="528"/>
      <c r="H1982" s="471"/>
      <c r="I1982" s="528"/>
      <c r="J1982" s="528"/>
      <c r="K1982" s="471"/>
    </row>
    <row r="1983" spans="1:11" x14ac:dyDescent="0.2">
      <c r="A1983" s="285"/>
      <c r="B1983" s="285"/>
      <c r="C1983" s="285"/>
      <c r="D1983" s="286"/>
      <c r="E1983" s="528"/>
      <c r="F1983" s="528"/>
      <c r="G1983" s="528"/>
      <c r="H1983" s="471"/>
      <c r="I1983" s="528"/>
      <c r="J1983" s="528"/>
      <c r="K1983" s="471"/>
    </row>
    <row r="1984" spans="1:11" x14ac:dyDescent="0.2">
      <c r="C1984" s="285"/>
      <c r="D1984" s="286"/>
      <c r="E1984" s="528"/>
      <c r="F1984" s="528"/>
      <c r="G1984" s="528"/>
      <c r="H1984" s="471"/>
      <c r="I1984" s="528"/>
      <c r="J1984" s="528"/>
      <c r="K1984" s="471"/>
    </row>
    <row r="1985" spans="1:11" x14ac:dyDescent="0.2">
      <c r="A1985" s="285"/>
      <c r="B1985" s="285"/>
      <c r="C1985" s="285"/>
      <c r="D1985" s="286"/>
      <c r="E1985" s="528"/>
      <c r="F1985" s="528"/>
      <c r="G1985" s="528"/>
      <c r="H1985" s="471"/>
      <c r="I1985" s="528"/>
      <c r="J1985" s="528"/>
      <c r="K1985" s="471"/>
    </row>
    <row r="1986" spans="1:11" x14ac:dyDescent="0.2">
      <c r="A1986" s="285"/>
      <c r="B1986" s="285"/>
      <c r="C1986" s="285"/>
      <c r="D1986" s="286"/>
      <c r="E1986" s="528"/>
      <c r="F1986" s="528"/>
      <c r="G1986" s="528"/>
      <c r="H1986" s="471"/>
      <c r="I1986" s="528"/>
      <c r="J1986" s="528"/>
      <c r="K1986" s="471"/>
    </row>
    <row r="1987" spans="1:11" x14ac:dyDescent="0.2">
      <c r="A1987" s="285"/>
      <c r="B1987" s="285"/>
      <c r="C1987" s="285"/>
      <c r="D1987" s="286"/>
      <c r="E1987" s="528"/>
      <c r="F1987" s="528"/>
      <c r="G1987" s="528"/>
      <c r="H1987" s="471"/>
      <c r="I1987" s="528"/>
      <c r="J1987" s="528"/>
      <c r="K1987" s="471"/>
    </row>
    <row r="1988" spans="1:11" x14ac:dyDescent="0.2">
      <c r="A1988" s="285"/>
      <c r="B1988" s="285"/>
      <c r="C1988" s="285"/>
      <c r="D1988" s="286"/>
      <c r="E1988" s="528"/>
      <c r="F1988" s="528"/>
      <c r="G1988" s="528"/>
      <c r="H1988" s="471"/>
      <c r="I1988" s="528"/>
      <c r="J1988" s="528"/>
      <c r="K1988" s="471"/>
    </row>
    <row r="1989" spans="1:11" x14ac:dyDescent="0.2">
      <c r="A1989" s="285"/>
      <c r="B1989" s="285"/>
      <c r="C1989" s="285"/>
      <c r="D1989" s="286"/>
      <c r="E1989" s="528"/>
      <c r="F1989" s="528"/>
      <c r="G1989" s="528"/>
      <c r="H1989" s="471"/>
      <c r="I1989" s="528"/>
      <c r="J1989" s="528"/>
      <c r="K1989" s="471"/>
    </row>
    <row r="1990" spans="1:11" x14ac:dyDescent="0.2">
      <c r="A1990" s="285"/>
      <c r="B1990" s="285"/>
      <c r="C1990" s="285"/>
      <c r="D1990" s="286"/>
      <c r="E1990" s="528"/>
      <c r="F1990" s="528"/>
      <c r="G1990" s="528"/>
      <c r="H1990" s="471"/>
      <c r="I1990" s="528"/>
      <c r="J1990" s="528"/>
      <c r="K1990" s="471"/>
    </row>
    <row r="1991" spans="1:11" x14ac:dyDescent="0.2">
      <c r="A1991" s="285"/>
      <c r="B1991" s="285"/>
      <c r="C1991" s="285"/>
      <c r="D1991" s="286"/>
      <c r="E1991" s="528"/>
      <c r="F1991" s="528"/>
      <c r="G1991" s="528"/>
      <c r="H1991" s="471"/>
      <c r="I1991" s="528"/>
      <c r="J1991" s="528"/>
      <c r="K1991" s="471"/>
    </row>
    <row r="1992" spans="1:11" x14ac:dyDescent="0.2">
      <c r="A1992" s="285"/>
      <c r="B1992" s="285"/>
      <c r="C1992" s="285"/>
      <c r="D1992" s="286"/>
      <c r="E1992" s="528"/>
      <c r="F1992" s="528"/>
      <c r="G1992" s="528"/>
      <c r="H1992" s="471"/>
      <c r="I1992" s="528"/>
      <c r="J1992" s="528"/>
      <c r="K1992" s="471"/>
    </row>
    <row r="1993" spans="1:11" x14ac:dyDescent="0.2">
      <c r="A1993" s="285"/>
      <c r="B1993" s="285"/>
      <c r="C1993" s="529"/>
      <c r="D1993" s="286"/>
      <c r="E1993" s="528"/>
      <c r="F1993" s="528"/>
      <c r="G1993" s="528"/>
      <c r="H1993" s="471"/>
      <c r="I1993" s="528"/>
      <c r="J1993" s="528"/>
      <c r="K1993" s="471"/>
    </row>
    <row r="1994" spans="1:11" x14ac:dyDescent="0.2">
      <c r="A1994" s="285"/>
      <c r="B1994" s="285"/>
      <c r="C1994" s="285"/>
      <c r="D1994" s="286"/>
      <c r="E1994" s="528"/>
      <c r="F1994" s="528"/>
      <c r="G1994" s="528"/>
      <c r="H1994" s="471"/>
      <c r="I1994" s="528"/>
      <c r="J1994" s="528"/>
      <c r="K1994" s="471"/>
    </row>
    <row r="1995" spans="1:11" x14ac:dyDescent="0.2">
      <c r="A1995" s="285"/>
      <c r="B1995" s="285"/>
      <c r="C1995" s="285"/>
      <c r="D1995" s="286"/>
      <c r="E1995" s="528"/>
      <c r="F1995" s="528"/>
      <c r="G1995" s="528"/>
      <c r="H1995" s="471"/>
      <c r="I1995" s="528"/>
      <c r="J1995" s="528"/>
      <c r="K1995" s="471"/>
    </row>
    <row r="1996" spans="1:11" x14ac:dyDescent="0.2">
      <c r="A1996" s="285"/>
      <c r="B1996" s="285"/>
      <c r="C1996" s="285"/>
      <c r="D1996" s="286"/>
      <c r="E1996" s="528"/>
      <c r="F1996" s="528"/>
      <c r="G1996" s="528"/>
      <c r="H1996" s="471"/>
      <c r="I1996" s="528"/>
      <c r="J1996" s="528"/>
      <c r="K1996" s="471"/>
    </row>
    <row r="1997" spans="1:11" x14ac:dyDescent="0.2">
      <c r="A1997" s="285"/>
      <c r="B1997" s="285"/>
      <c r="C1997" s="285"/>
      <c r="D1997" s="286"/>
      <c r="E1997" s="528"/>
      <c r="F1997" s="528"/>
      <c r="G1997" s="528"/>
      <c r="H1997" s="471"/>
      <c r="I1997" s="528"/>
      <c r="J1997" s="528"/>
      <c r="K1997" s="471"/>
    </row>
    <row r="1998" spans="1:11" x14ac:dyDescent="0.2">
      <c r="A1998" s="285"/>
      <c r="B1998" s="285"/>
      <c r="C1998" s="285"/>
      <c r="D1998" s="286"/>
      <c r="E1998" s="528"/>
      <c r="F1998" s="528"/>
      <c r="G1998" s="528"/>
      <c r="H1998" s="471"/>
      <c r="I1998" s="528"/>
      <c r="J1998" s="528"/>
      <c r="K1998" s="471"/>
    </row>
    <row r="1999" spans="1:11" x14ac:dyDescent="0.2">
      <c r="A1999" s="285"/>
      <c r="B1999" s="285"/>
      <c r="C1999" s="285"/>
      <c r="D1999" s="286"/>
      <c r="E1999" s="528"/>
      <c r="F1999" s="528"/>
      <c r="G1999" s="528"/>
      <c r="H1999" s="471"/>
      <c r="I1999" s="528"/>
      <c r="J1999" s="528"/>
      <c r="K1999" s="471"/>
    </row>
    <row r="2000" spans="1:11" x14ac:dyDescent="0.2">
      <c r="A2000" s="285"/>
      <c r="B2000" s="285"/>
      <c r="C2000" s="285"/>
      <c r="D2000" s="286"/>
      <c r="E2000" s="528"/>
      <c r="F2000" s="528"/>
      <c r="G2000" s="528"/>
      <c r="H2000" s="471"/>
      <c r="I2000" s="528"/>
      <c r="J2000" s="528"/>
      <c r="K2000" s="471"/>
    </row>
    <row r="2001" spans="1:11" x14ac:dyDescent="0.2">
      <c r="D2001" s="286"/>
      <c r="E2001" s="286"/>
      <c r="F2001" s="286"/>
      <c r="G2001" s="286"/>
      <c r="H2001" s="292"/>
      <c r="I2001" s="286"/>
      <c r="J2001" s="286"/>
      <c r="K2001" s="285"/>
    </row>
    <row r="2002" spans="1:11" x14ac:dyDescent="0.2">
      <c r="A2002" s="285"/>
      <c r="B2002" s="285"/>
      <c r="C2002" s="285"/>
      <c r="D2002" s="286"/>
      <c r="E2002" s="286"/>
      <c r="F2002" s="286"/>
      <c r="G2002" s="286"/>
      <c r="H2002" s="287"/>
      <c r="I2002" s="286"/>
      <c r="J2002" s="286"/>
      <c r="K2002" s="285"/>
    </row>
    <row r="2003" spans="1:11" x14ac:dyDescent="0.2">
      <c r="A2003" s="285"/>
      <c r="B2003" s="285"/>
      <c r="C2003" s="285"/>
      <c r="D2003" s="286"/>
      <c r="E2003" s="286"/>
      <c r="F2003" s="286"/>
      <c r="G2003" s="286"/>
      <c r="H2003" s="287"/>
      <c r="I2003" s="286"/>
      <c r="J2003" s="286"/>
      <c r="K2003" s="285"/>
    </row>
    <row r="2004" spans="1:11" x14ac:dyDescent="0.2">
      <c r="A2004" s="285"/>
      <c r="B2004" s="285"/>
      <c r="C2004" s="285"/>
      <c r="D2004" s="286"/>
      <c r="E2004" s="286"/>
      <c r="F2004" s="286"/>
      <c r="G2004" s="286"/>
      <c r="H2004" s="287"/>
      <c r="I2004" s="286"/>
      <c r="J2004" s="286"/>
      <c r="K2004" s="285"/>
    </row>
    <row r="2005" spans="1:11" x14ac:dyDescent="0.2">
      <c r="A2005" s="285"/>
      <c r="B2005" s="285"/>
      <c r="C2005" s="285"/>
      <c r="D2005" s="286"/>
      <c r="E2005" s="286"/>
      <c r="F2005" s="286"/>
      <c r="G2005" s="286"/>
      <c r="H2005" s="287"/>
      <c r="I2005" s="286"/>
      <c r="J2005" s="286"/>
      <c r="K2005" s="285"/>
    </row>
    <row r="2006" spans="1:11" x14ac:dyDescent="0.2">
      <c r="A2006" s="285"/>
      <c r="B2006" s="285"/>
      <c r="C2006" s="285"/>
      <c r="D2006" s="286"/>
      <c r="E2006" s="286"/>
      <c r="F2006" s="286"/>
      <c r="G2006" s="286"/>
      <c r="H2006" s="287"/>
      <c r="I2006" s="286"/>
      <c r="J2006" s="286"/>
      <c r="K2006" s="285"/>
    </row>
    <row r="2007" spans="1:11" x14ac:dyDescent="0.2">
      <c r="A2007" s="285"/>
      <c r="B2007" s="285"/>
      <c r="C2007" s="285"/>
      <c r="D2007" s="286"/>
      <c r="E2007" s="286"/>
      <c r="F2007" s="286"/>
      <c r="G2007" s="286"/>
      <c r="H2007" s="287"/>
      <c r="I2007" s="286"/>
      <c r="J2007" s="286"/>
      <c r="K2007" s="285"/>
    </row>
    <row r="2008" spans="1:11" x14ac:dyDescent="0.2">
      <c r="A2008" s="285"/>
      <c r="B2008" s="285"/>
      <c r="C2008" s="285"/>
      <c r="D2008" s="286"/>
      <c r="E2008" s="286"/>
      <c r="F2008" s="286"/>
      <c r="G2008" s="286"/>
      <c r="H2008" s="287"/>
      <c r="I2008" s="286"/>
      <c r="J2008" s="286"/>
      <c r="K2008" s="285"/>
    </row>
    <row r="2009" spans="1:11" x14ac:dyDescent="0.2">
      <c r="A2009" s="285"/>
      <c r="B2009" s="285"/>
      <c r="C2009" s="285"/>
      <c r="D2009" s="286"/>
      <c r="E2009" s="286"/>
      <c r="F2009" s="286"/>
      <c r="G2009" s="286"/>
      <c r="H2009" s="287"/>
      <c r="I2009" s="286"/>
      <c r="J2009" s="286"/>
      <c r="K2009" s="285"/>
    </row>
    <row r="2010" spans="1:11" x14ac:dyDescent="0.2">
      <c r="A2010" s="285"/>
      <c r="B2010" s="285"/>
      <c r="C2010" s="285"/>
      <c r="D2010" s="286"/>
      <c r="E2010" s="286"/>
      <c r="F2010" s="286"/>
      <c r="G2010" s="286"/>
      <c r="H2010" s="287"/>
      <c r="I2010" s="286"/>
      <c r="J2010" s="286"/>
      <c r="K2010" s="285"/>
    </row>
    <row r="2011" spans="1:11" x14ac:dyDescent="0.2">
      <c r="A2011" s="285"/>
      <c r="B2011" s="285"/>
      <c r="C2011" s="285"/>
      <c r="D2011" s="286"/>
      <c r="E2011" s="286"/>
      <c r="F2011" s="286"/>
      <c r="G2011" s="286"/>
      <c r="H2011" s="287"/>
      <c r="I2011" s="286"/>
      <c r="J2011" s="286"/>
      <c r="K2011" s="285"/>
    </row>
    <row r="2012" spans="1:11" x14ac:dyDescent="0.2">
      <c r="A2012" s="285"/>
      <c r="B2012" s="285"/>
      <c r="C2012" s="285"/>
      <c r="D2012" s="286"/>
      <c r="E2012" s="286"/>
      <c r="F2012" s="286"/>
      <c r="G2012" s="286"/>
      <c r="H2012" s="287"/>
      <c r="I2012" s="286"/>
      <c r="J2012" s="286"/>
      <c r="K2012" s="285"/>
    </row>
    <row r="2013" spans="1:11" x14ac:dyDescent="0.2">
      <c r="A2013" s="285"/>
      <c r="B2013" s="285"/>
      <c r="C2013" s="285"/>
      <c r="D2013" s="286"/>
      <c r="E2013" s="286"/>
      <c r="F2013" s="286"/>
      <c r="G2013" s="286"/>
      <c r="H2013" s="287"/>
      <c r="I2013" s="286"/>
      <c r="J2013" s="286"/>
      <c r="K2013" s="285"/>
    </row>
    <row r="2014" spans="1:11" x14ac:dyDescent="0.2">
      <c r="A2014" s="285"/>
      <c r="B2014" s="285"/>
      <c r="C2014" s="285"/>
      <c r="D2014" s="286"/>
      <c r="E2014" s="286"/>
      <c r="F2014" s="286"/>
      <c r="G2014" s="286"/>
      <c r="H2014" s="287"/>
      <c r="I2014" s="286"/>
      <c r="J2014" s="286"/>
      <c r="K2014" s="285"/>
    </row>
    <row r="2016" spans="1:11" x14ac:dyDescent="0.2">
      <c r="A2016" s="285"/>
      <c r="B2016" s="285"/>
      <c r="C2016" s="285"/>
      <c r="D2016" s="286"/>
      <c r="E2016" s="286"/>
      <c r="F2016" s="286"/>
      <c r="G2016" s="286"/>
      <c r="H2016" s="292"/>
      <c r="I2016" s="286"/>
      <c r="J2016" s="286"/>
      <c r="K2016" s="285"/>
    </row>
    <row r="2017" spans="1:11" x14ac:dyDescent="0.2">
      <c r="A2017" s="285"/>
      <c r="B2017" s="285"/>
      <c r="C2017" s="285"/>
      <c r="D2017" s="286"/>
      <c r="E2017" s="286"/>
      <c r="F2017" s="286"/>
      <c r="G2017" s="286"/>
      <c r="H2017" s="292"/>
      <c r="I2017" s="286"/>
      <c r="J2017" s="286"/>
      <c r="K2017" s="285"/>
    </row>
    <row r="2018" spans="1:11" x14ac:dyDescent="0.2">
      <c r="A2018" s="285"/>
      <c r="B2018" s="285"/>
      <c r="C2018" s="285"/>
      <c r="D2018" s="286"/>
      <c r="E2018" s="286"/>
      <c r="F2018" s="286"/>
      <c r="G2018" s="286"/>
      <c r="H2018" s="292"/>
      <c r="I2018" s="286"/>
      <c r="J2018" s="286"/>
      <c r="K2018" s="285"/>
    </row>
    <row r="2019" spans="1:11" x14ac:dyDescent="0.2">
      <c r="A2019" s="285"/>
      <c r="B2019" s="285"/>
      <c r="C2019" s="285"/>
      <c r="D2019" s="286"/>
      <c r="E2019" s="286"/>
      <c r="F2019" s="286"/>
      <c r="G2019" s="286"/>
      <c r="H2019" s="292"/>
      <c r="I2019" s="286"/>
      <c r="J2019" s="286"/>
      <c r="K2019" s="285"/>
    </row>
    <row r="2020" spans="1:11" x14ac:dyDescent="0.2">
      <c r="A2020" s="285"/>
      <c r="B2020" s="285"/>
      <c r="C2020" s="285"/>
      <c r="D2020" s="286"/>
      <c r="E2020" s="286"/>
      <c r="F2020" s="286"/>
      <c r="G2020" s="286"/>
      <c r="H2020" s="292"/>
      <c r="I2020" s="286"/>
      <c r="J2020" s="286"/>
      <c r="K2020" s="285"/>
    </row>
    <row r="2021" spans="1:11" x14ac:dyDescent="0.2">
      <c r="A2021" s="285"/>
      <c r="B2021" s="285"/>
      <c r="C2021" s="285"/>
      <c r="D2021" s="286"/>
      <c r="E2021" s="286"/>
      <c r="F2021" s="286"/>
      <c r="G2021" s="286"/>
      <c r="H2021" s="292"/>
      <c r="I2021" s="286"/>
      <c r="J2021" s="286"/>
      <c r="K2021" s="285"/>
    </row>
    <row r="2022" spans="1:11" x14ac:dyDescent="0.2">
      <c r="A2022" s="285"/>
      <c r="B2022" s="285"/>
      <c r="C2022" s="285"/>
      <c r="D2022" s="286"/>
      <c r="E2022" s="286"/>
      <c r="F2022" s="286"/>
      <c r="G2022" s="286"/>
      <c r="H2022" s="292"/>
      <c r="I2022" s="286"/>
      <c r="J2022" s="286"/>
      <c r="K2022" s="285"/>
    </row>
    <row r="2023" spans="1:11" x14ac:dyDescent="0.2">
      <c r="A2023" s="285"/>
      <c r="B2023" s="285"/>
      <c r="C2023" s="285"/>
      <c r="D2023" s="286"/>
      <c r="E2023" s="286"/>
      <c r="F2023" s="286"/>
      <c r="G2023" s="286"/>
      <c r="H2023" s="292"/>
      <c r="I2023" s="286"/>
      <c r="J2023" s="286"/>
      <c r="K2023" s="285"/>
    </row>
    <row r="2024" spans="1:11" x14ac:dyDescent="0.2">
      <c r="A2024" s="285"/>
      <c r="B2024" s="285"/>
      <c r="C2024" s="285"/>
      <c r="D2024" s="286"/>
      <c r="E2024" s="296"/>
      <c r="F2024" s="286"/>
      <c r="G2024" s="286"/>
      <c r="H2024" s="292"/>
      <c r="I2024" s="286"/>
      <c r="J2024" s="286"/>
      <c r="K2024" s="285"/>
    </row>
    <row r="2025" spans="1:11" x14ac:dyDescent="0.2">
      <c r="A2025" s="285"/>
      <c r="B2025" s="285"/>
      <c r="C2025" s="285"/>
      <c r="D2025" s="286"/>
      <c r="E2025" s="286"/>
      <c r="F2025" s="286"/>
      <c r="G2025" s="286"/>
      <c r="H2025" s="292"/>
      <c r="I2025" s="328"/>
      <c r="J2025" s="286"/>
      <c r="K2025" s="285"/>
    </row>
    <row r="2026" spans="1:11" x14ac:dyDescent="0.2">
      <c r="A2026" s="285"/>
      <c r="B2026" s="285"/>
      <c r="C2026" s="285"/>
      <c r="D2026" s="286"/>
      <c r="E2026" s="286"/>
      <c r="F2026" s="286"/>
      <c r="G2026" s="286"/>
      <c r="H2026" s="292"/>
      <c r="I2026" s="292"/>
      <c r="J2026" s="286"/>
      <c r="K2026" s="285"/>
    </row>
    <row r="2027" spans="1:11" x14ac:dyDescent="0.2">
      <c r="A2027" s="285"/>
      <c r="B2027" s="285"/>
      <c r="C2027" s="285"/>
      <c r="D2027" s="286"/>
      <c r="E2027" s="286"/>
      <c r="F2027" s="286"/>
      <c r="G2027" s="286"/>
      <c r="H2027" s="292"/>
      <c r="I2027" s="286"/>
      <c r="J2027" s="286"/>
      <c r="K2027" s="285"/>
    </row>
    <row r="2028" spans="1:11" x14ac:dyDescent="0.2">
      <c r="A2028" s="285"/>
      <c r="B2028" s="285"/>
      <c r="C2028" s="285"/>
      <c r="D2028" s="286"/>
      <c r="E2028" s="286"/>
      <c r="F2028" s="286"/>
      <c r="G2028" s="286"/>
      <c r="H2028" s="292"/>
      <c r="I2028" s="292"/>
      <c r="J2028" s="286"/>
      <c r="K2028" s="285"/>
    </row>
    <row r="2029" spans="1:11" x14ac:dyDescent="0.2">
      <c r="A2029" s="285"/>
      <c r="B2029" s="285"/>
      <c r="C2029" s="285"/>
      <c r="D2029" s="286"/>
      <c r="E2029" s="286"/>
      <c r="F2029" s="286"/>
      <c r="G2029" s="286"/>
      <c r="H2029" s="292"/>
      <c r="I2029" s="292"/>
      <c r="J2029" s="286"/>
      <c r="K2029" s="285"/>
    </row>
    <row r="2030" spans="1:11" x14ac:dyDescent="0.2">
      <c r="A2030" s="285"/>
      <c r="B2030" s="285"/>
      <c r="C2030" s="285"/>
      <c r="D2030" s="286"/>
      <c r="E2030" s="286"/>
      <c r="F2030" s="286"/>
      <c r="G2030" s="286"/>
      <c r="H2030" s="292"/>
      <c r="I2030" s="292"/>
      <c r="J2030" s="286"/>
      <c r="K2030" s="285"/>
    </row>
    <row r="2031" spans="1:11" x14ac:dyDescent="0.2">
      <c r="A2031" s="285"/>
      <c r="B2031" s="285"/>
      <c r="C2031" s="285"/>
      <c r="D2031" s="286"/>
      <c r="E2031" s="286"/>
      <c r="F2031" s="286"/>
      <c r="G2031" s="286"/>
      <c r="H2031" s="292"/>
      <c r="I2031" s="286"/>
      <c r="J2031" s="286"/>
      <c r="K2031" s="285"/>
    </row>
    <row r="2032" spans="1:11" x14ac:dyDescent="0.2">
      <c r="A2032" s="285"/>
      <c r="B2032" s="285"/>
      <c r="C2032" s="285"/>
      <c r="D2032" s="286"/>
      <c r="E2032" s="286"/>
      <c r="F2032" s="286"/>
      <c r="G2032" s="286"/>
      <c r="H2032" s="292"/>
      <c r="I2032" s="286"/>
      <c r="J2032" s="286"/>
      <c r="K2032" s="285"/>
    </row>
    <row r="2033" spans="1:11" x14ac:dyDescent="0.2">
      <c r="A2033" s="285"/>
      <c r="B2033" s="285"/>
      <c r="C2033" s="285"/>
      <c r="D2033" s="286"/>
      <c r="E2033" s="286"/>
      <c r="F2033" s="286"/>
      <c r="G2033" s="286"/>
      <c r="H2033" s="292"/>
      <c r="I2033" s="286"/>
      <c r="J2033" s="286"/>
      <c r="K2033" s="285"/>
    </row>
    <row r="2034" spans="1:11" x14ac:dyDescent="0.2">
      <c r="A2034" s="285"/>
      <c r="B2034" s="285"/>
      <c r="C2034" s="285"/>
      <c r="D2034" s="286"/>
      <c r="E2034" s="286"/>
      <c r="F2034" s="286"/>
      <c r="G2034" s="286"/>
      <c r="H2034" s="292"/>
      <c r="J2034" s="286"/>
      <c r="K2034" s="285"/>
    </row>
    <row r="2035" spans="1:11" x14ac:dyDescent="0.2">
      <c r="A2035" s="285"/>
      <c r="B2035" s="285"/>
      <c r="C2035" s="285"/>
      <c r="D2035" s="286"/>
      <c r="E2035" s="286"/>
      <c r="F2035" s="286"/>
      <c r="G2035" s="286"/>
      <c r="H2035" s="292"/>
      <c r="I2035" s="286"/>
      <c r="J2035" s="286"/>
      <c r="K2035" s="285"/>
    </row>
    <row r="2036" spans="1:11" x14ac:dyDescent="0.2">
      <c r="A2036" s="285"/>
      <c r="B2036" s="285"/>
      <c r="C2036" s="285"/>
      <c r="D2036" s="286"/>
      <c r="E2036" s="286"/>
      <c r="F2036" s="286"/>
      <c r="G2036" s="286"/>
      <c r="H2036" s="292"/>
      <c r="I2036" s="286"/>
      <c r="J2036" s="286"/>
      <c r="K2036" s="285"/>
    </row>
    <row r="2037" spans="1:11" x14ac:dyDescent="0.2">
      <c r="A2037" s="285"/>
      <c r="B2037" s="285"/>
      <c r="C2037" s="285"/>
      <c r="D2037" s="286"/>
      <c r="E2037" s="286"/>
      <c r="F2037" s="286"/>
      <c r="G2037" s="286"/>
      <c r="H2037" s="292"/>
      <c r="I2037" s="286"/>
      <c r="J2037" s="286"/>
      <c r="K2037" s="285"/>
    </row>
    <row r="2038" spans="1:11" x14ac:dyDescent="0.2">
      <c r="A2038" s="285"/>
      <c r="B2038" s="285"/>
      <c r="C2038" s="285"/>
      <c r="D2038" s="286"/>
      <c r="E2038" s="286"/>
      <c r="F2038" s="286"/>
      <c r="G2038" s="286"/>
      <c r="H2038" s="292"/>
      <c r="I2038" s="286"/>
      <c r="J2038" s="286"/>
      <c r="K2038" s="285"/>
    </row>
    <row r="2039" spans="1:11" x14ac:dyDescent="0.2">
      <c r="A2039" s="285"/>
      <c r="B2039" s="285"/>
      <c r="C2039" s="285"/>
      <c r="D2039" s="286"/>
      <c r="E2039" s="286"/>
      <c r="F2039" s="286"/>
      <c r="G2039" s="286"/>
      <c r="H2039" s="292"/>
      <c r="I2039" s="286"/>
      <c r="J2039" s="286"/>
      <c r="K2039" s="285"/>
    </row>
    <row r="2041" spans="1:11" x14ac:dyDescent="0.2">
      <c r="A2041" s="285"/>
      <c r="B2041" s="285"/>
      <c r="C2041" s="285"/>
      <c r="D2041" s="286"/>
      <c r="E2041" s="286"/>
      <c r="F2041" s="286"/>
      <c r="G2041" s="286"/>
      <c r="H2041" s="287"/>
      <c r="I2041" s="286"/>
      <c r="J2041" s="286"/>
      <c r="K2041" s="285"/>
    </row>
    <row r="2042" spans="1:11" x14ac:dyDescent="0.2">
      <c r="A2042" s="285"/>
      <c r="B2042" s="285"/>
      <c r="C2042" s="285"/>
      <c r="D2042" s="286"/>
      <c r="E2042" s="286"/>
      <c r="F2042" s="286"/>
      <c r="G2042" s="286"/>
      <c r="H2042" s="287"/>
      <c r="I2042" s="286"/>
      <c r="J2042" s="286"/>
      <c r="K2042" s="285"/>
    </row>
    <row r="2043" spans="1:11" x14ac:dyDescent="0.2">
      <c r="A2043" s="285"/>
      <c r="B2043" s="285"/>
      <c r="C2043" s="285"/>
      <c r="D2043" s="286"/>
      <c r="E2043" s="286"/>
      <c r="F2043" s="286"/>
      <c r="G2043" s="286"/>
      <c r="H2043" s="287"/>
      <c r="I2043" s="286"/>
      <c r="J2043" s="286"/>
      <c r="K2043" s="285"/>
    </row>
    <row r="2044" spans="1:11" x14ac:dyDescent="0.2">
      <c r="A2044" s="285"/>
      <c r="B2044" s="285"/>
      <c r="C2044" s="285"/>
      <c r="D2044" s="286"/>
      <c r="E2044" s="286"/>
      <c r="F2044" s="286"/>
      <c r="G2044" s="286"/>
      <c r="H2044" s="287"/>
      <c r="I2044" s="286"/>
      <c r="J2044" s="286"/>
      <c r="K2044" s="285"/>
    </row>
    <row r="2045" spans="1:11" x14ac:dyDescent="0.2">
      <c r="A2045" s="285"/>
      <c r="B2045" s="285"/>
      <c r="C2045" s="285"/>
      <c r="D2045" s="286"/>
      <c r="E2045" s="286"/>
      <c r="F2045" s="286"/>
      <c r="G2045" s="286"/>
      <c r="H2045" s="287"/>
      <c r="I2045" s="286"/>
      <c r="J2045" s="286"/>
      <c r="K2045" s="285"/>
    </row>
    <row r="2046" spans="1:11" x14ac:dyDescent="0.2">
      <c r="A2046" s="285"/>
      <c r="B2046" s="285"/>
      <c r="C2046" s="285"/>
      <c r="D2046" s="286"/>
      <c r="E2046" s="286"/>
      <c r="F2046" s="286"/>
      <c r="G2046" s="286"/>
      <c r="H2046" s="287"/>
      <c r="I2046" s="286"/>
      <c r="J2046" s="286"/>
      <c r="K2046" s="285"/>
    </row>
    <row r="2047" spans="1:11" x14ac:dyDescent="0.2">
      <c r="D2047" s="286"/>
      <c r="E2047" s="286"/>
      <c r="F2047" s="286"/>
      <c r="G2047" s="286"/>
      <c r="H2047" s="287"/>
      <c r="I2047" s="286"/>
      <c r="J2047" s="286"/>
      <c r="K2047" s="285"/>
    </row>
    <row r="2048" spans="1:11" x14ac:dyDescent="0.2">
      <c r="A2048" s="285"/>
      <c r="B2048" s="285"/>
      <c r="C2048" s="285"/>
      <c r="D2048" s="286"/>
      <c r="E2048" s="286"/>
      <c r="F2048" s="286"/>
      <c r="G2048" s="286"/>
      <c r="H2048" s="287"/>
      <c r="I2048" s="286"/>
      <c r="J2048" s="286"/>
      <c r="K2048" s="285"/>
    </row>
    <row r="2049" spans="1:11" x14ac:dyDescent="0.2">
      <c r="A2049" s="285"/>
      <c r="B2049" s="285"/>
      <c r="C2049" s="285"/>
      <c r="D2049" s="286"/>
      <c r="E2049" s="286"/>
      <c r="F2049" s="286"/>
      <c r="G2049" s="286"/>
      <c r="H2049" s="292"/>
      <c r="I2049" s="286"/>
      <c r="J2049" s="286"/>
      <c r="K2049" s="285"/>
    </row>
    <row r="2050" spans="1:11" x14ac:dyDescent="0.2">
      <c r="A2050" s="285"/>
      <c r="B2050" s="285"/>
      <c r="C2050" s="285"/>
      <c r="D2050" s="530"/>
      <c r="E2050" s="530"/>
      <c r="F2050" s="530"/>
      <c r="G2050" s="530"/>
      <c r="H2050" s="530"/>
      <c r="I2050" s="530"/>
      <c r="J2050" s="530"/>
      <c r="K2050" s="531"/>
    </row>
    <row r="2051" spans="1:11" x14ac:dyDescent="0.2">
      <c r="A2051" s="285"/>
      <c r="B2051" s="285"/>
      <c r="C2051" s="285"/>
      <c r="D2051" s="530"/>
      <c r="E2051" s="530"/>
      <c r="F2051" s="530"/>
      <c r="G2051" s="286"/>
      <c r="H2051" s="530"/>
      <c r="I2051" s="530"/>
      <c r="J2051" s="530"/>
      <c r="K2051" s="531"/>
    </row>
    <row r="2052" spans="1:11" x14ac:dyDescent="0.2">
      <c r="A2052" s="285"/>
      <c r="B2052" s="285"/>
      <c r="C2052" s="285"/>
      <c r="D2052" s="530"/>
      <c r="E2052" s="530"/>
      <c r="F2052" s="530"/>
      <c r="G2052" s="530"/>
      <c r="H2052" s="530"/>
      <c r="I2052" s="530"/>
      <c r="J2052" s="530"/>
      <c r="K2052" s="531"/>
    </row>
    <row r="2053" spans="1:11" x14ac:dyDescent="0.2">
      <c r="A2053" s="285"/>
      <c r="B2053" s="285"/>
      <c r="C2053" s="285"/>
      <c r="D2053" s="530"/>
      <c r="E2053" s="530"/>
      <c r="F2053" s="530"/>
      <c r="G2053" s="530"/>
      <c r="H2053" s="530"/>
      <c r="I2053" s="530"/>
      <c r="J2053" s="530"/>
      <c r="K2053" s="531"/>
    </row>
    <row r="2054" spans="1:11" x14ac:dyDescent="0.2">
      <c r="A2054" s="285"/>
      <c r="B2054" s="285"/>
      <c r="C2054" s="285"/>
      <c r="D2054" s="530"/>
      <c r="E2054" s="530"/>
      <c r="F2054" s="530"/>
      <c r="G2054" s="530"/>
      <c r="H2054" s="530"/>
      <c r="I2054" s="530"/>
      <c r="J2054" s="530"/>
      <c r="K2054" s="531"/>
    </row>
    <row r="2055" spans="1:11" x14ac:dyDescent="0.2">
      <c r="A2055" s="285"/>
      <c r="B2055" s="285"/>
      <c r="C2055" s="285"/>
      <c r="D2055" s="530"/>
      <c r="E2055" s="530"/>
      <c r="F2055" s="530"/>
      <c r="G2055" s="530"/>
      <c r="H2055" s="530"/>
      <c r="I2055" s="530"/>
      <c r="J2055" s="530"/>
      <c r="K2055" s="531"/>
    </row>
    <row r="2056" spans="1:11" x14ac:dyDescent="0.2">
      <c r="A2056" s="285"/>
      <c r="B2056" s="285"/>
      <c r="C2056" s="285"/>
      <c r="D2056" s="643"/>
      <c r="E2056" s="643"/>
      <c r="F2056" s="643"/>
      <c r="G2056" s="643"/>
      <c r="H2056" s="643"/>
      <c r="I2056" s="643"/>
      <c r="J2056" s="643"/>
      <c r="K2056" s="644"/>
    </row>
    <row r="2057" spans="1:11" x14ac:dyDescent="0.2">
      <c r="A2057" s="285"/>
      <c r="B2057" s="285"/>
      <c r="C2057" s="285"/>
      <c r="D2057" s="643"/>
      <c r="E2057" s="643"/>
      <c r="F2057" s="643"/>
      <c r="G2057" s="643"/>
      <c r="H2057" s="643"/>
      <c r="I2057" s="643"/>
      <c r="J2057" s="643"/>
      <c r="K2057" s="644"/>
    </row>
    <row r="2058" spans="1:11" x14ac:dyDescent="0.2">
      <c r="A2058" s="285"/>
      <c r="B2058" s="285"/>
      <c r="C2058" s="285"/>
      <c r="D2058" s="643"/>
      <c r="E2058" s="644"/>
      <c r="F2058" s="643"/>
      <c r="G2058" s="643"/>
      <c r="H2058" s="643"/>
      <c r="I2058" s="643"/>
      <c r="J2058" s="643"/>
      <c r="K2058" s="644"/>
    </row>
    <row r="2059" spans="1:11" x14ac:dyDescent="0.2">
      <c r="A2059" s="285"/>
      <c r="B2059" s="285"/>
      <c r="C2059" s="285"/>
      <c r="D2059" s="643"/>
      <c r="E2059" s="644"/>
      <c r="F2059" s="643"/>
      <c r="G2059" s="643"/>
      <c r="H2059" s="643"/>
      <c r="I2059" s="643"/>
      <c r="J2059" s="643"/>
      <c r="K2059" s="644"/>
    </row>
    <row r="2060" spans="1:11" x14ac:dyDescent="0.2">
      <c r="A2060" s="285"/>
      <c r="B2060" s="285"/>
      <c r="C2060" s="285"/>
      <c r="D2060" s="286"/>
      <c r="E2060" s="286"/>
      <c r="F2060" s="286"/>
      <c r="G2060" s="286"/>
      <c r="H2060" s="287"/>
      <c r="I2060" s="286"/>
      <c r="J2060" s="286"/>
      <c r="K2060" s="531"/>
    </row>
    <row r="2061" spans="1:11" x14ac:dyDescent="0.2">
      <c r="A2061" s="285"/>
      <c r="B2061" s="285"/>
      <c r="C2061" s="285"/>
      <c r="D2061" s="530"/>
      <c r="E2061" s="530"/>
      <c r="F2061" s="530"/>
      <c r="G2061" s="530"/>
      <c r="H2061" s="530"/>
      <c r="I2061" s="530"/>
      <c r="J2061" s="530"/>
      <c r="K2061" s="531"/>
    </row>
    <row r="2062" spans="1:11" x14ac:dyDescent="0.2">
      <c r="A2062" s="285"/>
      <c r="B2062" s="285"/>
      <c r="C2062" s="285"/>
      <c r="D2062" s="530"/>
      <c r="E2062" s="530"/>
      <c r="F2062" s="530"/>
      <c r="G2062" s="530"/>
      <c r="H2062" s="530"/>
      <c r="I2062" s="530"/>
      <c r="J2062" s="530"/>
      <c r="K2062" s="531"/>
    </row>
    <row r="2063" spans="1:11" x14ac:dyDescent="0.2">
      <c r="A2063" s="285"/>
      <c r="B2063" s="285"/>
      <c r="C2063" s="285"/>
      <c r="D2063" s="530"/>
      <c r="E2063" s="530"/>
      <c r="F2063" s="530"/>
      <c r="G2063" s="530"/>
      <c r="H2063" s="530"/>
      <c r="I2063" s="530"/>
      <c r="J2063" s="530"/>
      <c r="K2063" s="531"/>
    </row>
    <row r="2064" spans="1:11" x14ac:dyDescent="0.2">
      <c r="A2064" s="285"/>
      <c r="B2064" s="285"/>
      <c r="C2064" s="285"/>
      <c r="D2064" s="530"/>
      <c r="E2064" s="530"/>
      <c r="F2064" s="530"/>
      <c r="G2064" s="530"/>
      <c r="H2064" s="530"/>
      <c r="I2064" s="530"/>
      <c r="J2064" s="530"/>
      <c r="K2064" s="531"/>
    </row>
    <row r="2065" spans="1:11" x14ac:dyDescent="0.2">
      <c r="A2065" s="285"/>
      <c r="B2065" s="285"/>
      <c r="C2065" s="285"/>
      <c r="D2065" s="530"/>
      <c r="E2065" s="530"/>
      <c r="F2065" s="530"/>
      <c r="G2065" s="530"/>
      <c r="H2065" s="530"/>
      <c r="I2065" s="530"/>
      <c r="J2065" s="530"/>
      <c r="K2065" s="531"/>
    </row>
    <row r="2066" spans="1:11" x14ac:dyDescent="0.2">
      <c r="A2066" s="285"/>
      <c r="B2066" s="285"/>
      <c r="C2066" s="285"/>
      <c r="D2066" s="530"/>
      <c r="E2066" s="530"/>
      <c r="F2066" s="530"/>
      <c r="G2066" s="530"/>
      <c r="H2066" s="530"/>
      <c r="I2066" s="530"/>
      <c r="J2066" s="530"/>
      <c r="K2066" s="531"/>
    </row>
    <row r="2067" spans="1:11" x14ac:dyDescent="0.2">
      <c r="A2067" s="285"/>
      <c r="B2067" s="285"/>
      <c r="C2067" s="285"/>
      <c r="D2067" s="530"/>
      <c r="E2067" s="530"/>
      <c r="F2067" s="530"/>
      <c r="G2067" s="530"/>
      <c r="H2067" s="530"/>
      <c r="I2067" s="530"/>
      <c r="J2067" s="530"/>
      <c r="K2067" s="531"/>
    </row>
    <row r="2068" spans="1:11" x14ac:dyDescent="0.2">
      <c r="A2068" s="285"/>
      <c r="B2068" s="285"/>
      <c r="C2068" s="285"/>
      <c r="D2068" s="530"/>
      <c r="E2068" s="530"/>
      <c r="F2068" s="530"/>
      <c r="G2068" s="530"/>
      <c r="H2068" s="530"/>
      <c r="I2068" s="530"/>
      <c r="J2068" s="530"/>
      <c r="K2068" s="531"/>
    </row>
    <row r="2069" spans="1:11" x14ac:dyDescent="0.2">
      <c r="A2069" s="285"/>
      <c r="B2069" s="285"/>
      <c r="C2069" s="285"/>
      <c r="D2069" s="530"/>
      <c r="E2069" s="530"/>
      <c r="F2069" s="530"/>
      <c r="G2069" s="530"/>
      <c r="H2069" s="530"/>
      <c r="I2069" s="530"/>
      <c r="J2069" s="530"/>
      <c r="K2069" s="531"/>
    </row>
    <row r="2070" spans="1:11" x14ac:dyDescent="0.2">
      <c r="A2070" s="285"/>
      <c r="B2070" s="285"/>
      <c r="C2070" s="285"/>
      <c r="D2070" s="530"/>
      <c r="E2070" s="530"/>
      <c r="F2070" s="530"/>
      <c r="G2070" s="530"/>
      <c r="H2070" s="530"/>
      <c r="I2070" s="530"/>
      <c r="J2070" s="530"/>
      <c r="K2070" s="531"/>
    </row>
    <row r="2071" spans="1:11" x14ac:dyDescent="0.2">
      <c r="D2071" s="530"/>
      <c r="E2071" s="530"/>
      <c r="F2071" s="530"/>
      <c r="G2071" s="530"/>
      <c r="H2071" s="530"/>
      <c r="I2071" s="530"/>
      <c r="J2071" s="530"/>
      <c r="K2071" s="531"/>
    </row>
    <row r="2072" spans="1:11" x14ac:dyDescent="0.2">
      <c r="A2072" s="285"/>
      <c r="B2072" s="285"/>
      <c r="C2072" s="285"/>
      <c r="D2072" s="530"/>
      <c r="E2072" s="645"/>
      <c r="F2072" s="645"/>
      <c r="G2072" s="645"/>
      <c r="H2072" s="646"/>
      <c r="I2072" s="645"/>
      <c r="J2072" s="645"/>
      <c r="K2072" s="531"/>
    </row>
    <row r="2073" spans="1:11" x14ac:dyDescent="0.2">
      <c r="A2073" s="285"/>
      <c r="B2073" s="285"/>
      <c r="C2073" s="285"/>
      <c r="D2073" s="530"/>
      <c r="E2073" s="647"/>
      <c r="F2073" s="647"/>
      <c r="G2073" s="647"/>
      <c r="H2073" s="647"/>
      <c r="I2073" s="647"/>
      <c r="J2073" s="647"/>
      <c r="K2073" s="531"/>
    </row>
    <row r="2074" spans="1:11" x14ac:dyDescent="0.2">
      <c r="A2074" s="285"/>
      <c r="B2074" s="285"/>
      <c r="C2074" s="285"/>
      <c r="D2074" s="530"/>
      <c r="E2074" s="647"/>
      <c r="F2074" s="647"/>
      <c r="G2074" s="647"/>
      <c r="H2074" s="647"/>
      <c r="I2074" s="647"/>
      <c r="J2074" s="647"/>
      <c r="K2074" s="531"/>
    </row>
    <row r="2075" spans="1:11" x14ac:dyDescent="0.2">
      <c r="A2075" s="285"/>
      <c r="B2075" s="285"/>
      <c r="C2075" s="285"/>
      <c r="D2075" s="530"/>
      <c r="E2075" s="647"/>
      <c r="F2075" s="647"/>
      <c r="G2075" s="647"/>
      <c r="H2075" s="648"/>
      <c r="I2075" s="647"/>
      <c r="J2075" s="647"/>
      <c r="K2075" s="531"/>
    </row>
    <row r="2077" spans="1:11" x14ac:dyDescent="0.2">
      <c r="A2077" s="285"/>
      <c r="B2077" s="285"/>
      <c r="C2077" s="285"/>
      <c r="D2077" s="286"/>
      <c r="E2077" s="286"/>
      <c r="F2077" s="286"/>
      <c r="G2077" s="286"/>
      <c r="H2077" s="286"/>
      <c r="I2077" s="286"/>
      <c r="J2077" s="286"/>
      <c r="K2077" s="285"/>
    </row>
    <row r="2078" spans="1:11" x14ac:dyDescent="0.2">
      <c r="A2078" s="285"/>
      <c r="B2078" s="285"/>
      <c r="C2078" s="285"/>
      <c r="D2078" s="286"/>
      <c r="E2078" s="286"/>
      <c r="F2078" s="286"/>
      <c r="G2078" s="286"/>
      <c r="H2078" s="286"/>
      <c r="I2078" s="286"/>
      <c r="J2078" s="286"/>
      <c r="K2078" s="285"/>
    </row>
    <row r="2079" spans="1:11" x14ac:dyDescent="0.2">
      <c r="A2079" s="285"/>
      <c r="B2079" s="285"/>
      <c r="C2079" s="285"/>
      <c r="D2079" s="286"/>
      <c r="E2079" s="286"/>
      <c r="F2079" s="286"/>
      <c r="G2079" s="286"/>
      <c r="H2079" s="286"/>
      <c r="I2079" s="286"/>
      <c r="J2079" s="286"/>
      <c r="K2079" s="285"/>
    </row>
    <row r="2080" spans="1:11" x14ac:dyDescent="0.2">
      <c r="A2080" s="285"/>
      <c r="B2080" s="285"/>
      <c r="C2080" s="285"/>
      <c r="D2080" s="286"/>
      <c r="E2080" s="286"/>
      <c r="F2080" s="286"/>
      <c r="G2080" s="286"/>
      <c r="H2080" s="286"/>
      <c r="I2080" s="286"/>
      <c r="J2080" s="286"/>
      <c r="K2080" s="285"/>
    </row>
    <row r="2081" spans="1:11" x14ac:dyDescent="0.2">
      <c r="A2081" s="285"/>
      <c r="B2081" s="285"/>
      <c r="C2081" s="285"/>
      <c r="D2081" s="286"/>
      <c r="E2081" s="286"/>
      <c r="F2081" s="286"/>
      <c r="G2081" s="286"/>
      <c r="H2081" s="286"/>
      <c r="I2081" s="286"/>
      <c r="J2081" s="286"/>
      <c r="K2081" s="285"/>
    </row>
    <row r="2082" spans="1:11" x14ac:dyDescent="0.2">
      <c r="A2082" s="285"/>
      <c r="B2082" s="285"/>
      <c r="C2082" s="285"/>
      <c r="D2082" s="286"/>
      <c r="E2082" s="286"/>
      <c r="F2082" s="286"/>
      <c r="G2082" s="286"/>
      <c r="H2082" s="286"/>
      <c r="I2082" s="286"/>
      <c r="J2082" s="286"/>
      <c r="K2082" s="285"/>
    </row>
    <row r="2083" spans="1:11" x14ac:dyDescent="0.2">
      <c r="A2083" s="285"/>
      <c r="B2083" s="285"/>
      <c r="C2083" s="285"/>
      <c r="D2083" s="286"/>
      <c r="E2083" s="286"/>
      <c r="F2083" s="286"/>
      <c r="G2083" s="286"/>
      <c r="H2083" s="286"/>
      <c r="I2083" s="286"/>
      <c r="J2083" s="286"/>
      <c r="K2083" s="285"/>
    </row>
    <row r="2084" spans="1:11" x14ac:dyDescent="0.2">
      <c r="A2084" s="285"/>
      <c r="B2084" s="285"/>
      <c r="C2084" s="285"/>
      <c r="D2084" s="286"/>
      <c r="E2084" s="286"/>
      <c r="F2084" s="286"/>
      <c r="G2084" s="286"/>
      <c r="H2084" s="286"/>
      <c r="I2084" s="286"/>
      <c r="J2084" s="286"/>
      <c r="K2084" s="285"/>
    </row>
    <row r="2085" spans="1:11" x14ac:dyDescent="0.2">
      <c r="A2085" s="285"/>
      <c r="B2085" s="285"/>
      <c r="C2085" s="285"/>
      <c r="D2085" s="286"/>
      <c r="E2085" s="286"/>
      <c r="F2085" s="286"/>
      <c r="G2085" s="286"/>
      <c r="H2085" s="286"/>
      <c r="I2085" s="286"/>
      <c r="J2085" s="286"/>
      <c r="K2085" s="285"/>
    </row>
    <row r="2086" spans="1:11" x14ac:dyDescent="0.2">
      <c r="A2086" s="285"/>
      <c r="B2086" s="285"/>
      <c r="C2086" s="285"/>
      <c r="D2086" s="286"/>
      <c r="E2086" s="286"/>
      <c r="F2086" s="286"/>
      <c r="G2086" s="286"/>
      <c r="H2086" s="286"/>
      <c r="I2086" s="286"/>
      <c r="J2086" s="286"/>
      <c r="K2086" s="285"/>
    </row>
    <row r="2087" spans="1:11" x14ac:dyDescent="0.2">
      <c r="A2087" s="285"/>
      <c r="B2087" s="285"/>
      <c r="C2087" s="285"/>
      <c r="D2087" s="286"/>
      <c r="E2087" s="286"/>
      <c r="F2087" s="286"/>
      <c r="G2087" s="286"/>
      <c r="H2087" s="286"/>
      <c r="I2087" s="286"/>
      <c r="J2087" s="286"/>
      <c r="K2087" s="285"/>
    </row>
    <row r="2088" spans="1:11" x14ac:dyDescent="0.2">
      <c r="A2088" s="285"/>
      <c r="B2088" s="285"/>
      <c r="C2088" s="285"/>
      <c r="D2088" s="286"/>
      <c r="E2088" s="286"/>
      <c r="F2088" s="286"/>
      <c r="G2088" s="286"/>
      <c r="H2088" s="286"/>
      <c r="I2088" s="286"/>
      <c r="J2088" s="286"/>
      <c r="K2088" s="285"/>
    </row>
    <row r="2089" spans="1:11" x14ac:dyDescent="0.2">
      <c r="A2089" s="285"/>
      <c r="B2089" s="285"/>
      <c r="C2089" s="285"/>
      <c r="D2089" s="286"/>
      <c r="E2089" s="286"/>
      <c r="F2089" s="286"/>
      <c r="G2089" s="286"/>
      <c r="H2089" s="286"/>
      <c r="I2089" s="286"/>
      <c r="J2089" s="286"/>
      <c r="K2089" s="285"/>
    </row>
    <row r="2090" spans="1:11" x14ac:dyDescent="0.2">
      <c r="A2090" s="285"/>
      <c r="B2090" s="285"/>
      <c r="C2090" s="285"/>
      <c r="D2090" s="286"/>
      <c r="E2090" s="286"/>
      <c r="F2090" s="286"/>
      <c r="G2090" s="286"/>
      <c r="H2090" s="286"/>
      <c r="I2090" s="286"/>
      <c r="J2090" s="286"/>
      <c r="K2090" s="285"/>
    </row>
    <row r="2091" spans="1:11" x14ac:dyDescent="0.2">
      <c r="A2091" s="285"/>
      <c r="B2091" s="285"/>
      <c r="C2091" s="285"/>
      <c r="D2091" s="286"/>
      <c r="E2091" s="286"/>
      <c r="F2091" s="286"/>
      <c r="G2091" s="286"/>
      <c r="H2091" s="286"/>
      <c r="I2091" s="286"/>
      <c r="J2091" s="286"/>
      <c r="K2091" s="285"/>
    </row>
    <row r="2092" spans="1:11" x14ac:dyDescent="0.2">
      <c r="A2092" s="285"/>
      <c r="B2092" s="285"/>
      <c r="C2092" s="285"/>
      <c r="D2092" s="286"/>
      <c r="E2092" s="286"/>
      <c r="F2092" s="286"/>
      <c r="G2092" s="286"/>
      <c r="H2092" s="286"/>
      <c r="I2092" s="286"/>
      <c r="J2092" s="286"/>
      <c r="K2092" s="285"/>
    </row>
    <row r="2093" spans="1:11" x14ac:dyDescent="0.2">
      <c r="A2093" s="285"/>
      <c r="B2093" s="285"/>
      <c r="C2093" s="285"/>
      <c r="D2093" s="286"/>
      <c r="E2093" s="286"/>
      <c r="F2093" s="286"/>
      <c r="G2093" s="286"/>
      <c r="H2093" s="286"/>
      <c r="I2093" s="286"/>
      <c r="J2093" s="286"/>
      <c r="K2093" s="285"/>
    </row>
    <row r="2094" spans="1:11" x14ac:dyDescent="0.2">
      <c r="A2094" s="285"/>
      <c r="B2094" s="285"/>
      <c r="C2094" s="285"/>
      <c r="D2094" s="286"/>
      <c r="E2094" s="286"/>
      <c r="F2094" s="286"/>
      <c r="G2094" s="286"/>
      <c r="H2094" s="286"/>
      <c r="I2094" s="286"/>
      <c r="J2094" s="286"/>
      <c r="K2094" s="285"/>
    </row>
    <row r="2096" spans="1:11" x14ac:dyDescent="0.2">
      <c r="A2096" s="285"/>
      <c r="B2096" s="285"/>
      <c r="C2096" s="285"/>
      <c r="D2096" s="286"/>
      <c r="E2096" s="286"/>
      <c r="F2096" s="286"/>
      <c r="G2096" s="286"/>
      <c r="H2096" s="286"/>
      <c r="I2096" s="286"/>
      <c r="J2096" s="286"/>
      <c r="K2096" s="285"/>
    </row>
    <row r="2097" spans="1:11" x14ac:dyDescent="0.2">
      <c r="A2097" s="285"/>
      <c r="B2097" s="285"/>
      <c r="C2097" s="285"/>
      <c r="D2097" s="286"/>
      <c r="E2097" s="286"/>
      <c r="F2097" s="286"/>
      <c r="G2097" s="286"/>
      <c r="H2097" s="286"/>
      <c r="I2097" s="286"/>
      <c r="J2097" s="286"/>
      <c r="K2097" s="285"/>
    </row>
    <row r="2098" spans="1:11" x14ac:dyDescent="0.2">
      <c r="A2098" s="285"/>
      <c r="B2098" s="285"/>
      <c r="C2098" s="285"/>
      <c r="D2098" s="286"/>
      <c r="E2098" s="286"/>
      <c r="F2098" s="286"/>
      <c r="G2098" s="286"/>
      <c r="H2098" s="286"/>
      <c r="I2098" s="286"/>
      <c r="J2098" s="286"/>
      <c r="K2098" s="285"/>
    </row>
    <row r="2099" spans="1:11" x14ac:dyDescent="0.2">
      <c r="A2099" s="285"/>
      <c r="B2099" s="285"/>
      <c r="C2099" s="285"/>
      <c r="D2099" s="286"/>
      <c r="E2099" s="286"/>
      <c r="F2099" s="286"/>
      <c r="G2099" s="286"/>
      <c r="H2099" s="286"/>
      <c r="I2099" s="286"/>
      <c r="J2099" s="286"/>
      <c r="K2099" s="285"/>
    </row>
    <row r="2100" spans="1:11" x14ac:dyDescent="0.2">
      <c r="A2100" s="285"/>
      <c r="B2100" s="285"/>
      <c r="C2100" s="285"/>
      <c r="D2100" s="286"/>
      <c r="E2100" s="286"/>
      <c r="F2100" s="286"/>
      <c r="G2100" s="286"/>
      <c r="H2100" s="286"/>
      <c r="I2100" s="286"/>
      <c r="J2100" s="286"/>
      <c r="K2100" s="285"/>
    </row>
    <row r="2101" spans="1:11" x14ac:dyDescent="0.2">
      <c r="A2101" s="285"/>
      <c r="B2101" s="285"/>
      <c r="C2101" s="285"/>
      <c r="D2101" s="286"/>
      <c r="E2101" s="286"/>
      <c r="F2101" s="286"/>
      <c r="G2101" s="286"/>
      <c r="H2101" s="286"/>
      <c r="I2101" s="286"/>
      <c r="J2101" s="286"/>
      <c r="K2101" s="285"/>
    </row>
    <row r="2102" spans="1:11" x14ac:dyDescent="0.2">
      <c r="A2102" s="285"/>
      <c r="B2102" s="285"/>
      <c r="C2102" s="285"/>
      <c r="D2102" s="286"/>
      <c r="E2102" s="286"/>
      <c r="F2102" s="286"/>
      <c r="G2102" s="286"/>
      <c r="H2102" s="286"/>
      <c r="I2102" s="286"/>
      <c r="J2102" s="286"/>
      <c r="K2102" s="285"/>
    </row>
    <row r="2103" spans="1:11" x14ac:dyDescent="0.2">
      <c r="A2103" s="285"/>
      <c r="B2103" s="285"/>
      <c r="C2103" s="285"/>
      <c r="D2103" s="286"/>
      <c r="E2103" s="286"/>
      <c r="F2103" s="286"/>
      <c r="G2103" s="286"/>
      <c r="H2103" s="286"/>
      <c r="I2103" s="286"/>
      <c r="J2103" s="286"/>
      <c r="K2103" s="285"/>
    </row>
    <row r="2104" spans="1:11" x14ac:dyDescent="0.2">
      <c r="A2104" s="285"/>
      <c r="B2104" s="285"/>
      <c r="C2104" s="285"/>
      <c r="D2104" s="286"/>
      <c r="E2104" s="286"/>
      <c r="F2104" s="286"/>
      <c r="G2104" s="286"/>
      <c r="H2104" s="286"/>
      <c r="I2104" s="286"/>
      <c r="J2104" s="286"/>
      <c r="K2104" s="285"/>
    </row>
    <row r="2105" spans="1:11" x14ac:dyDescent="0.2">
      <c r="A2105" s="285"/>
      <c r="B2105" s="285"/>
      <c r="C2105" s="285"/>
      <c r="D2105" s="286"/>
      <c r="E2105" s="286"/>
      <c r="F2105" s="286"/>
      <c r="G2105" s="286"/>
      <c r="H2105" s="286"/>
      <c r="I2105" s="286"/>
      <c r="J2105" s="286"/>
      <c r="K2105" s="285"/>
    </row>
    <row r="2106" spans="1:11" x14ac:dyDescent="0.2">
      <c r="A2106" s="285"/>
      <c r="B2106" s="285"/>
      <c r="C2106" s="285"/>
      <c r="D2106" s="286"/>
      <c r="E2106" s="286"/>
      <c r="F2106" s="286"/>
      <c r="G2106" s="286"/>
      <c r="H2106" s="286"/>
      <c r="I2106" s="286"/>
      <c r="J2106" s="286"/>
      <c r="K2106" s="285"/>
    </row>
    <row r="2107" spans="1:11" x14ac:dyDescent="0.2">
      <c r="A2107" s="285"/>
      <c r="B2107" s="285"/>
      <c r="C2107" s="285"/>
      <c r="D2107" s="286"/>
      <c r="E2107" s="286"/>
      <c r="F2107" s="286"/>
      <c r="G2107" s="286"/>
      <c r="H2107" s="292"/>
      <c r="I2107" s="286"/>
      <c r="J2107" s="286"/>
      <c r="K2107" s="285"/>
    </row>
    <row r="2108" spans="1:11" x14ac:dyDescent="0.2">
      <c r="A2108" s="285"/>
      <c r="B2108" s="285"/>
      <c r="C2108" s="285"/>
      <c r="D2108" s="286"/>
      <c r="E2108" s="286"/>
      <c r="F2108" s="286"/>
      <c r="G2108" s="286"/>
      <c r="H2108" s="292"/>
      <c r="I2108" s="286"/>
      <c r="J2108" s="286"/>
      <c r="K2108" s="285"/>
    </row>
    <row r="2109" spans="1:11" x14ac:dyDescent="0.2">
      <c r="A2109" s="285"/>
      <c r="B2109" s="285"/>
      <c r="C2109" s="285"/>
      <c r="D2109" s="286"/>
      <c r="E2109" s="286"/>
      <c r="F2109" s="286"/>
      <c r="G2109" s="286"/>
      <c r="H2109" s="292"/>
      <c r="I2109" s="286"/>
      <c r="J2109" s="286"/>
      <c r="K2109" s="285"/>
    </row>
    <row r="2110" spans="1:11" x14ac:dyDescent="0.2">
      <c r="A2110" s="285"/>
      <c r="B2110" s="285"/>
      <c r="C2110" s="285"/>
      <c r="D2110" s="286"/>
      <c r="E2110" s="286"/>
      <c r="F2110" s="286"/>
      <c r="G2110" s="286"/>
      <c r="H2110" s="292"/>
      <c r="I2110" s="286"/>
      <c r="J2110" s="286"/>
      <c r="K2110" s="285"/>
    </row>
    <row r="2111" spans="1:11" x14ac:dyDescent="0.2">
      <c r="A2111" s="285"/>
      <c r="B2111" s="285"/>
      <c r="C2111" s="285"/>
      <c r="D2111" s="286"/>
      <c r="E2111" s="286"/>
      <c r="F2111" s="286"/>
      <c r="G2111" s="286"/>
      <c r="H2111" s="286"/>
      <c r="I2111" s="286"/>
      <c r="J2111" s="286"/>
      <c r="K2111" s="285"/>
    </row>
    <row r="2112" spans="1:11" x14ac:dyDescent="0.2">
      <c r="A2112" s="285"/>
      <c r="B2112" s="285"/>
      <c r="C2112" s="285"/>
      <c r="D2112" s="286"/>
      <c r="E2112" s="286"/>
      <c r="F2112" s="286"/>
      <c r="G2112" s="286"/>
      <c r="H2112" s="286"/>
      <c r="I2112" s="286"/>
      <c r="J2112" s="286"/>
      <c r="K2112" s="285"/>
    </row>
    <row r="2113" spans="1:11" x14ac:dyDescent="0.2">
      <c r="A2113" s="285"/>
      <c r="B2113" s="285"/>
      <c r="C2113" s="285"/>
      <c r="D2113" s="286"/>
      <c r="E2113" s="286"/>
      <c r="F2113" s="286"/>
      <c r="G2113" s="286"/>
      <c r="H2113" s="286"/>
      <c r="I2113" s="286"/>
      <c r="J2113" s="286"/>
      <c r="K2113" s="285"/>
    </row>
    <row r="2114" spans="1:11" x14ac:dyDescent="0.2">
      <c r="A2114" s="285"/>
      <c r="B2114" s="285"/>
      <c r="C2114" s="285"/>
      <c r="D2114" s="286"/>
      <c r="E2114" s="286"/>
      <c r="F2114" s="286"/>
      <c r="G2114" s="286"/>
      <c r="H2114" s="286"/>
      <c r="I2114" s="286"/>
      <c r="J2114" s="286"/>
      <c r="K2114" s="285"/>
    </row>
    <row r="2115" spans="1:11" x14ac:dyDescent="0.2">
      <c r="A2115" s="285"/>
      <c r="B2115" s="285"/>
      <c r="C2115" s="285"/>
      <c r="D2115" s="286"/>
      <c r="E2115" s="286"/>
      <c r="F2115" s="286"/>
      <c r="G2115" s="286"/>
      <c r="H2115" s="286"/>
      <c r="I2115" s="286"/>
      <c r="J2115" s="286"/>
      <c r="K2115" s="285"/>
    </row>
    <row r="2116" spans="1:11" x14ac:dyDescent="0.2">
      <c r="A2116" s="285"/>
      <c r="B2116" s="285"/>
      <c r="C2116" s="285"/>
      <c r="D2116" s="286"/>
      <c r="E2116" s="286"/>
      <c r="F2116" s="286"/>
      <c r="G2116" s="286"/>
      <c r="H2116" s="286"/>
      <c r="I2116" s="286"/>
      <c r="J2116" s="286"/>
      <c r="K2116" s="285"/>
    </row>
    <row r="2117" spans="1:11" x14ac:dyDescent="0.2">
      <c r="A2117" s="285"/>
      <c r="B2117" s="285"/>
      <c r="C2117" s="285"/>
      <c r="D2117" s="286"/>
      <c r="E2117" s="286"/>
      <c r="F2117" s="286"/>
      <c r="G2117" s="286"/>
      <c r="H2117" s="286"/>
      <c r="I2117" s="286"/>
      <c r="J2117" s="286"/>
      <c r="K2117" s="285"/>
    </row>
    <row r="2118" spans="1:11" x14ac:dyDescent="0.2">
      <c r="A2118" s="285"/>
      <c r="B2118" s="285"/>
      <c r="C2118" s="285"/>
      <c r="D2118" s="286"/>
      <c r="E2118" s="286"/>
      <c r="F2118" s="286"/>
      <c r="G2118" s="286"/>
      <c r="H2118" s="286"/>
      <c r="I2118" s="286"/>
      <c r="J2118" s="286"/>
      <c r="K2118" s="285"/>
    </row>
    <row r="2119" spans="1:11" x14ac:dyDescent="0.2">
      <c r="A2119" s="285"/>
      <c r="B2119" s="285"/>
      <c r="C2119" s="285"/>
      <c r="D2119" s="286"/>
      <c r="E2119" s="286"/>
      <c r="F2119" s="286"/>
      <c r="G2119" s="286"/>
      <c r="H2119" s="286"/>
      <c r="I2119" s="286"/>
      <c r="J2119" s="286"/>
      <c r="K2119" s="285"/>
    </row>
    <row r="2120" spans="1:11" x14ac:dyDescent="0.2">
      <c r="A2120" s="285"/>
      <c r="B2120" s="285"/>
      <c r="C2120" s="285"/>
      <c r="D2120" s="286"/>
      <c r="E2120" s="286"/>
      <c r="F2120" s="286"/>
      <c r="G2120" s="286"/>
      <c r="H2120" s="286"/>
      <c r="I2120" s="286"/>
      <c r="J2120" s="286"/>
      <c r="K2120" s="285"/>
    </row>
    <row r="2121" spans="1:11" x14ac:dyDescent="0.2">
      <c r="A2121" s="285"/>
      <c r="B2121" s="285"/>
      <c r="C2121" s="285"/>
      <c r="D2121" s="286"/>
      <c r="E2121" s="286"/>
      <c r="F2121" s="286"/>
      <c r="G2121" s="286"/>
      <c r="H2121" s="286"/>
      <c r="I2121" s="286"/>
      <c r="J2121" s="286"/>
      <c r="K2121" s="285"/>
    </row>
    <row r="2122" spans="1:11" x14ac:dyDescent="0.2">
      <c r="A2122" s="285"/>
      <c r="B2122" s="285"/>
      <c r="C2122" s="285"/>
      <c r="D2122" s="286"/>
      <c r="E2122" s="286"/>
      <c r="F2122" s="286"/>
      <c r="G2122" s="286"/>
      <c r="H2122" s="286"/>
      <c r="I2122" s="286"/>
      <c r="J2122" s="286"/>
      <c r="K2122" s="285"/>
    </row>
    <row r="2123" spans="1:11" x14ac:dyDescent="0.2">
      <c r="A2123" s="285"/>
      <c r="B2123" s="285"/>
      <c r="C2123" s="285"/>
      <c r="D2123" s="286"/>
      <c r="E2123" s="286"/>
      <c r="F2123" s="286"/>
      <c r="G2123" s="286"/>
      <c r="H2123" s="286"/>
      <c r="I2123" s="286"/>
      <c r="J2123" s="286"/>
      <c r="K2123" s="285"/>
    </row>
    <row r="2124" spans="1:11" x14ac:dyDescent="0.2">
      <c r="A2124" s="285"/>
      <c r="B2124" s="285"/>
      <c r="C2124" s="285"/>
      <c r="D2124" s="286"/>
      <c r="E2124" s="286"/>
      <c r="F2124" s="286"/>
      <c r="G2124" s="286"/>
      <c r="H2124" s="286"/>
      <c r="I2124" s="286"/>
      <c r="J2124" s="286"/>
      <c r="K2124" s="285"/>
    </row>
    <row r="2126" spans="1:11" x14ac:dyDescent="0.2">
      <c r="A2126" s="285"/>
      <c r="B2126" s="285"/>
      <c r="C2126" s="285"/>
      <c r="D2126" s="286"/>
      <c r="E2126" s="286"/>
      <c r="F2126" s="286"/>
      <c r="G2126" s="286"/>
      <c r="H2126" s="286"/>
      <c r="I2126" s="286"/>
      <c r="J2126" s="286"/>
      <c r="K2126" s="285"/>
    </row>
    <row r="2127" spans="1:11" x14ac:dyDescent="0.2">
      <c r="A2127" s="285"/>
      <c r="B2127" s="285"/>
      <c r="C2127" s="285"/>
      <c r="D2127" s="286"/>
      <c r="E2127" s="286"/>
      <c r="F2127" s="286"/>
      <c r="G2127" s="286"/>
      <c r="H2127" s="286"/>
      <c r="I2127" s="286"/>
      <c r="J2127" s="286"/>
      <c r="K2127" s="285"/>
    </row>
    <row r="2128" spans="1:11" x14ac:dyDescent="0.2">
      <c r="A2128" s="285"/>
      <c r="B2128" s="285"/>
      <c r="C2128" s="285"/>
      <c r="D2128" s="286"/>
      <c r="E2128" s="286"/>
      <c r="F2128" s="286"/>
      <c r="G2128" s="286"/>
      <c r="H2128" s="286"/>
      <c r="I2128" s="286"/>
      <c r="J2128" s="286"/>
      <c r="K2128" s="285"/>
    </row>
    <row r="2129" spans="1:11" x14ac:dyDescent="0.2">
      <c r="A2129" s="285"/>
      <c r="B2129" s="285"/>
      <c r="C2129" s="285"/>
      <c r="D2129" s="286"/>
      <c r="E2129" s="286"/>
      <c r="F2129" s="286"/>
      <c r="G2129" s="286"/>
      <c r="H2129" s="286"/>
      <c r="I2129" s="286"/>
      <c r="J2129" s="286"/>
      <c r="K2129" s="285"/>
    </row>
    <row r="2130" spans="1:11" x14ac:dyDescent="0.2">
      <c r="A2130" s="285"/>
      <c r="B2130" s="285"/>
      <c r="C2130" s="285"/>
      <c r="D2130" s="286"/>
      <c r="E2130" s="286"/>
      <c r="F2130" s="286"/>
      <c r="G2130" s="286"/>
      <c r="H2130" s="286"/>
      <c r="I2130" s="286"/>
      <c r="J2130" s="286"/>
      <c r="K2130" s="285"/>
    </row>
    <row r="2131" spans="1:11" x14ac:dyDescent="0.2">
      <c r="A2131" s="285"/>
      <c r="B2131" s="285"/>
      <c r="C2131" s="285"/>
      <c r="D2131" s="286"/>
      <c r="E2131" s="286"/>
      <c r="F2131" s="286"/>
      <c r="G2131" s="286"/>
      <c r="H2131" s="286"/>
      <c r="I2131" s="286"/>
      <c r="J2131" s="286"/>
      <c r="K2131" s="285"/>
    </row>
    <row r="2132" spans="1:11" x14ac:dyDescent="0.2">
      <c r="A2132" s="285"/>
      <c r="B2132" s="285"/>
      <c r="C2132" s="285"/>
      <c r="D2132" s="286"/>
      <c r="E2132" s="286"/>
      <c r="F2132" s="286"/>
      <c r="G2132" s="286"/>
      <c r="H2132" s="286"/>
      <c r="I2132" s="286"/>
      <c r="J2132" s="286"/>
      <c r="K2132" s="285"/>
    </row>
    <row r="2133" spans="1:11" x14ac:dyDescent="0.2">
      <c r="A2133" s="285"/>
      <c r="B2133" s="285"/>
      <c r="C2133" s="285"/>
      <c r="D2133" s="286"/>
      <c r="E2133" s="286"/>
      <c r="F2133" s="286"/>
      <c r="G2133" s="286"/>
      <c r="H2133" s="286"/>
      <c r="I2133" s="286"/>
      <c r="J2133" s="286"/>
      <c r="K2133" s="285"/>
    </row>
    <row r="2134" spans="1:11" x14ac:dyDescent="0.2">
      <c r="A2134" s="285"/>
      <c r="B2134" s="285"/>
      <c r="C2134" s="285"/>
      <c r="D2134" s="286"/>
      <c r="E2134" s="286"/>
      <c r="F2134" s="286"/>
      <c r="G2134" s="286"/>
      <c r="H2134" s="286"/>
      <c r="I2134" s="286"/>
      <c r="J2134" s="286"/>
      <c r="K2134" s="285"/>
    </row>
    <row r="2135" spans="1:11" x14ac:dyDescent="0.2">
      <c r="A2135" s="285"/>
      <c r="B2135" s="285"/>
      <c r="C2135" s="285"/>
      <c r="D2135" s="286"/>
      <c r="E2135" s="286"/>
      <c r="F2135" s="286"/>
      <c r="G2135" s="286"/>
      <c r="H2135" s="286"/>
      <c r="I2135" s="286"/>
      <c r="J2135" s="286"/>
      <c r="K2135" s="285"/>
    </row>
    <row r="2136" spans="1:11" x14ac:dyDescent="0.2">
      <c r="A2136" s="285"/>
      <c r="B2136" s="285"/>
      <c r="C2136" s="285"/>
      <c r="D2136" s="286"/>
      <c r="E2136" s="286"/>
      <c r="F2136" s="286"/>
      <c r="G2136" s="286"/>
      <c r="H2136" s="286"/>
      <c r="I2136" s="286"/>
      <c r="J2136" s="286"/>
      <c r="K2136" s="285"/>
    </row>
    <row r="2137" spans="1:11" x14ac:dyDescent="0.2">
      <c r="A2137" s="285"/>
      <c r="B2137" s="285"/>
      <c r="C2137" s="285"/>
      <c r="D2137" s="286"/>
      <c r="E2137" s="286"/>
      <c r="F2137" s="286"/>
      <c r="G2137" s="286"/>
      <c r="H2137" s="286"/>
      <c r="I2137" s="286"/>
      <c r="J2137" s="286"/>
      <c r="K2137" s="285"/>
    </row>
    <row r="2138" spans="1:11" x14ac:dyDescent="0.2">
      <c r="A2138" s="285"/>
      <c r="B2138" s="285"/>
      <c r="C2138" s="285"/>
      <c r="D2138" s="286"/>
      <c r="E2138" s="286"/>
      <c r="F2138" s="286"/>
      <c r="G2138" s="286"/>
      <c r="H2138" s="286"/>
      <c r="I2138" s="286"/>
      <c r="J2138" s="286"/>
      <c r="K2138" s="285"/>
    </row>
    <row r="2139" spans="1:11" x14ac:dyDescent="0.2">
      <c r="D2139" s="286"/>
      <c r="E2139" s="286"/>
      <c r="F2139" s="286"/>
      <c r="G2139" s="286"/>
      <c r="H2139" s="286"/>
      <c r="I2139" s="286"/>
      <c r="J2139" s="286"/>
      <c r="K2139" s="285"/>
    </row>
    <row r="2140" spans="1:11" x14ac:dyDescent="0.2">
      <c r="A2140" s="285"/>
      <c r="B2140" s="285"/>
      <c r="C2140" s="285"/>
      <c r="D2140" s="286"/>
      <c r="E2140" s="286"/>
      <c r="F2140" s="286"/>
      <c r="G2140" s="286"/>
      <c r="H2140" s="286"/>
      <c r="I2140" s="286"/>
      <c r="J2140" s="286"/>
      <c r="K2140" s="285"/>
    </row>
    <row r="2141" spans="1:11" x14ac:dyDescent="0.2">
      <c r="A2141" s="285"/>
      <c r="B2141" s="285"/>
      <c r="C2141" s="285"/>
      <c r="D2141" s="286"/>
      <c r="E2141" s="286"/>
      <c r="F2141" s="286"/>
      <c r="G2141" s="286"/>
      <c r="H2141" s="286"/>
      <c r="I2141" s="286"/>
      <c r="J2141" s="286"/>
      <c r="K2141" s="285"/>
    </row>
    <row r="2142" spans="1:11" x14ac:dyDescent="0.2">
      <c r="A2142" s="285"/>
      <c r="B2142" s="285"/>
      <c r="C2142" s="285"/>
      <c r="D2142" s="286"/>
      <c r="E2142" s="286"/>
      <c r="F2142" s="286"/>
      <c r="G2142" s="286"/>
      <c r="H2142" s="286"/>
      <c r="I2142" s="286"/>
      <c r="J2142" s="286"/>
      <c r="K2142" s="285"/>
    </row>
    <row r="2143" spans="1:11" x14ac:dyDescent="0.2">
      <c r="A2143" s="285"/>
      <c r="B2143" s="285"/>
      <c r="C2143" s="285"/>
      <c r="D2143" s="286"/>
      <c r="E2143" s="286"/>
      <c r="F2143" s="286"/>
      <c r="G2143" s="286"/>
      <c r="H2143" s="286"/>
      <c r="I2143" s="286"/>
      <c r="J2143" s="286"/>
      <c r="K2143" s="285"/>
    </row>
    <row r="2144" spans="1:11" x14ac:dyDescent="0.2">
      <c r="A2144" s="285"/>
      <c r="B2144" s="285"/>
      <c r="C2144" s="285"/>
      <c r="D2144" s="286"/>
      <c r="E2144" s="286"/>
      <c r="F2144" s="286"/>
      <c r="G2144" s="286"/>
      <c r="H2144" s="286"/>
      <c r="I2144" s="286"/>
      <c r="J2144" s="286"/>
      <c r="K2144" s="285"/>
    </row>
    <row r="2145" spans="1:11" x14ac:dyDescent="0.2">
      <c r="A2145" s="285"/>
      <c r="B2145" s="285"/>
      <c r="C2145" s="285"/>
      <c r="D2145" s="286"/>
      <c r="E2145" s="286"/>
      <c r="F2145" s="286"/>
      <c r="G2145" s="286"/>
      <c r="H2145" s="286"/>
      <c r="I2145" s="286"/>
      <c r="J2145" s="286"/>
      <c r="K2145" s="285"/>
    </row>
    <row r="2146" spans="1:11" x14ac:dyDescent="0.2">
      <c r="A2146" s="285"/>
      <c r="B2146" s="285"/>
      <c r="C2146" s="285"/>
      <c r="D2146" s="286"/>
      <c r="E2146" s="286"/>
      <c r="F2146" s="286"/>
      <c r="G2146" s="286"/>
      <c r="H2146" s="286"/>
      <c r="I2146" s="286"/>
      <c r="J2146" s="286"/>
      <c r="K2146" s="285"/>
    </row>
    <row r="2147" spans="1:11" x14ac:dyDescent="0.2">
      <c r="A2147" s="285"/>
      <c r="B2147" s="285"/>
      <c r="C2147" s="285"/>
      <c r="D2147" s="286"/>
      <c r="E2147" s="286"/>
      <c r="F2147" s="286"/>
      <c r="G2147" s="286"/>
      <c r="H2147" s="286"/>
      <c r="I2147" s="286"/>
      <c r="J2147" s="286"/>
      <c r="K2147" s="285"/>
    </row>
    <row r="2148" spans="1:11" x14ac:dyDescent="0.2">
      <c r="A2148" s="285"/>
      <c r="B2148" s="285"/>
      <c r="C2148" s="285"/>
      <c r="D2148" s="286"/>
      <c r="E2148" s="286"/>
      <c r="F2148" s="286"/>
      <c r="G2148" s="286"/>
      <c r="H2148" s="286"/>
      <c r="I2148" s="286"/>
      <c r="J2148" s="286"/>
      <c r="K2148" s="285"/>
    </row>
    <row r="2149" spans="1:11" x14ac:dyDescent="0.2">
      <c r="A2149" s="285"/>
      <c r="B2149" s="285"/>
      <c r="C2149" s="285"/>
      <c r="D2149" s="286"/>
      <c r="E2149" s="286"/>
      <c r="F2149" s="286"/>
      <c r="G2149" s="286"/>
      <c r="H2149" s="286"/>
      <c r="I2149" s="286"/>
      <c r="J2149" s="286"/>
      <c r="K2149" s="285"/>
    </row>
    <row r="2150" spans="1:11" x14ac:dyDescent="0.2">
      <c r="A2150" s="285"/>
      <c r="B2150" s="285"/>
      <c r="C2150" s="285"/>
      <c r="D2150" s="286"/>
      <c r="E2150" s="286"/>
      <c r="F2150" s="286"/>
      <c r="G2150" s="286"/>
      <c r="H2150" s="286"/>
      <c r="I2150" s="286"/>
      <c r="J2150" s="286"/>
      <c r="K2150" s="285"/>
    </row>
    <row r="2151" spans="1:11" x14ac:dyDescent="0.2">
      <c r="A2151" s="285"/>
      <c r="B2151" s="285"/>
      <c r="C2151" s="285"/>
      <c r="D2151" s="286"/>
      <c r="E2151" s="286"/>
      <c r="F2151" s="286"/>
      <c r="G2151" s="286"/>
      <c r="H2151" s="286"/>
      <c r="I2151" s="286"/>
      <c r="J2151" s="286"/>
      <c r="K2151" s="285"/>
    </row>
    <row r="2152" spans="1:11" x14ac:dyDescent="0.2">
      <c r="A2152" s="285"/>
      <c r="B2152" s="285"/>
      <c r="C2152" s="285"/>
      <c r="D2152" s="286"/>
      <c r="E2152" s="286"/>
      <c r="F2152" s="286"/>
      <c r="G2152" s="286"/>
      <c r="H2152" s="286"/>
      <c r="I2152" s="286"/>
      <c r="J2152" s="286"/>
      <c r="K2152" s="285"/>
    </row>
    <row r="2153" spans="1:11" x14ac:dyDescent="0.2">
      <c r="A2153" s="285"/>
      <c r="B2153" s="285"/>
      <c r="C2153" s="285"/>
      <c r="D2153" s="286"/>
      <c r="E2153" s="286"/>
      <c r="F2153" s="286"/>
      <c r="G2153" s="286"/>
      <c r="H2153" s="286"/>
      <c r="I2153" s="286"/>
      <c r="J2153" s="286"/>
      <c r="K2153" s="285"/>
    </row>
    <row r="2154" spans="1:11" x14ac:dyDescent="0.2">
      <c r="A2154" s="285"/>
      <c r="B2154" s="285"/>
      <c r="C2154" s="285"/>
      <c r="D2154" s="286"/>
      <c r="E2154" s="286"/>
      <c r="F2154" s="286"/>
      <c r="G2154" s="286"/>
      <c r="H2154" s="286"/>
      <c r="I2154" s="286"/>
      <c r="J2154" s="286"/>
      <c r="K2154" s="285"/>
    </row>
    <row r="2155" spans="1:11" x14ac:dyDescent="0.2">
      <c r="A2155" s="285"/>
      <c r="B2155" s="285"/>
      <c r="C2155" s="285"/>
      <c r="D2155" s="286"/>
      <c r="E2155" s="286"/>
      <c r="F2155" s="286"/>
      <c r="G2155" s="286"/>
      <c r="H2155" s="286"/>
      <c r="I2155" s="286"/>
      <c r="J2155" s="286"/>
      <c r="K2155" s="285"/>
    </row>
    <row r="2156" spans="1:11" x14ac:dyDescent="0.2">
      <c r="A2156" s="285"/>
      <c r="B2156" s="285"/>
      <c r="C2156" s="285"/>
      <c r="D2156" s="286"/>
      <c r="E2156" s="286"/>
      <c r="F2156" s="286"/>
      <c r="G2156" s="286"/>
      <c r="H2156" s="286"/>
      <c r="I2156" s="286"/>
      <c r="J2156" s="286"/>
      <c r="K2156" s="285"/>
    </row>
    <row r="2157" spans="1:11" x14ac:dyDescent="0.2">
      <c r="A2157" s="285"/>
      <c r="B2157" s="285"/>
      <c r="C2157" s="285"/>
      <c r="D2157" s="286"/>
      <c r="E2157" s="286"/>
      <c r="F2157" s="286"/>
      <c r="G2157" s="286"/>
      <c r="H2157" s="286"/>
      <c r="I2157" s="286"/>
      <c r="J2157" s="286"/>
      <c r="K2157" s="285"/>
    </row>
    <row r="2158" spans="1:11" x14ac:dyDescent="0.2">
      <c r="A2158" s="285"/>
      <c r="B2158" s="285"/>
      <c r="C2158" s="285"/>
      <c r="D2158" s="286"/>
      <c r="E2158" s="286"/>
      <c r="F2158" s="286"/>
      <c r="G2158" s="286"/>
      <c r="H2158" s="286"/>
      <c r="I2158" s="286"/>
      <c r="J2158" s="286"/>
      <c r="K2158" s="285"/>
    </row>
    <row r="2159" spans="1:11" x14ac:dyDescent="0.2">
      <c r="D2159" s="286"/>
      <c r="E2159" s="286"/>
      <c r="F2159" s="286"/>
      <c r="G2159" s="286"/>
      <c r="H2159" s="286"/>
      <c r="I2159" s="286"/>
      <c r="J2159" s="286"/>
      <c r="K2159" s="285"/>
    </row>
    <row r="2160" spans="1:11" x14ac:dyDescent="0.2">
      <c r="A2160" s="285"/>
      <c r="B2160" s="285"/>
      <c r="C2160" s="285"/>
      <c r="D2160" s="286"/>
      <c r="E2160" s="286"/>
      <c r="F2160" s="286"/>
      <c r="G2160" s="286"/>
      <c r="H2160" s="286"/>
      <c r="I2160" s="286"/>
      <c r="J2160" s="286"/>
      <c r="K2160" s="285"/>
    </row>
    <row r="2161" spans="1:11" x14ac:dyDescent="0.2">
      <c r="A2161" s="285"/>
      <c r="B2161" s="285"/>
      <c r="C2161" s="285"/>
      <c r="D2161" s="286"/>
      <c r="E2161" s="286"/>
      <c r="F2161" s="286"/>
      <c r="G2161" s="286"/>
      <c r="H2161" s="286"/>
      <c r="I2161" s="286"/>
      <c r="J2161" s="286"/>
      <c r="K2161" s="285"/>
    </row>
    <row r="2162" spans="1:11" x14ac:dyDescent="0.2">
      <c r="A2162" s="285"/>
      <c r="B2162" s="285"/>
      <c r="C2162" s="285"/>
      <c r="D2162" s="286"/>
      <c r="E2162" s="286"/>
      <c r="F2162" s="286"/>
      <c r="G2162" s="286"/>
      <c r="H2162" s="286"/>
      <c r="I2162" s="286"/>
      <c r="J2162" s="286"/>
      <c r="K2162" s="285"/>
    </row>
    <row r="2163" spans="1:11" x14ac:dyDescent="0.2">
      <c r="A2163" s="285"/>
      <c r="B2163" s="285"/>
      <c r="C2163" s="285"/>
      <c r="D2163" s="286"/>
      <c r="E2163" s="286"/>
      <c r="F2163" s="286"/>
      <c r="G2163" s="286"/>
      <c r="H2163" s="286"/>
      <c r="I2163" s="286"/>
      <c r="J2163" s="286"/>
      <c r="K2163" s="285"/>
    </row>
    <row r="2164" spans="1:11" x14ac:dyDescent="0.2">
      <c r="A2164" s="285"/>
      <c r="B2164" s="285"/>
      <c r="C2164" s="285"/>
      <c r="D2164" s="286"/>
      <c r="E2164" s="286"/>
      <c r="F2164" s="286"/>
      <c r="G2164" s="286"/>
      <c r="H2164" s="286"/>
      <c r="I2164" s="286"/>
      <c r="J2164" s="286"/>
      <c r="K2164" s="285"/>
    </row>
    <row r="2165" spans="1:11" x14ac:dyDescent="0.2">
      <c r="A2165" s="285"/>
      <c r="B2165" s="285"/>
      <c r="C2165" s="285"/>
      <c r="D2165" s="286"/>
      <c r="E2165" s="286"/>
      <c r="F2165" s="286"/>
      <c r="G2165" s="286"/>
      <c r="H2165" s="286"/>
      <c r="I2165" s="286"/>
      <c r="J2165" s="286"/>
      <c r="K2165" s="285"/>
    </row>
    <row r="2166" spans="1:11" x14ac:dyDescent="0.2">
      <c r="A2166" s="285"/>
      <c r="B2166" s="285"/>
      <c r="C2166" s="285"/>
      <c r="D2166" s="286"/>
      <c r="E2166" s="286"/>
      <c r="F2166" s="286"/>
      <c r="G2166" s="286"/>
      <c r="H2166" s="286"/>
      <c r="I2166" s="286"/>
      <c r="J2166" s="286"/>
      <c r="K2166" s="285"/>
    </row>
    <row r="2167" spans="1:11" x14ac:dyDescent="0.2">
      <c r="A2167" s="285"/>
      <c r="B2167" s="285"/>
      <c r="C2167" s="285"/>
      <c r="D2167" s="286"/>
      <c r="E2167" s="286"/>
      <c r="F2167" s="286"/>
      <c r="G2167" s="286"/>
      <c r="H2167" s="286"/>
      <c r="I2167" s="286"/>
      <c r="J2167" s="286"/>
      <c r="K2167" s="285"/>
    </row>
    <row r="2168" spans="1:11" x14ac:dyDescent="0.2">
      <c r="A2168" s="285"/>
      <c r="B2168" s="285"/>
      <c r="C2168" s="285"/>
      <c r="D2168" s="286"/>
      <c r="E2168" s="286"/>
      <c r="F2168" s="286"/>
      <c r="G2168" s="286"/>
      <c r="H2168" s="286"/>
      <c r="I2168" s="286"/>
      <c r="J2168" s="286"/>
      <c r="K2168" s="285"/>
    </row>
    <row r="2169" spans="1:11" x14ac:dyDescent="0.2">
      <c r="A2169" s="285"/>
      <c r="B2169" s="285"/>
      <c r="C2169" s="285"/>
      <c r="D2169" s="286"/>
      <c r="E2169" s="286"/>
      <c r="F2169" s="286"/>
      <c r="G2169" s="286"/>
      <c r="H2169" s="286"/>
      <c r="I2169" s="286"/>
      <c r="J2169" s="286"/>
      <c r="K2169" s="285"/>
    </row>
    <row r="2170" spans="1:11" x14ac:dyDescent="0.2">
      <c r="A2170" s="285"/>
      <c r="B2170" s="285"/>
      <c r="C2170" s="285"/>
      <c r="D2170" s="286"/>
      <c r="E2170" s="286"/>
      <c r="F2170" s="286"/>
      <c r="G2170" s="286"/>
      <c r="H2170" s="286"/>
      <c r="I2170" s="286"/>
      <c r="J2170" s="286"/>
      <c r="K2170" s="285"/>
    </row>
    <row r="2171" spans="1:11" x14ac:dyDescent="0.2">
      <c r="A2171" s="285"/>
      <c r="B2171" s="285"/>
      <c r="C2171" s="285"/>
      <c r="D2171" s="286"/>
      <c r="E2171" s="286"/>
      <c r="F2171" s="286"/>
      <c r="G2171" s="286"/>
      <c r="H2171" s="286"/>
      <c r="I2171" s="286"/>
      <c r="J2171" s="286"/>
      <c r="K2171" s="285"/>
    </row>
    <row r="2172" spans="1:11" x14ac:dyDescent="0.2">
      <c r="A2172" s="285"/>
      <c r="B2172" s="285"/>
      <c r="C2172" s="285"/>
      <c r="D2172" s="286"/>
      <c r="E2172" s="286"/>
      <c r="F2172" s="286"/>
      <c r="G2172" s="286"/>
      <c r="H2172" s="286"/>
      <c r="I2172" s="286"/>
      <c r="J2172" s="286"/>
      <c r="K2172" s="285"/>
    </row>
    <row r="2173" spans="1:11" x14ac:dyDescent="0.2">
      <c r="A2173" s="285"/>
      <c r="B2173" s="285"/>
      <c r="C2173" s="285"/>
      <c r="D2173" s="532"/>
      <c r="E2173" s="530"/>
      <c r="F2173" s="530"/>
      <c r="G2173" s="530"/>
      <c r="H2173" s="530"/>
      <c r="I2173" s="530"/>
      <c r="J2173" s="530"/>
      <c r="K2173" s="531"/>
    </row>
    <row r="2174" spans="1:11" x14ac:dyDescent="0.2">
      <c r="A2174" s="285"/>
      <c r="B2174" s="285"/>
      <c r="C2174" s="285"/>
      <c r="D2174" s="532"/>
      <c r="E2174" s="530"/>
      <c r="F2174" s="530"/>
      <c r="G2174" s="530"/>
      <c r="H2174" s="530"/>
      <c r="I2174" s="530"/>
      <c r="J2174" s="530"/>
      <c r="K2174" s="531"/>
    </row>
    <row r="2175" spans="1:11" x14ac:dyDescent="0.2">
      <c r="A2175" s="285"/>
      <c r="B2175" s="285"/>
      <c r="C2175" s="285"/>
      <c r="D2175" s="532"/>
      <c r="E2175" s="530"/>
      <c r="F2175" s="530"/>
      <c r="G2175" s="530"/>
      <c r="H2175" s="530"/>
      <c r="I2175" s="530"/>
      <c r="J2175" s="530"/>
      <c r="K2175" s="531"/>
    </row>
    <row r="2176" spans="1:11" x14ac:dyDescent="0.2">
      <c r="A2176" s="285"/>
      <c r="B2176" s="285"/>
      <c r="C2176" s="285"/>
      <c r="D2176" s="532"/>
      <c r="E2176" s="530"/>
      <c r="F2176" s="530"/>
      <c r="G2176" s="530"/>
      <c r="H2176" s="530"/>
      <c r="I2176" s="530"/>
      <c r="J2176" s="530"/>
      <c r="K2176" s="531"/>
    </row>
    <row r="2177" spans="1:11" x14ac:dyDescent="0.2">
      <c r="A2177" s="285"/>
      <c r="B2177" s="285"/>
      <c r="C2177" s="285"/>
      <c r="D2177" s="532"/>
      <c r="E2177" s="530"/>
      <c r="F2177" s="530"/>
      <c r="G2177" s="530"/>
      <c r="H2177" s="530"/>
      <c r="I2177" s="530"/>
      <c r="J2177" s="530"/>
      <c r="K2177" s="531"/>
    </row>
    <row r="2178" spans="1:11" x14ac:dyDescent="0.2">
      <c r="A2178" s="285"/>
      <c r="B2178" s="285"/>
      <c r="C2178" s="285"/>
      <c r="D2178" s="530"/>
      <c r="E2178" s="530"/>
      <c r="F2178" s="530"/>
      <c r="G2178" s="530"/>
      <c r="H2178" s="530"/>
      <c r="I2178" s="530"/>
      <c r="J2178" s="530"/>
      <c r="K2178" s="531"/>
    </row>
    <row r="2179" spans="1:11" x14ac:dyDescent="0.2">
      <c r="A2179" s="285"/>
      <c r="B2179" s="285"/>
      <c r="C2179" s="285"/>
      <c r="D2179" s="532"/>
      <c r="E2179" s="530"/>
      <c r="F2179" s="530"/>
      <c r="G2179" s="530"/>
      <c r="H2179" s="530"/>
      <c r="I2179" s="530"/>
      <c r="J2179" s="530"/>
      <c r="K2179" s="531"/>
    </row>
    <row r="2180" spans="1:11" x14ac:dyDescent="0.2">
      <c r="A2180" s="285"/>
      <c r="B2180" s="285"/>
      <c r="C2180" s="285"/>
      <c r="D2180" s="532"/>
      <c r="E2180" s="530"/>
      <c r="F2180" s="530"/>
      <c r="G2180" s="530"/>
      <c r="H2180" s="530"/>
      <c r="I2180" s="530"/>
      <c r="J2180" s="530"/>
      <c r="K2180" s="531"/>
    </row>
    <row r="2181" spans="1:11" x14ac:dyDescent="0.2">
      <c r="A2181" s="285"/>
      <c r="B2181" s="285"/>
      <c r="C2181" s="285"/>
      <c r="D2181" s="532"/>
      <c r="E2181" s="530"/>
      <c r="F2181" s="530"/>
      <c r="G2181" s="530"/>
      <c r="H2181" s="530"/>
      <c r="I2181" s="530"/>
      <c r="J2181" s="530"/>
      <c r="K2181" s="531"/>
    </row>
    <row r="2182" spans="1:11" x14ac:dyDescent="0.2">
      <c r="A2182" s="285"/>
      <c r="B2182" s="285"/>
      <c r="C2182" s="285"/>
      <c r="D2182" s="532"/>
      <c r="E2182" s="530"/>
      <c r="F2182" s="530"/>
      <c r="G2182" s="530"/>
      <c r="H2182" s="530"/>
      <c r="I2182" s="530"/>
      <c r="J2182" s="530"/>
      <c r="K2182" s="531"/>
    </row>
    <row r="2183" spans="1:11" x14ac:dyDescent="0.2">
      <c r="A2183" s="285"/>
      <c r="B2183" s="285"/>
      <c r="C2183" s="285"/>
      <c r="D2183" s="532"/>
      <c r="E2183" s="530"/>
      <c r="F2183" s="530"/>
      <c r="G2183" s="530"/>
      <c r="H2183" s="530"/>
      <c r="I2183" s="530"/>
      <c r="J2183" s="530"/>
      <c r="K2183" s="531"/>
    </row>
    <row r="2184" spans="1:11" x14ac:dyDescent="0.2">
      <c r="D2184" s="532"/>
      <c r="E2184" s="530"/>
      <c r="F2184" s="530"/>
      <c r="G2184" s="530"/>
      <c r="H2184" s="530"/>
      <c r="I2184" s="530"/>
      <c r="J2184" s="530"/>
      <c r="K2184" s="531"/>
    </row>
    <row r="2185" spans="1:11" x14ac:dyDescent="0.2">
      <c r="A2185" s="285"/>
      <c r="B2185" s="285"/>
      <c r="C2185" s="285"/>
      <c r="D2185" s="532"/>
      <c r="E2185" s="530"/>
      <c r="F2185" s="530"/>
      <c r="G2185" s="530"/>
      <c r="H2185" s="530"/>
      <c r="I2185" s="530"/>
      <c r="J2185" s="530"/>
      <c r="K2185" s="531"/>
    </row>
    <row r="2186" spans="1:11" x14ac:dyDescent="0.2">
      <c r="A2186" s="285"/>
      <c r="B2186" s="285"/>
      <c r="C2186" s="285"/>
      <c r="D2186" s="532"/>
      <c r="E2186" s="530"/>
      <c r="F2186" s="530"/>
      <c r="G2186" s="530"/>
      <c r="H2186" s="530"/>
      <c r="I2186" s="530"/>
      <c r="J2186" s="530"/>
      <c r="K2186" s="531"/>
    </row>
    <row r="2187" spans="1:11" x14ac:dyDescent="0.2">
      <c r="A2187" s="285"/>
      <c r="B2187" s="285"/>
      <c r="C2187" s="285"/>
      <c r="D2187" s="286"/>
      <c r="E2187" s="286"/>
      <c r="F2187" s="286"/>
      <c r="G2187" s="286"/>
      <c r="H2187" s="286"/>
      <c r="I2187" s="286"/>
      <c r="J2187" s="286"/>
      <c r="K2187" s="285"/>
    </row>
    <row r="2188" spans="1:11" x14ac:dyDescent="0.2">
      <c r="A2188" s="285"/>
      <c r="B2188" s="285"/>
      <c r="C2188" s="285"/>
      <c r="D2188" s="286"/>
      <c r="E2188" s="286"/>
      <c r="F2188" s="286"/>
      <c r="G2188" s="286"/>
      <c r="H2188" s="286"/>
      <c r="I2188" s="286"/>
      <c r="J2188" s="286"/>
      <c r="K2188" s="285"/>
    </row>
    <row r="2189" spans="1:11" x14ac:dyDescent="0.2">
      <c r="A2189" s="285"/>
      <c r="B2189" s="285"/>
      <c r="C2189" s="285"/>
      <c r="D2189" s="286"/>
      <c r="E2189" s="286"/>
      <c r="F2189" s="286"/>
      <c r="G2189" s="286"/>
      <c r="H2189" s="286"/>
      <c r="I2189" s="286"/>
      <c r="J2189" s="286"/>
      <c r="K2189" s="285"/>
    </row>
    <row r="2190" spans="1:11" x14ac:dyDescent="0.2">
      <c r="A2190" s="285"/>
      <c r="B2190" s="285"/>
      <c r="C2190" s="285"/>
      <c r="D2190" s="286"/>
      <c r="E2190" s="286"/>
      <c r="F2190" s="286"/>
      <c r="G2190" s="286"/>
      <c r="H2190" s="286"/>
      <c r="I2190" s="286"/>
      <c r="J2190" s="286"/>
      <c r="K2190" s="285"/>
    </row>
    <row r="2191" spans="1:11" x14ac:dyDescent="0.2">
      <c r="A2191" s="285"/>
      <c r="B2191" s="285"/>
      <c r="C2191" s="285"/>
      <c r="D2191" s="286"/>
      <c r="E2191" s="286"/>
      <c r="F2191" s="286"/>
      <c r="G2191" s="286"/>
      <c r="H2191" s="286"/>
      <c r="I2191" s="286"/>
      <c r="J2191" s="286"/>
      <c r="K2191" s="285"/>
    </row>
    <row r="2192" spans="1:11" x14ac:dyDescent="0.2">
      <c r="A2192" s="285"/>
      <c r="B2192" s="285"/>
      <c r="C2192" s="285"/>
      <c r="D2192" s="286"/>
      <c r="E2192" s="286"/>
      <c r="F2192" s="286"/>
      <c r="G2192" s="286"/>
      <c r="H2192" s="286"/>
      <c r="I2192" s="286"/>
      <c r="J2192" s="286"/>
      <c r="K2192" s="285"/>
    </row>
    <row r="2193" spans="1:11" x14ac:dyDescent="0.2">
      <c r="A2193" s="285"/>
      <c r="B2193" s="285"/>
      <c r="C2193" s="285"/>
      <c r="D2193" s="286"/>
      <c r="E2193" s="286"/>
      <c r="F2193" s="286"/>
      <c r="G2193" s="286"/>
      <c r="H2193" s="286"/>
      <c r="I2193" s="286"/>
      <c r="J2193" s="286"/>
      <c r="K2193" s="285"/>
    </row>
    <row r="2194" spans="1:11" x14ac:dyDescent="0.2">
      <c r="A2194" s="285"/>
      <c r="B2194" s="285"/>
      <c r="C2194" s="285"/>
      <c r="D2194" s="286"/>
      <c r="E2194" s="286"/>
      <c r="F2194" s="286"/>
      <c r="G2194" s="286"/>
      <c r="H2194" s="286"/>
      <c r="I2194" s="286"/>
      <c r="J2194" s="286"/>
      <c r="K2194" s="285"/>
    </row>
    <row r="2195" spans="1:11" x14ac:dyDescent="0.2">
      <c r="A2195" s="285"/>
      <c r="B2195" s="285"/>
      <c r="C2195" s="285"/>
      <c r="D2195" s="286"/>
      <c r="E2195" s="286"/>
      <c r="F2195" s="286"/>
      <c r="G2195" s="286"/>
      <c r="H2195" s="286"/>
      <c r="I2195" s="286"/>
      <c r="J2195" s="286"/>
      <c r="K2195" s="285"/>
    </row>
    <row r="2196" spans="1:11" x14ac:dyDescent="0.2">
      <c r="A2196" s="285"/>
      <c r="B2196" s="285"/>
      <c r="C2196" s="285"/>
      <c r="D2196" s="286"/>
      <c r="E2196" s="286"/>
      <c r="F2196" s="286"/>
      <c r="G2196" s="286"/>
      <c r="H2196" s="286"/>
      <c r="I2196" s="286"/>
      <c r="J2196" s="286"/>
      <c r="K2196" s="285"/>
    </row>
    <row r="2197" spans="1:11" x14ac:dyDescent="0.2">
      <c r="A2197" s="285"/>
      <c r="B2197" s="285"/>
      <c r="C2197" s="285"/>
      <c r="D2197" s="286"/>
      <c r="E2197" s="286"/>
      <c r="F2197" s="286"/>
      <c r="G2197" s="286"/>
      <c r="H2197" s="286"/>
      <c r="I2197" s="286"/>
      <c r="J2197" s="286"/>
      <c r="K2197" s="285"/>
    </row>
    <row r="2198" spans="1:11" x14ac:dyDescent="0.2">
      <c r="A2198" s="285"/>
      <c r="B2198" s="285"/>
      <c r="C2198" s="285"/>
      <c r="D2198" s="286"/>
      <c r="E2198" s="286"/>
      <c r="F2198" s="286"/>
      <c r="G2198" s="286"/>
      <c r="H2198" s="286"/>
      <c r="I2198" s="286"/>
      <c r="J2198" s="286"/>
      <c r="K2198" s="285"/>
    </row>
    <row r="2199" spans="1:11" x14ac:dyDescent="0.2">
      <c r="A2199" s="285"/>
      <c r="B2199" s="285"/>
      <c r="C2199" s="285"/>
      <c r="D2199" s="286"/>
      <c r="E2199" s="286"/>
      <c r="F2199" s="286"/>
      <c r="G2199" s="286"/>
      <c r="H2199" s="286"/>
      <c r="I2199" s="286"/>
      <c r="J2199" s="286"/>
      <c r="K2199" s="285"/>
    </row>
    <row r="2200" spans="1:11" x14ac:dyDescent="0.2">
      <c r="A2200" s="285"/>
      <c r="B2200" s="285"/>
      <c r="C2200" s="285"/>
      <c r="D2200" s="286"/>
      <c r="E2200" s="286"/>
      <c r="F2200" s="286"/>
      <c r="G2200" s="286"/>
      <c r="H2200" s="286"/>
      <c r="I2200" s="286"/>
      <c r="J2200" s="286"/>
      <c r="K2200" s="285"/>
    </row>
    <row r="2201" spans="1:11" x14ac:dyDescent="0.2">
      <c r="A2201" s="285"/>
      <c r="B2201" s="285"/>
      <c r="C2201" s="285"/>
      <c r="D2201" s="286"/>
      <c r="E2201" s="286"/>
      <c r="F2201" s="286"/>
      <c r="G2201" s="286"/>
      <c r="H2201" s="286"/>
      <c r="I2201" s="286"/>
      <c r="J2201" s="286"/>
      <c r="K2201" s="285"/>
    </row>
    <row r="2202" spans="1:11" x14ac:dyDescent="0.2">
      <c r="A2202" s="285"/>
      <c r="B2202" s="285"/>
      <c r="C2202" s="285"/>
      <c r="D2202" s="286"/>
      <c r="E2202" s="286"/>
      <c r="F2202" s="286"/>
      <c r="G2202" s="286"/>
      <c r="H2202" s="286"/>
      <c r="I2202" s="286"/>
      <c r="J2202" s="286"/>
      <c r="K2202" s="285"/>
    </row>
    <row r="2203" spans="1:11" x14ac:dyDescent="0.2">
      <c r="D2203" s="286"/>
      <c r="E2203" s="286"/>
      <c r="F2203" s="286"/>
      <c r="G2203" s="286"/>
      <c r="H2203" s="286"/>
      <c r="I2203" s="286"/>
      <c r="J2203" s="286"/>
      <c r="K2203" s="285"/>
    </row>
    <row r="2204" spans="1:11" x14ac:dyDescent="0.2">
      <c r="A2204" s="285"/>
      <c r="B2204" s="285"/>
      <c r="C2204" s="285"/>
      <c r="D2204" s="286"/>
      <c r="E2204" s="286"/>
      <c r="F2204" s="286"/>
      <c r="G2204" s="286"/>
      <c r="H2204" s="286"/>
      <c r="I2204" s="286"/>
      <c r="J2204" s="286"/>
      <c r="K2204" s="285"/>
    </row>
    <row r="2205" spans="1:11" x14ac:dyDescent="0.2">
      <c r="A2205" s="285"/>
      <c r="B2205" s="285"/>
      <c r="C2205" s="285"/>
      <c r="D2205" s="286"/>
      <c r="E2205" s="286"/>
      <c r="F2205" s="286"/>
      <c r="G2205" s="286"/>
      <c r="H2205" s="286"/>
      <c r="I2205" s="286"/>
      <c r="J2205" s="286"/>
      <c r="K2205" s="285"/>
    </row>
    <row r="2206" spans="1:11" x14ac:dyDescent="0.2">
      <c r="A2206" s="285"/>
      <c r="B2206" s="285"/>
      <c r="C2206" s="285"/>
      <c r="D2206" s="286"/>
      <c r="E2206" s="286"/>
      <c r="F2206" s="286"/>
      <c r="G2206" s="286"/>
      <c r="H2206" s="286"/>
      <c r="I2206" s="286"/>
      <c r="J2206" s="286"/>
      <c r="K2206" s="285"/>
    </row>
    <row r="2207" spans="1:11" x14ac:dyDescent="0.2">
      <c r="A2207" s="285"/>
      <c r="B2207" s="285"/>
      <c r="C2207" s="285"/>
      <c r="D2207" s="286"/>
      <c r="E2207" s="286"/>
      <c r="F2207" s="286"/>
      <c r="G2207" s="286"/>
      <c r="H2207" s="286"/>
      <c r="I2207" s="286"/>
      <c r="J2207" s="286"/>
      <c r="K2207" s="285"/>
    </row>
    <row r="2208" spans="1:11" x14ac:dyDescent="0.2">
      <c r="A2208" s="285"/>
      <c r="B2208" s="285"/>
      <c r="C2208" s="285"/>
      <c r="D2208" s="286"/>
      <c r="E2208" s="286"/>
      <c r="F2208" s="286"/>
      <c r="G2208" s="286"/>
      <c r="H2208" s="292"/>
      <c r="I2208" s="286"/>
      <c r="J2208" s="286"/>
      <c r="K2208" s="285"/>
    </row>
    <row r="2209" spans="1:11" x14ac:dyDescent="0.2">
      <c r="A2209" s="285"/>
      <c r="B2209" s="285"/>
      <c r="C2209" s="285"/>
      <c r="D2209" s="286"/>
      <c r="E2209" s="286"/>
      <c r="F2209" s="286"/>
      <c r="G2209" s="286"/>
      <c r="H2209" s="292"/>
      <c r="I2209" s="286"/>
      <c r="J2209" s="286"/>
      <c r="K2209" s="285"/>
    </row>
    <row r="2210" spans="1:11" x14ac:dyDescent="0.2">
      <c r="A2210" s="285"/>
      <c r="B2210" s="285"/>
      <c r="C2210" s="285"/>
      <c r="D2210" s="286"/>
      <c r="E2210" s="286"/>
      <c r="F2210" s="286"/>
      <c r="G2210" s="286"/>
      <c r="H2210" s="292"/>
      <c r="I2210" s="286"/>
      <c r="J2210" s="286"/>
      <c r="K2210" s="285"/>
    </row>
    <row r="2211" spans="1:11" x14ac:dyDescent="0.2">
      <c r="A2211" s="285"/>
      <c r="B2211" s="285"/>
      <c r="C2211" s="285"/>
      <c r="D2211" s="286"/>
      <c r="E2211" s="286"/>
      <c r="F2211" s="286"/>
      <c r="G2211" s="286"/>
      <c r="H2211" s="292"/>
      <c r="I2211" s="286"/>
      <c r="J2211" s="286"/>
      <c r="K2211" s="285"/>
    </row>
    <row r="2212" spans="1:11" x14ac:dyDescent="0.2">
      <c r="C2212" s="285"/>
      <c r="D2212" s="286"/>
      <c r="E2212" s="286"/>
      <c r="F2212" s="286"/>
      <c r="G2212" s="286"/>
      <c r="H2212" s="292"/>
      <c r="I2212" s="286"/>
      <c r="J2212" s="286"/>
      <c r="K2212" s="285"/>
    </row>
    <row r="2213" spans="1:11" x14ac:dyDescent="0.2">
      <c r="C2213" s="285"/>
      <c r="D2213" s="286"/>
      <c r="E2213" s="286"/>
      <c r="F2213" s="286"/>
      <c r="G2213" s="286"/>
      <c r="H2213" s="292"/>
      <c r="I2213" s="286"/>
      <c r="J2213" s="286"/>
      <c r="K2213" s="285"/>
    </row>
    <row r="2214" spans="1:11" x14ac:dyDescent="0.2">
      <c r="C2214" s="285"/>
      <c r="D2214" s="286"/>
      <c r="E2214" s="286"/>
      <c r="F2214" s="286"/>
      <c r="G2214" s="286"/>
      <c r="H2214" s="292"/>
      <c r="I2214" s="286"/>
      <c r="J2214" s="286"/>
      <c r="K2214" s="285"/>
    </row>
    <row r="2215" spans="1:11" x14ac:dyDescent="0.2">
      <c r="C2215" s="285"/>
      <c r="D2215" s="286"/>
      <c r="E2215" s="286"/>
      <c r="F2215" s="286"/>
      <c r="G2215" s="286"/>
      <c r="H2215" s="292"/>
      <c r="I2215" s="286"/>
      <c r="J2215" s="286"/>
      <c r="K2215" s="285"/>
    </row>
    <row r="2216" spans="1:11" x14ac:dyDescent="0.2">
      <c r="C2216" s="285"/>
      <c r="D2216" s="286"/>
      <c r="E2216" s="286"/>
      <c r="F2216" s="286"/>
      <c r="G2216" s="286"/>
      <c r="H2216" s="292"/>
      <c r="I2216" s="286"/>
      <c r="J2216" s="286"/>
      <c r="K2216" s="285"/>
    </row>
    <row r="2217" spans="1:11" x14ac:dyDescent="0.2">
      <c r="C2217" s="285"/>
      <c r="D2217" s="286"/>
      <c r="E2217" s="286"/>
      <c r="F2217" s="286"/>
      <c r="G2217" s="286"/>
      <c r="H2217" s="292"/>
      <c r="I2217" s="286"/>
      <c r="J2217" s="286"/>
      <c r="K2217" s="285"/>
    </row>
    <row r="2218" spans="1:11" x14ac:dyDescent="0.2">
      <c r="C2218" s="285"/>
      <c r="D2218" s="286"/>
      <c r="E2218" s="286"/>
      <c r="F2218" s="286"/>
      <c r="G2218" s="286"/>
      <c r="H2218" s="292"/>
      <c r="I2218" s="286"/>
      <c r="J2218" s="286"/>
      <c r="K2218" s="285"/>
    </row>
    <row r="2219" spans="1:11" x14ac:dyDescent="0.2">
      <c r="C2219" s="285"/>
      <c r="D2219" s="286"/>
      <c r="E2219" s="286"/>
      <c r="F2219" s="286"/>
      <c r="G2219" s="286"/>
      <c r="H2219" s="292"/>
      <c r="I2219" s="286"/>
      <c r="J2219" s="286"/>
      <c r="K2219" s="285"/>
    </row>
    <row r="2220" spans="1:11" x14ac:dyDescent="0.2">
      <c r="C2220" s="285"/>
      <c r="D2220" s="286"/>
      <c r="E2220" s="286"/>
      <c r="F2220" s="286"/>
      <c r="G2220" s="286"/>
      <c r="H2220" s="292"/>
      <c r="I2220" s="286"/>
      <c r="J2220" s="286"/>
      <c r="K2220" s="285"/>
    </row>
    <row r="2221" spans="1:11" x14ac:dyDescent="0.2">
      <c r="C2221" s="285"/>
      <c r="D2221" s="286"/>
      <c r="E2221" s="286"/>
      <c r="F2221" s="286"/>
      <c r="G2221" s="286"/>
      <c r="H2221" s="292"/>
      <c r="I2221" s="286"/>
      <c r="J2221" s="286"/>
      <c r="K2221" s="285"/>
    </row>
    <row r="2222" spans="1:11" x14ac:dyDescent="0.2">
      <c r="C2222" s="285"/>
      <c r="D2222" s="286"/>
      <c r="E2222" s="286"/>
      <c r="F2222" s="286"/>
      <c r="G2222" s="286"/>
      <c r="H2222" s="292"/>
      <c r="I2222" s="286"/>
      <c r="J2222" s="286"/>
      <c r="K2222" s="285"/>
    </row>
    <row r="2223" spans="1:11" x14ac:dyDescent="0.2">
      <c r="C2223" s="285"/>
      <c r="D2223" s="286"/>
      <c r="E2223" s="286"/>
      <c r="F2223" s="286"/>
      <c r="G2223" s="286"/>
      <c r="H2223" s="292"/>
      <c r="I2223" s="286"/>
      <c r="J2223" s="286"/>
      <c r="K2223" s="285"/>
    </row>
    <row r="2224" spans="1:11" x14ac:dyDescent="0.2">
      <c r="A2224" s="285"/>
      <c r="B2224" s="285"/>
      <c r="C2224" s="285"/>
      <c r="D2224" s="286"/>
      <c r="E2224" s="286"/>
      <c r="F2224" s="286"/>
      <c r="G2224" s="286"/>
      <c r="H2224" s="292"/>
      <c r="I2224" s="286"/>
      <c r="J2224" s="286"/>
      <c r="K2224" s="285"/>
    </row>
    <row r="2225" spans="1:11" x14ac:dyDescent="0.2">
      <c r="A2225" s="285"/>
      <c r="B2225" s="285"/>
      <c r="C2225" s="285"/>
      <c r="D2225" s="286"/>
      <c r="E2225" s="286"/>
      <c r="F2225" s="286"/>
      <c r="G2225" s="286"/>
      <c r="H2225" s="292"/>
      <c r="I2225" s="286"/>
      <c r="J2225" s="286"/>
      <c r="K2225" s="285"/>
    </row>
    <row r="2226" spans="1:11" x14ac:dyDescent="0.2">
      <c r="A2226" s="285"/>
      <c r="B2226" s="285"/>
      <c r="C2226" s="285"/>
      <c r="D2226" s="286"/>
      <c r="E2226" s="286"/>
      <c r="F2226" s="286"/>
      <c r="G2226" s="286"/>
      <c r="H2226" s="292"/>
      <c r="I2226" s="286"/>
      <c r="J2226" s="286"/>
      <c r="K2226" s="285"/>
    </row>
    <row r="2227" spans="1:11" x14ac:dyDescent="0.2">
      <c r="A2227" s="285"/>
      <c r="B2227" s="285"/>
      <c r="C2227" s="285"/>
      <c r="D2227" s="286"/>
      <c r="E2227" s="286"/>
      <c r="F2227" s="286"/>
      <c r="G2227" s="286"/>
      <c r="H2227" s="292"/>
      <c r="I2227" s="286"/>
      <c r="J2227" s="286"/>
      <c r="K2227" s="285"/>
    </row>
    <row r="2228" spans="1:11" x14ac:dyDescent="0.2">
      <c r="A2228" s="285"/>
      <c r="B2228" s="285"/>
      <c r="C2228" s="285"/>
      <c r="D2228" s="286"/>
      <c r="E2228" s="286"/>
      <c r="F2228" s="286"/>
      <c r="G2228" s="286"/>
      <c r="H2228" s="292"/>
      <c r="I2228" s="286"/>
      <c r="J2228" s="286"/>
      <c r="K2228" s="285"/>
    </row>
    <row r="2229" spans="1:11" x14ac:dyDescent="0.2">
      <c r="A2229" s="285"/>
      <c r="B2229" s="285"/>
      <c r="C2229" s="285"/>
      <c r="D2229" s="286"/>
      <c r="E2229" s="286"/>
      <c r="F2229" s="286"/>
      <c r="G2229" s="286"/>
      <c r="H2229" s="292"/>
      <c r="I2229" s="286"/>
      <c r="J2229" s="286"/>
      <c r="K2229" s="285"/>
    </row>
    <row r="2230" spans="1:11" x14ac:dyDescent="0.2">
      <c r="A2230" s="285"/>
      <c r="B2230" s="285"/>
      <c r="C2230" s="285"/>
      <c r="D2230" s="530"/>
      <c r="E2230" s="530"/>
      <c r="F2230" s="530"/>
      <c r="G2230" s="533"/>
      <c r="H2230" s="533"/>
      <c r="I2230" s="530"/>
      <c r="J2230" s="530"/>
      <c r="K2230" s="285"/>
    </row>
    <row r="2231" spans="1:11" x14ac:dyDescent="0.2">
      <c r="A2231" s="285"/>
      <c r="B2231" s="285"/>
      <c r="C2231" s="285"/>
      <c r="D2231" s="530"/>
      <c r="E2231" s="530"/>
      <c r="F2231" s="530"/>
      <c r="G2231" s="530"/>
      <c r="H2231" s="533"/>
      <c r="I2231" s="530"/>
      <c r="J2231" s="530"/>
      <c r="K2231" s="285"/>
    </row>
    <row r="2232" spans="1:11" x14ac:dyDescent="0.2">
      <c r="A2232" s="285"/>
      <c r="B2232" s="285"/>
      <c r="C2232" s="285"/>
      <c r="D2232" s="530"/>
      <c r="E2232" s="530"/>
      <c r="F2232" s="530"/>
      <c r="G2232" s="530"/>
      <c r="H2232" s="533"/>
      <c r="I2232" s="530"/>
      <c r="J2232" s="530"/>
      <c r="K2232" s="285"/>
    </row>
    <row r="2233" spans="1:11" x14ac:dyDescent="0.2">
      <c r="A2233" s="285"/>
      <c r="B2233" s="285"/>
      <c r="C2233" s="285"/>
      <c r="D2233" s="530"/>
      <c r="E2233" s="530"/>
      <c r="F2233" s="530"/>
      <c r="G2233" s="530"/>
      <c r="H2233" s="533"/>
      <c r="I2233" s="530"/>
      <c r="J2233" s="530"/>
      <c r="K2233" s="285"/>
    </row>
    <row r="2234" spans="1:11" x14ac:dyDescent="0.2">
      <c r="A2234" s="285"/>
      <c r="B2234" s="285"/>
      <c r="C2234" s="285"/>
      <c r="D2234" s="530"/>
      <c r="E2234" s="530"/>
      <c r="F2234" s="530"/>
      <c r="G2234" s="530"/>
      <c r="H2234" s="533"/>
      <c r="I2234" s="530"/>
      <c r="J2234" s="530"/>
      <c r="K2234" s="285"/>
    </row>
    <row r="2235" spans="1:11" x14ac:dyDescent="0.2">
      <c r="A2235" s="285"/>
      <c r="B2235" s="285"/>
      <c r="C2235" s="285"/>
      <c r="D2235" s="530"/>
      <c r="E2235" s="530"/>
      <c r="F2235" s="530"/>
      <c r="G2235" s="530"/>
      <c r="H2235" s="533"/>
      <c r="I2235" s="530"/>
      <c r="J2235" s="530"/>
      <c r="K2235" s="285"/>
    </row>
    <row r="2236" spans="1:11" x14ac:dyDescent="0.2">
      <c r="A2236" s="285"/>
      <c r="B2236" s="285"/>
      <c r="C2236" s="285"/>
      <c r="D2236" s="530"/>
      <c r="E2236" s="530"/>
      <c r="F2236" s="530"/>
      <c r="G2236" s="530"/>
      <c r="H2236" s="533"/>
      <c r="I2236" s="530"/>
      <c r="J2236" s="530"/>
      <c r="K2236" s="285"/>
    </row>
    <row r="2237" spans="1:11" x14ac:dyDescent="0.2">
      <c r="A2237" s="285"/>
      <c r="B2237" s="285"/>
      <c r="C2237" s="285"/>
      <c r="D2237" s="530"/>
      <c r="E2237" s="530"/>
      <c r="F2237" s="530"/>
      <c r="G2237" s="530"/>
      <c r="H2237" s="533"/>
      <c r="I2237" s="530"/>
      <c r="J2237" s="530"/>
      <c r="K2237" s="285"/>
    </row>
    <row r="2238" spans="1:11" x14ac:dyDescent="0.2">
      <c r="A2238" s="285"/>
      <c r="B2238" s="285"/>
      <c r="C2238" s="285"/>
      <c r="D2238" s="530"/>
      <c r="E2238" s="530"/>
      <c r="F2238" s="530"/>
      <c r="G2238" s="530"/>
      <c r="H2238" s="533"/>
      <c r="I2238" s="530"/>
      <c r="J2238" s="530"/>
      <c r="K2238" s="285"/>
    </row>
    <row r="2239" spans="1:11" x14ac:dyDescent="0.2">
      <c r="A2239" s="285"/>
      <c r="B2239" s="285"/>
      <c r="C2239" s="285"/>
      <c r="D2239" s="530"/>
      <c r="E2239" s="530"/>
      <c r="F2239" s="530"/>
      <c r="G2239" s="530"/>
      <c r="H2239" s="533"/>
      <c r="I2239" s="534"/>
      <c r="J2239" s="530"/>
      <c r="K2239" s="285"/>
    </row>
    <row r="2240" spans="1:11" x14ac:dyDescent="0.2">
      <c r="A2240" s="285"/>
      <c r="B2240" s="285"/>
      <c r="C2240" s="285"/>
      <c r="D2240" s="530"/>
      <c r="E2240" s="530"/>
      <c r="F2240" s="530"/>
      <c r="G2240" s="530"/>
      <c r="H2240" s="533"/>
      <c r="I2240" s="530"/>
      <c r="J2240" s="530"/>
      <c r="K2240" s="285"/>
    </row>
    <row r="2241" spans="1:11" x14ac:dyDescent="0.2">
      <c r="A2241" s="285"/>
      <c r="B2241" s="285"/>
      <c r="C2241" s="285"/>
      <c r="D2241" s="530"/>
      <c r="E2241" s="530"/>
      <c r="F2241" s="534"/>
      <c r="G2241" s="530"/>
      <c r="H2241" s="533"/>
      <c r="I2241" s="530"/>
      <c r="J2241" s="530"/>
      <c r="K2241" s="285"/>
    </row>
    <row r="2242" spans="1:11" x14ac:dyDescent="0.2">
      <c r="A2242" s="285"/>
      <c r="B2242" s="285"/>
      <c r="C2242" s="285"/>
      <c r="D2242" s="286"/>
      <c r="E2242" s="286"/>
      <c r="F2242" s="286"/>
      <c r="G2242" s="286"/>
      <c r="H2242" s="470"/>
      <c r="I2242" s="286"/>
      <c r="J2242" s="286"/>
      <c r="K2242" s="557"/>
    </row>
    <row r="2243" spans="1:11" x14ac:dyDescent="0.2">
      <c r="A2243" s="285"/>
      <c r="B2243" s="285"/>
      <c r="C2243" s="285"/>
      <c r="D2243" s="286"/>
      <c r="E2243" s="286"/>
      <c r="F2243" s="286"/>
      <c r="G2243" s="286"/>
      <c r="H2243" s="470"/>
      <c r="I2243" s="286"/>
      <c r="J2243" s="286"/>
      <c r="K2243" s="557"/>
    </row>
    <row r="2244" spans="1:11" x14ac:dyDescent="0.2">
      <c r="A2244" s="285"/>
      <c r="B2244" s="285"/>
      <c r="C2244" s="285"/>
      <c r="D2244" s="286"/>
      <c r="E2244" s="286"/>
      <c r="F2244" s="286"/>
      <c r="G2244" s="286"/>
      <c r="H2244" s="470"/>
      <c r="I2244" s="286"/>
      <c r="J2244" s="286"/>
      <c r="K2244" s="557"/>
    </row>
    <row r="2245" spans="1:11" x14ac:dyDescent="0.2">
      <c r="A2245" s="285"/>
      <c r="B2245" s="285"/>
      <c r="C2245" s="285"/>
      <c r="D2245" s="286"/>
      <c r="E2245" s="286"/>
      <c r="F2245" s="286"/>
      <c r="G2245" s="286"/>
      <c r="H2245" s="470"/>
      <c r="I2245" s="286"/>
      <c r="J2245" s="286"/>
      <c r="K2245" s="557"/>
    </row>
    <row r="2246" spans="1:11" x14ac:dyDescent="0.2">
      <c r="A2246" s="285"/>
      <c r="B2246" s="285"/>
      <c r="C2246" s="285"/>
      <c r="D2246" s="286"/>
      <c r="E2246" s="286"/>
      <c r="F2246" s="286"/>
      <c r="G2246" s="286"/>
      <c r="H2246" s="458"/>
      <c r="I2246" s="286"/>
      <c r="J2246" s="286"/>
      <c r="K2246" s="557"/>
    </row>
    <row r="2247" spans="1:11" x14ac:dyDescent="0.2">
      <c r="A2247" s="285"/>
      <c r="B2247" s="285"/>
      <c r="C2247" s="285"/>
      <c r="D2247" s="286"/>
      <c r="E2247" s="286"/>
      <c r="F2247" s="286"/>
      <c r="G2247" s="286"/>
      <c r="H2247" s="458"/>
      <c r="I2247" s="286"/>
      <c r="J2247" s="286"/>
      <c r="K2247" s="557"/>
    </row>
    <row r="2248" spans="1:11" x14ac:dyDescent="0.2">
      <c r="A2248" s="285"/>
      <c r="B2248" s="285"/>
      <c r="C2248" s="285"/>
      <c r="D2248" s="286"/>
      <c r="E2248" s="286"/>
      <c r="F2248" s="286"/>
      <c r="G2248" s="286"/>
      <c r="H2248" s="558"/>
      <c r="I2248" s="286"/>
      <c r="J2248" s="286"/>
      <c r="K2248" s="285"/>
    </row>
    <row r="2249" spans="1:11" x14ac:dyDescent="0.2">
      <c r="A2249" s="285"/>
      <c r="B2249" s="285"/>
      <c r="C2249" s="285"/>
      <c r="D2249" s="286"/>
      <c r="E2249" s="286"/>
      <c r="F2249" s="286"/>
      <c r="G2249" s="286"/>
      <c r="H2249" s="558"/>
      <c r="I2249" s="286"/>
      <c r="J2249" s="286"/>
      <c r="K2249" s="285"/>
    </row>
    <row r="2250" spans="1:11" x14ac:dyDescent="0.2">
      <c r="A2250" s="285"/>
      <c r="B2250" s="285"/>
      <c r="C2250" s="285"/>
      <c r="D2250" s="286"/>
      <c r="E2250" s="286"/>
      <c r="F2250" s="286"/>
      <c r="G2250" s="286"/>
      <c r="H2250" s="558"/>
      <c r="I2250" s="286"/>
      <c r="J2250" s="286"/>
      <c r="K2250" s="285"/>
    </row>
    <row r="2251" spans="1:11" ht="12" x14ac:dyDescent="0.2">
      <c r="A2251" s="285"/>
      <c r="B2251" s="285"/>
      <c r="C2251" s="285"/>
      <c r="D2251" s="286"/>
      <c r="E2251" s="649"/>
      <c r="F2251" s="286"/>
      <c r="G2251" s="286"/>
      <c r="H2251" s="558"/>
      <c r="I2251" s="286"/>
      <c r="J2251" s="286"/>
      <c r="K2251" s="285"/>
    </row>
    <row r="2252" spans="1:11" ht="11.5" x14ac:dyDescent="0.2">
      <c r="A2252" s="285"/>
      <c r="B2252" s="285"/>
      <c r="C2252" s="285"/>
      <c r="D2252" s="286"/>
      <c r="E2252" s="650"/>
      <c r="F2252" s="286"/>
      <c r="G2252" s="286"/>
      <c r="H2252" s="558"/>
      <c r="I2252" s="286"/>
      <c r="J2252" s="286"/>
      <c r="K2252" s="285"/>
    </row>
    <row r="2253" spans="1:11" ht="12" x14ac:dyDescent="0.2">
      <c r="D2253" s="286"/>
      <c r="E2253" s="286"/>
      <c r="F2253" s="651"/>
      <c r="G2253" s="286"/>
      <c r="H2253" s="558"/>
      <c r="I2253" s="286"/>
      <c r="J2253" s="286"/>
      <c r="K2253" s="285"/>
    </row>
    <row r="2254" spans="1:11" x14ac:dyDescent="0.2">
      <c r="A2254" s="285"/>
      <c r="B2254" s="285"/>
      <c r="C2254" s="285"/>
      <c r="D2254" s="286"/>
      <c r="E2254" s="286"/>
      <c r="F2254" s="286"/>
      <c r="G2254" s="286"/>
      <c r="H2254" s="558"/>
      <c r="I2254" s="286"/>
      <c r="J2254" s="286"/>
      <c r="K2254" s="285"/>
    </row>
    <row r="2255" spans="1:11" x14ac:dyDescent="0.2">
      <c r="D2255" s="288"/>
      <c r="E2255" s="291"/>
      <c r="F2255" s="288"/>
      <c r="G2255" s="288"/>
      <c r="H2255" s="559"/>
      <c r="I2255" s="288"/>
      <c r="J2255" s="288"/>
      <c r="K2255" s="290"/>
    </row>
    <row r="2256" spans="1:11" x14ac:dyDescent="0.2">
      <c r="D2256" s="288"/>
      <c r="E2256" s="288"/>
      <c r="F2256" s="288"/>
      <c r="G2256" s="288"/>
      <c r="H2256" s="559"/>
      <c r="I2256" s="288"/>
      <c r="J2256" s="288"/>
      <c r="K2256" s="290"/>
    </row>
    <row r="2257" spans="4:11" x14ac:dyDescent="0.2">
      <c r="D2257" s="286"/>
      <c r="E2257" s="286"/>
      <c r="F2257" s="286"/>
      <c r="G2257" s="458"/>
      <c r="H2257" s="560"/>
      <c r="I2257" s="286"/>
      <c r="J2257" s="286"/>
      <c r="K2257" s="285"/>
    </row>
    <row r="2258" spans="4:11" x14ac:dyDescent="0.2">
      <c r="D2258" s="286"/>
      <c r="E2258" s="286"/>
      <c r="F2258" s="286"/>
      <c r="G2258" s="458"/>
      <c r="H2258" s="560"/>
      <c r="I2258" s="286"/>
      <c r="J2258" s="286"/>
      <c r="K2258" s="285"/>
    </row>
    <row r="2259" spans="4:11" x14ac:dyDescent="0.2">
      <c r="D2259" s="286"/>
      <c r="E2259" s="286"/>
      <c r="F2259" s="286"/>
      <c r="G2259" s="458"/>
      <c r="H2259" s="560"/>
      <c r="I2259" s="286"/>
      <c r="J2259" s="286"/>
      <c r="K2259" s="285"/>
    </row>
    <row r="2260" spans="4:11" x14ac:dyDescent="0.2">
      <c r="D2260" s="286"/>
      <c r="E2260" s="286"/>
      <c r="F2260" s="286"/>
      <c r="G2260" s="458"/>
      <c r="H2260" s="560"/>
      <c r="I2260" s="286"/>
      <c r="J2260" s="286"/>
      <c r="K2260" s="285"/>
    </row>
    <row r="2261" spans="4:11" x14ac:dyDescent="0.2">
      <c r="D2261" s="286"/>
      <c r="E2261" s="286"/>
      <c r="F2261" s="286"/>
      <c r="G2261" s="458"/>
      <c r="H2261" s="560"/>
      <c r="I2261" s="286"/>
      <c r="J2261" s="286"/>
      <c r="K2261" s="285"/>
    </row>
    <row r="2262" spans="4:11" x14ac:dyDescent="0.2">
      <c r="D2262" s="286"/>
      <c r="E2262" s="286"/>
      <c r="F2262" s="286"/>
      <c r="G2262" s="458"/>
      <c r="H2262" s="560"/>
      <c r="I2262" s="286"/>
      <c r="J2262" s="286"/>
      <c r="K2262" s="285"/>
    </row>
    <row r="2263" spans="4:11" x14ac:dyDescent="0.2">
      <c r="D2263" s="286"/>
      <c r="E2263" s="286"/>
      <c r="F2263" s="286"/>
      <c r="G2263" s="458"/>
      <c r="H2263" s="560"/>
      <c r="I2263" s="286"/>
      <c r="J2263" s="286"/>
      <c r="K2263" s="285"/>
    </row>
    <row r="2264" spans="4:11" x14ac:dyDescent="0.2">
      <c r="D2264" s="286"/>
      <c r="E2264" s="286"/>
      <c r="F2264" s="286"/>
      <c r="G2264" s="458"/>
      <c r="H2264" s="560"/>
      <c r="I2264" s="286"/>
      <c r="J2264" s="286"/>
      <c r="K2264" s="285"/>
    </row>
    <row r="2265" spans="4:11" x14ac:dyDescent="0.2">
      <c r="D2265" s="286"/>
      <c r="E2265" s="286"/>
      <c r="F2265" s="286"/>
      <c r="G2265" s="458"/>
      <c r="H2265" s="560"/>
      <c r="I2265" s="286"/>
      <c r="J2265" s="286"/>
      <c r="K2265" s="285"/>
    </row>
    <row r="2266" spans="4:11" x14ac:dyDescent="0.2">
      <c r="D2266" s="286"/>
      <c r="E2266" s="286"/>
      <c r="F2266" s="286"/>
      <c r="G2266" s="470"/>
      <c r="H2266" s="560"/>
      <c r="I2266" s="286"/>
      <c r="J2266" s="286"/>
      <c r="K2266" s="285"/>
    </row>
    <row r="2267" spans="4:11" x14ac:dyDescent="0.2">
      <c r="D2267" s="286"/>
      <c r="E2267" s="286"/>
      <c r="F2267" s="286"/>
      <c r="G2267" s="458"/>
      <c r="H2267" s="560"/>
      <c r="I2267" s="286"/>
      <c r="J2267" s="286"/>
      <c r="K2267" s="285"/>
    </row>
    <row r="2268" spans="4:11" x14ac:dyDescent="0.2">
      <c r="D2268" s="286"/>
      <c r="E2268" s="286"/>
      <c r="F2268" s="286"/>
      <c r="G2268" s="286"/>
      <c r="H2268" s="292"/>
      <c r="I2268" s="286"/>
      <c r="J2268" s="286"/>
      <c r="K2268" s="285"/>
    </row>
    <row r="2269" spans="4:11" x14ac:dyDescent="0.2">
      <c r="D2269" s="286"/>
      <c r="E2269" s="286"/>
      <c r="G2269" s="286"/>
      <c r="H2269" s="292"/>
      <c r="I2269" s="286"/>
      <c r="J2269" s="286"/>
      <c r="K2269" s="285"/>
    </row>
    <row r="2270" spans="4:11" x14ac:dyDescent="0.2">
      <c r="D2270" s="286"/>
      <c r="E2270" s="286"/>
      <c r="F2270" s="286"/>
      <c r="G2270" s="286"/>
      <c r="H2270" s="292"/>
      <c r="I2270" s="286"/>
      <c r="J2270" s="286"/>
      <c r="K2270" s="285"/>
    </row>
    <row r="2271" spans="4:11" x14ac:dyDescent="0.2">
      <c r="D2271" s="286"/>
      <c r="E2271" s="286"/>
      <c r="F2271" s="286"/>
      <c r="G2271" s="286"/>
      <c r="H2271" s="292"/>
      <c r="I2271" s="286"/>
      <c r="J2271" s="286"/>
      <c r="K2271" s="285"/>
    </row>
    <row r="2272" spans="4:11" x14ac:dyDescent="0.2">
      <c r="D2272" s="286"/>
      <c r="E2272" s="286"/>
      <c r="F2272" s="286"/>
      <c r="G2272" s="286"/>
      <c r="H2272" s="292"/>
      <c r="I2272" s="286"/>
      <c r="J2272" s="286"/>
      <c r="K2272" s="285"/>
    </row>
    <row r="2273" spans="4:11" x14ac:dyDescent="0.2">
      <c r="D2273" s="286"/>
      <c r="E2273" s="286"/>
      <c r="F2273" s="286"/>
      <c r="G2273" s="286"/>
      <c r="H2273" s="292"/>
      <c r="I2273" s="286"/>
      <c r="J2273" s="286"/>
      <c r="K2273" s="285"/>
    </row>
    <row r="2274" spans="4:11" x14ac:dyDescent="0.2">
      <c r="D2274" s="286"/>
      <c r="E2274" s="286"/>
      <c r="F2274" s="286"/>
      <c r="G2274" s="286"/>
      <c r="H2274" s="292"/>
      <c r="I2274" s="286"/>
      <c r="J2274" s="286"/>
      <c r="K2274" s="285"/>
    </row>
    <row r="2275" spans="4:11" x14ac:dyDescent="0.2">
      <c r="D2275" s="286"/>
      <c r="E2275" s="286"/>
      <c r="F2275" s="286"/>
      <c r="G2275" s="286"/>
      <c r="H2275" s="292"/>
      <c r="I2275" s="286"/>
      <c r="J2275" s="286"/>
      <c r="K2275" s="285"/>
    </row>
    <row r="2276" spans="4:11" x14ac:dyDescent="0.2">
      <c r="D2276" s="286"/>
      <c r="E2276" s="286"/>
      <c r="F2276" s="286"/>
      <c r="G2276" s="286"/>
      <c r="H2276" s="292"/>
      <c r="I2276" s="286"/>
      <c r="J2276" s="286"/>
      <c r="K2276" s="285"/>
    </row>
    <row r="2277" spans="4:11" x14ac:dyDescent="0.2">
      <c r="D2277" s="286"/>
      <c r="E2277" s="286"/>
      <c r="F2277" s="286"/>
      <c r="G2277" s="286"/>
      <c r="H2277" s="292"/>
      <c r="I2277" s="286"/>
      <c r="J2277" s="286"/>
      <c r="K2277" s="285"/>
    </row>
    <row r="2278" spans="4:11" x14ac:dyDescent="0.2">
      <c r="D2278" s="286"/>
      <c r="E2278" s="286"/>
      <c r="F2278" s="286"/>
      <c r="G2278" s="286"/>
      <c r="H2278" s="292"/>
      <c r="I2278" s="286"/>
      <c r="J2278" s="286"/>
      <c r="K2278" s="285"/>
    </row>
    <row r="2279" spans="4:11" x14ac:dyDescent="0.2">
      <c r="D2279" s="286"/>
      <c r="E2279" s="286"/>
      <c r="F2279" s="286"/>
      <c r="G2279" s="286"/>
      <c r="H2279" s="287"/>
      <c r="I2279" s="286"/>
      <c r="J2279" s="286"/>
    </row>
    <row r="2280" spans="4:11" x14ac:dyDescent="0.2">
      <c r="D2280" s="286"/>
      <c r="E2280" s="286"/>
      <c r="F2280" s="286"/>
      <c r="G2280" s="286"/>
      <c r="H2280" s="321"/>
      <c r="I2280" s="286"/>
      <c r="J2280" s="286"/>
      <c r="K2280" s="285"/>
    </row>
    <row r="2281" spans="4:11" x14ac:dyDescent="0.2">
      <c r="D2281" s="286"/>
      <c r="E2281" s="286"/>
      <c r="F2281" s="286"/>
      <c r="G2281" s="286"/>
      <c r="H2281" s="287"/>
      <c r="I2281" s="286"/>
      <c r="J2281" s="286"/>
      <c r="K2281" s="285"/>
    </row>
    <row r="2282" spans="4:11" x14ac:dyDescent="0.2">
      <c r="D2282" s="286"/>
      <c r="E2282" s="286"/>
      <c r="F2282" s="286"/>
      <c r="G2282" s="286"/>
      <c r="H2282" s="321"/>
      <c r="I2282" s="286"/>
      <c r="J2282" s="286"/>
      <c r="K2282" s="285"/>
    </row>
    <row r="2283" spans="4:11" x14ac:dyDescent="0.2">
      <c r="D2283" s="286"/>
      <c r="E2283" s="286"/>
      <c r="F2283" s="286"/>
      <c r="G2283" s="286"/>
      <c r="H2283" s="287"/>
      <c r="I2283" s="286"/>
      <c r="J2283" s="286"/>
      <c r="K2283" s="285"/>
    </row>
    <row r="2284" spans="4:11" x14ac:dyDescent="0.2">
      <c r="D2284" s="286"/>
      <c r="E2284" s="286"/>
      <c r="F2284" s="286"/>
      <c r="G2284" s="286"/>
      <c r="H2284" s="287"/>
      <c r="I2284" s="286"/>
      <c r="J2284" s="286"/>
      <c r="K2284" s="285"/>
    </row>
    <row r="2285" spans="4:11" x14ac:dyDescent="0.2">
      <c r="D2285" s="286"/>
      <c r="E2285" s="286"/>
      <c r="F2285" s="286"/>
      <c r="G2285" s="286"/>
      <c r="H2285" s="287"/>
      <c r="I2285" s="286"/>
      <c r="J2285" s="286"/>
      <c r="K2285" s="285"/>
    </row>
    <row r="2286" spans="4:11" x14ac:dyDescent="0.2">
      <c r="D2286" s="286"/>
      <c r="E2286" s="286"/>
      <c r="F2286" s="286"/>
      <c r="G2286" s="286"/>
      <c r="H2286" s="287"/>
      <c r="I2286" s="286"/>
      <c r="J2286" s="286"/>
      <c r="K2286" s="285"/>
    </row>
    <row r="2287" spans="4:11" x14ac:dyDescent="0.2">
      <c r="D2287" s="286"/>
      <c r="E2287" s="286"/>
      <c r="F2287" s="286"/>
      <c r="G2287" s="286"/>
      <c r="H2287" s="287"/>
      <c r="I2287" s="286"/>
      <c r="J2287" s="286"/>
      <c r="K2287" s="285"/>
    </row>
    <row r="2288" spans="4:11" x14ac:dyDescent="0.2">
      <c r="D2288" s="286"/>
      <c r="E2288" s="286"/>
      <c r="F2288" s="286"/>
      <c r="G2288" s="286"/>
      <c r="H2288" s="287"/>
      <c r="I2288" s="286"/>
      <c r="J2288" s="286"/>
      <c r="K2288" s="285"/>
    </row>
    <row r="2289" spans="1:11" x14ac:dyDescent="0.2">
      <c r="D2289" s="286"/>
      <c r="E2289" s="286"/>
      <c r="F2289" s="286"/>
      <c r="G2289" s="286"/>
      <c r="H2289" s="287"/>
      <c r="I2289" s="286"/>
      <c r="J2289" s="286"/>
      <c r="K2289" s="285"/>
    </row>
    <row r="2290" spans="1:11" x14ac:dyDescent="0.2">
      <c r="D2290" s="286"/>
      <c r="E2290" s="286"/>
      <c r="F2290" s="286"/>
      <c r="G2290" s="286"/>
      <c r="H2290" s="287"/>
      <c r="I2290" s="286"/>
      <c r="J2290" s="286"/>
      <c r="K2290" s="285"/>
    </row>
    <row r="2291" spans="1:11" x14ac:dyDescent="0.2">
      <c r="D2291" s="286"/>
      <c r="E2291" s="286"/>
      <c r="F2291" s="286"/>
      <c r="G2291" s="286"/>
      <c r="H2291" s="287"/>
      <c r="I2291" s="286"/>
      <c r="J2291" s="286"/>
      <c r="K2291" s="285"/>
    </row>
    <row r="2293" spans="1:11" x14ac:dyDescent="0.2">
      <c r="A2293" s="285"/>
      <c r="B2293" s="285"/>
      <c r="C2293" s="285"/>
      <c r="D2293" s="286"/>
      <c r="E2293" s="286"/>
      <c r="F2293" s="286"/>
      <c r="G2293" s="286"/>
      <c r="H2293" s="286"/>
      <c r="I2293" s="286"/>
      <c r="J2293" s="286"/>
      <c r="K2293" s="285"/>
    </row>
    <row r="2294" spans="1:11" x14ac:dyDescent="0.2">
      <c r="A2294" s="285"/>
      <c r="B2294" s="285"/>
      <c r="C2294" s="285"/>
      <c r="D2294" s="286"/>
      <c r="E2294" s="286"/>
      <c r="F2294" s="286"/>
      <c r="G2294" s="286"/>
      <c r="H2294" s="286"/>
      <c r="I2294" s="286"/>
      <c r="J2294" s="286"/>
      <c r="K2294" s="285"/>
    </row>
    <row r="2295" spans="1:11" x14ac:dyDescent="0.2">
      <c r="A2295" s="285"/>
      <c r="B2295" s="285"/>
      <c r="C2295" s="285"/>
      <c r="D2295" s="286"/>
      <c r="E2295" s="286"/>
      <c r="F2295" s="286"/>
      <c r="G2295" s="286"/>
      <c r="H2295" s="286"/>
      <c r="I2295" s="286"/>
      <c r="J2295" s="286"/>
      <c r="K2295" s="285"/>
    </row>
    <row r="2296" spans="1:11" x14ac:dyDescent="0.2">
      <c r="A2296" s="285"/>
      <c r="B2296" s="285"/>
      <c r="C2296" s="285"/>
      <c r="D2296" s="286"/>
      <c r="E2296" s="286"/>
      <c r="F2296" s="286"/>
      <c r="G2296" s="286"/>
      <c r="H2296" s="286"/>
      <c r="I2296" s="286"/>
      <c r="J2296" s="286"/>
      <c r="K2296" s="285"/>
    </row>
    <row r="2297" spans="1:11" x14ac:dyDescent="0.2">
      <c r="A2297" s="285"/>
      <c r="B2297" s="285"/>
      <c r="C2297" s="285"/>
      <c r="D2297" s="286"/>
      <c r="E2297" s="286"/>
      <c r="F2297" s="286"/>
      <c r="G2297" s="286"/>
      <c r="H2297" s="286"/>
      <c r="I2297" s="286"/>
      <c r="J2297" s="286"/>
      <c r="K2297" s="285"/>
    </row>
    <row r="2298" spans="1:11" x14ac:dyDescent="0.2">
      <c r="A2298" s="285"/>
      <c r="B2298" s="285"/>
      <c r="C2298" s="285"/>
      <c r="D2298" s="286"/>
      <c r="E2298" s="286"/>
      <c r="F2298" s="286"/>
      <c r="G2298" s="286"/>
      <c r="H2298" s="286"/>
      <c r="I2298" s="286"/>
      <c r="J2298" s="286"/>
      <c r="K2298" s="285"/>
    </row>
    <row r="2299" spans="1:11" x14ac:dyDescent="0.2">
      <c r="A2299" s="285"/>
      <c r="B2299" s="285"/>
      <c r="C2299" s="285"/>
      <c r="D2299" s="286"/>
      <c r="E2299" s="286"/>
      <c r="F2299" s="286"/>
      <c r="G2299" s="286"/>
      <c r="H2299" s="286"/>
      <c r="I2299" s="286"/>
      <c r="J2299" s="286"/>
      <c r="K2299" s="285"/>
    </row>
    <row r="2300" spans="1:11" x14ac:dyDescent="0.2">
      <c r="A2300" s="285"/>
      <c r="B2300" s="285"/>
      <c r="C2300" s="285"/>
      <c r="D2300" s="286"/>
      <c r="E2300" s="286"/>
      <c r="F2300" s="286"/>
      <c r="G2300" s="286"/>
      <c r="H2300" s="286"/>
      <c r="I2300" s="286"/>
      <c r="J2300" s="286"/>
      <c r="K2300" s="285"/>
    </row>
    <row r="2302" spans="1:11" x14ac:dyDescent="0.2">
      <c r="A2302" s="285"/>
      <c r="B2302" s="285"/>
      <c r="C2302" s="285"/>
      <c r="D2302" s="286"/>
      <c r="E2302" s="286"/>
      <c r="F2302" s="286"/>
      <c r="G2302" s="286"/>
      <c r="H2302" s="286"/>
      <c r="I2302" s="286"/>
      <c r="J2302" s="286"/>
      <c r="K2302" s="285"/>
    </row>
    <row r="2303" spans="1:11" x14ac:dyDescent="0.2">
      <c r="A2303" s="285"/>
      <c r="B2303" s="285"/>
      <c r="C2303" s="285"/>
      <c r="D2303" s="286"/>
      <c r="E2303" s="286"/>
      <c r="F2303" s="286"/>
      <c r="G2303" s="286"/>
      <c r="H2303" s="286"/>
      <c r="I2303" s="286"/>
      <c r="J2303" s="286"/>
      <c r="K2303" s="285"/>
    </row>
    <row r="2304" spans="1:11" x14ac:dyDescent="0.2">
      <c r="A2304" s="285"/>
      <c r="B2304" s="285"/>
      <c r="C2304" s="285"/>
      <c r="D2304" s="286"/>
      <c r="E2304" s="286"/>
      <c r="F2304" s="286"/>
      <c r="G2304" s="286"/>
      <c r="H2304" s="286"/>
      <c r="I2304" s="286"/>
      <c r="J2304" s="286"/>
      <c r="K2304" s="285"/>
    </row>
    <row r="2305" spans="1:11" x14ac:dyDescent="0.2">
      <c r="A2305" s="285"/>
      <c r="B2305" s="285"/>
      <c r="C2305" s="285"/>
      <c r="D2305" s="286"/>
      <c r="E2305" s="286"/>
      <c r="F2305" s="286"/>
      <c r="G2305" s="286"/>
      <c r="H2305" s="286"/>
      <c r="I2305" s="286"/>
      <c r="J2305" s="286"/>
      <c r="K2305" s="285"/>
    </row>
    <row r="2306" spans="1:11" x14ac:dyDescent="0.2">
      <c r="A2306" s="285"/>
      <c r="B2306" s="285"/>
      <c r="C2306" s="285"/>
      <c r="D2306" s="286"/>
      <c r="E2306" s="286"/>
      <c r="F2306" s="286"/>
      <c r="G2306" s="286"/>
      <c r="H2306" s="286"/>
      <c r="I2306" s="286"/>
      <c r="J2306" s="286"/>
      <c r="K2306" s="285"/>
    </row>
    <row r="2307" spans="1:11" x14ac:dyDescent="0.2">
      <c r="A2307" s="285"/>
      <c r="B2307" s="285"/>
      <c r="C2307" s="285"/>
      <c r="D2307" s="286"/>
      <c r="E2307" s="286"/>
      <c r="F2307" s="286"/>
      <c r="G2307" s="286"/>
      <c r="H2307" s="286"/>
      <c r="I2307" s="286"/>
      <c r="J2307" s="286"/>
      <c r="K2307" s="285"/>
    </row>
    <row r="2308" spans="1:11" x14ac:dyDescent="0.2">
      <c r="A2308" s="285"/>
      <c r="B2308" s="285"/>
      <c r="C2308" s="285"/>
      <c r="D2308" s="286"/>
      <c r="E2308" s="286"/>
      <c r="F2308" s="286"/>
      <c r="G2308" s="286"/>
      <c r="H2308" s="286"/>
      <c r="I2308" s="286"/>
      <c r="J2308" s="286"/>
      <c r="K2308" s="285"/>
    </row>
    <row r="2309" spans="1:11" x14ac:dyDescent="0.2">
      <c r="A2309" s="285"/>
      <c r="B2309" s="285"/>
      <c r="C2309" s="285"/>
      <c r="D2309" s="286"/>
      <c r="E2309" s="286"/>
      <c r="F2309" s="286"/>
      <c r="G2309" s="286"/>
      <c r="H2309" s="286"/>
      <c r="I2309" s="286"/>
      <c r="J2309" s="286"/>
      <c r="K2309" s="285"/>
    </row>
    <row r="2310" spans="1:11" x14ac:dyDescent="0.2">
      <c r="A2310" s="285"/>
      <c r="B2310" s="285"/>
      <c r="C2310" s="285"/>
      <c r="D2310" s="286"/>
      <c r="E2310" s="286"/>
      <c r="F2310" s="286"/>
      <c r="G2310" s="286"/>
      <c r="H2310" s="286"/>
      <c r="I2310" s="286"/>
      <c r="J2310" s="286"/>
      <c r="K2310" s="285"/>
    </row>
    <row r="2311" spans="1:11" x14ac:dyDescent="0.2">
      <c r="A2311" s="285"/>
      <c r="B2311" s="285"/>
      <c r="C2311" s="285"/>
      <c r="D2311" s="286"/>
      <c r="E2311" s="286"/>
      <c r="F2311" s="286"/>
      <c r="G2311" s="286"/>
      <c r="H2311" s="286"/>
      <c r="I2311" s="286"/>
      <c r="J2311" s="286"/>
      <c r="K2311" s="285"/>
    </row>
    <row r="2312" spans="1:11" x14ac:dyDescent="0.2">
      <c r="A2312" s="285"/>
      <c r="B2312" s="285"/>
      <c r="C2312" s="285"/>
      <c r="D2312" s="286"/>
      <c r="E2312" s="286"/>
      <c r="F2312" s="286"/>
      <c r="G2312" s="286"/>
      <c r="H2312" s="286"/>
      <c r="I2312" s="286"/>
      <c r="J2312" s="286"/>
      <c r="K2312" s="285"/>
    </row>
    <row r="2313" spans="1:11" x14ac:dyDescent="0.2">
      <c r="A2313" s="285"/>
      <c r="B2313" s="285"/>
      <c r="C2313" s="285"/>
      <c r="D2313" s="286"/>
      <c r="E2313" s="286"/>
      <c r="F2313" s="286"/>
      <c r="G2313" s="286"/>
      <c r="H2313" s="286"/>
      <c r="I2313" s="286"/>
      <c r="J2313" s="286"/>
      <c r="K2313" s="285"/>
    </row>
    <row r="2314" spans="1:11" x14ac:dyDescent="0.2">
      <c r="A2314" s="285"/>
      <c r="B2314" s="285"/>
      <c r="C2314" s="285"/>
      <c r="D2314" s="286"/>
      <c r="E2314" s="286"/>
      <c r="F2314" s="286"/>
      <c r="G2314" s="286"/>
      <c r="H2314" s="286"/>
      <c r="I2314" s="286"/>
      <c r="J2314" s="286"/>
      <c r="K2314" s="285"/>
    </row>
    <row r="2315" spans="1:11" x14ac:dyDescent="0.2">
      <c r="A2315" s="285"/>
      <c r="B2315" s="285"/>
      <c r="C2315" s="285"/>
      <c r="D2315" s="286"/>
      <c r="E2315" s="286"/>
      <c r="F2315" s="286"/>
      <c r="G2315" s="286"/>
      <c r="H2315" s="286"/>
      <c r="I2315" s="286"/>
      <c r="J2315" s="286"/>
      <c r="K2315" s="285"/>
    </row>
    <row r="2316" spans="1:11" x14ac:dyDescent="0.2">
      <c r="A2316" s="285"/>
      <c r="B2316" s="285"/>
      <c r="C2316" s="285"/>
      <c r="D2316" s="286"/>
      <c r="E2316" s="286"/>
      <c r="F2316" s="286"/>
      <c r="G2316" s="286"/>
      <c r="H2316" s="286"/>
      <c r="I2316" s="286"/>
      <c r="J2316" s="286"/>
      <c r="K2316" s="285"/>
    </row>
    <row r="2317" spans="1:11" x14ac:dyDescent="0.2">
      <c r="A2317" s="285"/>
      <c r="B2317" s="285"/>
      <c r="C2317" s="285"/>
      <c r="D2317" s="286"/>
      <c r="E2317" s="286"/>
      <c r="F2317" s="286"/>
      <c r="G2317" s="286"/>
      <c r="H2317" s="286"/>
      <c r="I2317" s="286"/>
      <c r="J2317" s="286"/>
      <c r="K2317" s="285"/>
    </row>
    <row r="2318" spans="1:11" x14ac:dyDescent="0.2">
      <c r="A2318" s="285"/>
      <c r="B2318" s="285"/>
      <c r="C2318" s="285"/>
      <c r="D2318" s="286"/>
      <c r="E2318" s="286"/>
      <c r="F2318" s="286"/>
      <c r="G2318" s="286"/>
      <c r="H2318" s="286"/>
      <c r="I2318" s="286"/>
      <c r="J2318" s="286"/>
      <c r="K2318" s="285"/>
    </row>
    <row r="2319" spans="1:11" x14ac:dyDescent="0.2">
      <c r="A2319" s="285"/>
      <c r="B2319" s="285"/>
      <c r="C2319" s="285"/>
      <c r="D2319" s="286"/>
      <c r="E2319" s="286"/>
      <c r="F2319" s="286"/>
      <c r="G2319" s="286"/>
      <c r="H2319" s="286"/>
      <c r="I2319" s="286"/>
      <c r="J2319" s="286"/>
      <c r="K2319" s="285"/>
    </row>
    <row r="2331" spans="4:11" x14ac:dyDescent="0.2">
      <c r="D2331" s="286"/>
      <c r="E2331" s="286"/>
      <c r="F2331" s="286"/>
      <c r="G2331" s="286"/>
      <c r="H2331" s="292"/>
      <c r="I2331" s="286"/>
      <c r="J2331" s="286"/>
      <c r="K2331" s="285"/>
    </row>
    <row r="2332" spans="4:11" x14ac:dyDescent="0.2">
      <c r="D2332" s="286"/>
      <c r="E2332" s="286"/>
      <c r="F2332" s="286"/>
      <c r="G2332" s="286"/>
      <c r="H2332" s="292"/>
      <c r="I2332" s="286"/>
      <c r="J2332" s="286"/>
      <c r="K2332" s="285"/>
    </row>
    <row r="2333" spans="4:11" x14ac:dyDescent="0.2">
      <c r="D2333" s="286"/>
      <c r="E2333" s="286"/>
      <c r="F2333" s="286"/>
      <c r="G2333" s="286"/>
      <c r="H2333" s="292"/>
      <c r="I2333" s="286"/>
      <c r="J2333" s="286"/>
      <c r="K2333" s="285"/>
    </row>
    <row r="2334" spans="4:11" x14ac:dyDescent="0.2">
      <c r="D2334" s="286"/>
      <c r="E2334" s="286"/>
      <c r="F2334" s="286"/>
      <c r="G2334" s="292"/>
      <c r="H2334" s="292"/>
      <c r="I2334" s="286"/>
      <c r="J2334" s="286"/>
      <c r="K2334" s="285"/>
    </row>
    <row r="2335" spans="4:11" x14ac:dyDescent="0.2">
      <c r="D2335" s="286"/>
      <c r="E2335" s="286"/>
      <c r="F2335" s="286"/>
      <c r="G2335" s="286"/>
      <c r="H2335" s="286"/>
      <c r="I2335" s="286"/>
      <c r="J2335" s="286"/>
      <c r="K2335" s="285"/>
    </row>
    <row r="2336" spans="4:11" x14ac:dyDescent="0.2">
      <c r="D2336" s="286"/>
      <c r="E2336" s="286"/>
      <c r="F2336" s="286"/>
      <c r="G2336" s="286"/>
      <c r="H2336" s="286"/>
      <c r="I2336" s="286"/>
      <c r="J2336" s="286"/>
      <c r="K2336" s="285"/>
    </row>
    <row r="2337" spans="1:11" x14ac:dyDescent="0.2">
      <c r="D2337" s="286"/>
      <c r="E2337" s="286"/>
      <c r="F2337" s="286"/>
      <c r="G2337" s="286"/>
      <c r="H2337" s="286"/>
      <c r="I2337" s="286"/>
      <c r="J2337" s="286"/>
      <c r="K2337" s="285"/>
    </row>
    <row r="2338" spans="1:11" x14ac:dyDescent="0.2">
      <c r="D2338" s="286"/>
      <c r="E2338" s="286"/>
      <c r="F2338" s="286"/>
      <c r="G2338" s="286"/>
      <c r="H2338" s="286"/>
      <c r="I2338" s="286"/>
      <c r="J2338" s="286"/>
      <c r="K2338" s="285"/>
    </row>
    <row r="2339" spans="1:11" x14ac:dyDescent="0.2">
      <c r="D2339" s="286"/>
      <c r="E2339" s="286"/>
      <c r="F2339" s="286"/>
      <c r="G2339" s="286"/>
      <c r="H2339" s="286"/>
      <c r="I2339" s="286"/>
      <c r="J2339" s="286"/>
      <c r="K2339" s="285"/>
    </row>
    <row r="2340" spans="1:11" x14ac:dyDescent="0.2">
      <c r="A2340" s="285"/>
      <c r="B2340" s="285"/>
      <c r="C2340" s="285"/>
      <c r="D2340" s="286"/>
      <c r="E2340" s="286"/>
      <c r="F2340" s="286"/>
      <c r="G2340" s="286"/>
      <c r="H2340" s="286"/>
      <c r="I2340" s="286"/>
      <c r="J2340" s="286"/>
      <c r="K2340" s="285"/>
    </row>
    <row r="2341" spans="1:11" x14ac:dyDescent="0.2">
      <c r="A2341" s="285"/>
      <c r="B2341" s="285"/>
      <c r="C2341" s="285"/>
      <c r="D2341" s="286"/>
      <c r="E2341" s="286"/>
      <c r="F2341" s="286"/>
      <c r="G2341" s="286"/>
      <c r="H2341" s="286"/>
      <c r="I2341" s="286"/>
      <c r="J2341" s="286"/>
      <c r="K2341" s="285"/>
    </row>
    <row r="2342" spans="1:11" x14ac:dyDescent="0.2">
      <c r="A2342" s="285"/>
      <c r="B2342" s="285"/>
      <c r="C2342" s="285"/>
      <c r="D2342" s="286"/>
      <c r="E2342" s="286"/>
      <c r="F2342" s="286"/>
      <c r="G2342" s="286"/>
      <c r="H2342" s="286"/>
      <c r="I2342" s="286"/>
      <c r="J2342" s="286"/>
      <c r="K2342" s="285"/>
    </row>
    <row r="2343" spans="1:11" x14ac:dyDescent="0.2">
      <c r="A2343" s="285"/>
      <c r="B2343" s="285"/>
      <c r="C2343" s="285"/>
      <c r="D2343" s="286"/>
      <c r="E2343" s="286"/>
      <c r="F2343" s="286"/>
      <c r="G2343" s="286"/>
      <c r="H2343" s="286"/>
      <c r="I2343" s="286"/>
      <c r="J2343" s="286"/>
      <c r="K2343" s="285"/>
    </row>
    <row r="2344" spans="1:11" x14ac:dyDescent="0.2">
      <c r="D2344" s="286"/>
      <c r="E2344" s="286"/>
      <c r="F2344" s="286"/>
      <c r="G2344" s="286"/>
      <c r="H2344" s="286"/>
      <c r="I2344" s="286"/>
      <c r="J2344" s="286"/>
      <c r="K2344" s="285"/>
    </row>
    <row r="2345" spans="1:11" x14ac:dyDescent="0.2">
      <c r="D2345" s="286"/>
      <c r="E2345" s="286"/>
      <c r="F2345" s="286"/>
      <c r="G2345" s="286"/>
      <c r="H2345" s="286"/>
      <c r="I2345" s="286"/>
      <c r="J2345" s="286"/>
      <c r="K2345" s="285"/>
    </row>
    <row r="2346" spans="1:11" x14ac:dyDescent="0.2">
      <c r="D2346" s="286"/>
      <c r="E2346" s="286"/>
      <c r="F2346" s="286"/>
      <c r="G2346" s="286"/>
      <c r="H2346" s="286"/>
      <c r="I2346" s="286"/>
      <c r="J2346" s="286"/>
      <c r="K2346" s="285"/>
    </row>
    <row r="2347" spans="1:11" x14ac:dyDescent="0.2">
      <c r="D2347" s="286"/>
      <c r="E2347" s="286"/>
      <c r="F2347" s="286"/>
      <c r="G2347" s="286"/>
      <c r="H2347" s="286"/>
      <c r="I2347" s="286"/>
      <c r="J2347" s="286"/>
      <c r="K2347" s="285"/>
    </row>
    <row r="2348" spans="1:11" x14ac:dyDescent="0.2">
      <c r="D2348" s="286"/>
      <c r="E2348" s="286"/>
      <c r="F2348" s="286"/>
      <c r="G2348" s="286"/>
      <c r="H2348" s="286"/>
      <c r="I2348" s="286"/>
      <c r="J2348" s="286"/>
      <c r="K2348" s="285"/>
    </row>
    <row r="2349" spans="1:11" x14ac:dyDescent="0.2">
      <c r="D2349" s="286"/>
      <c r="E2349" s="286"/>
      <c r="F2349" s="286"/>
      <c r="G2349" s="286"/>
      <c r="H2349" s="286"/>
      <c r="I2349" s="286"/>
      <c r="J2349" s="286"/>
      <c r="K2349" s="285"/>
    </row>
    <row r="2350" spans="1:11" x14ac:dyDescent="0.2">
      <c r="D2350" s="286"/>
      <c r="E2350" s="286"/>
      <c r="F2350" s="286"/>
      <c r="G2350" s="286"/>
      <c r="H2350" s="286"/>
      <c r="I2350" s="286"/>
      <c r="J2350" s="286"/>
      <c r="K2350" s="285"/>
    </row>
    <row r="2351" spans="1:11" x14ac:dyDescent="0.2">
      <c r="D2351" s="286"/>
      <c r="E2351" s="286"/>
      <c r="F2351" s="286"/>
      <c r="G2351" s="286"/>
      <c r="H2351" s="286"/>
      <c r="I2351" s="286"/>
      <c r="J2351" s="286"/>
      <c r="K2351" s="285"/>
    </row>
    <row r="2352" spans="1:11" x14ac:dyDescent="0.2">
      <c r="D2352" s="286"/>
      <c r="E2352" s="286"/>
      <c r="F2352" s="286"/>
      <c r="G2352" s="286"/>
      <c r="H2352" s="286"/>
      <c r="I2352" s="286"/>
      <c r="J2352" s="286"/>
      <c r="K2352" s="285"/>
    </row>
    <row r="2353" spans="4:11" x14ac:dyDescent="0.2">
      <c r="D2353" s="286"/>
      <c r="E2353" s="286"/>
      <c r="F2353" s="286"/>
      <c r="G2353" s="286"/>
      <c r="H2353" s="286"/>
      <c r="I2353" s="286"/>
      <c r="J2353" s="286"/>
      <c r="K2353" s="285"/>
    </row>
    <row r="2354" spans="4:11" x14ac:dyDescent="0.2">
      <c r="D2354" s="286"/>
      <c r="E2354" s="286"/>
      <c r="F2354" s="286"/>
      <c r="G2354" s="286"/>
      <c r="H2354" s="286"/>
      <c r="I2354" s="286"/>
      <c r="J2354" s="286"/>
      <c r="K2354" s="285"/>
    </row>
    <row r="2355" spans="4:11" x14ac:dyDescent="0.2">
      <c r="D2355" s="286"/>
      <c r="E2355" s="286"/>
      <c r="F2355" s="286"/>
      <c r="G2355" s="286"/>
      <c r="H2355" s="286"/>
      <c r="I2355" s="286"/>
      <c r="J2355" s="286"/>
      <c r="K2355" s="285"/>
    </row>
    <row r="2356" spans="4:11" x14ac:dyDescent="0.2">
      <c r="D2356" s="286"/>
      <c r="E2356" s="286"/>
      <c r="F2356" s="286"/>
      <c r="G2356" s="286"/>
      <c r="H2356" s="286"/>
      <c r="I2356" s="286"/>
      <c r="J2356" s="286"/>
      <c r="K2356" s="285"/>
    </row>
    <row r="2357" spans="4:11" x14ac:dyDescent="0.2">
      <c r="D2357" s="286"/>
      <c r="E2357" s="286"/>
      <c r="F2357" s="286"/>
      <c r="G2357" s="286"/>
      <c r="H2357" s="286"/>
      <c r="I2357" s="286"/>
      <c r="J2357" s="286"/>
      <c r="K2357" s="285"/>
    </row>
    <row r="2358" spans="4:11" x14ac:dyDescent="0.2">
      <c r="D2358" s="286"/>
      <c r="E2358" s="528"/>
      <c r="F2358" s="528"/>
      <c r="G2358" s="528"/>
      <c r="H2358" s="471"/>
      <c r="I2358" s="528"/>
      <c r="J2358" s="528"/>
      <c r="K2358" s="471"/>
    </row>
    <row r="2359" spans="4:11" x14ac:dyDescent="0.2">
      <c r="D2359" s="286"/>
      <c r="E2359" s="528"/>
      <c r="F2359" s="528"/>
      <c r="G2359" s="528"/>
      <c r="H2359" s="471"/>
      <c r="I2359" s="528"/>
      <c r="J2359" s="528"/>
      <c r="K2359" s="471"/>
    </row>
    <row r="2360" spans="4:11" x14ac:dyDescent="0.2">
      <c r="D2360" s="286"/>
      <c r="E2360" s="528"/>
      <c r="F2360" s="528"/>
      <c r="G2360" s="528"/>
      <c r="H2360" s="471"/>
      <c r="I2360" s="528"/>
      <c r="J2360" s="528"/>
      <c r="K2360" s="471"/>
    </row>
    <row r="2361" spans="4:11" x14ac:dyDescent="0.2">
      <c r="D2361" s="286"/>
      <c r="E2361" s="528"/>
      <c r="F2361" s="528"/>
      <c r="G2361" s="528"/>
      <c r="H2361" s="471"/>
      <c r="I2361" s="528"/>
      <c r="J2361" s="528"/>
      <c r="K2361" s="471"/>
    </row>
    <row r="2362" spans="4:11" x14ac:dyDescent="0.2">
      <c r="D2362" s="286"/>
      <c r="E2362" s="528"/>
      <c r="F2362" s="528"/>
      <c r="G2362" s="528"/>
      <c r="H2362" s="471"/>
      <c r="I2362" s="528"/>
      <c r="J2362" s="528"/>
      <c r="K2362" s="471"/>
    </row>
    <row r="2363" spans="4:11" x14ac:dyDescent="0.2">
      <c r="D2363" s="286"/>
      <c r="E2363" s="528"/>
      <c r="F2363" s="528"/>
      <c r="G2363" s="528"/>
      <c r="H2363" s="471"/>
      <c r="I2363" s="528"/>
      <c r="J2363" s="528"/>
      <c r="K2363" s="471"/>
    </row>
    <row r="2364" spans="4:11" x14ac:dyDescent="0.2">
      <c r="D2364" s="286"/>
      <c r="E2364" s="528"/>
      <c r="F2364" s="528"/>
      <c r="G2364" s="528"/>
      <c r="H2364" s="471"/>
      <c r="I2364" s="528"/>
      <c r="J2364" s="528"/>
      <c r="K2364" s="471"/>
    </row>
    <row r="2365" spans="4:11" x14ac:dyDescent="0.2">
      <c r="D2365" s="286"/>
      <c r="E2365" s="528"/>
      <c r="F2365" s="528"/>
      <c r="G2365" s="528"/>
      <c r="H2365" s="471"/>
      <c r="I2365" s="528"/>
      <c r="J2365" s="528"/>
      <c r="K2365" s="471"/>
    </row>
    <row r="2366" spans="4:11" x14ac:dyDescent="0.2">
      <c r="D2366" s="286"/>
      <c r="E2366" s="528"/>
      <c r="F2366" s="528"/>
      <c r="G2366" s="528"/>
      <c r="H2366" s="471"/>
      <c r="I2366" s="528"/>
      <c r="J2366" s="528"/>
      <c r="K2366" s="471"/>
    </row>
    <row r="2367" spans="4:11" x14ac:dyDescent="0.2">
      <c r="D2367" s="286"/>
      <c r="E2367" s="528"/>
      <c r="F2367" s="528"/>
      <c r="G2367" s="528"/>
      <c r="H2367" s="471"/>
      <c r="I2367" s="528"/>
      <c r="J2367" s="528"/>
      <c r="K2367" s="471"/>
    </row>
    <row r="2368" spans="4:11" x14ac:dyDescent="0.2">
      <c r="D2368" s="286"/>
      <c r="E2368" s="528"/>
      <c r="F2368" s="528"/>
      <c r="G2368" s="528"/>
      <c r="H2368" s="471"/>
      <c r="I2368" s="528"/>
      <c r="J2368" s="528"/>
      <c r="K2368" s="471"/>
    </row>
    <row r="2369" spans="1:11" x14ac:dyDescent="0.2">
      <c r="D2369" s="286"/>
      <c r="E2369" s="528"/>
      <c r="F2369" s="528"/>
      <c r="G2369" s="528"/>
      <c r="H2369" s="471"/>
      <c r="I2369" s="528"/>
      <c r="J2369" s="528"/>
      <c r="K2369" s="471"/>
    </row>
    <row r="2370" spans="1:11" x14ac:dyDescent="0.2">
      <c r="D2370" s="286"/>
      <c r="E2370" s="528"/>
      <c r="F2370" s="528"/>
      <c r="G2370" s="528"/>
      <c r="H2370" s="471"/>
      <c r="I2370" s="528"/>
      <c r="J2370" s="528"/>
      <c r="K2370" s="471"/>
    </row>
    <row r="2371" spans="1:11" x14ac:dyDescent="0.2">
      <c r="D2371" s="286"/>
      <c r="E2371" s="528"/>
      <c r="F2371" s="528"/>
      <c r="G2371" s="528"/>
      <c r="H2371" s="471"/>
      <c r="I2371" s="528"/>
      <c r="J2371" s="528"/>
      <c r="K2371" s="471"/>
    </row>
    <row r="2372" spans="1:11" x14ac:dyDescent="0.2">
      <c r="D2372" s="286"/>
      <c r="E2372" s="528"/>
      <c r="F2372" s="528"/>
      <c r="G2372" s="528"/>
      <c r="H2372" s="471"/>
      <c r="I2372" s="528"/>
      <c r="J2372" s="528"/>
      <c r="K2372" s="471"/>
    </row>
    <row r="2373" spans="1:11" x14ac:dyDescent="0.2">
      <c r="D2373" s="286"/>
      <c r="E2373" s="528"/>
      <c r="F2373" s="528"/>
      <c r="G2373" s="528"/>
      <c r="H2373" s="471"/>
      <c r="I2373" s="528"/>
      <c r="J2373" s="528"/>
      <c r="K2373" s="471"/>
    </row>
    <row r="2374" spans="1:11" x14ac:dyDescent="0.2">
      <c r="D2374" s="286"/>
      <c r="E2374" s="528"/>
      <c r="F2374" s="528"/>
      <c r="G2374" s="528"/>
      <c r="H2374" s="471"/>
      <c r="I2374" s="528"/>
      <c r="J2374" s="528"/>
      <c r="K2374" s="471"/>
    </row>
    <row r="2375" spans="1:11" x14ac:dyDescent="0.2">
      <c r="D2375" s="286"/>
      <c r="E2375" s="528"/>
      <c r="F2375" s="528"/>
      <c r="G2375" s="528"/>
      <c r="H2375" s="471"/>
      <c r="I2375" s="528"/>
      <c r="J2375" s="528"/>
      <c r="K2375" s="471"/>
    </row>
    <row r="2376" spans="1:11" x14ac:dyDescent="0.2">
      <c r="D2376" s="286"/>
      <c r="E2376" s="286"/>
      <c r="F2376" s="286"/>
      <c r="G2376" s="286"/>
      <c r="H2376" s="286"/>
      <c r="I2376" s="286"/>
      <c r="J2376" s="286"/>
      <c r="K2376" s="285"/>
    </row>
    <row r="2377" spans="1:11" x14ac:dyDescent="0.2">
      <c r="D2377" s="286"/>
      <c r="E2377" s="286"/>
      <c r="F2377" s="286"/>
      <c r="G2377" s="286"/>
      <c r="H2377" s="286"/>
      <c r="I2377" s="286"/>
      <c r="J2377" s="286"/>
      <c r="K2377" s="285"/>
    </row>
    <row r="2378" spans="1:11" x14ac:dyDescent="0.2">
      <c r="A2378" s="285"/>
      <c r="B2378" s="285"/>
      <c r="C2378" s="285"/>
      <c r="D2378" s="286"/>
      <c r="E2378" s="286"/>
      <c r="F2378" s="286"/>
      <c r="G2378" s="286"/>
      <c r="H2378" s="286"/>
      <c r="I2378" s="286"/>
      <c r="J2378" s="286"/>
      <c r="K2378" s="285"/>
    </row>
    <row r="2379" spans="1:11" x14ac:dyDescent="0.2">
      <c r="A2379" s="285"/>
      <c r="B2379" s="285"/>
      <c r="C2379" s="285"/>
      <c r="D2379" s="286"/>
      <c r="E2379" s="286"/>
      <c r="F2379" s="286"/>
      <c r="G2379" s="286"/>
      <c r="H2379" s="286"/>
      <c r="I2379" s="286"/>
      <c r="J2379" s="286"/>
      <c r="K2379" s="285"/>
    </row>
    <row r="2380" spans="1:11" x14ac:dyDescent="0.2">
      <c r="A2380" s="285"/>
      <c r="B2380" s="285"/>
      <c r="C2380" s="285"/>
      <c r="D2380" s="286"/>
      <c r="E2380" s="286"/>
      <c r="F2380" s="286"/>
      <c r="G2380" s="286"/>
      <c r="H2380" s="286"/>
      <c r="I2380" s="286"/>
      <c r="J2380" s="286"/>
      <c r="K2380" s="285"/>
    </row>
    <row r="2381" spans="1:11" x14ac:dyDescent="0.2">
      <c r="A2381" s="285"/>
      <c r="B2381" s="285"/>
      <c r="C2381" s="285"/>
      <c r="D2381" s="286"/>
      <c r="E2381" s="286"/>
      <c r="F2381" s="286"/>
      <c r="G2381" s="286"/>
      <c r="H2381" s="286"/>
      <c r="I2381" s="286"/>
      <c r="J2381" s="286"/>
      <c r="K2381" s="285"/>
    </row>
    <row r="2382" spans="1:11" x14ac:dyDescent="0.2">
      <c r="A2382" s="285"/>
      <c r="B2382" s="285"/>
      <c r="C2382" s="285"/>
      <c r="D2382" s="286"/>
      <c r="E2382" s="286"/>
      <c r="F2382" s="286"/>
      <c r="G2382" s="286"/>
      <c r="H2382" s="286"/>
      <c r="I2382" s="286"/>
      <c r="J2382" s="286"/>
      <c r="K2382" s="285"/>
    </row>
    <row r="2383" spans="1:11" x14ac:dyDescent="0.2">
      <c r="A2383" s="285"/>
      <c r="B2383" s="285"/>
      <c r="C2383" s="285"/>
      <c r="D2383" s="286"/>
      <c r="E2383" s="286"/>
      <c r="F2383" s="286"/>
      <c r="G2383" s="286"/>
      <c r="H2383" s="286"/>
      <c r="I2383" s="286"/>
      <c r="J2383" s="286"/>
      <c r="K2383" s="285"/>
    </row>
    <row r="2384" spans="1:11" x14ac:dyDescent="0.2">
      <c r="A2384" s="285"/>
      <c r="B2384" s="285"/>
      <c r="C2384" s="285"/>
      <c r="D2384" s="286"/>
      <c r="E2384" s="286"/>
      <c r="F2384" s="286"/>
      <c r="G2384" s="286"/>
      <c r="H2384" s="286"/>
      <c r="I2384" s="286"/>
      <c r="J2384" s="286"/>
      <c r="K2384" s="285"/>
    </row>
    <row r="2385" spans="1:11" x14ac:dyDescent="0.2">
      <c r="A2385" s="285"/>
      <c r="B2385" s="285"/>
      <c r="C2385" s="285"/>
      <c r="D2385" s="286"/>
      <c r="E2385" s="286"/>
      <c r="F2385" s="286"/>
      <c r="G2385" s="286"/>
      <c r="H2385" s="286"/>
      <c r="I2385" s="286"/>
      <c r="J2385" s="286"/>
      <c r="K2385" s="285"/>
    </row>
    <row r="2386" spans="1:11" x14ac:dyDescent="0.2">
      <c r="A2386" s="285"/>
      <c r="B2386" s="285"/>
      <c r="C2386" s="285"/>
      <c r="D2386" s="286"/>
      <c r="E2386" s="286"/>
      <c r="F2386" s="286"/>
      <c r="G2386" s="286"/>
      <c r="H2386" s="287"/>
      <c r="I2386" s="286"/>
      <c r="J2386" s="286"/>
      <c r="K2386" s="285"/>
    </row>
    <row r="2387" spans="1:11" x14ac:dyDescent="0.2">
      <c r="A2387" s="285"/>
      <c r="B2387" s="285"/>
      <c r="C2387" s="285"/>
      <c r="D2387" s="286"/>
      <c r="E2387" s="286"/>
      <c r="F2387" s="286"/>
      <c r="G2387" s="286"/>
      <c r="H2387" s="287"/>
      <c r="I2387" s="286"/>
      <c r="J2387" s="286"/>
      <c r="K2387" s="285"/>
    </row>
    <row r="2388" spans="1:11" x14ac:dyDescent="0.2">
      <c r="A2388" s="285"/>
      <c r="B2388" s="285"/>
      <c r="C2388" s="285"/>
      <c r="D2388" s="286"/>
      <c r="E2388" s="286"/>
      <c r="F2388" s="286"/>
      <c r="G2388" s="286"/>
      <c r="H2388" s="287"/>
      <c r="I2388" s="286"/>
      <c r="J2388" s="286"/>
      <c r="K2388" s="285"/>
    </row>
    <row r="2389" spans="1:11" x14ac:dyDescent="0.2">
      <c r="A2389" s="285"/>
      <c r="B2389" s="285"/>
      <c r="C2389" s="285"/>
      <c r="D2389" s="286"/>
      <c r="E2389" s="286"/>
      <c r="F2389" s="286"/>
      <c r="G2389" s="286"/>
      <c r="H2389" s="286"/>
      <c r="I2389" s="286"/>
      <c r="J2389" s="286"/>
      <c r="K2389" s="285"/>
    </row>
    <row r="2390" spans="1:11" x14ac:dyDescent="0.2">
      <c r="A2390" s="285"/>
      <c r="B2390" s="285"/>
      <c r="C2390" s="285"/>
      <c r="D2390" s="286"/>
      <c r="E2390" s="286"/>
      <c r="F2390" s="286"/>
      <c r="G2390" s="286"/>
      <c r="H2390" s="286"/>
      <c r="I2390" s="286"/>
      <c r="J2390" s="286"/>
      <c r="K2390" s="285"/>
    </row>
    <row r="2391" spans="1:11" x14ac:dyDescent="0.2">
      <c r="A2391" s="285"/>
      <c r="B2391" s="285"/>
      <c r="C2391" s="285"/>
      <c r="D2391" s="286"/>
      <c r="E2391" s="286"/>
      <c r="F2391" s="286"/>
      <c r="G2391" s="286"/>
      <c r="H2391" s="286"/>
      <c r="I2391" s="286"/>
      <c r="J2391" s="286"/>
      <c r="K2391" s="285"/>
    </row>
    <row r="2392" spans="1:11" x14ac:dyDescent="0.2">
      <c r="A2392" s="285"/>
      <c r="B2392" s="285"/>
      <c r="C2392" s="285"/>
      <c r="D2392" s="286"/>
      <c r="E2392" s="286"/>
      <c r="F2392" s="286"/>
      <c r="G2392" s="286"/>
      <c r="H2392" s="286"/>
      <c r="I2392" s="286"/>
      <c r="J2392" s="286"/>
      <c r="K2392" s="285"/>
    </row>
    <row r="2393" spans="1:11" x14ac:dyDescent="0.2">
      <c r="A2393" s="285"/>
      <c r="B2393" s="285"/>
      <c r="C2393" s="285"/>
      <c r="D2393" s="286"/>
      <c r="E2393" s="286"/>
      <c r="F2393" s="286"/>
      <c r="G2393" s="286"/>
      <c r="H2393" s="286"/>
      <c r="I2393" s="286"/>
      <c r="J2393" s="286"/>
      <c r="K2393" s="285"/>
    </row>
    <row r="2394" spans="1:11" x14ac:dyDescent="0.2">
      <c r="A2394" s="285"/>
      <c r="B2394" s="285"/>
      <c r="C2394" s="285"/>
      <c r="D2394" s="286"/>
      <c r="E2394" s="286"/>
      <c r="F2394" s="286"/>
      <c r="G2394" s="286"/>
      <c r="H2394" s="286"/>
      <c r="I2394" s="286"/>
      <c r="J2394" s="286"/>
      <c r="K2394" s="285"/>
    </row>
    <row r="2395" spans="1:11" x14ac:dyDescent="0.2">
      <c r="A2395" s="285"/>
      <c r="B2395" s="285"/>
      <c r="C2395" s="285"/>
      <c r="D2395" s="286"/>
      <c r="E2395" s="286"/>
      <c r="F2395" s="286"/>
      <c r="G2395" s="286"/>
      <c r="H2395" s="286"/>
      <c r="I2395" s="286"/>
      <c r="J2395" s="286"/>
      <c r="K2395" s="285"/>
    </row>
    <row r="2396" spans="1:11" x14ac:dyDescent="0.2">
      <c r="A2396" s="285"/>
      <c r="B2396" s="285"/>
      <c r="C2396" s="285"/>
      <c r="D2396" s="286"/>
      <c r="E2396" s="286"/>
      <c r="F2396" s="286"/>
      <c r="G2396" s="286"/>
      <c r="H2396" s="286"/>
      <c r="I2396" s="286"/>
      <c r="J2396" s="286"/>
      <c r="K2396" s="285"/>
    </row>
    <row r="2397" spans="1:11" x14ac:dyDescent="0.2">
      <c r="A2397" s="285"/>
      <c r="B2397" s="285"/>
      <c r="C2397" s="285"/>
      <c r="D2397" s="286"/>
      <c r="E2397" s="286"/>
      <c r="F2397" s="286"/>
      <c r="G2397" s="286"/>
      <c r="H2397" s="286"/>
      <c r="I2397" s="286"/>
      <c r="J2397" s="286"/>
      <c r="K2397" s="285"/>
    </row>
    <row r="2398" spans="1:11" x14ac:dyDescent="0.2">
      <c r="A2398" s="285"/>
      <c r="B2398" s="285"/>
      <c r="C2398" s="285"/>
      <c r="D2398" s="286"/>
      <c r="E2398" s="286"/>
      <c r="F2398" s="286"/>
      <c r="G2398" s="286"/>
      <c r="H2398" s="286"/>
      <c r="I2398" s="286"/>
      <c r="J2398" s="286"/>
      <c r="K2398" s="285"/>
    </row>
    <row r="2399" spans="1:11" x14ac:dyDescent="0.2">
      <c r="A2399" s="285"/>
      <c r="B2399" s="285"/>
      <c r="C2399" s="285"/>
      <c r="D2399" s="286"/>
      <c r="E2399" s="286"/>
      <c r="F2399" s="286"/>
      <c r="G2399" s="286"/>
      <c r="H2399" s="286"/>
      <c r="I2399" s="286"/>
      <c r="J2399" s="286"/>
      <c r="K2399" s="285"/>
    </row>
    <row r="2400" spans="1:11" x14ac:dyDescent="0.2">
      <c r="A2400" s="285"/>
      <c r="B2400" s="285"/>
      <c r="C2400" s="285"/>
      <c r="D2400" s="286"/>
      <c r="E2400" s="286"/>
      <c r="F2400" s="286"/>
      <c r="G2400" s="286"/>
      <c r="H2400" s="286"/>
      <c r="I2400" s="286"/>
      <c r="J2400" s="286"/>
      <c r="K2400" s="285"/>
    </row>
    <row r="2401" spans="1:11" x14ac:dyDescent="0.2">
      <c r="A2401" s="285"/>
      <c r="B2401" s="285"/>
      <c r="C2401" s="285"/>
      <c r="D2401" s="286"/>
      <c r="E2401" s="286"/>
      <c r="F2401" s="286"/>
      <c r="G2401" s="286"/>
      <c r="H2401" s="286"/>
      <c r="I2401" s="286"/>
      <c r="J2401" s="286"/>
      <c r="K2401" s="285"/>
    </row>
    <row r="2402" spans="1:11" x14ac:dyDescent="0.2">
      <c r="A2402" s="285"/>
      <c r="B2402" s="285"/>
      <c r="C2402" s="285"/>
      <c r="D2402" s="286"/>
      <c r="E2402" s="286"/>
      <c r="F2402" s="286"/>
      <c r="G2402" s="286"/>
      <c r="H2402" s="286"/>
      <c r="I2402" s="286"/>
      <c r="J2402" s="286"/>
      <c r="K2402" s="285"/>
    </row>
    <row r="2403" spans="1:11" x14ac:dyDescent="0.2">
      <c r="A2403" s="285"/>
      <c r="B2403" s="285"/>
      <c r="C2403" s="285"/>
      <c r="D2403" s="286"/>
      <c r="E2403" s="286"/>
      <c r="F2403" s="286"/>
      <c r="G2403" s="286"/>
      <c r="H2403" s="286"/>
      <c r="I2403" s="286"/>
      <c r="J2403" s="286"/>
      <c r="K2403" s="285"/>
    </row>
    <row r="2404" spans="1:11" x14ac:dyDescent="0.2">
      <c r="A2404" s="285"/>
      <c r="B2404" s="285"/>
      <c r="C2404" s="285"/>
      <c r="D2404" s="286"/>
      <c r="E2404" s="286"/>
      <c r="F2404" s="286"/>
      <c r="G2404" s="286"/>
      <c r="H2404" s="286"/>
      <c r="I2404" s="286"/>
      <c r="J2404" s="286"/>
      <c r="K2404" s="285"/>
    </row>
    <row r="2405" spans="1:11" x14ac:dyDescent="0.2">
      <c r="A2405" s="285"/>
      <c r="B2405" s="285"/>
      <c r="C2405" s="285"/>
      <c r="D2405" s="286"/>
      <c r="E2405" s="286"/>
      <c r="F2405" s="286"/>
      <c r="G2405" s="286"/>
      <c r="H2405" s="286"/>
      <c r="I2405" s="286"/>
      <c r="J2405" s="286"/>
      <c r="K2405" s="285"/>
    </row>
    <row r="2406" spans="1:11" x14ac:dyDescent="0.2">
      <c r="A2406" s="285"/>
      <c r="B2406" s="285"/>
      <c r="C2406" s="285"/>
      <c r="D2406" s="286"/>
      <c r="E2406" s="286"/>
      <c r="F2406" s="286"/>
      <c r="G2406" s="286"/>
      <c r="H2406" s="286"/>
      <c r="I2406" s="286"/>
      <c r="J2406" s="286"/>
      <c r="K2406" s="285"/>
    </row>
    <row r="2407" spans="1:11" x14ac:dyDescent="0.2">
      <c r="A2407" s="285"/>
      <c r="B2407" s="285"/>
      <c r="C2407" s="285"/>
      <c r="D2407" s="286"/>
      <c r="E2407" s="286"/>
      <c r="F2407" s="286"/>
      <c r="G2407" s="286"/>
      <c r="H2407" s="286"/>
      <c r="I2407" s="286"/>
      <c r="J2407" s="286"/>
      <c r="K2407" s="285"/>
    </row>
    <row r="2409" spans="1:11" x14ac:dyDescent="0.2">
      <c r="A2409" s="285"/>
      <c r="B2409" s="285"/>
      <c r="C2409" s="285"/>
      <c r="D2409" s="286"/>
      <c r="E2409" s="286"/>
      <c r="F2409" s="286"/>
      <c r="G2409" s="286"/>
      <c r="H2409" s="292"/>
      <c r="I2409" s="286"/>
      <c r="J2409" s="286"/>
      <c r="K2409" s="285"/>
    </row>
    <row r="2410" spans="1:11" x14ac:dyDescent="0.2">
      <c r="A2410" s="285"/>
      <c r="B2410" s="285"/>
      <c r="C2410" s="285"/>
      <c r="D2410" s="286"/>
      <c r="E2410" s="286"/>
      <c r="F2410" s="286"/>
      <c r="G2410" s="286"/>
      <c r="H2410" s="292"/>
      <c r="I2410" s="286"/>
      <c r="J2410" s="286"/>
      <c r="K2410" s="285"/>
    </row>
    <row r="2411" spans="1:11" x14ac:dyDescent="0.2">
      <c r="A2411" s="285"/>
      <c r="B2411" s="285"/>
      <c r="C2411" s="285"/>
      <c r="D2411" s="286"/>
      <c r="E2411" s="286"/>
      <c r="F2411" s="286"/>
      <c r="G2411" s="286"/>
      <c r="H2411" s="292"/>
      <c r="I2411" s="286"/>
      <c r="J2411" s="286"/>
      <c r="K2411" s="285"/>
    </row>
    <row r="2412" spans="1:11" x14ac:dyDescent="0.2">
      <c r="A2412" s="285"/>
      <c r="B2412" s="285"/>
      <c r="C2412" s="285"/>
      <c r="D2412" s="286"/>
      <c r="E2412" s="286"/>
      <c r="F2412" s="286"/>
      <c r="G2412" s="286"/>
      <c r="H2412" s="292"/>
      <c r="I2412" s="286"/>
      <c r="J2412" s="286"/>
      <c r="K2412" s="285"/>
    </row>
    <row r="2413" spans="1:11" x14ac:dyDescent="0.2">
      <c r="A2413" s="285"/>
      <c r="B2413" s="285"/>
      <c r="C2413" s="285"/>
      <c r="D2413" s="286"/>
      <c r="E2413" s="286"/>
      <c r="F2413" s="286"/>
      <c r="G2413" s="286"/>
      <c r="H2413" s="292"/>
      <c r="I2413" s="286"/>
      <c r="J2413" s="286"/>
      <c r="K2413" s="285"/>
    </row>
    <row r="2414" spans="1:11" x14ac:dyDescent="0.2">
      <c r="A2414" s="285"/>
      <c r="B2414" s="285"/>
      <c r="C2414" s="285"/>
      <c r="D2414" s="286"/>
      <c r="E2414" s="286"/>
      <c r="F2414" s="286"/>
      <c r="G2414" s="286"/>
      <c r="H2414" s="292"/>
      <c r="I2414" s="286"/>
      <c r="J2414" s="286"/>
      <c r="K2414" s="285"/>
    </row>
    <row r="2415" spans="1:11" x14ac:dyDescent="0.2">
      <c r="A2415" s="285"/>
      <c r="B2415" s="285"/>
      <c r="C2415" s="285"/>
      <c r="D2415" s="286"/>
      <c r="E2415" s="286"/>
      <c r="F2415" s="286"/>
      <c r="G2415" s="286"/>
      <c r="H2415" s="292"/>
      <c r="I2415" s="286"/>
      <c r="J2415" s="286"/>
      <c r="K2415" s="285"/>
    </row>
    <row r="2416" spans="1:11" x14ac:dyDescent="0.2">
      <c r="A2416" s="285"/>
      <c r="B2416" s="285"/>
      <c r="C2416" s="285"/>
      <c r="D2416" s="286"/>
      <c r="E2416" s="286"/>
      <c r="F2416" s="286"/>
      <c r="G2416" s="286"/>
      <c r="H2416" s="292"/>
      <c r="I2416" s="286"/>
      <c r="J2416" s="286"/>
      <c r="K2416" s="285"/>
    </row>
    <row r="2417" spans="1:11" x14ac:dyDescent="0.2">
      <c r="A2417" s="285"/>
      <c r="B2417" s="285"/>
      <c r="C2417" s="285"/>
      <c r="D2417" s="286"/>
      <c r="E2417" s="286"/>
      <c r="F2417" s="286"/>
      <c r="G2417" s="286"/>
      <c r="H2417" s="292"/>
      <c r="I2417" s="286"/>
      <c r="J2417" s="286"/>
      <c r="K2417" s="285"/>
    </row>
    <row r="2418" spans="1:11" x14ac:dyDescent="0.2">
      <c r="A2418" s="285"/>
      <c r="B2418" s="285"/>
      <c r="C2418" s="285"/>
      <c r="D2418" s="286"/>
      <c r="E2418" s="286"/>
      <c r="F2418" s="286"/>
      <c r="G2418" s="286"/>
      <c r="H2418" s="292"/>
      <c r="I2418" s="286"/>
      <c r="J2418" s="286"/>
      <c r="K2418" s="285"/>
    </row>
    <row r="2419" spans="1:11" x14ac:dyDescent="0.2">
      <c r="A2419" s="285"/>
      <c r="B2419" s="285"/>
      <c r="C2419" s="285"/>
      <c r="D2419" s="286"/>
      <c r="E2419" s="286"/>
      <c r="F2419" s="286"/>
      <c r="G2419" s="286"/>
      <c r="H2419" s="286"/>
      <c r="I2419" s="286"/>
      <c r="J2419" s="286"/>
      <c r="K2419" s="285"/>
    </row>
    <row r="2420" spans="1:11" x14ac:dyDescent="0.2">
      <c r="A2420" s="285"/>
      <c r="B2420" s="285"/>
      <c r="C2420" s="285"/>
      <c r="D2420" s="286"/>
      <c r="E2420" s="286"/>
      <c r="F2420" s="286"/>
      <c r="G2420" s="286"/>
      <c r="H2420" s="286"/>
      <c r="I2420" s="286"/>
      <c r="J2420" s="286"/>
      <c r="K2420" s="285"/>
    </row>
    <row r="2421" spans="1:11" x14ac:dyDescent="0.2">
      <c r="A2421" s="285"/>
      <c r="B2421" s="285"/>
      <c r="C2421" s="285"/>
      <c r="D2421" s="286"/>
      <c r="E2421" s="286"/>
      <c r="F2421" s="286"/>
      <c r="G2421" s="286"/>
      <c r="H2421" s="286"/>
      <c r="I2421" s="286"/>
      <c r="J2421" s="286"/>
      <c r="K2421" s="285"/>
    </row>
    <row r="2422" spans="1:11" x14ac:dyDescent="0.2">
      <c r="A2422" s="285"/>
      <c r="B2422" s="285"/>
      <c r="C2422" s="285"/>
      <c r="D2422" s="529"/>
      <c r="E2422" s="529"/>
      <c r="F2422" s="529"/>
      <c r="G2422" s="529"/>
      <c r="H2422" s="529"/>
      <c r="I2422" s="529"/>
      <c r="J2422" s="529"/>
      <c r="K2422" s="529"/>
    </row>
    <row r="2423" spans="1:11" x14ac:dyDescent="0.2">
      <c r="A2423" s="285"/>
      <c r="B2423" s="285"/>
      <c r="C2423" s="285"/>
      <c r="D2423" s="286"/>
      <c r="E2423" s="286"/>
      <c r="F2423" s="286"/>
      <c r="G2423" s="286"/>
      <c r="H2423" s="286"/>
      <c r="I2423" s="286"/>
      <c r="J2423" s="286"/>
      <c r="K2423" s="285"/>
    </row>
    <row r="2424" spans="1:11" x14ac:dyDescent="0.2">
      <c r="A2424" s="285"/>
      <c r="B2424" s="285"/>
      <c r="C2424" s="285"/>
      <c r="D2424" s="652"/>
      <c r="E2424" s="652"/>
      <c r="F2424" s="652"/>
      <c r="G2424" s="652"/>
      <c r="H2424" s="653"/>
      <c r="I2424" s="652"/>
      <c r="J2424" s="652"/>
      <c r="K2424" s="654"/>
    </row>
    <row r="2425" spans="1:11" x14ac:dyDescent="0.2">
      <c r="A2425" s="285"/>
      <c r="B2425" s="285"/>
      <c r="C2425" s="285"/>
      <c r="D2425" s="286"/>
      <c r="E2425" s="286"/>
      <c r="F2425" s="286"/>
      <c r="G2425" s="286"/>
      <c r="H2425" s="286"/>
      <c r="I2425" s="286"/>
      <c r="J2425" s="286"/>
      <c r="K2425" s="285"/>
    </row>
    <row r="2426" spans="1:11" x14ac:dyDescent="0.2">
      <c r="A2426" s="285"/>
      <c r="B2426" s="285"/>
      <c r="C2426" s="285"/>
      <c r="D2426" s="286"/>
      <c r="E2426" s="286"/>
      <c r="F2426" s="286"/>
      <c r="G2426" s="286"/>
      <c r="H2426" s="286"/>
      <c r="I2426" s="286"/>
      <c r="J2426" s="286"/>
      <c r="K2426" s="285"/>
    </row>
    <row r="2427" spans="1:11" x14ac:dyDescent="0.2">
      <c r="A2427" s="285"/>
      <c r="B2427" s="285"/>
      <c r="C2427" s="285"/>
      <c r="D2427" s="286"/>
      <c r="E2427" s="286"/>
      <c r="F2427" s="286"/>
      <c r="G2427" s="286"/>
      <c r="H2427" s="292"/>
      <c r="J2427" s="286"/>
      <c r="K2427" s="285"/>
    </row>
    <row r="2428" spans="1:11" x14ac:dyDescent="0.2">
      <c r="A2428" s="285"/>
      <c r="B2428" s="285"/>
      <c r="C2428" s="285"/>
      <c r="D2428" s="286"/>
      <c r="E2428" s="286"/>
      <c r="F2428" s="286"/>
      <c r="G2428" s="286"/>
      <c r="H2428" s="292"/>
      <c r="I2428" s="286"/>
      <c r="J2428" s="286"/>
      <c r="K2428" s="285"/>
    </row>
    <row r="2429" spans="1:11" x14ac:dyDescent="0.2">
      <c r="A2429" s="285"/>
      <c r="B2429" s="285"/>
      <c r="C2429" s="285"/>
      <c r="D2429" s="286"/>
      <c r="E2429" s="286"/>
      <c r="F2429" s="286"/>
      <c r="G2429" s="286"/>
      <c r="H2429" s="292"/>
      <c r="I2429" s="286"/>
      <c r="J2429" s="286"/>
      <c r="K2429" s="285"/>
    </row>
    <row r="2430" spans="1:11" x14ac:dyDescent="0.2">
      <c r="A2430" s="285"/>
      <c r="B2430" s="285"/>
      <c r="C2430" s="285"/>
      <c r="D2430" s="286"/>
      <c r="E2430" s="286"/>
      <c r="F2430" s="286"/>
      <c r="G2430" s="286"/>
      <c r="H2430" s="292"/>
      <c r="I2430" s="286"/>
      <c r="J2430" s="286"/>
      <c r="K2430" s="285"/>
    </row>
    <row r="2431" spans="1:11" x14ac:dyDescent="0.2">
      <c r="A2431" s="285"/>
      <c r="B2431" s="285"/>
      <c r="C2431" s="285"/>
      <c r="D2431" s="286"/>
      <c r="E2431" s="286"/>
      <c r="F2431" s="286"/>
      <c r="G2431" s="286"/>
      <c r="H2431" s="292"/>
      <c r="I2431" s="286"/>
      <c r="J2431" s="286"/>
      <c r="K2431" s="285"/>
    </row>
    <row r="2432" spans="1:11" x14ac:dyDescent="0.2">
      <c r="A2432" s="285"/>
      <c r="B2432" s="285"/>
      <c r="C2432" s="285"/>
      <c r="D2432" s="286"/>
      <c r="E2432" s="286"/>
      <c r="F2432" s="286"/>
      <c r="G2432" s="286"/>
      <c r="H2432" s="286"/>
      <c r="I2432" s="286"/>
      <c r="J2432" s="286"/>
      <c r="K2432" s="285"/>
    </row>
    <row r="2433" spans="1:11" x14ac:dyDescent="0.2">
      <c r="A2433" s="285"/>
      <c r="B2433" s="285"/>
      <c r="C2433" s="285"/>
      <c r="D2433" s="286"/>
      <c r="E2433" s="285"/>
      <c r="F2433" s="286"/>
      <c r="G2433" s="286"/>
      <c r="H2433" s="286"/>
      <c r="I2433" s="286"/>
      <c r="J2433" s="286"/>
      <c r="K2433" s="285"/>
    </row>
    <row r="2434" spans="1:11" x14ac:dyDescent="0.2">
      <c r="D2434" s="286"/>
      <c r="E2434" s="285"/>
      <c r="F2434" s="286"/>
      <c r="G2434" s="286"/>
      <c r="H2434" s="286"/>
      <c r="I2434" s="286"/>
      <c r="J2434" s="286"/>
      <c r="K2434" s="285"/>
    </row>
    <row r="2435" spans="1:11" x14ac:dyDescent="0.2">
      <c r="A2435" s="285"/>
      <c r="B2435" s="285"/>
      <c r="C2435" s="285"/>
      <c r="D2435" s="286"/>
      <c r="E2435" s="286"/>
      <c r="F2435" s="286"/>
      <c r="G2435" s="286"/>
      <c r="H2435" s="286"/>
      <c r="I2435" s="286"/>
      <c r="J2435" s="286"/>
      <c r="K2435" s="285"/>
    </row>
    <row r="2436" spans="1:11" x14ac:dyDescent="0.2">
      <c r="A2436" s="285"/>
      <c r="B2436" s="285"/>
      <c r="C2436" s="285"/>
      <c r="D2436" s="286"/>
      <c r="E2436" s="286"/>
      <c r="F2436" s="286"/>
      <c r="G2436" s="286"/>
      <c r="H2436" s="286"/>
      <c r="I2436" s="286"/>
      <c r="J2436" s="286"/>
      <c r="K2436" s="285"/>
    </row>
    <row r="2437" spans="1:11" x14ac:dyDescent="0.2">
      <c r="A2437" s="285"/>
      <c r="B2437" s="285"/>
      <c r="C2437" s="285"/>
      <c r="D2437" s="286"/>
      <c r="E2437" s="285"/>
      <c r="F2437" s="285"/>
      <c r="G2437" s="285"/>
      <c r="H2437" s="285"/>
      <c r="I2437" s="286"/>
      <c r="J2437" s="286"/>
      <c r="K2437" s="285"/>
    </row>
    <row r="2438" spans="1:11" x14ac:dyDescent="0.2">
      <c r="A2438" s="285"/>
      <c r="B2438" s="285"/>
      <c r="C2438" s="285"/>
      <c r="D2438" s="286"/>
      <c r="E2438" s="286"/>
      <c r="F2438" s="286"/>
      <c r="G2438" s="286"/>
      <c r="H2438" s="286"/>
      <c r="I2438" s="286"/>
      <c r="J2438" s="286"/>
      <c r="K2438" s="285"/>
    </row>
    <row r="2439" spans="1:11" x14ac:dyDescent="0.2">
      <c r="A2439" s="285"/>
      <c r="B2439" s="285"/>
      <c r="C2439" s="285"/>
      <c r="D2439" s="286"/>
      <c r="E2439" s="286"/>
      <c r="F2439" s="286"/>
      <c r="G2439" s="286"/>
      <c r="H2439" s="286"/>
      <c r="I2439" s="286"/>
      <c r="J2439" s="286"/>
      <c r="K2439" s="285"/>
    </row>
    <row r="2440" spans="1:11" x14ac:dyDescent="0.2">
      <c r="A2440" s="285"/>
      <c r="B2440" s="285"/>
      <c r="C2440" s="285"/>
      <c r="D2440" s="286"/>
      <c r="E2440" s="286"/>
      <c r="F2440" s="286"/>
      <c r="G2440" s="286"/>
      <c r="H2440" s="286"/>
      <c r="I2440" s="286"/>
      <c r="J2440" s="286"/>
      <c r="K2440" s="285"/>
    </row>
    <row r="2441" spans="1:11" x14ac:dyDescent="0.2">
      <c r="D2441" s="528"/>
      <c r="E2441" s="529"/>
      <c r="F2441" s="528"/>
      <c r="G2441" s="528"/>
      <c r="H2441" s="528"/>
      <c r="I2441" s="528"/>
      <c r="J2441" s="528"/>
      <c r="K2441" s="529"/>
    </row>
    <row r="2442" spans="1:11" x14ac:dyDescent="0.2">
      <c r="A2442" s="285"/>
      <c r="B2442" s="285"/>
      <c r="C2442" s="285"/>
      <c r="D2442" s="286"/>
      <c r="E2442" s="286"/>
      <c r="F2442" s="286"/>
      <c r="G2442" s="286"/>
      <c r="H2442" s="286"/>
      <c r="I2442" s="286"/>
      <c r="J2442" s="286"/>
      <c r="K2442" s="285"/>
    </row>
    <row r="2443" spans="1:11" x14ac:dyDescent="0.2">
      <c r="A2443" s="285"/>
      <c r="B2443" s="285"/>
      <c r="C2443" s="285"/>
      <c r="D2443" s="286"/>
      <c r="E2443" s="286"/>
      <c r="F2443" s="286"/>
      <c r="G2443" s="286"/>
      <c r="H2443" s="286"/>
      <c r="I2443" s="286"/>
      <c r="J2443" s="286"/>
      <c r="K2443" s="285"/>
    </row>
    <row r="2444" spans="1:11" x14ac:dyDescent="0.2">
      <c r="A2444" s="285"/>
      <c r="B2444" s="285"/>
      <c r="C2444" s="285"/>
      <c r="D2444" s="286"/>
      <c r="E2444" s="286"/>
      <c r="F2444" s="285"/>
      <c r="G2444" s="286"/>
      <c r="H2444" s="286"/>
      <c r="I2444" s="286"/>
      <c r="J2444" s="286"/>
      <c r="K2444" s="285"/>
    </row>
    <row r="2445" spans="1:11" x14ac:dyDescent="0.2">
      <c r="A2445" s="285"/>
      <c r="B2445" s="285"/>
      <c r="C2445" s="285"/>
      <c r="D2445" s="563"/>
      <c r="E2445" s="286"/>
      <c r="F2445" s="286"/>
      <c r="G2445" s="286"/>
      <c r="H2445" s="286"/>
      <c r="I2445" s="286"/>
      <c r="J2445" s="286"/>
      <c r="K2445" s="285"/>
    </row>
    <row r="2446" spans="1:11" x14ac:dyDescent="0.2">
      <c r="A2446" s="285"/>
      <c r="B2446" s="285"/>
      <c r="C2446" s="285"/>
      <c r="D2446" s="286"/>
      <c r="E2446" s="286"/>
      <c r="F2446" s="286"/>
      <c r="G2446" s="286"/>
      <c r="H2446" s="286"/>
      <c r="I2446" s="286"/>
      <c r="J2446" s="286"/>
      <c r="K2446" s="285"/>
    </row>
    <row r="2447" spans="1:11" x14ac:dyDescent="0.2">
      <c r="A2447" s="285"/>
      <c r="B2447" s="285"/>
      <c r="C2447" s="285"/>
      <c r="D2447" s="286"/>
      <c r="E2447" s="286"/>
      <c r="F2447" s="286"/>
      <c r="G2447" s="286"/>
      <c r="H2447" s="286"/>
      <c r="I2447" s="286"/>
      <c r="J2447" s="286"/>
      <c r="K2447" s="285"/>
    </row>
    <row r="2448" spans="1:11" x14ac:dyDescent="0.2">
      <c r="A2448" s="285"/>
      <c r="B2448" s="285"/>
      <c r="C2448" s="285"/>
      <c r="D2448" s="286"/>
      <c r="E2448" s="286"/>
      <c r="F2448" s="286"/>
      <c r="G2448" s="286"/>
      <c r="H2448" s="286"/>
      <c r="I2448" s="286"/>
      <c r="J2448" s="286"/>
      <c r="K2448" s="285"/>
    </row>
    <row r="2449" spans="1:11" x14ac:dyDescent="0.2">
      <c r="A2449" s="285"/>
      <c r="B2449" s="285"/>
      <c r="C2449" s="285"/>
      <c r="D2449" s="286"/>
      <c r="E2449" s="286"/>
      <c r="F2449" s="286"/>
      <c r="G2449" s="286"/>
      <c r="H2449" s="286"/>
      <c r="I2449" s="286"/>
      <c r="J2449" s="286"/>
      <c r="K2449" s="285"/>
    </row>
    <row r="2450" spans="1:11" x14ac:dyDescent="0.2">
      <c r="A2450" s="285"/>
      <c r="B2450" s="285"/>
      <c r="C2450" s="285"/>
      <c r="D2450" s="286"/>
      <c r="E2450" s="286"/>
      <c r="F2450" s="286"/>
      <c r="G2450" s="286"/>
      <c r="H2450" s="286"/>
      <c r="I2450" s="286"/>
      <c r="J2450" s="286"/>
      <c r="K2450" s="285"/>
    </row>
    <row r="2451" spans="1:11" x14ac:dyDescent="0.2">
      <c r="A2451" s="285"/>
      <c r="B2451" s="285"/>
      <c r="C2451" s="285"/>
      <c r="D2451" s="286"/>
      <c r="E2451" s="286"/>
      <c r="F2451" s="286"/>
      <c r="G2451" s="286"/>
      <c r="H2451" s="286"/>
      <c r="I2451" s="286"/>
      <c r="J2451" s="286"/>
      <c r="K2451" s="285"/>
    </row>
    <row r="2452" spans="1:11" x14ac:dyDescent="0.2">
      <c r="A2452" s="285"/>
      <c r="B2452" s="285"/>
      <c r="C2452" s="285"/>
      <c r="D2452" s="286"/>
      <c r="E2452" s="286"/>
      <c r="F2452" s="286"/>
      <c r="G2452" s="286"/>
      <c r="H2452" s="286"/>
      <c r="I2452" s="286"/>
      <c r="J2452" s="286"/>
      <c r="K2452" s="285"/>
    </row>
    <row r="2453" spans="1:11" x14ac:dyDescent="0.2">
      <c r="A2453" s="285"/>
      <c r="B2453" s="285"/>
      <c r="C2453" s="285"/>
      <c r="D2453" s="286"/>
      <c r="E2453" s="286"/>
      <c r="F2453" s="286"/>
      <c r="G2453" s="286"/>
      <c r="H2453" s="286"/>
      <c r="I2453" s="286"/>
      <c r="J2453" s="286"/>
      <c r="K2453" s="285"/>
    </row>
    <row r="2454" spans="1:11" x14ac:dyDescent="0.2">
      <c r="A2454" s="285"/>
      <c r="B2454" s="285"/>
      <c r="C2454" s="285"/>
      <c r="D2454" s="286"/>
      <c r="E2454" s="286"/>
      <c r="F2454" s="286"/>
      <c r="G2454" s="286"/>
      <c r="H2454" s="286"/>
      <c r="I2454" s="286"/>
      <c r="J2454" s="286"/>
      <c r="K2454" s="285"/>
    </row>
    <row r="2455" spans="1:11" x14ac:dyDescent="0.2">
      <c r="A2455" s="285"/>
      <c r="B2455" s="285"/>
      <c r="C2455" s="285"/>
      <c r="D2455" s="286"/>
      <c r="E2455" s="286"/>
      <c r="F2455" s="286"/>
      <c r="G2455" s="286"/>
      <c r="H2455" s="286"/>
      <c r="I2455" s="286"/>
      <c r="J2455" s="286"/>
      <c r="K2455" s="285"/>
    </row>
    <row r="2456" spans="1:11" x14ac:dyDescent="0.2">
      <c r="A2456" s="285"/>
      <c r="B2456" s="285"/>
      <c r="C2456" s="285"/>
      <c r="D2456" s="286"/>
      <c r="E2456" s="286"/>
      <c r="F2456" s="286"/>
      <c r="G2456" s="286"/>
      <c r="H2456" s="286"/>
      <c r="I2456" s="286"/>
      <c r="J2456" s="286"/>
      <c r="K2456" s="285"/>
    </row>
    <row r="2457" spans="1:11" x14ac:dyDescent="0.2">
      <c r="A2457" s="285"/>
      <c r="B2457" s="285"/>
      <c r="C2457" s="285"/>
      <c r="D2457" s="286"/>
      <c r="E2457" s="286"/>
      <c r="F2457" s="286"/>
      <c r="G2457" s="286"/>
      <c r="H2457" s="286"/>
      <c r="I2457" s="286"/>
      <c r="J2457" s="286"/>
      <c r="K2457" s="285"/>
    </row>
    <row r="2458" spans="1:11" x14ac:dyDescent="0.2">
      <c r="A2458" s="285"/>
      <c r="B2458" s="285"/>
      <c r="C2458" s="285"/>
      <c r="D2458" s="286"/>
      <c r="E2458" s="286"/>
      <c r="F2458" s="286"/>
      <c r="G2458" s="286"/>
      <c r="H2458" s="286"/>
      <c r="I2458" s="286"/>
      <c r="J2458" s="286"/>
      <c r="K2458" s="285"/>
    </row>
    <row r="2459" spans="1:11" x14ac:dyDescent="0.2">
      <c r="A2459" s="285"/>
      <c r="B2459" s="285"/>
      <c r="C2459" s="285"/>
      <c r="D2459" s="286"/>
      <c r="E2459" s="286"/>
      <c r="F2459" s="286"/>
      <c r="G2459" s="286"/>
      <c r="H2459" s="286"/>
      <c r="I2459" s="286"/>
      <c r="J2459" s="286"/>
      <c r="K2459" s="285"/>
    </row>
    <row r="2460" spans="1:11" x14ac:dyDescent="0.2">
      <c r="A2460" s="285"/>
      <c r="B2460" s="285"/>
      <c r="C2460" s="285"/>
      <c r="D2460" s="286"/>
      <c r="E2460" s="286"/>
      <c r="F2460" s="286"/>
      <c r="G2460" s="286"/>
      <c r="H2460" s="286"/>
      <c r="I2460" s="286"/>
      <c r="J2460" s="286"/>
      <c r="K2460" s="285"/>
    </row>
    <row r="2461" spans="1:11" x14ac:dyDescent="0.2">
      <c r="A2461" s="285"/>
      <c r="B2461" s="285"/>
      <c r="C2461" s="285"/>
      <c r="D2461" s="286"/>
      <c r="E2461" s="286"/>
      <c r="F2461" s="286"/>
      <c r="G2461" s="286"/>
      <c r="H2461" s="286"/>
      <c r="I2461" s="286"/>
      <c r="J2461" s="286"/>
      <c r="K2461" s="285"/>
    </row>
    <row r="2462" spans="1:11" x14ac:dyDescent="0.2">
      <c r="A2462" s="285"/>
      <c r="B2462" s="285"/>
      <c r="C2462" s="285"/>
      <c r="D2462" s="286"/>
      <c r="E2462" s="286"/>
      <c r="F2462" s="286"/>
      <c r="G2462" s="286"/>
      <c r="H2462" s="286"/>
      <c r="I2462" s="286"/>
      <c r="J2462" s="286"/>
      <c r="K2462" s="285"/>
    </row>
    <row r="2463" spans="1:11" x14ac:dyDescent="0.2">
      <c r="A2463" s="285"/>
      <c r="B2463" s="285"/>
      <c r="C2463" s="285"/>
      <c r="D2463" s="286"/>
      <c r="E2463" s="286"/>
      <c r="F2463" s="286"/>
      <c r="G2463" s="286"/>
      <c r="H2463" s="286"/>
      <c r="I2463" s="286"/>
      <c r="J2463" s="286"/>
      <c r="K2463" s="285"/>
    </row>
    <row r="2464" spans="1:11" x14ac:dyDescent="0.2">
      <c r="A2464" s="285"/>
      <c r="B2464" s="285"/>
      <c r="C2464" s="285"/>
      <c r="D2464" s="286"/>
      <c r="E2464" s="286"/>
      <c r="F2464" s="286"/>
      <c r="G2464" s="286"/>
      <c r="H2464" s="286"/>
      <c r="I2464" s="286"/>
      <c r="J2464" s="286"/>
      <c r="K2464" s="285"/>
    </row>
    <row r="2465" spans="1:11" x14ac:dyDescent="0.2">
      <c r="A2465" s="285"/>
      <c r="B2465" s="285"/>
      <c r="C2465" s="285"/>
      <c r="D2465" s="286"/>
      <c r="E2465" s="286"/>
      <c r="F2465" s="286"/>
      <c r="G2465" s="286"/>
      <c r="H2465" s="286"/>
      <c r="I2465" s="286"/>
      <c r="J2465" s="286"/>
      <c r="K2465" s="285"/>
    </row>
    <row r="2466" spans="1:11" x14ac:dyDescent="0.2">
      <c r="A2466" s="285"/>
      <c r="B2466" s="285"/>
      <c r="C2466" s="285"/>
      <c r="D2466" s="286"/>
      <c r="E2466" s="286"/>
      <c r="F2466" s="286"/>
      <c r="G2466" s="286"/>
      <c r="H2466" s="286"/>
      <c r="I2466" s="286"/>
      <c r="J2466" s="286"/>
      <c r="K2466" s="285"/>
    </row>
    <row r="2467" spans="1:11" x14ac:dyDescent="0.2">
      <c r="A2467" s="285"/>
      <c r="B2467" s="285"/>
      <c r="C2467" s="285"/>
      <c r="D2467" s="286"/>
      <c r="E2467" s="286"/>
      <c r="F2467" s="286"/>
      <c r="G2467" s="286"/>
      <c r="H2467" s="286"/>
      <c r="I2467" s="286"/>
      <c r="J2467" s="286"/>
      <c r="K2467" s="285"/>
    </row>
    <row r="2468" spans="1:11" x14ac:dyDescent="0.2">
      <c r="A2468" s="285"/>
      <c r="B2468" s="285"/>
      <c r="C2468" s="285"/>
      <c r="D2468" s="286"/>
      <c r="E2468" s="286"/>
      <c r="F2468" s="286"/>
      <c r="G2468" s="286"/>
      <c r="H2468" s="286"/>
      <c r="I2468" s="286"/>
      <c r="J2468" s="286"/>
      <c r="K2468" s="285"/>
    </row>
    <row r="2469" spans="1:11" x14ac:dyDescent="0.2">
      <c r="A2469" s="285"/>
      <c r="B2469" s="285"/>
      <c r="C2469" s="285"/>
      <c r="D2469" s="286"/>
      <c r="E2469" s="286"/>
      <c r="F2469" s="286"/>
      <c r="G2469" s="286"/>
      <c r="H2469" s="286"/>
      <c r="I2469" s="286"/>
      <c r="J2469" s="286"/>
      <c r="K2469" s="285"/>
    </row>
    <row r="2470" spans="1:11" x14ac:dyDescent="0.2">
      <c r="D2470" s="286"/>
      <c r="E2470" s="286"/>
      <c r="F2470" s="286"/>
      <c r="G2470" s="286"/>
      <c r="H2470" s="286"/>
      <c r="I2470" s="286"/>
      <c r="J2470" s="286"/>
      <c r="K2470" s="285"/>
    </row>
    <row r="2471" spans="1:11" x14ac:dyDescent="0.2">
      <c r="A2471" s="285"/>
      <c r="B2471" s="285"/>
      <c r="C2471" s="285"/>
      <c r="D2471" s="286"/>
      <c r="E2471" s="286"/>
      <c r="F2471" s="286"/>
      <c r="G2471" s="286"/>
      <c r="H2471" s="286"/>
      <c r="I2471" s="286"/>
      <c r="J2471" s="286"/>
      <c r="K2471" s="285"/>
    </row>
    <row r="2472" spans="1:11" x14ac:dyDescent="0.2">
      <c r="A2472" s="285"/>
      <c r="B2472" s="285"/>
      <c r="C2472" s="285"/>
      <c r="D2472" s="286"/>
      <c r="E2472" s="286"/>
      <c r="F2472" s="286"/>
      <c r="G2472" s="286"/>
      <c r="H2472" s="286"/>
      <c r="I2472" s="286"/>
      <c r="J2472" s="286"/>
      <c r="K2472" s="285"/>
    </row>
    <row r="2473" spans="1:11" x14ac:dyDescent="0.2">
      <c r="A2473" s="285"/>
      <c r="B2473" s="285"/>
      <c r="C2473" s="285"/>
      <c r="D2473" s="286"/>
      <c r="E2473" s="286"/>
      <c r="F2473" s="286"/>
      <c r="G2473" s="286"/>
      <c r="H2473" s="286"/>
      <c r="I2473" s="286"/>
      <c r="J2473" s="286"/>
      <c r="K2473" s="285"/>
    </row>
    <row r="2474" spans="1:11" x14ac:dyDescent="0.2">
      <c r="A2474" s="285"/>
      <c r="B2474" s="285"/>
      <c r="C2474" s="285"/>
      <c r="D2474" s="286"/>
      <c r="E2474" s="286"/>
      <c r="F2474" s="286"/>
      <c r="G2474" s="286"/>
      <c r="H2474" s="286"/>
      <c r="I2474" s="286"/>
      <c r="J2474" s="286"/>
      <c r="K2474" s="285"/>
    </row>
    <row r="2475" spans="1:11" x14ac:dyDescent="0.2">
      <c r="A2475" s="285"/>
      <c r="B2475" s="285"/>
      <c r="C2475" s="285"/>
      <c r="D2475" s="286"/>
      <c r="E2475" s="286"/>
      <c r="F2475" s="286"/>
      <c r="G2475" s="286"/>
      <c r="H2475" s="286"/>
      <c r="I2475" s="286"/>
      <c r="J2475" s="286"/>
      <c r="K2475" s="285"/>
    </row>
    <row r="2476" spans="1:11" x14ac:dyDescent="0.2">
      <c r="A2476" s="285"/>
      <c r="B2476" s="285"/>
      <c r="C2476" s="285"/>
      <c r="D2476" s="286"/>
      <c r="E2476" s="286"/>
      <c r="F2476" s="286"/>
      <c r="G2476" s="286"/>
      <c r="H2476" s="286"/>
      <c r="I2476" s="286"/>
      <c r="J2476" s="286"/>
      <c r="K2476" s="285"/>
    </row>
    <row r="2477" spans="1:11" x14ac:dyDescent="0.2">
      <c r="A2477" s="285"/>
      <c r="B2477" s="285"/>
      <c r="C2477" s="285"/>
      <c r="D2477" s="286"/>
      <c r="E2477" s="286"/>
      <c r="F2477" s="286"/>
      <c r="G2477" s="286"/>
      <c r="H2477" s="286"/>
      <c r="I2477" s="286"/>
      <c r="J2477" s="286"/>
      <c r="K2477" s="285"/>
    </row>
    <row r="2478" spans="1:11" x14ac:dyDescent="0.2">
      <c r="A2478" s="285"/>
      <c r="B2478" s="285"/>
      <c r="C2478" s="285"/>
      <c r="D2478" s="286"/>
      <c r="E2478" s="286"/>
      <c r="F2478" s="286"/>
      <c r="G2478" s="286"/>
      <c r="H2478" s="286"/>
      <c r="I2478" s="286"/>
      <c r="J2478" s="286"/>
      <c r="K2478" s="285"/>
    </row>
    <row r="2479" spans="1:11" x14ac:dyDescent="0.2">
      <c r="A2479" s="285"/>
      <c r="B2479" s="285"/>
      <c r="C2479" s="285"/>
      <c r="D2479" s="286"/>
      <c r="E2479" s="286"/>
      <c r="F2479" s="286"/>
      <c r="G2479" s="286"/>
      <c r="H2479" s="286"/>
      <c r="I2479" s="286"/>
      <c r="J2479" s="286"/>
      <c r="K2479" s="285"/>
    </row>
    <row r="2480" spans="1:11" x14ac:dyDescent="0.2">
      <c r="A2480" s="285"/>
      <c r="B2480" s="285"/>
      <c r="C2480" s="285"/>
      <c r="D2480" s="286"/>
      <c r="E2480" s="286"/>
      <c r="F2480" s="286"/>
      <c r="G2480" s="286"/>
      <c r="H2480" s="286"/>
      <c r="I2480" s="286"/>
      <c r="J2480" s="286"/>
      <c r="K2480" s="285"/>
    </row>
    <row r="2481" spans="1:11" x14ac:dyDescent="0.2">
      <c r="A2481" s="285"/>
      <c r="B2481" s="285"/>
      <c r="C2481" s="285"/>
      <c r="D2481" s="286"/>
      <c r="E2481" s="286"/>
      <c r="F2481" s="286"/>
      <c r="G2481" s="286"/>
      <c r="H2481" s="286"/>
      <c r="I2481" s="286"/>
      <c r="J2481" s="286"/>
      <c r="K2481" s="285"/>
    </row>
    <row r="2482" spans="1:11" x14ac:dyDescent="0.2">
      <c r="A2482" s="285"/>
      <c r="B2482" s="285"/>
      <c r="C2482" s="285"/>
      <c r="D2482" s="286"/>
      <c r="E2482" s="286"/>
      <c r="F2482" s="286"/>
      <c r="G2482" s="286"/>
      <c r="H2482" s="286"/>
      <c r="I2482" s="286"/>
      <c r="J2482" s="286"/>
      <c r="K2482" s="285"/>
    </row>
    <row r="2483" spans="1:11" x14ac:dyDescent="0.2">
      <c r="A2483" s="285"/>
      <c r="B2483" s="285"/>
      <c r="C2483" s="285"/>
      <c r="D2483" s="286"/>
      <c r="E2483" s="286"/>
      <c r="F2483" s="286"/>
      <c r="G2483" s="286"/>
      <c r="H2483" s="286"/>
      <c r="I2483" s="286"/>
      <c r="J2483" s="286"/>
      <c r="K2483" s="285"/>
    </row>
    <row r="2484" spans="1:11" x14ac:dyDescent="0.2">
      <c r="D2484" s="286"/>
      <c r="E2484" s="286"/>
      <c r="F2484" s="286"/>
      <c r="G2484" s="286"/>
      <c r="H2484" s="286"/>
      <c r="I2484" s="286"/>
      <c r="J2484" s="286"/>
      <c r="K2484" s="285"/>
    </row>
    <row r="2485" spans="1:11" x14ac:dyDescent="0.2">
      <c r="A2485" s="285"/>
      <c r="B2485" s="285"/>
      <c r="C2485" s="285"/>
      <c r="D2485" s="286"/>
      <c r="E2485" s="286"/>
      <c r="F2485" s="286"/>
      <c r="G2485" s="286"/>
      <c r="H2485" s="286"/>
      <c r="I2485" s="286"/>
      <c r="J2485" s="286"/>
      <c r="K2485" s="285"/>
    </row>
    <row r="2486" spans="1:11" x14ac:dyDescent="0.2">
      <c r="D2486" s="286"/>
      <c r="E2486" s="286"/>
      <c r="F2486" s="286"/>
      <c r="G2486" s="286"/>
      <c r="H2486" s="286"/>
      <c r="I2486" s="286"/>
      <c r="J2486" s="286"/>
      <c r="K2486" s="285"/>
    </row>
    <row r="2487" spans="1:11" x14ac:dyDescent="0.2">
      <c r="A2487" s="285"/>
      <c r="B2487" s="285"/>
      <c r="C2487" s="285"/>
      <c r="D2487" s="286"/>
      <c r="E2487" s="286"/>
      <c r="F2487" s="286"/>
      <c r="G2487" s="286"/>
      <c r="H2487" s="285"/>
      <c r="I2487" s="286"/>
      <c r="J2487" s="286"/>
      <c r="K2487" s="285"/>
    </row>
    <row r="2488" spans="1:11" x14ac:dyDescent="0.2">
      <c r="A2488" s="285"/>
      <c r="B2488" s="285"/>
      <c r="C2488" s="285"/>
      <c r="D2488" s="286"/>
      <c r="E2488" s="286"/>
      <c r="F2488" s="286"/>
      <c r="G2488" s="286"/>
      <c r="H2488" s="285"/>
      <c r="I2488" s="286"/>
      <c r="J2488" s="286"/>
      <c r="K2488" s="285"/>
    </row>
    <row r="2489" spans="1:11" x14ac:dyDescent="0.2">
      <c r="A2489" s="285"/>
      <c r="B2489" s="285"/>
      <c r="C2489" s="285"/>
      <c r="D2489" s="286"/>
      <c r="E2489" s="286"/>
      <c r="F2489" s="286"/>
      <c r="G2489" s="286"/>
      <c r="H2489" s="285"/>
      <c r="I2489" s="286"/>
      <c r="J2489" s="286"/>
      <c r="K2489" s="285"/>
    </row>
    <row r="2490" spans="1:11" x14ac:dyDescent="0.2">
      <c r="A2490" s="285"/>
      <c r="B2490" s="285"/>
      <c r="C2490" s="285"/>
      <c r="D2490" s="286"/>
      <c r="E2490" s="286"/>
      <c r="F2490" s="286"/>
      <c r="G2490" s="286"/>
      <c r="H2490" s="285"/>
      <c r="I2490" s="286"/>
      <c r="J2490" s="286"/>
      <c r="K2490" s="285"/>
    </row>
    <row r="2491" spans="1:11" x14ac:dyDescent="0.2">
      <c r="A2491" s="285"/>
      <c r="B2491" s="285"/>
      <c r="C2491" s="285"/>
      <c r="D2491" s="286"/>
      <c r="E2491" s="286"/>
      <c r="F2491" s="286"/>
      <c r="G2491" s="286"/>
      <c r="H2491" s="285"/>
      <c r="I2491" s="286"/>
      <c r="J2491" s="286"/>
      <c r="K2491" s="285"/>
    </row>
    <row r="2492" spans="1:11" x14ac:dyDescent="0.2">
      <c r="A2492" s="285"/>
      <c r="B2492" s="285"/>
      <c r="C2492" s="285"/>
      <c r="D2492" s="286"/>
      <c r="E2492" s="286"/>
      <c r="F2492" s="286"/>
      <c r="G2492" s="286"/>
      <c r="H2492" s="285"/>
      <c r="I2492" s="286"/>
      <c r="J2492" s="286"/>
      <c r="K2492" s="285"/>
    </row>
    <row r="2493" spans="1:11" x14ac:dyDescent="0.2">
      <c r="A2493" s="285"/>
      <c r="B2493" s="285"/>
      <c r="C2493" s="285"/>
      <c r="D2493" s="286"/>
      <c r="E2493" s="286"/>
      <c r="F2493" s="286"/>
      <c r="G2493" s="286"/>
      <c r="H2493" s="285"/>
      <c r="I2493" s="286"/>
      <c r="J2493" s="286"/>
      <c r="K2493" s="285"/>
    </row>
    <row r="2494" spans="1:11" x14ac:dyDescent="0.2">
      <c r="A2494" s="285"/>
      <c r="B2494" s="285"/>
      <c r="C2494" s="285"/>
      <c r="D2494" s="566"/>
      <c r="E2494" s="286"/>
      <c r="F2494" s="286"/>
      <c r="G2494" s="286"/>
      <c r="H2494" s="285"/>
      <c r="I2494" s="286"/>
      <c r="J2494" s="286"/>
      <c r="K2494" s="285"/>
    </row>
    <row r="2495" spans="1:11" x14ac:dyDescent="0.2">
      <c r="A2495" s="285"/>
      <c r="B2495" s="285"/>
      <c r="C2495" s="285"/>
      <c r="D2495" s="286"/>
      <c r="E2495" s="286"/>
      <c r="F2495" s="286"/>
      <c r="G2495" s="286"/>
      <c r="H2495" s="285"/>
      <c r="I2495" s="286"/>
      <c r="J2495" s="286"/>
      <c r="K2495" s="285"/>
    </row>
    <row r="2496" spans="1:11" x14ac:dyDescent="0.2">
      <c r="A2496" s="285"/>
      <c r="B2496" s="285"/>
      <c r="C2496" s="285"/>
      <c r="D2496" s="286"/>
      <c r="E2496" s="286"/>
      <c r="F2496" s="286"/>
      <c r="G2496" s="286"/>
      <c r="H2496" s="285"/>
      <c r="I2496" s="286"/>
      <c r="J2496" s="286"/>
      <c r="K2496" s="285"/>
    </row>
    <row r="2497" spans="1:11" x14ac:dyDescent="0.2">
      <c r="A2497" s="285"/>
      <c r="B2497" s="285"/>
      <c r="C2497" s="285"/>
      <c r="D2497" s="286"/>
      <c r="E2497" s="286"/>
      <c r="F2497" s="286"/>
      <c r="G2497" s="286"/>
      <c r="H2497" s="285"/>
      <c r="I2497" s="286"/>
      <c r="J2497" s="286"/>
      <c r="K2497" s="285"/>
    </row>
    <row r="2498" spans="1:11" x14ac:dyDescent="0.2">
      <c r="A2498" s="285"/>
      <c r="B2498" s="285"/>
      <c r="C2498" s="285"/>
      <c r="D2498" s="286"/>
      <c r="E2498" s="286"/>
      <c r="F2498" s="286"/>
      <c r="G2498" s="286"/>
      <c r="H2498" s="285"/>
      <c r="I2498" s="286"/>
      <c r="J2498" s="286"/>
      <c r="K2498" s="285"/>
    </row>
    <row r="2499" spans="1:11" x14ac:dyDescent="0.2">
      <c r="A2499" s="285"/>
      <c r="B2499" s="285"/>
      <c r="C2499" s="285"/>
      <c r="D2499" s="286"/>
      <c r="E2499" s="286"/>
      <c r="F2499" s="286"/>
      <c r="G2499" s="286"/>
      <c r="H2499" s="285"/>
      <c r="I2499" s="286"/>
      <c r="J2499" s="286"/>
      <c r="K2499" s="285"/>
    </row>
    <row r="2500" spans="1:11" x14ac:dyDescent="0.2">
      <c r="D2500" s="286"/>
      <c r="E2500" s="286"/>
      <c r="F2500" s="286"/>
      <c r="G2500" s="286"/>
      <c r="H2500" s="285"/>
      <c r="I2500" s="286"/>
      <c r="J2500" s="286"/>
      <c r="K2500" s="285"/>
    </row>
    <row r="2501" spans="1:11" x14ac:dyDescent="0.2">
      <c r="A2501" s="285"/>
      <c r="B2501" s="285"/>
      <c r="C2501" s="285"/>
      <c r="D2501" s="286"/>
      <c r="E2501" s="286"/>
      <c r="F2501" s="286"/>
      <c r="G2501" s="286"/>
      <c r="H2501" s="285"/>
      <c r="I2501" s="286"/>
      <c r="J2501" s="286"/>
      <c r="K2501" s="285"/>
    </row>
    <row r="2502" spans="1:11" x14ac:dyDescent="0.2">
      <c r="A2502" s="285"/>
      <c r="B2502" s="285"/>
      <c r="C2502" s="285"/>
      <c r="D2502" s="286"/>
      <c r="E2502" s="286"/>
      <c r="F2502" s="286"/>
      <c r="G2502" s="286"/>
      <c r="H2502" s="285"/>
      <c r="I2502" s="286"/>
      <c r="J2502" s="286"/>
      <c r="K2502" s="285"/>
    </row>
    <row r="2503" spans="1:11" x14ac:dyDescent="0.2">
      <c r="A2503" s="285"/>
      <c r="B2503" s="285"/>
      <c r="C2503" s="285"/>
      <c r="D2503" s="286"/>
      <c r="E2503" s="286"/>
      <c r="F2503" s="286"/>
      <c r="G2503" s="286"/>
      <c r="H2503" s="285"/>
      <c r="I2503" s="286"/>
      <c r="J2503" s="286"/>
      <c r="K2503" s="285"/>
    </row>
    <row r="2504" spans="1:11" x14ac:dyDescent="0.2">
      <c r="A2504" s="285"/>
      <c r="B2504" s="285"/>
      <c r="C2504" s="285"/>
      <c r="D2504" s="286"/>
      <c r="E2504" s="286"/>
      <c r="F2504" s="286"/>
      <c r="G2504" s="286"/>
      <c r="H2504" s="285"/>
      <c r="I2504" s="286"/>
      <c r="J2504" s="286"/>
      <c r="K2504" s="285"/>
    </row>
    <row r="2505" spans="1:11" x14ac:dyDescent="0.2">
      <c r="D2505" s="286"/>
      <c r="E2505" s="286"/>
      <c r="F2505" s="286"/>
      <c r="G2505" s="286"/>
      <c r="H2505" s="285"/>
      <c r="I2505" s="286"/>
      <c r="J2505" s="286"/>
      <c r="K2505" s="285"/>
    </row>
    <row r="2506" spans="1:11" x14ac:dyDescent="0.2">
      <c r="A2506" s="285"/>
      <c r="B2506" s="285"/>
      <c r="C2506" s="285"/>
      <c r="D2506" s="286"/>
      <c r="E2506" s="286"/>
      <c r="F2506" s="286"/>
      <c r="G2506" s="286"/>
      <c r="H2506" s="286"/>
      <c r="I2506" s="286"/>
      <c r="J2506" s="286"/>
      <c r="K2506" s="285"/>
    </row>
    <row r="2507" spans="1:11" x14ac:dyDescent="0.2">
      <c r="A2507" s="285"/>
      <c r="B2507" s="285"/>
      <c r="C2507" s="285"/>
      <c r="D2507" s="286"/>
      <c r="E2507" s="286"/>
      <c r="F2507" s="286"/>
      <c r="G2507" s="286"/>
      <c r="H2507" s="286"/>
      <c r="I2507" s="286"/>
      <c r="J2507" s="286"/>
      <c r="K2507" s="285"/>
    </row>
    <row r="2508" spans="1:11" x14ac:dyDescent="0.2">
      <c r="A2508" s="285"/>
      <c r="B2508" s="285"/>
      <c r="C2508" s="285"/>
      <c r="D2508" s="286"/>
      <c r="E2508" s="286"/>
      <c r="F2508" s="286"/>
      <c r="G2508" s="286"/>
      <c r="H2508" s="286"/>
      <c r="I2508" s="286"/>
      <c r="J2508" s="286"/>
      <c r="K2508" s="285"/>
    </row>
    <row r="2509" spans="1:11" x14ac:dyDescent="0.2">
      <c r="A2509" s="285"/>
      <c r="B2509" s="285"/>
      <c r="C2509" s="285"/>
      <c r="D2509" s="286"/>
      <c r="E2509" s="286"/>
      <c r="F2509" s="286"/>
      <c r="G2509" s="286"/>
      <c r="H2509" s="286"/>
      <c r="I2509" s="286"/>
      <c r="J2509" s="286"/>
      <c r="K2509" s="285"/>
    </row>
    <row r="2510" spans="1:11" x14ac:dyDescent="0.2">
      <c r="A2510" s="285"/>
      <c r="B2510" s="285"/>
      <c r="C2510" s="285"/>
      <c r="D2510" s="286"/>
      <c r="E2510" s="286"/>
      <c r="F2510" s="286"/>
      <c r="G2510" s="286"/>
      <c r="H2510" s="286"/>
      <c r="I2510" s="286"/>
      <c r="J2510" s="286"/>
      <c r="K2510" s="285"/>
    </row>
    <row r="2511" spans="1:11" x14ac:dyDescent="0.2">
      <c r="A2511" s="285"/>
      <c r="B2511" s="285"/>
      <c r="C2511" s="285"/>
      <c r="D2511" s="286"/>
      <c r="E2511" s="286"/>
      <c r="F2511" s="286"/>
      <c r="G2511" s="286"/>
      <c r="H2511" s="286"/>
      <c r="I2511" s="286"/>
      <c r="J2511" s="286"/>
      <c r="K2511" s="285"/>
    </row>
    <row r="2512" spans="1:11" x14ac:dyDescent="0.2">
      <c r="A2512" s="285"/>
      <c r="B2512" s="285"/>
      <c r="C2512" s="285"/>
      <c r="D2512" s="286"/>
      <c r="E2512" s="286"/>
      <c r="F2512" s="286"/>
      <c r="G2512" s="286"/>
      <c r="H2512" s="286"/>
      <c r="I2512" s="286"/>
      <c r="J2512" s="286"/>
      <c r="K2512" s="285"/>
    </row>
    <row r="2513" spans="1:11" x14ac:dyDescent="0.2">
      <c r="A2513" s="285"/>
      <c r="B2513" s="285"/>
      <c r="C2513" s="285"/>
      <c r="D2513" s="318"/>
      <c r="E2513" s="286"/>
      <c r="F2513" s="286"/>
      <c r="G2513" s="286"/>
      <c r="H2513" s="286"/>
      <c r="I2513" s="286"/>
      <c r="J2513" s="286"/>
      <c r="K2513" s="285"/>
    </row>
    <row r="2514" spans="1:11" x14ac:dyDescent="0.2">
      <c r="A2514" s="285"/>
      <c r="B2514" s="285"/>
      <c r="C2514" s="285"/>
      <c r="D2514" s="286"/>
      <c r="E2514" s="286"/>
      <c r="F2514" s="286"/>
      <c r="G2514" s="286"/>
      <c r="H2514" s="286"/>
      <c r="I2514" s="286"/>
      <c r="J2514" s="286"/>
      <c r="K2514" s="285"/>
    </row>
    <row r="2515" spans="1:11" x14ac:dyDescent="0.2">
      <c r="A2515" s="285"/>
      <c r="B2515" s="285"/>
      <c r="C2515" s="285"/>
      <c r="D2515" s="286"/>
      <c r="E2515" s="286"/>
      <c r="F2515" s="286"/>
      <c r="G2515" s="286"/>
      <c r="H2515" s="286"/>
      <c r="I2515" s="286"/>
      <c r="J2515" s="286"/>
      <c r="K2515" s="285"/>
    </row>
    <row r="2516" spans="1:11" x14ac:dyDescent="0.2">
      <c r="A2516" s="285"/>
      <c r="B2516" s="285"/>
      <c r="C2516" s="285"/>
      <c r="D2516" s="286"/>
      <c r="E2516" s="286"/>
      <c r="F2516" s="286"/>
      <c r="G2516" s="286"/>
      <c r="H2516" s="286"/>
      <c r="I2516" s="286"/>
      <c r="J2516" s="286"/>
      <c r="K2516" s="285"/>
    </row>
    <row r="2517" spans="1:11" x14ac:dyDescent="0.2">
      <c r="A2517" s="285"/>
      <c r="B2517" s="285"/>
      <c r="C2517" s="285"/>
      <c r="D2517" s="286"/>
      <c r="E2517" s="286"/>
      <c r="F2517" s="286"/>
      <c r="G2517" s="286"/>
      <c r="H2517" s="286"/>
      <c r="I2517" s="286"/>
      <c r="J2517" s="286"/>
      <c r="K2517" s="285"/>
    </row>
    <row r="2518" spans="1:11" x14ac:dyDescent="0.2">
      <c r="A2518" s="285"/>
      <c r="B2518" s="285"/>
      <c r="C2518" s="285"/>
      <c r="D2518" s="286"/>
      <c r="E2518" s="286"/>
      <c r="F2518" s="286"/>
      <c r="G2518" s="286"/>
      <c r="H2518" s="286"/>
      <c r="I2518" s="286"/>
      <c r="J2518" s="286"/>
      <c r="K2518" s="285"/>
    </row>
    <row r="2519" spans="1:11" x14ac:dyDescent="0.2">
      <c r="A2519" s="285"/>
      <c r="B2519" s="285"/>
      <c r="C2519" s="285"/>
      <c r="D2519" s="286"/>
      <c r="E2519" s="286"/>
      <c r="F2519" s="286"/>
      <c r="G2519" s="286"/>
      <c r="H2519" s="286"/>
      <c r="I2519" s="286"/>
      <c r="J2519" s="286"/>
      <c r="K2519" s="285"/>
    </row>
    <row r="2520" spans="1:11" x14ac:dyDescent="0.2">
      <c r="A2520" s="285"/>
      <c r="B2520" s="285"/>
      <c r="C2520" s="285"/>
      <c r="D2520" s="286"/>
      <c r="E2520" s="286"/>
      <c r="F2520" s="286"/>
      <c r="G2520" s="286"/>
      <c r="H2520" s="286"/>
      <c r="I2520" s="286"/>
      <c r="J2520" s="286"/>
      <c r="K2520" s="285"/>
    </row>
    <row r="2521" spans="1:11" x14ac:dyDescent="0.2">
      <c r="A2521" s="285"/>
      <c r="B2521" s="285"/>
      <c r="C2521" s="285"/>
      <c r="D2521" s="286"/>
      <c r="E2521" s="286"/>
      <c r="F2521" s="286"/>
      <c r="G2521" s="286"/>
      <c r="H2521" s="286"/>
      <c r="I2521" s="286"/>
      <c r="J2521" s="286"/>
      <c r="K2521" s="285"/>
    </row>
    <row r="2522" spans="1:11" x14ac:dyDescent="0.2">
      <c r="A2522" s="285"/>
      <c r="B2522" s="285"/>
      <c r="C2522" s="285"/>
      <c r="D2522" s="286"/>
      <c r="E2522" s="286"/>
      <c r="F2522" s="286"/>
      <c r="G2522" s="286"/>
      <c r="H2522" s="286"/>
      <c r="I2522" s="286"/>
      <c r="J2522" s="286"/>
      <c r="K2522" s="285"/>
    </row>
    <row r="2523" spans="1:11" x14ac:dyDescent="0.2">
      <c r="A2523" s="285"/>
      <c r="B2523" s="285"/>
      <c r="C2523" s="285"/>
      <c r="D2523" s="286"/>
      <c r="E2523" s="286"/>
      <c r="F2523" s="286"/>
      <c r="G2523" s="286"/>
      <c r="H2523" s="286"/>
      <c r="I2523" s="286"/>
      <c r="J2523" s="286"/>
      <c r="K2523" s="285"/>
    </row>
    <row r="2524" spans="1:11" x14ac:dyDescent="0.2">
      <c r="A2524" s="285"/>
      <c r="B2524" s="285"/>
      <c r="C2524" s="285"/>
      <c r="D2524" s="286"/>
      <c r="E2524" s="286"/>
      <c r="F2524" s="286"/>
      <c r="G2524" s="286"/>
      <c r="H2524" s="286"/>
      <c r="I2524" s="286"/>
      <c r="J2524" s="286"/>
      <c r="K2524" s="285"/>
    </row>
    <row r="2525" spans="1:11" x14ac:dyDescent="0.2">
      <c r="A2525" s="285"/>
      <c r="B2525" s="285"/>
      <c r="C2525" s="285"/>
      <c r="D2525" s="286"/>
      <c r="E2525" s="286"/>
      <c r="F2525" s="286"/>
      <c r="G2525" s="286"/>
      <c r="H2525" s="286"/>
      <c r="I2525" s="286"/>
      <c r="J2525" s="286"/>
      <c r="K2525" s="285"/>
    </row>
    <row r="2526" spans="1:11" x14ac:dyDescent="0.2">
      <c r="A2526" s="285"/>
      <c r="B2526" s="285"/>
      <c r="C2526" s="285"/>
      <c r="D2526" s="286"/>
      <c r="E2526" s="286"/>
      <c r="F2526" s="286"/>
      <c r="G2526" s="286"/>
      <c r="H2526" s="286"/>
      <c r="I2526" s="286"/>
      <c r="J2526" s="286"/>
      <c r="K2526" s="285"/>
    </row>
    <row r="2527" spans="1:11" x14ac:dyDescent="0.2">
      <c r="A2527" s="285"/>
      <c r="B2527" s="285"/>
      <c r="C2527" s="285"/>
      <c r="D2527" s="286"/>
      <c r="E2527" s="286"/>
      <c r="F2527" s="286"/>
      <c r="G2527" s="286"/>
      <c r="H2527" s="286"/>
      <c r="I2527" s="286"/>
      <c r="J2527" s="286"/>
      <c r="K2527" s="285"/>
    </row>
    <row r="2528" spans="1:11" x14ac:dyDescent="0.2">
      <c r="A2528" s="285"/>
      <c r="B2528" s="285"/>
      <c r="C2528" s="285"/>
      <c r="D2528" s="286"/>
      <c r="E2528" s="286"/>
      <c r="F2528" s="286"/>
      <c r="G2528" s="286"/>
      <c r="H2528" s="286"/>
      <c r="I2528" s="286"/>
      <c r="J2528" s="286"/>
      <c r="K2528" s="285"/>
    </row>
    <row r="2529" spans="1:11" x14ac:dyDescent="0.2">
      <c r="A2529" s="285"/>
      <c r="B2529" s="285"/>
      <c r="C2529" s="285"/>
      <c r="D2529" s="286"/>
      <c r="E2529" s="286"/>
      <c r="F2529" s="286"/>
      <c r="G2529" s="286"/>
      <c r="H2529" s="286"/>
      <c r="I2529" s="286"/>
      <c r="J2529" s="286"/>
      <c r="K2529" s="285"/>
    </row>
    <row r="2530" spans="1:11" x14ac:dyDescent="0.2">
      <c r="A2530" s="285"/>
      <c r="B2530" s="285"/>
      <c r="C2530" s="285"/>
      <c r="D2530" s="286"/>
      <c r="E2530" s="286"/>
      <c r="F2530" s="286"/>
      <c r="G2530" s="286"/>
      <c r="H2530" s="286"/>
      <c r="I2530" s="286"/>
      <c r="J2530" s="286"/>
      <c r="K2530" s="285"/>
    </row>
    <row r="2531" spans="1:11" x14ac:dyDescent="0.2">
      <c r="A2531" s="285"/>
      <c r="B2531" s="285"/>
      <c r="C2531" s="285"/>
      <c r="D2531" s="286"/>
      <c r="E2531" s="286"/>
      <c r="F2531" s="286"/>
      <c r="G2531" s="286"/>
      <c r="H2531" s="286"/>
      <c r="I2531" s="286"/>
      <c r="J2531" s="286"/>
      <c r="K2531" s="285"/>
    </row>
    <row r="2532" spans="1:11" x14ac:dyDescent="0.2">
      <c r="A2532" s="285"/>
      <c r="B2532" s="285"/>
      <c r="C2532" s="285"/>
      <c r="D2532" s="286"/>
      <c r="E2532" s="286"/>
      <c r="F2532" s="286"/>
      <c r="G2532" s="286"/>
      <c r="H2532" s="286"/>
      <c r="I2532" s="286"/>
      <c r="J2532" s="286"/>
      <c r="K2532" s="285"/>
    </row>
    <row r="2533" spans="1:11" x14ac:dyDescent="0.2">
      <c r="A2533" s="285"/>
      <c r="B2533" s="285"/>
      <c r="C2533" s="285"/>
      <c r="D2533" s="286"/>
      <c r="E2533" s="286"/>
      <c r="F2533" s="286"/>
      <c r="G2533" s="286"/>
      <c r="H2533" s="286"/>
      <c r="I2533" s="286"/>
      <c r="J2533" s="286"/>
      <c r="K2533" s="285"/>
    </row>
    <row r="2534" spans="1:11" x14ac:dyDescent="0.2">
      <c r="A2534" s="285"/>
      <c r="B2534" s="285"/>
      <c r="C2534" s="285"/>
      <c r="D2534" s="286"/>
      <c r="E2534" s="286"/>
      <c r="F2534" s="286"/>
      <c r="G2534" s="286"/>
      <c r="H2534" s="286"/>
      <c r="I2534" s="286"/>
      <c r="J2534" s="286"/>
      <c r="K2534" s="285"/>
    </row>
    <row r="2535" spans="1:11" x14ac:dyDescent="0.2">
      <c r="A2535" s="285"/>
      <c r="B2535" s="285"/>
      <c r="C2535" s="285"/>
      <c r="D2535" s="286"/>
      <c r="E2535" s="286"/>
      <c r="F2535" s="286"/>
      <c r="G2535" s="286"/>
      <c r="H2535" s="286"/>
      <c r="I2535" s="286"/>
      <c r="J2535" s="286"/>
      <c r="K2535" s="285"/>
    </row>
    <row r="2536" spans="1:11" x14ac:dyDescent="0.2">
      <c r="A2536" s="285"/>
      <c r="B2536" s="285"/>
      <c r="C2536" s="285"/>
      <c r="D2536" s="286"/>
      <c r="E2536" s="286"/>
      <c r="F2536" s="286"/>
      <c r="G2536" s="286"/>
      <c r="H2536" s="286"/>
      <c r="I2536" s="286"/>
      <c r="J2536" s="286"/>
      <c r="K2536" s="285"/>
    </row>
    <row r="2537" spans="1:11" x14ac:dyDescent="0.2">
      <c r="A2537" s="285"/>
      <c r="B2537" s="285"/>
      <c r="C2537" s="285"/>
      <c r="D2537" s="286"/>
      <c r="E2537" s="286"/>
      <c r="F2537" s="286"/>
      <c r="G2537" s="286"/>
      <c r="H2537" s="286"/>
      <c r="I2537" s="286"/>
      <c r="J2537" s="286"/>
      <c r="K2537" s="285"/>
    </row>
    <row r="2538" spans="1:11" x14ac:dyDescent="0.2">
      <c r="D2538" s="286"/>
      <c r="E2538" s="286"/>
      <c r="F2538" s="286"/>
      <c r="G2538" s="286"/>
      <c r="H2538" s="286"/>
      <c r="I2538" s="286"/>
      <c r="J2538" s="286"/>
      <c r="K2538" s="285"/>
    </row>
    <row r="2539" spans="1:11" x14ac:dyDescent="0.2">
      <c r="A2539" s="285"/>
      <c r="B2539" s="285"/>
      <c r="C2539" s="285"/>
      <c r="D2539" s="286"/>
      <c r="E2539" s="286"/>
      <c r="F2539" s="286"/>
      <c r="G2539" s="286"/>
      <c r="H2539" s="286"/>
      <c r="I2539" s="286"/>
      <c r="J2539" s="286"/>
      <c r="K2539" s="285"/>
    </row>
    <row r="2540" spans="1:11" x14ac:dyDescent="0.2">
      <c r="A2540" s="285"/>
      <c r="B2540" s="285"/>
      <c r="C2540" s="285"/>
      <c r="D2540" s="286"/>
      <c r="E2540" s="286"/>
      <c r="F2540" s="286"/>
      <c r="G2540" s="286"/>
      <c r="H2540" s="286"/>
      <c r="I2540" s="286"/>
      <c r="J2540" s="286"/>
      <c r="K2540" s="285"/>
    </row>
    <row r="2541" spans="1:11" x14ac:dyDescent="0.2">
      <c r="A2541" s="285"/>
      <c r="B2541" s="285"/>
      <c r="C2541" s="285"/>
      <c r="D2541" s="286"/>
      <c r="E2541" s="286"/>
      <c r="F2541" s="286"/>
      <c r="G2541" s="286"/>
      <c r="H2541" s="286"/>
      <c r="I2541" s="286"/>
      <c r="J2541" s="286"/>
      <c r="K2541" s="285"/>
    </row>
    <row r="2542" spans="1:11" x14ac:dyDescent="0.2">
      <c r="A2542" s="285"/>
      <c r="B2542" s="285"/>
      <c r="C2542" s="285"/>
      <c r="D2542" s="286"/>
      <c r="E2542" s="286"/>
      <c r="F2542" s="286"/>
      <c r="G2542" s="286"/>
      <c r="H2542" s="286"/>
      <c r="I2542" s="286"/>
      <c r="J2542" s="286"/>
      <c r="K2542" s="285"/>
    </row>
    <row r="2544" spans="1:11" x14ac:dyDescent="0.2">
      <c r="A2544" s="285"/>
      <c r="B2544" s="285"/>
      <c r="C2544" s="285"/>
      <c r="D2544" s="286"/>
      <c r="E2544" s="286"/>
      <c r="F2544" s="286"/>
      <c r="G2544" s="286"/>
      <c r="H2544" s="286"/>
      <c r="I2544" s="286"/>
      <c r="J2544" s="286"/>
      <c r="K2544" s="285"/>
    </row>
    <row r="2545" spans="1:11" x14ac:dyDescent="0.2">
      <c r="A2545" s="285"/>
      <c r="B2545" s="285"/>
      <c r="C2545" s="285"/>
      <c r="D2545" s="286"/>
      <c r="E2545" s="286"/>
      <c r="F2545" s="286"/>
      <c r="G2545" s="286"/>
      <c r="H2545" s="286"/>
      <c r="I2545" s="286"/>
      <c r="J2545" s="286"/>
      <c r="K2545" s="285"/>
    </row>
    <row r="2546" spans="1:11" x14ac:dyDescent="0.2">
      <c r="A2546" s="285"/>
      <c r="B2546" s="285"/>
      <c r="C2546" s="285"/>
      <c r="D2546" s="286"/>
      <c r="E2546" s="286"/>
      <c r="F2546" s="286"/>
      <c r="G2546" s="286"/>
      <c r="H2546" s="286"/>
      <c r="I2546" s="286"/>
      <c r="J2546" s="286"/>
      <c r="K2546" s="285"/>
    </row>
    <row r="2547" spans="1:11" x14ac:dyDescent="0.2">
      <c r="A2547" s="285"/>
      <c r="B2547" s="285"/>
      <c r="C2547" s="285"/>
      <c r="D2547" s="286"/>
      <c r="E2547" s="286"/>
      <c r="F2547" s="286"/>
      <c r="G2547" s="286"/>
      <c r="H2547" s="286"/>
      <c r="I2547" s="286"/>
      <c r="J2547" s="286"/>
      <c r="K2547" s="285"/>
    </row>
    <row r="2548" spans="1:11" x14ac:dyDescent="0.2">
      <c r="A2548" s="285"/>
      <c r="B2548" s="285"/>
      <c r="C2548" s="285"/>
      <c r="D2548" s="286"/>
      <c r="E2548" s="286"/>
      <c r="F2548" s="286"/>
      <c r="G2548" s="286"/>
      <c r="H2548" s="286"/>
      <c r="I2548" s="286"/>
      <c r="J2548" s="286"/>
      <c r="K2548" s="285"/>
    </row>
    <row r="2549" spans="1:11" x14ac:dyDescent="0.2">
      <c r="A2549" s="285"/>
      <c r="B2549" s="285"/>
      <c r="C2549" s="285"/>
      <c r="D2549" s="286"/>
      <c r="E2549" s="286"/>
      <c r="F2549" s="286"/>
      <c r="G2549" s="286"/>
      <c r="H2549" s="286"/>
      <c r="I2549" s="286"/>
      <c r="J2549" s="286"/>
      <c r="K2549" s="285"/>
    </row>
    <row r="2550" spans="1:11" x14ac:dyDescent="0.2">
      <c r="A2550" s="285"/>
      <c r="B2550" s="285"/>
      <c r="C2550" s="285"/>
      <c r="D2550" s="286"/>
      <c r="E2550" s="286"/>
      <c r="F2550" s="286"/>
      <c r="G2550" s="286"/>
      <c r="H2550" s="286"/>
      <c r="I2550" s="286"/>
      <c r="J2550" s="286"/>
      <c r="K2550" s="285"/>
    </row>
    <row r="2551" spans="1:11" x14ac:dyDescent="0.2">
      <c r="A2551" s="285"/>
      <c r="B2551" s="285"/>
      <c r="C2551" s="285"/>
      <c r="D2551" s="286"/>
      <c r="E2551" s="286"/>
      <c r="F2551" s="286"/>
      <c r="G2551" s="286"/>
      <c r="H2551" s="286"/>
      <c r="I2551" s="286"/>
      <c r="J2551" s="286"/>
      <c r="K2551" s="285"/>
    </row>
    <row r="2552" spans="1:11" x14ac:dyDescent="0.2">
      <c r="A2552" s="285"/>
      <c r="B2552" s="285"/>
      <c r="C2552" s="285"/>
      <c r="D2552" s="286"/>
      <c r="E2552" s="286"/>
      <c r="F2552" s="286"/>
      <c r="G2552" s="286"/>
      <c r="H2552" s="286"/>
      <c r="I2552" s="286"/>
      <c r="J2552" s="286"/>
      <c r="K2552" s="285"/>
    </row>
    <row r="2553" spans="1:11" x14ac:dyDescent="0.2">
      <c r="A2553" s="285"/>
      <c r="B2553" s="285"/>
      <c r="C2553" s="285"/>
      <c r="D2553" s="286"/>
      <c r="E2553" s="286"/>
      <c r="F2553" s="286"/>
      <c r="G2553" s="286"/>
      <c r="H2553" s="286"/>
      <c r="I2553" s="286"/>
      <c r="J2553" s="286"/>
      <c r="K2553" s="285"/>
    </row>
    <row r="2554" spans="1:11" x14ac:dyDescent="0.2">
      <c r="A2554" s="285"/>
      <c r="B2554" s="285"/>
      <c r="C2554" s="285"/>
      <c r="D2554" s="286"/>
      <c r="E2554" s="286"/>
      <c r="F2554" s="286"/>
      <c r="G2554" s="286"/>
      <c r="H2554" s="286"/>
      <c r="I2554" s="286"/>
      <c r="J2554" s="286"/>
      <c r="K2554" s="285"/>
    </row>
    <row r="2555" spans="1:11" x14ac:dyDescent="0.2">
      <c r="A2555" s="285"/>
      <c r="B2555" s="285"/>
      <c r="C2555" s="285"/>
      <c r="D2555" s="286"/>
      <c r="E2555" s="286"/>
      <c r="F2555" s="286"/>
      <c r="G2555" s="286"/>
      <c r="H2555" s="286"/>
      <c r="I2555" s="286"/>
      <c r="J2555" s="286"/>
      <c r="K2555" s="285"/>
    </row>
    <row r="2556" spans="1:11" x14ac:dyDescent="0.2">
      <c r="A2556" s="285"/>
      <c r="B2556" s="285"/>
      <c r="C2556" s="285"/>
      <c r="D2556" s="286"/>
      <c r="E2556" s="286"/>
      <c r="F2556" s="286"/>
      <c r="G2556" s="286"/>
      <c r="H2556" s="286"/>
      <c r="I2556" s="286"/>
      <c r="J2556" s="286"/>
      <c r="K2556" s="285"/>
    </row>
    <row r="2557" spans="1:11" x14ac:dyDescent="0.2">
      <c r="A2557" s="285"/>
      <c r="B2557" s="285"/>
      <c r="C2557" s="285"/>
      <c r="D2557" s="286"/>
      <c r="E2557" s="286"/>
      <c r="F2557" s="286"/>
      <c r="G2557" s="286"/>
      <c r="H2557" s="286"/>
      <c r="I2557" s="286"/>
      <c r="J2557" s="286"/>
      <c r="K2557" s="285"/>
    </row>
    <row r="2558" spans="1:11" x14ac:dyDescent="0.2">
      <c r="A2558" s="285"/>
      <c r="B2558" s="285"/>
      <c r="C2558" s="285"/>
      <c r="D2558" s="286"/>
      <c r="E2558" s="286"/>
      <c r="F2558" s="286"/>
      <c r="G2558" s="286"/>
      <c r="H2558" s="286"/>
      <c r="I2558" s="286"/>
      <c r="J2558" s="286"/>
      <c r="K2558" s="285"/>
    </row>
    <row r="2559" spans="1:11" x14ac:dyDescent="0.2">
      <c r="A2559" s="285"/>
      <c r="B2559" s="285"/>
      <c r="C2559" s="285"/>
      <c r="D2559" s="286"/>
      <c r="E2559" s="286"/>
      <c r="F2559" s="286"/>
      <c r="G2559" s="286"/>
      <c r="H2559" s="292"/>
      <c r="J2559" s="286"/>
      <c r="K2559" s="285"/>
    </row>
    <row r="2560" spans="1:11" x14ac:dyDescent="0.2">
      <c r="A2560" s="285"/>
      <c r="B2560" s="285"/>
      <c r="C2560" s="285"/>
      <c r="D2560" s="286"/>
      <c r="E2560" s="286"/>
      <c r="F2560" s="286"/>
      <c r="G2560" s="286"/>
      <c r="H2560" s="292"/>
      <c r="I2560" s="286"/>
      <c r="J2560" s="286"/>
      <c r="K2560" s="285"/>
    </row>
    <row r="2561" spans="1:11" x14ac:dyDescent="0.2">
      <c r="A2561" s="285"/>
      <c r="B2561" s="285"/>
      <c r="C2561" s="285"/>
      <c r="D2561" s="286"/>
      <c r="E2561" s="286"/>
      <c r="G2561" s="286"/>
      <c r="H2561" s="292"/>
      <c r="I2561" s="286"/>
      <c r="J2561" s="286"/>
      <c r="K2561" s="285"/>
    </row>
    <row r="2562" spans="1:11" x14ac:dyDescent="0.2">
      <c r="A2562" s="285"/>
      <c r="B2562" s="285"/>
      <c r="C2562" s="285"/>
      <c r="D2562" s="286"/>
      <c r="E2562" s="286"/>
      <c r="F2562" s="286"/>
      <c r="G2562" s="286"/>
      <c r="H2562" s="292"/>
      <c r="I2562" s="286"/>
      <c r="J2562" s="286"/>
      <c r="K2562" s="285"/>
    </row>
    <row r="2563" spans="1:11" x14ac:dyDescent="0.2">
      <c r="A2563" s="285"/>
      <c r="B2563" s="285"/>
      <c r="C2563" s="285"/>
      <c r="D2563" s="286"/>
      <c r="E2563" s="286"/>
      <c r="F2563" s="286"/>
      <c r="G2563" s="286"/>
      <c r="H2563" s="292"/>
      <c r="I2563" s="286"/>
      <c r="J2563" s="286"/>
      <c r="K2563" s="285"/>
    </row>
    <row r="2564" spans="1:11" x14ac:dyDescent="0.2">
      <c r="A2564" s="285"/>
      <c r="B2564" s="285"/>
      <c r="C2564" s="285"/>
      <c r="D2564" s="286"/>
      <c r="E2564" s="286"/>
      <c r="F2564" s="286"/>
      <c r="G2564" s="286"/>
      <c r="H2564" s="292"/>
      <c r="I2564" s="286"/>
      <c r="J2564" s="286"/>
      <c r="K2564" s="285"/>
    </row>
    <row r="2565" spans="1:11" x14ac:dyDescent="0.2">
      <c r="A2565" s="285"/>
      <c r="B2565" s="285"/>
      <c r="C2565" s="285"/>
      <c r="D2565" s="286"/>
      <c r="E2565" s="286"/>
      <c r="F2565" s="286"/>
      <c r="G2565" s="286"/>
      <c r="H2565" s="292"/>
      <c r="I2565" s="286"/>
      <c r="J2565" s="286"/>
      <c r="K2565" s="285"/>
    </row>
    <row r="2566" spans="1:11" x14ac:dyDescent="0.2">
      <c r="A2566" s="285"/>
      <c r="B2566" s="285"/>
      <c r="C2566" s="285"/>
      <c r="D2566" s="286"/>
      <c r="E2566" s="286"/>
      <c r="F2566" s="286"/>
      <c r="G2566" s="286"/>
      <c r="H2566" s="292"/>
      <c r="I2566" s="286"/>
      <c r="J2566" s="286"/>
      <c r="K2566" s="285"/>
    </row>
    <row r="2567" spans="1:11" x14ac:dyDescent="0.2">
      <c r="A2567" s="285"/>
      <c r="B2567" s="285"/>
      <c r="C2567" s="285"/>
      <c r="D2567" s="286"/>
      <c r="E2567" s="286"/>
      <c r="F2567" s="286"/>
      <c r="G2567" s="286"/>
      <c r="H2567" s="292"/>
      <c r="I2567" s="286"/>
      <c r="J2567" s="286"/>
      <c r="K2567" s="285"/>
    </row>
    <row r="2568" spans="1:11" x14ac:dyDescent="0.2">
      <c r="A2568" s="285"/>
      <c r="B2568" s="285"/>
      <c r="C2568" s="285"/>
      <c r="D2568" s="655"/>
      <c r="E2568" s="656"/>
      <c r="F2568" s="656"/>
      <c r="G2568" s="656"/>
      <c r="H2568" s="657"/>
      <c r="I2568" s="656"/>
      <c r="J2568" s="656"/>
      <c r="K2568" s="285"/>
    </row>
    <row r="2569" spans="1:11" x14ac:dyDescent="0.2">
      <c r="D2569" s="564"/>
      <c r="E2569" s="564"/>
      <c r="F2569" s="564"/>
      <c r="G2569" s="564"/>
      <c r="H2569" s="565"/>
      <c r="I2569" s="564"/>
      <c r="J2569" s="564"/>
    </row>
    <row r="2570" spans="1:11" x14ac:dyDescent="0.2">
      <c r="A2570" s="285"/>
      <c r="B2570" s="285"/>
      <c r="C2570" s="285"/>
      <c r="D2570" s="564"/>
      <c r="E2570" s="564"/>
      <c r="F2570" s="564"/>
      <c r="G2570" s="564"/>
      <c r="H2570" s="565"/>
      <c r="I2570" s="564"/>
      <c r="J2570" s="564"/>
      <c r="K2570" s="285"/>
    </row>
    <row r="2571" spans="1:11" x14ac:dyDescent="0.2">
      <c r="A2571" s="285"/>
      <c r="B2571" s="285"/>
      <c r="C2571" s="285"/>
      <c r="D2571" s="564"/>
      <c r="E2571" s="564"/>
      <c r="F2571" s="564"/>
      <c r="G2571" s="564"/>
      <c r="H2571" s="565"/>
      <c r="I2571" s="564"/>
      <c r="J2571" s="564"/>
      <c r="K2571" s="285"/>
    </row>
    <row r="2572" spans="1:11" x14ac:dyDescent="0.2">
      <c r="A2572" s="285"/>
      <c r="B2572" s="285"/>
      <c r="C2572" s="285"/>
      <c r="D2572" s="564"/>
      <c r="E2572" s="564"/>
      <c r="F2572" s="564"/>
      <c r="G2572" s="564"/>
      <c r="H2572" s="565"/>
      <c r="I2572" s="564"/>
      <c r="J2572" s="564"/>
      <c r="K2572" s="285"/>
    </row>
    <row r="2573" spans="1:11" x14ac:dyDescent="0.2">
      <c r="A2573" s="285"/>
      <c r="B2573" s="285"/>
      <c r="C2573" s="285"/>
      <c r="D2573" s="564"/>
      <c r="E2573" s="564"/>
      <c r="F2573" s="564"/>
      <c r="G2573" s="564"/>
      <c r="H2573" s="565"/>
      <c r="I2573" s="564"/>
      <c r="J2573" s="564"/>
      <c r="K2573" s="285"/>
    </row>
    <row r="2574" spans="1:11" x14ac:dyDescent="0.2">
      <c r="A2574" s="285"/>
      <c r="B2574" s="285"/>
      <c r="C2574" s="285"/>
      <c r="D2574" s="564"/>
      <c r="E2574" s="564"/>
      <c r="F2574" s="564"/>
      <c r="G2574" s="564"/>
      <c r="H2574" s="565"/>
      <c r="I2574" s="564"/>
      <c r="J2574" s="564"/>
      <c r="K2574" s="285"/>
    </row>
    <row r="2575" spans="1:11" x14ac:dyDescent="0.2">
      <c r="A2575" s="285"/>
      <c r="B2575" s="285"/>
      <c r="C2575" s="285"/>
      <c r="D2575" s="564"/>
      <c r="E2575" s="655"/>
      <c r="F2575" s="656"/>
      <c r="G2575" s="656"/>
      <c r="H2575" s="657"/>
      <c r="I2575" s="656"/>
      <c r="J2575" s="656"/>
      <c r="K2575" s="285"/>
    </row>
    <row r="2576" spans="1:11" x14ac:dyDescent="0.2">
      <c r="A2576" s="285"/>
      <c r="B2576" s="285"/>
      <c r="C2576" s="285"/>
      <c r="D2576" s="286"/>
      <c r="E2576" s="285"/>
      <c r="F2576" s="285"/>
      <c r="G2576" s="285"/>
      <c r="H2576" s="295"/>
      <c r="I2576" s="285"/>
      <c r="J2576" s="285"/>
      <c r="K2576" s="285"/>
    </row>
    <row r="2577" spans="1:11" x14ac:dyDescent="0.2">
      <c r="A2577" s="285"/>
      <c r="B2577" s="285"/>
      <c r="C2577" s="285"/>
      <c r="D2577" s="286"/>
      <c r="E2577" s="285"/>
      <c r="F2577" s="285"/>
      <c r="G2577" s="285"/>
      <c r="H2577" s="295"/>
      <c r="I2577" s="285"/>
      <c r="J2577" s="285"/>
      <c r="K2577" s="285"/>
    </row>
    <row r="2578" spans="1:11" x14ac:dyDescent="0.2">
      <c r="A2578" s="285"/>
      <c r="B2578" s="285"/>
      <c r="C2578" s="285"/>
      <c r="D2578" s="286"/>
      <c r="E2578" s="285"/>
      <c r="F2578" s="285"/>
      <c r="G2578" s="285"/>
      <c r="H2578" s="295"/>
      <c r="I2578" s="285"/>
      <c r="J2578" s="285"/>
      <c r="K2578" s="285"/>
    </row>
    <row r="2579" spans="1:11" x14ac:dyDescent="0.2">
      <c r="A2579" s="285"/>
      <c r="B2579" s="285"/>
      <c r="C2579" s="285"/>
      <c r="D2579" s="286"/>
      <c r="E2579" s="285"/>
      <c r="F2579" s="285"/>
      <c r="G2579" s="285"/>
      <c r="H2579" s="295"/>
      <c r="I2579" s="285"/>
      <c r="J2579" s="285"/>
      <c r="K2579" s="285"/>
    </row>
    <row r="2580" spans="1:11" x14ac:dyDescent="0.2">
      <c r="A2580" s="285"/>
      <c r="B2580" s="285"/>
      <c r="C2580" s="285"/>
      <c r="D2580" s="285"/>
      <c r="E2580" s="285"/>
      <c r="F2580" s="285"/>
      <c r="G2580" s="285"/>
      <c r="H2580" s="295"/>
      <c r="I2580" s="285"/>
      <c r="J2580" s="285"/>
      <c r="K2580" s="285"/>
    </row>
    <row r="2581" spans="1:11" x14ac:dyDescent="0.2">
      <c r="A2581" s="285"/>
      <c r="B2581" s="285"/>
      <c r="C2581" s="285"/>
      <c r="D2581" s="286"/>
      <c r="E2581" s="285"/>
      <c r="F2581" s="285"/>
      <c r="G2581" s="285"/>
      <c r="H2581" s="295"/>
      <c r="I2581" s="285"/>
      <c r="J2581" s="285"/>
      <c r="K2581" s="285"/>
    </row>
    <row r="2582" spans="1:11" x14ac:dyDescent="0.2">
      <c r="A2582" s="285"/>
      <c r="B2582" s="285"/>
      <c r="C2582" s="285"/>
      <c r="D2582" s="286"/>
      <c r="E2582" s="285"/>
      <c r="F2582" s="285"/>
      <c r="G2582" s="285"/>
      <c r="H2582" s="295"/>
      <c r="I2582" s="285"/>
      <c r="J2582" s="285"/>
      <c r="K2582" s="285"/>
    </row>
    <row r="2583" spans="1:11" s="337" customFormat="1" x14ac:dyDescent="0.2">
      <c r="A2583" s="285"/>
      <c r="B2583" s="285"/>
      <c r="C2583" s="285"/>
      <c r="D2583" s="318"/>
      <c r="E2583" s="293"/>
      <c r="F2583" s="293"/>
      <c r="G2583" s="285"/>
      <c r="H2583" s="295"/>
      <c r="I2583" s="285"/>
      <c r="J2583" s="293"/>
      <c r="K2583" s="293"/>
    </row>
    <row r="2584" spans="1:11" s="337" customFormat="1" x14ac:dyDescent="0.2">
      <c r="A2584" s="285"/>
      <c r="B2584" s="285"/>
      <c r="C2584" s="285"/>
      <c r="D2584" s="318"/>
      <c r="E2584" s="293"/>
      <c r="F2584" s="293"/>
      <c r="G2584" s="293"/>
      <c r="H2584" s="295"/>
      <c r="I2584" s="293"/>
      <c r="J2584" s="293"/>
      <c r="K2584" s="293"/>
    </row>
    <row r="2585" spans="1:11" s="337" customFormat="1" x14ac:dyDescent="0.2">
      <c r="A2585" s="285"/>
      <c r="B2585" s="285"/>
      <c r="C2585" s="285"/>
      <c r="D2585" s="318"/>
      <c r="E2585" s="293"/>
      <c r="F2585" s="293"/>
      <c r="G2585" s="293"/>
      <c r="H2585" s="295"/>
      <c r="I2585" s="293"/>
      <c r="J2585" s="293"/>
      <c r="K2585" s="293"/>
    </row>
    <row r="2586" spans="1:11" s="337" customFormat="1" x14ac:dyDescent="0.2">
      <c r="A2586" s="285"/>
      <c r="B2586" s="285"/>
      <c r="C2586" s="285"/>
      <c r="D2586" s="318"/>
      <c r="E2586" s="293"/>
      <c r="F2586" s="293"/>
      <c r="G2586" s="293"/>
      <c r="H2586" s="295"/>
      <c r="I2586" s="293"/>
      <c r="J2586" s="293"/>
      <c r="K2586" s="293"/>
    </row>
    <row r="2587" spans="1:11" s="337" customFormat="1" x14ac:dyDescent="0.2">
      <c r="A2587" s="285"/>
      <c r="B2587" s="285"/>
      <c r="C2587" s="285"/>
      <c r="D2587" s="318"/>
      <c r="E2587" s="293"/>
      <c r="F2587" s="293"/>
      <c r="G2587" s="293"/>
      <c r="H2587" s="295"/>
      <c r="I2587" s="293"/>
      <c r="J2587" s="293"/>
      <c r="K2587" s="293"/>
    </row>
    <row r="2588" spans="1:11" s="337" customFormat="1" x14ac:dyDescent="0.2">
      <c r="A2588" s="285"/>
      <c r="B2588" s="285"/>
      <c r="C2588" s="285"/>
      <c r="D2588" s="318"/>
      <c r="E2588" s="293"/>
      <c r="F2588" s="293"/>
      <c r="G2588" s="293"/>
      <c r="H2588" s="295"/>
      <c r="I2588" s="293"/>
      <c r="J2588" s="293"/>
      <c r="K2588" s="293"/>
    </row>
    <row r="2589" spans="1:11" s="337" customFormat="1" x14ac:dyDescent="0.2">
      <c r="A2589" s="285"/>
      <c r="B2589" s="285"/>
      <c r="C2589" s="285"/>
      <c r="D2589" s="318"/>
      <c r="E2589" s="293"/>
      <c r="F2589" s="293"/>
      <c r="G2589" s="293"/>
      <c r="H2589" s="295"/>
      <c r="I2589" s="293"/>
      <c r="J2589" s="293"/>
      <c r="K2589" s="293"/>
    </row>
    <row r="2590" spans="1:11" s="337" customFormat="1" x14ac:dyDescent="0.2">
      <c r="A2590" s="285"/>
      <c r="B2590" s="285"/>
      <c r="C2590" s="285"/>
      <c r="D2590" s="318"/>
      <c r="E2590" s="293"/>
      <c r="F2590" s="293"/>
      <c r="G2590" s="293"/>
      <c r="H2590" s="295"/>
      <c r="I2590" s="293"/>
      <c r="J2590" s="293"/>
      <c r="K2590" s="293"/>
    </row>
    <row r="2591" spans="1:11" s="337" customFormat="1" x14ac:dyDescent="0.2">
      <c r="A2591" s="285"/>
      <c r="B2591" s="285"/>
      <c r="C2591" s="285"/>
      <c r="D2591" s="318"/>
      <c r="E2591" s="293"/>
      <c r="F2591" s="293"/>
      <c r="G2591" s="293"/>
      <c r="H2591" s="295"/>
      <c r="I2591" s="293"/>
      <c r="J2591" s="293"/>
      <c r="K2591" s="293"/>
    </row>
    <row r="2592" spans="1:11" s="337" customFormat="1" x14ac:dyDescent="0.2">
      <c r="A2592" s="285"/>
      <c r="B2592" s="285"/>
      <c r="C2592" s="285"/>
      <c r="D2592" s="318"/>
      <c r="E2592" s="293"/>
      <c r="F2592" s="293"/>
      <c r="G2592" s="293"/>
      <c r="H2592" s="295"/>
      <c r="I2592" s="293"/>
      <c r="J2592" s="293"/>
      <c r="K2592" s="293"/>
    </row>
    <row r="2594" spans="1:11" x14ac:dyDescent="0.2">
      <c r="A2594" s="285"/>
      <c r="B2594" s="285"/>
      <c r="C2594" s="285"/>
      <c r="D2594" s="286"/>
      <c r="E2594" s="286"/>
      <c r="F2594" s="286"/>
      <c r="G2594" s="286"/>
      <c r="H2594" s="286"/>
      <c r="I2594" s="286"/>
      <c r="J2594" s="286"/>
      <c r="K2594" s="285"/>
    </row>
    <row r="2595" spans="1:11" x14ac:dyDescent="0.2">
      <c r="A2595" s="285"/>
      <c r="B2595" s="285"/>
      <c r="C2595" s="285"/>
      <c r="D2595" s="286"/>
      <c r="E2595" s="286"/>
      <c r="F2595" s="286"/>
      <c r="G2595" s="286"/>
      <c r="H2595" s="286"/>
      <c r="I2595" s="286"/>
      <c r="J2595" s="286"/>
      <c r="K2595" s="285"/>
    </row>
    <row r="2596" spans="1:11" x14ac:dyDescent="0.2">
      <c r="A2596" s="285"/>
      <c r="B2596" s="285"/>
      <c r="C2596" s="285"/>
      <c r="D2596" s="286"/>
      <c r="E2596" s="286"/>
      <c r="F2596" s="286"/>
      <c r="G2596" s="286"/>
      <c r="H2596" s="286"/>
      <c r="I2596" s="286"/>
      <c r="J2596" s="286"/>
      <c r="K2596" s="285"/>
    </row>
    <row r="2597" spans="1:11" x14ac:dyDescent="0.2">
      <c r="A2597" s="285"/>
      <c r="B2597" s="285"/>
      <c r="C2597" s="285"/>
      <c r="D2597" s="286"/>
      <c r="E2597" s="286"/>
      <c r="F2597" s="286"/>
      <c r="G2597" s="286"/>
      <c r="H2597" s="286"/>
      <c r="I2597" s="286"/>
      <c r="J2597" s="286"/>
      <c r="K2597" s="285"/>
    </row>
    <row r="2598" spans="1:11" x14ac:dyDescent="0.2">
      <c r="A2598" s="285"/>
      <c r="B2598" s="285"/>
      <c r="C2598" s="285"/>
      <c r="D2598" s="286"/>
      <c r="E2598" s="286"/>
      <c r="F2598" s="286"/>
      <c r="G2598" s="286"/>
      <c r="H2598" s="286"/>
      <c r="I2598" s="286"/>
      <c r="J2598" s="286"/>
      <c r="K2598" s="285"/>
    </row>
    <row r="2599" spans="1:11" x14ac:dyDescent="0.2">
      <c r="A2599" s="285"/>
      <c r="B2599" s="285"/>
      <c r="C2599" s="285"/>
      <c r="D2599" s="286"/>
      <c r="E2599" s="286"/>
      <c r="F2599" s="286"/>
      <c r="G2599" s="286"/>
      <c r="H2599" s="286"/>
      <c r="I2599" s="286"/>
      <c r="J2599" s="286"/>
      <c r="K2599" s="285"/>
    </row>
    <row r="2600" spans="1:11" x14ac:dyDescent="0.2">
      <c r="A2600" s="285"/>
      <c r="B2600" s="285"/>
      <c r="C2600" s="285"/>
      <c r="D2600" s="286"/>
      <c r="E2600" s="286"/>
      <c r="F2600" s="286"/>
      <c r="G2600" s="286"/>
      <c r="H2600" s="286"/>
      <c r="I2600" s="286"/>
      <c r="J2600" s="286"/>
      <c r="K2600" s="285"/>
    </row>
    <row r="2601" spans="1:11" x14ac:dyDescent="0.2">
      <c r="A2601" s="285"/>
      <c r="B2601" s="285"/>
      <c r="C2601" s="285"/>
      <c r="D2601" s="286"/>
      <c r="E2601" s="286"/>
      <c r="F2601" s="286"/>
      <c r="G2601" s="286"/>
      <c r="H2601" s="286"/>
      <c r="I2601" s="286"/>
      <c r="J2601" s="286"/>
      <c r="K2601" s="285"/>
    </row>
    <row r="2602" spans="1:11" x14ac:dyDescent="0.2">
      <c r="A2602" s="285"/>
      <c r="B2602" s="285"/>
      <c r="C2602" s="285"/>
      <c r="D2602" s="286"/>
      <c r="E2602" s="286"/>
      <c r="F2602" s="286"/>
      <c r="G2602" s="286"/>
      <c r="H2602" s="286"/>
      <c r="I2602" s="286"/>
      <c r="J2602" s="286"/>
      <c r="K2602" s="285"/>
    </row>
    <row r="2603" spans="1:11" x14ac:dyDescent="0.2">
      <c r="A2603" s="285"/>
      <c r="B2603" s="285"/>
      <c r="C2603" s="285"/>
      <c r="D2603" s="286"/>
      <c r="E2603" s="286"/>
      <c r="F2603" s="286"/>
      <c r="G2603" s="286"/>
      <c r="H2603" s="286"/>
      <c r="I2603" s="286"/>
      <c r="J2603" s="286"/>
      <c r="K2603" s="285"/>
    </row>
    <row r="2604" spans="1:11" x14ac:dyDescent="0.2">
      <c r="A2604" s="285"/>
      <c r="B2604" s="285"/>
      <c r="C2604" s="285"/>
      <c r="D2604" s="286"/>
      <c r="E2604" s="286"/>
      <c r="F2604" s="286"/>
      <c r="G2604" s="286"/>
      <c r="H2604" s="286"/>
      <c r="I2604" s="286"/>
      <c r="J2604" s="286"/>
      <c r="K2604" s="285"/>
    </row>
    <row r="2605" spans="1:11" x14ac:dyDescent="0.2">
      <c r="A2605" s="285"/>
      <c r="B2605" s="285"/>
      <c r="C2605" s="285"/>
      <c r="D2605" s="286"/>
      <c r="E2605" s="286"/>
      <c r="F2605" s="286"/>
      <c r="G2605" s="286"/>
      <c r="H2605" s="286"/>
      <c r="I2605" s="286"/>
      <c r="J2605" s="286"/>
      <c r="K2605" s="285"/>
    </row>
    <row r="2606" spans="1:11" x14ac:dyDescent="0.2">
      <c r="A2606" s="285"/>
      <c r="B2606" s="285"/>
      <c r="C2606" s="285"/>
      <c r="D2606" s="286"/>
      <c r="E2606" s="286"/>
      <c r="F2606" s="286"/>
      <c r="G2606" s="286"/>
      <c r="H2606" s="286"/>
      <c r="I2606" s="286"/>
      <c r="J2606" s="286"/>
      <c r="K2606" s="285"/>
    </row>
    <row r="2607" spans="1:11" x14ac:dyDescent="0.2">
      <c r="A2607" s="285"/>
      <c r="B2607" s="285"/>
      <c r="C2607" s="285"/>
      <c r="D2607" s="286"/>
      <c r="E2607" s="286"/>
      <c r="F2607" s="286"/>
      <c r="G2607" s="286"/>
      <c r="H2607" s="286"/>
      <c r="I2607" s="286"/>
      <c r="J2607" s="286"/>
      <c r="K2607" s="285"/>
    </row>
    <row r="2608" spans="1:11" s="336" customFormat="1" x14ac:dyDescent="0.35">
      <c r="A2608" s="285"/>
      <c r="B2608" s="285"/>
      <c r="C2608" s="285"/>
      <c r="D2608" s="286"/>
      <c r="E2608" s="286"/>
      <c r="F2608" s="286"/>
      <c r="G2608" s="286"/>
      <c r="H2608" s="287"/>
      <c r="I2608" s="286"/>
      <c r="J2608" s="286"/>
      <c r="K2608" s="285"/>
    </row>
    <row r="2609" spans="1:11" s="336" customFormat="1" x14ac:dyDescent="0.35">
      <c r="A2609" s="285"/>
      <c r="B2609" s="285"/>
      <c r="C2609" s="285"/>
      <c r="D2609" s="286"/>
      <c r="E2609" s="286"/>
      <c r="F2609" s="286"/>
      <c r="G2609" s="286"/>
      <c r="H2609" s="287"/>
      <c r="I2609" s="286"/>
      <c r="J2609" s="286"/>
      <c r="K2609" s="285"/>
    </row>
    <row r="2610" spans="1:11" s="336" customFormat="1" x14ac:dyDescent="0.35">
      <c r="A2610" s="285"/>
      <c r="B2610" s="285"/>
      <c r="C2610" s="285"/>
      <c r="D2610" s="286"/>
      <c r="E2610" s="286"/>
      <c r="F2610" s="286"/>
      <c r="G2610" s="286"/>
      <c r="H2610" s="287"/>
      <c r="I2610" s="286"/>
      <c r="J2610" s="286"/>
      <c r="K2610" s="285"/>
    </row>
    <row r="2611" spans="1:11" s="336" customFormat="1" x14ac:dyDescent="0.35">
      <c r="A2611" s="285"/>
      <c r="B2611" s="285"/>
      <c r="C2611" s="285"/>
      <c r="D2611" s="286"/>
      <c r="E2611" s="286"/>
      <c r="F2611" s="286"/>
      <c r="G2611" s="286"/>
      <c r="H2611" s="287"/>
      <c r="I2611" s="286"/>
      <c r="J2611" s="286"/>
      <c r="K2611" s="285"/>
    </row>
    <row r="2612" spans="1:11" x14ac:dyDescent="0.2">
      <c r="A2612" s="285"/>
      <c r="B2612" s="285"/>
      <c r="C2612" s="285"/>
      <c r="D2612" s="287"/>
      <c r="E2612" s="286"/>
      <c r="F2612" s="286"/>
      <c r="G2612" s="286"/>
      <c r="H2612" s="287"/>
      <c r="I2612" s="286"/>
      <c r="J2612" s="286"/>
      <c r="K2612" s="285"/>
    </row>
    <row r="2613" spans="1:11" x14ac:dyDescent="0.2">
      <c r="A2613" s="285"/>
      <c r="B2613" s="285"/>
      <c r="C2613" s="285"/>
      <c r="D2613" s="287"/>
      <c r="E2613" s="286"/>
      <c r="F2613" s="286"/>
      <c r="G2613" s="286"/>
      <c r="H2613" s="287"/>
      <c r="I2613" s="286"/>
      <c r="J2613" s="286"/>
      <c r="K2613" s="285"/>
    </row>
    <row r="2614" spans="1:11" x14ac:dyDescent="0.2">
      <c r="A2614" s="285"/>
      <c r="B2614" s="285"/>
      <c r="C2614" s="285"/>
      <c r="D2614" s="287"/>
      <c r="E2614" s="286"/>
      <c r="F2614" s="286"/>
      <c r="G2614" s="286"/>
      <c r="H2614" s="287"/>
      <c r="I2614" s="286"/>
    </row>
    <row r="2615" spans="1:11" x14ac:dyDescent="0.2">
      <c r="A2615" s="285"/>
      <c r="B2615" s="285"/>
      <c r="C2615" s="285"/>
      <c r="D2615" s="287"/>
      <c r="E2615" s="286"/>
      <c r="F2615" s="286"/>
      <c r="G2615" s="286"/>
      <c r="H2615" s="287"/>
      <c r="I2615" s="286"/>
    </row>
    <row r="2616" spans="1:11" s="338" customFormat="1" x14ac:dyDescent="0.2">
      <c r="A2616" s="285"/>
      <c r="B2616" s="285"/>
      <c r="C2616" s="285"/>
      <c r="D2616" s="286"/>
      <c r="E2616" s="286"/>
      <c r="F2616" s="286"/>
      <c r="G2616" s="286"/>
      <c r="H2616" s="287"/>
      <c r="I2616" s="286"/>
      <c r="J2616" s="286"/>
      <c r="K2616" s="285"/>
    </row>
    <row r="2617" spans="1:11" s="338" customFormat="1" x14ac:dyDescent="0.2">
      <c r="A2617" s="285"/>
      <c r="B2617" s="285"/>
      <c r="C2617" s="285"/>
      <c r="D2617" s="286"/>
      <c r="E2617" s="286"/>
      <c r="F2617" s="286"/>
      <c r="G2617" s="286"/>
      <c r="H2617" s="287"/>
      <c r="I2617" s="286"/>
      <c r="J2617" s="286"/>
      <c r="K2617" s="285"/>
    </row>
    <row r="2618" spans="1:11" x14ac:dyDescent="0.2">
      <c r="A2618" s="285"/>
      <c r="B2618" s="285"/>
      <c r="C2618" s="285"/>
      <c r="D2618" s="286"/>
      <c r="E2618" s="286"/>
      <c r="F2618" s="286"/>
      <c r="G2618" s="286"/>
      <c r="H2618" s="287"/>
      <c r="I2618" s="286"/>
      <c r="J2618" s="286"/>
      <c r="K2618" s="285"/>
    </row>
    <row r="2619" spans="1:11" x14ac:dyDescent="0.2">
      <c r="A2619" s="285"/>
      <c r="B2619" s="285"/>
      <c r="C2619" s="285"/>
      <c r="D2619" s="286"/>
      <c r="E2619" s="286"/>
      <c r="F2619" s="286"/>
      <c r="G2619" s="286"/>
      <c r="H2619" s="287"/>
      <c r="I2619" s="286"/>
      <c r="J2619" s="286"/>
      <c r="K2619" s="285"/>
    </row>
    <row r="2620" spans="1:11" x14ac:dyDescent="0.2">
      <c r="A2620" s="285"/>
      <c r="B2620" s="285"/>
      <c r="C2620" s="285"/>
      <c r="D2620" s="286"/>
      <c r="E2620" s="286"/>
      <c r="F2620" s="286"/>
      <c r="G2620" s="286"/>
      <c r="H2620" s="287"/>
      <c r="I2620" s="286"/>
      <c r="J2620" s="286"/>
      <c r="K2620" s="285"/>
    </row>
    <row r="2621" spans="1:11" x14ac:dyDescent="0.2">
      <c r="A2621" s="285"/>
      <c r="B2621" s="285"/>
      <c r="C2621" s="285"/>
      <c r="D2621" s="318"/>
    </row>
    <row r="2622" spans="1:11" s="338" customFormat="1" x14ac:dyDescent="0.2">
      <c r="A2622" s="285"/>
      <c r="B2622" s="285"/>
      <c r="C2622" s="285"/>
      <c r="D2622" s="286"/>
      <c r="E2622" s="286"/>
      <c r="F2622" s="286"/>
      <c r="G2622" s="286"/>
      <c r="H2622" s="287"/>
      <c r="I2622" s="286"/>
      <c r="J2622" s="286"/>
      <c r="K2622" s="285"/>
    </row>
    <row r="2623" spans="1:11" s="338" customFormat="1" x14ac:dyDescent="0.2">
      <c r="A2623" s="285"/>
      <c r="B2623" s="285"/>
      <c r="C2623" s="285"/>
      <c r="D2623" s="286"/>
      <c r="E2623" s="286"/>
      <c r="F2623" s="286"/>
      <c r="G2623" s="286"/>
      <c r="H2623" s="287"/>
      <c r="I2623" s="286"/>
      <c r="J2623" s="286"/>
      <c r="K2623" s="285"/>
    </row>
    <row r="2624" spans="1:11" s="338" customFormat="1" x14ac:dyDescent="0.2">
      <c r="A2624" s="285"/>
      <c r="B2624" s="285"/>
      <c r="C2624" s="285"/>
      <c r="D2624" s="286"/>
      <c r="E2624" s="286"/>
      <c r="F2624" s="286"/>
      <c r="G2624" s="286"/>
      <c r="H2624" s="287"/>
      <c r="I2624" s="286"/>
      <c r="J2624" s="286"/>
      <c r="K2624" s="285"/>
    </row>
    <row r="2625" spans="1:11" s="338" customFormat="1" x14ac:dyDescent="0.2">
      <c r="A2625" s="285"/>
      <c r="B2625" s="285"/>
      <c r="C2625" s="285"/>
      <c r="D2625" s="286"/>
      <c r="E2625" s="286"/>
      <c r="F2625" s="286"/>
      <c r="G2625" s="286"/>
      <c r="H2625" s="287"/>
      <c r="I2625" s="286"/>
      <c r="J2625" s="286"/>
      <c r="K2625" s="285"/>
    </row>
    <row r="2626" spans="1:11" s="338" customFormat="1" x14ac:dyDescent="0.2">
      <c r="A2626" s="285"/>
      <c r="B2626" s="285"/>
      <c r="C2626" s="285"/>
      <c r="D2626" s="286"/>
      <c r="E2626" s="286"/>
      <c r="F2626" s="286"/>
      <c r="G2626" s="286"/>
      <c r="H2626" s="287"/>
      <c r="I2626" s="286"/>
      <c r="J2626" s="286"/>
      <c r="K2626" s="285"/>
    </row>
    <row r="2627" spans="1:11" s="338" customFormat="1" x14ac:dyDescent="0.2">
      <c r="A2627" s="285"/>
      <c r="B2627" s="285"/>
      <c r="C2627" s="285"/>
      <c r="D2627" s="286"/>
      <c r="E2627" s="286"/>
      <c r="F2627" s="286"/>
      <c r="G2627" s="286"/>
      <c r="H2627" s="287"/>
      <c r="I2627" s="286"/>
      <c r="J2627" s="286"/>
      <c r="K2627" s="285"/>
    </row>
    <row r="2628" spans="1:11" s="338" customFormat="1" x14ac:dyDescent="0.2">
      <c r="A2628" s="285"/>
      <c r="B2628" s="285"/>
      <c r="C2628" s="285"/>
      <c r="D2628" s="286"/>
      <c r="E2628" s="286"/>
      <c r="F2628" s="286"/>
      <c r="G2628" s="286"/>
      <c r="H2628" s="287"/>
      <c r="I2628" s="286"/>
      <c r="J2628" s="286"/>
      <c r="K2628" s="285"/>
    </row>
    <row r="2629" spans="1:11" x14ac:dyDescent="0.2">
      <c r="A2629" s="285"/>
      <c r="B2629" s="285"/>
      <c r="C2629" s="285"/>
      <c r="D2629" s="327"/>
      <c r="E2629" s="327"/>
      <c r="F2629" s="327"/>
      <c r="G2629" s="327"/>
      <c r="H2629" s="330"/>
      <c r="I2629" s="327"/>
      <c r="J2629" s="327"/>
      <c r="K2629" s="331"/>
    </row>
    <row r="2630" spans="1:11" x14ac:dyDescent="0.2">
      <c r="A2630" s="285"/>
      <c r="B2630" s="285"/>
      <c r="C2630" s="285"/>
      <c r="D2630" s="327"/>
      <c r="E2630" s="327"/>
      <c r="F2630" s="327"/>
      <c r="G2630" s="327"/>
      <c r="H2630" s="330"/>
      <c r="I2630" s="327"/>
      <c r="J2630" s="327"/>
      <c r="K2630" s="331"/>
    </row>
    <row r="2631" spans="1:11" x14ac:dyDescent="0.2">
      <c r="A2631" s="285"/>
      <c r="B2631" s="285"/>
      <c r="C2631" s="285"/>
      <c r="D2631" s="327"/>
      <c r="E2631" s="327"/>
      <c r="F2631" s="327"/>
      <c r="G2631" s="327"/>
      <c r="H2631" s="330"/>
      <c r="I2631" s="327"/>
      <c r="J2631" s="327"/>
      <c r="K2631" s="331"/>
    </row>
    <row r="2632" spans="1:11" x14ac:dyDescent="0.2">
      <c r="A2632" s="285"/>
      <c r="B2632" s="285"/>
      <c r="C2632" s="285"/>
      <c r="D2632" s="327"/>
      <c r="E2632" s="327"/>
      <c r="F2632" s="327"/>
      <c r="G2632" s="327"/>
      <c r="H2632" s="330"/>
      <c r="I2632" s="327"/>
      <c r="J2632" s="327"/>
      <c r="K2632" s="331"/>
    </row>
    <row r="2633" spans="1:11" x14ac:dyDescent="0.2">
      <c r="A2633" s="285"/>
      <c r="B2633" s="285"/>
      <c r="C2633" s="285"/>
      <c r="D2633" s="327"/>
      <c r="E2633" s="327"/>
      <c r="F2633" s="327"/>
      <c r="G2633" s="327"/>
      <c r="H2633" s="330"/>
      <c r="I2633" s="327"/>
      <c r="J2633" s="327"/>
      <c r="K2633" s="331"/>
    </row>
    <row r="2634" spans="1:11" x14ac:dyDescent="0.2">
      <c r="A2634" s="285"/>
      <c r="B2634" s="285"/>
      <c r="C2634" s="285"/>
      <c r="D2634" s="286"/>
      <c r="E2634" s="286"/>
      <c r="F2634" s="286"/>
      <c r="G2634" s="286"/>
      <c r="H2634" s="287"/>
      <c r="I2634" s="286"/>
      <c r="J2634" s="286"/>
      <c r="K2634" s="285"/>
    </row>
    <row r="2635" spans="1:11" x14ac:dyDescent="0.2">
      <c r="A2635" s="285"/>
      <c r="B2635" s="285"/>
      <c r="C2635" s="285"/>
      <c r="D2635" s="286"/>
      <c r="E2635" s="286"/>
      <c r="F2635" s="286"/>
      <c r="G2635" s="286"/>
      <c r="H2635" s="287"/>
      <c r="I2635" s="286"/>
      <c r="J2635" s="286"/>
      <c r="K2635" s="285"/>
    </row>
    <row r="2636" spans="1:11" x14ac:dyDescent="0.2">
      <c r="A2636" s="285"/>
      <c r="B2636" s="285"/>
      <c r="C2636" s="285"/>
      <c r="D2636" s="286"/>
      <c r="E2636" s="286"/>
      <c r="F2636" s="286"/>
      <c r="G2636" s="286"/>
      <c r="H2636" s="287"/>
      <c r="I2636" s="286"/>
      <c r="J2636" s="286"/>
      <c r="K2636" s="285"/>
    </row>
    <row r="2637" spans="1:11" x14ac:dyDescent="0.2">
      <c r="A2637" s="285"/>
      <c r="B2637" s="285"/>
      <c r="C2637" s="285"/>
      <c r="D2637" s="286"/>
      <c r="E2637" s="286"/>
      <c r="F2637" s="286"/>
      <c r="G2637" s="286"/>
      <c r="H2637" s="287"/>
      <c r="I2637" s="286"/>
      <c r="J2637" s="286"/>
      <c r="K2637" s="285"/>
    </row>
    <row r="2638" spans="1:11" x14ac:dyDescent="0.2">
      <c r="A2638" s="285"/>
      <c r="B2638" s="285"/>
      <c r="C2638" s="285"/>
      <c r="D2638" s="286"/>
      <c r="E2638" s="286"/>
      <c r="F2638" s="286"/>
      <c r="G2638" s="286"/>
      <c r="H2638" s="287"/>
      <c r="I2638" s="286"/>
      <c r="J2638" s="286"/>
      <c r="K2638" s="285"/>
    </row>
    <row r="2640" spans="1:11" x14ac:dyDescent="0.2">
      <c r="A2640" s="285"/>
      <c r="B2640" s="285"/>
      <c r="C2640" s="285"/>
      <c r="D2640" s="286"/>
      <c r="E2640" s="286"/>
      <c r="F2640" s="286"/>
      <c r="G2640" s="286"/>
      <c r="H2640" s="286"/>
      <c r="I2640" s="286"/>
      <c r="J2640" s="286"/>
      <c r="K2640" s="285"/>
    </row>
    <row r="2641" spans="1:11" x14ac:dyDescent="0.2">
      <c r="A2641" s="285"/>
      <c r="B2641" s="285"/>
      <c r="C2641" s="285"/>
      <c r="D2641" s="286"/>
      <c r="E2641" s="286"/>
      <c r="F2641" s="286"/>
      <c r="G2641" s="286"/>
      <c r="H2641" s="286"/>
      <c r="I2641" s="286"/>
      <c r="J2641" s="286"/>
      <c r="K2641" s="285"/>
    </row>
    <row r="2642" spans="1:11" x14ac:dyDescent="0.2">
      <c r="A2642" s="285"/>
      <c r="B2642" s="285"/>
      <c r="C2642" s="285"/>
      <c r="D2642" s="286"/>
      <c r="E2642" s="286"/>
      <c r="F2642" s="286"/>
      <c r="G2642" s="286"/>
      <c r="H2642" s="286"/>
      <c r="I2642" s="286"/>
      <c r="J2642" s="286"/>
      <c r="K2642" s="285"/>
    </row>
    <row r="2643" spans="1:11" x14ac:dyDescent="0.2">
      <c r="A2643" s="285"/>
      <c r="B2643" s="285"/>
      <c r="C2643" s="285"/>
      <c r="D2643" s="286"/>
      <c r="E2643" s="286"/>
      <c r="F2643" s="286"/>
      <c r="G2643" s="286"/>
      <c r="H2643" s="286"/>
      <c r="I2643" s="286"/>
      <c r="J2643" s="286"/>
      <c r="K2643" s="285"/>
    </row>
    <row r="2644" spans="1:11" x14ac:dyDescent="0.2">
      <c r="A2644" s="285"/>
      <c r="B2644" s="285"/>
      <c r="C2644" s="285"/>
      <c r="D2644" s="286"/>
      <c r="E2644" s="286"/>
      <c r="F2644" s="286"/>
      <c r="G2644" s="286"/>
      <c r="H2644" s="286"/>
      <c r="I2644" s="286"/>
      <c r="J2644" s="286"/>
      <c r="K2644" s="285"/>
    </row>
    <row r="2645" spans="1:11" x14ac:dyDescent="0.2">
      <c r="A2645" s="285"/>
      <c r="B2645" s="285"/>
      <c r="C2645" s="285"/>
      <c r="D2645" s="286"/>
      <c r="E2645" s="286"/>
      <c r="F2645" s="286"/>
      <c r="G2645" s="286"/>
      <c r="H2645" s="286"/>
      <c r="I2645" s="286"/>
      <c r="J2645" s="286"/>
      <c r="K2645" s="285"/>
    </row>
    <row r="2646" spans="1:11" x14ac:dyDescent="0.2">
      <c r="A2646" s="285"/>
      <c r="B2646" s="285"/>
      <c r="C2646" s="285"/>
      <c r="D2646" s="286"/>
      <c r="E2646" s="286"/>
      <c r="F2646" s="286"/>
      <c r="G2646" s="286"/>
      <c r="H2646" s="286"/>
      <c r="I2646" s="286"/>
      <c r="J2646" s="286"/>
      <c r="K2646" s="285"/>
    </row>
    <row r="2648" spans="1:11" x14ac:dyDescent="0.2">
      <c r="A2648" s="285"/>
      <c r="B2648" s="285"/>
      <c r="C2648" s="285"/>
      <c r="D2648" s="286"/>
      <c r="E2648" s="286"/>
      <c r="F2648" s="286"/>
      <c r="G2648" s="286"/>
      <c r="H2648" s="286"/>
      <c r="I2648" s="286"/>
      <c r="J2648" s="286"/>
      <c r="K2648" s="285"/>
    </row>
    <row r="2649" spans="1:11" x14ac:dyDescent="0.2">
      <c r="A2649" s="285"/>
      <c r="B2649" s="285"/>
      <c r="C2649" s="285"/>
      <c r="D2649" s="286"/>
      <c r="E2649" s="286"/>
      <c r="F2649" s="286"/>
      <c r="G2649" s="286"/>
      <c r="H2649" s="286"/>
      <c r="I2649" s="286"/>
      <c r="J2649" s="286"/>
      <c r="K2649" s="285"/>
    </row>
    <row r="2650" spans="1:11" x14ac:dyDescent="0.2">
      <c r="A2650" s="285"/>
      <c r="B2650" s="285"/>
      <c r="C2650" s="285"/>
      <c r="D2650" s="286"/>
      <c r="E2650" s="286"/>
      <c r="F2650" s="286"/>
      <c r="G2650" s="286"/>
      <c r="H2650" s="286"/>
      <c r="I2650" s="286"/>
      <c r="J2650" s="286"/>
      <c r="K2650" s="285"/>
    </row>
    <row r="2651" spans="1:11" x14ac:dyDescent="0.2">
      <c r="A2651" s="285"/>
      <c r="B2651" s="285"/>
      <c r="C2651" s="285"/>
      <c r="D2651" s="286"/>
      <c r="E2651" s="286"/>
      <c r="F2651" s="286"/>
      <c r="G2651" s="286"/>
      <c r="H2651" s="286"/>
      <c r="I2651" s="286"/>
      <c r="J2651" s="286"/>
      <c r="K2651" s="285"/>
    </row>
    <row r="2652" spans="1:11" x14ac:dyDescent="0.2">
      <c r="A2652" s="285"/>
      <c r="B2652" s="285"/>
      <c r="C2652" s="285"/>
      <c r="D2652" s="286"/>
      <c r="E2652" s="286"/>
      <c r="F2652" s="286"/>
      <c r="G2652" s="286"/>
      <c r="H2652" s="286"/>
      <c r="I2652" s="286"/>
      <c r="J2652" s="286"/>
      <c r="K2652" s="285"/>
    </row>
    <row r="2653" spans="1:11" x14ac:dyDescent="0.2">
      <c r="A2653" s="285"/>
      <c r="B2653" s="285"/>
      <c r="C2653" s="285"/>
      <c r="D2653" s="286"/>
      <c r="E2653" s="286"/>
      <c r="F2653" s="286"/>
      <c r="G2653" s="286"/>
      <c r="H2653" s="286"/>
      <c r="I2653" s="286"/>
      <c r="J2653" s="286"/>
      <c r="K2653" s="285"/>
    </row>
    <row r="2654" spans="1:11" x14ac:dyDescent="0.2">
      <c r="A2654" s="285"/>
      <c r="B2654" s="285"/>
      <c r="C2654" s="285"/>
      <c r="D2654" s="286"/>
      <c r="E2654" s="286"/>
      <c r="F2654" s="286"/>
      <c r="G2654" s="286"/>
      <c r="H2654" s="286"/>
      <c r="I2654" s="286"/>
      <c r="J2654" s="286"/>
      <c r="K2654" s="285"/>
    </row>
    <row r="2655" spans="1:11" x14ac:dyDescent="0.2">
      <c r="A2655" s="285"/>
      <c r="B2655" s="285"/>
      <c r="C2655" s="285"/>
      <c r="D2655" s="286"/>
      <c r="E2655" s="286"/>
      <c r="F2655" s="286"/>
      <c r="G2655" s="286"/>
      <c r="H2655" s="286"/>
      <c r="I2655" s="286"/>
      <c r="J2655" s="286"/>
      <c r="K2655" s="285"/>
    </row>
    <row r="2656" spans="1:11" x14ac:dyDescent="0.2">
      <c r="A2656" s="285"/>
      <c r="B2656" s="285"/>
      <c r="C2656" s="285"/>
      <c r="D2656" s="286"/>
      <c r="E2656" s="286"/>
      <c r="F2656" s="286"/>
      <c r="G2656" s="286"/>
      <c r="H2656" s="286"/>
      <c r="I2656" s="286"/>
      <c r="J2656" s="286"/>
      <c r="K2656" s="285"/>
    </row>
    <row r="2657" spans="1:11" x14ac:dyDescent="0.2">
      <c r="A2657" s="285"/>
      <c r="B2657" s="285"/>
      <c r="C2657" s="285"/>
      <c r="D2657" s="286"/>
      <c r="E2657" s="286"/>
      <c r="F2657" s="286"/>
      <c r="G2657" s="286"/>
      <c r="H2657" s="286"/>
      <c r="I2657" s="286"/>
      <c r="J2657" s="286"/>
      <c r="K2657" s="285"/>
    </row>
    <row r="2658" spans="1:11" x14ac:dyDescent="0.2">
      <c r="A2658" s="285"/>
      <c r="B2658" s="285"/>
      <c r="C2658" s="285"/>
      <c r="D2658" s="286"/>
      <c r="E2658" s="286"/>
      <c r="F2658" s="286"/>
      <c r="G2658" s="286"/>
      <c r="H2658" s="286"/>
      <c r="I2658" s="286"/>
      <c r="J2658" s="286"/>
      <c r="K2658" s="285"/>
    </row>
    <row r="2659" spans="1:11" x14ac:dyDescent="0.2">
      <c r="A2659" s="285"/>
      <c r="B2659" s="285"/>
      <c r="C2659" s="285"/>
      <c r="D2659" s="286"/>
      <c r="E2659" s="286"/>
      <c r="F2659" s="286"/>
      <c r="G2659" s="286"/>
      <c r="H2659" s="286"/>
      <c r="I2659" s="286"/>
      <c r="J2659" s="286"/>
      <c r="K2659" s="285"/>
    </row>
    <row r="2660" spans="1:11" x14ac:dyDescent="0.2">
      <c r="A2660" s="285"/>
      <c r="B2660" s="285"/>
      <c r="C2660" s="285"/>
      <c r="D2660" s="286"/>
      <c r="E2660" s="286"/>
      <c r="F2660" s="286"/>
      <c r="G2660" s="286"/>
      <c r="H2660" s="286"/>
      <c r="I2660" s="286"/>
      <c r="J2660" s="286"/>
      <c r="K2660" s="285"/>
    </row>
    <row r="2661" spans="1:11" x14ac:dyDescent="0.2">
      <c r="A2661" s="285"/>
      <c r="B2661" s="285"/>
      <c r="C2661" s="285"/>
      <c r="D2661" s="286"/>
      <c r="E2661" s="286"/>
      <c r="F2661" s="286"/>
      <c r="G2661" s="286"/>
      <c r="H2661" s="286"/>
      <c r="I2661" s="286"/>
      <c r="J2661" s="286"/>
      <c r="K2661" s="285"/>
    </row>
    <row r="2662" spans="1:11" x14ac:dyDescent="0.2">
      <c r="A2662" s="285"/>
      <c r="B2662" s="285"/>
      <c r="C2662" s="285"/>
      <c r="D2662" s="286"/>
      <c r="E2662" s="286"/>
      <c r="F2662" s="286"/>
      <c r="G2662" s="286"/>
      <c r="H2662" s="286"/>
      <c r="I2662" s="286"/>
      <c r="J2662" s="286"/>
      <c r="K2662" s="285"/>
    </row>
    <row r="2663" spans="1:11" x14ac:dyDescent="0.2">
      <c r="A2663" s="285"/>
      <c r="B2663" s="285"/>
      <c r="C2663" s="285"/>
      <c r="D2663" s="286"/>
      <c r="E2663" s="286"/>
      <c r="F2663" s="286"/>
      <c r="G2663" s="286"/>
      <c r="H2663" s="286"/>
      <c r="I2663" s="286"/>
      <c r="J2663" s="286"/>
      <c r="K2663" s="285"/>
    </row>
    <row r="2664" spans="1:11" x14ac:dyDescent="0.2">
      <c r="A2664" s="285"/>
      <c r="B2664" s="285"/>
      <c r="C2664" s="285"/>
      <c r="D2664" s="286"/>
      <c r="E2664" s="286"/>
      <c r="F2664" s="286"/>
      <c r="G2664" s="286"/>
      <c r="H2664" s="286"/>
      <c r="I2664" s="286"/>
      <c r="J2664" s="286"/>
      <c r="K2664" s="285"/>
    </row>
    <row r="2665" spans="1:11" x14ac:dyDescent="0.2">
      <c r="A2665" s="285"/>
      <c r="B2665" s="285"/>
      <c r="C2665" s="285"/>
      <c r="D2665" s="286"/>
      <c r="E2665" s="286"/>
      <c r="F2665" s="286"/>
      <c r="G2665" s="286"/>
      <c r="H2665" s="286"/>
      <c r="I2665" s="286"/>
      <c r="J2665" s="286"/>
      <c r="K2665" s="285"/>
    </row>
    <row r="2666" spans="1:11" x14ac:dyDescent="0.2">
      <c r="A2666" s="285"/>
      <c r="B2666" s="285"/>
      <c r="C2666" s="285"/>
      <c r="D2666" s="286"/>
      <c r="E2666" s="286"/>
      <c r="F2666" s="286"/>
      <c r="G2666" s="286"/>
      <c r="H2666" s="286"/>
      <c r="I2666" s="286"/>
      <c r="J2666" s="286"/>
      <c r="K2666" s="285"/>
    </row>
    <row r="2667" spans="1:11" x14ac:dyDescent="0.2">
      <c r="A2667" s="285"/>
      <c r="B2667" s="285"/>
      <c r="C2667" s="285"/>
      <c r="D2667" s="286"/>
      <c r="E2667" s="286"/>
      <c r="F2667" s="286"/>
      <c r="G2667" s="286"/>
      <c r="H2667" s="286"/>
      <c r="I2667" s="286"/>
      <c r="J2667" s="286"/>
      <c r="K2667" s="285"/>
    </row>
    <row r="2668" spans="1:11" x14ac:dyDescent="0.2">
      <c r="A2668" s="285"/>
      <c r="B2668" s="285"/>
      <c r="C2668" s="285"/>
      <c r="D2668" s="286"/>
      <c r="E2668" s="286"/>
      <c r="F2668" s="286"/>
      <c r="G2668" s="286"/>
      <c r="H2668" s="286"/>
      <c r="I2668" s="286"/>
      <c r="J2668" s="286"/>
      <c r="K2668" s="285"/>
    </row>
    <row r="2669" spans="1:11" x14ac:dyDescent="0.2">
      <c r="A2669" s="285"/>
      <c r="B2669" s="285"/>
      <c r="C2669" s="285"/>
      <c r="D2669" s="286"/>
      <c r="E2669" s="286"/>
      <c r="F2669" s="286"/>
      <c r="G2669" s="286"/>
      <c r="H2669" s="286"/>
      <c r="I2669" s="286"/>
      <c r="J2669" s="286"/>
      <c r="K2669" s="285"/>
    </row>
    <row r="2670" spans="1:11" x14ac:dyDescent="0.2">
      <c r="A2670" s="285"/>
      <c r="B2670" s="285"/>
      <c r="C2670" s="285"/>
      <c r="D2670" s="286"/>
      <c r="E2670" s="286"/>
      <c r="F2670" s="286"/>
      <c r="G2670" s="286"/>
      <c r="H2670" s="286"/>
      <c r="I2670" s="286"/>
      <c r="J2670" s="286"/>
      <c r="K2670" s="285"/>
    </row>
    <row r="2671" spans="1:11" x14ac:dyDescent="0.2">
      <c r="A2671" s="285"/>
      <c r="B2671" s="285"/>
      <c r="C2671" s="285"/>
      <c r="D2671" s="286"/>
      <c r="E2671" s="286"/>
      <c r="F2671" s="286"/>
      <c r="G2671" s="286"/>
      <c r="H2671" s="286"/>
      <c r="I2671" s="286"/>
      <c r="J2671" s="286"/>
      <c r="K2671" s="285"/>
    </row>
    <row r="2672" spans="1:11" x14ac:dyDescent="0.2">
      <c r="A2672" s="285"/>
      <c r="B2672" s="285"/>
      <c r="C2672" s="285"/>
      <c r="D2672" s="286"/>
      <c r="E2672" s="286"/>
      <c r="F2672" s="286"/>
      <c r="G2672" s="286"/>
      <c r="H2672" s="286"/>
      <c r="I2672" s="286"/>
      <c r="J2672" s="286"/>
      <c r="K2672" s="285"/>
    </row>
    <row r="2673" spans="1:11" x14ac:dyDescent="0.2">
      <c r="A2673" s="285"/>
      <c r="B2673" s="285"/>
      <c r="C2673" s="285"/>
      <c r="D2673" s="286"/>
      <c r="E2673" s="286"/>
      <c r="F2673" s="286"/>
      <c r="G2673" s="286"/>
      <c r="H2673" s="286"/>
      <c r="I2673" s="286"/>
      <c r="J2673" s="286"/>
      <c r="K2673" s="285"/>
    </row>
    <row r="2674" spans="1:11" x14ac:dyDescent="0.2">
      <c r="A2674" s="285"/>
      <c r="B2674" s="285"/>
      <c r="C2674" s="285"/>
      <c r="D2674" s="286"/>
      <c r="E2674" s="286"/>
      <c r="F2674" s="286"/>
      <c r="G2674" s="286"/>
      <c r="H2674" s="286"/>
      <c r="I2674" s="286"/>
      <c r="J2674" s="286"/>
      <c r="K2674" s="285"/>
    </row>
    <row r="2675" spans="1:11" x14ac:dyDescent="0.2">
      <c r="A2675" s="285"/>
      <c r="B2675" s="285"/>
      <c r="C2675" s="285"/>
      <c r="D2675" s="286"/>
      <c r="E2675" s="286"/>
      <c r="F2675" s="286"/>
      <c r="H2675" s="286"/>
      <c r="I2675" s="286"/>
      <c r="J2675" s="286"/>
      <c r="K2675" s="285"/>
    </row>
    <row r="2695" spans="1:11" x14ac:dyDescent="0.2">
      <c r="E2695" s="286"/>
      <c r="F2695" s="286"/>
      <c r="G2695" s="286"/>
      <c r="H2695" s="286"/>
      <c r="I2695" s="286"/>
      <c r="J2695" s="286"/>
      <c r="K2695" s="286"/>
    </row>
    <row r="2696" spans="1:11" x14ac:dyDescent="0.2">
      <c r="E2696" s="286"/>
      <c r="F2696" s="286"/>
      <c r="G2696" s="286"/>
      <c r="H2696" s="286"/>
      <c r="I2696" s="286"/>
      <c r="J2696" s="286"/>
      <c r="K2696" s="286"/>
    </row>
    <row r="2697" spans="1:11" x14ac:dyDescent="0.2">
      <c r="E2697" s="286"/>
      <c r="F2697" s="286"/>
      <c r="G2697" s="286"/>
      <c r="H2697" s="286"/>
      <c r="I2697" s="286"/>
      <c r="J2697" s="286"/>
      <c r="K2697" s="286"/>
    </row>
    <row r="2698" spans="1:11" x14ac:dyDescent="0.2">
      <c r="E2698" s="286"/>
      <c r="F2698" s="286"/>
      <c r="G2698" s="286"/>
      <c r="H2698" s="286"/>
      <c r="I2698" s="287"/>
      <c r="J2698" s="286"/>
      <c r="K2698" s="286"/>
    </row>
    <row r="2699" spans="1:11" x14ac:dyDescent="0.2">
      <c r="E2699" s="286"/>
      <c r="F2699" s="286"/>
      <c r="G2699" s="286"/>
      <c r="H2699" s="286"/>
      <c r="I2699" s="287"/>
      <c r="J2699" s="286"/>
      <c r="K2699" s="286"/>
    </row>
    <row r="2700" spans="1:11" x14ac:dyDescent="0.2">
      <c r="A2700" s="285"/>
      <c r="B2700" s="285"/>
      <c r="C2700" s="285"/>
      <c r="D2700" s="286"/>
      <c r="E2700" s="286"/>
      <c r="F2700" s="286"/>
      <c r="G2700" s="286"/>
      <c r="H2700" s="286"/>
      <c r="I2700" s="286"/>
      <c r="J2700" s="286"/>
      <c r="K2700" s="286"/>
    </row>
    <row r="2701" spans="1:11" x14ac:dyDescent="0.2">
      <c r="A2701" s="285"/>
      <c r="B2701" s="285"/>
      <c r="C2701" s="285"/>
      <c r="D2701" s="286"/>
      <c r="E2701" s="286"/>
      <c r="F2701" s="286"/>
      <c r="G2701" s="286"/>
      <c r="H2701" s="286"/>
      <c r="I2701" s="286"/>
      <c r="J2701" s="286"/>
      <c r="K2701" s="286"/>
    </row>
    <row r="2702" spans="1:11" x14ac:dyDescent="0.2">
      <c r="A2702" s="285"/>
      <c r="B2702" s="285"/>
      <c r="C2702" s="285"/>
      <c r="D2702" s="286"/>
      <c r="E2702" s="286"/>
      <c r="F2702" s="286"/>
      <c r="G2702" s="286"/>
      <c r="H2702" s="286"/>
      <c r="I2702" s="286"/>
      <c r="J2702" s="286"/>
      <c r="K2702" s="286"/>
    </row>
    <row r="2703" spans="1:11" x14ac:dyDescent="0.2">
      <c r="E2703" s="286"/>
      <c r="F2703" s="286"/>
      <c r="G2703" s="286"/>
      <c r="H2703" s="286"/>
      <c r="I2703" s="286"/>
      <c r="J2703" s="286"/>
      <c r="K2703" s="286"/>
    </row>
    <row r="2704" spans="1:11" x14ac:dyDescent="0.2">
      <c r="A2704" s="285"/>
      <c r="B2704" s="285"/>
      <c r="C2704" s="285"/>
      <c r="D2704" s="285"/>
      <c r="E2704" s="286"/>
      <c r="F2704" s="286"/>
      <c r="G2704" s="286"/>
      <c r="H2704" s="286"/>
      <c r="I2704" s="286"/>
      <c r="J2704" s="286"/>
      <c r="K2704" s="286"/>
    </row>
    <row r="2705" spans="1:11" x14ac:dyDescent="0.2">
      <c r="A2705" s="285"/>
      <c r="B2705" s="285"/>
      <c r="C2705" s="285"/>
      <c r="D2705" s="285"/>
      <c r="E2705" s="286"/>
      <c r="F2705" s="286"/>
      <c r="G2705" s="286"/>
      <c r="H2705" s="286"/>
      <c r="I2705" s="286"/>
      <c r="J2705" s="286"/>
      <c r="K2705" s="286"/>
    </row>
    <row r="2706" spans="1:11" x14ac:dyDescent="0.2">
      <c r="A2706" s="285"/>
      <c r="B2706" s="285"/>
      <c r="C2706" s="285"/>
      <c r="D2706" s="285"/>
      <c r="E2706" s="286"/>
      <c r="F2706" s="286"/>
      <c r="G2706" s="286"/>
      <c r="H2706" s="286"/>
      <c r="I2706" s="287"/>
      <c r="J2706" s="286"/>
      <c r="K2706" s="286"/>
    </row>
    <row r="2707" spans="1:11" x14ac:dyDescent="0.2">
      <c r="A2707" s="285"/>
      <c r="B2707" s="285"/>
      <c r="C2707" s="285"/>
      <c r="D2707" s="285"/>
      <c r="E2707" s="286"/>
      <c r="F2707" s="286"/>
      <c r="G2707" s="286"/>
      <c r="H2707" s="286"/>
      <c r="I2707" s="287"/>
      <c r="J2707" s="286"/>
      <c r="K2707" s="286"/>
    </row>
    <row r="2708" spans="1:11" x14ac:dyDescent="0.2">
      <c r="A2708" s="285"/>
      <c r="B2708" s="285"/>
      <c r="C2708" s="285"/>
      <c r="D2708" s="285"/>
      <c r="E2708" s="286"/>
      <c r="F2708" s="286"/>
      <c r="G2708" s="286"/>
      <c r="H2708" s="285"/>
      <c r="I2708" s="285"/>
      <c r="J2708" s="286"/>
      <c r="K2708" s="285"/>
    </row>
    <row r="2709" spans="1:11" x14ac:dyDescent="0.2">
      <c r="A2709" s="285"/>
      <c r="B2709" s="285"/>
      <c r="C2709" s="285"/>
      <c r="D2709" s="285"/>
      <c r="E2709" s="286"/>
      <c r="F2709" s="286"/>
      <c r="G2709" s="286"/>
      <c r="H2709" s="285"/>
      <c r="I2709" s="285"/>
      <c r="J2709" s="286"/>
      <c r="K2709" s="285"/>
    </row>
    <row r="2710" spans="1:11" x14ac:dyDescent="0.2">
      <c r="A2710" s="285"/>
      <c r="B2710" s="285"/>
      <c r="C2710" s="285"/>
      <c r="D2710" s="285"/>
      <c r="E2710" s="286"/>
      <c r="F2710" s="286"/>
      <c r="G2710" s="286"/>
      <c r="H2710" s="285"/>
      <c r="I2710" s="285"/>
      <c r="J2710" s="286"/>
      <c r="K2710" s="285"/>
    </row>
    <row r="2711" spans="1:11" x14ac:dyDescent="0.2">
      <c r="A2711" s="285"/>
      <c r="B2711" s="285"/>
      <c r="C2711" s="285"/>
      <c r="D2711" s="285"/>
      <c r="E2711" s="286"/>
      <c r="F2711" s="286"/>
      <c r="G2711" s="286"/>
      <c r="H2711" s="285"/>
      <c r="I2711" s="285"/>
      <c r="J2711" s="286"/>
      <c r="K2711" s="285"/>
    </row>
    <row r="2712" spans="1:11" x14ac:dyDescent="0.2">
      <c r="A2712" s="285"/>
      <c r="B2712" s="285"/>
      <c r="C2712" s="285"/>
      <c r="D2712" s="285"/>
      <c r="E2712" s="286"/>
      <c r="F2712" s="286"/>
      <c r="G2712" s="286"/>
      <c r="H2712" s="285"/>
      <c r="I2712" s="285"/>
      <c r="J2712" s="286"/>
      <c r="K2712" s="285"/>
    </row>
    <row r="2713" spans="1:11" x14ac:dyDescent="0.2">
      <c r="A2713" s="285"/>
      <c r="B2713" s="285"/>
      <c r="C2713" s="285"/>
      <c r="D2713" s="285"/>
      <c r="E2713" s="286"/>
      <c r="F2713" s="286"/>
      <c r="G2713" s="286"/>
      <c r="H2713" s="285"/>
      <c r="I2713" s="285"/>
      <c r="J2713" s="286"/>
      <c r="K2713" s="285"/>
    </row>
    <row r="2714" spans="1:11" x14ac:dyDescent="0.2">
      <c r="A2714" s="285"/>
      <c r="B2714" s="285"/>
      <c r="C2714" s="285"/>
      <c r="D2714" s="285"/>
      <c r="E2714" s="286"/>
      <c r="F2714" s="286"/>
      <c r="G2714" s="286"/>
      <c r="H2714" s="285"/>
      <c r="I2714" s="285"/>
      <c r="J2714" s="286"/>
      <c r="K2714" s="285"/>
    </row>
    <row r="2715" spans="1:11" x14ac:dyDescent="0.2">
      <c r="A2715" s="285"/>
      <c r="B2715" s="285"/>
      <c r="C2715" s="285"/>
      <c r="D2715" s="285"/>
      <c r="E2715" s="286"/>
      <c r="F2715" s="286"/>
      <c r="G2715" s="286"/>
      <c r="H2715" s="285"/>
      <c r="I2715" s="285"/>
      <c r="J2715" s="286"/>
      <c r="K2715" s="285"/>
    </row>
    <row r="2716" spans="1:11" x14ac:dyDescent="0.2">
      <c r="A2716" s="285"/>
      <c r="B2716" s="285"/>
      <c r="C2716" s="285"/>
      <c r="D2716" s="285"/>
      <c r="E2716" s="286"/>
      <c r="F2716" s="286"/>
      <c r="G2716" s="286"/>
      <c r="H2716" s="285"/>
      <c r="I2716" s="285"/>
      <c r="J2716" s="286"/>
      <c r="K2716" s="285"/>
    </row>
    <row r="2717" spans="1:11" x14ac:dyDescent="0.2">
      <c r="A2717" s="285"/>
      <c r="B2717" s="285"/>
      <c r="C2717" s="285"/>
      <c r="D2717" s="285"/>
      <c r="E2717" s="286"/>
      <c r="F2717" s="286"/>
      <c r="G2717" s="286"/>
      <c r="H2717" s="285"/>
      <c r="I2717" s="285"/>
      <c r="J2717" s="286"/>
      <c r="K2717" s="285"/>
    </row>
    <row r="2718" spans="1:11" x14ac:dyDescent="0.2">
      <c r="A2718" s="285"/>
      <c r="B2718" s="285"/>
      <c r="C2718" s="285"/>
      <c r="D2718" s="285"/>
      <c r="E2718" s="286"/>
      <c r="F2718" s="286"/>
      <c r="G2718" s="286"/>
      <c r="H2718" s="285"/>
      <c r="I2718" s="285"/>
      <c r="J2718" s="286"/>
      <c r="K2718" s="285"/>
    </row>
    <row r="2719" spans="1:11" x14ac:dyDescent="0.2">
      <c r="A2719" s="285"/>
      <c r="B2719" s="285"/>
      <c r="C2719" s="285"/>
      <c r="D2719" s="285"/>
      <c r="E2719" s="286"/>
      <c r="F2719" s="286"/>
      <c r="G2719" s="286"/>
      <c r="H2719" s="285"/>
      <c r="I2719" s="285"/>
      <c r="J2719" s="286"/>
      <c r="K2719" s="285"/>
    </row>
    <row r="2720" spans="1:11" x14ac:dyDescent="0.2">
      <c r="A2720" s="285"/>
      <c r="B2720" s="285"/>
      <c r="C2720" s="285"/>
      <c r="D2720" s="285"/>
      <c r="E2720" s="286"/>
      <c r="F2720" s="286"/>
      <c r="G2720" s="286"/>
      <c r="H2720" s="285"/>
      <c r="I2720" s="285"/>
      <c r="J2720" s="286"/>
      <c r="K2720" s="285"/>
    </row>
    <row r="2721" spans="1:11" x14ac:dyDescent="0.2">
      <c r="A2721" s="285"/>
      <c r="B2721" s="285"/>
      <c r="C2721" s="285"/>
      <c r="D2721" s="285"/>
      <c r="E2721" s="286"/>
      <c r="F2721" s="286"/>
      <c r="G2721" s="286"/>
      <c r="H2721" s="285"/>
      <c r="I2721" s="285"/>
      <c r="J2721" s="286"/>
      <c r="K2721" s="285"/>
    </row>
    <row r="2722" spans="1:11" x14ac:dyDescent="0.2">
      <c r="A2722" s="285"/>
      <c r="B2722" s="285"/>
      <c r="C2722" s="285"/>
      <c r="D2722" s="285"/>
      <c r="E2722" s="286"/>
      <c r="F2722" s="286"/>
      <c r="G2722" s="286"/>
      <c r="H2722" s="285"/>
      <c r="I2722" s="285"/>
      <c r="J2722" s="286"/>
      <c r="K2722" s="285"/>
    </row>
    <row r="2723" spans="1:11" x14ac:dyDescent="0.2">
      <c r="A2723" s="285"/>
      <c r="B2723" s="285"/>
      <c r="C2723" s="285"/>
      <c r="D2723" s="285"/>
      <c r="E2723" s="286"/>
      <c r="F2723" s="286"/>
      <c r="G2723" s="286"/>
      <c r="H2723" s="285"/>
      <c r="I2723" s="285"/>
      <c r="J2723" s="286"/>
      <c r="K2723" s="285"/>
    </row>
    <row r="2724" spans="1:11" x14ac:dyDescent="0.2">
      <c r="A2724" s="285"/>
      <c r="B2724" s="285"/>
      <c r="C2724" s="285"/>
      <c r="D2724" s="285"/>
      <c r="E2724" s="286"/>
      <c r="F2724" s="286"/>
      <c r="G2724" s="286"/>
      <c r="H2724" s="285"/>
      <c r="I2724" s="285"/>
      <c r="J2724" s="286"/>
      <c r="K2724" s="285"/>
    </row>
    <row r="2725" spans="1:11" x14ac:dyDescent="0.2">
      <c r="D2725" s="285"/>
    </row>
    <row r="2726" spans="1:11" x14ac:dyDescent="0.2">
      <c r="A2726" s="285"/>
      <c r="B2726" s="285"/>
      <c r="C2726" s="285"/>
      <c r="D2726" s="285"/>
      <c r="E2726" s="286"/>
      <c r="F2726" s="286"/>
      <c r="G2726" s="286"/>
      <c r="H2726" s="286"/>
      <c r="I2726" s="286"/>
      <c r="J2726" s="286"/>
      <c r="K2726" s="285"/>
    </row>
    <row r="2727" spans="1:11" x14ac:dyDescent="0.2">
      <c r="A2727" s="285"/>
      <c r="B2727" s="285"/>
      <c r="C2727" s="285"/>
      <c r="D2727" s="285"/>
      <c r="E2727" s="286"/>
      <c r="F2727" s="286"/>
      <c r="G2727" s="286"/>
      <c r="H2727" s="287"/>
      <c r="I2727" s="286"/>
      <c r="J2727" s="286"/>
      <c r="K2727" s="285"/>
    </row>
    <row r="2728" spans="1:11" x14ac:dyDescent="0.2">
      <c r="A2728" s="285"/>
      <c r="B2728" s="285"/>
      <c r="C2728" s="285"/>
      <c r="D2728" s="285"/>
      <c r="E2728" s="286"/>
      <c r="F2728" s="286"/>
      <c r="G2728" s="286"/>
      <c r="H2728" s="286"/>
      <c r="I2728" s="286"/>
      <c r="J2728" s="286"/>
      <c r="K2728" s="285"/>
    </row>
    <row r="2729" spans="1:11" x14ac:dyDescent="0.2">
      <c r="A2729" s="285"/>
      <c r="B2729" s="285"/>
      <c r="C2729" s="285"/>
      <c r="D2729" s="285"/>
      <c r="E2729" s="286"/>
      <c r="F2729" s="286"/>
      <c r="G2729" s="286"/>
      <c r="H2729" s="287"/>
      <c r="I2729" s="286"/>
      <c r="J2729" s="286"/>
      <c r="K2729" s="285"/>
    </row>
    <row r="2730" spans="1:11" x14ac:dyDescent="0.2">
      <c r="A2730" s="285"/>
      <c r="B2730" s="285"/>
      <c r="C2730" s="285"/>
      <c r="D2730" s="285"/>
      <c r="E2730" s="286"/>
      <c r="F2730" s="286"/>
      <c r="G2730" s="286"/>
      <c r="H2730" s="287"/>
      <c r="I2730" s="286"/>
      <c r="J2730" s="286"/>
      <c r="K2730" s="285"/>
    </row>
    <row r="2731" spans="1:11" x14ac:dyDescent="0.2">
      <c r="A2731" s="285"/>
      <c r="B2731" s="285"/>
      <c r="C2731" s="285"/>
      <c r="D2731" s="286"/>
      <c r="E2731" s="286"/>
      <c r="F2731" s="286"/>
      <c r="G2731" s="286"/>
      <c r="H2731" s="286"/>
      <c r="I2731" s="286"/>
      <c r="J2731" s="286"/>
      <c r="K2731" s="285"/>
    </row>
    <row r="2732" spans="1:11" x14ac:dyDescent="0.2">
      <c r="A2732" s="285"/>
      <c r="B2732" s="285"/>
      <c r="C2732" s="285"/>
      <c r="D2732" s="286"/>
      <c r="E2732" s="286"/>
      <c r="F2732" s="286"/>
      <c r="G2732" s="286"/>
      <c r="H2732" s="287"/>
      <c r="I2732" s="286"/>
      <c r="J2732" s="286"/>
      <c r="K2732" s="285"/>
    </row>
    <row r="2733" spans="1:11" x14ac:dyDescent="0.2">
      <c r="A2733" s="285"/>
      <c r="B2733" s="285"/>
      <c r="C2733" s="285"/>
      <c r="D2733" s="286"/>
      <c r="E2733" s="286"/>
      <c r="F2733" s="286"/>
      <c r="G2733" s="286"/>
      <c r="H2733" s="287"/>
      <c r="I2733" s="286"/>
      <c r="J2733" s="286"/>
      <c r="K2733" s="285"/>
    </row>
    <row r="2735" spans="1:11" x14ac:dyDescent="0.2">
      <c r="A2735" s="285"/>
      <c r="B2735" s="285"/>
      <c r="C2735" s="285"/>
      <c r="D2735" s="286"/>
      <c r="E2735" s="286"/>
      <c r="F2735" s="286"/>
      <c r="G2735" s="286"/>
      <c r="H2735" s="286"/>
      <c r="I2735" s="286"/>
      <c r="J2735" s="286"/>
      <c r="K2735" s="285"/>
    </row>
    <row r="2736" spans="1:11" x14ac:dyDescent="0.2">
      <c r="A2736" s="285"/>
      <c r="B2736" s="285"/>
      <c r="C2736" s="285"/>
      <c r="D2736" s="286"/>
      <c r="E2736" s="286"/>
      <c r="F2736" s="286"/>
      <c r="G2736" s="286"/>
      <c r="H2736" s="286"/>
      <c r="I2736" s="286"/>
      <c r="J2736" s="286"/>
      <c r="K2736" s="285"/>
    </row>
    <row r="2737" spans="1:11" x14ac:dyDescent="0.2">
      <c r="A2737" s="285"/>
      <c r="B2737" s="285"/>
      <c r="C2737" s="285"/>
      <c r="D2737" s="286"/>
      <c r="E2737" s="286"/>
      <c r="F2737" s="286"/>
      <c r="G2737" s="286"/>
      <c r="H2737" s="286"/>
      <c r="I2737" s="286"/>
      <c r="J2737" s="286"/>
      <c r="K2737" s="285"/>
    </row>
    <row r="2738" spans="1:11" x14ac:dyDescent="0.2">
      <c r="A2738" s="285"/>
      <c r="B2738" s="285"/>
      <c r="C2738" s="285"/>
      <c r="D2738" s="286"/>
      <c r="E2738" s="286"/>
      <c r="F2738" s="286"/>
      <c r="G2738" s="286"/>
      <c r="H2738" s="286"/>
      <c r="I2738" s="286"/>
      <c r="J2738" s="286"/>
      <c r="K2738" s="285"/>
    </row>
    <row r="2739" spans="1:11" x14ac:dyDescent="0.2">
      <c r="A2739" s="285"/>
      <c r="B2739" s="285"/>
      <c r="C2739" s="285"/>
      <c r="D2739" s="286"/>
      <c r="E2739" s="286"/>
      <c r="F2739" s="286"/>
      <c r="G2739" s="286"/>
      <c r="H2739" s="286"/>
      <c r="I2739" s="286"/>
      <c r="J2739" s="286"/>
      <c r="K2739" s="285"/>
    </row>
    <row r="2740" spans="1:11" x14ac:dyDescent="0.2">
      <c r="A2740" s="285"/>
      <c r="B2740" s="285"/>
      <c r="C2740" s="285"/>
      <c r="D2740" s="286"/>
      <c r="E2740" s="286"/>
      <c r="F2740" s="286"/>
      <c r="G2740" s="286"/>
      <c r="H2740" s="286"/>
      <c r="I2740" s="286"/>
      <c r="J2740" s="286"/>
      <c r="K2740" s="285"/>
    </row>
    <row r="2741" spans="1:11" x14ac:dyDescent="0.2">
      <c r="A2741" s="285"/>
      <c r="B2741" s="285"/>
      <c r="C2741" s="285"/>
      <c r="D2741" s="286"/>
      <c r="E2741" s="286"/>
      <c r="F2741" s="286"/>
      <c r="G2741" s="286"/>
      <c r="H2741" s="286"/>
      <c r="I2741" s="286"/>
      <c r="J2741" s="286"/>
      <c r="K2741" s="285"/>
    </row>
    <row r="2742" spans="1:11" x14ac:dyDescent="0.2">
      <c r="A2742" s="285"/>
      <c r="B2742" s="285"/>
      <c r="C2742" s="285"/>
      <c r="D2742" s="286"/>
      <c r="E2742" s="286"/>
      <c r="F2742" s="286"/>
      <c r="G2742" s="286"/>
      <c r="H2742" s="286"/>
      <c r="I2742" s="286"/>
      <c r="J2742" s="286"/>
      <c r="K2742" s="285"/>
    </row>
    <row r="2743" spans="1:11" x14ac:dyDescent="0.2">
      <c r="A2743" s="285"/>
      <c r="B2743" s="285"/>
      <c r="C2743" s="285"/>
      <c r="D2743" s="286"/>
      <c r="E2743" s="286"/>
      <c r="F2743" s="286"/>
      <c r="G2743" s="286"/>
      <c r="H2743" s="286"/>
      <c r="I2743" s="286"/>
      <c r="J2743" s="286"/>
      <c r="K2743" s="285"/>
    </row>
    <row r="2744" spans="1:11" x14ac:dyDescent="0.2">
      <c r="A2744" s="285"/>
      <c r="B2744" s="285"/>
      <c r="C2744" s="285"/>
      <c r="D2744" s="286"/>
      <c r="E2744" s="286"/>
      <c r="F2744" s="286"/>
      <c r="G2744" s="286"/>
      <c r="H2744" s="286"/>
      <c r="I2744" s="286"/>
      <c r="J2744" s="286"/>
      <c r="K2744" s="285"/>
    </row>
    <row r="2745" spans="1:11" x14ac:dyDescent="0.2">
      <c r="A2745" s="285"/>
      <c r="B2745" s="285"/>
      <c r="C2745" s="285"/>
      <c r="D2745" s="286"/>
      <c r="E2745" s="286"/>
      <c r="F2745" s="286"/>
      <c r="G2745" s="286"/>
      <c r="H2745" s="286"/>
      <c r="I2745" s="286"/>
      <c r="J2745" s="286"/>
      <c r="K2745" s="285"/>
    </row>
    <row r="2746" spans="1:11" x14ac:dyDescent="0.2">
      <c r="A2746" s="285"/>
      <c r="B2746" s="285"/>
      <c r="C2746" s="285"/>
      <c r="D2746" s="286"/>
      <c r="E2746" s="286"/>
      <c r="F2746" s="286"/>
      <c r="G2746" s="286"/>
      <c r="H2746" s="286"/>
      <c r="I2746" s="286"/>
      <c r="J2746" s="286"/>
      <c r="K2746" s="285"/>
    </row>
    <row r="2747" spans="1:11" x14ac:dyDescent="0.2">
      <c r="A2747" s="285"/>
      <c r="B2747" s="285"/>
      <c r="C2747" s="285"/>
      <c r="D2747" s="286"/>
      <c r="E2747" s="286"/>
      <c r="F2747" s="286"/>
      <c r="G2747" s="286"/>
      <c r="H2747" s="286"/>
      <c r="I2747" s="286"/>
      <c r="J2747" s="286"/>
      <c r="K2747" s="285"/>
    </row>
    <row r="2748" spans="1:11" x14ac:dyDescent="0.2">
      <c r="A2748" s="285"/>
      <c r="B2748" s="285"/>
      <c r="C2748" s="285"/>
      <c r="D2748" s="286"/>
      <c r="E2748" s="286"/>
      <c r="F2748" s="286"/>
      <c r="G2748" s="286"/>
      <c r="H2748" s="286"/>
      <c r="I2748" s="286"/>
      <c r="J2748" s="286"/>
      <c r="K2748" s="285"/>
    </row>
    <row r="2749" spans="1:11" x14ac:dyDescent="0.2">
      <c r="A2749" s="285"/>
      <c r="B2749" s="285"/>
      <c r="C2749" s="285"/>
      <c r="D2749" s="286"/>
      <c r="E2749" s="286"/>
      <c r="F2749" s="286"/>
      <c r="G2749" s="286"/>
      <c r="H2749" s="286"/>
      <c r="I2749" s="286"/>
      <c r="J2749" s="286"/>
      <c r="K2749" s="285"/>
    </row>
    <row r="2750" spans="1:11" x14ac:dyDescent="0.2">
      <c r="A2750" s="285"/>
      <c r="B2750" s="285"/>
      <c r="C2750" s="285"/>
      <c r="D2750" s="286"/>
      <c r="E2750" s="286"/>
      <c r="F2750" s="286"/>
      <c r="G2750" s="286"/>
      <c r="H2750" s="286"/>
      <c r="I2750" s="286"/>
      <c r="J2750" s="286"/>
      <c r="K2750" s="285"/>
    </row>
    <row r="2751" spans="1:11" x14ac:dyDescent="0.2">
      <c r="A2751" s="285"/>
      <c r="B2751" s="285"/>
      <c r="C2751" s="285"/>
      <c r="D2751" s="286"/>
      <c r="E2751" s="286"/>
      <c r="F2751" s="286"/>
      <c r="G2751" s="286"/>
      <c r="H2751" s="286"/>
      <c r="I2751" s="286"/>
      <c r="J2751" s="286"/>
      <c r="K2751" s="285"/>
    </row>
    <row r="2752" spans="1:11" x14ac:dyDescent="0.2">
      <c r="A2752" s="285"/>
      <c r="B2752" s="285"/>
      <c r="C2752" s="285"/>
      <c r="D2752" s="286"/>
      <c r="E2752" s="286"/>
      <c r="F2752" s="286"/>
      <c r="G2752" s="286"/>
      <c r="H2752" s="286"/>
      <c r="I2752" s="286"/>
      <c r="J2752" s="286"/>
      <c r="K2752" s="285"/>
    </row>
    <row r="2753" spans="1:11" x14ac:dyDescent="0.2">
      <c r="A2753" s="285"/>
      <c r="B2753" s="285"/>
      <c r="C2753" s="285"/>
      <c r="D2753" s="286"/>
      <c r="E2753" s="286"/>
      <c r="F2753" s="286"/>
      <c r="G2753" s="286"/>
      <c r="H2753" s="286"/>
      <c r="I2753" s="286"/>
      <c r="J2753" s="286"/>
      <c r="K2753" s="285"/>
    </row>
    <row r="2754" spans="1:11" x14ac:dyDescent="0.2">
      <c r="A2754" s="285"/>
      <c r="B2754" s="285"/>
      <c r="C2754" s="285"/>
      <c r="D2754" s="286"/>
      <c r="E2754" s="286"/>
      <c r="F2754" s="286"/>
      <c r="G2754" s="286"/>
      <c r="H2754" s="286"/>
      <c r="I2754" s="286"/>
      <c r="J2754" s="286"/>
      <c r="K2754" s="285"/>
    </row>
    <row r="2755" spans="1:11" x14ac:dyDescent="0.2">
      <c r="A2755" s="285"/>
      <c r="B2755" s="285"/>
      <c r="C2755" s="285"/>
      <c r="D2755" s="286"/>
      <c r="E2755" s="286"/>
      <c r="F2755" s="286"/>
      <c r="G2755" s="286"/>
      <c r="H2755" s="286"/>
      <c r="I2755" s="286"/>
      <c r="J2755" s="286"/>
      <c r="K2755" s="286"/>
    </row>
    <row r="2756" spans="1:11" x14ac:dyDescent="0.2">
      <c r="A2756" s="285"/>
      <c r="B2756" s="285"/>
      <c r="C2756" s="285"/>
      <c r="D2756" s="286"/>
      <c r="E2756" s="286"/>
      <c r="F2756" s="286"/>
      <c r="G2756" s="286"/>
      <c r="H2756" s="286"/>
      <c r="I2756" s="286"/>
      <c r="J2756" s="286"/>
      <c r="K2756" s="286"/>
    </row>
    <row r="2757" spans="1:11" x14ac:dyDescent="0.2">
      <c r="A2757" s="285"/>
      <c r="B2757" s="285"/>
      <c r="C2757" s="285"/>
      <c r="D2757" s="286"/>
      <c r="E2757" s="286"/>
      <c r="F2757" s="286"/>
      <c r="G2757" s="286"/>
      <c r="H2757" s="286"/>
      <c r="I2757" s="286"/>
      <c r="J2757" s="286"/>
      <c r="K2757" s="286"/>
    </row>
    <row r="2758" spans="1:11" x14ac:dyDescent="0.2">
      <c r="A2758" s="285"/>
      <c r="B2758" s="285"/>
      <c r="C2758" s="285"/>
      <c r="D2758" s="286"/>
      <c r="E2758" s="286"/>
      <c r="F2758" s="286"/>
      <c r="G2758" s="286"/>
      <c r="H2758" s="286"/>
      <c r="I2758" s="286"/>
      <c r="J2758" s="286"/>
      <c r="K2758" s="286"/>
    </row>
    <row r="2759" spans="1:11" x14ac:dyDescent="0.2">
      <c r="A2759" s="285"/>
      <c r="B2759" s="285"/>
      <c r="C2759" s="285"/>
      <c r="D2759" s="286"/>
      <c r="E2759" s="286"/>
      <c r="F2759" s="286"/>
      <c r="G2759" s="286"/>
      <c r="H2759" s="286"/>
      <c r="I2759" s="286"/>
      <c r="J2759" s="286"/>
      <c r="K2759" s="286"/>
    </row>
    <row r="2760" spans="1:11" x14ac:dyDescent="0.2">
      <c r="A2760" s="285"/>
      <c r="B2760" s="285"/>
      <c r="C2760" s="285"/>
      <c r="D2760" s="286"/>
      <c r="E2760" s="286"/>
      <c r="F2760" s="286"/>
      <c r="G2760" s="286"/>
      <c r="H2760" s="286"/>
      <c r="I2760" s="286"/>
      <c r="J2760" s="286"/>
      <c r="K2760" s="286"/>
    </row>
    <row r="2761" spans="1:11" x14ac:dyDescent="0.2">
      <c r="A2761" s="285"/>
      <c r="B2761" s="285"/>
      <c r="C2761" s="285"/>
      <c r="D2761" s="286"/>
      <c r="E2761" s="286"/>
      <c r="F2761" s="286"/>
      <c r="G2761" s="286"/>
      <c r="H2761" s="286"/>
      <c r="I2761" s="286"/>
      <c r="J2761" s="286"/>
      <c r="K2761" s="286"/>
    </row>
    <row r="2762" spans="1:11" x14ac:dyDescent="0.2">
      <c r="A2762" s="285"/>
      <c r="B2762" s="285"/>
      <c r="C2762" s="285"/>
      <c r="D2762" s="286"/>
      <c r="E2762" s="286"/>
      <c r="F2762" s="286"/>
      <c r="G2762" s="286"/>
      <c r="H2762" s="286"/>
      <c r="I2762" s="286"/>
      <c r="J2762" s="286"/>
      <c r="K2762" s="286"/>
    </row>
    <row r="2763" spans="1:11" x14ac:dyDescent="0.2">
      <c r="A2763" s="285"/>
      <c r="B2763" s="285"/>
      <c r="C2763" s="285"/>
      <c r="D2763" s="286"/>
      <c r="E2763" s="286"/>
      <c r="F2763" s="286"/>
      <c r="G2763" s="286"/>
      <c r="H2763" s="286"/>
      <c r="I2763" s="286"/>
      <c r="J2763" s="286"/>
      <c r="K2763" s="286"/>
    </row>
    <row r="2764" spans="1:11" x14ac:dyDescent="0.2">
      <c r="A2764" s="285"/>
      <c r="B2764" s="285"/>
      <c r="C2764" s="285"/>
      <c r="D2764" s="286"/>
      <c r="E2764" s="286"/>
      <c r="F2764" s="286"/>
      <c r="G2764" s="286"/>
      <c r="H2764" s="286"/>
      <c r="I2764" s="286"/>
      <c r="J2764" s="286"/>
      <c r="K2764" s="286"/>
    </row>
    <row r="2765" spans="1:11" x14ac:dyDescent="0.2">
      <c r="A2765" s="285"/>
      <c r="B2765" s="285"/>
      <c r="C2765" s="285"/>
      <c r="D2765" s="286"/>
      <c r="E2765" s="286"/>
      <c r="F2765" s="286"/>
      <c r="G2765" s="286"/>
      <c r="H2765" s="286"/>
      <c r="I2765" s="286"/>
      <c r="J2765" s="286"/>
      <c r="K2765" s="286"/>
    </row>
    <row r="2766" spans="1:11" x14ac:dyDescent="0.2">
      <c r="E2766" s="286"/>
      <c r="F2766" s="286"/>
      <c r="G2766" s="286"/>
      <c r="H2766" s="286"/>
      <c r="I2766" s="286"/>
      <c r="J2766" s="286"/>
      <c r="K2766" s="286"/>
    </row>
    <row r="2767" spans="1:11" x14ac:dyDescent="0.2">
      <c r="A2767" s="285"/>
      <c r="B2767" s="285"/>
      <c r="C2767" s="285"/>
      <c r="D2767" s="286"/>
      <c r="E2767" s="286"/>
      <c r="F2767" s="286"/>
      <c r="G2767" s="286"/>
      <c r="H2767" s="286"/>
      <c r="I2767" s="286"/>
      <c r="J2767" s="286"/>
      <c r="K2767" s="286"/>
    </row>
    <row r="2768" spans="1:11" x14ac:dyDescent="0.2">
      <c r="A2768" s="285"/>
      <c r="B2768" s="285"/>
      <c r="C2768" s="285"/>
      <c r="D2768" s="286"/>
      <c r="E2768" s="286"/>
      <c r="F2768" s="286"/>
      <c r="G2768" s="286"/>
      <c r="H2768" s="286"/>
      <c r="I2768" s="286"/>
      <c r="J2768" s="286"/>
      <c r="K2768" s="286"/>
    </row>
    <row r="2769" spans="1:11" x14ac:dyDescent="0.2">
      <c r="A2769" s="285"/>
      <c r="B2769" s="285"/>
      <c r="C2769" s="285"/>
      <c r="D2769" s="286"/>
      <c r="E2769" s="286"/>
      <c r="F2769" s="286"/>
      <c r="G2769" s="286"/>
      <c r="H2769" s="286"/>
      <c r="I2769" s="286"/>
      <c r="J2769" s="286"/>
      <c r="K2769" s="286"/>
    </row>
    <row r="2770" spans="1:11" x14ac:dyDescent="0.2">
      <c r="A2770" s="285"/>
      <c r="B2770" s="285"/>
      <c r="C2770" s="285"/>
      <c r="D2770" s="286"/>
      <c r="E2770" s="286"/>
      <c r="F2770" s="286"/>
      <c r="G2770" s="286"/>
      <c r="H2770" s="286"/>
      <c r="I2770" s="286"/>
      <c r="J2770" s="286"/>
      <c r="K2770" s="286"/>
    </row>
    <row r="2771" spans="1:11" x14ac:dyDescent="0.2">
      <c r="A2771" s="285"/>
      <c r="B2771" s="285"/>
      <c r="C2771" s="285"/>
      <c r="D2771" s="286"/>
      <c r="E2771" s="286"/>
      <c r="F2771" s="286"/>
      <c r="G2771" s="286"/>
      <c r="H2771" s="286"/>
      <c r="I2771" s="286"/>
      <c r="J2771" s="286"/>
      <c r="K2771" s="286"/>
    </row>
    <row r="2772" spans="1:11" x14ac:dyDescent="0.2">
      <c r="A2772" s="285"/>
      <c r="B2772" s="285"/>
      <c r="C2772" s="285"/>
      <c r="D2772" s="286"/>
      <c r="E2772" s="286"/>
      <c r="F2772" s="286"/>
      <c r="G2772" s="286"/>
      <c r="H2772" s="286"/>
      <c r="I2772" s="286"/>
      <c r="J2772" s="286"/>
      <c r="K2772" s="286"/>
    </row>
    <row r="2773" spans="1:11" x14ac:dyDescent="0.2">
      <c r="A2773" s="285"/>
      <c r="B2773" s="285"/>
      <c r="C2773" s="285"/>
      <c r="D2773" s="286"/>
      <c r="E2773" s="286"/>
      <c r="F2773" s="286"/>
      <c r="G2773" s="286"/>
      <c r="H2773" s="286"/>
      <c r="I2773" s="286"/>
      <c r="J2773" s="286"/>
      <c r="K2773" s="286"/>
    </row>
    <row r="2774" spans="1:11" x14ac:dyDescent="0.2">
      <c r="A2774" s="285"/>
      <c r="B2774" s="285"/>
      <c r="C2774" s="285"/>
      <c r="D2774" s="286"/>
      <c r="E2774" s="286"/>
      <c r="F2774" s="286"/>
      <c r="G2774" s="286"/>
      <c r="H2774" s="292"/>
      <c r="I2774" s="286"/>
      <c r="J2774" s="286"/>
      <c r="K2774" s="285"/>
    </row>
    <row r="2775" spans="1:11" x14ac:dyDescent="0.2">
      <c r="A2775" s="285"/>
      <c r="B2775" s="285"/>
      <c r="C2775" s="285"/>
      <c r="D2775" s="286"/>
      <c r="E2775" s="286"/>
      <c r="F2775" s="286"/>
      <c r="G2775" s="286"/>
      <c r="H2775" s="292"/>
      <c r="I2775" s="286"/>
      <c r="J2775" s="286"/>
      <c r="K2775" s="285"/>
    </row>
    <row r="2776" spans="1:11" x14ac:dyDescent="0.2">
      <c r="A2776" s="285"/>
      <c r="B2776" s="285"/>
      <c r="C2776" s="285"/>
      <c r="D2776" s="286"/>
      <c r="E2776" s="286"/>
      <c r="F2776" s="286"/>
      <c r="G2776" s="286"/>
      <c r="H2776" s="292"/>
      <c r="I2776" s="286"/>
      <c r="J2776" s="286"/>
      <c r="K2776" s="285"/>
    </row>
    <row r="2777" spans="1:11" x14ac:dyDescent="0.2">
      <c r="A2777" s="285"/>
      <c r="B2777" s="285"/>
      <c r="C2777" s="285"/>
      <c r="D2777" s="286"/>
      <c r="E2777" s="286"/>
      <c r="F2777" s="286"/>
      <c r="G2777" s="286"/>
      <c r="H2777" s="292"/>
      <c r="I2777" s="286"/>
      <c r="J2777" s="286"/>
      <c r="K2777" s="285"/>
    </row>
    <row r="2778" spans="1:11" x14ac:dyDescent="0.2">
      <c r="A2778" s="285"/>
      <c r="B2778" s="285"/>
      <c r="C2778" s="285"/>
      <c r="D2778" s="286"/>
      <c r="E2778" s="286"/>
      <c r="F2778" s="286"/>
      <c r="G2778" s="286"/>
      <c r="H2778" s="292"/>
      <c r="I2778" s="286"/>
      <c r="J2778" s="286"/>
      <c r="K2778" s="285"/>
    </row>
    <row r="2779" spans="1:11" x14ac:dyDescent="0.2">
      <c r="A2779" s="285"/>
      <c r="B2779" s="285"/>
      <c r="C2779" s="285"/>
      <c r="D2779" s="286"/>
      <c r="E2779" s="286"/>
      <c r="F2779" s="286"/>
      <c r="G2779" s="286"/>
      <c r="H2779" s="292"/>
      <c r="I2779" s="286"/>
      <c r="J2779" s="286"/>
      <c r="K2779" s="285"/>
    </row>
    <row r="2780" spans="1:11" x14ac:dyDescent="0.2">
      <c r="A2780" s="285"/>
      <c r="B2780" s="285"/>
      <c r="C2780" s="285"/>
      <c r="D2780" s="286"/>
      <c r="E2780" s="286"/>
      <c r="F2780" s="286"/>
      <c r="G2780" s="286"/>
      <c r="H2780" s="292"/>
      <c r="I2780" s="286"/>
      <c r="J2780" s="286"/>
      <c r="K2780" s="285"/>
    </row>
    <row r="2781" spans="1:11" x14ac:dyDescent="0.2">
      <c r="A2781" s="285"/>
      <c r="B2781" s="285"/>
      <c r="C2781" s="285"/>
      <c r="D2781" s="286"/>
      <c r="E2781" s="286"/>
      <c r="F2781" s="286"/>
      <c r="G2781" s="286"/>
      <c r="H2781" s="292"/>
      <c r="I2781" s="286"/>
      <c r="J2781" s="286"/>
      <c r="K2781" s="285"/>
    </row>
    <row r="2782" spans="1:11" x14ac:dyDescent="0.2">
      <c r="A2782" s="285"/>
      <c r="B2782" s="285"/>
      <c r="C2782" s="285"/>
      <c r="D2782" s="286"/>
      <c r="E2782" s="286"/>
      <c r="F2782" s="286"/>
      <c r="G2782" s="286"/>
      <c r="H2782" s="292"/>
      <c r="I2782" s="286"/>
      <c r="J2782" s="286"/>
      <c r="K2782" s="285"/>
    </row>
    <row r="2783" spans="1:11" x14ac:dyDescent="0.2">
      <c r="A2783" s="285"/>
      <c r="B2783" s="285"/>
      <c r="C2783" s="285"/>
      <c r="D2783" s="286"/>
      <c r="E2783" s="286"/>
      <c r="F2783" s="286"/>
      <c r="G2783" s="286"/>
      <c r="H2783" s="292"/>
      <c r="I2783" s="286"/>
      <c r="J2783" s="286"/>
      <c r="K2783" s="285"/>
    </row>
    <row r="2784" spans="1:11" x14ac:dyDescent="0.2">
      <c r="A2784" s="285"/>
      <c r="B2784" s="285"/>
      <c r="C2784" s="285"/>
      <c r="D2784" s="286"/>
      <c r="E2784" s="286"/>
      <c r="F2784" s="286"/>
      <c r="G2784" s="286"/>
      <c r="H2784" s="292"/>
      <c r="I2784" s="286"/>
      <c r="J2784" s="286"/>
      <c r="K2784" s="285"/>
    </row>
    <row r="2785" spans="1:11" x14ac:dyDescent="0.2">
      <c r="A2785" s="285"/>
      <c r="B2785" s="285"/>
      <c r="C2785" s="285"/>
      <c r="D2785" s="286"/>
      <c r="E2785" s="286"/>
      <c r="F2785" s="286"/>
      <c r="G2785" s="286"/>
      <c r="H2785" s="292"/>
      <c r="I2785" s="286"/>
      <c r="J2785" s="286"/>
      <c r="K2785" s="285"/>
    </row>
    <row r="2786" spans="1:11" x14ac:dyDescent="0.2">
      <c r="A2786" s="285"/>
      <c r="B2786" s="285"/>
      <c r="C2786" s="285"/>
      <c r="D2786" s="286"/>
      <c r="E2786" s="286"/>
      <c r="F2786" s="286"/>
      <c r="G2786" s="286"/>
      <c r="H2786" s="292"/>
      <c r="I2786" s="286"/>
      <c r="J2786" s="286"/>
      <c r="K2786" s="285"/>
    </row>
    <row r="2787" spans="1:11" x14ac:dyDescent="0.2">
      <c r="A2787" s="285"/>
      <c r="B2787" s="285"/>
      <c r="C2787" s="285"/>
      <c r="D2787" s="286"/>
      <c r="E2787" s="286"/>
      <c r="F2787" s="286"/>
      <c r="G2787" s="286"/>
      <c r="H2787" s="292"/>
      <c r="I2787" s="286"/>
      <c r="J2787" s="286"/>
      <c r="K2787" s="285"/>
    </row>
    <row r="2788" spans="1:11" x14ac:dyDescent="0.2">
      <c r="A2788" s="285"/>
      <c r="B2788" s="285"/>
      <c r="C2788" s="285"/>
      <c r="D2788" s="286"/>
      <c r="E2788" s="286"/>
      <c r="F2788" s="286"/>
      <c r="G2788" s="286"/>
      <c r="H2788" s="292"/>
      <c r="I2788" s="286"/>
      <c r="J2788" s="286"/>
      <c r="K2788" s="285"/>
    </row>
    <row r="2789" spans="1:11" x14ac:dyDescent="0.2">
      <c r="A2789" s="285"/>
      <c r="B2789" s="285"/>
      <c r="C2789" s="285"/>
      <c r="D2789" s="286"/>
      <c r="E2789" s="286"/>
      <c r="F2789" s="286"/>
      <c r="G2789" s="286"/>
      <c r="H2789" s="292"/>
      <c r="I2789" s="286"/>
      <c r="J2789" s="286"/>
      <c r="K2789" s="285"/>
    </row>
    <row r="2790" spans="1:11" x14ac:dyDescent="0.2">
      <c r="A2790" s="285"/>
      <c r="B2790" s="285"/>
      <c r="C2790" s="285"/>
      <c r="D2790" s="286"/>
      <c r="E2790" s="286"/>
      <c r="F2790" s="286"/>
      <c r="G2790" s="286"/>
      <c r="H2790" s="292"/>
      <c r="I2790" s="286"/>
      <c r="J2790" s="286"/>
      <c r="K2790" s="285"/>
    </row>
    <row r="2791" spans="1:11" x14ac:dyDescent="0.2">
      <c r="A2791" s="285"/>
      <c r="B2791" s="285"/>
      <c r="C2791" s="285"/>
      <c r="D2791" s="286"/>
      <c r="E2791" s="286"/>
      <c r="F2791" s="286"/>
      <c r="G2791" s="286"/>
      <c r="H2791" s="292"/>
      <c r="I2791" s="286"/>
      <c r="J2791" s="286"/>
      <c r="K2791" s="285"/>
    </row>
    <row r="2792" spans="1:11" x14ac:dyDescent="0.2">
      <c r="A2792" s="285"/>
      <c r="B2792" s="285"/>
      <c r="C2792" s="285"/>
      <c r="D2792" s="285"/>
      <c r="E2792" s="285"/>
      <c r="F2792" s="285"/>
      <c r="G2792" s="286"/>
      <c r="H2792" s="292"/>
      <c r="I2792" s="285"/>
      <c r="J2792" s="285"/>
      <c r="K2792" s="285"/>
    </row>
    <row r="2793" spans="1:11" x14ac:dyDescent="0.2">
      <c r="A2793" s="285"/>
      <c r="B2793" s="285"/>
      <c r="C2793" s="285"/>
      <c r="D2793" s="285"/>
      <c r="E2793" s="285"/>
      <c r="F2793" s="285"/>
      <c r="G2793" s="286"/>
      <c r="H2793" s="292"/>
      <c r="I2793" s="285"/>
      <c r="J2793" s="285"/>
      <c r="K2793" s="285"/>
    </row>
    <row r="2794" spans="1:11" x14ac:dyDescent="0.2">
      <c r="A2794" s="285"/>
      <c r="B2794" s="285"/>
      <c r="C2794" s="285"/>
      <c r="D2794" s="285"/>
      <c r="E2794" s="285"/>
      <c r="F2794" s="285"/>
      <c r="G2794" s="286"/>
      <c r="H2794" s="292"/>
      <c r="I2794" s="285"/>
      <c r="J2794" s="285"/>
      <c r="K2794" s="285"/>
    </row>
    <row r="2795" spans="1:11" x14ac:dyDescent="0.2">
      <c r="A2795" s="285"/>
      <c r="B2795" s="285"/>
      <c r="C2795" s="285"/>
      <c r="D2795" s="285"/>
      <c r="E2795" s="285"/>
      <c r="F2795" s="285"/>
      <c r="G2795" s="286"/>
      <c r="H2795" s="292"/>
      <c r="I2795" s="285"/>
      <c r="J2795" s="285"/>
      <c r="K2795" s="285"/>
    </row>
    <row r="2796" spans="1:11" x14ac:dyDescent="0.2">
      <c r="A2796" s="285"/>
      <c r="B2796" s="285"/>
      <c r="C2796" s="285"/>
      <c r="D2796" s="285"/>
      <c r="E2796" s="285"/>
      <c r="F2796" s="285"/>
      <c r="G2796" s="286"/>
      <c r="H2796" s="292"/>
      <c r="I2796" s="285"/>
      <c r="J2796" s="285"/>
      <c r="K2796" s="285"/>
    </row>
    <row r="2797" spans="1:11" ht="10.5" x14ac:dyDescent="0.2">
      <c r="A2797" s="285"/>
      <c r="B2797" s="285"/>
      <c r="C2797" s="285"/>
      <c r="D2797" s="285"/>
      <c r="E2797" s="285"/>
      <c r="F2797" s="285"/>
      <c r="G2797" s="285"/>
      <c r="H2797" s="292"/>
      <c r="I2797" s="285"/>
      <c r="J2797" s="320"/>
      <c r="K2797" s="285"/>
    </row>
    <row r="2798" spans="1:11" ht="10.5" x14ac:dyDescent="0.2">
      <c r="A2798" s="285"/>
      <c r="B2798" s="285"/>
      <c r="C2798" s="285"/>
      <c r="D2798" s="285"/>
      <c r="E2798" s="285"/>
      <c r="F2798" s="285"/>
      <c r="G2798" s="285"/>
      <c r="H2798" s="292"/>
      <c r="I2798" s="285"/>
      <c r="J2798" s="320"/>
      <c r="K2798" s="285"/>
    </row>
    <row r="2799" spans="1:11" ht="10.5" x14ac:dyDescent="0.2">
      <c r="A2799" s="285"/>
      <c r="B2799" s="285"/>
      <c r="C2799" s="285"/>
      <c r="D2799" s="285"/>
      <c r="E2799" s="285"/>
      <c r="F2799" s="285"/>
      <c r="G2799" s="285"/>
      <c r="H2799" s="292"/>
      <c r="I2799" s="285"/>
      <c r="J2799" s="320"/>
      <c r="K2799" s="285"/>
    </row>
    <row r="2801" spans="1:11" x14ac:dyDescent="0.2">
      <c r="A2801" s="285"/>
      <c r="B2801" s="285"/>
      <c r="C2801" s="285"/>
      <c r="D2801" s="286"/>
      <c r="E2801" s="286"/>
      <c r="F2801" s="286"/>
      <c r="G2801" s="286"/>
      <c r="H2801" s="286"/>
      <c r="I2801" s="286"/>
      <c r="J2801" s="286"/>
      <c r="K2801" s="285"/>
    </row>
    <row r="2802" spans="1:11" x14ac:dyDescent="0.2">
      <c r="A2802" s="285"/>
      <c r="B2802" s="285"/>
      <c r="C2802" s="285"/>
      <c r="D2802" s="286"/>
      <c r="E2802" s="286"/>
      <c r="F2802" s="286"/>
      <c r="G2802" s="286"/>
      <c r="H2802" s="286"/>
      <c r="I2802" s="286"/>
      <c r="J2802" s="286"/>
      <c r="K2802" s="285"/>
    </row>
    <row r="2803" spans="1:11" x14ac:dyDescent="0.2">
      <c r="A2803" s="285"/>
      <c r="B2803" s="285"/>
      <c r="C2803" s="285"/>
      <c r="D2803" s="286"/>
      <c r="E2803" s="286"/>
      <c r="F2803" s="286"/>
      <c r="G2803" s="286"/>
      <c r="H2803" s="286"/>
      <c r="I2803" s="286"/>
      <c r="J2803" s="286"/>
      <c r="K2803" s="285"/>
    </row>
    <row r="2804" spans="1:11" x14ac:dyDescent="0.2">
      <c r="A2804" s="285"/>
      <c r="B2804" s="285"/>
      <c r="C2804" s="285"/>
      <c r="D2804" s="286"/>
      <c r="E2804" s="286"/>
      <c r="F2804" s="286"/>
      <c r="G2804" s="286"/>
      <c r="H2804" s="286"/>
      <c r="I2804" s="286"/>
      <c r="J2804" s="286"/>
      <c r="K2804" s="285"/>
    </row>
    <row r="2805" spans="1:11" x14ac:dyDescent="0.2">
      <c r="A2805" s="285"/>
      <c r="B2805" s="285"/>
      <c r="C2805" s="285"/>
      <c r="D2805" s="286"/>
      <c r="E2805" s="286"/>
      <c r="F2805" s="286"/>
      <c r="G2805" s="286"/>
      <c r="H2805" s="286"/>
      <c r="I2805" s="286"/>
      <c r="J2805" s="286"/>
      <c r="K2805" s="285"/>
    </row>
    <row r="2806" spans="1:11" x14ac:dyDescent="0.2">
      <c r="A2806" s="285"/>
      <c r="B2806" s="285"/>
      <c r="C2806" s="285"/>
      <c r="D2806" s="286"/>
      <c r="E2806" s="286"/>
      <c r="F2806" s="286"/>
      <c r="G2806" s="286"/>
      <c r="H2806" s="286"/>
      <c r="I2806" s="286"/>
      <c r="J2806" s="286"/>
      <c r="K2806" s="285"/>
    </row>
    <row r="2807" spans="1:11" x14ac:dyDescent="0.2">
      <c r="A2807" s="285"/>
      <c r="B2807" s="285"/>
      <c r="C2807" s="285"/>
      <c r="D2807" s="286"/>
      <c r="E2807" s="286"/>
      <c r="F2807" s="286"/>
      <c r="G2807" s="286"/>
      <c r="H2807" s="286"/>
      <c r="I2807" s="286"/>
      <c r="J2807" s="286"/>
      <c r="K2807" s="285"/>
    </row>
    <row r="2808" spans="1:11" x14ac:dyDescent="0.2">
      <c r="A2808" s="285"/>
      <c r="B2808" s="285"/>
      <c r="C2808" s="285"/>
      <c r="D2808" s="286"/>
      <c r="E2808" s="286"/>
      <c r="F2808" s="286"/>
      <c r="G2808" s="286"/>
      <c r="H2808" s="286"/>
      <c r="I2808" s="286"/>
      <c r="J2808" s="286"/>
      <c r="K2808" s="285"/>
    </row>
    <row r="2809" spans="1:11" x14ac:dyDescent="0.2">
      <c r="A2809" s="285"/>
      <c r="B2809" s="285"/>
      <c r="C2809" s="285"/>
      <c r="D2809" s="286"/>
      <c r="E2809" s="286"/>
      <c r="F2809" s="286"/>
      <c r="G2809" s="286"/>
      <c r="H2809" s="286"/>
      <c r="I2809" s="286"/>
      <c r="J2809" s="286"/>
      <c r="K2809" s="285"/>
    </row>
    <row r="2810" spans="1:11" x14ac:dyDescent="0.2">
      <c r="A2810" s="285"/>
      <c r="B2810" s="285"/>
      <c r="C2810" s="285"/>
      <c r="D2810" s="286"/>
      <c r="E2810" s="286"/>
      <c r="F2810" s="286"/>
      <c r="G2810" s="286"/>
      <c r="H2810" s="286"/>
      <c r="I2810" s="286"/>
      <c r="J2810" s="286"/>
      <c r="K2810" s="285"/>
    </row>
    <row r="2811" spans="1:11" x14ac:dyDescent="0.2">
      <c r="A2811" s="285"/>
      <c r="B2811" s="285"/>
      <c r="C2811" s="285"/>
      <c r="D2811" s="286"/>
      <c r="E2811" s="286"/>
      <c r="F2811" s="286"/>
      <c r="G2811" s="286"/>
      <c r="H2811" s="286"/>
      <c r="I2811" s="286"/>
      <c r="J2811" s="286"/>
      <c r="K2811" s="285"/>
    </row>
    <row r="2812" spans="1:11" x14ac:dyDescent="0.2">
      <c r="A2812" s="285"/>
      <c r="B2812" s="285"/>
      <c r="C2812" s="285"/>
      <c r="D2812" s="286"/>
      <c r="E2812" s="286"/>
      <c r="F2812" s="286"/>
      <c r="G2812" s="286"/>
      <c r="H2812" s="286"/>
      <c r="I2812" s="286"/>
      <c r="J2812" s="286"/>
      <c r="K2812" s="285"/>
    </row>
    <row r="2813" spans="1:11" x14ac:dyDescent="0.2">
      <c r="A2813" s="285"/>
      <c r="B2813" s="285"/>
      <c r="C2813" s="285"/>
      <c r="D2813" s="286"/>
      <c r="E2813" s="286"/>
      <c r="F2813" s="286"/>
      <c r="G2813" s="286"/>
      <c r="H2813" s="286"/>
      <c r="I2813" s="286"/>
      <c r="J2813" s="286"/>
      <c r="K2813" s="285"/>
    </row>
    <row r="2814" spans="1:11" x14ac:dyDescent="0.2">
      <c r="A2814" s="285"/>
      <c r="B2814" s="285"/>
      <c r="C2814" s="285"/>
      <c r="D2814" s="286"/>
      <c r="E2814" s="286"/>
      <c r="F2814" s="286"/>
      <c r="G2814" s="286"/>
      <c r="H2814" s="286"/>
      <c r="I2814" s="286"/>
      <c r="J2814" s="286"/>
      <c r="K2814" s="285"/>
    </row>
    <row r="2815" spans="1:11" x14ac:dyDescent="0.2">
      <c r="A2815" s="285"/>
      <c r="B2815" s="285"/>
      <c r="C2815" s="285"/>
      <c r="D2815" s="286"/>
      <c r="E2815" s="286"/>
      <c r="F2815" s="286"/>
      <c r="G2815" s="286"/>
      <c r="H2815" s="286"/>
      <c r="I2815" s="286"/>
      <c r="J2815" s="286"/>
      <c r="K2815" s="285"/>
    </row>
    <row r="2816" spans="1:11" x14ac:dyDescent="0.2">
      <c r="A2816" s="285"/>
      <c r="B2816" s="285"/>
      <c r="C2816" s="285"/>
      <c r="D2816" s="286"/>
      <c r="E2816" s="286"/>
      <c r="F2816" s="286"/>
      <c r="G2816" s="286"/>
      <c r="H2816" s="286"/>
      <c r="I2816" s="286"/>
      <c r="J2816" s="286"/>
      <c r="K2816" s="285"/>
    </row>
    <row r="2817" spans="1:11" x14ac:dyDescent="0.2">
      <c r="A2817" s="285"/>
      <c r="B2817" s="285"/>
      <c r="C2817" s="285"/>
      <c r="D2817" s="286"/>
      <c r="E2817" s="286"/>
      <c r="F2817" s="286"/>
      <c r="G2817" s="286"/>
      <c r="H2817" s="286"/>
      <c r="I2817" s="286"/>
      <c r="J2817" s="286"/>
      <c r="K2817" s="285"/>
    </row>
    <row r="2818" spans="1:11" x14ac:dyDescent="0.2">
      <c r="A2818" s="285"/>
      <c r="B2818" s="285"/>
      <c r="C2818" s="285"/>
      <c r="D2818" s="286"/>
      <c r="E2818" s="286"/>
      <c r="F2818" s="286"/>
      <c r="G2818" s="286"/>
      <c r="H2818" s="286"/>
      <c r="I2818" s="286"/>
      <c r="J2818" s="286"/>
      <c r="K2818" s="285"/>
    </row>
    <row r="2820" spans="1:11" x14ac:dyDescent="0.2">
      <c r="A2820" s="285"/>
      <c r="B2820" s="285"/>
      <c r="C2820" s="285"/>
      <c r="D2820" s="286"/>
      <c r="E2820" s="286"/>
      <c r="F2820" s="286"/>
      <c r="G2820" s="286"/>
      <c r="H2820" s="286"/>
      <c r="I2820" s="286"/>
      <c r="J2820" s="286"/>
      <c r="K2820" s="285"/>
    </row>
    <row r="2821" spans="1:11" x14ac:dyDescent="0.2">
      <c r="A2821" s="285"/>
      <c r="B2821" s="285"/>
      <c r="C2821" s="285"/>
      <c r="D2821" s="286"/>
      <c r="E2821" s="286"/>
      <c r="F2821" s="286"/>
      <c r="G2821" s="286"/>
      <c r="H2821" s="286"/>
      <c r="I2821" s="286"/>
      <c r="J2821" s="286"/>
      <c r="K2821" s="285"/>
    </row>
    <row r="2822" spans="1:11" x14ac:dyDescent="0.2">
      <c r="A2822" s="285"/>
      <c r="B2822" s="285"/>
      <c r="C2822" s="285"/>
      <c r="D2822" s="286"/>
      <c r="E2822" s="286"/>
      <c r="F2822" s="286"/>
      <c r="G2822" s="286"/>
      <c r="H2822" s="286"/>
      <c r="I2822" s="286"/>
      <c r="J2822" s="286"/>
      <c r="K2822" s="285"/>
    </row>
    <row r="2823" spans="1:11" x14ac:dyDescent="0.2">
      <c r="A2823" s="285"/>
      <c r="B2823" s="285"/>
      <c r="C2823" s="285"/>
      <c r="D2823" s="286"/>
      <c r="E2823" s="286"/>
      <c r="F2823" s="286"/>
      <c r="G2823" s="286"/>
      <c r="H2823" s="286"/>
      <c r="I2823" s="286"/>
      <c r="J2823" s="286"/>
      <c r="K2823" s="285"/>
    </row>
    <row r="2824" spans="1:11" x14ac:dyDescent="0.2">
      <c r="A2824" s="285"/>
      <c r="B2824" s="285"/>
      <c r="C2824" s="285"/>
      <c r="D2824" s="286"/>
      <c r="E2824" s="286"/>
      <c r="F2824" s="286"/>
      <c r="G2824" s="286"/>
      <c r="H2824" s="286"/>
      <c r="I2824" s="286"/>
      <c r="J2824" s="286"/>
      <c r="K2824" s="285"/>
    </row>
    <row r="2825" spans="1:11" x14ac:dyDescent="0.2">
      <c r="A2825" s="285"/>
      <c r="B2825" s="285"/>
      <c r="C2825" s="285"/>
      <c r="D2825" s="286"/>
      <c r="E2825" s="286"/>
      <c r="F2825" s="286"/>
      <c r="G2825" s="286"/>
      <c r="H2825" s="286"/>
      <c r="I2825" s="286"/>
      <c r="J2825" s="286"/>
      <c r="K2825" s="285"/>
    </row>
    <row r="2826" spans="1:11" x14ac:dyDescent="0.2">
      <c r="A2826" s="285"/>
      <c r="B2826" s="285"/>
      <c r="C2826" s="285"/>
      <c r="D2826" s="286"/>
      <c r="E2826" s="286"/>
      <c r="F2826" s="286"/>
      <c r="G2826" s="286"/>
      <c r="H2826" s="286"/>
      <c r="I2826" s="286"/>
      <c r="J2826" s="286"/>
      <c r="K2826" s="285"/>
    </row>
    <row r="2827" spans="1:11" x14ac:dyDescent="0.2">
      <c r="A2827" s="285"/>
      <c r="B2827" s="285"/>
      <c r="C2827" s="285"/>
      <c r="D2827" s="286"/>
      <c r="E2827" s="286"/>
      <c r="F2827" s="286"/>
      <c r="G2827" s="286"/>
      <c r="H2827" s="286"/>
      <c r="I2827" s="286"/>
      <c r="J2827" s="286"/>
      <c r="K2827" s="285"/>
    </row>
    <row r="2828" spans="1:11" x14ac:dyDescent="0.2">
      <c r="A2828" s="285"/>
      <c r="B2828" s="285"/>
      <c r="C2828" s="285"/>
      <c r="D2828" s="286"/>
      <c r="E2828" s="286"/>
      <c r="F2828" s="286"/>
      <c r="G2828" s="286"/>
      <c r="H2828" s="286"/>
      <c r="I2828" s="286"/>
      <c r="J2828" s="286"/>
      <c r="K2828" s="285"/>
    </row>
    <row r="2829" spans="1:11" x14ac:dyDescent="0.2">
      <c r="A2829" s="285"/>
      <c r="B2829" s="285"/>
      <c r="C2829" s="285"/>
      <c r="D2829" s="286"/>
      <c r="E2829" s="286"/>
      <c r="F2829" s="286"/>
      <c r="G2829" s="286"/>
      <c r="H2829" s="286"/>
      <c r="I2829" s="286"/>
      <c r="J2829" s="286"/>
      <c r="K2829" s="285"/>
    </row>
    <row r="2830" spans="1:11" x14ac:dyDescent="0.2">
      <c r="A2830" s="285"/>
      <c r="B2830" s="285"/>
      <c r="C2830" s="285"/>
      <c r="D2830" s="286"/>
      <c r="E2830" s="286"/>
      <c r="F2830" s="286"/>
      <c r="G2830" s="286"/>
      <c r="H2830" s="286"/>
      <c r="I2830" s="286"/>
      <c r="J2830" s="286"/>
      <c r="K2830" s="285"/>
    </row>
    <row r="2831" spans="1:11" x14ac:dyDescent="0.2">
      <c r="A2831" s="285"/>
      <c r="B2831" s="285"/>
      <c r="C2831" s="285"/>
      <c r="D2831" s="286"/>
      <c r="E2831" s="286"/>
      <c r="F2831" s="286"/>
      <c r="G2831" s="286"/>
      <c r="H2831" s="286"/>
      <c r="I2831" s="286"/>
      <c r="J2831" s="286"/>
      <c r="K2831" s="285"/>
    </row>
    <row r="2832" spans="1:11" x14ac:dyDescent="0.2">
      <c r="A2832" s="285"/>
      <c r="B2832" s="285"/>
      <c r="C2832" s="285"/>
      <c r="D2832" s="286"/>
      <c r="E2832" s="286"/>
      <c r="F2832" s="286"/>
      <c r="G2832" s="286"/>
      <c r="H2832" s="286"/>
      <c r="I2832" s="286"/>
      <c r="J2832" s="286"/>
      <c r="K2832" s="285"/>
    </row>
    <row r="2833" spans="1:11" x14ac:dyDescent="0.2">
      <c r="A2833" s="285"/>
      <c r="B2833" s="285"/>
      <c r="C2833" s="285"/>
      <c r="D2833" s="286"/>
      <c r="E2833" s="286"/>
      <c r="F2833" s="286"/>
      <c r="G2833" s="286"/>
      <c r="H2833" s="286"/>
      <c r="I2833" s="286"/>
      <c r="J2833" s="286"/>
      <c r="K2833" s="285"/>
    </row>
    <row r="2834" spans="1:11" x14ac:dyDescent="0.2">
      <c r="A2834" s="285"/>
      <c r="B2834" s="285"/>
      <c r="C2834" s="285"/>
      <c r="D2834" s="286"/>
      <c r="E2834" s="286"/>
      <c r="F2834" s="286"/>
      <c r="G2834" s="286"/>
      <c r="H2834" s="286"/>
      <c r="I2834" s="286"/>
      <c r="J2834" s="286"/>
      <c r="K2834" s="285"/>
    </row>
    <row r="2836" spans="1:11" x14ac:dyDescent="0.2">
      <c r="A2836" s="285"/>
      <c r="B2836" s="285"/>
      <c r="C2836" s="285"/>
      <c r="D2836" s="286"/>
      <c r="E2836" s="286"/>
      <c r="F2836" s="286"/>
      <c r="G2836" s="286"/>
      <c r="H2836" s="286"/>
      <c r="I2836" s="286"/>
      <c r="J2836" s="286"/>
      <c r="K2836" s="285"/>
    </row>
    <row r="2837" spans="1:11" x14ac:dyDescent="0.2">
      <c r="A2837" s="285"/>
      <c r="B2837" s="285"/>
      <c r="C2837" s="285"/>
      <c r="D2837" s="286"/>
      <c r="E2837" s="286"/>
      <c r="F2837" s="286"/>
      <c r="G2837" s="286"/>
      <c r="H2837" s="286"/>
      <c r="I2837" s="286"/>
      <c r="J2837" s="286"/>
      <c r="K2837" s="285"/>
    </row>
    <row r="2838" spans="1:11" x14ac:dyDescent="0.2">
      <c r="A2838" s="285"/>
      <c r="B2838" s="285"/>
      <c r="C2838" s="285"/>
      <c r="D2838" s="286"/>
      <c r="E2838" s="286"/>
      <c r="F2838" s="286"/>
      <c r="G2838" s="286"/>
      <c r="H2838" s="286"/>
      <c r="I2838" s="286"/>
      <c r="J2838" s="286"/>
      <c r="K2838" s="285"/>
    </row>
    <row r="2839" spans="1:11" x14ac:dyDescent="0.2">
      <c r="A2839" s="285"/>
      <c r="B2839" s="285"/>
      <c r="C2839" s="285"/>
      <c r="D2839" s="286"/>
      <c r="E2839" s="286"/>
      <c r="F2839" s="286"/>
      <c r="G2839" s="286"/>
      <c r="H2839" s="286"/>
      <c r="I2839" s="286"/>
      <c r="J2839" s="286"/>
      <c r="K2839" s="285"/>
    </row>
    <row r="2840" spans="1:11" x14ac:dyDescent="0.2">
      <c r="A2840" s="285"/>
      <c r="B2840" s="285"/>
      <c r="C2840" s="285"/>
      <c r="D2840" s="286"/>
      <c r="E2840" s="286"/>
      <c r="F2840" s="286"/>
      <c r="G2840" s="286"/>
      <c r="H2840" s="286"/>
      <c r="I2840" s="286"/>
      <c r="J2840" s="286"/>
      <c r="K2840" s="285"/>
    </row>
    <row r="2841" spans="1:11" x14ac:dyDescent="0.2">
      <c r="A2841" s="285"/>
      <c r="B2841" s="285"/>
      <c r="C2841" s="285"/>
      <c r="D2841" s="286"/>
      <c r="E2841" s="286"/>
      <c r="F2841" s="286"/>
      <c r="G2841" s="286"/>
      <c r="H2841" s="286"/>
      <c r="I2841" s="286"/>
      <c r="J2841" s="286"/>
      <c r="K2841" s="285"/>
    </row>
    <row r="2842" spans="1:11" x14ac:dyDescent="0.2">
      <c r="A2842" s="285"/>
      <c r="B2842" s="285"/>
      <c r="C2842" s="285"/>
      <c r="D2842" s="286"/>
      <c r="E2842" s="286"/>
      <c r="F2842" s="286"/>
      <c r="G2842" s="286"/>
      <c r="H2842" s="286"/>
      <c r="I2842" s="286"/>
      <c r="J2842" s="286"/>
      <c r="K2842" s="285"/>
    </row>
    <row r="2843" spans="1:11" x14ac:dyDescent="0.2">
      <c r="A2843" s="285"/>
      <c r="B2843" s="285"/>
      <c r="C2843" s="285"/>
      <c r="D2843" s="286"/>
      <c r="E2843" s="286"/>
      <c r="F2843" s="286"/>
      <c r="G2843" s="286"/>
      <c r="H2843" s="286"/>
      <c r="I2843" s="286"/>
      <c r="J2843" s="286"/>
      <c r="K2843" s="285"/>
    </row>
    <row r="2844" spans="1:11" x14ac:dyDescent="0.2">
      <c r="A2844" s="285"/>
      <c r="B2844" s="285"/>
      <c r="C2844" s="285"/>
      <c r="D2844" s="286"/>
      <c r="E2844" s="286"/>
      <c r="F2844" s="286"/>
      <c r="G2844" s="286"/>
      <c r="H2844" s="286"/>
      <c r="I2844" s="286"/>
      <c r="J2844" s="286"/>
      <c r="K2844" s="285"/>
    </row>
    <row r="2845" spans="1:11" x14ac:dyDescent="0.2">
      <c r="A2845" s="285"/>
      <c r="B2845" s="285"/>
      <c r="C2845" s="285"/>
      <c r="D2845" s="286"/>
      <c r="E2845" s="286"/>
      <c r="F2845" s="286"/>
      <c r="G2845" s="286"/>
      <c r="H2845" s="286"/>
      <c r="I2845" s="286"/>
      <c r="J2845" s="286"/>
      <c r="K2845" s="285"/>
    </row>
    <row r="2846" spans="1:11" x14ac:dyDescent="0.2">
      <c r="A2846" s="285"/>
      <c r="B2846" s="285"/>
      <c r="C2846" s="285"/>
      <c r="D2846" s="286"/>
      <c r="E2846" s="286"/>
      <c r="F2846" s="286"/>
      <c r="G2846" s="286"/>
      <c r="H2846" s="286"/>
      <c r="I2846" s="286"/>
      <c r="J2846" s="286"/>
      <c r="K2846" s="285"/>
    </row>
    <row r="2848" spans="1:11" x14ac:dyDescent="0.2">
      <c r="A2848" s="285"/>
      <c r="B2848" s="285"/>
      <c r="C2848" s="285"/>
      <c r="D2848" s="286"/>
      <c r="E2848" s="286"/>
      <c r="F2848" s="286"/>
      <c r="G2848" s="286"/>
      <c r="H2848" s="286"/>
      <c r="I2848" s="286"/>
      <c r="J2848" s="286"/>
      <c r="K2848" s="285"/>
    </row>
    <row r="2849" spans="1:11" x14ac:dyDescent="0.2">
      <c r="A2849" s="285"/>
      <c r="B2849" s="285"/>
      <c r="C2849" s="285"/>
      <c r="D2849" s="286"/>
      <c r="E2849" s="286"/>
      <c r="F2849" s="286"/>
      <c r="G2849" s="286"/>
      <c r="H2849" s="286"/>
      <c r="I2849" s="286"/>
      <c r="J2849" s="286"/>
      <c r="K2849" s="285"/>
    </row>
    <row r="2867" spans="5:11" x14ac:dyDescent="0.2">
      <c r="E2867" s="567"/>
      <c r="F2867" s="567"/>
      <c r="G2867" s="567"/>
      <c r="H2867" s="567"/>
      <c r="I2867" s="567"/>
      <c r="J2867" s="567"/>
      <c r="K2867" s="567"/>
    </row>
    <row r="2868" spans="5:11" x14ac:dyDescent="0.2">
      <c r="E2868" s="567"/>
      <c r="F2868" s="567"/>
      <c r="G2868" s="567"/>
      <c r="H2868" s="567"/>
      <c r="I2868" s="567"/>
      <c r="J2868" s="567"/>
      <c r="K2868" s="567"/>
    </row>
    <row r="2869" spans="5:11" x14ac:dyDescent="0.2">
      <c r="E2869" s="567"/>
      <c r="F2869" s="567"/>
      <c r="G2869" s="567"/>
      <c r="H2869" s="567"/>
      <c r="I2869" s="567"/>
      <c r="J2869" s="567"/>
      <c r="K2869" s="567"/>
    </row>
    <row r="2870" spans="5:11" x14ac:dyDescent="0.2">
      <c r="E2870" s="567"/>
      <c r="F2870" s="567"/>
      <c r="G2870" s="567"/>
      <c r="H2870" s="567"/>
      <c r="I2870" s="567"/>
      <c r="J2870" s="567"/>
      <c r="K2870" s="567"/>
    </row>
    <row r="2871" spans="5:11" x14ac:dyDescent="0.2">
      <c r="E2871" s="567"/>
      <c r="F2871" s="567"/>
      <c r="G2871" s="567"/>
      <c r="H2871" s="567"/>
      <c r="I2871" s="567"/>
      <c r="J2871" s="567"/>
      <c r="K2871" s="567"/>
    </row>
    <row r="2872" spans="5:11" x14ac:dyDescent="0.2">
      <c r="E2872" s="567"/>
      <c r="F2872" s="567"/>
      <c r="G2872" s="567"/>
      <c r="H2872" s="567"/>
      <c r="I2872" s="567"/>
      <c r="J2872" s="567"/>
      <c r="K2872" s="567"/>
    </row>
    <row r="2873" spans="5:11" x14ac:dyDescent="0.2">
      <c r="E2873" s="567"/>
      <c r="F2873" s="567"/>
      <c r="G2873" s="567"/>
      <c r="H2873" s="567"/>
      <c r="I2873" s="567"/>
      <c r="J2873" s="567"/>
      <c r="K2873" s="567"/>
    </row>
    <row r="2874" spans="5:11" x14ac:dyDescent="0.2">
      <c r="E2874" s="567"/>
      <c r="F2874" s="567"/>
      <c r="G2874" s="567"/>
      <c r="H2874" s="567"/>
      <c r="I2874" s="567"/>
      <c r="J2874" s="567"/>
      <c r="K2874" s="567"/>
    </row>
    <row r="2875" spans="5:11" x14ac:dyDescent="0.2">
      <c r="E2875" s="567"/>
      <c r="F2875" s="567"/>
      <c r="G2875" s="567"/>
      <c r="H2875" s="567"/>
      <c r="I2875" s="567"/>
      <c r="J2875" s="567"/>
      <c r="K2875" s="567"/>
    </row>
    <row r="2876" spans="5:11" x14ac:dyDescent="0.2">
      <c r="E2876" s="567"/>
      <c r="F2876" s="567"/>
      <c r="G2876" s="567"/>
      <c r="H2876" s="567"/>
      <c r="I2876" s="567"/>
      <c r="J2876" s="567"/>
      <c r="K2876" s="567"/>
    </row>
    <row r="2877" spans="5:11" x14ac:dyDescent="0.2">
      <c r="E2877" s="567"/>
      <c r="F2877" s="567"/>
      <c r="G2877" s="567"/>
      <c r="H2877" s="567"/>
      <c r="I2877" s="567"/>
      <c r="J2877" s="567"/>
      <c r="K2877" s="567"/>
    </row>
    <row r="2878" spans="5:11" x14ac:dyDescent="0.2">
      <c r="E2878" s="567"/>
      <c r="F2878" s="567"/>
      <c r="G2878" s="567"/>
      <c r="H2878" s="567"/>
      <c r="I2878" s="567"/>
      <c r="J2878" s="567"/>
      <c r="K2878" s="567"/>
    </row>
    <row r="2879" spans="5:11" x14ac:dyDescent="0.2">
      <c r="E2879" s="567"/>
      <c r="F2879" s="567"/>
      <c r="G2879" s="567"/>
      <c r="H2879" s="567"/>
      <c r="I2879" s="567"/>
      <c r="J2879" s="567"/>
      <c r="K2879" s="567"/>
    </row>
    <row r="2880" spans="5:11" x14ac:dyDescent="0.2">
      <c r="E2880" s="567"/>
      <c r="F2880" s="567"/>
      <c r="G2880" s="567"/>
      <c r="H2880" s="567"/>
      <c r="I2880" s="567"/>
      <c r="J2880" s="567"/>
      <c r="K2880" s="567"/>
    </row>
    <row r="2881" spans="1:11" x14ac:dyDescent="0.2">
      <c r="E2881" s="286"/>
      <c r="F2881" s="286"/>
      <c r="G2881" s="286"/>
      <c r="H2881" s="286"/>
      <c r="I2881" s="292"/>
      <c r="J2881" s="286"/>
      <c r="K2881" s="286"/>
    </row>
    <row r="2882" spans="1:11" x14ac:dyDescent="0.2">
      <c r="A2882" s="285"/>
      <c r="B2882" s="285"/>
      <c r="C2882" s="285"/>
      <c r="D2882" s="286"/>
      <c r="E2882" s="286"/>
      <c r="F2882" s="286"/>
      <c r="G2882" s="286"/>
      <c r="H2882" s="286"/>
      <c r="I2882" s="292"/>
      <c r="J2882" s="286"/>
      <c r="K2882" s="286"/>
    </row>
    <row r="2883" spans="1:11" x14ac:dyDescent="0.2">
      <c r="A2883" s="285"/>
      <c r="B2883" s="285"/>
      <c r="C2883" s="285"/>
      <c r="D2883" s="286"/>
      <c r="E2883" s="286"/>
      <c r="F2883" s="286"/>
      <c r="G2883" s="286"/>
      <c r="H2883" s="286"/>
      <c r="I2883" s="292"/>
      <c r="J2883" s="286"/>
      <c r="K2883" s="286"/>
    </row>
    <row r="2884" spans="1:11" x14ac:dyDescent="0.2">
      <c r="A2884" s="285"/>
      <c r="B2884" s="285"/>
      <c r="C2884" s="285"/>
      <c r="D2884" s="286"/>
      <c r="E2884" s="286"/>
      <c r="F2884" s="286"/>
      <c r="G2884" s="286"/>
      <c r="H2884" s="286"/>
      <c r="I2884" s="292"/>
      <c r="J2884" s="286"/>
      <c r="K2884" s="286"/>
    </row>
    <row r="2885" spans="1:11" x14ac:dyDescent="0.2">
      <c r="A2885" s="285"/>
      <c r="B2885" s="285"/>
      <c r="C2885" s="285"/>
      <c r="D2885" s="286"/>
      <c r="E2885" s="286"/>
      <c r="F2885" s="286"/>
      <c r="G2885" s="286"/>
      <c r="H2885" s="286"/>
      <c r="I2885" s="292"/>
      <c r="J2885" s="286"/>
      <c r="K2885" s="286"/>
    </row>
    <row r="2886" spans="1:11" x14ac:dyDescent="0.2">
      <c r="A2886" s="285"/>
      <c r="B2886" s="285"/>
      <c r="C2886" s="285"/>
      <c r="D2886" s="286"/>
      <c r="E2886" s="286"/>
      <c r="F2886" s="286"/>
      <c r="G2886" s="286"/>
      <c r="H2886" s="286"/>
      <c r="I2886" s="292"/>
      <c r="J2886" s="286"/>
      <c r="K2886" s="286"/>
    </row>
    <row r="2887" spans="1:11" x14ac:dyDescent="0.2">
      <c r="A2887" s="285"/>
      <c r="B2887" s="285"/>
      <c r="C2887" s="285"/>
      <c r="D2887" s="286"/>
      <c r="E2887" s="286"/>
      <c r="F2887" s="286"/>
      <c r="G2887" s="286"/>
      <c r="H2887" s="286"/>
      <c r="I2887" s="292"/>
      <c r="J2887" s="286"/>
      <c r="K2887" s="286"/>
    </row>
    <row r="2888" spans="1:11" x14ac:dyDescent="0.2">
      <c r="A2888" s="285"/>
      <c r="B2888" s="285"/>
      <c r="C2888" s="285"/>
      <c r="D2888" s="286"/>
      <c r="E2888" s="286"/>
      <c r="F2888" s="286"/>
      <c r="G2888" s="286"/>
      <c r="H2888" s="286"/>
      <c r="I2888" s="292"/>
      <c r="J2888" s="286"/>
      <c r="K2888" s="286"/>
    </row>
    <row r="2889" spans="1:11" x14ac:dyDescent="0.2">
      <c r="A2889" s="285"/>
      <c r="B2889" s="285"/>
      <c r="C2889" s="285"/>
      <c r="D2889" s="286"/>
      <c r="E2889" s="286"/>
      <c r="F2889" s="286"/>
      <c r="G2889" s="286"/>
      <c r="H2889" s="286"/>
      <c r="I2889" s="292"/>
      <c r="J2889" s="286"/>
      <c r="K2889" s="286"/>
    </row>
    <row r="2890" spans="1:11" x14ac:dyDescent="0.2">
      <c r="A2890" s="285"/>
      <c r="B2890" s="285"/>
      <c r="C2890" s="285"/>
      <c r="D2890" s="286"/>
      <c r="E2890" s="286"/>
      <c r="F2890" s="286"/>
      <c r="G2890" s="286"/>
      <c r="H2890" s="286"/>
      <c r="I2890" s="292"/>
      <c r="J2890" s="286"/>
      <c r="K2890" s="286"/>
    </row>
    <row r="2891" spans="1:11" x14ac:dyDescent="0.2">
      <c r="A2891" s="285"/>
      <c r="B2891" s="285"/>
      <c r="C2891" s="285"/>
      <c r="D2891" s="286"/>
      <c r="E2891" s="286"/>
      <c r="F2891" s="286"/>
      <c r="G2891" s="286"/>
      <c r="H2891" s="286"/>
      <c r="I2891" s="292"/>
      <c r="J2891" s="286"/>
      <c r="K2891" s="286"/>
    </row>
    <row r="2892" spans="1:11" x14ac:dyDescent="0.2">
      <c r="A2892" s="285"/>
      <c r="B2892" s="285"/>
      <c r="C2892" s="285"/>
      <c r="D2892" s="286"/>
      <c r="E2892" s="286"/>
      <c r="F2892" s="286"/>
      <c r="G2892" s="286"/>
      <c r="H2892" s="286"/>
      <c r="I2892" s="292"/>
      <c r="J2892" s="286"/>
      <c r="K2892" s="286"/>
    </row>
    <row r="2893" spans="1:11" x14ac:dyDescent="0.2">
      <c r="A2893" s="285"/>
      <c r="B2893" s="285"/>
      <c r="C2893" s="285"/>
      <c r="D2893" s="286"/>
      <c r="E2893" s="286"/>
      <c r="F2893" s="286"/>
      <c r="G2893" s="286"/>
      <c r="H2893" s="286"/>
      <c r="I2893" s="292"/>
      <c r="J2893" s="286"/>
      <c r="K2893" s="286"/>
    </row>
    <row r="2894" spans="1:11" x14ac:dyDescent="0.2">
      <c r="A2894" s="285"/>
      <c r="B2894" s="285"/>
      <c r="C2894" s="285"/>
      <c r="D2894" s="286"/>
      <c r="E2894" s="286"/>
      <c r="F2894" s="286"/>
      <c r="G2894" s="286"/>
      <c r="H2894" s="286"/>
      <c r="I2894" s="292"/>
      <c r="J2894" s="286"/>
      <c r="K2894" s="286"/>
    </row>
    <row r="2895" spans="1:11" x14ac:dyDescent="0.2">
      <c r="E2895" s="286"/>
      <c r="F2895" s="286"/>
      <c r="G2895" s="286"/>
      <c r="H2895" s="286"/>
      <c r="I2895" s="292"/>
      <c r="J2895" s="286"/>
      <c r="K2895" s="286"/>
    </row>
    <row r="2896" spans="1:11" x14ac:dyDescent="0.2">
      <c r="A2896" s="285"/>
      <c r="B2896" s="285"/>
      <c r="C2896" s="285"/>
      <c r="D2896" s="286"/>
      <c r="E2896" s="286"/>
      <c r="F2896" s="286"/>
      <c r="G2896" s="286"/>
      <c r="H2896" s="286"/>
      <c r="I2896" s="292"/>
      <c r="J2896" s="286"/>
      <c r="K2896" s="286"/>
    </row>
    <row r="2897" spans="1:11" x14ac:dyDescent="0.2">
      <c r="A2897" s="285"/>
      <c r="B2897" s="285"/>
      <c r="C2897" s="285"/>
      <c r="D2897" s="286"/>
      <c r="E2897" s="286"/>
      <c r="F2897" s="286"/>
      <c r="G2897" s="286"/>
      <c r="H2897" s="286"/>
      <c r="I2897" s="292"/>
      <c r="J2897" s="286"/>
      <c r="K2897" s="286"/>
    </row>
    <row r="2898" spans="1:11" x14ac:dyDescent="0.2">
      <c r="A2898" s="285"/>
      <c r="B2898" s="285"/>
      <c r="C2898" s="285"/>
      <c r="D2898" s="286"/>
      <c r="E2898" s="286"/>
      <c r="F2898" s="286"/>
      <c r="G2898" s="286"/>
      <c r="H2898" s="286"/>
      <c r="I2898" s="292"/>
      <c r="J2898" s="286"/>
      <c r="K2898" s="286"/>
    </row>
    <row r="2899" spans="1:11" x14ac:dyDescent="0.2">
      <c r="A2899" s="285"/>
      <c r="B2899" s="285"/>
      <c r="C2899" s="285"/>
      <c r="D2899" s="286"/>
      <c r="E2899" s="286"/>
      <c r="F2899" s="286"/>
      <c r="G2899" s="286"/>
      <c r="H2899" s="286"/>
      <c r="I2899" s="292"/>
      <c r="J2899" s="286"/>
      <c r="K2899" s="286"/>
    </row>
    <row r="2900" spans="1:11" x14ac:dyDescent="0.2">
      <c r="A2900" s="285"/>
      <c r="B2900" s="285"/>
      <c r="C2900" s="285"/>
      <c r="D2900" s="286"/>
      <c r="E2900" s="286"/>
      <c r="F2900" s="286"/>
      <c r="G2900" s="286"/>
      <c r="H2900" s="286"/>
      <c r="I2900" s="292"/>
      <c r="J2900" s="286"/>
      <c r="K2900" s="286"/>
    </row>
    <row r="2901" spans="1:11" x14ac:dyDescent="0.2">
      <c r="A2901" s="285"/>
      <c r="B2901" s="285"/>
      <c r="C2901" s="285"/>
      <c r="D2901" s="286"/>
      <c r="E2901" s="286"/>
      <c r="F2901" s="286"/>
      <c r="G2901" s="286"/>
      <c r="H2901" s="286"/>
      <c r="I2901" s="292"/>
      <c r="J2901" s="286"/>
      <c r="K2901" s="286"/>
    </row>
    <row r="2902" spans="1:11" x14ac:dyDescent="0.2">
      <c r="A2902" s="285"/>
      <c r="B2902" s="285"/>
      <c r="C2902" s="285"/>
      <c r="D2902" s="286"/>
      <c r="E2902" s="286"/>
      <c r="F2902" s="286"/>
      <c r="G2902" s="286"/>
      <c r="H2902" s="286"/>
      <c r="I2902" s="292"/>
      <c r="J2902" s="286"/>
      <c r="K2902" s="286"/>
    </row>
    <row r="2903" spans="1:11" x14ac:dyDescent="0.2">
      <c r="A2903" s="285"/>
      <c r="B2903" s="285"/>
      <c r="C2903" s="285"/>
      <c r="D2903" s="286"/>
      <c r="E2903" s="286"/>
      <c r="F2903" s="286"/>
      <c r="G2903" s="286"/>
      <c r="H2903" s="286"/>
      <c r="I2903" s="292"/>
      <c r="J2903" s="286"/>
      <c r="K2903" s="286"/>
    </row>
    <row r="2904" spans="1:11" x14ac:dyDescent="0.2">
      <c r="A2904" s="285"/>
      <c r="B2904" s="285"/>
      <c r="C2904" s="285"/>
      <c r="D2904" s="286"/>
      <c r="E2904" s="286"/>
      <c r="F2904" s="286"/>
      <c r="G2904" s="286"/>
      <c r="H2904" s="286"/>
      <c r="I2904" s="292"/>
      <c r="J2904" s="286"/>
      <c r="K2904" s="286"/>
    </row>
    <row r="2905" spans="1:11" x14ac:dyDescent="0.2">
      <c r="A2905" s="285"/>
      <c r="B2905" s="285"/>
      <c r="C2905" s="285"/>
      <c r="D2905" s="286"/>
      <c r="E2905" s="567"/>
      <c r="F2905" s="567"/>
      <c r="G2905" s="567"/>
      <c r="H2905" s="567"/>
      <c r="I2905" s="569"/>
      <c r="J2905" s="567"/>
      <c r="K2905" s="567"/>
    </row>
    <row r="2906" spans="1:11" x14ac:dyDescent="0.2">
      <c r="A2906" s="285"/>
      <c r="B2906" s="285"/>
      <c r="C2906" s="285"/>
      <c r="D2906" s="286"/>
      <c r="E2906" s="567"/>
      <c r="F2906" s="567"/>
      <c r="G2906" s="567"/>
      <c r="H2906" s="567"/>
      <c r="I2906" s="569"/>
      <c r="J2906" s="567"/>
      <c r="K2906" s="567"/>
    </row>
    <row r="2907" spans="1:11" x14ac:dyDescent="0.2">
      <c r="A2907" s="285"/>
      <c r="B2907" s="285"/>
      <c r="C2907" s="285"/>
      <c r="D2907" s="286"/>
      <c r="E2907" s="567"/>
      <c r="F2907" s="567"/>
      <c r="G2907" s="567"/>
      <c r="H2907" s="567"/>
      <c r="I2907" s="569"/>
      <c r="J2907" s="567"/>
      <c r="K2907" s="567"/>
    </row>
    <row r="2908" spans="1:11" x14ac:dyDescent="0.2">
      <c r="A2908" s="285"/>
      <c r="B2908" s="285"/>
      <c r="C2908" s="285"/>
      <c r="D2908" s="286"/>
      <c r="E2908" s="567"/>
      <c r="F2908" s="567"/>
      <c r="G2908" s="567"/>
      <c r="H2908" s="567"/>
      <c r="I2908" s="569"/>
      <c r="J2908" s="567"/>
      <c r="K2908" s="567"/>
    </row>
    <row r="2909" spans="1:11" x14ac:dyDescent="0.2">
      <c r="A2909" s="285"/>
      <c r="B2909" s="285"/>
      <c r="C2909" s="285"/>
      <c r="D2909" s="286"/>
      <c r="E2909" s="567"/>
      <c r="F2909" s="567"/>
      <c r="G2909" s="567"/>
      <c r="H2909" s="567"/>
      <c r="I2909" s="569"/>
      <c r="J2909" s="567"/>
      <c r="K2909" s="567"/>
    </row>
    <row r="2910" spans="1:11" x14ac:dyDescent="0.2">
      <c r="A2910" s="285"/>
      <c r="B2910" s="285"/>
      <c r="C2910" s="285"/>
      <c r="D2910" s="286"/>
      <c r="E2910" s="567"/>
      <c r="F2910" s="567"/>
      <c r="G2910" s="567"/>
      <c r="H2910" s="567"/>
      <c r="I2910" s="569"/>
      <c r="J2910" s="567"/>
      <c r="K2910" s="567"/>
    </row>
    <row r="2911" spans="1:11" x14ac:dyDescent="0.2">
      <c r="A2911" s="285"/>
      <c r="B2911" s="285"/>
      <c r="C2911" s="285"/>
      <c r="D2911" s="286"/>
      <c r="E2911" s="567"/>
      <c r="F2911" s="567"/>
      <c r="G2911" s="567"/>
      <c r="H2911" s="567"/>
      <c r="I2911" s="569"/>
      <c r="J2911" s="567"/>
      <c r="K2911" s="567"/>
    </row>
    <row r="2912" spans="1:11" x14ac:dyDescent="0.2">
      <c r="A2912" s="285"/>
      <c r="B2912" s="285"/>
      <c r="C2912" s="285"/>
      <c r="D2912" s="286"/>
      <c r="E2912" s="567"/>
      <c r="F2912" s="567"/>
      <c r="G2912" s="567"/>
      <c r="H2912" s="567"/>
      <c r="I2912" s="569"/>
      <c r="J2912" s="567"/>
      <c r="K2912" s="567"/>
    </row>
    <row r="2913" spans="1:11" x14ac:dyDescent="0.2">
      <c r="A2913" s="285"/>
      <c r="B2913" s="285"/>
      <c r="C2913" s="285"/>
      <c r="D2913" s="286"/>
      <c r="E2913" s="567"/>
      <c r="F2913" s="567"/>
      <c r="G2913" s="567"/>
      <c r="H2913" s="567"/>
      <c r="I2913" s="569"/>
      <c r="J2913" s="567"/>
      <c r="K2913" s="567"/>
    </row>
    <row r="2914" spans="1:11" x14ac:dyDescent="0.2">
      <c r="A2914" s="285"/>
      <c r="B2914" s="285"/>
      <c r="C2914" s="285"/>
      <c r="D2914" s="286"/>
      <c r="E2914" s="567"/>
      <c r="F2914" s="567"/>
      <c r="G2914" s="567"/>
      <c r="H2914" s="567"/>
      <c r="I2914" s="569"/>
      <c r="J2914" s="567"/>
      <c r="K2914" s="567"/>
    </row>
    <row r="2915" spans="1:11" x14ac:dyDescent="0.2">
      <c r="A2915" s="285"/>
      <c r="B2915" s="285"/>
      <c r="C2915" s="285"/>
      <c r="D2915" s="286"/>
      <c r="E2915" s="567"/>
      <c r="F2915" s="568"/>
      <c r="G2915" s="568"/>
      <c r="H2915" s="568"/>
      <c r="I2915" s="568"/>
      <c r="J2915" s="568"/>
      <c r="K2915" s="568"/>
    </row>
    <row r="2916" spans="1:11" x14ac:dyDescent="0.2">
      <c r="A2916" s="285"/>
      <c r="B2916" s="285"/>
      <c r="C2916" s="285"/>
      <c r="D2916" s="286"/>
      <c r="E2916" s="567"/>
      <c r="F2916" s="567"/>
      <c r="G2916" s="567"/>
      <c r="H2916" s="567"/>
      <c r="I2916" s="570"/>
      <c r="J2916" s="567"/>
      <c r="K2916" s="567"/>
    </row>
    <row r="2917" spans="1:11" x14ac:dyDescent="0.2">
      <c r="A2917" s="285"/>
      <c r="B2917" s="285"/>
      <c r="C2917" s="285"/>
      <c r="D2917" s="286"/>
      <c r="E2917" s="567"/>
      <c r="F2917" s="567"/>
      <c r="G2917" s="567"/>
      <c r="H2917" s="567"/>
      <c r="I2917" s="570"/>
      <c r="J2917" s="567"/>
      <c r="K2917" s="567"/>
    </row>
    <row r="2918" spans="1:11" x14ac:dyDescent="0.2">
      <c r="A2918" s="285"/>
      <c r="B2918" s="285"/>
      <c r="C2918" s="285"/>
      <c r="D2918" s="286"/>
      <c r="E2918" s="571"/>
      <c r="F2918" s="571"/>
      <c r="G2918" s="571"/>
      <c r="H2918" s="571"/>
      <c r="I2918" s="572"/>
      <c r="J2918" s="571"/>
      <c r="K2918" s="571"/>
    </row>
    <row r="2919" spans="1:11" x14ac:dyDescent="0.2">
      <c r="A2919" s="285"/>
      <c r="B2919" s="285"/>
      <c r="C2919" s="285"/>
      <c r="D2919" s="286"/>
      <c r="E2919" s="571"/>
      <c r="F2919" s="571"/>
      <c r="G2919" s="571"/>
      <c r="H2919" s="571"/>
      <c r="I2919" s="572"/>
      <c r="J2919" s="571"/>
      <c r="K2919" s="571"/>
    </row>
    <row r="2920" spans="1:11" x14ac:dyDescent="0.2">
      <c r="E2920" s="288"/>
      <c r="F2920" s="288"/>
      <c r="G2920" s="288"/>
      <c r="H2920" s="288"/>
      <c r="I2920" s="559"/>
      <c r="J2920" s="288"/>
      <c r="K2920" s="288"/>
    </row>
    <row r="2921" spans="1:11" s="337" customFormat="1" x14ac:dyDescent="0.2">
      <c r="A2921" s="285"/>
      <c r="B2921" s="285"/>
      <c r="C2921" s="285"/>
      <c r="D2921" s="318"/>
      <c r="E2921" s="315"/>
      <c r="F2921" s="291"/>
      <c r="G2921" s="288"/>
      <c r="H2921" s="288"/>
      <c r="I2921" s="559"/>
      <c r="J2921" s="288"/>
      <c r="K2921" s="288"/>
    </row>
    <row r="2922" spans="1:11" s="337" customFormat="1" x14ac:dyDescent="0.2">
      <c r="A2922" s="285"/>
      <c r="B2922" s="285"/>
      <c r="C2922" s="285"/>
      <c r="D2922" s="318"/>
      <c r="E2922" s="286"/>
      <c r="F2922" s="286"/>
      <c r="G2922" s="286"/>
      <c r="H2922" s="286"/>
      <c r="I2922" s="558"/>
      <c r="J2922" s="286"/>
      <c r="K2922" s="286"/>
    </row>
    <row r="2923" spans="1:11" s="337" customFormat="1" x14ac:dyDescent="0.2">
      <c r="A2923" s="285"/>
      <c r="B2923" s="285"/>
      <c r="C2923" s="285"/>
      <c r="D2923" s="318"/>
      <c r="E2923" s="286"/>
      <c r="F2923" s="286"/>
      <c r="G2923" s="286"/>
      <c r="H2923" s="286"/>
      <c r="I2923" s="558"/>
      <c r="J2923" s="286"/>
      <c r="K2923" s="286"/>
    </row>
    <row r="2924" spans="1:11" s="337" customFormat="1" x14ac:dyDescent="0.2">
      <c r="A2924" s="285"/>
      <c r="B2924" s="285"/>
      <c r="C2924" s="285"/>
      <c r="D2924" s="318"/>
      <c r="E2924" s="286"/>
      <c r="F2924" s="286"/>
      <c r="G2924" s="286"/>
      <c r="H2924" s="286"/>
      <c r="I2924" s="558"/>
      <c r="J2924" s="286"/>
      <c r="K2924" s="286"/>
    </row>
    <row r="2925" spans="1:11" s="337" customFormat="1" x14ac:dyDescent="0.2">
      <c r="A2925" s="285"/>
      <c r="B2925" s="285"/>
      <c r="C2925" s="285"/>
      <c r="D2925" s="318"/>
      <c r="E2925" s="286"/>
      <c r="F2925" s="286"/>
      <c r="G2925" s="286"/>
      <c r="H2925" s="286"/>
      <c r="I2925" s="470"/>
      <c r="J2925" s="286"/>
      <c r="K2925" s="286"/>
    </row>
    <row r="2926" spans="1:11" s="337" customFormat="1" x14ac:dyDescent="0.2">
      <c r="A2926" s="285"/>
      <c r="B2926" s="285"/>
      <c r="C2926" s="285"/>
      <c r="D2926" s="318"/>
      <c r="E2926" s="286"/>
      <c r="F2926" s="286"/>
      <c r="G2926" s="286"/>
      <c r="H2926" s="286"/>
      <c r="I2926" s="560"/>
      <c r="J2926" s="286"/>
      <c r="K2926" s="286"/>
    </row>
    <row r="2927" spans="1:11" s="337" customFormat="1" x14ac:dyDescent="0.2">
      <c r="A2927" s="285"/>
      <c r="B2927" s="285"/>
      <c r="C2927" s="285"/>
      <c r="D2927" s="318"/>
      <c r="E2927" s="286"/>
      <c r="F2927" s="286"/>
      <c r="G2927" s="286"/>
      <c r="H2927" s="286"/>
      <c r="I2927" s="560"/>
      <c r="J2927" s="286"/>
      <c r="K2927" s="286"/>
    </row>
    <row r="2928" spans="1:11" x14ac:dyDescent="0.2">
      <c r="A2928" s="285"/>
      <c r="B2928" s="285"/>
      <c r="C2928" s="285"/>
      <c r="D2928" s="318"/>
      <c r="E2928" s="286"/>
      <c r="F2928" s="286"/>
      <c r="G2928" s="286"/>
      <c r="H2928" s="286"/>
      <c r="I2928" s="560"/>
      <c r="J2928" s="286"/>
      <c r="K2928" s="286"/>
    </row>
    <row r="2929" spans="1:11" x14ac:dyDescent="0.2">
      <c r="A2929" s="285"/>
      <c r="B2929" s="285"/>
      <c r="C2929" s="285"/>
      <c r="D2929" s="318"/>
      <c r="E2929" s="286"/>
      <c r="F2929" s="286"/>
      <c r="G2929" s="286"/>
      <c r="H2929" s="286"/>
      <c r="I2929" s="560"/>
      <c r="J2929" s="286"/>
      <c r="K2929" s="286"/>
    </row>
    <row r="2930" spans="1:11" x14ac:dyDescent="0.2">
      <c r="A2930" s="285"/>
      <c r="B2930" s="285"/>
      <c r="C2930" s="285"/>
      <c r="E2930" s="286"/>
      <c r="F2930" s="286"/>
      <c r="G2930" s="286"/>
      <c r="H2930" s="286"/>
      <c r="I2930" s="560"/>
      <c r="J2930" s="286"/>
      <c r="K2930" s="286"/>
    </row>
    <row r="2931" spans="1:11" x14ac:dyDescent="0.2">
      <c r="A2931" s="285"/>
      <c r="B2931" s="285"/>
      <c r="C2931" s="285"/>
      <c r="E2931" s="286"/>
      <c r="F2931" s="286"/>
      <c r="G2931" s="286"/>
      <c r="H2931" s="286"/>
      <c r="I2931" s="560"/>
      <c r="J2931" s="286"/>
      <c r="K2931" s="286"/>
    </row>
    <row r="2932" spans="1:11" x14ac:dyDescent="0.2">
      <c r="A2932" s="285"/>
      <c r="B2932" s="285"/>
      <c r="C2932" s="285"/>
      <c r="D2932" s="318"/>
      <c r="E2932" s="286"/>
      <c r="F2932" s="286"/>
      <c r="G2932" s="286"/>
      <c r="H2932" s="292"/>
      <c r="I2932" s="560"/>
      <c r="J2932" s="286"/>
      <c r="K2932" s="286"/>
    </row>
    <row r="2933" spans="1:11" x14ac:dyDescent="0.2">
      <c r="A2933" s="285"/>
      <c r="B2933" s="285"/>
      <c r="C2933" s="285"/>
      <c r="D2933" s="318"/>
      <c r="E2933" s="286"/>
      <c r="F2933" s="286"/>
      <c r="G2933" s="286"/>
      <c r="H2933" s="286"/>
      <c r="I2933" s="560"/>
      <c r="J2933" s="286"/>
      <c r="K2933" s="286"/>
    </row>
    <row r="2934" spans="1:11" x14ac:dyDescent="0.2">
      <c r="A2934" s="285"/>
      <c r="B2934" s="285"/>
      <c r="C2934" s="285"/>
      <c r="D2934" s="318"/>
      <c r="E2934" s="286"/>
      <c r="F2934" s="286"/>
      <c r="G2934" s="286"/>
      <c r="H2934" s="286"/>
      <c r="I2934" s="560"/>
      <c r="J2934" s="286"/>
      <c r="K2934" s="286"/>
    </row>
    <row r="2935" spans="1:11" x14ac:dyDescent="0.2">
      <c r="A2935" s="285"/>
      <c r="B2935" s="285"/>
      <c r="C2935" s="285"/>
      <c r="D2935" s="318"/>
      <c r="E2935" s="286"/>
      <c r="F2935" s="286"/>
      <c r="G2935" s="286"/>
      <c r="H2935" s="286"/>
      <c r="I2935" s="560"/>
      <c r="J2935" s="286"/>
      <c r="K2935" s="286"/>
    </row>
    <row r="2936" spans="1:11" x14ac:dyDescent="0.2">
      <c r="A2936" s="285"/>
      <c r="B2936" s="285"/>
      <c r="C2936" s="285"/>
      <c r="D2936" s="318"/>
      <c r="E2936" s="286"/>
      <c r="F2936" s="286"/>
      <c r="G2936" s="286"/>
      <c r="H2936" s="286"/>
      <c r="I2936" s="560"/>
      <c r="J2936" s="286"/>
      <c r="K2936" s="286"/>
    </row>
    <row r="2937" spans="1:11" x14ac:dyDescent="0.2">
      <c r="A2937" s="285"/>
      <c r="B2937" s="285"/>
      <c r="C2937" s="285"/>
      <c r="D2937" s="318"/>
      <c r="E2937" s="286"/>
      <c r="F2937" s="286"/>
      <c r="G2937" s="286"/>
      <c r="H2937" s="286"/>
      <c r="I2937" s="560"/>
      <c r="J2937" s="286"/>
      <c r="K2937" s="286"/>
    </row>
    <row r="2938" spans="1:11" x14ac:dyDescent="0.2">
      <c r="A2938" s="285"/>
      <c r="B2938" s="285"/>
      <c r="C2938" s="285"/>
      <c r="D2938" s="318"/>
      <c r="E2938" s="286"/>
      <c r="F2938" s="286"/>
      <c r="G2938" s="286"/>
      <c r="H2938" s="286"/>
      <c r="I2938" s="558"/>
      <c r="J2938" s="286"/>
      <c r="K2938" s="286"/>
    </row>
    <row r="2939" spans="1:11" x14ac:dyDescent="0.2">
      <c r="A2939" s="285"/>
      <c r="B2939" s="285"/>
      <c r="C2939" s="285"/>
      <c r="D2939" s="318"/>
      <c r="E2939" s="286"/>
      <c r="F2939" s="286"/>
      <c r="G2939" s="286"/>
      <c r="H2939" s="286"/>
      <c r="I2939" s="558"/>
      <c r="J2939" s="286"/>
      <c r="K2939" s="286"/>
    </row>
    <row r="2940" spans="1:11" x14ac:dyDescent="0.2">
      <c r="A2940" s="285"/>
      <c r="B2940" s="285"/>
      <c r="C2940" s="285"/>
      <c r="D2940" s="318"/>
      <c r="E2940" s="287"/>
      <c r="F2940" s="286"/>
      <c r="G2940" s="286"/>
      <c r="H2940" s="286"/>
      <c r="I2940" s="470"/>
      <c r="J2940" s="286"/>
      <c r="K2940" s="286"/>
    </row>
    <row r="2941" spans="1:11" x14ac:dyDescent="0.2">
      <c r="A2941" s="285"/>
      <c r="B2941" s="285"/>
      <c r="C2941" s="285"/>
      <c r="D2941" s="318"/>
      <c r="E2941" s="287"/>
      <c r="F2941" s="286"/>
      <c r="G2941" s="286"/>
      <c r="H2941" s="286"/>
      <c r="I2941" s="470"/>
      <c r="K2941" s="286"/>
    </row>
    <row r="2942" spans="1:11" x14ac:dyDescent="0.2">
      <c r="E2942" s="287"/>
      <c r="F2942" s="286"/>
      <c r="G2942" s="286"/>
      <c r="H2942" s="286"/>
      <c r="I2942" s="470"/>
      <c r="J2942" s="286"/>
      <c r="K2942" s="286"/>
    </row>
    <row r="2943" spans="1:11" x14ac:dyDescent="0.2">
      <c r="A2943" s="285"/>
      <c r="B2943" s="285"/>
      <c r="C2943" s="285"/>
      <c r="D2943" s="286"/>
      <c r="E2943" s="286"/>
      <c r="F2943" s="286"/>
      <c r="G2943" s="286"/>
      <c r="H2943" s="458"/>
      <c r="I2943" s="470"/>
      <c r="J2943" s="286"/>
      <c r="K2943" s="286"/>
    </row>
    <row r="2944" spans="1:11" x14ac:dyDescent="0.2">
      <c r="A2944" s="285"/>
      <c r="B2944" s="285"/>
      <c r="C2944" s="285"/>
      <c r="D2944" s="286"/>
      <c r="E2944" s="286"/>
      <c r="F2944" s="286"/>
      <c r="G2944" s="286"/>
      <c r="H2944" s="458"/>
      <c r="I2944" s="470"/>
      <c r="J2944" s="286"/>
      <c r="K2944" s="286"/>
    </row>
    <row r="2945" spans="1:11" x14ac:dyDescent="0.2">
      <c r="A2945" s="285"/>
      <c r="B2945" s="285"/>
      <c r="C2945" s="285"/>
      <c r="D2945" s="286"/>
      <c r="E2945" s="286"/>
      <c r="F2945" s="286"/>
      <c r="G2945" s="286"/>
      <c r="H2945" s="458"/>
      <c r="I2945" s="470"/>
      <c r="J2945" s="286"/>
      <c r="K2945" s="286"/>
    </row>
    <row r="2946" spans="1:11" x14ac:dyDescent="0.2">
      <c r="A2946" s="285"/>
      <c r="B2946" s="285"/>
      <c r="C2946" s="285"/>
      <c r="D2946" s="286"/>
      <c r="E2946" s="286"/>
      <c r="F2946" s="286"/>
      <c r="G2946" s="286"/>
      <c r="H2946" s="458"/>
      <c r="I2946" s="470"/>
      <c r="J2946" s="286"/>
      <c r="K2946" s="286"/>
    </row>
    <row r="2947" spans="1:11" x14ac:dyDescent="0.2">
      <c r="A2947" s="285"/>
      <c r="B2947" s="285"/>
      <c r="C2947" s="285"/>
      <c r="D2947" s="286"/>
      <c r="E2947" s="286"/>
      <c r="F2947" s="286"/>
      <c r="G2947" s="286"/>
      <c r="H2947" s="458"/>
      <c r="I2947" s="470"/>
      <c r="J2947" s="286"/>
      <c r="K2947" s="286"/>
    </row>
    <row r="2948" spans="1:11" x14ac:dyDescent="0.2">
      <c r="A2948" s="285"/>
      <c r="B2948" s="285"/>
      <c r="C2948" s="285"/>
      <c r="D2948" s="286"/>
      <c r="E2948" s="571"/>
      <c r="F2948" s="571"/>
      <c r="G2948" s="571"/>
      <c r="H2948" s="571"/>
      <c r="I2948" s="573"/>
      <c r="J2948" s="571"/>
      <c r="K2948" s="571"/>
    </row>
    <row r="2949" spans="1:11" x14ac:dyDescent="0.2">
      <c r="A2949" s="285"/>
      <c r="B2949" s="285"/>
      <c r="C2949" s="285"/>
      <c r="D2949" s="286"/>
      <c r="E2949" s="286"/>
      <c r="F2949" s="286"/>
      <c r="G2949" s="286"/>
      <c r="H2949" s="286"/>
      <c r="I2949" s="558"/>
      <c r="J2949" s="286"/>
      <c r="K2949" s="286"/>
    </row>
    <row r="2950" spans="1:11" x14ac:dyDescent="0.2">
      <c r="A2950" s="285"/>
      <c r="B2950" s="285"/>
      <c r="C2950" s="285"/>
      <c r="D2950" s="286"/>
      <c r="E2950" s="286"/>
      <c r="F2950" s="286"/>
      <c r="G2950" s="286"/>
      <c r="H2950" s="286"/>
      <c r="I2950" s="286"/>
      <c r="J2950" s="286"/>
      <c r="K2950" s="286"/>
    </row>
    <row r="2951" spans="1:11" x14ac:dyDescent="0.2">
      <c r="A2951" s="285"/>
      <c r="B2951" s="285"/>
      <c r="C2951" s="285"/>
      <c r="D2951" s="286"/>
      <c r="E2951" s="286"/>
      <c r="F2951" s="286"/>
      <c r="G2951" s="286"/>
      <c r="H2951" s="286"/>
      <c r="I2951" s="286"/>
      <c r="J2951" s="286"/>
      <c r="K2951" s="286"/>
    </row>
    <row r="2952" spans="1:11" x14ac:dyDescent="0.2">
      <c r="A2952" s="285"/>
      <c r="B2952" s="285"/>
      <c r="C2952" s="285"/>
      <c r="D2952" s="286"/>
      <c r="E2952" s="286"/>
      <c r="F2952" s="286"/>
      <c r="G2952" s="286"/>
      <c r="H2952" s="286"/>
      <c r="I2952" s="286"/>
      <c r="J2952" s="286"/>
      <c r="K2952" s="286"/>
    </row>
    <row r="2953" spans="1:11" x14ac:dyDescent="0.2">
      <c r="E2953" s="286"/>
      <c r="F2953" s="286"/>
      <c r="G2953" s="286"/>
      <c r="H2953" s="286"/>
      <c r="I2953" s="286"/>
      <c r="J2953" s="286"/>
      <c r="K2953" s="286"/>
    </row>
    <row r="2954" spans="1:11" x14ac:dyDescent="0.2">
      <c r="E2954" s="286"/>
      <c r="F2954" s="286"/>
      <c r="G2954" s="286"/>
      <c r="H2954" s="286"/>
      <c r="I2954" s="286"/>
      <c r="J2954" s="286"/>
      <c r="K2954" s="286"/>
    </row>
    <row r="2955" spans="1:11" x14ac:dyDescent="0.2">
      <c r="E2955" s="286"/>
      <c r="F2955" s="529"/>
      <c r="G2955" s="529"/>
      <c r="H2955" s="529"/>
      <c r="I2955" s="529"/>
      <c r="J2955" s="529"/>
      <c r="K2955" s="529"/>
    </row>
    <row r="2956" spans="1:11" x14ac:dyDescent="0.2">
      <c r="E2956" s="286"/>
      <c r="F2956" s="286"/>
      <c r="G2956" s="286"/>
      <c r="H2956" s="286"/>
      <c r="I2956" s="286"/>
      <c r="J2956" s="286"/>
      <c r="K2956" s="286"/>
    </row>
    <row r="2957" spans="1:11" x14ac:dyDescent="0.2">
      <c r="E2957" s="286"/>
      <c r="F2957" s="286"/>
      <c r="G2957" s="286"/>
      <c r="H2957" s="286"/>
      <c r="I2957" s="471"/>
      <c r="J2957" s="286"/>
      <c r="K2957" s="286"/>
    </row>
    <row r="2958" spans="1:11" x14ac:dyDescent="0.2">
      <c r="A2958" s="285"/>
      <c r="B2958" s="285"/>
      <c r="C2958" s="285"/>
      <c r="D2958" s="285"/>
      <c r="E2958" s="286"/>
      <c r="F2958" s="286"/>
      <c r="G2958" s="286"/>
      <c r="H2958" s="286"/>
      <c r="I2958" s="471"/>
      <c r="J2958" s="286"/>
      <c r="K2958" s="286"/>
    </row>
    <row r="2959" spans="1:11" x14ac:dyDescent="0.2">
      <c r="A2959" s="286"/>
      <c r="B2959" s="286"/>
      <c r="C2959" s="286"/>
      <c r="D2959" s="286"/>
      <c r="E2959" s="286"/>
      <c r="F2959" s="286"/>
      <c r="G2959" s="286"/>
      <c r="H2959" s="286"/>
      <c r="I2959" s="471"/>
      <c r="J2959" s="286"/>
      <c r="K2959" s="286"/>
    </row>
    <row r="2960" spans="1:11" x14ac:dyDescent="0.2">
      <c r="A2960" s="286"/>
      <c r="B2960" s="286"/>
      <c r="C2960" s="286"/>
      <c r="D2960" s="286"/>
      <c r="E2960" s="286"/>
      <c r="F2960" s="286"/>
      <c r="G2960" s="286"/>
      <c r="H2960" s="286"/>
      <c r="I2960" s="471"/>
      <c r="J2960" s="286"/>
      <c r="K2960" s="286"/>
    </row>
    <row r="2961" spans="1:11" x14ac:dyDescent="0.2">
      <c r="A2961" s="286"/>
      <c r="B2961" s="286"/>
      <c r="C2961" s="286"/>
      <c r="D2961" s="286"/>
      <c r="E2961" s="286"/>
      <c r="F2961" s="286"/>
      <c r="G2961" s="286"/>
      <c r="H2961" s="286"/>
      <c r="I2961" s="471"/>
      <c r="J2961" s="286"/>
      <c r="K2961" s="286"/>
    </row>
    <row r="2962" spans="1:11" x14ac:dyDescent="0.2">
      <c r="A2962" s="286"/>
      <c r="B2962" s="286"/>
      <c r="C2962" s="286"/>
      <c r="D2962" s="286"/>
      <c r="E2962" s="286"/>
      <c r="F2962" s="286"/>
      <c r="G2962" s="286"/>
      <c r="H2962" s="286"/>
      <c r="I2962" s="471"/>
      <c r="J2962" s="286"/>
      <c r="K2962" s="286"/>
    </row>
    <row r="2963" spans="1:11" x14ac:dyDescent="0.2">
      <c r="A2963" s="287"/>
      <c r="B2963" s="287"/>
      <c r="C2963" s="287"/>
      <c r="D2963" s="286"/>
      <c r="E2963" s="286"/>
      <c r="F2963" s="286"/>
      <c r="G2963" s="286"/>
      <c r="H2963" s="286"/>
      <c r="I2963" s="471"/>
      <c r="J2963" s="286"/>
      <c r="K2963" s="286"/>
    </row>
    <row r="2964" spans="1:11" x14ac:dyDescent="0.2">
      <c r="A2964" s="287"/>
      <c r="B2964" s="287"/>
      <c r="C2964" s="287"/>
      <c r="D2964" s="286"/>
      <c r="E2964" s="286"/>
      <c r="F2964" s="286"/>
      <c r="G2964" s="286"/>
      <c r="H2964" s="286"/>
      <c r="I2964" s="471"/>
      <c r="J2964" s="286"/>
      <c r="K2964" s="286"/>
    </row>
    <row r="2965" spans="1:11" x14ac:dyDescent="0.2">
      <c r="A2965" s="332"/>
      <c r="B2965" s="332"/>
      <c r="C2965" s="332"/>
      <c r="D2965" s="332"/>
      <c r="E2965" s="286"/>
      <c r="F2965" s="286"/>
      <c r="G2965" s="286"/>
      <c r="H2965" s="286"/>
      <c r="I2965" s="471"/>
      <c r="J2965" s="286"/>
      <c r="K2965" s="286"/>
    </row>
    <row r="2966" spans="1:11" x14ac:dyDescent="0.2">
      <c r="A2966" s="332"/>
      <c r="B2966" s="332"/>
      <c r="C2966" s="332"/>
      <c r="D2966" s="332"/>
      <c r="E2966" s="286"/>
      <c r="F2966" s="286"/>
      <c r="G2966" s="286"/>
      <c r="H2966" s="286"/>
      <c r="I2966" s="471"/>
      <c r="J2966" s="286"/>
      <c r="K2966" s="286"/>
    </row>
    <row r="2967" spans="1:11" x14ac:dyDescent="0.2">
      <c r="A2967" s="332"/>
      <c r="B2967" s="332"/>
      <c r="C2967" s="332"/>
      <c r="D2967" s="332"/>
      <c r="E2967" s="286"/>
      <c r="F2967" s="286"/>
      <c r="G2967" s="286"/>
      <c r="H2967" s="286"/>
      <c r="I2967" s="471"/>
      <c r="J2967" s="286"/>
      <c r="K2967" s="286"/>
    </row>
    <row r="2968" spans="1:11" x14ac:dyDescent="0.2">
      <c r="A2968" s="286"/>
      <c r="B2968" s="286"/>
      <c r="C2968" s="286"/>
      <c r="D2968" s="286"/>
      <c r="E2968" s="286"/>
      <c r="F2968" s="286"/>
      <c r="G2968" s="286"/>
      <c r="H2968" s="286"/>
      <c r="I2968" s="471"/>
      <c r="J2968" s="286"/>
      <c r="K2968" s="286"/>
    </row>
    <row r="2969" spans="1:11" x14ac:dyDescent="0.2">
      <c r="A2969" s="286"/>
      <c r="B2969" s="286"/>
      <c r="C2969" s="286"/>
      <c r="D2969" s="286"/>
      <c r="E2969" s="286"/>
      <c r="F2969" s="286"/>
      <c r="G2969" s="286"/>
      <c r="H2969" s="286"/>
      <c r="I2969" s="471"/>
      <c r="J2969" s="286"/>
      <c r="K2969" s="286"/>
    </row>
    <row r="2970" spans="1:11" x14ac:dyDescent="0.2">
      <c r="A2970" s="286"/>
      <c r="B2970" s="286"/>
      <c r="C2970" s="286"/>
      <c r="D2970" s="286"/>
      <c r="E2970" s="286"/>
      <c r="F2970" s="286"/>
      <c r="G2970" s="286"/>
      <c r="H2970" s="286"/>
      <c r="I2970" s="471"/>
      <c r="J2970" s="286"/>
      <c r="K2970" s="286"/>
    </row>
    <row r="2971" spans="1:11" x14ac:dyDescent="0.2">
      <c r="A2971" s="286"/>
      <c r="B2971" s="286"/>
      <c r="C2971" s="286"/>
      <c r="D2971" s="286"/>
      <c r="E2971" s="286"/>
      <c r="F2971" s="286"/>
      <c r="G2971" s="286"/>
      <c r="H2971" s="286"/>
      <c r="I2971" s="471"/>
      <c r="J2971" s="286"/>
      <c r="K2971" s="286"/>
    </row>
    <row r="2972" spans="1:11" x14ac:dyDescent="0.2">
      <c r="A2972" s="286"/>
      <c r="B2972" s="286"/>
      <c r="C2972" s="286"/>
      <c r="D2972" s="286"/>
      <c r="E2972" s="286"/>
      <c r="F2972" s="286"/>
      <c r="G2972" s="286"/>
      <c r="H2972" s="286"/>
      <c r="I2972" s="471"/>
      <c r="J2972" s="286"/>
      <c r="K2972" s="286"/>
    </row>
    <row r="2973" spans="1:11" x14ac:dyDescent="0.2">
      <c r="A2973" s="286"/>
      <c r="B2973" s="286"/>
      <c r="C2973" s="286"/>
      <c r="D2973" s="286"/>
      <c r="E2973" s="286"/>
      <c r="F2973" s="286"/>
      <c r="G2973" s="286"/>
      <c r="H2973" s="286"/>
      <c r="I2973" s="471"/>
      <c r="J2973" s="286"/>
      <c r="K2973" s="286"/>
    </row>
    <row r="2974" spans="1:11" x14ac:dyDescent="0.2">
      <c r="A2974" s="286"/>
      <c r="B2974" s="286"/>
      <c r="C2974" s="286"/>
      <c r="D2974" s="286"/>
      <c r="E2974" s="286"/>
      <c r="F2974" s="286"/>
      <c r="G2974" s="286"/>
      <c r="H2974" s="286"/>
      <c r="I2974" s="286"/>
      <c r="J2974" s="285"/>
    </row>
    <row r="2975" spans="1:11" x14ac:dyDescent="0.2">
      <c r="A2975" s="286"/>
      <c r="B2975" s="286"/>
      <c r="C2975" s="286"/>
      <c r="D2975" s="286"/>
      <c r="E2975" s="287"/>
      <c r="F2975" s="286"/>
      <c r="G2975" s="287"/>
      <c r="H2975" s="286"/>
      <c r="I2975" s="286"/>
      <c r="J2975" s="285"/>
    </row>
    <row r="2976" spans="1:11" x14ac:dyDescent="0.2">
      <c r="A2976" s="286"/>
      <c r="B2976" s="286"/>
      <c r="C2976" s="286"/>
      <c r="D2976" s="286"/>
      <c r="E2976" s="287"/>
      <c r="F2976" s="286"/>
      <c r="G2976" s="287"/>
      <c r="H2976" s="286"/>
      <c r="I2976" s="286"/>
      <c r="J2976" s="285"/>
    </row>
    <row r="2977" spans="1:10" x14ac:dyDescent="0.2">
      <c r="A2977" s="286"/>
      <c r="B2977" s="286"/>
      <c r="C2977" s="286"/>
      <c r="D2977" s="286"/>
      <c r="E2977" s="287"/>
      <c r="F2977" s="286"/>
      <c r="G2977" s="287"/>
      <c r="H2977" s="286"/>
      <c r="I2977" s="286"/>
      <c r="J2977" s="285"/>
    </row>
    <row r="2978" spans="1:10" x14ac:dyDescent="0.2">
      <c r="A2978" s="286"/>
      <c r="B2978" s="286"/>
      <c r="C2978" s="286"/>
      <c r="D2978" s="286"/>
      <c r="E2978" s="286"/>
      <c r="F2978" s="286"/>
      <c r="G2978" s="287"/>
      <c r="H2978" s="286"/>
      <c r="I2978" s="286"/>
      <c r="J2978" s="285"/>
    </row>
    <row r="2979" spans="1:10" x14ac:dyDescent="0.2">
      <c r="A2979" s="286"/>
      <c r="B2979" s="286"/>
      <c r="C2979" s="286"/>
      <c r="D2979" s="286"/>
      <c r="E2979" s="286"/>
      <c r="F2979" s="286"/>
      <c r="G2979" s="287"/>
      <c r="H2979" s="286"/>
      <c r="I2979" s="286"/>
      <c r="J2979" s="285"/>
    </row>
    <row r="2980" spans="1:10" x14ac:dyDescent="0.2">
      <c r="A2980" s="286"/>
      <c r="B2980" s="286"/>
      <c r="C2980" s="286"/>
      <c r="D2980" s="286"/>
      <c r="E2980" s="286"/>
      <c r="F2980" s="286"/>
      <c r="G2980" s="287"/>
      <c r="H2980" s="286"/>
      <c r="I2980" s="286"/>
      <c r="J2980" s="285"/>
    </row>
    <row r="2981" spans="1:10" x14ac:dyDescent="0.2">
      <c r="A2981" s="286"/>
      <c r="B2981" s="286"/>
      <c r="C2981" s="286"/>
      <c r="D2981" s="286"/>
      <c r="E2981" s="286"/>
      <c r="F2981" s="286"/>
      <c r="G2981" s="287"/>
      <c r="H2981" s="286"/>
      <c r="I2981" s="286"/>
      <c r="J2981" s="285"/>
    </row>
    <row r="2982" spans="1:10" x14ac:dyDescent="0.2">
      <c r="A2982" s="286"/>
      <c r="B2982" s="286"/>
      <c r="C2982" s="286"/>
      <c r="D2982" s="286"/>
      <c r="E2982" s="286"/>
      <c r="F2982" s="286"/>
      <c r="G2982" s="287"/>
      <c r="H2982" s="286"/>
      <c r="I2982" s="286"/>
      <c r="J2982" s="285"/>
    </row>
    <row r="2983" spans="1:10" x14ac:dyDescent="0.2">
      <c r="A2983" s="286"/>
      <c r="B2983" s="286"/>
      <c r="C2983" s="286"/>
      <c r="D2983" s="286"/>
      <c r="E2983" s="286"/>
      <c r="F2983" s="286"/>
      <c r="G2983" s="287"/>
      <c r="H2983" s="286"/>
      <c r="I2983" s="286"/>
      <c r="J2983" s="285"/>
    </row>
    <row r="2984" spans="1:10" x14ac:dyDescent="0.2">
      <c r="A2984" s="286"/>
      <c r="B2984" s="286"/>
      <c r="C2984" s="286"/>
      <c r="D2984" s="286"/>
      <c r="E2984" s="286"/>
      <c r="F2984" s="286"/>
      <c r="G2984" s="287"/>
      <c r="H2984" s="286"/>
      <c r="I2984" s="286"/>
      <c r="J2984" s="285"/>
    </row>
    <row r="2985" spans="1:10" x14ac:dyDescent="0.2">
      <c r="A2985" s="286"/>
      <c r="B2985" s="286"/>
      <c r="C2985" s="286"/>
      <c r="D2985" s="286"/>
      <c r="E2985" s="286"/>
      <c r="F2985" s="286"/>
      <c r="G2985" s="287"/>
      <c r="H2985" s="286"/>
      <c r="I2985" s="286"/>
      <c r="J2985" s="285"/>
    </row>
    <row r="2986" spans="1:10" x14ac:dyDescent="0.2">
      <c r="A2986" s="286"/>
      <c r="B2986" s="286"/>
      <c r="C2986" s="286"/>
      <c r="D2986" s="286"/>
      <c r="E2986" s="286"/>
      <c r="F2986" s="286"/>
      <c r="G2986" s="287"/>
      <c r="H2986" s="286"/>
      <c r="I2986" s="286"/>
      <c r="J2986" s="285"/>
    </row>
    <row r="2987" spans="1:10" x14ac:dyDescent="0.2">
      <c r="A2987" s="286"/>
      <c r="B2987" s="286"/>
      <c r="C2987" s="286"/>
      <c r="D2987" s="286"/>
      <c r="E2987" s="286"/>
      <c r="F2987" s="286"/>
      <c r="G2987" s="286"/>
      <c r="H2987" s="286"/>
      <c r="I2987" s="286"/>
      <c r="J2987" s="285"/>
    </row>
    <row r="2988" spans="1:10" x14ac:dyDescent="0.2">
      <c r="A2988" s="286"/>
      <c r="B2988" s="286"/>
      <c r="C2988" s="286"/>
      <c r="D2988" s="286"/>
      <c r="E2988" s="286"/>
      <c r="F2988" s="286"/>
      <c r="G2988" s="287"/>
      <c r="H2988" s="286"/>
      <c r="I2988" s="286"/>
      <c r="J2988" s="285"/>
    </row>
    <row r="2989" spans="1:10" x14ac:dyDescent="0.2">
      <c r="A2989" s="286"/>
      <c r="B2989" s="286"/>
      <c r="C2989" s="286"/>
      <c r="D2989" s="286"/>
      <c r="E2989" s="319"/>
      <c r="F2989" s="286"/>
      <c r="G2989" s="287"/>
      <c r="H2989" s="286"/>
      <c r="I2989" s="286"/>
      <c r="J2989" s="285"/>
    </row>
    <row r="2990" spans="1:10" x14ac:dyDescent="0.2">
      <c r="A2990" s="286"/>
      <c r="B2990" s="286"/>
      <c r="C2990" s="286"/>
      <c r="D2990" s="286"/>
      <c r="E2990" s="286"/>
      <c r="F2990" s="286"/>
      <c r="G2990" s="287"/>
      <c r="H2990" s="329"/>
      <c r="I2990" s="286"/>
      <c r="J2990" s="285"/>
    </row>
    <row r="2991" spans="1:10" x14ac:dyDescent="0.2">
      <c r="A2991" s="286"/>
      <c r="B2991" s="286"/>
      <c r="C2991" s="286"/>
      <c r="D2991" s="286"/>
      <c r="E2991" s="286"/>
      <c r="F2991" s="286"/>
      <c r="G2991" s="287"/>
      <c r="H2991" s="286"/>
      <c r="I2991" s="286"/>
      <c r="J2991" s="285"/>
    </row>
    <row r="2992" spans="1:10" x14ac:dyDescent="0.2">
      <c r="A2992" s="286"/>
      <c r="B2992" s="286"/>
      <c r="C2992" s="286"/>
      <c r="D2992" s="286"/>
      <c r="E2992" s="286"/>
      <c r="F2992" s="286"/>
      <c r="G2992" s="287"/>
      <c r="H2992" s="286"/>
      <c r="I2992" s="286"/>
      <c r="J2992" s="285"/>
    </row>
    <row r="2993" spans="1:11" x14ac:dyDescent="0.2">
      <c r="A2993" s="286"/>
      <c r="B2993" s="286"/>
      <c r="C2993" s="286"/>
      <c r="D2993" s="286"/>
      <c r="E2993" s="286"/>
      <c r="F2993" s="286"/>
      <c r="G2993" s="286"/>
      <c r="H2993" s="286"/>
      <c r="I2993" s="286"/>
      <c r="J2993" s="285"/>
    </row>
    <row r="2994" spans="1:11" x14ac:dyDescent="0.2">
      <c r="A2994" s="286"/>
      <c r="B2994" s="286"/>
      <c r="C2994" s="286"/>
      <c r="D2994" s="286"/>
      <c r="F2994" s="286"/>
      <c r="G2994" s="286"/>
      <c r="H2994" s="286"/>
      <c r="I2994" s="286"/>
      <c r="J2994" s="285"/>
    </row>
    <row r="2995" spans="1:11" x14ac:dyDescent="0.2">
      <c r="A2995" s="286"/>
      <c r="B2995" s="286"/>
      <c r="C2995" s="286"/>
      <c r="D2995" s="286"/>
      <c r="E2995" s="286"/>
      <c r="F2995" s="286"/>
      <c r="G2995" s="286"/>
      <c r="H2995" s="286"/>
      <c r="I2995" s="286"/>
      <c r="J2995" s="285"/>
    </row>
    <row r="2996" spans="1:11" x14ac:dyDescent="0.2">
      <c r="A2996" s="286"/>
      <c r="B2996" s="286"/>
      <c r="C2996" s="286"/>
      <c r="D2996" s="286"/>
      <c r="E2996" s="286"/>
      <c r="F2996" s="286"/>
      <c r="G2996" s="286"/>
      <c r="H2996" s="286"/>
      <c r="I2996" s="286"/>
      <c r="J2996" s="285"/>
    </row>
    <row r="2997" spans="1:11" x14ac:dyDescent="0.2">
      <c r="A2997" s="286"/>
      <c r="B2997" s="286"/>
      <c r="C2997" s="286"/>
      <c r="D2997" s="286"/>
      <c r="E2997" s="286"/>
      <c r="F2997" s="286"/>
      <c r="G2997" s="286"/>
      <c r="H2997" s="286"/>
      <c r="I2997" s="286"/>
      <c r="J2997" s="285"/>
    </row>
    <row r="2999" spans="1:11" x14ac:dyDescent="0.2">
      <c r="A2999" s="285"/>
      <c r="B2999" s="285"/>
      <c r="C2999" s="285"/>
      <c r="D2999" s="287"/>
      <c r="E2999" s="286"/>
      <c r="F2999" s="286"/>
      <c r="G2999" s="286"/>
      <c r="H2999" s="286"/>
      <c r="I2999" s="292"/>
      <c r="J2999" s="286"/>
      <c r="K2999" s="286"/>
    </row>
    <row r="3000" spans="1:11" x14ac:dyDescent="0.2">
      <c r="A3000" s="285"/>
      <c r="B3000" s="285"/>
      <c r="C3000" s="285"/>
      <c r="D3000" s="286"/>
      <c r="E3000" s="286"/>
      <c r="F3000" s="286"/>
      <c r="G3000" s="286"/>
      <c r="H3000" s="286"/>
      <c r="I3000" s="292"/>
      <c r="J3000" s="286"/>
      <c r="K3000" s="286"/>
    </row>
    <row r="3001" spans="1:11" x14ac:dyDescent="0.2">
      <c r="A3001" s="285"/>
      <c r="B3001" s="285"/>
      <c r="C3001" s="285"/>
      <c r="D3001" s="286"/>
      <c r="E3001" s="286"/>
      <c r="F3001" s="286"/>
      <c r="G3001" s="286"/>
      <c r="H3001" s="286"/>
      <c r="I3001" s="292"/>
      <c r="K3001" s="286"/>
    </row>
    <row r="3002" spans="1:11" x14ac:dyDescent="0.2">
      <c r="A3002" s="285"/>
      <c r="B3002" s="285"/>
      <c r="C3002" s="285"/>
      <c r="D3002" s="286"/>
      <c r="E3002" s="286"/>
      <c r="F3002" s="286"/>
      <c r="G3002" s="286"/>
      <c r="H3002" s="286"/>
      <c r="I3002" s="292"/>
      <c r="J3002" s="286"/>
      <c r="K3002" s="286"/>
    </row>
    <row r="3003" spans="1:11" x14ac:dyDescent="0.2">
      <c r="A3003" s="285"/>
      <c r="B3003" s="285"/>
      <c r="C3003" s="285"/>
      <c r="D3003" s="286"/>
      <c r="E3003" s="286"/>
      <c r="F3003" s="286"/>
      <c r="H3003" s="286"/>
      <c r="I3003" s="292"/>
      <c r="J3003" s="286"/>
      <c r="K3003" s="286"/>
    </row>
    <row r="3004" spans="1:11" x14ac:dyDescent="0.2">
      <c r="A3004" s="285"/>
      <c r="B3004" s="285"/>
      <c r="C3004" s="285"/>
      <c r="D3004" s="286"/>
      <c r="E3004" s="286"/>
      <c r="F3004" s="286"/>
      <c r="G3004" s="286"/>
      <c r="H3004" s="286"/>
      <c r="I3004" s="286"/>
      <c r="J3004" s="286"/>
      <c r="K3004" s="286"/>
    </row>
    <row r="3005" spans="1:11" x14ac:dyDescent="0.2">
      <c r="A3005" s="285"/>
      <c r="B3005" s="285"/>
      <c r="C3005" s="285"/>
      <c r="D3005" s="286"/>
      <c r="E3005" s="286"/>
      <c r="F3005" s="286"/>
      <c r="G3005" s="286"/>
      <c r="H3005" s="286"/>
      <c r="I3005" s="286"/>
      <c r="J3005" s="286"/>
      <c r="K3005" s="286"/>
    </row>
    <row r="3006" spans="1:11" x14ac:dyDescent="0.2">
      <c r="A3006" s="285"/>
      <c r="B3006" s="285"/>
      <c r="C3006" s="285"/>
      <c r="D3006" s="286"/>
      <c r="E3006" s="286"/>
      <c r="F3006" s="286"/>
      <c r="G3006" s="286"/>
      <c r="H3006" s="286"/>
      <c r="I3006" s="286"/>
      <c r="J3006" s="286"/>
      <c r="K3006" s="286"/>
    </row>
    <row r="3007" spans="1:11" x14ac:dyDescent="0.2">
      <c r="A3007" s="285"/>
      <c r="B3007" s="285"/>
      <c r="C3007" s="285"/>
      <c r="D3007" s="286"/>
      <c r="E3007" s="286"/>
      <c r="F3007" s="286"/>
      <c r="G3007" s="286"/>
      <c r="H3007" s="286"/>
      <c r="I3007" s="286"/>
      <c r="J3007" s="286"/>
      <c r="K3007" s="286"/>
    </row>
    <row r="3008" spans="1:11" x14ac:dyDescent="0.2">
      <c r="A3008" s="285"/>
      <c r="B3008" s="285"/>
      <c r="C3008" s="285"/>
      <c r="D3008" s="286"/>
      <c r="E3008" s="286"/>
      <c r="F3008" s="286"/>
      <c r="G3008" s="286"/>
      <c r="H3008" s="286"/>
      <c r="I3008" s="286"/>
      <c r="J3008" s="286"/>
      <c r="K3008" s="286"/>
    </row>
    <row r="3009" spans="1:11" x14ac:dyDescent="0.2">
      <c r="A3009" s="285"/>
      <c r="B3009" s="285"/>
      <c r="C3009" s="285"/>
      <c r="D3009" s="286"/>
      <c r="E3009" s="286"/>
      <c r="F3009" s="286"/>
      <c r="G3009" s="286"/>
      <c r="H3009" s="286"/>
      <c r="I3009" s="286"/>
      <c r="J3009" s="286"/>
      <c r="K3009" s="286"/>
    </row>
    <row r="3010" spans="1:11" x14ac:dyDescent="0.2">
      <c r="A3010" s="285"/>
      <c r="B3010" s="285"/>
      <c r="C3010" s="285"/>
      <c r="D3010" s="286"/>
      <c r="E3010" s="286"/>
      <c r="F3010" s="286"/>
      <c r="G3010" s="286"/>
      <c r="H3010" s="286"/>
      <c r="I3010" s="286"/>
      <c r="J3010" s="286"/>
      <c r="K3010" s="286"/>
    </row>
    <row r="3011" spans="1:11" x14ac:dyDescent="0.2">
      <c r="A3011" s="285"/>
      <c r="B3011" s="285"/>
      <c r="C3011" s="285"/>
      <c r="D3011" s="286"/>
      <c r="E3011" s="286"/>
      <c r="F3011" s="286"/>
      <c r="G3011" s="286"/>
      <c r="H3011" s="286"/>
      <c r="I3011" s="286"/>
      <c r="J3011" s="286"/>
      <c r="K3011" s="286"/>
    </row>
    <row r="3012" spans="1:11" x14ac:dyDescent="0.2">
      <c r="A3012" s="285"/>
      <c r="B3012" s="285"/>
      <c r="C3012" s="285"/>
      <c r="D3012" s="286"/>
      <c r="E3012" s="286"/>
      <c r="F3012" s="286"/>
      <c r="G3012" s="286"/>
      <c r="H3012" s="286"/>
      <c r="I3012" s="286"/>
      <c r="J3012" s="286"/>
      <c r="K3012" s="286"/>
    </row>
    <row r="3013" spans="1:11" x14ac:dyDescent="0.2">
      <c r="A3013" s="285"/>
      <c r="B3013" s="285"/>
      <c r="C3013" s="285"/>
      <c r="D3013" s="286"/>
      <c r="E3013" s="286"/>
      <c r="F3013" s="286"/>
      <c r="G3013" s="286"/>
      <c r="H3013" s="286"/>
      <c r="I3013" s="286"/>
      <c r="J3013" s="286"/>
      <c r="K3013" s="286"/>
    </row>
    <row r="3014" spans="1:11" x14ac:dyDescent="0.2">
      <c r="A3014" s="285"/>
      <c r="B3014" s="285"/>
      <c r="C3014" s="285"/>
      <c r="D3014" s="286"/>
      <c r="E3014" s="286"/>
      <c r="F3014" s="286"/>
      <c r="G3014" s="286"/>
      <c r="H3014" s="286"/>
      <c r="I3014" s="286"/>
      <c r="J3014" s="286"/>
      <c r="K3014" s="286"/>
    </row>
    <row r="3015" spans="1:11" x14ac:dyDescent="0.2">
      <c r="A3015" s="285"/>
      <c r="B3015" s="285"/>
      <c r="C3015" s="285"/>
      <c r="D3015" s="286"/>
      <c r="E3015" s="286"/>
      <c r="F3015" s="286"/>
      <c r="G3015" s="286"/>
      <c r="H3015" s="286"/>
      <c r="I3015" s="286"/>
      <c r="J3015" s="286"/>
      <c r="K3015" s="286"/>
    </row>
    <row r="3016" spans="1:11" x14ac:dyDescent="0.2">
      <c r="A3016" s="285"/>
      <c r="B3016" s="285"/>
      <c r="C3016" s="285"/>
      <c r="D3016" s="286"/>
      <c r="E3016" s="286"/>
      <c r="F3016" s="286"/>
      <c r="G3016" s="286"/>
      <c r="H3016" s="286"/>
      <c r="I3016" s="286"/>
      <c r="J3016" s="286"/>
      <c r="K3016" s="286"/>
    </row>
    <row r="3017" spans="1:11" x14ac:dyDescent="0.2">
      <c r="A3017" s="285"/>
      <c r="B3017" s="285"/>
      <c r="C3017" s="285"/>
      <c r="D3017" s="286"/>
      <c r="E3017" s="286"/>
      <c r="F3017" s="286"/>
      <c r="G3017" s="286"/>
      <c r="H3017" s="286"/>
      <c r="I3017" s="286"/>
      <c r="J3017" s="286"/>
      <c r="K3017" s="286"/>
    </row>
    <row r="3018" spans="1:11" x14ac:dyDescent="0.2">
      <c r="A3018" s="285"/>
      <c r="B3018" s="285"/>
      <c r="C3018" s="285"/>
      <c r="D3018" s="286"/>
      <c r="E3018" s="286"/>
      <c r="F3018" s="286"/>
      <c r="G3018" s="286"/>
      <c r="H3018" s="286"/>
      <c r="I3018" s="286"/>
      <c r="J3018" s="286"/>
      <c r="K3018" s="286"/>
    </row>
    <row r="3019" spans="1:11" x14ac:dyDescent="0.2">
      <c r="A3019" s="285"/>
      <c r="B3019" s="285"/>
      <c r="C3019" s="285"/>
      <c r="D3019" s="286"/>
      <c r="E3019" s="286"/>
      <c r="F3019" s="286"/>
      <c r="G3019" s="286"/>
      <c r="H3019" s="286"/>
      <c r="I3019" s="286"/>
      <c r="J3019" s="286"/>
      <c r="K3019" s="286"/>
    </row>
    <row r="3020" spans="1:11" x14ac:dyDescent="0.2">
      <c r="A3020" s="285"/>
      <c r="B3020" s="285"/>
      <c r="C3020" s="285"/>
      <c r="D3020" s="286"/>
      <c r="E3020" s="286"/>
      <c r="F3020" s="286"/>
      <c r="G3020" s="334"/>
      <c r="H3020" s="286"/>
      <c r="I3020" s="286"/>
      <c r="J3020" s="286"/>
      <c r="K3020" s="286"/>
    </row>
    <row r="3021" spans="1:11" x14ac:dyDescent="0.2">
      <c r="A3021" s="285"/>
      <c r="B3021" s="285"/>
      <c r="C3021" s="285"/>
      <c r="D3021" s="286"/>
      <c r="E3021" s="286"/>
      <c r="F3021" s="286"/>
      <c r="G3021" s="286"/>
      <c r="H3021" s="286"/>
      <c r="I3021" s="286"/>
      <c r="J3021" s="286"/>
      <c r="K3021" s="286"/>
    </row>
    <row r="3022" spans="1:11" x14ac:dyDescent="0.2">
      <c r="A3022" s="285"/>
      <c r="B3022" s="285"/>
      <c r="C3022" s="285"/>
      <c r="D3022" s="286"/>
      <c r="E3022" s="286"/>
      <c r="F3022" s="286"/>
      <c r="G3022" s="286"/>
      <c r="H3022" s="286"/>
      <c r="I3022" s="286"/>
      <c r="J3022" s="286"/>
      <c r="K3022" s="286"/>
    </row>
    <row r="3023" spans="1:11" x14ac:dyDescent="0.2">
      <c r="E3023" s="286"/>
      <c r="F3023" s="286"/>
      <c r="G3023" s="286"/>
      <c r="H3023" s="286"/>
      <c r="I3023" s="286"/>
      <c r="J3023" s="286"/>
      <c r="K3023" s="286"/>
    </row>
    <row r="3024" spans="1:11" x14ac:dyDescent="0.2">
      <c r="E3024" s="286"/>
      <c r="F3024" s="286"/>
      <c r="G3024" s="286"/>
      <c r="H3024" s="286"/>
      <c r="I3024" s="286"/>
      <c r="J3024" s="286"/>
      <c r="K3024" s="286"/>
    </row>
    <row r="3025" spans="4:11" x14ac:dyDescent="0.2">
      <c r="E3025" s="286"/>
      <c r="F3025" s="286"/>
      <c r="G3025" s="286"/>
      <c r="H3025" s="286"/>
      <c r="I3025" s="286"/>
      <c r="J3025" s="286"/>
      <c r="K3025" s="286"/>
    </row>
    <row r="3026" spans="4:11" x14ac:dyDescent="0.2">
      <c r="E3026" s="286"/>
      <c r="F3026" s="286"/>
      <c r="G3026" s="286"/>
      <c r="H3026" s="286"/>
      <c r="I3026" s="286"/>
      <c r="J3026" s="286"/>
      <c r="K3026" s="286"/>
    </row>
    <row r="3027" spans="4:11" x14ac:dyDescent="0.2">
      <c r="D3027" s="471"/>
      <c r="E3027" s="286"/>
      <c r="F3027" s="528"/>
      <c r="G3027" s="528"/>
      <c r="H3027" s="528"/>
      <c r="I3027" s="471"/>
      <c r="J3027" s="528"/>
      <c r="K3027" s="528"/>
    </row>
    <row r="3028" spans="4:11" x14ac:dyDescent="0.2">
      <c r="D3028" s="285"/>
      <c r="E3028" s="286"/>
      <c r="F3028" s="528"/>
      <c r="G3028" s="528"/>
      <c r="H3028" s="528"/>
      <c r="I3028" s="471"/>
      <c r="J3028" s="528"/>
      <c r="K3028" s="528"/>
    </row>
    <row r="3029" spans="4:11" x14ac:dyDescent="0.2">
      <c r="D3029" s="285"/>
      <c r="E3029" s="286"/>
      <c r="F3029" s="528"/>
      <c r="G3029" s="528"/>
      <c r="H3029" s="528"/>
      <c r="I3029" s="471"/>
      <c r="J3029" s="528"/>
      <c r="K3029" s="528"/>
    </row>
    <row r="3030" spans="4:11" x14ac:dyDescent="0.2">
      <c r="D3030" s="285"/>
      <c r="E3030" s="286"/>
      <c r="F3030" s="528"/>
      <c r="G3030" s="528"/>
      <c r="H3030" s="528"/>
      <c r="I3030" s="471"/>
      <c r="J3030" s="528"/>
      <c r="K3030" s="528"/>
    </row>
    <row r="3031" spans="4:11" x14ac:dyDescent="0.2">
      <c r="D3031" s="285"/>
      <c r="E3031" s="286"/>
      <c r="F3031" s="528"/>
      <c r="G3031" s="528"/>
      <c r="H3031" s="528"/>
      <c r="I3031" s="471"/>
      <c r="J3031" s="528"/>
      <c r="K3031" s="528"/>
    </row>
    <row r="3032" spans="4:11" x14ac:dyDescent="0.2">
      <c r="D3032" s="285"/>
      <c r="E3032" s="286"/>
      <c r="F3032" s="528"/>
      <c r="G3032" s="528"/>
      <c r="H3032" s="528"/>
      <c r="I3032" s="471"/>
      <c r="J3032" s="528"/>
      <c r="K3032" s="528"/>
    </row>
    <row r="3033" spans="4:11" x14ac:dyDescent="0.2">
      <c r="D3033" s="285"/>
      <c r="E3033" s="286"/>
      <c r="F3033" s="528"/>
      <c r="G3033" s="528"/>
      <c r="H3033" s="528"/>
      <c r="I3033" s="471"/>
      <c r="J3033" s="528"/>
      <c r="K3033" s="528"/>
    </row>
    <row r="3034" spans="4:11" x14ac:dyDescent="0.2">
      <c r="D3034" s="285"/>
      <c r="E3034" s="286"/>
      <c r="F3034" s="528"/>
      <c r="G3034" s="528"/>
      <c r="H3034" s="528"/>
      <c r="I3034" s="471"/>
      <c r="J3034" s="528"/>
      <c r="K3034" s="528"/>
    </row>
    <row r="3035" spans="4:11" x14ac:dyDescent="0.2">
      <c r="D3035" s="285"/>
      <c r="E3035" s="286"/>
      <c r="F3035" s="528"/>
      <c r="G3035" s="528"/>
      <c r="H3035" s="528"/>
      <c r="I3035" s="471"/>
      <c r="J3035" s="528"/>
      <c r="K3035" s="528"/>
    </row>
    <row r="3036" spans="4:11" x14ac:dyDescent="0.2">
      <c r="D3036" s="285"/>
      <c r="E3036" s="286"/>
      <c r="F3036" s="528"/>
      <c r="G3036" s="528"/>
      <c r="H3036" s="528"/>
      <c r="I3036" s="471"/>
      <c r="J3036" s="528"/>
      <c r="K3036" s="528"/>
    </row>
    <row r="3037" spans="4:11" x14ac:dyDescent="0.2">
      <c r="D3037" s="285"/>
      <c r="E3037" s="286"/>
      <c r="F3037" s="528"/>
      <c r="G3037" s="528"/>
      <c r="H3037" s="528"/>
      <c r="I3037" s="471"/>
      <c r="J3037" s="528"/>
      <c r="K3037" s="528"/>
    </row>
    <row r="3038" spans="4:11" x14ac:dyDescent="0.2">
      <c r="D3038" s="529"/>
      <c r="E3038" s="286"/>
      <c r="F3038" s="528"/>
      <c r="G3038" s="528"/>
      <c r="H3038" s="528"/>
      <c r="I3038" s="471"/>
      <c r="J3038" s="528"/>
      <c r="K3038" s="528"/>
    </row>
    <row r="3039" spans="4:11" x14ac:dyDescent="0.2">
      <c r="D3039" s="529"/>
      <c r="E3039" s="286"/>
      <c r="F3039" s="528"/>
      <c r="G3039" s="528"/>
      <c r="H3039" s="528"/>
      <c r="I3039" s="471"/>
      <c r="J3039" s="528"/>
      <c r="K3039" s="528"/>
    </row>
    <row r="3040" spans="4:11" x14ac:dyDescent="0.2">
      <c r="D3040" s="285"/>
      <c r="E3040" s="286"/>
      <c r="F3040" s="528"/>
      <c r="G3040" s="528"/>
      <c r="H3040" s="528"/>
      <c r="I3040" s="471"/>
      <c r="J3040" s="528"/>
      <c r="K3040" s="528"/>
    </row>
    <row r="3041" spans="4:11" x14ac:dyDescent="0.2">
      <c r="D3041" s="285"/>
      <c r="E3041" s="286"/>
      <c r="F3041" s="528"/>
      <c r="G3041" s="528"/>
      <c r="H3041" s="528"/>
      <c r="I3041" s="471"/>
      <c r="J3041" s="528"/>
      <c r="K3041" s="528"/>
    </row>
    <row r="3042" spans="4:11" x14ac:dyDescent="0.2">
      <c r="D3042" s="285"/>
      <c r="E3042" s="286"/>
      <c r="F3042" s="528"/>
      <c r="G3042" s="528"/>
      <c r="H3042" s="528"/>
      <c r="I3042" s="471"/>
      <c r="J3042" s="528"/>
      <c r="K3042" s="528"/>
    </row>
    <row r="3043" spans="4:11" x14ac:dyDescent="0.2">
      <c r="D3043" s="285"/>
      <c r="E3043" s="286"/>
      <c r="F3043" s="528"/>
      <c r="G3043" s="528"/>
      <c r="H3043" s="528"/>
      <c r="I3043" s="471"/>
      <c r="J3043" s="528"/>
      <c r="K3043" s="528"/>
    </row>
    <row r="3044" spans="4:11" x14ac:dyDescent="0.2">
      <c r="E3044" s="286"/>
      <c r="F3044" s="286"/>
      <c r="G3044" s="286"/>
      <c r="H3044" s="286"/>
      <c r="I3044" s="287"/>
      <c r="J3044" s="286"/>
      <c r="K3044" s="286"/>
    </row>
    <row r="3045" spans="4:11" x14ac:dyDescent="0.2">
      <c r="E3045" s="286"/>
      <c r="F3045" s="286"/>
      <c r="G3045" s="286"/>
      <c r="H3045" s="286"/>
      <c r="I3045" s="287"/>
      <c r="J3045" s="286"/>
      <c r="K3045" s="286"/>
    </row>
    <row r="3046" spans="4:11" x14ac:dyDescent="0.2">
      <c r="E3046" s="286"/>
      <c r="F3046" s="286"/>
      <c r="G3046" s="286"/>
      <c r="H3046" s="286"/>
      <c r="I3046" s="287"/>
      <c r="J3046" s="286"/>
      <c r="K3046" s="286"/>
    </row>
    <row r="3047" spans="4:11" x14ac:dyDescent="0.2">
      <c r="E3047" s="286"/>
      <c r="F3047" s="286"/>
      <c r="G3047" s="286"/>
      <c r="H3047" s="286"/>
      <c r="I3047" s="287"/>
      <c r="J3047" s="286"/>
      <c r="K3047" s="286"/>
    </row>
    <row r="3048" spans="4:11" x14ac:dyDescent="0.2">
      <c r="E3048" s="286"/>
      <c r="F3048" s="286"/>
      <c r="G3048" s="286"/>
      <c r="H3048" s="286"/>
      <c r="I3048" s="287"/>
      <c r="J3048" s="286"/>
      <c r="K3048" s="286"/>
    </row>
    <row r="3049" spans="4:11" x14ac:dyDescent="0.2">
      <c r="E3049" s="286"/>
      <c r="F3049" s="286"/>
      <c r="G3049" s="286"/>
      <c r="H3049" s="286"/>
      <c r="I3049" s="286"/>
      <c r="J3049" s="286"/>
      <c r="K3049" s="286"/>
    </row>
    <row r="3050" spans="4:11" x14ac:dyDescent="0.2">
      <c r="E3050" s="286"/>
      <c r="F3050" s="286"/>
      <c r="G3050" s="286"/>
      <c r="H3050" s="286"/>
      <c r="I3050" s="286"/>
      <c r="J3050" s="286"/>
      <c r="K3050" s="286"/>
    </row>
    <row r="3051" spans="4:11" x14ac:dyDescent="0.2">
      <c r="E3051" s="286"/>
      <c r="F3051" s="286"/>
      <c r="G3051" s="286"/>
      <c r="H3051" s="286"/>
      <c r="I3051" s="286"/>
      <c r="J3051" s="286"/>
      <c r="K3051" s="286"/>
    </row>
    <row r="3052" spans="4:11" x14ac:dyDescent="0.2">
      <c r="E3052" s="286"/>
      <c r="F3052" s="286"/>
      <c r="G3052" s="286"/>
      <c r="H3052" s="286"/>
      <c r="I3052" s="287"/>
      <c r="J3052" s="286"/>
      <c r="K3052" s="286"/>
    </row>
    <row r="3053" spans="4:11" x14ac:dyDescent="0.2">
      <c r="E3053" s="286"/>
      <c r="F3053" s="286"/>
      <c r="G3053" s="286"/>
      <c r="H3053" s="286"/>
      <c r="I3053" s="287"/>
      <c r="J3053" s="286"/>
      <c r="K3053" s="286"/>
    </row>
    <row r="3054" spans="4:11" x14ac:dyDescent="0.2">
      <c r="E3054" s="286"/>
      <c r="F3054" s="286"/>
      <c r="G3054" s="286"/>
      <c r="H3054" s="286"/>
      <c r="I3054" s="287"/>
      <c r="J3054" s="286"/>
      <c r="K3054" s="286"/>
    </row>
    <row r="3055" spans="4:11" x14ac:dyDescent="0.2">
      <c r="E3055" s="285"/>
      <c r="F3055" s="286"/>
      <c r="G3055" s="286"/>
      <c r="H3055" s="286"/>
      <c r="I3055" s="286"/>
      <c r="J3055" s="286"/>
      <c r="K3055" s="286"/>
    </row>
    <row r="3056" spans="4:11" x14ac:dyDescent="0.2">
      <c r="E3056" s="285"/>
      <c r="F3056" s="286"/>
      <c r="G3056" s="286"/>
      <c r="H3056" s="286"/>
      <c r="I3056" s="286"/>
      <c r="J3056" s="286"/>
      <c r="K3056" s="286"/>
    </row>
    <row r="3057" spans="5:11" x14ac:dyDescent="0.2">
      <c r="E3057" s="285"/>
      <c r="F3057" s="286"/>
      <c r="G3057" s="286"/>
      <c r="H3057" s="286"/>
      <c r="I3057" s="286"/>
      <c r="J3057" s="286"/>
      <c r="K3057" s="286"/>
    </row>
    <row r="3058" spans="5:11" x14ac:dyDescent="0.2">
      <c r="E3058" s="285"/>
      <c r="F3058" s="286"/>
      <c r="G3058" s="286"/>
      <c r="H3058" s="286"/>
      <c r="I3058" s="286"/>
      <c r="J3058" s="286"/>
      <c r="K3058" s="286"/>
    </row>
    <row r="3059" spans="5:11" x14ac:dyDescent="0.2">
      <c r="E3059" s="285"/>
      <c r="F3059" s="286"/>
      <c r="G3059" s="286"/>
      <c r="H3059" s="286"/>
      <c r="I3059" s="286"/>
      <c r="J3059" s="286"/>
      <c r="K3059" s="286"/>
    </row>
    <row r="3060" spans="5:11" x14ac:dyDescent="0.2">
      <c r="E3060" s="285"/>
      <c r="F3060" s="286"/>
      <c r="G3060" s="286"/>
      <c r="H3060" s="286"/>
      <c r="I3060" s="286"/>
      <c r="J3060" s="286"/>
      <c r="K3060" s="286"/>
    </row>
    <row r="3061" spans="5:11" x14ac:dyDescent="0.2">
      <c r="E3061" s="285"/>
      <c r="F3061" s="286"/>
      <c r="G3061" s="286"/>
      <c r="H3061" s="286"/>
      <c r="I3061" s="286"/>
      <c r="J3061" s="286"/>
      <c r="K3061" s="286"/>
    </row>
    <row r="3062" spans="5:11" x14ac:dyDescent="0.2">
      <c r="E3062" s="285"/>
      <c r="F3062" s="286"/>
      <c r="G3062" s="286"/>
      <c r="H3062" s="286"/>
      <c r="I3062" s="286"/>
      <c r="J3062" s="286"/>
      <c r="K3062" s="286"/>
    </row>
    <row r="3063" spans="5:11" x14ac:dyDescent="0.2">
      <c r="E3063" s="285"/>
      <c r="F3063" s="286"/>
      <c r="G3063" s="286"/>
      <c r="H3063" s="286"/>
      <c r="I3063" s="286"/>
      <c r="J3063" s="286"/>
      <c r="K3063" s="286"/>
    </row>
    <row r="3064" spans="5:11" x14ac:dyDescent="0.2">
      <c r="E3064" s="285"/>
      <c r="F3064" s="286"/>
      <c r="G3064" s="286"/>
      <c r="H3064" s="286"/>
      <c r="I3064" s="286"/>
      <c r="J3064" s="286"/>
      <c r="K3064" s="286"/>
    </row>
    <row r="3065" spans="5:11" x14ac:dyDescent="0.2">
      <c r="E3065" s="285"/>
      <c r="F3065" s="286"/>
      <c r="G3065" s="286"/>
      <c r="H3065" s="286"/>
      <c r="I3065" s="286"/>
      <c r="J3065" s="286"/>
      <c r="K3065" s="286"/>
    </row>
    <row r="3066" spans="5:11" x14ac:dyDescent="0.2">
      <c r="E3066" s="285"/>
      <c r="F3066" s="286"/>
      <c r="G3066" s="286"/>
      <c r="H3066" s="286"/>
      <c r="I3066" s="286"/>
      <c r="J3066" s="286"/>
      <c r="K3066" s="286"/>
    </row>
    <row r="3067" spans="5:11" x14ac:dyDescent="0.2">
      <c r="E3067" s="285"/>
      <c r="F3067" s="286"/>
      <c r="G3067" s="286"/>
      <c r="H3067" s="286"/>
      <c r="I3067" s="286"/>
      <c r="J3067" s="286"/>
      <c r="K3067" s="286"/>
    </row>
    <row r="3068" spans="5:11" x14ac:dyDescent="0.2">
      <c r="E3068" s="577"/>
      <c r="F3068" s="577"/>
      <c r="G3068" s="577"/>
      <c r="H3068" s="577"/>
      <c r="I3068" s="577"/>
      <c r="J3068" s="577"/>
      <c r="K3068" s="577"/>
    </row>
    <row r="3069" spans="5:11" x14ac:dyDescent="0.2">
      <c r="E3069" s="285"/>
      <c r="F3069" s="286"/>
      <c r="G3069" s="286"/>
      <c r="H3069" s="286"/>
      <c r="I3069" s="286"/>
      <c r="J3069" s="286"/>
      <c r="K3069" s="286"/>
    </row>
    <row r="3070" spans="5:11" x14ac:dyDescent="0.2">
      <c r="E3070" s="285"/>
      <c r="F3070" s="286"/>
      <c r="G3070" s="286"/>
      <c r="H3070" s="286"/>
      <c r="I3070" s="286"/>
      <c r="J3070" s="286"/>
      <c r="K3070" s="286"/>
    </row>
    <row r="3071" spans="5:11" x14ac:dyDescent="0.2">
      <c r="E3071" s="285"/>
      <c r="F3071" s="286"/>
      <c r="G3071" s="286"/>
      <c r="H3071" s="286"/>
      <c r="I3071" s="286"/>
      <c r="J3071" s="286"/>
      <c r="K3071" s="286"/>
    </row>
    <row r="3072" spans="5:11" x14ac:dyDescent="0.2">
      <c r="E3072" s="285"/>
      <c r="F3072" s="286"/>
      <c r="G3072" s="286"/>
      <c r="H3072" s="286"/>
      <c r="I3072" s="286"/>
      <c r="J3072" s="286"/>
      <c r="K3072" s="286"/>
    </row>
    <row r="3073" spans="1:11" x14ac:dyDescent="0.2">
      <c r="E3073" s="285"/>
      <c r="F3073" s="286"/>
      <c r="G3073" s="286"/>
      <c r="H3073" s="286"/>
      <c r="I3073" s="286"/>
      <c r="J3073" s="286"/>
      <c r="K3073" s="286"/>
    </row>
    <row r="3074" spans="1:11" x14ac:dyDescent="0.2">
      <c r="E3074" s="285"/>
      <c r="F3074" s="286"/>
      <c r="G3074" s="286"/>
      <c r="H3074" s="286"/>
      <c r="I3074" s="286"/>
      <c r="J3074" s="286"/>
      <c r="K3074" s="286"/>
    </row>
    <row r="3075" spans="1:11" x14ac:dyDescent="0.2">
      <c r="E3075" s="285"/>
      <c r="F3075" s="286"/>
      <c r="G3075" s="286"/>
      <c r="H3075" s="286"/>
      <c r="I3075" s="286"/>
      <c r="J3075" s="286"/>
      <c r="K3075" s="286"/>
    </row>
    <row r="3076" spans="1:11" x14ac:dyDescent="0.2">
      <c r="E3076" s="285"/>
      <c r="F3076" s="286"/>
      <c r="G3076" s="286"/>
      <c r="H3076" s="286"/>
      <c r="I3076" s="286"/>
      <c r="J3076" s="286"/>
      <c r="K3076" s="286"/>
    </row>
    <row r="3077" spans="1:11" x14ac:dyDescent="0.2">
      <c r="E3077" s="285"/>
      <c r="F3077" s="286"/>
      <c r="G3077" s="286"/>
      <c r="H3077" s="286"/>
      <c r="I3077" s="286"/>
      <c r="J3077" s="286"/>
      <c r="K3077" s="286"/>
    </row>
    <row r="3078" spans="1:11" ht="14.5" x14ac:dyDescent="0.35">
      <c r="E3078" s="658"/>
      <c r="F3078" s="659"/>
      <c r="G3078" s="659"/>
      <c r="H3078" s="660"/>
      <c r="I3078" s="661"/>
      <c r="J3078" s="662"/>
      <c r="K3078" s="652"/>
    </row>
    <row r="3079" spans="1:11" ht="14.5" x14ac:dyDescent="0.35">
      <c r="E3079" s="652"/>
      <c r="F3079" s="659"/>
      <c r="G3079" s="659"/>
      <c r="H3079" s="660"/>
      <c r="I3079" s="661"/>
      <c r="J3079" s="662"/>
      <c r="K3079" s="652"/>
    </row>
    <row r="3080" spans="1:11" ht="14.5" x14ac:dyDescent="0.35">
      <c r="E3080" s="652"/>
      <c r="F3080" s="659"/>
      <c r="G3080" s="659"/>
      <c r="H3080" s="660"/>
      <c r="I3080" s="661"/>
      <c r="J3080" s="652"/>
      <c r="K3080" s="652"/>
    </row>
    <row r="3081" spans="1:11" ht="14.5" x14ac:dyDescent="0.35">
      <c r="E3081" s="652"/>
      <c r="F3081" s="659"/>
      <c r="G3081" s="659"/>
      <c r="H3081" s="660"/>
      <c r="I3081" s="661"/>
      <c r="J3081" s="662"/>
      <c r="K3081" s="652"/>
    </row>
    <row r="3082" spans="1:11" ht="14.5" x14ac:dyDescent="0.35">
      <c r="E3082" s="652"/>
      <c r="F3082" s="659"/>
      <c r="G3082" s="659"/>
      <c r="H3082" s="662"/>
      <c r="I3082" s="661"/>
      <c r="J3082" s="652"/>
      <c r="K3082" s="652"/>
    </row>
    <row r="3083" spans="1:11" x14ac:dyDescent="0.2">
      <c r="E3083" s="286"/>
      <c r="F3083" s="286"/>
      <c r="G3083" s="286"/>
      <c r="H3083" s="286"/>
      <c r="I3083" s="286"/>
      <c r="J3083" s="286"/>
      <c r="K3083" s="286"/>
    </row>
    <row r="3084" spans="1:11" x14ac:dyDescent="0.2">
      <c r="E3084" s="286"/>
      <c r="F3084" s="286"/>
      <c r="G3084" s="286"/>
      <c r="H3084" s="286"/>
      <c r="I3084" s="286"/>
      <c r="J3084" s="286"/>
      <c r="K3084" s="286"/>
    </row>
    <row r="3085" spans="1:11" x14ac:dyDescent="0.2">
      <c r="E3085" s="652"/>
      <c r="F3085" s="652"/>
      <c r="G3085" s="652"/>
      <c r="H3085" s="652"/>
      <c r="I3085" s="653"/>
      <c r="J3085" s="652"/>
      <c r="K3085" s="652"/>
    </row>
    <row r="3086" spans="1:11" x14ac:dyDescent="0.2">
      <c r="E3086" s="652"/>
      <c r="F3086" s="652"/>
      <c r="G3086" s="652"/>
      <c r="H3086" s="652"/>
      <c r="I3086" s="653"/>
      <c r="J3086" s="652"/>
      <c r="K3086" s="652"/>
    </row>
    <row r="3087" spans="1:11" x14ac:dyDescent="0.2">
      <c r="A3087" s="285"/>
      <c r="B3087" s="285"/>
      <c r="C3087" s="285"/>
      <c r="D3087" s="286"/>
      <c r="E3087" s="652"/>
      <c r="F3087" s="652"/>
      <c r="G3087" s="652"/>
      <c r="H3087" s="652"/>
      <c r="I3087" s="663"/>
      <c r="J3087" s="652"/>
      <c r="K3087" s="652"/>
    </row>
    <row r="3088" spans="1:11" x14ac:dyDescent="0.2">
      <c r="A3088" s="285"/>
      <c r="B3088" s="285"/>
      <c r="C3088" s="285"/>
      <c r="D3088" s="286"/>
      <c r="E3088" s="652"/>
      <c r="F3088" s="652"/>
      <c r="G3088" s="652"/>
      <c r="H3088" s="652"/>
      <c r="I3088" s="663"/>
      <c r="J3088" s="652"/>
      <c r="K3088" s="652"/>
    </row>
    <row r="3089" spans="1:11" x14ac:dyDescent="0.2">
      <c r="A3089" s="285"/>
      <c r="B3089" s="285"/>
      <c r="C3089" s="285"/>
      <c r="D3089" s="286"/>
      <c r="E3089" s="652"/>
      <c r="F3089" s="652"/>
      <c r="G3089" s="652"/>
      <c r="H3089" s="652"/>
      <c r="I3089" s="663"/>
      <c r="J3089" s="652"/>
      <c r="K3089" s="652"/>
    </row>
    <row r="3090" spans="1:11" x14ac:dyDescent="0.2">
      <c r="A3090" s="285"/>
      <c r="B3090" s="285"/>
      <c r="C3090" s="285"/>
      <c r="D3090" s="286"/>
      <c r="E3090" s="286"/>
      <c r="F3090" s="286"/>
      <c r="G3090" s="286"/>
      <c r="H3090" s="286"/>
      <c r="I3090" s="286"/>
      <c r="J3090" s="286"/>
      <c r="K3090" s="652"/>
    </row>
    <row r="3091" spans="1:11" x14ac:dyDescent="0.2">
      <c r="A3091" s="285"/>
      <c r="B3091" s="285"/>
      <c r="C3091" s="285"/>
      <c r="D3091" s="286"/>
      <c r="E3091" s="286"/>
      <c r="F3091" s="286"/>
      <c r="G3091" s="286"/>
      <c r="H3091" s="286"/>
      <c r="I3091" s="286"/>
      <c r="J3091" s="286"/>
      <c r="K3091" s="652"/>
    </row>
    <row r="3092" spans="1:11" x14ac:dyDescent="0.2">
      <c r="A3092" s="285"/>
      <c r="B3092" s="285"/>
      <c r="C3092" s="285"/>
      <c r="D3092" s="286"/>
      <c r="E3092" s="286"/>
      <c r="F3092" s="286"/>
      <c r="G3092" s="286"/>
      <c r="H3092" s="286"/>
      <c r="I3092" s="286"/>
      <c r="J3092" s="286"/>
      <c r="K3092" s="286"/>
    </row>
    <row r="3093" spans="1:11" x14ac:dyDescent="0.2">
      <c r="A3093" s="285"/>
      <c r="B3093" s="285"/>
      <c r="C3093" s="285"/>
      <c r="D3093" s="286"/>
      <c r="E3093" s="286"/>
      <c r="F3093" s="286"/>
      <c r="G3093" s="286"/>
      <c r="H3093" s="286"/>
      <c r="I3093" s="286"/>
      <c r="J3093" s="286"/>
      <c r="K3093" s="286"/>
    </row>
    <row r="3094" spans="1:11" x14ac:dyDescent="0.2">
      <c r="A3094" s="285"/>
      <c r="B3094" s="285"/>
      <c r="C3094" s="285"/>
      <c r="D3094" s="286"/>
      <c r="E3094" s="286"/>
      <c r="F3094" s="286"/>
      <c r="G3094" s="286"/>
      <c r="H3094" s="286"/>
      <c r="I3094" s="286"/>
      <c r="J3094" s="286"/>
      <c r="K3094" s="286"/>
    </row>
    <row r="3095" spans="1:11" x14ac:dyDescent="0.2">
      <c r="A3095" s="285"/>
      <c r="B3095" s="285"/>
      <c r="C3095" s="285"/>
      <c r="D3095" s="286"/>
      <c r="E3095" s="286"/>
      <c r="F3095" s="286"/>
      <c r="G3095" s="286"/>
      <c r="H3095" s="286"/>
      <c r="I3095" s="286"/>
      <c r="J3095" s="286"/>
      <c r="K3095" s="286"/>
    </row>
    <row r="3096" spans="1:11" x14ac:dyDescent="0.2">
      <c r="A3096" s="285"/>
      <c r="B3096" s="285"/>
      <c r="C3096" s="285"/>
      <c r="D3096" s="286"/>
      <c r="E3096" s="286"/>
      <c r="F3096" s="286"/>
      <c r="G3096" s="286"/>
      <c r="H3096" s="286"/>
      <c r="I3096" s="286"/>
      <c r="J3096" s="286"/>
      <c r="K3096" s="286"/>
    </row>
    <row r="3097" spans="1:11" x14ac:dyDescent="0.2">
      <c r="A3097" s="285"/>
      <c r="B3097" s="285"/>
      <c r="C3097" s="285"/>
      <c r="D3097" s="286"/>
      <c r="E3097" s="286"/>
      <c r="F3097" s="286"/>
      <c r="G3097" s="286"/>
      <c r="H3097" s="286"/>
      <c r="I3097" s="286"/>
      <c r="J3097" s="286"/>
      <c r="K3097" s="286"/>
    </row>
    <row r="3098" spans="1:11" x14ac:dyDescent="0.2">
      <c r="A3098" s="285"/>
      <c r="B3098" s="285"/>
      <c r="C3098" s="285"/>
      <c r="D3098" s="286"/>
      <c r="E3098" s="286"/>
      <c r="F3098" s="286"/>
      <c r="G3098" s="286"/>
      <c r="H3098" s="286"/>
      <c r="I3098" s="286"/>
      <c r="J3098" s="286"/>
      <c r="K3098" s="286"/>
    </row>
    <row r="3099" spans="1:11" x14ac:dyDescent="0.2">
      <c r="A3099" s="285"/>
      <c r="B3099" s="285"/>
      <c r="C3099" s="285"/>
      <c r="D3099" s="286"/>
      <c r="E3099" s="286"/>
      <c r="F3099" s="286"/>
      <c r="G3099" s="286"/>
      <c r="H3099" s="286"/>
      <c r="I3099" s="286"/>
      <c r="J3099" s="286"/>
      <c r="K3099" s="286"/>
    </row>
    <row r="3100" spans="1:11" x14ac:dyDescent="0.2">
      <c r="A3100" s="285"/>
      <c r="B3100" s="285"/>
      <c r="C3100" s="285"/>
      <c r="D3100" s="286"/>
      <c r="E3100" s="286"/>
      <c r="F3100" s="286"/>
      <c r="G3100" s="286"/>
      <c r="H3100" s="286"/>
      <c r="I3100" s="286"/>
      <c r="J3100" s="286"/>
      <c r="K3100" s="286"/>
    </row>
    <row r="3101" spans="1:11" x14ac:dyDescent="0.2">
      <c r="A3101" s="285"/>
      <c r="B3101" s="285"/>
      <c r="C3101" s="285"/>
      <c r="D3101" s="286"/>
      <c r="E3101" s="286"/>
      <c r="F3101" s="286"/>
      <c r="G3101" s="286"/>
      <c r="H3101" s="286"/>
      <c r="I3101" s="286"/>
      <c r="J3101" s="286"/>
      <c r="K3101" s="286"/>
    </row>
    <row r="3102" spans="1:11" x14ac:dyDescent="0.2">
      <c r="A3102" s="285"/>
      <c r="B3102" s="285"/>
      <c r="C3102" s="285"/>
      <c r="D3102" s="286"/>
      <c r="E3102" s="286"/>
      <c r="F3102" s="286"/>
      <c r="G3102" s="286"/>
      <c r="H3102" s="286"/>
      <c r="I3102" s="286"/>
      <c r="J3102" s="286"/>
      <c r="K3102" s="286"/>
    </row>
    <row r="3103" spans="1:11" x14ac:dyDescent="0.2">
      <c r="A3103" s="285"/>
      <c r="B3103" s="285"/>
      <c r="C3103" s="285"/>
      <c r="D3103" s="286"/>
      <c r="E3103" s="286"/>
      <c r="F3103" s="286"/>
      <c r="G3103" s="286"/>
      <c r="H3103" s="286"/>
      <c r="I3103" s="286"/>
      <c r="J3103" s="286"/>
      <c r="K3103" s="286"/>
    </row>
    <row r="3104" spans="1:11" x14ac:dyDescent="0.2">
      <c r="A3104" s="285"/>
      <c r="B3104" s="285"/>
      <c r="C3104" s="285"/>
      <c r="D3104" s="286"/>
      <c r="E3104" s="286"/>
      <c r="F3104" s="286"/>
      <c r="G3104" s="286"/>
      <c r="H3104" s="286"/>
      <c r="I3104" s="286"/>
      <c r="J3104" s="286"/>
      <c r="K3104" s="286"/>
    </row>
    <row r="3105" spans="1:11" x14ac:dyDescent="0.2">
      <c r="E3105" s="286"/>
      <c r="F3105" s="286"/>
      <c r="G3105" s="286"/>
      <c r="H3105" s="286"/>
      <c r="I3105" s="286"/>
      <c r="J3105" s="286"/>
      <c r="K3105" s="286"/>
    </row>
    <row r="3106" spans="1:11" x14ac:dyDescent="0.2">
      <c r="A3106" s="285"/>
      <c r="B3106" s="285"/>
      <c r="C3106" s="285"/>
      <c r="D3106" s="285"/>
      <c r="E3106" s="286"/>
      <c r="F3106" s="286"/>
      <c r="G3106" s="286"/>
      <c r="H3106" s="286"/>
      <c r="I3106" s="286"/>
      <c r="J3106" s="286"/>
      <c r="K3106" s="286"/>
    </row>
    <row r="3107" spans="1:11" x14ac:dyDescent="0.2">
      <c r="A3107" s="285"/>
      <c r="B3107" s="285"/>
      <c r="C3107" s="285"/>
      <c r="D3107" s="285"/>
      <c r="E3107" s="286"/>
      <c r="F3107" s="286"/>
      <c r="G3107" s="286"/>
      <c r="H3107" s="286"/>
      <c r="I3107" s="286"/>
      <c r="J3107" s="286"/>
      <c r="K3107" s="286"/>
    </row>
    <row r="3108" spans="1:11" x14ac:dyDescent="0.2">
      <c r="A3108" s="285"/>
      <c r="B3108" s="285"/>
      <c r="C3108" s="285"/>
      <c r="D3108" s="285"/>
      <c r="E3108" s="286"/>
      <c r="F3108" s="286"/>
      <c r="G3108" s="286"/>
      <c r="H3108" s="286"/>
      <c r="I3108" s="286"/>
      <c r="J3108" s="286"/>
      <c r="K3108" s="286"/>
    </row>
    <row r="3109" spans="1:11" x14ac:dyDescent="0.2">
      <c r="A3109" s="285"/>
      <c r="B3109" s="285"/>
      <c r="C3109" s="285"/>
      <c r="D3109" s="285"/>
      <c r="E3109" s="286"/>
      <c r="F3109" s="286"/>
      <c r="G3109" s="286"/>
      <c r="H3109" s="286"/>
      <c r="I3109" s="286"/>
      <c r="J3109" s="286"/>
      <c r="K3109" s="286"/>
    </row>
    <row r="3110" spans="1:11" x14ac:dyDescent="0.2">
      <c r="A3110" s="285"/>
      <c r="B3110" s="285"/>
      <c r="C3110" s="285"/>
      <c r="D3110" s="285"/>
      <c r="E3110" s="286"/>
      <c r="F3110" s="286"/>
      <c r="G3110" s="286"/>
      <c r="H3110" s="286"/>
      <c r="I3110" s="286"/>
      <c r="J3110" s="286"/>
      <c r="K3110" s="286"/>
    </row>
    <row r="3111" spans="1:11" x14ac:dyDescent="0.2">
      <c r="A3111" s="285"/>
      <c r="B3111" s="285"/>
      <c r="C3111" s="285"/>
      <c r="D3111" s="285"/>
      <c r="E3111" s="286"/>
      <c r="F3111" s="286"/>
      <c r="G3111" s="286"/>
      <c r="H3111" s="286"/>
      <c r="I3111" s="286"/>
      <c r="J3111" s="286"/>
      <c r="K3111" s="286"/>
    </row>
    <row r="3112" spans="1:11" ht="10.5" x14ac:dyDescent="0.2">
      <c r="A3112" s="285"/>
      <c r="B3112" s="285"/>
      <c r="C3112" s="285"/>
      <c r="D3112" s="285"/>
      <c r="E3112" s="578"/>
      <c r="F3112" s="286"/>
      <c r="G3112" s="286"/>
      <c r="H3112" s="286"/>
      <c r="I3112" s="286"/>
      <c r="J3112" s="286"/>
      <c r="K3112" s="286"/>
    </row>
    <row r="3113" spans="1:11" x14ac:dyDescent="0.2">
      <c r="A3113" s="285"/>
      <c r="B3113" s="285"/>
      <c r="C3113" s="285"/>
      <c r="D3113" s="285"/>
      <c r="E3113" s="286"/>
      <c r="F3113" s="286"/>
      <c r="G3113" s="286"/>
      <c r="H3113" s="286"/>
      <c r="I3113" s="286"/>
      <c r="J3113" s="286"/>
      <c r="K3113" s="286"/>
    </row>
    <row r="3114" spans="1:11" x14ac:dyDescent="0.2">
      <c r="A3114" s="285"/>
      <c r="B3114" s="285"/>
      <c r="C3114" s="285"/>
      <c r="D3114" s="285"/>
      <c r="E3114" s="286"/>
      <c r="F3114" s="286"/>
      <c r="G3114" s="286"/>
      <c r="H3114" s="286"/>
      <c r="I3114" s="286"/>
      <c r="J3114" s="286"/>
      <c r="K3114" s="286"/>
    </row>
    <row r="3115" spans="1:11" x14ac:dyDescent="0.2">
      <c r="A3115" s="285"/>
      <c r="B3115" s="285"/>
      <c r="C3115" s="285"/>
      <c r="D3115" s="285"/>
      <c r="E3115" s="286"/>
      <c r="F3115" s="286"/>
      <c r="G3115" s="286"/>
      <c r="H3115" s="286"/>
      <c r="I3115" s="286"/>
      <c r="J3115" s="286"/>
      <c r="K3115" s="286"/>
    </row>
    <row r="3116" spans="1:11" x14ac:dyDescent="0.2">
      <c r="A3116" s="285"/>
      <c r="B3116" s="285"/>
      <c r="C3116" s="285"/>
      <c r="D3116" s="285"/>
      <c r="E3116" s="286"/>
      <c r="F3116" s="285"/>
      <c r="G3116" s="286"/>
      <c r="H3116" s="286"/>
      <c r="I3116" s="286"/>
      <c r="J3116" s="286"/>
      <c r="K3116" s="286"/>
    </row>
    <row r="3117" spans="1:11" x14ac:dyDescent="0.2">
      <c r="A3117" s="285"/>
      <c r="B3117" s="285"/>
      <c r="C3117" s="285"/>
      <c r="D3117" s="285"/>
      <c r="E3117" s="286"/>
      <c r="F3117" s="286"/>
      <c r="G3117" s="286"/>
      <c r="H3117" s="286"/>
      <c r="I3117" s="286"/>
      <c r="J3117" s="286"/>
      <c r="K3117" s="286"/>
    </row>
    <row r="3118" spans="1:11" x14ac:dyDescent="0.2">
      <c r="A3118" s="285"/>
      <c r="B3118" s="285"/>
      <c r="C3118" s="285"/>
      <c r="D3118" s="285"/>
      <c r="E3118" s="286"/>
      <c r="F3118" s="286"/>
      <c r="G3118" s="286"/>
      <c r="H3118" s="286"/>
      <c r="I3118" s="286"/>
      <c r="J3118" s="286"/>
      <c r="K3118" s="286"/>
    </row>
    <row r="3119" spans="1:11" x14ac:dyDescent="0.2">
      <c r="A3119" s="285"/>
      <c r="B3119" s="285"/>
      <c r="C3119" s="285"/>
      <c r="D3119" s="285"/>
      <c r="E3119" s="286"/>
      <c r="F3119" s="286"/>
      <c r="G3119" s="286"/>
      <c r="H3119" s="286"/>
      <c r="I3119" s="286"/>
      <c r="J3119" s="286"/>
      <c r="K3119" s="286"/>
    </row>
    <row r="3120" spans="1:11" x14ac:dyDescent="0.2">
      <c r="A3120" s="285"/>
      <c r="B3120" s="285"/>
      <c r="C3120" s="285"/>
      <c r="D3120" s="285"/>
      <c r="E3120" s="286"/>
      <c r="F3120" s="286"/>
      <c r="G3120" s="286"/>
      <c r="H3120" s="286"/>
      <c r="I3120" s="286"/>
      <c r="J3120" s="286"/>
      <c r="K3120" s="286"/>
    </row>
    <row r="3121" spans="1:11" x14ac:dyDescent="0.2">
      <c r="A3121" s="285"/>
      <c r="B3121" s="285"/>
      <c r="C3121" s="285"/>
      <c r="D3121" s="285"/>
      <c r="E3121" s="286"/>
      <c r="F3121" s="286"/>
      <c r="G3121" s="286"/>
      <c r="H3121" s="286"/>
      <c r="I3121" s="286"/>
      <c r="J3121" s="286"/>
      <c r="K3121" s="286"/>
    </row>
    <row r="3122" spans="1:11" x14ac:dyDescent="0.2">
      <c r="A3122" s="285"/>
      <c r="B3122" s="285"/>
      <c r="C3122" s="285"/>
      <c r="D3122" s="285"/>
      <c r="E3122" s="528"/>
      <c r="F3122" s="528"/>
      <c r="G3122" s="528"/>
      <c r="H3122" s="528"/>
      <c r="I3122" s="528"/>
      <c r="J3122" s="528"/>
      <c r="K3122" s="528"/>
    </row>
    <row r="3123" spans="1:11" x14ac:dyDescent="0.2">
      <c r="A3123" s="285"/>
      <c r="B3123" s="285"/>
      <c r="C3123" s="285"/>
      <c r="D3123" s="285"/>
      <c r="E3123" s="579"/>
      <c r="F3123" s="286"/>
      <c r="G3123" s="286"/>
      <c r="H3123" s="286"/>
      <c r="I3123" s="286"/>
      <c r="J3123" s="286"/>
      <c r="K3123" s="286"/>
    </row>
    <row r="3124" spans="1:11" x14ac:dyDescent="0.2">
      <c r="A3124" s="285"/>
      <c r="B3124" s="285"/>
      <c r="C3124" s="285"/>
      <c r="D3124" s="285"/>
      <c r="E3124" s="580"/>
      <c r="F3124" s="286"/>
      <c r="G3124" s="286"/>
      <c r="H3124" s="286"/>
      <c r="I3124" s="286"/>
      <c r="J3124" s="286"/>
      <c r="K3124" s="286"/>
    </row>
    <row r="3125" spans="1:11" x14ac:dyDescent="0.2">
      <c r="A3125" s="285"/>
      <c r="B3125" s="285"/>
      <c r="C3125" s="285"/>
      <c r="D3125" s="285"/>
      <c r="E3125" s="286"/>
      <c r="F3125" s="286"/>
      <c r="G3125" s="286"/>
      <c r="H3125" s="286"/>
      <c r="I3125" s="286"/>
      <c r="J3125" s="286"/>
      <c r="K3125" s="286"/>
    </row>
    <row r="3126" spans="1:11" x14ac:dyDescent="0.2">
      <c r="A3126" s="285"/>
      <c r="B3126" s="285"/>
      <c r="C3126" s="285"/>
      <c r="D3126" s="285"/>
      <c r="E3126" s="286"/>
      <c r="F3126" s="285"/>
      <c r="G3126" s="285"/>
      <c r="H3126" s="286"/>
      <c r="I3126" s="286"/>
      <c r="J3126" s="286"/>
      <c r="K3126" s="286"/>
    </row>
    <row r="3127" spans="1:11" x14ac:dyDescent="0.2">
      <c r="A3127" s="285"/>
      <c r="B3127" s="285"/>
      <c r="C3127" s="285"/>
      <c r="D3127" s="285"/>
      <c r="E3127" s="286"/>
      <c r="F3127" s="285"/>
      <c r="G3127" s="285"/>
      <c r="H3127" s="286"/>
      <c r="I3127" s="286"/>
      <c r="J3127" s="286"/>
      <c r="K3127" s="286"/>
    </row>
    <row r="3128" spans="1:11" x14ac:dyDescent="0.2">
      <c r="A3128" s="285"/>
      <c r="B3128" s="285"/>
      <c r="C3128" s="285"/>
      <c r="D3128" s="285"/>
      <c r="E3128" s="286"/>
      <c r="F3128" s="285"/>
      <c r="G3128" s="286"/>
      <c r="H3128" s="286"/>
      <c r="I3128" s="286"/>
      <c r="J3128" s="286"/>
      <c r="K3128" s="286"/>
    </row>
    <row r="3129" spans="1:11" x14ac:dyDescent="0.2">
      <c r="A3129" s="285"/>
      <c r="B3129" s="285"/>
      <c r="C3129" s="285"/>
      <c r="D3129" s="285"/>
      <c r="E3129" s="286"/>
      <c r="F3129" s="286"/>
      <c r="G3129" s="286"/>
      <c r="H3129" s="286"/>
      <c r="I3129" s="292"/>
      <c r="J3129" s="286"/>
      <c r="K3129" s="286"/>
    </row>
    <row r="3130" spans="1:11" x14ac:dyDescent="0.2">
      <c r="A3130" s="285"/>
      <c r="B3130" s="285"/>
      <c r="C3130" s="285"/>
      <c r="D3130" s="285"/>
      <c r="E3130" s="286"/>
      <c r="F3130" s="286"/>
      <c r="G3130" s="286"/>
      <c r="H3130" s="286"/>
      <c r="I3130" s="292"/>
      <c r="J3130" s="286"/>
      <c r="K3130" s="286"/>
    </row>
    <row r="3131" spans="1:11" x14ac:dyDescent="0.2">
      <c r="A3131" s="285"/>
      <c r="B3131" s="285"/>
      <c r="C3131" s="285"/>
      <c r="D3131" s="285"/>
      <c r="E3131" s="286"/>
      <c r="F3131" s="286"/>
      <c r="G3131" s="286"/>
      <c r="H3131" s="286"/>
      <c r="I3131" s="292"/>
      <c r="J3131" s="286"/>
      <c r="K3131" s="286"/>
    </row>
    <row r="3132" spans="1:11" x14ac:dyDescent="0.2">
      <c r="A3132" s="285"/>
      <c r="B3132" s="285"/>
      <c r="C3132" s="285"/>
      <c r="E3132" s="286"/>
      <c r="F3132" s="286"/>
      <c r="G3132" s="286"/>
      <c r="H3132" s="286"/>
      <c r="I3132" s="292"/>
      <c r="J3132" s="286"/>
      <c r="K3132" s="286"/>
    </row>
    <row r="3133" spans="1:11" x14ac:dyDescent="0.2">
      <c r="A3133" s="285"/>
      <c r="B3133" s="285"/>
      <c r="C3133" s="285"/>
      <c r="E3133" s="286"/>
      <c r="F3133" s="286"/>
      <c r="G3133" s="286"/>
      <c r="H3133" s="286"/>
      <c r="I3133" s="292"/>
      <c r="J3133" s="286"/>
      <c r="K3133" s="286"/>
    </row>
    <row r="3134" spans="1:11" x14ac:dyDescent="0.2">
      <c r="A3134" s="285"/>
      <c r="B3134" s="285"/>
      <c r="C3134" s="285"/>
      <c r="E3134" s="286"/>
      <c r="F3134" s="286"/>
      <c r="G3134" s="286"/>
      <c r="H3134" s="286"/>
      <c r="I3134" s="292"/>
      <c r="J3134" s="286"/>
      <c r="K3134" s="286"/>
    </row>
    <row r="3135" spans="1:11" x14ac:dyDescent="0.2">
      <c r="A3135" s="285"/>
      <c r="B3135" s="285"/>
      <c r="C3135" s="285"/>
      <c r="E3135" s="286"/>
      <c r="F3135" s="286"/>
      <c r="G3135" s="286"/>
      <c r="H3135" s="286"/>
      <c r="I3135" s="292"/>
      <c r="J3135" s="286"/>
      <c r="K3135" s="286"/>
    </row>
    <row r="3136" spans="1:11" x14ac:dyDescent="0.2">
      <c r="A3136" s="285"/>
      <c r="B3136" s="285"/>
      <c r="C3136" s="285"/>
      <c r="E3136" s="286"/>
      <c r="F3136" s="286"/>
      <c r="G3136" s="286"/>
      <c r="H3136" s="286"/>
      <c r="I3136" s="292"/>
      <c r="J3136" s="286"/>
      <c r="K3136" s="286"/>
    </row>
    <row r="3137" spans="1:11" x14ac:dyDescent="0.2">
      <c r="A3137" s="285"/>
      <c r="B3137" s="285"/>
      <c r="C3137" s="285"/>
      <c r="E3137" s="286"/>
      <c r="F3137" s="286"/>
      <c r="G3137" s="286"/>
      <c r="H3137" s="286"/>
      <c r="I3137" s="292"/>
      <c r="J3137" s="286"/>
      <c r="K3137" s="286"/>
    </row>
    <row r="3138" spans="1:11" x14ac:dyDescent="0.2">
      <c r="A3138" s="285"/>
      <c r="B3138" s="285"/>
      <c r="C3138" s="285"/>
      <c r="E3138" s="286"/>
      <c r="F3138" s="286"/>
      <c r="G3138" s="286"/>
      <c r="H3138" s="286"/>
      <c r="I3138" s="292"/>
      <c r="J3138" s="286"/>
      <c r="K3138" s="286"/>
    </row>
    <row r="3139" spans="1:11" x14ac:dyDescent="0.2">
      <c r="A3139" s="285"/>
      <c r="B3139" s="285"/>
      <c r="C3139" s="285"/>
      <c r="E3139" s="286"/>
      <c r="F3139" s="286"/>
      <c r="G3139" s="286"/>
      <c r="H3139" s="286"/>
      <c r="I3139" s="292"/>
      <c r="J3139" s="286"/>
      <c r="K3139" s="286"/>
    </row>
    <row r="3140" spans="1:11" x14ac:dyDescent="0.2">
      <c r="A3140" s="285"/>
      <c r="B3140" s="285"/>
      <c r="C3140" s="285"/>
      <c r="E3140" s="286"/>
      <c r="F3140" s="286"/>
      <c r="G3140" s="286"/>
      <c r="H3140" s="286"/>
      <c r="I3140" s="286"/>
      <c r="J3140" s="286"/>
      <c r="K3140" s="286"/>
    </row>
    <row r="3141" spans="1:11" x14ac:dyDescent="0.2">
      <c r="E3141" s="286"/>
      <c r="F3141" s="286"/>
      <c r="G3141" s="286"/>
      <c r="H3141" s="286"/>
      <c r="I3141" s="286"/>
      <c r="J3141" s="286"/>
      <c r="K3141" s="286"/>
    </row>
    <row r="3142" spans="1:11" x14ac:dyDescent="0.2">
      <c r="E3142" s="286"/>
      <c r="F3142" s="286"/>
      <c r="G3142" s="286"/>
      <c r="H3142" s="286"/>
      <c r="I3142" s="286"/>
      <c r="J3142" s="286"/>
      <c r="K3142" s="286"/>
    </row>
    <row r="3143" spans="1:11" x14ac:dyDescent="0.2">
      <c r="E3143" s="286"/>
      <c r="F3143" s="286"/>
      <c r="G3143" s="286"/>
      <c r="H3143" s="286"/>
      <c r="I3143" s="286"/>
      <c r="J3143" s="286"/>
      <c r="K3143" s="286"/>
    </row>
    <row r="3144" spans="1:11" x14ac:dyDescent="0.2">
      <c r="E3144" s="286"/>
      <c r="F3144" s="286"/>
      <c r="G3144" s="286"/>
      <c r="H3144" s="286"/>
      <c r="I3144" s="286"/>
      <c r="J3144" s="286"/>
      <c r="K3144" s="286"/>
    </row>
    <row r="3145" spans="1:11" x14ac:dyDescent="0.2">
      <c r="E3145" s="286"/>
      <c r="F3145" s="286"/>
      <c r="G3145" s="286"/>
      <c r="H3145" s="286"/>
      <c r="I3145" s="286"/>
      <c r="J3145" s="286"/>
      <c r="K3145" s="286"/>
    </row>
    <row r="3146" spans="1:11" x14ac:dyDescent="0.2">
      <c r="E3146" s="286"/>
      <c r="F3146" s="286"/>
      <c r="G3146" s="286"/>
      <c r="H3146" s="286"/>
      <c r="I3146" s="286"/>
      <c r="J3146" s="286"/>
      <c r="K3146" s="286"/>
    </row>
    <row r="3147" spans="1:11" x14ac:dyDescent="0.2">
      <c r="E3147" s="286"/>
      <c r="F3147" s="286"/>
      <c r="G3147" s="286"/>
      <c r="H3147" s="286"/>
      <c r="I3147" s="286"/>
      <c r="J3147" s="286"/>
      <c r="K3147" s="286"/>
    </row>
    <row r="3148" spans="1:11" x14ac:dyDescent="0.2">
      <c r="E3148" s="286"/>
      <c r="F3148" s="286"/>
      <c r="G3148" s="286"/>
      <c r="H3148" s="286"/>
      <c r="I3148" s="286"/>
      <c r="J3148" s="286"/>
      <c r="K3148" s="286"/>
    </row>
    <row r="3149" spans="1:11" x14ac:dyDescent="0.2">
      <c r="E3149" s="286"/>
      <c r="F3149" s="286"/>
      <c r="G3149" s="286"/>
      <c r="H3149" s="286"/>
      <c r="I3149" s="286"/>
      <c r="J3149" s="286"/>
      <c r="K3149" s="286"/>
    </row>
    <row r="3150" spans="1:11" x14ac:dyDescent="0.2">
      <c r="E3150" s="286"/>
      <c r="F3150" s="286"/>
      <c r="G3150" s="286"/>
      <c r="H3150" s="286"/>
      <c r="I3150" s="292"/>
      <c r="K3150" s="286"/>
    </row>
    <row r="3151" spans="1:11" x14ac:dyDescent="0.2">
      <c r="E3151" s="286"/>
      <c r="F3151" s="286"/>
      <c r="G3151" s="286"/>
      <c r="H3151" s="286"/>
      <c r="I3151" s="292"/>
      <c r="J3151" s="286"/>
      <c r="K3151" s="286"/>
    </row>
    <row r="3152" spans="1:11" x14ac:dyDescent="0.2">
      <c r="E3152" s="286"/>
      <c r="F3152" s="286"/>
      <c r="H3152" s="286"/>
      <c r="I3152" s="292"/>
      <c r="J3152" s="286"/>
      <c r="K3152" s="286"/>
    </row>
    <row r="3153" spans="4:11" x14ac:dyDescent="0.2">
      <c r="E3153" s="286"/>
      <c r="F3153" s="286"/>
      <c r="G3153" s="286"/>
      <c r="H3153" s="286"/>
      <c r="I3153" s="292"/>
      <c r="J3153" s="286"/>
      <c r="K3153" s="286"/>
    </row>
    <row r="3154" spans="4:11" x14ac:dyDescent="0.2">
      <c r="E3154" s="286"/>
      <c r="F3154" s="286"/>
      <c r="G3154" s="286"/>
      <c r="H3154" s="286"/>
      <c r="I3154" s="292"/>
      <c r="J3154" s="286"/>
      <c r="K3154" s="286"/>
    </row>
    <row r="3155" spans="4:11" x14ac:dyDescent="0.2">
      <c r="E3155" s="286"/>
      <c r="F3155" s="286"/>
      <c r="G3155" s="286"/>
      <c r="H3155" s="286"/>
      <c r="I3155" s="292"/>
      <c r="J3155" s="286"/>
      <c r="K3155" s="286"/>
    </row>
    <row r="3156" spans="4:11" x14ac:dyDescent="0.2">
      <c r="E3156" s="286"/>
      <c r="F3156" s="286"/>
      <c r="G3156" s="286"/>
      <c r="H3156" s="286"/>
      <c r="I3156" s="292"/>
      <c r="J3156" s="286"/>
      <c r="K3156" s="286"/>
    </row>
    <row r="3157" spans="4:11" x14ac:dyDescent="0.2">
      <c r="E3157" s="286"/>
      <c r="F3157" s="286"/>
      <c r="G3157" s="286"/>
      <c r="H3157" s="286"/>
      <c r="I3157" s="292"/>
      <c r="J3157" s="286"/>
      <c r="K3157" s="286"/>
    </row>
    <row r="3158" spans="4:11" x14ac:dyDescent="0.2">
      <c r="D3158" s="285"/>
      <c r="E3158" s="288"/>
      <c r="F3158" s="286"/>
      <c r="G3158" s="286"/>
      <c r="H3158" s="286"/>
      <c r="I3158" s="286"/>
      <c r="J3158" s="286"/>
      <c r="K3158" s="286"/>
    </row>
    <row r="3159" spans="4:11" x14ac:dyDescent="0.2">
      <c r="D3159" s="285"/>
      <c r="E3159" s="288"/>
      <c r="F3159" s="286"/>
      <c r="G3159" s="286"/>
      <c r="H3159" s="286"/>
      <c r="I3159" s="286"/>
      <c r="J3159" s="286"/>
      <c r="K3159" s="286"/>
    </row>
    <row r="3160" spans="4:11" x14ac:dyDescent="0.2">
      <c r="D3160" s="285"/>
      <c r="E3160" s="288"/>
      <c r="F3160" s="286"/>
      <c r="G3160" s="286"/>
      <c r="H3160" s="286"/>
      <c r="I3160" s="286"/>
      <c r="J3160" s="286"/>
      <c r="K3160" s="286"/>
    </row>
    <row r="3161" spans="4:11" x14ac:dyDescent="0.2">
      <c r="D3161" s="285"/>
      <c r="E3161" s="288"/>
      <c r="F3161" s="286"/>
      <c r="G3161" s="286"/>
      <c r="H3161" s="286"/>
      <c r="I3161" s="286"/>
      <c r="J3161" s="286"/>
      <c r="K3161" s="286"/>
    </row>
    <row r="3162" spans="4:11" x14ac:dyDescent="0.2">
      <c r="D3162" s="285"/>
      <c r="E3162" s="288"/>
      <c r="F3162" s="286"/>
      <c r="G3162" s="286"/>
      <c r="H3162" s="286"/>
      <c r="I3162" s="286"/>
      <c r="K3162" s="286"/>
    </row>
    <row r="3163" spans="4:11" x14ac:dyDescent="0.2">
      <c r="D3163" s="285"/>
      <c r="E3163" s="288"/>
      <c r="F3163" s="286"/>
      <c r="G3163" s="286"/>
      <c r="H3163" s="286"/>
      <c r="I3163" s="286"/>
      <c r="J3163" s="286"/>
      <c r="K3163" s="286"/>
    </row>
    <row r="3164" spans="4:11" x14ac:dyDescent="0.2">
      <c r="D3164" s="285"/>
      <c r="E3164" s="288"/>
      <c r="F3164" s="286"/>
      <c r="G3164" s="286"/>
      <c r="H3164" s="286"/>
      <c r="I3164" s="286"/>
      <c r="K3164" s="286"/>
    </row>
    <row r="3165" spans="4:11" x14ac:dyDescent="0.2">
      <c r="D3165" s="285"/>
      <c r="E3165" s="288"/>
      <c r="F3165" s="286"/>
      <c r="G3165" s="286"/>
      <c r="H3165" s="286"/>
      <c r="I3165" s="286"/>
      <c r="K3165" s="286"/>
    </row>
    <row r="3166" spans="4:11" x14ac:dyDescent="0.2">
      <c r="D3166" s="285"/>
      <c r="E3166" s="288"/>
      <c r="F3166" s="286"/>
      <c r="G3166" s="286"/>
      <c r="H3166" s="286"/>
      <c r="I3166" s="286"/>
      <c r="K3166" s="286"/>
    </row>
    <row r="3167" spans="4:11" x14ac:dyDescent="0.2">
      <c r="D3167" s="285"/>
      <c r="E3167" s="288"/>
      <c r="F3167" s="286"/>
      <c r="G3167" s="286"/>
      <c r="H3167" s="286"/>
      <c r="I3167" s="286"/>
      <c r="J3167" s="286"/>
      <c r="K3167" s="286"/>
    </row>
    <row r="3168" spans="4:11" x14ac:dyDescent="0.2">
      <c r="D3168" s="285"/>
      <c r="E3168" s="288"/>
      <c r="F3168" s="286"/>
      <c r="G3168" s="286"/>
      <c r="H3168" s="286"/>
      <c r="I3168" s="286"/>
      <c r="J3168" s="286"/>
      <c r="K3168" s="286"/>
    </row>
    <row r="3169" spans="1:11" x14ac:dyDescent="0.2">
      <c r="E3169" s="315"/>
      <c r="F3169" s="316"/>
      <c r="G3169" s="316"/>
      <c r="H3169" s="316"/>
      <c r="I3169" s="317"/>
      <c r="J3169" s="288"/>
      <c r="K3169" s="288"/>
    </row>
    <row r="3170" spans="1:11" x14ac:dyDescent="0.2">
      <c r="A3170" s="285"/>
      <c r="B3170" s="285"/>
      <c r="C3170" s="285"/>
      <c r="D3170" s="286"/>
      <c r="E3170" s="288"/>
      <c r="F3170" s="288"/>
      <c r="G3170" s="288"/>
      <c r="H3170" s="288"/>
      <c r="I3170" s="289"/>
      <c r="J3170" s="288"/>
      <c r="K3170" s="288"/>
    </row>
    <row r="3171" spans="1:11" x14ac:dyDescent="0.2">
      <c r="A3171" s="285"/>
      <c r="B3171" s="285"/>
      <c r="C3171" s="285"/>
      <c r="D3171" s="286"/>
      <c r="E3171" s="286"/>
      <c r="F3171" s="286"/>
      <c r="G3171" s="286"/>
      <c r="H3171" s="286"/>
      <c r="I3171" s="286"/>
      <c r="J3171" s="286"/>
      <c r="K3171" s="286"/>
    </row>
    <row r="3172" spans="1:11" x14ac:dyDescent="0.2">
      <c r="A3172" s="285"/>
      <c r="B3172" s="285"/>
      <c r="C3172" s="285"/>
      <c r="D3172" s="286"/>
      <c r="E3172" s="286"/>
      <c r="F3172" s="286"/>
      <c r="G3172" s="286"/>
      <c r="H3172" s="286"/>
      <c r="I3172" s="286"/>
      <c r="J3172" s="286"/>
      <c r="K3172" s="286"/>
    </row>
    <row r="3173" spans="1:11" x14ac:dyDescent="0.2">
      <c r="A3173" s="285"/>
      <c r="B3173" s="285"/>
      <c r="C3173" s="285"/>
      <c r="D3173" s="286"/>
      <c r="E3173" s="286"/>
      <c r="F3173" s="286"/>
      <c r="G3173" s="286"/>
      <c r="H3173" s="286"/>
      <c r="I3173" s="286"/>
      <c r="J3173" s="286"/>
      <c r="K3173" s="286"/>
    </row>
    <row r="3174" spans="1:11" x14ac:dyDescent="0.2">
      <c r="A3174" s="285"/>
      <c r="B3174" s="285"/>
      <c r="C3174" s="285"/>
      <c r="D3174" s="286"/>
      <c r="E3174" s="286"/>
      <c r="F3174" s="286"/>
      <c r="G3174" s="286"/>
      <c r="H3174" s="286"/>
      <c r="I3174" s="286"/>
      <c r="J3174" s="286"/>
      <c r="K3174" s="286"/>
    </row>
    <row r="3175" spans="1:11" x14ac:dyDescent="0.2">
      <c r="A3175" s="285"/>
      <c r="B3175" s="285"/>
      <c r="C3175" s="285"/>
      <c r="D3175" s="286"/>
      <c r="E3175" s="286"/>
      <c r="F3175" s="286"/>
      <c r="G3175" s="286"/>
      <c r="H3175" s="286"/>
      <c r="I3175" s="286"/>
      <c r="J3175" s="286"/>
      <c r="K3175" s="286"/>
    </row>
    <row r="3176" spans="1:11" x14ac:dyDescent="0.2">
      <c r="A3176" s="285"/>
      <c r="B3176" s="285"/>
      <c r="C3176" s="285"/>
      <c r="D3176" s="286"/>
      <c r="E3176" s="286"/>
      <c r="F3176" s="286"/>
      <c r="G3176" s="286"/>
      <c r="H3176" s="286"/>
      <c r="I3176" s="286"/>
      <c r="J3176" s="286"/>
      <c r="K3176" s="286"/>
    </row>
    <row r="3177" spans="1:11" x14ac:dyDescent="0.2">
      <c r="A3177" s="285"/>
      <c r="B3177" s="285"/>
      <c r="C3177" s="285"/>
      <c r="D3177" s="286"/>
      <c r="E3177" s="286"/>
      <c r="F3177" s="286"/>
      <c r="G3177" s="286"/>
      <c r="H3177" s="286"/>
      <c r="I3177" s="286"/>
      <c r="J3177" s="286"/>
      <c r="K3177" s="286"/>
    </row>
    <row r="3178" spans="1:11" x14ac:dyDescent="0.2">
      <c r="A3178" s="285"/>
      <c r="B3178" s="285"/>
      <c r="C3178" s="285"/>
      <c r="D3178" s="286"/>
      <c r="E3178" s="286"/>
      <c r="F3178" s="286"/>
      <c r="G3178" s="286"/>
      <c r="H3178" s="286"/>
      <c r="I3178" s="286"/>
      <c r="J3178" s="286"/>
      <c r="K3178" s="286"/>
    </row>
    <row r="3179" spans="1:11" x14ac:dyDescent="0.2">
      <c r="A3179" s="285"/>
      <c r="B3179" s="285"/>
      <c r="C3179" s="285"/>
      <c r="D3179" s="286"/>
      <c r="E3179" s="286"/>
      <c r="F3179" s="286"/>
      <c r="G3179" s="286"/>
      <c r="H3179" s="286"/>
      <c r="I3179" s="286"/>
      <c r="J3179" s="286"/>
      <c r="K3179" s="286"/>
    </row>
    <row r="3180" spans="1:11" x14ac:dyDescent="0.2">
      <c r="A3180" s="285"/>
      <c r="B3180" s="285"/>
      <c r="C3180" s="285"/>
      <c r="D3180" s="286"/>
      <c r="E3180" s="286"/>
      <c r="F3180" s="286"/>
      <c r="G3180" s="286"/>
      <c r="H3180" s="286"/>
      <c r="I3180" s="286"/>
      <c r="J3180" s="286"/>
      <c r="K3180" s="286"/>
    </row>
    <row r="3181" spans="1:11" x14ac:dyDescent="0.2">
      <c r="A3181" s="285"/>
      <c r="B3181" s="285"/>
      <c r="C3181" s="285"/>
      <c r="D3181" s="286"/>
      <c r="E3181" s="286"/>
      <c r="F3181" s="286"/>
      <c r="G3181" s="286"/>
      <c r="H3181" s="286"/>
      <c r="I3181" s="286"/>
      <c r="J3181" s="286"/>
      <c r="K3181" s="286"/>
    </row>
    <row r="3182" spans="1:11" x14ac:dyDescent="0.2">
      <c r="A3182" s="285"/>
      <c r="B3182" s="285"/>
      <c r="C3182" s="285"/>
      <c r="D3182" s="286"/>
      <c r="E3182" s="286"/>
      <c r="F3182" s="286"/>
      <c r="G3182" s="286"/>
      <c r="H3182" s="286"/>
      <c r="I3182" s="286"/>
      <c r="J3182" s="286"/>
      <c r="K3182" s="286"/>
    </row>
    <row r="3183" spans="1:11" x14ac:dyDescent="0.2">
      <c r="E3183" s="286"/>
      <c r="F3183" s="286"/>
      <c r="G3183" s="286"/>
      <c r="H3183" s="286"/>
      <c r="I3183" s="286"/>
      <c r="J3183" s="286"/>
      <c r="K3183" s="286"/>
    </row>
    <row r="3184" spans="1:11" x14ac:dyDescent="0.2">
      <c r="E3184" s="286"/>
      <c r="F3184" s="286"/>
      <c r="G3184" s="286"/>
      <c r="H3184" s="286"/>
      <c r="I3184" s="286"/>
      <c r="J3184" s="286"/>
      <c r="K3184" s="286"/>
    </row>
    <row r="3185" spans="5:11" x14ac:dyDescent="0.2">
      <c r="E3185" s="286"/>
      <c r="F3185" s="286"/>
      <c r="G3185" s="286"/>
      <c r="H3185" s="286"/>
      <c r="I3185" s="286"/>
      <c r="J3185" s="286"/>
      <c r="K3185" s="286"/>
    </row>
    <row r="3186" spans="5:11" x14ac:dyDescent="0.2">
      <c r="E3186" s="286"/>
      <c r="F3186" s="286"/>
      <c r="G3186" s="286"/>
      <c r="H3186" s="286"/>
      <c r="I3186" s="286"/>
      <c r="J3186" s="286"/>
      <c r="K3186" s="286"/>
    </row>
    <row r="3187" spans="5:11" x14ac:dyDescent="0.2">
      <c r="E3187" s="286"/>
      <c r="F3187" s="286"/>
      <c r="G3187" s="286"/>
      <c r="H3187" s="286"/>
      <c r="I3187" s="286"/>
      <c r="J3187" s="286"/>
      <c r="K3187" s="286"/>
    </row>
    <row r="3188" spans="5:11" x14ac:dyDescent="0.2">
      <c r="E3188" s="286"/>
      <c r="F3188" s="286"/>
      <c r="G3188" s="286"/>
      <c r="H3188" s="286"/>
      <c r="I3188" s="286"/>
      <c r="J3188" s="286"/>
      <c r="K3188" s="286"/>
    </row>
    <row r="3189" spans="5:11" x14ac:dyDescent="0.2">
      <c r="E3189" s="286"/>
      <c r="F3189" s="286"/>
      <c r="G3189" s="286"/>
      <c r="H3189" s="286"/>
      <c r="I3189" s="286"/>
      <c r="J3189" s="286"/>
      <c r="K3189" s="286"/>
    </row>
    <row r="3190" spans="5:11" x14ac:dyDescent="0.2">
      <c r="E3190" s="286"/>
      <c r="F3190" s="286"/>
      <c r="G3190" s="286"/>
      <c r="H3190" s="286"/>
      <c r="I3190" s="286"/>
      <c r="J3190" s="286"/>
      <c r="K3190" s="286"/>
    </row>
    <row r="3191" spans="5:11" x14ac:dyDescent="0.2">
      <c r="E3191" s="286"/>
      <c r="F3191" s="286"/>
      <c r="G3191" s="286"/>
      <c r="H3191" s="286"/>
      <c r="I3191" s="286"/>
      <c r="J3191" s="286"/>
      <c r="K3191" s="286"/>
    </row>
    <row r="3192" spans="5:11" x14ac:dyDescent="0.2">
      <c r="E3192" s="286"/>
      <c r="F3192" s="286"/>
      <c r="G3192" s="286"/>
      <c r="H3192" s="286"/>
      <c r="I3192" s="286"/>
      <c r="J3192" s="286"/>
      <c r="K3192" s="286"/>
    </row>
    <row r="3193" spans="5:11" x14ac:dyDescent="0.2">
      <c r="E3193" s="286"/>
      <c r="F3193" s="286"/>
      <c r="G3193" s="286"/>
      <c r="H3193" s="286"/>
      <c r="I3193" s="286"/>
      <c r="J3193" s="286"/>
      <c r="K3193" s="286"/>
    </row>
    <row r="3194" spans="5:11" x14ac:dyDescent="0.2">
      <c r="E3194" s="286"/>
      <c r="F3194" s="286"/>
      <c r="G3194" s="286"/>
      <c r="H3194" s="286"/>
      <c r="I3194" s="286"/>
      <c r="J3194" s="286"/>
      <c r="K3194" s="286"/>
    </row>
    <row r="3195" spans="5:11" x14ac:dyDescent="0.2">
      <c r="E3195" s="287"/>
      <c r="F3195" s="286"/>
      <c r="G3195" s="286"/>
      <c r="H3195" s="286"/>
      <c r="I3195" s="286"/>
      <c r="J3195" s="286"/>
      <c r="K3195" s="286"/>
    </row>
    <row r="3196" spans="5:11" x14ac:dyDescent="0.2">
      <c r="E3196" s="287"/>
      <c r="F3196" s="286"/>
      <c r="G3196" s="286"/>
      <c r="H3196" s="286"/>
      <c r="I3196" s="286"/>
      <c r="J3196" s="286"/>
      <c r="K3196" s="286"/>
    </row>
    <row r="3197" spans="5:11" x14ac:dyDescent="0.2">
      <c r="E3197" s="287"/>
      <c r="F3197" s="286"/>
      <c r="G3197" s="286"/>
      <c r="H3197" s="286"/>
      <c r="I3197" s="286"/>
      <c r="J3197" s="286"/>
      <c r="K3197" s="286"/>
    </row>
    <row r="3198" spans="5:11" x14ac:dyDescent="0.2">
      <c r="E3198" s="287"/>
      <c r="F3198" s="286"/>
      <c r="G3198" s="286"/>
      <c r="H3198" s="286"/>
      <c r="I3198" s="286"/>
      <c r="J3198" s="286"/>
      <c r="K3198" s="286"/>
    </row>
    <row r="3199" spans="5:11" x14ac:dyDescent="0.2">
      <c r="E3199" s="287"/>
      <c r="F3199" s="286"/>
      <c r="G3199" s="286"/>
      <c r="H3199" s="286"/>
      <c r="I3199" s="286"/>
      <c r="J3199" s="286"/>
      <c r="K3199" s="286"/>
    </row>
    <row r="3200" spans="5:11" x14ac:dyDescent="0.2">
      <c r="E3200" s="287"/>
      <c r="F3200" s="286"/>
      <c r="G3200" s="286"/>
      <c r="H3200" s="286"/>
      <c r="I3200" s="286"/>
      <c r="J3200" s="286"/>
      <c r="K3200" s="286"/>
    </row>
    <row r="3201" spans="1:11" x14ac:dyDescent="0.2">
      <c r="E3201" s="287"/>
      <c r="F3201" s="286"/>
      <c r="G3201" s="286"/>
      <c r="H3201" s="286"/>
      <c r="I3201" s="286"/>
      <c r="J3201" s="286"/>
      <c r="K3201" s="286"/>
    </row>
    <row r="3202" spans="1:11" x14ac:dyDescent="0.2">
      <c r="E3202" s="287"/>
      <c r="F3202" s="286"/>
      <c r="G3202" s="286"/>
      <c r="H3202" s="286"/>
      <c r="I3202" s="286"/>
      <c r="J3202" s="286"/>
      <c r="K3202" s="286"/>
    </row>
    <row r="3203" spans="1:11" x14ac:dyDescent="0.2">
      <c r="E3203" s="287"/>
      <c r="F3203" s="286"/>
      <c r="G3203" s="286"/>
      <c r="H3203" s="286"/>
      <c r="I3203" s="286"/>
      <c r="J3203" s="286"/>
      <c r="K3203" s="286"/>
    </row>
    <row r="3204" spans="1:11" x14ac:dyDescent="0.2">
      <c r="E3204" s="287"/>
      <c r="F3204" s="286"/>
      <c r="G3204" s="286"/>
      <c r="H3204" s="286"/>
      <c r="I3204" s="286"/>
      <c r="J3204" s="286"/>
      <c r="K3204" s="286"/>
    </row>
    <row r="3205" spans="1:11" x14ac:dyDescent="0.2">
      <c r="E3205" s="287"/>
      <c r="F3205" s="286"/>
      <c r="G3205" s="286"/>
      <c r="H3205" s="286"/>
      <c r="I3205" s="286"/>
      <c r="J3205" s="286"/>
      <c r="K3205" s="286"/>
    </row>
    <row r="3206" spans="1:11" x14ac:dyDescent="0.2">
      <c r="E3206" s="581"/>
      <c r="F3206" s="529"/>
      <c r="G3206" s="529"/>
      <c r="H3206" s="529"/>
      <c r="I3206" s="529"/>
      <c r="J3206" s="529"/>
      <c r="K3206" s="529"/>
    </row>
    <row r="3207" spans="1:11" x14ac:dyDescent="0.2">
      <c r="E3207" s="287"/>
      <c r="F3207" s="286"/>
      <c r="G3207" s="286"/>
      <c r="H3207" s="286"/>
      <c r="I3207" s="286"/>
      <c r="J3207" s="286"/>
      <c r="K3207" s="286"/>
    </row>
    <row r="3208" spans="1:11" x14ac:dyDescent="0.2">
      <c r="E3208" s="287"/>
      <c r="F3208" s="286"/>
      <c r="G3208" s="286"/>
      <c r="H3208" s="286"/>
      <c r="I3208" s="286"/>
      <c r="J3208" s="286"/>
      <c r="K3208" s="286"/>
    </row>
    <row r="3209" spans="1:11" x14ac:dyDescent="0.2">
      <c r="E3209" s="287"/>
      <c r="F3209" s="286"/>
      <c r="G3209" s="286"/>
      <c r="H3209" s="286"/>
      <c r="I3209" s="286"/>
      <c r="J3209" s="286"/>
      <c r="K3209" s="286"/>
    </row>
    <row r="3210" spans="1:11" x14ac:dyDescent="0.2">
      <c r="E3210" s="286"/>
      <c r="F3210" s="286"/>
      <c r="G3210" s="286"/>
      <c r="H3210" s="286"/>
      <c r="I3210" s="286"/>
      <c r="J3210" s="286"/>
      <c r="K3210" s="286"/>
    </row>
    <row r="3211" spans="1:11" x14ac:dyDescent="0.2">
      <c r="E3211" s="286"/>
      <c r="F3211" s="286"/>
      <c r="G3211" s="286"/>
      <c r="H3211" s="286"/>
      <c r="I3211" s="286"/>
      <c r="J3211" s="286"/>
      <c r="K3211" s="286"/>
    </row>
    <row r="3212" spans="1:11" x14ac:dyDescent="0.2">
      <c r="E3212" s="286"/>
      <c r="F3212" s="286"/>
      <c r="G3212" s="286"/>
      <c r="H3212" s="286"/>
      <c r="I3212" s="286"/>
      <c r="J3212" s="286"/>
      <c r="K3212" s="286"/>
    </row>
    <row r="3213" spans="1:11" x14ac:dyDescent="0.2">
      <c r="E3213" s="286"/>
      <c r="F3213" s="286"/>
      <c r="G3213" s="286"/>
      <c r="H3213" s="286"/>
      <c r="I3213" s="286"/>
      <c r="J3213" s="286"/>
      <c r="K3213" s="286"/>
    </row>
    <row r="3214" spans="1:11" x14ac:dyDescent="0.2">
      <c r="E3214" s="286"/>
      <c r="F3214" s="286"/>
      <c r="G3214" s="286"/>
      <c r="H3214" s="286"/>
      <c r="I3214" s="286"/>
      <c r="J3214" s="286"/>
      <c r="K3214" s="286"/>
    </row>
    <row r="3215" spans="1:11" x14ac:dyDescent="0.2">
      <c r="A3215" s="285"/>
      <c r="B3215" s="285"/>
      <c r="C3215" s="285"/>
      <c r="D3215" s="286"/>
      <c r="E3215" s="286"/>
      <c r="F3215" s="286"/>
      <c r="G3215" s="286"/>
      <c r="H3215" s="286"/>
      <c r="I3215" s="286"/>
      <c r="J3215" s="286"/>
      <c r="K3215" s="286"/>
    </row>
    <row r="3216" spans="1:11" x14ac:dyDescent="0.2">
      <c r="A3216" s="285"/>
      <c r="B3216" s="285"/>
      <c r="C3216" s="285"/>
      <c r="D3216" s="286"/>
      <c r="E3216" s="286"/>
      <c r="F3216" s="286"/>
      <c r="G3216" s="286"/>
      <c r="H3216" s="286"/>
      <c r="I3216" s="286"/>
      <c r="J3216" s="286"/>
      <c r="K3216" s="286"/>
    </row>
    <row r="3217" spans="1:11" x14ac:dyDescent="0.2">
      <c r="A3217" s="285"/>
      <c r="B3217" s="285"/>
      <c r="C3217" s="285"/>
      <c r="D3217" s="286"/>
      <c r="E3217" s="286"/>
      <c r="F3217" s="286"/>
      <c r="G3217" s="286"/>
      <c r="H3217" s="286"/>
      <c r="I3217" s="286"/>
      <c r="J3217" s="286"/>
      <c r="K3217" s="286"/>
    </row>
    <row r="3218" spans="1:11" x14ac:dyDescent="0.2">
      <c r="A3218" s="285"/>
      <c r="B3218" s="285"/>
      <c r="C3218" s="285"/>
      <c r="D3218" s="286"/>
      <c r="E3218" s="286"/>
      <c r="F3218" s="286"/>
      <c r="G3218" s="286"/>
      <c r="H3218" s="286"/>
      <c r="I3218" s="286"/>
      <c r="J3218" s="286"/>
      <c r="K3218" s="286"/>
    </row>
    <row r="3219" spans="1:11" x14ac:dyDescent="0.2">
      <c r="A3219" s="285"/>
      <c r="B3219" s="285"/>
      <c r="C3219" s="285"/>
      <c r="D3219" s="286"/>
      <c r="E3219" s="286"/>
      <c r="F3219" s="286"/>
      <c r="G3219" s="286"/>
      <c r="H3219" s="286"/>
      <c r="I3219" s="286"/>
      <c r="J3219" s="286"/>
      <c r="K3219" s="286"/>
    </row>
    <row r="3220" spans="1:11" x14ac:dyDescent="0.2">
      <c r="A3220" s="285"/>
      <c r="B3220" s="285"/>
      <c r="C3220" s="285"/>
      <c r="D3220" s="286"/>
      <c r="E3220" s="286"/>
      <c r="F3220" s="286"/>
      <c r="G3220" s="286"/>
      <c r="H3220" s="286"/>
      <c r="I3220" s="286"/>
      <c r="J3220" s="286"/>
      <c r="K3220" s="286"/>
    </row>
    <row r="3221" spans="1:11" x14ac:dyDescent="0.2">
      <c r="A3221" s="285"/>
      <c r="B3221" s="285"/>
      <c r="C3221" s="285"/>
      <c r="D3221" s="286"/>
      <c r="E3221" s="286"/>
      <c r="F3221" s="286"/>
      <c r="G3221" s="286"/>
      <c r="H3221" s="286"/>
      <c r="I3221" s="286"/>
      <c r="J3221" s="286"/>
      <c r="K3221" s="286"/>
    </row>
    <row r="3222" spans="1:11" x14ac:dyDescent="0.2">
      <c r="A3222" s="285"/>
      <c r="B3222" s="285"/>
      <c r="C3222" s="285"/>
      <c r="D3222" s="286"/>
      <c r="E3222" s="286"/>
      <c r="F3222" s="286"/>
      <c r="G3222" s="286"/>
      <c r="H3222" s="286"/>
      <c r="I3222" s="286"/>
      <c r="J3222" s="286"/>
      <c r="K3222" s="286"/>
    </row>
    <row r="3223" spans="1:11" x14ac:dyDescent="0.2">
      <c r="A3223" s="285"/>
      <c r="B3223" s="285"/>
      <c r="C3223" s="285"/>
      <c r="D3223" s="286"/>
      <c r="E3223" s="286"/>
      <c r="F3223" s="286"/>
      <c r="G3223" s="286"/>
      <c r="H3223" s="286"/>
      <c r="I3223" s="286"/>
      <c r="J3223" s="286"/>
      <c r="K3223" s="286"/>
    </row>
    <row r="3224" spans="1:11" x14ac:dyDescent="0.2">
      <c r="A3224" s="285"/>
      <c r="B3224" s="285"/>
      <c r="C3224" s="285"/>
      <c r="D3224" s="286"/>
      <c r="E3224" s="286"/>
      <c r="F3224" s="286"/>
      <c r="G3224" s="286"/>
      <c r="H3224" s="286"/>
      <c r="I3224" s="286"/>
      <c r="J3224" s="286"/>
      <c r="K3224" s="286"/>
    </row>
    <row r="3225" spans="1:11" x14ac:dyDescent="0.2">
      <c r="A3225" s="285"/>
      <c r="B3225" s="285"/>
      <c r="C3225" s="285"/>
      <c r="D3225" s="286"/>
      <c r="E3225" s="286"/>
      <c r="F3225" s="286"/>
      <c r="G3225" s="286"/>
      <c r="H3225" s="286"/>
      <c r="I3225" s="292"/>
      <c r="J3225" s="286"/>
      <c r="K3225" s="286"/>
    </row>
    <row r="3226" spans="1:11" x14ac:dyDescent="0.2">
      <c r="A3226" s="285"/>
      <c r="B3226" s="285"/>
      <c r="C3226" s="285"/>
      <c r="D3226" s="286"/>
      <c r="E3226" s="286"/>
      <c r="F3226" s="286"/>
      <c r="G3226" s="286"/>
      <c r="H3226" s="286"/>
      <c r="I3226" s="292"/>
      <c r="J3226" s="286"/>
      <c r="K3226" s="286"/>
    </row>
    <row r="3227" spans="1:11" x14ac:dyDescent="0.2">
      <c r="A3227" s="285"/>
      <c r="B3227" s="285"/>
      <c r="C3227" s="285"/>
      <c r="D3227" s="286"/>
      <c r="E3227" s="286"/>
      <c r="F3227" s="286"/>
      <c r="G3227" s="286"/>
      <c r="H3227" s="286"/>
      <c r="I3227" s="292"/>
      <c r="J3227" s="286"/>
      <c r="K3227" s="286"/>
    </row>
    <row r="3228" spans="1:11" x14ac:dyDescent="0.2">
      <c r="A3228" s="285"/>
      <c r="B3228" s="285"/>
      <c r="C3228" s="285"/>
      <c r="D3228" s="286"/>
      <c r="E3228" s="286"/>
      <c r="F3228" s="286"/>
      <c r="G3228" s="286"/>
      <c r="H3228" s="286"/>
      <c r="I3228" s="292"/>
      <c r="J3228" s="286"/>
      <c r="K3228" s="286"/>
    </row>
    <row r="3229" spans="1:11" x14ac:dyDescent="0.2">
      <c r="A3229" s="285"/>
      <c r="B3229" s="285"/>
      <c r="C3229" s="285"/>
      <c r="D3229" s="286"/>
      <c r="E3229" s="286"/>
      <c r="F3229" s="286"/>
      <c r="G3229" s="286"/>
      <c r="H3229" s="286"/>
      <c r="I3229" s="292"/>
      <c r="J3229" s="286"/>
      <c r="K3229" s="286"/>
    </row>
    <row r="3230" spans="1:11" x14ac:dyDescent="0.2">
      <c r="A3230" s="285"/>
      <c r="B3230" s="285"/>
      <c r="C3230" s="285"/>
      <c r="D3230" s="286"/>
      <c r="E3230" s="286"/>
      <c r="F3230" s="286"/>
      <c r="G3230" s="286"/>
      <c r="H3230" s="286"/>
      <c r="I3230" s="292"/>
      <c r="J3230" s="286"/>
      <c r="K3230" s="286"/>
    </row>
    <row r="3231" spans="1:11" x14ac:dyDescent="0.2">
      <c r="E3231" s="286"/>
      <c r="F3231" s="286"/>
      <c r="G3231" s="286"/>
      <c r="H3231" s="286"/>
      <c r="I3231" s="286"/>
      <c r="J3231" s="286"/>
      <c r="K3231" s="286"/>
    </row>
    <row r="3232" spans="1:11" x14ac:dyDescent="0.2">
      <c r="A3232" s="285"/>
      <c r="B3232" s="285"/>
      <c r="C3232" s="285"/>
      <c r="D3232" s="318"/>
      <c r="E3232" s="566"/>
      <c r="F3232" s="334"/>
      <c r="G3232" s="334"/>
      <c r="H3232" s="334"/>
      <c r="I3232" s="334"/>
      <c r="J3232" s="334"/>
      <c r="K3232" s="334"/>
    </row>
    <row r="3233" spans="1:11" x14ac:dyDescent="0.2">
      <c r="A3233" s="285"/>
      <c r="B3233" s="285"/>
      <c r="C3233" s="285"/>
      <c r="D3233" s="318"/>
      <c r="E3233" s="286"/>
      <c r="F3233" s="286"/>
      <c r="G3233" s="286"/>
      <c r="H3233" s="286"/>
      <c r="I3233" s="286"/>
      <c r="J3233" s="286"/>
      <c r="K3233" s="286"/>
    </row>
    <row r="3234" spans="1:11" x14ac:dyDescent="0.2">
      <c r="A3234" s="285"/>
      <c r="B3234" s="285"/>
      <c r="C3234" s="285"/>
      <c r="D3234" s="318"/>
      <c r="E3234" s="286"/>
      <c r="F3234" s="286"/>
      <c r="G3234" s="286"/>
      <c r="H3234" s="286"/>
      <c r="I3234" s="286"/>
      <c r="J3234" s="286"/>
      <c r="K3234" s="286"/>
    </row>
    <row r="3235" spans="1:11" x14ac:dyDescent="0.2">
      <c r="A3235" s="285"/>
      <c r="B3235" s="285"/>
      <c r="C3235" s="285"/>
      <c r="D3235" s="318"/>
      <c r="E3235" s="286"/>
      <c r="F3235" s="286"/>
      <c r="G3235" s="286"/>
      <c r="H3235" s="286"/>
      <c r="I3235" s="286"/>
      <c r="J3235" s="286"/>
      <c r="K3235" s="286"/>
    </row>
    <row r="3236" spans="1:11" x14ac:dyDescent="0.2">
      <c r="A3236" s="285"/>
      <c r="B3236" s="285"/>
      <c r="C3236" s="285"/>
      <c r="D3236" s="318"/>
      <c r="E3236" s="286"/>
      <c r="F3236" s="286"/>
      <c r="G3236" s="286"/>
      <c r="H3236" s="286"/>
      <c r="I3236" s="286"/>
      <c r="J3236" s="286"/>
      <c r="K3236" s="286"/>
    </row>
    <row r="3237" spans="1:11" x14ac:dyDescent="0.2">
      <c r="A3237" s="285"/>
      <c r="B3237" s="285"/>
      <c r="C3237" s="285"/>
      <c r="D3237" s="318"/>
      <c r="E3237" s="286"/>
      <c r="F3237" s="286"/>
      <c r="G3237" s="286"/>
      <c r="H3237" s="286"/>
      <c r="I3237" s="286"/>
      <c r="J3237" s="286"/>
      <c r="K3237" s="286"/>
    </row>
    <row r="3238" spans="1:11" x14ac:dyDescent="0.2">
      <c r="A3238" s="285"/>
      <c r="B3238" s="285"/>
      <c r="C3238" s="285"/>
      <c r="D3238" s="318"/>
      <c r="H3238" s="295"/>
    </row>
    <row r="3239" spans="1:11" x14ac:dyDescent="0.2">
      <c r="A3239" s="285"/>
      <c r="B3239" s="285"/>
      <c r="C3239" s="285"/>
      <c r="D3239" s="318"/>
      <c r="H3239" s="295"/>
    </row>
    <row r="3240" spans="1:11" x14ac:dyDescent="0.2">
      <c r="A3240" s="285"/>
      <c r="B3240" s="285"/>
      <c r="C3240" s="285"/>
      <c r="D3240" s="318"/>
      <c r="H3240" s="295"/>
    </row>
    <row r="3241" spans="1:11" x14ac:dyDescent="0.2">
      <c r="A3241" s="285"/>
      <c r="B3241" s="285"/>
      <c r="C3241" s="285"/>
      <c r="D3241" s="318"/>
      <c r="H3241" s="295"/>
    </row>
    <row r="3242" spans="1:11" x14ac:dyDescent="0.2">
      <c r="A3242" s="285"/>
      <c r="B3242" s="285"/>
      <c r="C3242" s="285"/>
      <c r="D3242" s="318"/>
      <c r="H3242" s="295"/>
    </row>
    <row r="3243" spans="1:11" x14ac:dyDescent="0.2">
      <c r="A3243" s="285"/>
      <c r="B3243" s="285"/>
      <c r="C3243" s="285"/>
      <c r="D3243" s="318"/>
      <c r="H3243" s="295"/>
    </row>
    <row r="3245" spans="1:11" x14ac:dyDescent="0.2">
      <c r="A3245" s="285"/>
      <c r="B3245" s="285"/>
      <c r="C3245" s="285"/>
      <c r="D3245" s="286"/>
      <c r="E3245" s="286"/>
      <c r="F3245" s="286"/>
      <c r="G3245" s="286"/>
      <c r="H3245" s="286"/>
      <c r="I3245" s="286"/>
      <c r="J3245" s="286"/>
      <c r="K3245" s="285"/>
    </row>
    <row r="3246" spans="1:11" x14ac:dyDescent="0.2">
      <c r="A3246" s="285"/>
      <c r="B3246" s="285"/>
      <c r="C3246" s="285"/>
      <c r="D3246" s="286"/>
      <c r="E3246" s="286"/>
      <c r="F3246" s="286"/>
      <c r="G3246" s="286"/>
      <c r="H3246" s="286"/>
      <c r="I3246" s="286"/>
      <c r="J3246" s="286"/>
      <c r="K3246" s="285"/>
    </row>
    <row r="3247" spans="1:11" x14ac:dyDescent="0.2">
      <c r="A3247" s="285"/>
      <c r="B3247" s="285"/>
      <c r="C3247" s="285"/>
      <c r="D3247" s="286"/>
      <c r="E3247" s="286"/>
      <c r="F3247" s="286"/>
      <c r="G3247" s="286"/>
      <c r="H3247" s="286"/>
      <c r="I3247" s="286"/>
      <c r="J3247" s="286"/>
      <c r="K3247" s="285"/>
    </row>
    <row r="3248" spans="1:11" x14ac:dyDescent="0.2">
      <c r="A3248" s="285"/>
      <c r="B3248" s="285"/>
      <c r="C3248" s="285"/>
      <c r="D3248" s="286"/>
      <c r="E3248" s="286"/>
      <c r="F3248" s="286"/>
      <c r="G3248" s="286"/>
      <c r="H3248" s="286"/>
      <c r="I3248" s="286"/>
      <c r="J3248" s="286"/>
      <c r="K3248" s="285"/>
    </row>
    <row r="3250" spans="1:11" x14ac:dyDescent="0.2">
      <c r="A3250" s="285"/>
      <c r="B3250" s="285"/>
      <c r="C3250" s="285"/>
      <c r="D3250" s="286"/>
      <c r="E3250" s="286"/>
      <c r="F3250" s="286"/>
      <c r="G3250" s="286"/>
      <c r="H3250" s="286"/>
      <c r="I3250" s="286"/>
      <c r="J3250" s="286"/>
      <c r="K3250" s="285"/>
    </row>
    <row r="3251" spans="1:11" x14ac:dyDescent="0.2">
      <c r="A3251" s="285"/>
      <c r="B3251" s="285"/>
      <c r="C3251" s="285"/>
      <c r="D3251" s="286"/>
      <c r="E3251" s="286"/>
      <c r="F3251" s="286"/>
      <c r="G3251" s="286"/>
      <c r="H3251" s="286"/>
      <c r="I3251" s="286"/>
      <c r="J3251" s="286"/>
      <c r="K3251" s="285"/>
    </row>
    <row r="3252" spans="1:11" x14ac:dyDescent="0.2">
      <c r="A3252" s="285"/>
      <c r="B3252" s="285"/>
      <c r="C3252" s="285"/>
      <c r="D3252" s="286"/>
      <c r="E3252" s="286"/>
      <c r="F3252" s="286"/>
      <c r="G3252" s="286"/>
      <c r="H3252" s="286"/>
      <c r="I3252" s="286"/>
      <c r="J3252" s="286"/>
      <c r="K3252" s="285"/>
    </row>
    <row r="3253" spans="1:11" x14ac:dyDescent="0.2">
      <c r="A3253" s="285"/>
      <c r="B3253" s="285"/>
      <c r="C3253" s="285"/>
      <c r="D3253" s="286"/>
      <c r="E3253" s="286"/>
      <c r="F3253" s="286"/>
      <c r="G3253" s="286"/>
      <c r="H3253" s="286"/>
      <c r="I3253" s="286"/>
      <c r="J3253" s="286"/>
      <c r="K3253" s="285"/>
    </row>
    <row r="3255" spans="1:11" x14ac:dyDescent="0.2">
      <c r="A3255" s="285"/>
      <c r="B3255" s="285"/>
      <c r="C3255" s="285"/>
      <c r="D3255" s="286"/>
      <c r="E3255" s="286"/>
      <c r="F3255" s="286"/>
      <c r="G3255" s="286"/>
      <c r="H3255" s="286"/>
      <c r="I3255" s="286"/>
      <c r="J3255" s="286"/>
      <c r="K3255" s="285"/>
    </row>
    <row r="3256" spans="1:11" x14ac:dyDescent="0.2">
      <c r="A3256" s="285"/>
      <c r="B3256" s="285"/>
      <c r="C3256" s="285"/>
      <c r="D3256" s="286"/>
      <c r="E3256" s="286"/>
      <c r="F3256" s="286"/>
      <c r="G3256" s="286"/>
      <c r="H3256" s="286"/>
      <c r="I3256" s="286"/>
      <c r="J3256" s="286"/>
      <c r="K3256" s="285"/>
    </row>
    <row r="3257" spans="1:11" x14ac:dyDescent="0.2">
      <c r="A3257" s="285"/>
      <c r="B3257" s="285"/>
      <c r="C3257" s="285"/>
      <c r="D3257" s="286"/>
      <c r="E3257" s="286"/>
      <c r="F3257" s="286"/>
      <c r="G3257" s="286"/>
      <c r="H3257" s="286"/>
      <c r="I3257" s="286"/>
      <c r="J3257" s="286"/>
      <c r="K3257" s="285"/>
    </row>
    <row r="3258" spans="1:11" x14ac:dyDescent="0.2">
      <c r="A3258" s="285"/>
      <c r="B3258" s="285"/>
      <c r="C3258" s="285"/>
      <c r="D3258" s="286"/>
      <c r="E3258" s="286"/>
      <c r="F3258" s="286"/>
      <c r="G3258" s="286"/>
      <c r="H3258" s="286"/>
      <c r="I3258" s="286"/>
      <c r="J3258" s="286"/>
      <c r="K3258" s="285"/>
    </row>
    <row r="3259" spans="1:11" x14ac:dyDescent="0.2">
      <c r="A3259" s="285"/>
      <c r="B3259" s="285"/>
      <c r="C3259" s="285"/>
      <c r="D3259" s="286"/>
      <c r="E3259" s="286"/>
      <c r="F3259" s="286"/>
      <c r="G3259" s="286"/>
      <c r="H3259" s="286"/>
      <c r="I3259" s="286"/>
      <c r="J3259" s="286"/>
      <c r="K3259" s="285"/>
    </row>
    <row r="3260" spans="1:11" x14ac:dyDescent="0.2">
      <c r="A3260" s="285"/>
      <c r="B3260" s="285"/>
      <c r="C3260" s="285"/>
      <c r="D3260" s="286"/>
      <c r="E3260" s="286"/>
      <c r="F3260" s="286"/>
      <c r="G3260" s="286"/>
      <c r="H3260" s="286"/>
      <c r="I3260" s="286"/>
      <c r="J3260" s="286"/>
      <c r="K3260" s="285"/>
    </row>
    <row r="3261" spans="1:11" x14ac:dyDescent="0.2">
      <c r="A3261" s="285"/>
      <c r="B3261" s="285"/>
      <c r="C3261" s="285"/>
      <c r="D3261" s="286"/>
      <c r="E3261" s="286"/>
      <c r="F3261" s="286"/>
      <c r="G3261" s="286"/>
      <c r="H3261" s="286"/>
      <c r="I3261" s="286"/>
      <c r="J3261" s="286"/>
      <c r="K3261" s="285"/>
    </row>
    <row r="3263" spans="1:11" x14ac:dyDescent="0.2">
      <c r="A3263" s="285"/>
      <c r="B3263" s="285"/>
      <c r="C3263" s="285"/>
      <c r="D3263" s="286"/>
      <c r="E3263" s="286"/>
      <c r="F3263" s="286"/>
      <c r="G3263" s="286"/>
      <c r="H3263" s="286"/>
      <c r="I3263" s="286"/>
      <c r="J3263" s="286"/>
      <c r="K3263" s="285"/>
    </row>
    <row r="3264" spans="1:11" x14ac:dyDescent="0.2">
      <c r="A3264" s="285"/>
      <c r="B3264" s="285"/>
      <c r="C3264" s="285"/>
      <c r="D3264" s="286"/>
      <c r="E3264" s="286"/>
      <c r="F3264" s="286"/>
      <c r="G3264" s="286"/>
      <c r="H3264" s="286"/>
      <c r="I3264" s="286"/>
      <c r="J3264" s="286"/>
      <c r="K3264" s="285"/>
    </row>
    <row r="3265" spans="1:11" x14ac:dyDescent="0.2">
      <c r="A3265" s="285"/>
      <c r="B3265" s="285"/>
      <c r="C3265" s="285"/>
      <c r="D3265" s="286"/>
      <c r="E3265" s="286"/>
      <c r="F3265" s="286"/>
      <c r="G3265" s="286"/>
      <c r="H3265" s="286"/>
      <c r="I3265" s="286"/>
      <c r="J3265" s="286"/>
      <c r="K3265" s="285"/>
    </row>
    <row r="3266" spans="1:11" x14ac:dyDescent="0.2">
      <c r="A3266" s="285"/>
      <c r="B3266" s="285"/>
      <c r="C3266" s="285"/>
      <c r="D3266" s="286"/>
      <c r="E3266" s="286"/>
      <c r="F3266" s="286"/>
      <c r="G3266" s="286"/>
      <c r="H3266" s="286"/>
      <c r="I3266" s="286"/>
      <c r="J3266" s="286"/>
      <c r="K3266" s="285"/>
    </row>
    <row r="3267" spans="1:11" x14ac:dyDescent="0.2">
      <c r="A3267" s="285"/>
      <c r="B3267" s="285"/>
      <c r="C3267" s="285"/>
      <c r="D3267" s="286"/>
      <c r="E3267" s="286"/>
      <c r="F3267" s="286"/>
      <c r="G3267" s="286"/>
      <c r="H3267" s="286"/>
      <c r="I3267" s="286"/>
      <c r="J3267" s="286"/>
      <c r="K3267" s="285"/>
    </row>
    <row r="3269" spans="1:11" x14ac:dyDescent="0.2">
      <c r="A3269" s="285"/>
      <c r="B3269" s="285"/>
      <c r="C3269" s="285"/>
      <c r="D3269" s="286"/>
      <c r="E3269" s="286"/>
      <c r="F3269" s="286"/>
      <c r="G3269" s="286"/>
      <c r="H3269" s="286"/>
      <c r="I3269" s="286"/>
      <c r="J3269" s="286"/>
      <c r="K3269" s="285"/>
    </row>
    <row r="3270" spans="1:11" x14ac:dyDescent="0.2">
      <c r="A3270" s="285"/>
      <c r="B3270" s="285"/>
      <c r="C3270" s="285"/>
      <c r="D3270" s="286"/>
      <c r="E3270" s="286"/>
      <c r="F3270" s="286"/>
      <c r="G3270" s="286"/>
      <c r="H3270" s="286"/>
      <c r="I3270" s="286"/>
      <c r="J3270" s="286"/>
      <c r="K3270" s="285"/>
    </row>
    <row r="3271" spans="1:11" x14ac:dyDescent="0.2">
      <c r="A3271" s="285"/>
      <c r="B3271" s="285"/>
      <c r="C3271" s="285"/>
      <c r="D3271" s="286"/>
      <c r="E3271" s="286"/>
      <c r="F3271" s="286"/>
      <c r="G3271" s="286"/>
      <c r="H3271" s="286"/>
      <c r="I3271" s="286"/>
      <c r="J3271" s="286"/>
      <c r="K3271" s="285"/>
    </row>
    <row r="3272" spans="1:11" x14ac:dyDescent="0.2">
      <c r="A3272" s="285"/>
      <c r="B3272" s="285"/>
      <c r="C3272" s="285"/>
      <c r="D3272" s="286"/>
      <c r="E3272" s="286"/>
      <c r="F3272" s="286"/>
      <c r="G3272" s="286"/>
      <c r="H3272" s="286"/>
      <c r="I3272" s="286"/>
      <c r="J3272" s="286"/>
      <c r="K3272" s="285"/>
    </row>
    <row r="3273" spans="1:11" x14ac:dyDescent="0.2">
      <c r="A3273" s="285"/>
      <c r="B3273" s="285"/>
      <c r="C3273" s="285"/>
      <c r="D3273" s="286"/>
      <c r="E3273" s="286"/>
      <c r="F3273" s="286"/>
      <c r="G3273" s="286"/>
      <c r="H3273" s="286"/>
      <c r="I3273" s="286"/>
      <c r="J3273" s="286"/>
      <c r="K3273" s="285"/>
    </row>
    <row r="3274" spans="1:11" x14ac:dyDescent="0.2">
      <c r="A3274" s="285"/>
      <c r="B3274" s="285"/>
      <c r="C3274" s="285"/>
      <c r="D3274" s="286"/>
      <c r="E3274" s="286"/>
      <c r="F3274" s="286"/>
      <c r="G3274" s="286"/>
      <c r="H3274" s="286"/>
      <c r="I3274" s="286"/>
      <c r="J3274" s="286"/>
      <c r="K3274" s="285"/>
    </row>
    <row r="3275" spans="1:11" x14ac:dyDescent="0.2">
      <c r="A3275" s="285"/>
      <c r="B3275" s="285"/>
      <c r="C3275" s="285"/>
      <c r="D3275" s="286"/>
      <c r="E3275" s="286"/>
      <c r="F3275" s="286"/>
      <c r="G3275" s="286"/>
      <c r="H3275" s="286"/>
      <c r="I3275" s="286"/>
      <c r="J3275" s="286"/>
      <c r="K3275" s="285"/>
    </row>
    <row r="3276" spans="1:11" x14ac:dyDescent="0.2">
      <c r="A3276" s="285"/>
      <c r="B3276" s="285"/>
      <c r="C3276" s="285"/>
      <c r="D3276" s="286"/>
      <c r="E3276" s="286"/>
      <c r="F3276" s="286"/>
      <c r="G3276" s="286"/>
      <c r="H3276" s="286"/>
      <c r="I3276" s="286"/>
      <c r="J3276" s="286"/>
      <c r="K3276" s="285"/>
    </row>
    <row r="3277" spans="1:11" x14ac:dyDescent="0.2">
      <c r="A3277" s="285"/>
      <c r="B3277" s="285"/>
      <c r="C3277" s="285"/>
      <c r="D3277" s="286"/>
      <c r="E3277" s="286"/>
      <c r="F3277" s="286"/>
      <c r="G3277" s="286"/>
      <c r="H3277" s="286"/>
      <c r="I3277" s="286"/>
      <c r="J3277" s="286"/>
      <c r="K3277" s="285"/>
    </row>
    <row r="3278" spans="1:11" x14ac:dyDescent="0.2">
      <c r="A3278" s="285"/>
      <c r="B3278" s="285"/>
      <c r="C3278" s="285"/>
      <c r="D3278" s="286"/>
      <c r="E3278" s="286"/>
      <c r="F3278" s="286"/>
      <c r="G3278" s="286"/>
      <c r="H3278" s="286"/>
      <c r="I3278" s="286"/>
      <c r="J3278" s="286"/>
      <c r="K3278" s="285"/>
    </row>
    <row r="3279" spans="1:11" x14ac:dyDescent="0.2">
      <c r="A3279" s="285"/>
      <c r="B3279" s="285"/>
      <c r="C3279" s="285"/>
      <c r="D3279" s="286"/>
      <c r="E3279" s="286"/>
      <c r="F3279" s="286"/>
      <c r="G3279" s="286"/>
      <c r="H3279" s="286"/>
      <c r="I3279" s="286"/>
      <c r="J3279" s="286"/>
      <c r="K3279" s="285"/>
    </row>
    <row r="3280" spans="1:11" x14ac:dyDescent="0.2">
      <c r="A3280" s="285"/>
      <c r="B3280" s="285"/>
      <c r="C3280" s="285"/>
      <c r="D3280" s="286"/>
      <c r="E3280" s="286"/>
      <c r="F3280" s="286"/>
      <c r="G3280" s="286"/>
      <c r="H3280" s="286"/>
      <c r="I3280" s="286"/>
      <c r="J3280" s="286"/>
      <c r="K3280" s="285"/>
    </row>
    <row r="3281" spans="1:11" x14ac:dyDescent="0.2">
      <c r="A3281" s="285"/>
      <c r="B3281" s="285"/>
      <c r="C3281" s="285"/>
      <c r="D3281" s="286"/>
      <c r="E3281" s="286"/>
      <c r="F3281" s="286"/>
      <c r="G3281" s="286"/>
      <c r="H3281" s="286"/>
      <c r="I3281" s="286"/>
      <c r="J3281" s="286"/>
      <c r="K3281" s="285"/>
    </row>
    <row r="3282" spans="1:11" x14ac:dyDescent="0.2">
      <c r="A3282" s="285"/>
      <c r="B3282" s="285"/>
      <c r="C3282" s="285"/>
      <c r="D3282" s="286"/>
      <c r="E3282" s="286"/>
      <c r="F3282" s="286"/>
      <c r="G3282" s="286"/>
      <c r="H3282" s="286"/>
      <c r="I3282" s="286"/>
      <c r="J3282" s="286"/>
      <c r="K3282" s="285"/>
    </row>
    <row r="3283" spans="1:11" x14ac:dyDescent="0.2">
      <c r="A3283" s="285"/>
      <c r="B3283" s="285"/>
      <c r="C3283" s="285"/>
      <c r="D3283" s="286"/>
      <c r="E3283" s="286"/>
      <c r="F3283" s="286"/>
      <c r="G3283" s="286"/>
      <c r="H3283" s="286"/>
      <c r="I3283" s="286"/>
      <c r="J3283" s="286"/>
      <c r="K3283" s="285"/>
    </row>
    <row r="3284" spans="1:11" x14ac:dyDescent="0.2">
      <c r="A3284" s="285"/>
      <c r="B3284" s="285"/>
      <c r="C3284" s="285"/>
      <c r="D3284" s="286"/>
      <c r="E3284" s="286"/>
      <c r="F3284" s="286"/>
      <c r="G3284" s="286"/>
      <c r="H3284" s="286"/>
      <c r="I3284" s="286"/>
      <c r="J3284" s="286"/>
      <c r="K3284" s="285"/>
    </row>
    <row r="3285" spans="1:11" x14ac:dyDescent="0.2">
      <c r="A3285" s="285"/>
      <c r="B3285" s="285"/>
      <c r="C3285" s="285"/>
      <c r="D3285" s="286"/>
      <c r="E3285" s="286"/>
      <c r="F3285" s="286"/>
      <c r="G3285" s="286"/>
      <c r="H3285" s="286"/>
      <c r="I3285" s="286"/>
      <c r="J3285" s="286"/>
      <c r="K3285" s="285"/>
    </row>
    <row r="3286" spans="1:11" x14ac:dyDescent="0.2">
      <c r="A3286" s="285"/>
      <c r="B3286" s="285"/>
      <c r="C3286" s="285"/>
      <c r="D3286" s="286"/>
      <c r="E3286" s="286"/>
      <c r="F3286" s="286"/>
      <c r="G3286" s="286"/>
      <c r="H3286" s="286"/>
      <c r="I3286" s="286"/>
      <c r="J3286" s="286"/>
      <c r="K3286" s="285"/>
    </row>
    <row r="3287" spans="1:11" x14ac:dyDescent="0.2">
      <c r="A3287" s="285"/>
      <c r="B3287" s="285"/>
      <c r="C3287" s="285"/>
      <c r="D3287" s="286"/>
      <c r="E3287" s="286"/>
      <c r="F3287" s="286"/>
      <c r="G3287" s="286"/>
      <c r="H3287" s="286"/>
      <c r="I3287" s="286"/>
      <c r="J3287" s="286"/>
      <c r="K3287" s="285"/>
    </row>
    <row r="3288" spans="1:11" x14ac:dyDescent="0.2">
      <c r="A3288" s="285"/>
      <c r="B3288" s="285"/>
      <c r="C3288" s="285"/>
      <c r="D3288" s="286"/>
      <c r="E3288" s="286"/>
      <c r="F3288" s="286"/>
      <c r="G3288" s="286"/>
      <c r="H3288" s="286"/>
      <c r="I3288" s="286"/>
      <c r="J3288" s="286"/>
      <c r="K3288" s="285"/>
    </row>
    <row r="3289" spans="1:11" x14ac:dyDescent="0.2">
      <c r="A3289" s="285"/>
      <c r="B3289" s="285"/>
      <c r="C3289" s="285"/>
      <c r="D3289" s="286"/>
      <c r="E3289" s="286"/>
      <c r="F3289" s="286"/>
      <c r="G3289" s="286"/>
      <c r="H3289" s="286"/>
      <c r="I3289" s="286"/>
      <c r="J3289" s="286"/>
      <c r="K3289" s="285"/>
    </row>
    <row r="3290" spans="1:11" x14ac:dyDescent="0.2">
      <c r="A3290" s="285"/>
      <c r="B3290" s="285"/>
      <c r="C3290" s="285"/>
      <c r="D3290" s="286"/>
      <c r="E3290" s="286"/>
      <c r="F3290" s="286"/>
      <c r="G3290" s="286"/>
      <c r="H3290" s="286"/>
      <c r="I3290" s="286"/>
      <c r="J3290" s="286"/>
      <c r="K3290" s="285"/>
    </row>
    <row r="3291" spans="1:11" x14ac:dyDescent="0.2">
      <c r="A3291" s="285"/>
      <c r="B3291" s="285"/>
      <c r="C3291" s="285"/>
      <c r="D3291" s="286"/>
      <c r="E3291" s="286"/>
      <c r="F3291" s="286"/>
      <c r="G3291" s="286"/>
      <c r="H3291" s="286"/>
      <c r="I3291" s="286"/>
      <c r="J3291" s="286"/>
      <c r="K3291" s="285"/>
    </row>
    <row r="3292" spans="1:11" x14ac:dyDescent="0.2">
      <c r="A3292" s="285"/>
      <c r="B3292" s="285"/>
      <c r="C3292" s="285"/>
      <c r="D3292" s="286"/>
      <c r="E3292" s="286"/>
      <c r="F3292" s="286"/>
      <c r="G3292" s="286"/>
      <c r="H3292" s="286"/>
      <c r="I3292" s="286"/>
      <c r="J3292" s="286"/>
      <c r="K3292" s="285"/>
    </row>
    <row r="3293" spans="1:11" x14ac:dyDescent="0.2">
      <c r="A3293" s="285"/>
      <c r="B3293" s="285"/>
      <c r="C3293" s="285"/>
      <c r="D3293" s="286"/>
      <c r="E3293" s="286"/>
      <c r="F3293" s="286"/>
      <c r="G3293" s="286"/>
      <c r="H3293" s="286"/>
      <c r="I3293" s="286"/>
      <c r="J3293" s="286"/>
      <c r="K3293" s="285"/>
    </row>
    <row r="3294" spans="1:11" x14ac:dyDescent="0.2">
      <c r="A3294" s="285"/>
      <c r="B3294" s="285"/>
      <c r="C3294" s="285"/>
      <c r="D3294" s="286"/>
      <c r="E3294" s="286"/>
      <c r="F3294" s="286"/>
      <c r="G3294" s="286"/>
      <c r="H3294" s="286"/>
      <c r="I3294" s="286"/>
      <c r="J3294" s="286"/>
      <c r="K3294" s="285"/>
    </row>
    <row r="3295" spans="1:11" x14ac:dyDescent="0.2">
      <c r="A3295" s="285"/>
      <c r="B3295" s="285"/>
      <c r="C3295" s="285"/>
      <c r="D3295" s="286"/>
      <c r="E3295" s="286"/>
      <c r="F3295" s="286"/>
      <c r="G3295" s="286"/>
      <c r="H3295" s="286"/>
      <c r="I3295" s="286"/>
      <c r="J3295" s="286"/>
      <c r="K3295" s="285"/>
    </row>
    <row r="3296" spans="1:11" x14ac:dyDescent="0.2">
      <c r="A3296" s="285"/>
      <c r="B3296" s="285"/>
      <c r="C3296" s="285"/>
      <c r="D3296" s="286"/>
      <c r="E3296" s="286"/>
      <c r="F3296" s="286"/>
      <c r="G3296" s="286"/>
      <c r="H3296" s="286"/>
      <c r="I3296" s="286"/>
      <c r="J3296" s="286"/>
      <c r="K3296" s="285"/>
    </row>
    <row r="3320" spans="5:11" x14ac:dyDescent="0.2">
      <c r="E3320" s="584"/>
      <c r="F3320" s="584"/>
      <c r="G3320" s="584"/>
      <c r="H3320" s="584"/>
      <c r="I3320" s="582"/>
      <c r="J3320" s="584"/>
      <c r="K3320" s="584"/>
    </row>
    <row r="3321" spans="5:11" x14ac:dyDescent="0.2">
      <c r="E3321" s="584"/>
      <c r="F3321" s="584"/>
      <c r="G3321" s="584"/>
      <c r="H3321" s="584"/>
      <c r="I3321" s="582"/>
      <c r="J3321" s="584"/>
      <c r="K3321" s="584"/>
    </row>
    <row r="3322" spans="5:11" x14ac:dyDescent="0.2">
      <c r="E3322" s="584"/>
      <c r="F3322" s="584"/>
      <c r="G3322" s="584"/>
      <c r="H3322" s="584"/>
      <c r="I3322" s="582"/>
      <c r="J3322" s="584"/>
      <c r="K3322" s="584"/>
    </row>
    <row r="3323" spans="5:11" x14ac:dyDescent="0.2">
      <c r="E3323" s="584"/>
      <c r="F3323" s="584"/>
      <c r="G3323" s="584"/>
      <c r="H3323" s="584"/>
      <c r="I3323" s="582"/>
      <c r="J3323" s="584"/>
      <c r="K3323" s="584"/>
    </row>
    <row r="3324" spans="5:11" x14ac:dyDescent="0.2">
      <c r="E3324" s="584"/>
      <c r="F3324" s="584"/>
      <c r="G3324" s="584"/>
      <c r="H3324" s="584"/>
      <c r="I3324" s="582"/>
      <c r="J3324" s="584"/>
      <c r="K3324" s="584"/>
    </row>
    <row r="3339" spans="4:11" x14ac:dyDescent="0.2">
      <c r="D3339" s="585"/>
      <c r="E3339" s="584"/>
      <c r="F3339" s="586"/>
      <c r="G3339" s="586"/>
      <c r="H3339" s="586"/>
      <c r="I3339" s="585"/>
      <c r="J3339" s="586"/>
      <c r="K3339" s="586"/>
    </row>
    <row r="3340" spans="4:11" x14ac:dyDescent="0.2">
      <c r="D3340" s="583"/>
      <c r="E3340" s="584"/>
      <c r="F3340" s="586"/>
      <c r="G3340" s="586"/>
      <c r="H3340" s="586"/>
      <c r="I3340" s="585"/>
      <c r="J3340" s="586"/>
      <c r="K3340" s="586"/>
    </row>
    <row r="3341" spans="4:11" x14ac:dyDescent="0.2">
      <c r="D3341" s="583"/>
      <c r="E3341" s="584"/>
      <c r="F3341" s="586"/>
      <c r="G3341" s="586"/>
      <c r="H3341" s="586"/>
      <c r="I3341" s="585"/>
      <c r="J3341" s="586"/>
      <c r="K3341" s="586"/>
    </row>
    <row r="3342" spans="4:11" x14ac:dyDescent="0.2">
      <c r="D3342" s="583"/>
      <c r="E3342" s="584"/>
      <c r="F3342" s="586"/>
      <c r="G3342" s="586"/>
      <c r="H3342" s="586"/>
      <c r="I3342" s="585"/>
      <c r="J3342" s="586"/>
      <c r="K3342" s="586"/>
    </row>
    <row r="3343" spans="4:11" x14ac:dyDescent="0.2">
      <c r="D3343" s="583"/>
      <c r="E3343" s="584"/>
      <c r="F3343" s="586"/>
      <c r="G3343" s="586"/>
      <c r="H3343" s="586"/>
      <c r="I3343" s="585"/>
      <c r="J3343" s="586"/>
      <c r="K3343" s="586"/>
    </row>
    <row r="3344" spans="4:11" x14ac:dyDescent="0.2">
      <c r="D3344" s="583"/>
      <c r="E3344" s="584"/>
      <c r="F3344" s="586"/>
      <c r="G3344" s="586"/>
      <c r="H3344" s="586"/>
      <c r="I3344" s="585"/>
      <c r="J3344" s="586"/>
      <c r="K3344" s="586"/>
    </row>
    <row r="3345" spans="4:11" x14ac:dyDescent="0.2">
      <c r="D3345" s="583"/>
      <c r="E3345" s="584"/>
      <c r="F3345" s="586"/>
      <c r="G3345" s="586"/>
      <c r="H3345" s="586"/>
      <c r="I3345" s="585"/>
      <c r="J3345" s="586"/>
      <c r="K3345" s="586"/>
    </row>
    <row r="3346" spans="4:11" x14ac:dyDescent="0.2">
      <c r="D3346" s="583"/>
      <c r="E3346" s="584"/>
      <c r="F3346" s="586"/>
      <c r="G3346" s="586"/>
      <c r="H3346" s="586"/>
      <c r="I3346" s="585"/>
      <c r="J3346" s="586"/>
      <c r="K3346" s="586"/>
    </row>
    <row r="3347" spans="4:11" x14ac:dyDescent="0.2">
      <c r="D3347" s="583"/>
      <c r="E3347" s="584"/>
      <c r="F3347" s="586"/>
      <c r="G3347" s="586"/>
      <c r="H3347" s="586"/>
      <c r="I3347" s="585"/>
      <c r="J3347" s="586"/>
      <c r="K3347" s="586"/>
    </row>
    <row r="3348" spans="4:11" x14ac:dyDescent="0.2">
      <c r="D3348" s="583"/>
      <c r="E3348" s="584"/>
      <c r="F3348" s="586"/>
      <c r="G3348" s="586"/>
      <c r="H3348" s="586"/>
      <c r="I3348" s="585"/>
      <c r="J3348" s="586"/>
      <c r="K3348" s="586"/>
    </row>
    <row r="3349" spans="4:11" x14ac:dyDescent="0.2">
      <c r="D3349" s="583"/>
      <c r="E3349" s="584"/>
      <c r="F3349" s="586"/>
      <c r="G3349" s="586"/>
      <c r="H3349" s="586"/>
      <c r="I3349" s="585"/>
      <c r="J3349" s="586"/>
      <c r="K3349" s="586"/>
    </row>
    <row r="3350" spans="4:11" x14ac:dyDescent="0.2">
      <c r="D3350" s="587"/>
      <c r="E3350" s="584"/>
      <c r="F3350" s="586"/>
      <c r="G3350" s="586"/>
      <c r="H3350" s="586"/>
      <c r="I3350" s="585"/>
      <c r="J3350" s="586"/>
      <c r="K3350" s="586"/>
    </row>
    <row r="3351" spans="4:11" x14ac:dyDescent="0.2">
      <c r="D3351" s="587"/>
      <c r="E3351" s="584"/>
      <c r="F3351" s="586"/>
      <c r="G3351" s="586"/>
      <c r="H3351" s="586"/>
      <c r="I3351" s="585"/>
      <c r="J3351" s="586"/>
      <c r="K3351" s="586"/>
    </row>
    <row r="3352" spans="4:11" x14ac:dyDescent="0.2">
      <c r="D3352" s="583"/>
      <c r="E3352" s="584"/>
      <c r="F3352" s="586"/>
      <c r="G3352" s="586"/>
      <c r="H3352" s="586"/>
      <c r="I3352" s="585"/>
      <c r="J3352" s="586"/>
      <c r="K3352" s="586"/>
    </row>
    <row r="3353" spans="4:11" x14ac:dyDescent="0.2">
      <c r="D3353" s="583"/>
      <c r="E3353" s="584"/>
      <c r="F3353" s="586"/>
      <c r="G3353" s="586"/>
      <c r="H3353" s="586"/>
      <c r="I3353" s="585"/>
      <c r="J3353" s="586"/>
      <c r="K3353" s="586"/>
    </row>
    <row r="3354" spans="4:11" x14ac:dyDescent="0.2">
      <c r="F3354" s="286"/>
      <c r="G3354" s="286"/>
      <c r="H3354" s="286"/>
      <c r="I3354" s="286"/>
      <c r="J3354" s="286"/>
      <c r="K3354" s="286"/>
    </row>
    <row r="3355" spans="4:11" x14ac:dyDescent="0.2">
      <c r="F3355" s="286"/>
      <c r="G3355" s="286"/>
      <c r="H3355" s="286"/>
      <c r="I3355" s="286"/>
      <c r="J3355" s="286"/>
      <c r="K3355" s="286"/>
    </row>
    <row r="3356" spans="4:11" x14ac:dyDescent="0.2">
      <c r="F3356" s="286"/>
      <c r="G3356" s="286"/>
      <c r="H3356" s="286"/>
      <c r="I3356" s="584"/>
      <c r="J3356" s="286"/>
      <c r="K3356" s="286"/>
    </row>
    <row r="3357" spans="4:11" x14ac:dyDescent="0.2">
      <c r="F3357" s="286"/>
      <c r="G3357" s="286"/>
      <c r="H3357" s="286"/>
      <c r="I3357" s="584"/>
      <c r="J3357" s="286"/>
      <c r="K3357" s="286"/>
    </row>
    <row r="3358" spans="4:11" x14ac:dyDescent="0.2">
      <c r="F3358" s="286"/>
      <c r="G3358" s="286"/>
      <c r="H3358" s="286"/>
      <c r="I3358" s="286"/>
      <c r="J3358" s="286"/>
      <c r="K3358" s="286"/>
    </row>
    <row r="3359" spans="4:11" x14ac:dyDescent="0.2">
      <c r="F3359" s="286"/>
      <c r="G3359" s="286"/>
      <c r="H3359" s="286"/>
      <c r="I3359" s="286"/>
      <c r="J3359" s="286"/>
      <c r="K3359" s="286"/>
    </row>
    <row r="3360" spans="4:11" x14ac:dyDescent="0.2">
      <c r="F3360" s="286"/>
      <c r="G3360" s="286"/>
      <c r="H3360" s="286"/>
      <c r="I3360" s="286"/>
      <c r="J3360" s="286"/>
      <c r="K3360" s="286"/>
    </row>
    <row r="3361" spans="6:11" x14ac:dyDescent="0.2">
      <c r="F3361" s="286"/>
      <c r="G3361" s="286"/>
      <c r="H3361" s="286"/>
      <c r="I3361" s="286"/>
      <c r="J3361" s="286"/>
      <c r="K3361" s="286"/>
    </row>
    <row r="3362" spans="6:11" x14ac:dyDescent="0.2">
      <c r="F3362" s="286"/>
      <c r="G3362" s="286"/>
      <c r="H3362" s="286"/>
      <c r="I3362" s="286"/>
      <c r="J3362" s="286"/>
      <c r="K3362" s="286"/>
    </row>
    <row r="3363" spans="6:11" x14ac:dyDescent="0.2">
      <c r="F3363" s="286"/>
      <c r="G3363" s="286"/>
      <c r="H3363" s="286"/>
      <c r="I3363" s="286"/>
      <c r="J3363" s="286"/>
      <c r="K3363" s="286"/>
    </row>
    <row r="3364" spans="6:11" x14ac:dyDescent="0.2">
      <c r="F3364" s="286"/>
      <c r="G3364" s="286"/>
      <c r="H3364" s="286"/>
      <c r="I3364" s="286"/>
      <c r="J3364" s="286"/>
      <c r="K3364" s="286"/>
    </row>
    <row r="3365" spans="6:11" x14ac:dyDescent="0.2">
      <c r="F3365" s="286"/>
      <c r="G3365" s="286"/>
      <c r="H3365" s="286"/>
      <c r="I3365" s="286"/>
      <c r="J3365" s="286"/>
      <c r="K3365" s="286"/>
    </row>
    <row r="3366" spans="6:11" x14ac:dyDescent="0.2">
      <c r="F3366" s="286"/>
      <c r="G3366" s="286"/>
      <c r="H3366" s="286"/>
      <c r="I3366" s="286"/>
      <c r="J3366" s="286"/>
      <c r="K3366" s="286"/>
    </row>
    <row r="3367" spans="6:11" x14ac:dyDescent="0.2">
      <c r="F3367" s="286"/>
      <c r="G3367" s="286"/>
      <c r="H3367" s="286"/>
      <c r="I3367" s="286"/>
      <c r="J3367" s="286"/>
      <c r="K3367" s="286"/>
    </row>
    <row r="3368" spans="6:11" x14ac:dyDescent="0.2">
      <c r="F3368" s="286"/>
      <c r="G3368" s="286"/>
      <c r="H3368" s="286"/>
      <c r="I3368" s="584"/>
      <c r="J3368" s="286"/>
      <c r="K3368" s="286"/>
    </row>
    <row r="3369" spans="6:11" x14ac:dyDescent="0.2">
      <c r="F3369" s="286"/>
      <c r="G3369" s="286"/>
      <c r="H3369" s="286"/>
      <c r="I3369" s="286"/>
      <c r="J3369" s="286"/>
      <c r="K3369" s="286"/>
    </row>
    <row r="3370" spans="6:11" x14ac:dyDescent="0.2">
      <c r="F3370" s="286"/>
      <c r="G3370" s="286"/>
      <c r="H3370" s="286"/>
      <c r="I3370" s="286"/>
      <c r="J3370" s="286"/>
      <c r="K3370" s="286"/>
    </row>
    <row r="3371" spans="6:11" x14ac:dyDescent="0.2">
      <c r="F3371" s="286"/>
      <c r="G3371" s="286"/>
      <c r="H3371" s="286"/>
      <c r="I3371" s="286"/>
      <c r="J3371" s="286"/>
      <c r="K3371" s="286"/>
    </row>
    <row r="3372" spans="6:11" x14ac:dyDescent="0.2">
      <c r="F3372" s="286"/>
      <c r="G3372" s="286"/>
      <c r="H3372" s="286"/>
      <c r="I3372" s="286"/>
      <c r="J3372" s="286"/>
      <c r="K3372" s="286"/>
    </row>
    <row r="3373" spans="6:11" x14ac:dyDescent="0.2">
      <c r="F3373" s="529"/>
      <c r="G3373" s="529"/>
      <c r="H3373" s="529"/>
      <c r="I3373" s="529"/>
      <c r="J3373" s="529"/>
      <c r="K3373" s="529"/>
    </row>
    <row r="3374" spans="6:11" x14ac:dyDescent="0.2">
      <c r="F3374" s="286"/>
      <c r="G3374" s="286"/>
      <c r="H3374" s="286"/>
      <c r="I3374" s="286"/>
      <c r="J3374" s="286"/>
      <c r="K3374" s="286"/>
    </row>
    <row r="3375" spans="6:11" x14ac:dyDescent="0.2">
      <c r="F3375" s="286"/>
      <c r="G3375" s="286"/>
      <c r="H3375" s="286"/>
      <c r="I3375" s="286"/>
      <c r="J3375" s="286"/>
      <c r="K3375" s="286"/>
    </row>
    <row r="3376" spans="6:11" x14ac:dyDescent="0.2">
      <c r="F3376" s="286"/>
      <c r="G3376" s="286"/>
      <c r="H3376" s="286"/>
      <c r="I3376" s="286"/>
      <c r="J3376" s="286"/>
      <c r="K3376" s="286"/>
    </row>
    <row r="3377" spans="5:11" x14ac:dyDescent="0.2">
      <c r="F3377" s="286"/>
      <c r="G3377" s="286"/>
      <c r="H3377" s="286"/>
      <c r="I3377" s="286"/>
      <c r="J3377" s="286"/>
      <c r="K3377" s="286"/>
    </row>
    <row r="3378" spans="5:11" x14ac:dyDescent="0.2">
      <c r="F3378" s="286"/>
      <c r="G3378" s="286"/>
      <c r="H3378" s="286"/>
      <c r="I3378" s="286"/>
      <c r="J3378" s="286"/>
      <c r="K3378" s="286"/>
    </row>
    <row r="3379" spans="5:11" x14ac:dyDescent="0.2">
      <c r="F3379" s="286"/>
      <c r="G3379" s="286"/>
      <c r="H3379" s="286"/>
      <c r="I3379" s="584"/>
      <c r="J3379" s="286"/>
      <c r="K3379" s="286"/>
    </row>
    <row r="3380" spans="5:11" x14ac:dyDescent="0.2">
      <c r="F3380" s="286"/>
      <c r="G3380" s="584"/>
      <c r="H3380" s="286"/>
      <c r="I3380" s="584"/>
      <c r="J3380" s="286"/>
      <c r="K3380" s="584"/>
    </row>
    <row r="3381" spans="5:11" x14ac:dyDescent="0.2">
      <c r="F3381" s="286"/>
      <c r="G3381" s="584"/>
      <c r="H3381" s="286"/>
      <c r="I3381" s="584"/>
      <c r="J3381" s="286"/>
      <c r="K3381" s="584"/>
    </row>
    <row r="3382" spans="5:11" x14ac:dyDescent="0.2">
      <c r="F3382" s="286"/>
      <c r="G3382" s="584"/>
      <c r="H3382" s="286"/>
      <c r="I3382" s="584"/>
      <c r="J3382" s="286"/>
      <c r="K3382" s="584"/>
    </row>
    <row r="3383" spans="5:11" x14ac:dyDescent="0.2">
      <c r="F3383" s="286"/>
      <c r="G3383" s="286"/>
      <c r="H3383" s="286"/>
      <c r="I3383" s="286"/>
      <c r="J3383" s="286"/>
      <c r="K3383" s="286"/>
    </row>
    <row r="3384" spans="5:11" x14ac:dyDescent="0.2">
      <c r="F3384" s="286"/>
      <c r="G3384" s="584"/>
      <c r="H3384" s="584"/>
      <c r="I3384" s="584"/>
      <c r="J3384" s="584"/>
      <c r="K3384" s="584"/>
    </row>
    <row r="3385" spans="5:11" x14ac:dyDescent="0.2">
      <c r="F3385" s="584"/>
      <c r="G3385" s="584"/>
      <c r="H3385" s="584"/>
      <c r="I3385" s="584"/>
      <c r="J3385" s="584"/>
      <c r="K3385" s="584"/>
    </row>
    <row r="3386" spans="5:11" x14ac:dyDescent="0.2">
      <c r="F3386" s="584"/>
      <c r="G3386" s="584"/>
      <c r="H3386" s="584"/>
      <c r="I3386" s="584"/>
      <c r="J3386" s="584"/>
      <c r="K3386" s="584"/>
    </row>
    <row r="3387" spans="5:11" x14ac:dyDescent="0.2">
      <c r="F3387" s="584"/>
      <c r="G3387" s="584"/>
      <c r="H3387" s="584"/>
      <c r="I3387" s="584"/>
      <c r="J3387" s="584"/>
      <c r="K3387" s="584"/>
    </row>
    <row r="3388" spans="5:11" x14ac:dyDescent="0.2">
      <c r="E3388" s="653"/>
      <c r="F3388" s="652"/>
      <c r="G3388" s="652"/>
      <c r="H3388" s="652"/>
      <c r="I3388" s="652"/>
      <c r="J3388" s="652"/>
      <c r="K3388" s="652"/>
    </row>
    <row r="3389" spans="5:11" x14ac:dyDescent="0.2">
      <c r="E3389" s="286"/>
      <c r="F3389" s="286"/>
      <c r="G3389" s="286"/>
      <c r="H3389" s="286"/>
      <c r="I3389" s="285"/>
      <c r="J3389" s="286"/>
      <c r="K3389" s="286"/>
    </row>
    <row r="3390" spans="5:11" x14ac:dyDescent="0.2">
      <c r="E3390" s="286"/>
      <c r="F3390" s="286"/>
      <c r="G3390" s="286"/>
      <c r="H3390" s="286"/>
      <c r="I3390" s="285"/>
      <c r="J3390" s="286"/>
      <c r="K3390" s="286"/>
    </row>
    <row r="3391" spans="5:11" x14ac:dyDescent="0.2">
      <c r="E3391" s="286"/>
      <c r="F3391" s="286"/>
      <c r="G3391" s="286"/>
      <c r="H3391" s="286"/>
      <c r="I3391" s="285"/>
      <c r="J3391" s="286"/>
      <c r="K3391" s="286"/>
    </row>
    <row r="3392" spans="5:11" x14ac:dyDescent="0.2">
      <c r="E3392" s="286"/>
      <c r="F3392" s="286"/>
      <c r="G3392" s="286"/>
      <c r="H3392" s="286"/>
      <c r="I3392" s="285"/>
      <c r="J3392" s="286"/>
      <c r="K3392" s="286"/>
    </row>
    <row r="3393" spans="5:11" x14ac:dyDescent="0.2">
      <c r="E3393" s="286"/>
      <c r="F3393" s="286"/>
      <c r="G3393" s="286"/>
      <c r="H3393" s="286"/>
      <c r="I3393" s="285"/>
      <c r="J3393" s="286"/>
      <c r="K3393" s="286"/>
    </row>
    <row r="3394" spans="5:11" x14ac:dyDescent="0.2">
      <c r="E3394" s="286"/>
      <c r="F3394" s="286"/>
      <c r="G3394" s="286"/>
      <c r="H3394" s="286"/>
      <c r="I3394" s="285"/>
      <c r="J3394" s="286"/>
      <c r="K3394" s="286"/>
    </row>
    <row r="3395" spans="5:11" x14ac:dyDescent="0.2">
      <c r="E3395" s="286"/>
      <c r="F3395" s="286"/>
      <c r="G3395" s="286"/>
      <c r="H3395" s="286"/>
      <c r="I3395" s="285"/>
      <c r="J3395" s="286"/>
      <c r="K3395" s="286"/>
    </row>
    <row r="3396" spans="5:11" x14ac:dyDescent="0.2">
      <c r="E3396" s="286"/>
      <c r="F3396" s="286"/>
      <c r="G3396" s="286"/>
      <c r="H3396" s="286"/>
      <c r="I3396" s="285"/>
      <c r="J3396" s="286"/>
      <c r="K3396" s="286"/>
    </row>
    <row r="3397" spans="5:11" x14ac:dyDescent="0.2">
      <c r="E3397" s="286"/>
      <c r="F3397" s="286"/>
      <c r="G3397" s="286"/>
      <c r="H3397" s="286"/>
      <c r="I3397" s="285"/>
      <c r="J3397" s="286"/>
      <c r="K3397" s="286"/>
    </row>
    <row r="3398" spans="5:11" x14ac:dyDescent="0.2">
      <c r="E3398" s="286"/>
      <c r="F3398" s="286"/>
      <c r="G3398" s="286"/>
      <c r="H3398" s="286"/>
      <c r="I3398" s="285"/>
      <c r="J3398" s="286"/>
      <c r="K3398" s="286"/>
    </row>
    <row r="3399" spans="5:11" x14ac:dyDescent="0.2">
      <c r="E3399" s="286"/>
      <c r="F3399" s="286"/>
      <c r="G3399" s="286"/>
      <c r="H3399" s="286"/>
      <c r="I3399" s="285"/>
      <c r="J3399" s="286"/>
      <c r="K3399" s="286"/>
    </row>
    <row r="3400" spans="5:11" x14ac:dyDescent="0.2">
      <c r="E3400" s="286"/>
      <c r="F3400" s="286"/>
      <c r="G3400" s="286"/>
      <c r="H3400" s="286"/>
      <c r="I3400" s="285"/>
      <c r="J3400" s="286"/>
      <c r="K3400" s="286"/>
    </row>
    <row r="3401" spans="5:11" x14ac:dyDescent="0.2">
      <c r="E3401" s="286"/>
      <c r="F3401" s="286"/>
      <c r="G3401" s="286"/>
      <c r="H3401" s="286"/>
      <c r="I3401" s="285"/>
      <c r="J3401" s="286"/>
      <c r="K3401" s="286"/>
    </row>
    <row r="3402" spans="5:11" x14ac:dyDescent="0.2">
      <c r="E3402" s="286"/>
      <c r="F3402" s="286"/>
      <c r="G3402" s="286"/>
      <c r="H3402" s="286"/>
      <c r="I3402" s="285"/>
      <c r="J3402" s="286"/>
      <c r="K3402" s="286"/>
    </row>
    <row r="3403" spans="5:11" x14ac:dyDescent="0.2">
      <c r="E3403" s="286"/>
      <c r="F3403" s="286"/>
      <c r="G3403" s="286"/>
      <c r="H3403" s="286"/>
      <c r="I3403" s="285"/>
      <c r="J3403" s="286"/>
      <c r="K3403" s="286"/>
    </row>
    <row r="3404" spans="5:11" x14ac:dyDescent="0.2">
      <c r="E3404" s="286"/>
      <c r="F3404" s="286"/>
      <c r="G3404" s="286"/>
      <c r="H3404" s="286"/>
      <c r="I3404" s="285"/>
      <c r="J3404" s="286"/>
      <c r="K3404" s="286"/>
    </row>
    <row r="3405" spans="5:11" x14ac:dyDescent="0.2">
      <c r="E3405" s="529"/>
      <c r="F3405" s="529"/>
      <c r="G3405" s="529"/>
      <c r="H3405" s="529"/>
      <c r="I3405" s="529"/>
      <c r="J3405" s="529"/>
      <c r="K3405" s="529"/>
    </row>
    <row r="3406" spans="5:11" x14ac:dyDescent="0.2">
      <c r="E3406" s="286"/>
      <c r="F3406" s="286"/>
      <c r="G3406" s="286"/>
      <c r="H3406" s="286"/>
      <c r="I3406" s="286"/>
      <c r="J3406" s="286"/>
      <c r="K3406" s="286"/>
    </row>
    <row r="3407" spans="5:11" x14ac:dyDescent="0.2">
      <c r="E3407" s="286"/>
      <c r="F3407" s="286"/>
      <c r="G3407" s="286"/>
      <c r="H3407" s="286"/>
      <c r="I3407" s="286"/>
      <c r="J3407" s="286"/>
      <c r="K3407" s="286"/>
    </row>
    <row r="3408" spans="5:11" x14ac:dyDescent="0.2">
      <c r="E3408" s="286"/>
      <c r="F3408" s="286"/>
      <c r="G3408" s="286"/>
      <c r="H3408" s="286"/>
      <c r="I3408" s="286"/>
      <c r="J3408" s="286"/>
      <c r="K3408" s="286"/>
    </row>
    <row r="3409" spans="5:11" x14ac:dyDescent="0.2">
      <c r="E3409" s="286"/>
      <c r="F3409" s="286"/>
      <c r="G3409" s="286"/>
      <c r="H3409" s="286"/>
      <c r="I3409" s="286"/>
      <c r="J3409" s="286"/>
      <c r="K3409" s="286"/>
    </row>
    <row r="3410" spans="5:11" x14ac:dyDescent="0.2">
      <c r="E3410" s="286"/>
      <c r="F3410" s="286"/>
      <c r="G3410" s="286"/>
      <c r="H3410" s="286"/>
      <c r="I3410" s="286"/>
      <c r="J3410" s="286"/>
      <c r="K3410" s="286"/>
    </row>
    <row r="3411" spans="5:11" x14ac:dyDescent="0.2">
      <c r="E3411" s="664"/>
      <c r="F3411" s="664"/>
      <c r="G3411" s="664"/>
      <c r="H3411" s="664"/>
      <c r="I3411" s="664"/>
      <c r="J3411" s="664"/>
      <c r="K3411" s="664"/>
    </row>
    <row r="3412" spans="5:11" x14ac:dyDescent="0.2">
      <c r="E3412" s="664"/>
      <c r="F3412" s="664"/>
      <c r="G3412" s="664"/>
      <c r="H3412" s="664"/>
      <c r="I3412" s="664"/>
      <c r="J3412" s="664"/>
      <c r="K3412" s="664"/>
    </row>
    <row r="3413" spans="5:11" x14ac:dyDescent="0.2">
      <c r="E3413" s="664"/>
      <c r="F3413" s="664"/>
      <c r="G3413" s="664"/>
      <c r="H3413" s="664"/>
      <c r="I3413" s="664"/>
      <c r="J3413" s="664"/>
      <c r="K3413" s="664"/>
    </row>
    <row r="3414" spans="5:11" x14ac:dyDescent="0.2">
      <c r="E3414" s="664"/>
      <c r="F3414" s="664"/>
      <c r="G3414" s="664"/>
      <c r="H3414" s="664"/>
      <c r="I3414" s="664"/>
      <c r="J3414" s="664"/>
      <c r="K3414" s="664"/>
    </row>
    <row r="3415" spans="5:11" x14ac:dyDescent="0.2">
      <c r="E3415" s="286"/>
      <c r="F3415" s="286"/>
      <c r="G3415" s="286"/>
      <c r="H3415" s="286"/>
      <c r="I3415" s="286"/>
      <c r="J3415" s="286"/>
      <c r="K3415" s="286"/>
    </row>
    <row r="3416" spans="5:11" x14ac:dyDescent="0.2">
      <c r="E3416" s="286"/>
      <c r="F3416" s="286"/>
      <c r="G3416" s="286"/>
      <c r="H3416" s="286"/>
      <c r="I3416" s="286"/>
      <c r="J3416" s="286"/>
      <c r="K3416" s="286"/>
    </row>
    <row r="3417" spans="5:11" x14ac:dyDescent="0.2">
      <c r="E3417" s="286"/>
      <c r="F3417" s="286"/>
      <c r="G3417" s="286"/>
      <c r="H3417" s="286"/>
      <c r="I3417" s="286"/>
      <c r="J3417" s="286"/>
      <c r="K3417" s="286"/>
    </row>
    <row r="3418" spans="5:11" x14ac:dyDescent="0.2">
      <c r="E3418" s="286"/>
      <c r="F3418" s="286"/>
      <c r="G3418" s="286"/>
      <c r="H3418" s="286"/>
      <c r="I3418" s="286"/>
      <c r="J3418" s="286"/>
      <c r="K3418" s="286"/>
    </row>
    <row r="3419" spans="5:11" x14ac:dyDescent="0.2">
      <c r="E3419" s="286"/>
      <c r="F3419" s="286"/>
      <c r="G3419" s="286"/>
      <c r="H3419" s="286"/>
      <c r="I3419" s="286"/>
      <c r="J3419" s="286"/>
      <c r="K3419" s="286"/>
    </row>
    <row r="3420" spans="5:11" x14ac:dyDescent="0.2">
      <c r="E3420" s="286"/>
      <c r="F3420" s="286"/>
      <c r="G3420" s="286"/>
      <c r="H3420" s="286"/>
      <c r="I3420" s="286"/>
      <c r="J3420" s="286"/>
      <c r="K3420" s="286"/>
    </row>
    <row r="3421" spans="5:11" x14ac:dyDescent="0.2">
      <c r="E3421" s="286"/>
      <c r="F3421" s="286"/>
      <c r="G3421" s="286"/>
      <c r="H3421" s="286"/>
      <c r="I3421" s="286"/>
      <c r="J3421" s="286"/>
      <c r="K3421" s="286"/>
    </row>
    <row r="3422" spans="5:11" x14ac:dyDescent="0.2">
      <c r="E3422" s="286"/>
      <c r="F3422" s="286"/>
      <c r="G3422" s="286"/>
      <c r="H3422" s="286"/>
      <c r="I3422" s="286"/>
      <c r="J3422" s="286"/>
      <c r="K3422" s="286"/>
    </row>
    <row r="3423" spans="5:11" x14ac:dyDescent="0.2">
      <c r="E3423" s="286"/>
      <c r="F3423" s="286"/>
      <c r="G3423" s="286"/>
      <c r="H3423" s="286"/>
      <c r="I3423" s="286"/>
      <c r="J3423" s="286"/>
      <c r="K3423" s="286"/>
    </row>
    <row r="3424" spans="5:11" x14ac:dyDescent="0.2">
      <c r="E3424" s="286"/>
      <c r="F3424" s="286"/>
      <c r="G3424" s="286"/>
      <c r="H3424" s="286"/>
      <c r="I3424" s="286"/>
      <c r="J3424" s="286"/>
      <c r="K3424" s="286"/>
    </row>
    <row r="3425" spans="4:11" x14ac:dyDescent="0.2">
      <c r="E3425" s="286"/>
      <c r="F3425" s="286"/>
      <c r="G3425" s="286"/>
      <c r="H3425" s="286"/>
      <c r="I3425" s="286"/>
      <c r="J3425" s="286"/>
      <c r="K3425" s="286"/>
    </row>
    <row r="3426" spans="4:11" x14ac:dyDescent="0.2">
      <c r="E3426" s="286"/>
      <c r="F3426" s="286"/>
      <c r="G3426" s="286"/>
      <c r="H3426" s="286"/>
      <c r="I3426" s="286"/>
      <c r="J3426" s="286"/>
      <c r="K3426" s="286"/>
    </row>
    <row r="3427" spans="4:11" x14ac:dyDescent="0.2">
      <c r="E3427" s="286"/>
      <c r="F3427" s="286"/>
      <c r="G3427" s="286"/>
      <c r="H3427" s="286"/>
      <c r="I3427" s="286"/>
      <c r="J3427" s="286"/>
      <c r="K3427" s="286"/>
    </row>
    <row r="3428" spans="4:11" x14ac:dyDescent="0.2">
      <c r="E3428" s="286"/>
      <c r="F3428" s="286"/>
      <c r="G3428" s="286"/>
      <c r="H3428" s="286"/>
      <c r="I3428" s="286"/>
      <c r="J3428" s="286"/>
      <c r="K3428" s="286"/>
    </row>
    <row r="3429" spans="4:11" x14ac:dyDescent="0.2">
      <c r="E3429" s="286"/>
      <c r="F3429" s="286"/>
      <c r="G3429" s="286"/>
      <c r="H3429" s="286"/>
      <c r="I3429" s="286"/>
      <c r="J3429" s="286"/>
      <c r="K3429" s="286"/>
    </row>
    <row r="3430" spans="4:11" x14ac:dyDescent="0.2">
      <c r="E3430" s="286"/>
      <c r="F3430" s="286"/>
      <c r="G3430" s="286"/>
      <c r="H3430" s="286"/>
      <c r="I3430" s="286"/>
      <c r="J3430" s="286"/>
      <c r="K3430" s="286"/>
    </row>
    <row r="3431" spans="4:11" ht="10.5" x14ac:dyDescent="0.2">
      <c r="D3431" s="320"/>
      <c r="E3431" s="286"/>
      <c r="F3431" s="286"/>
      <c r="G3431" s="286"/>
      <c r="H3431" s="286"/>
      <c r="I3431" s="286"/>
      <c r="J3431" s="286"/>
      <c r="K3431" s="286"/>
    </row>
    <row r="3432" spans="4:11" x14ac:dyDescent="0.2">
      <c r="D3432" s="285"/>
      <c r="E3432" s="286"/>
      <c r="F3432" s="286"/>
      <c r="G3432" s="286"/>
      <c r="H3432" s="286"/>
      <c r="I3432" s="286"/>
      <c r="J3432" s="286"/>
      <c r="K3432" s="286"/>
    </row>
    <row r="3433" spans="4:11" x14ac:dyDescent="0.2">
      <c r="D3433" s="285"/>
      <c r="E3433" s="286"/>
      <c r="F3433" s="285"/>
      <c r="G3433" s="286"/>
      <c r="H3433" s="286"/>
      <c r="I3433" s="286"/>
      <c r="J3433" s="286"/>
      <c r="K3433" s="286"/>
    </row>
    <row r="3434" spans="4:11" x14ac:dyDescent="0.2">
      <c r="D3434" s="285"/>
      <c r="E3434" s="286"/>
      <c r="F3434" s="286"/>
      <c r="G3434" s="286"/>
      <c r="H3434" s="286"/>
      <c r="I3434" s="286"/>
      <c r="J3434" s="286"/>
      <c r="K3434" s="286"/>
    </row>
    <row r="3435" spans="4:11" x14ac:dyDescent="0.2">
      <c r="D3435" s="285"/>
      <c r="E3435" s="286"/>
      <c r="F3435" s="286"/>
      <c r="G3435" s="286"/>
      <c r="H3435" s="286"/>
      <c r="I3435" s="286"/>
      <c r="J3435" s="286"/>
      <c r="K3435" s="286"/>
    </row>
    <row r="3436" spans="4:11" x14ac:dyDescent="0.2">
      <c r="D3436" s="285"/>
      <c r="E3436" s="286"/>
      <c r="F3436" s="286"/>
      <c r="G3436" s="286"/>
      <c r="H3436" s="286"/>
      <c r="I3436" s="286"/>
      <c r="J3436" s="286"/>
      <c r="K3436" s="286"/>
    </row>
    <row r="3437" spans="4:11" x14ac:dyDescent="0.2">
      <c r="D3437" s="285"/>
      <c r="E3437" s="286"/>
      <c r="F3437" s="286"/>
      <c r="G3437" s="286"/>
      <c r="H3437" s="286"/>
      <c r="I3437" s="286"/>
      <c r="J3437" s="286"/>
      <c r="K3437" s="286"/>
    </row>
    <row r="3438" spans="4:11" x14ac:dyDescent="0.2">
      <c r="D3438" s="285"/>
      <c r="E3438" s="286"/>
      <c r="F3438" s="285"/>
      <c r="G3438" s="286"/>
      <c r="H3438" s="286"/>
      <c r="I3438" s="286"/>
      <c r="J3438" s="286"/>
      <c r="K3438" s="286"/>
    </row>
    <row r="3439" spans="4:11" x14ac:dyDescent="0.2">
      <c r="D3439" s="285"/>
      <c r="E3439" s="286"/>
      <c r="F3439" s="286"/>
      <c r="G3439" s="286"/>
      <c r="H3439" s="286"/>
      <c r="I3439" s="286"/>
      <c r="J3439" s="286"/>
      <c r="K3439" s="286"/>
    </row>
    <row r="3440" spans="4:11" x14ac:dyDescent="0.2">
      <c r="D3440" s="285"/>
      <c r="E3440" s="286"/>
      <c r="F3440" s="286"/>
      <c r="G3440" s="286"/>
      <c r="H3440" s="286"/>
      <c r="I3440" s="286"/>
      <c r="J3440" s="286"/>
      <c r="K3440" s="286"/>
    </row>
    <row r="3441" spans="4:11" x14ac:dyDescent="0.2">
      <c r="E3441" s="584"/>
      <c r="F3441" s="584"/>
      <c r="G3441" s="584"/>
      <c r="H3441" s="584"/>
      <c r="I3441" s="584"/>
      <c r="J3441" s="584"/>
      <c r="K3441" s="584"/>
    </row>
    <row r="3442" spans="4:11" x14ac:dyDescent="0.2">
      <c r="E3442" s="584"/>
      <c r="F3442" s="584"/>
      <c r="G3442" s="584"/>
      <c r="H3442" s="584"/>
      <c r="I3442" s="584"/>
      <c r="J3442" s="584"/>
      <c r="K3442" s="584"/>
    </row>
    <row r="3443" spans="4:11" x14ac:dyDescent="0.2">
      <c r="E3443" s="584"/>
      <c r="F3443" s="584"/>
      <c r="G3443" s="584"/>
      <c r="H3443" s="584"/>
      <c r="I3443" s="584"/>
      <c r="J3443" s="584"/>
      <c r="K3443" s="584"/>
    </row>
    <row r="3444" spans="4:11" x14ac:dyDescent="0.2">
      <c r="E3444" s="584"/>
      <c r="F3444" s="584"/>
      <c r="G3444" s="584"/>
      <c r="H3444" s="584"/>
      <c r="I3444" s="584"/>
      <c r="J3444" s="584"/>
      <c r="K3444" s="584"/>
    </row>
    <row r="3445" spans="4:11" x14ac:dyDescent="0.2">
      <c r="E3445" s="584"/>
      <c r="F3445" s="584"/>
      <c r="G3445" s="584"/>
      <c r="H3445" s="584"/>
      <c r="I3445" s="584"/>
      <c r="J3445" s="584"/>
      <c r="K3445" s="584"/>
    </row>
    <row r="3446" spans="4:11" x14ac:dyDescent="0.2">
      <c r="E3446" s="584"/>
      <c r="F3446" s="584"/>
      <c r="G3446" s="584"/>
      <c r="H3446" s="584"/>
      <c r="I3446" s="584"/>
      <c r="J3446" s="584"/>
      <c r="K3446" s="584"/>
    </row>
    <row r="3447" spans="4:11" x14ac:dyDescent="0.2">
      <c r="E3447" s="584"/>
      <c r="F3447" s="584"/>
      <c r="G3447" s="584"/>
      <c r="H3447" s="584"/>
      <c r="I3447" s="584"/>
      <c r="J3447" s="584"/>
      <c r="K3447" s="584"/>
    </row>
    <row r="3448" spans="4:11" x14ac:dyDescent="0.2">
      <c r="E3448" s="584"/>
      <c r="F3448" s="584"/>
      <c r="G3448" s="584"/>
      <c r="H3448" s="584"/>
      <c r="I3448" s="584"/>
      <c r="J3448" s="584"/>
      <c r="K3448" s="584"/>
    </row>
    <row r="3449" spans="4:11" x14ac:dyDescent="0.2">
      <c r="E3449" s="584"/>
      <c r="F3449" s="584"/>
      <c r="G3449" s="584"/>
      <c r="H3449" s="584"/>
      <c r="I3449" s="584"/>
      <c r="J3449" s="584"/>
      <c r="K3449" s="584"/>
    </row>
    <row r="3450" spans="4:11" x14ac:dyDescent="0.2">
      <c r="E3450" s="584"/>
      <c r="F3450" s="584"/>
      <c r="G3450" s="584"/>
      <c r="H3450" s="584"/>
      <c r="I3450" s="584"/>
      <c r="J3450" s="584"/>
      <c r="K3450" s="584"/>
    </row>
    <row r="3451" spans="4:11" x14ac:dyDescent="0.2">
      <c r="E3451" s="584"/>
      <c r="F3451" s="584"/>
      <c r="G3451" s="584"/>
      <c r="H3451" s="584"/>
      <c r="I3451" s="584"/>
      <c r="J3451" s="584"/>
      <c r="K3451" s="584"/>
    </row>
    <row r="3452" spans="4:11" x14ac:dyDescent="0.2">
      <c r="E3452" s="584"/>
      <c r="F3452" s="584"/>
      <c r="G3452" s="584"/>
      <c r="H3452" s="584"/>
      <c r="I3452" s="584"/>
      <c r="J3452" s="584"/>
      <c r="K3452" s="584"/>
    </row>
    <row r="3453" spans="4:11" x14ac:dyDescent="0.2">
      <c r="E3453" s="584"/>
      <c r="F3453" s="584"/>
      <c r="G3453" s="584"/>
      <c r="H3453" s="584"/>
      <c r="I3453" s="584"/>
      <c r="J3453" s="584"/>
      <c r="K3453" s="584"/>
    </row>
    <row r="3454" spans="4:11" x14ac:dyDescent="0.2">
      <c r="E3454" s="584"/>
      <c r="F3454" s="584"/>
      <c r="G3454" s="584"/>
      <c r="H3454" s="584"/>
      <c r="I3454" s="584"/>
      <c r="J3454" s="584"/>
      <c r="K3454" s="584"/>
    </row>
    <row r="3455" spans="4:11" x14ac:dyDescent="0.2">
      <c r="D3455" s="285"/>
      <c r="E3455" s="286"/>
      <c r="F3455" s="286"/>
      <c r="G3455" s="286"/>
      <c r="H3455" s="286"/>
      <c r="I3455" s="292"/>
      <c r="J3455" s="286"/>
      <c r="K3455" s="286"/>
    </row>
    <row r="3456" spans="4:11" x14ac:dyDescent="0.2">
      <c r="D3456" s="285"/>
      <c r="E3456" s="286"/>
      <c r="F3456" s="286"/>
      <c r="G3456" s="286"/>
      <c r="H3456" s="286"/>
      <c r="I3456" s="292"/>
      <c r="J3456" s="286"/>
      <c r="K3456" s="286"/>
    </row>
    <row r="3457" spans="4:11" x14ac:dyDescent="0.2">
      <c r="D3457" s="285"/>
      <c r="E3457" s="286"/>
      <c r="F3457" s="286"/>
      <c r="G3457" s="286"/>
      <c r="H3457" s="286"/>
      <c r="I3457" s="292"/>
      <c r="J3457" s="286"/>
      <c r="K3457" s="286"/>
    </row>
    <row r="3458" spans="4:11" x14ac:dyDescent="0.2">
      <c r="D3458" s="285"/>
      <c r="E3458" s="286"/>
      <c r="F3458" s="286"/>
      <c r="G3458" s="286"/>
      <c r="H3458" s="286"/>
      <c r="I3458" s="292"/>
      <c r="J3458" s="286"/>
      <c r="K3458" s="286"/>
    </row>
    <row r="3459" spans="4:11" x14ac:dyDescent="0.2">
      <c r="D3459" s="285"/>
      <c r="E3459" s="286"/>
      <c r="F3459" s="286"/>
      <c r="G3459" s="286"/>
      <c r="H3459" s="286"/>
      <c r="I3459" s="292"/>
      <c r="J3459" s="286"/>
      <c r="K3459" s="286"/>
    </row>
    <row r="3460" spans="4:11" x14ac:dyDescent="0.2">
      <c r="D3460" s="285"/>
      <c r="E3460" s="286"/>
      <c r="F3460" s="286"/>
      <c r="G3460" s="286"/>
      <c r="H3460" s="286"/>
      <c r="I3460" s="292"/>
      <c r="J3460" s="286"/>
      <c r="K3460" s="286"/>
    </row>
    <row r="3461" spans="4:11" x14ac:dyDescent="0.2">
      <c r="D3461" s="285"/>
      <c r="E3461" s="286"/>
      <c r="F3461" s="286"/>
      <c r="G3461" s="286"/>
      <c r="H3461" s="286"/>
      <c r="I3461" s="292"/>
      <c r="J3461" s="286"/>
      <c r="K3461" s="286"/>
    </row>
    <row r="3462" spans="4:11" x14ac:dyDescent="0.2">
      <c r="D3462" s="285"/>
      <c r="E3462" s="286"/>
      <c r="F3462" s="286"/>
      <c r="G3462" s="286"/>
      <c r="H3462" s="286"/>
      <c r="I3462" s="292"/>
      <c r="J3462" s="286"/>
      <c r="K3462" s="286"/>
    </row>
    <row r="3463" spans="4:11" x14ac:dyDescent="0.2">
      <c r="D3463" s="285"/>
      <c r="E3463" s="286"/>
      <c r="F3463" s="286"/>
      <c r="G3463" s="286"/>
      <c r="H3463" s="286"/>
      <c r="I3463" s="292"/>
      <c r="J3463" s="286"/>
      <c r="K3463" s="286"/>
    </row>
    <row r="3464" spans="4:11" x14ac:dyDescent="0.2">
      <c r="D3464" s="285"/>
      <c r="E3464" s="286"/>
      <c r="F3464" s="286"/>
      <c r="G3464" s="286"/>
      <c r="H3464" s="286"/>
      <c r="I3464" s="292"/>
      <c r="J3464" s="286"/>
      <c r="K3464" s="286"/>
    </row>
    <row r="3465" spans="4:11" x14ac:dyDescent="0.2">
      <c r="D3465" s="285"/>
      <c r="E3465" s="286"/>
      <c r="F3465" s="286"/>
      <c r="G3465" s="286"/>
      <c r="H3465" s="286"/>
      <c r="I3465" s="292"/>
      <c r="J3465" s="286"/>
      <c r="K3465" s="286"/>
    </row>
    <row r="3466" spans="4:11" x14ac:dyDescent="0.2">
      <c r="E3466" s="286"/>
      <c r="F3466" s="286"/>
      <c r="G3466" s="286"/>
      <c r="H3466" s="286"/>
      <c r="I3466" s="286"/>
      <c r="K3466" s="286"/>
    </row>
    <row r="3467" spans="4:11" x14ac:dyDescent="0.2">
      <c r="E3467" s="286"/>
      <c r="F3467" s="286"/>
      <c r="G3467" s="665"/>
      <c r="H3467" s="286"/>
      <c r="I3467" s="286"/>
      <c r="J3467" s="286"/>
      <c r="K3467" s="286"/>
    </row>
    <row r="3468" spans="4:11" x14ac:dyDescent="0.2">
      <c r="E3468" s="286"/>
      <c r="F3468" s="286"/>
      <c r="G3468" s="666"/>
      <c r="H3468" s="286"/>
      <c r="I3468" s="286"/>
      <c r="K3468" s="286"/>
    </row>
    <row r="3469" spans="4:11" x14ac:dyDescent="0.2">
      <c r="E3469" s="286"/>
      <c r="F3469" s="286"/>
      <c r="G3469" s="286"/>
      <c r="H3469" s="286"/>
      <c r="I3469" s="286"/>
      <c r="J3469" s="286"/>
      <c r="K3469" s="286"/>
    </row>
    <row r="3470" spans="4:11" x14ac:dyDescent="0.2">
      <c r="E3470" s="286"/>
      <c r="F3470" s="286"/>
      <c r="G3470" s="286"/>
      <c r="H3470" s="286"/>
      <c r="I3470" s="286"/>
      <c r="J3470" s="286"/>
      <c r="K3470" s="286"/>
    </row>
    <row r="3471" spans="4:11" x14ac:dyDescent="0.2">
      <c r="E3471" s="286"/>
      <c r="F3471" s="286"/>
      <c r="G3471" s="286"/>
      <c r="H3471" s="286"/>
      <c r="I3471" s="292"/>
      <c r="J3471" s="286"/>
      <c r="K3471" s="286"/>
    </row>
    <row r="3472" spans="4:11" x14ac:dyDescent="0.2">
      <c r="E3472" s="286"/>
      <c r="F3472" s="286"/>
      <c r="G3472" s="286"/>
      <c r="H3472" s="286"/>
      <c r="I3472" s="292"/>
      <c r="J3472" s="286"/>
      <c r="K3472" s="286"/>
    </row>
    <row r="3473" spans="5:11" x14ac:dyDescent="0.2">
      <c r="E3473" s="286"/>
      <c r="F3473" s="286"/>
      <c r="G3473" s="286"/>
      <c r="H3473" s="286"/>
      <c r="I3473" s="287"/>
      <c r="J3473" s="286"/>
      <c r="K3473" s="286"/>
    </row>
    <row r="3474" spans="5:11" x14ac:dyDescent="0.2">
      <c r="E3474" s="286"/>
      <c r="F3474" s="286"/>
      <c r="G3474" s="286"/>
      <c r="H3474" s="286"/>
      <c r="I3474" s="287"/>
      <c r="J3474" s="286"/>
      <c r="K3474" s="286"/>
    </row>
    <row r="3475" spans="5:11" x14ac:dyDescent="0.2">
      <c r="E3475" s="286"/>
      <c r="F3475" s="286"/>
      <c r="G3475" s="286"/>
      <c r="H3475" s="286"/>
      <c r="I3475" s="287"/>
      <c r="J3475" s="286"/>
      <c r="K3475" s="286"/>
    </row>
    <row r="3476" spans="5:11" x14ac:dyDescent="0.2">
      <c r="E3476" s="286"/>
      <c r="F3476" s="286"/>
      <c r="G3476" s="286"/>
      <c r="H3476" s="286"/>
      <c r="I3476" s="287"/>
      <c r="J3476" s="286"/>
      <c r="K3476" s="286"/>
    </row>
    <row r="3477" spans="5:11" x14ac:dyDescent="0.2">
      <c r="E3477" s="286"/>
      <c r="F3477" s="286"/>
      <c r="G3477" s="286"/>
      <c r="H3477" s="286"/>
      <c r="I3477" s="286"/>
      <c r="J3477" s="286"/>
      <c r="K3477" s="286"/>
    </row>
    <row r="3478" spans="5:11" x14ac:dyDescent="0.2">
      <c r="E3478" s="286"/>
      <c r="F3478" s="286"/>
      <c r="G3478" s="286"/>
      <c r="H3478" s="286"/>
      <c r="I3478" s="286"/>
      <c r="J3478" s="286"/>
      <c r="K3478" s="286"/>
    </row>
    <row r="3479" spans="5:11" x14ac:dyDescent="0.2">
      <c r="E3479" s="286"/>
      <c r="F3479" s="286"/>
      <c r="G3479" s="286"/>
      <c r="H3479" s="286"/>
      <c r="I3479" s="286"/>
      <c r="J3479" s="286"/>
      <c r="K3479" s="286"/>
    </row>
    <row r="3480" spans="5:11" x14ac:dyDescent="0.2">
      <c r="E3480" s="286"/>
      <c r="F3480" s="286"/>
      <c r="G3480" s="286"/>
      <c r="H3480" s="286"/>
      <c r="I3480" s="286"/>
      <c r="J3480" s="286"/>
      <c r="K3480" s="286"/>
    </row>
    <row r="3481" spans="5:11" x14ac:dyDescent="0.2">
      <c r="E3481" s="286"/>
      <c r="F3481" s="286"/>
      <c r="G3481" s="286"/>
      <c r="H3481" s="286"/>
      <c r="I3481" s="286"/>
      <c r="J3481" s="286"/>
      <c r="K3481" s="286"/>
    </row>
    <row r="3482" spans="5:11" x14ac:dyDescent="0.2">
      <c r="E3482" s="286"/>
      <c r="F3482" s="286"/>
      <c r="G3482" s="286"/>
      <c r="H3482" s="286"/>
      <c r="I3482" s="286"/>
      <c r="J3482" s="286"/>
      <c r="K3482" s="286"/>
    </row>
    <row r="3483" spans="5:11" x14ac:dyDescent="0.2">
      <c r="E3483" s="286"/>
      <c r="F3483" s="286"/>
      <c r="G3483" s="286"/>
      <c r="H3483" s="286"/>
      <c r="I3483" s="286"/>
      <c r="J3483" s="286"/>
      <c r="K3483" s="286"/>
    </row>
    <row r="3484" spans="5:11" x14ac:dyDescent="0.2">
      <c r="E3484" s="286"/>
      <c r="F3484" s="286"/>
      <c r="G3484" s="286"/>
      <c r="H3484" s="286"/>
      <c r="I3484" s="286"/>
      <c r="J3484" s="286"/>
      <c r="K3484" s="286"/>
    </row>
    <row r="3485" spans="5:11" x14ac:dyDescent="0.2">
      <c r="E3485" s="286"/>
      <c r="F3485" s="286"/>
      <c r="G3485" s="286"/>
      <c r="H3485" s="286"/>
      <c r="I3485" s="286"/>
      <c r="J3485" s="286"/>
      <c r="K3485" s="286"/>
    </row>
    <row r="3486" spans="5:11" x14ac:dyDescent="0.2">
      <c r="E3486" s="286"/>
      <c r="F3486" s="286"/>
      <c r="G3486" s="286"/>
      <c r="H3486" s="286"/>
      <c r="I3486" s="286"/>
      <c r="J3486" s="286"/>
      <c r="K3486" s="286"/>
    </row>
    <row r="3487" spans="5:11" x14ac:dyDescent="0.2">
      <c r="E3487" s="286"/>
      <c r="F3487" s="286"/>
      <c r="G3487" s="286"/>
      <c r="H3487" s="286"/>
      <c r="I3487" s="286"/>
      <c r="J3487" s="286"/>
      <c r="K3487" s="286"/>
    </row>
    <row r="3488" spans="5:11" x14ac:dyDescent="0.2">
      <c r="E3488" s="286"/>
      <c r="F3488" s="286"/>
      <c r="G3488" s="286"/>
      <c r="H3488" s="286"/>
      <c r="I3488" s="286"/>
      <c r="J3488" s="286"/>
      <c r="K3488" s="286"/>
    </row>
    <row r="3489" spans="5:11" x14ac:dyDescent="0.2">
      <c r="E3489" s="286"/>
      <c r="F3489" s="286"/>
      <c r="G3489" s="286"/>
      <c r="H3489" s="286"/>
      <c r="I3489" s="286"/>
      <c r="J3489" s="286"/>
      <c r="K3489" s="286"/>
    </row>
    <row r="3490" spans="5:11" x14ac:dyDescent="0.2">
      <c r="E3490" s="286"/>
      <c r="F3490" s="286"/>
      <c r="G3490" s="286"/>
      <c r="H3490" s="286"/>
      <c r="I3490" s="286"/>
      <c r="J3490" s="286"/>
      <c r="K3490" s="286"/>
    </row>
    <row r="3491" spans="5:11" x14ac:dyDescent="0.2">
      <c r="E3491" s="286"/>
      <c r="F3491" s="286"/>
      <c r="G3491" s="286"/>
      <c r="H3491" s="286"/>
      <c r="I3491" s="286"/>
      <c r="J3491" s="286"/>
      <c r="K3491" s="286"/>
    </row>
    <row r="3492" spans="5:11" x14ac:dyDescent="0.2">
      <c r="E3492" s="286"/>
      <c r="F3492" s="286"/>
      <c r="G3492" s="286"/>
      <c r="H3492" s="286"/>
      <c r="I3492" s="286"/>
      <c r="J3492" s="286"/>
      <c r="K3492" s="286"/>
    </row>
    <row r="3493" spans="5:11" x14ac:dyDescent="0.2">
      <c r="E3493" s="286"/>
      <c r="F3493" s="286"/>
      <c r="G3493" s="286"/>
      <c r="H3493" s="286"/>
      <c r="I3493" s="286"/>
      <c r="J3493" s="286"/>
      <c r="K3493" s="286"/>
    </row>
    <row r="3494" spans="5:11" x14ac:dyDescent="0.2">
      <c r="E3494" s="286"/>
      <c r="F3494" s="286"/>
      <c r="G3494" s="286"/>
      <c r="H3494" s="286"/>
      <c r="I3494" s="286"/>
      <c r="J3494" s="286"/>
      <c r="K3494" s="286"/>
    </row>
    <row r="3495" spans="5:11" x14ac:dyDescent="0.2">
      <c r="E3495" s="286"/>
      <c r="F3495" s="286"/>
      <c r="G3495" s="286"/>
      <c r="H3495" s="286"/>
      <c r="I3495" s="286"/>
      <c r="J3495" s="286"/>
      <c r="K3495" s="286"/>
    </row>
    <row r="3496" spans="5:11" x14ac:dyDescent="0.2">
      <c r="E3496" s="286"/>
      <c r="F3496" s="286"/>
      <c r="G3496" s="286"/>
      <c r="H3496" s="286"/>
      <c r="I3496" s="286"/>
      <c r="J3496" s="286"/>
      <c r="K3496" s="286"/>
    </row>
    <row r="3497" spans="5:11" x14ac:dyDescent="0.2">
      <c r="E3497" s="286"/>
      <c r="F3497" s="286"/>
      <c r="G3497" s="286"/>
      <c r="H3497" s="286"/>
      <c r="I3497" s="286"/>
      <c r="J3497" s="286"/>
      <c r="K3497" s="286"/>
    </row>
    <row r="3498" spans="5:11" x14ac:dyDescent="0.2">
      <c r="E3498" s="286"/>
      <c r="F3498" s="286"/>
      <c r="G3498" s="286"/>
      <c r="H3498" s="286"/>
      <c r="I3498" s="286"/>
      <c r="J3498" s="286"/>
      <c r="K3498" s="286"/>
    </row>
    <row r="3499" spans="5:11" x14ac:dyDescent="0.2">
      <c r="E3499" s="286"/>
      <c r="F3499" s="286"/>
      <c r="G3499" s="286"/>
      <c r="H3499" s="286"/>
      <c r="I3499" s="286"/>
      <c r="J3499" s="286"/>
      <c r="K3499" s="286"/>
    </row>
    <row r="3500" spans="5:11" x14ac:dyDescent="0.2">
      <c r="E3500" s="286"/>
      <c r="F3500" s="286"/>
      <c r="G3500" s="286"/>
      <c r="H3500" s="286"/>
      <c r="I3500" s="286"/>
      <c r="J3500" s="286"/>
      <c r="K3500" s="286"/>
    </row>
    <row r="3501" spans="5:11" x14ac:dyDescent="0.2">
      <c r="E3501" s="286"/>
      <c r="F3501" s="286"/>
      <c r="G3501" s="286"/>
      <c r="H3501" s="286"/>
      <c r="I3501" s="286"/>
      <c r="J3501" s="286"/>
      <c r="K3501" s="286"/>
    </row>
    <row r="3502" spans="5:11" x14ac:dyDescent="0.2">
      <c r="E3502" s="286"/>
      <c r="F3502" s="286"/>
      <c r="G3502" s="286"/>
      <c r="H3502" s="286"/>
      <c r="I3502" s="286"/>
      <c r="J3502" s="286"/>
      <c r="K3502" s="286"/>
    </row>
    <row r="3503" spans="5:11" x14ac:dyDescent="0.2">
      <c r="E3503" s="286"/>
      <c r="F3503" s="286"/>
      <c r="G3503" s="286"/>
      <c r="H3503" s="286"/>
      <c r="I3503" s="286"/>
      <c r="J3503" s="286"/>
      <c r="K3503" s="286"/>
    </row>
    <row r="3504" spans="5:11" x14ac:dyDescent="0.2">
      <c r="E3504" s="286"/>
      <c r="F3504" s="286"/>
      <c r="G3504" s="286"/>
      <c r="H3504" s="286"/>
      <c r="I3504" s="286"/>
      <c r="J3504" s="286"/>
      <c r="K3504" s="286"/>
    </row>
    <row r="3505" spans="5:11" x14ac:dyDescent="0.2">
      <c r="E3505" s="286"/>
      <c r="F3505" s="286"/>
      <c r="G3505" s="286"/>
      <c r="H3505" s="286"/>
      <c r="I3505" s="286"/>
      <c r="J3505" s="286"/>
      <c r="K3505" s="286"/>
    </row>
    <row r="3506" spans="5:11" x14ac:dyDescent="0.2">
      <c r="E3506" s="286"/>
      <c r="F3506" s="286"/>
      <c r="G3506" s="286"/>
      <c r="H3506" s="286"/>
      <c r="I3506" s="286"/>
      <c r="J3506" s="286"/>
      <c r="K3506" s="286"/>
    </row>
    <row r="3507" spans="5:11" x14ac:dyDescent="0.2">
      <c r="E3507" s="286"/>
      <c r="F3507" s="286"/>
      <c r="G3507" s="286"/>
      <c r="H3507" s="286"/>
      <c r="I3507" s="286"/>
      <c r="J3507" s="286"/>
      <c r="K3507" s="286"/>
    </row>
    <row r="3508" spans="5:11" x14ac:dyDescent="0.2">
      <c r="E3508" s="286"/>
      <c r="F3508" s="286"/>
      <c r="G3508" s="286"/>
      <c r="H3508" s="286"/>
      <c r="I3508" s="286"/>
      <c r="J3508" s="286"/>
      <c r="K3508" s="286"/>
    </row>
    <row r="3509" spans="5:11" x14ac:dyDescent="0.2">
      <c r="E3509" s="588"/>
      <c r="F3509" s="589"/>
      <c r="G3509" s="589"/>
      <c r="H3509" s="589"/>
      <c r="I3509" s="589"/>
      <c r="J3509" s="589"/>
      <c r="K3509" s="589"/>
    </row>
    <row r="3510" spans="5:11" x14ac:dyDescent="0.2">
      <c r="E3510" s="588"/>
      <c r="F3510" s="589"/>
      <c r="G3510" s="589"/>
      <c r="H3510" s="589"/>
      <c r="I3510" s="589"/>
      <c r="J3510" s="589"/>
      <c r="K3510" s="589"/>
    </row>
    <row r="3511" spans="5:11" ht="14.5" x14ac:dyDescent="0.35">
      <c r="E3511" s="588"/>
      <c r="F3511" s="667"/>
      <c r="G3511" s="589"/>
      <c r="H3511" s="589"/>
      <c r="I3511" s="589"/>
      <c r="J3511" s="589"/>
      <c r="K3511" s="589"/>
    </row>
    <row r="3512" spans="5:11" x14ac:dyDescent="0.2">
      <c r="E3512" s="588"/>
      <c r="F3512" s="589"/>
      <c r="G3512" s="589"/>
      <c r="H3512" s="589"/>
      <c r="I3512" s="589"/>
      <c r="J3512" s="589"/>
      <c r="K3512" s="589"/>
    </row>
    <row r="3513" spans="5:11" x14ac:dyDescent="0.2">
      <c r="E3513" s="588"/>
      <c r="F3513" s="589"/>
      <c r="G3513" s="589"/>
      <c r="H3513" s="589"/>
      <c r="I3513" s="589"/>
      <c r="J3513" s="589"/>
      <c r="K3513" s="589"/>
    </row>
    <row r="3514" spans="5:11" x14ac:dyDescent="0.2">
      <c r="E3514" s="588"/>
      <c r="F3514" s="589"/>
      <c r="G3514" s="589"/>
      <c r="H3514" s="589"/>
      <c r="I3514" s="589"/>
      <c r="J3514" s="589"/>
      <c r="K3514" s="589"/>
    </row>
    <row r="3515" spans="5:11" x14ac:dyDescent="0.2">
      <c r="E3515" s="588"/>
      <c r="F3515" s="589"/>
      <c r="G3515" s="589"/>
      <c r="H3515" s="589"/>
      <c r="I3515" s="589"/>
      <c r="J3515" s="589"/>
      <c r="K3515" s="589"/>
    </row>
    <row r="3516" spans="5:11" x14ac:dyDescent="0.2">
      <c r="E3516" s="588"/>
      <c r="F3516" s="589"/>
      <c r="G3516" s="589"/>
      <c r="H3516" s="589"/>
      <c r="I3516" s="589"/>
      <c r="J3516" s="589"/>
      <c r="K3516" s="589"/>
    </row>
    <row r="3517" spans="5:11" x14ac:dyDescent="0.2">
      <c r="E3517" s="588"/>
      <c r="F3517" s="589"/>
      <c r="G3517" s="589"/>
      <c r="H3517" s="589"/>
      <c r="I3517" s="589"/>
      <c r="J3517" s="589"/>
      <c r="K3517" s="589"/>
    </row>
    <row r="3518" spans="5:11" x14ac:dyDescent="0.2">
      <c r="E3518" s="588"/>
      <c r="F3518" s="589"/>
      <c r="G3518" s="589"/>
      <c r="H3518" s="589"/>
      <c r="I3518" s="589"/>
      <c r="J3518" s="589"/>
      <c r="K3518" s="589"/>
    </row>
    <row r="3519" spans="5:11" x14ac:dyDescent="0.2">
      <c r="E3519" s="588"/>
      <c r="F3519" s="589"/>
      <c r="G3519" s="589"/>
      <c r="H3519" s="589"/>
      <c r="I3519" s="589"/>
      <c r="J3519" s="589"/>
      <c r="K3519" s="589"/>
    </row>
    <row r="3520" spans="5:11" x14ac:dyDescent="0.2">
      <c r="E3520" s="588"/>
      <c r="F3520" s="589"/>
      <c r="G3520" s="589"/>
      <c r="H3520" s="589"/>
      <c r="I3520" s="589"/>
      <c r="J3520" s="589"/>
      <c r="K3520" s="589"/>
    </row>
    <row r="3521" spans="5:11" x14ac:dyDescent="0.2">
      <c r="E3521" s="588"/>
      <c r="F3521" s="589"/>
      <c r="G3521" s="589"/>
      <c r="H3521" s="589"/>
      <c r="I3521" s="589"/>
      <c r="J3521" s="589"/>
      <c r="K3521" s="589"/>
    </row>
    <row r="3522" spans="5:11" x14ac:dyDescent="0.2">
      <c r="E3522" s="588"/>
      <c r="F3522" s="589"/>
      <c r="G3522" s="589"/>
      <c r="H3522" s="589"/>
      <c r="I3522" s="589"/>
      <c r="J3522" s="589"/>
      <c r="K3522" s="589"/>
    </row>
    <row r="3523" spans="5:11" x14ac:dyDescent="0.2">
      <c r="E3523" s="588"/>
      <c r="F3523" s="589"/>
      <c r="G3523" s="589"/>
      <c r="H3523" s="589"/>
      <c r="I3523" s="589"/>
      <c r="J3523" s="589"/>
      <c r="K3523" s="589"/>
    </row>
    <row r="3524" spans="5:11" x14ac:dyDescent="0.2">
      <c r="E3524" s="584"/>
      <c r="F3524" s="584"/>
      <c r="G3524" s="584"/>
      <c r="H3524" s="584"/>
      <c r="I3524" s="584"/>
      <c r="J3524" s="584"/>
      <c r="K3524" s="584"/>
    </row>
    <row r="3525" spans="5:11" x14ac:dyDescent="0.2">
      <c r="E3525" s="584"/>
      <c r="F3525" s="584"/>
      <c r="G3525" s="584"/>
      <c r="H3525" s="584"/>
      <c r="I3525" s="584"/>
      <c r="J3525" s="584"/>
      <c r="K3525" s="584"/>
    </row>
    <row r="3526" spans="5:11" x14ac:dyDescent="0.2">
      <c r="E3526" s="584"/>
      <c r="F3526" s="584"/>
      <c r="G3526" s="584"/>
      <c r="H3526" s="584"/>
      <c r="I3526" s="584"/>
      <c r="J3526" s="584"/>
      <c r="K3526" s="584"/>
    </row>
    <row r="3527" spans="5:11" x14ac:dyDescent="0.2">
      <c r="E3527" s="584"/>
      <c r="F3527" s="584"/>
      <c r="G3527" s="584"/>
      <c r="H3527" s="584"/>
      <c r="I3527" s="584"/>
      <c r="J3527" s="584"/>
      <c r="K3527" s="584"/>
    </row>
    <row r="3528" spans="5:11" x14ac:dyDescent="0.2">
      <c r="E3528" s="584"/>
      <c r="F3528" s="584"/>
      <c r="G3528" s="584"/>
      <c r="H3528" s="584"/>
      <c r="I3528" s="584"/>
      <c r="J3528" s="584"/>
      <c r="K3528" s="584"/>
    </row>
    <row r="3529" spans="5:11" x14ac:dyDescent="0.2">
      <c r="E3529" s="584"/>
      <c r="F3529" s="584"/>
      <c r="G3529" s="584"/>
      <c r="H3529" s="584"/>
      <c r="I3529" s="584"/>
      <c r="J3529" s="584"/>
      <c r="K3529" s="584"/>
    </row>
    <row r="3530" spans="5:11" x14ac:dyDescent="0.2">
      <c r="E3530" s="584"/>
      <c r="F3530" s="584"/>
      <c r="G3530" s="584"/>
      <c r="H3530" s="584"/>
      <c r="I3530" s="584"/>
      <c r="J3530" s="584"/>
      <c r="K3530" s="584"/>
    </row>
    <row r="3531" spans="5:11" x14ac:dyDescent="0.2">
      <c r="E3531" s="584"/>
      <c r="F3531" s="584"/>
      <c r="G3531" s="584"/>
      <c r="H3531" s="584"/>
      <c r="I3531" s="584"/>
      <c r="J3531" s="584"/>
      <c r="K3531" s="584"/>
    </row>
    <row r="3532" spans="5:11" x14ac:dyDescent="0.2">
      <c r="E3532" s="584"/>
      <c r="F3532" s="584"/>
      <c r="G3532" s="584"/>
      <c r="H3532" s="584"/>
      <c r="I3532" s="584"/>
      <c r="J3532" s="584"/>
      <c r="K3532" s="584"/>
    </row>
    <row r="3533" spans="5:11" x14ac:dyDescent="0.2">
      <c r="E3533" s="584"/>
      <c r="F3533" s="584"/>
      <c r="G3533" s="584"/>
      <c r="H3533" s="584"/>
      <c r="I3533" s="584"/>
      <c r="J3533" s="584"/>
      <c r="K3533" s="584"/>
    </row>
    <row r="3534" spans="5:11" x14ac:dyDescent="0.2">
      <c r="E3534" s="584"/>
      <c r="F3534" s="584"/>
      <c r="G3534" s="584"/>
      <c r="H3534" s="584"/>
      <c r="I3534" s="584"/>
      <c r="J3534" s="584"/>
      <c r="K3534" s="584"/>
    </row>
    <row r="3535" spans="5:11" x14ac:dyDescent="0.2">
      <c r="E3535" s="584"/>
      <c r="F3535" s="584"/>
      <c r="G3535" s="584"/>
      <c r="H3535" s="584"/>
      <c r="I3535" s="584"/>
      <c r="J3535" s="584"/>
      <c r="K3535" s="584"/>
    </row>
    <row r="3536" spans="5:11" x14ac:dyDescent="0.2">
      <c r="E3536" s="584"/>
      <c r="F3536" s="584"/>
      <c r="G3536" s="584"/>
      <c r="H3536" s="584"/>
      <c r="I3536" s="584"/>
      <c r="J3536" s="584"/>
      <c r="K3536" s="584"/>
    </row>
    <row r="3537" spans="5:11" x14ac:dyDescent="0.2">
      <c r="E3537" s="584"/>
      <c r="F3537" s="584"/>
      <c r="G3537" s="584"/>
      <c r="H3537" s="584"/>
      <c r="I3537" s="584"/>
      <c r="J3537" s="584"/>
      <c r="K3537" s="584"/>
    </row>
    <row r="3538" spans="5:11" x14ac:dyDescent="0.2">
      <c r="E3538" s="584"/>
      <c r="F3538" s="584"/>
      <c r="G3538" s="584"/>
      <c r="H3538" s="584"/>
      <c r="I3538" s="584"/>
      <c r="J3538" s="584"/>
      <c r="K3538" s="584"/>
    </row>
    <row r="3539" spans="5:11" x14ac:dyDescent="0.2">
      <c r="E3539" s="584"/>
      <c r="F3539" s="584"/>
      <c r="G3539" s="584"/>
      <c r="H3539" s="584"/>
      <c r="I3539" s="584"/>
      <c r="J3539" s="584"/>
      <c r="K3539" s="584"/>
    </row>
    <row r="3540" spans="5:11" x14ac:dyDescent="0.2">
      <c r="E3540" s="584"/>
      <c r="F3540" s="584"/>
      <c r="G3540" s="584"/>
      <c r="H3540" s="584"/>
      <c r="I3540" s="584"/>
      <c r="J3540" s="584"/>
      <c r="K3540" s="584"/>
    </row>
    <row r="3541" spans="5:11" x14ac:dyDescent="0.2">
      <c r="E3541" s="584"/>
      <c r="F3541" s="584"/>
      <c r="G3541" s="584"/>
      <c r="H3541" s="584"/>
      <c r="I3541" s="584"/>
      <c r="J3541" s="584"/>
      <c r="K3541" s="584"/>
    </row>
    <row r="3542" spans="5:11" x14ac:dyDescent="0.2">
      <c r="E3542" s="584"/>
      <c r="F3542" s="584"/>
      <c r="G3542" s="584"/>
      <c r="H3542" s="584"/>
      <c r="I3542" s="584"/>
      <c r="J3542" s="584"/>
      <c r="K3542" s="584"/>
    </row>
    <row r="3543" spans="5:11" x14ac:dyDescent="0.2">
      <c r="E3543" s="584"/>
      <c r="F3543" s="584"/>
      <c r="G3543" s="584"/>
      <c r="H3543" s="584"/>
      <c r="I3543" s="584"/>
      <c r="J3543" s="584"/>
      <c r="K3543" s="584"/>
    </row>
    <row r="3544" spans="5:11" x14ac:dyDescent="0.2">
      <c r="E3544" s="584"/>
      <c r="F3544" s="584"/>
      <c r="G3544" s="584"/>
      <c r="H3544" s="584"/>
      <c r="I3544" s="584"/>
      <c r="J3544" s="584"/>
      <c r="K3544" s="584"/>
    </row>
    <row r="3545" spans="5:11" x14ac:dyDescent="0.2">
      <c r="E3545" s="584"/>
      <c r="F3545" s="584"/>
      <c r="G3545" s="584"/>
      <c r="H3545" s="584"/>
      <c r="I3545" s="584"/>
      <c r="J3545" s="584"/>
      <c r="K3545" s="584"/>
    </row>
    <row r="3546" spans="5:11" x14ac:dyDescent="0.2">
      <c r="E3546" s="584"/>
      <c r="F3546" s="584"/>
      <c r="G3546" s="584"/>
      <c r="H3546" s="584"/>
      <c r="I3546" s="584"/>
      <c r="J3546" s="584"/>
      <c r="K3546" s="584"/>
    </row>
    <row r="3547" spans="5:11" x14ac:dyDescent="0.2">
      <c r="E3547" s="584"/>
      <c r="F3547" s="584"/>
      <c r="G3547" s="584"/>
      <c r="H3547" s="584"/>
      <c r="I3547" s="584"/>
      <c r="J3547" s="584"/>
      <c r="K3547" s="584"/>
    </row>
    <row r="3548" spans="5:11" x14ac:dyDescent="0.2">
      <c r="E3548" s="286"/>
      <c r="F3548" s="286"/>
      <c r="G3548" s="286"/>
      <c r="H3548" s="286"/>
      <c r="I3548" s="292"/>
      <c r="J3548" s="286"/>
      <c r="K3548" s="286"/>
    </row>
    <row r="3549" spans="5:11" x14ac:dyDescent="0.2">
      <c r="E3549" s="286"/>
      <c r="F3549" s="286"/>
      <c r="G3549" s="286"/>
      <c r="H3549" s="286"/>
      <c r="I3549" s="292"/>
      <c r="J3549" s="286"/>
      <c r="K3549" s="286"/>
    </row>
    <row r="3550" spans="5:11" x14ac:dyDescent="0.2">
      <c r="E3550" s="286"/>
      <c r="F3550" s="286"/>
      <c r="G3550" s="286"/>
      <c r="H3550" s="286"/>
      <c r="I3550" s="292"/>
      <c r="J3550" s="286"/>
      <c r="K3550" s="286"/>
    </row>
    <row r="3551" spans="5:11" x14ac:dyDescent="0.2">
      <c r="E3551" s="286"/>
      <c r="F3551" s="286"/>
      <c r="G3551" s="286"/>
      <c r="H3551" s="286"/>
      <c r="I3551" s="292"/>
      <c r="J3551" s="286"/>
      <c r="K3551" s="286"/>
    </row>
    <row r="3552" spans="5:11" x14ac:dyDescent="0.2">
      <c r="E3552" s="286"/>
      <c r="F3552" s="286"/>
      <c r="G3552" s="286"/>
      <c r="H3552" s="286"/>
      <c r="I3552" s="292"/>
      <c r="J3552" s="286"/>
      <c r="K3552" s="286"/>
    </row>
    <row r="3553" spans="5:11" x14ac:dyDescent="0.2">
      <c r="E3553" s="286"/>
      <c r="F3553" s="286"/>
      <c r="G3553" s="286"/>
      <c r="H3553" s="286"/>
      <c r="I3553" s="292"/>
      <c r="J3553" s="286"/>
      <c r="K3553" s="286"/>
    </row>
    <row r="3554" spans="5:11" x14ac:dyDescent="0.2">
      <c r="E3554" s="286"/>
      <c r="F3554" s="286"/>
      <c r="G3554" s="286"/>
      <c r="H3554" s="286"/>
      <c r="I3554" s="292"/>
      <c r="J3554" s="286"/>
      <c r="K3554" s="286"/>
    </row>
    <row r="3555" spans="5:11" x14ac:dyDescent="0.2">
      <c r="E3555" s="286"/>
      <c r="F3555" s="286"/>
      <c r="G3555" s="286"/>
      <c r="H3555" s="286"/>
      <c r="I3555" s="292"/>
      <c r="J3555" s="286"/>
      <c r="K3555" s="286"/>
    </row>
    <row r="3556" spans="5:11" x14ac:dyDescent="0.2">
      <c r="E3556" s="286"/>
      <c r="F3556" s="286"/>
      <c r="G3556" s="286"/>
      <c r="H3556" s="286"/>
      <c r="I3556" s="292"/>
      <c r="J3556" s="286"/>
      <c r="K3556" s="286"/>
    </row>
    <row r="3557" spans="5:11" x14ac:dyDescent="0.2">
      <c r="E3557" s="286"/>
      <c r="F3557" s="286"/>
      <c r="G3557" s="286"/>
      <c r="H3557" s="286"/>
      <c r="I3557" s="292"/>
      <c r="J3557" s="286"/>
      <c r="K3557" s="286"/>
    </row>
    <row r="3558" spans="5:11" x14ac:dyDescent="0.2">
      <c r="E3558" s="286"/>
      <c r="F3558" s="286"/>
      <c r="G3558" s="286"/>
      <c r="H3558" s="286"/>
      <c r="I3558" s="292"/>
      <c r="J3558" s="286"/>
      <c r="K3558" s="286"/>
    </row>
    <row r="3559" spans="5:11" x14ac:dyDescent="0.2">
      <c r="E3559" s="286"/>
      <c r="F3559" s="286"/>
      <c r="G3559" s="286"/>
      <c r="H3559" s="286"/>
      <c r="I3559" s="292"/>
      <c r="J3559" s="286"/>
      <c r="K3559" s="286"/>
    </row>
    <row r="3560" spans="5:11" x14ac:dyDescent="0.2">
      <c r="E3560" s="286"/>
      <c r="F3560" s="286"/>
      <c r="G3560" s="286"/>
      <c r="H3560" s="286"/>
      <c r="I3560" s="292"/>
      <c r="J3560" s="286"/>
      <c r="K3560" s="286"/>
    </row>
    <row r="3561" spans="5:11" x14ac:dyDescent="0.2">
      <c r="E3561" s="286"/>
      <c r="F3561" s="286"/>
      <c r="G3561" s="286"/>
      <c r="H3561" s="286"/>
      <c r="I3561" s="292"/>
      <c r="J3561" s="286"/>
      <c r="K3561" s="286"/>
    </row>
    <row r="3562" spans="5:11" x14ac:dyDescent="0.2">
      <c r="E3562" s="286"/>
      <c r="F3562" s="286"/>
      <c r="G3562" s="286"/>
      <c r="H3562" s="286"/>
      <c r="I3562" s="292"/>
      <c r="J3562" s="286"/>
      <c r="K3562" s="286"/>
    </row>
    <row r="3563" spans="5:11" x14ac:dyDescent="0.2">
      <c r="E3563" s="286"/>
      <c r="F3563" s="286"/>
      <c r="G3563" s="286"/>
      <c r="H3563" s="286"/>
      <c r="I3563" s="292"/>
      <c r="J3563" s="286"/>
      <c r="K3563" s="286"/>
    </row>
    <row r="3564" spans="5:11" x14ac:dyDescent="0.2">
      <c r="E3564" s="286"/>
      <c r="F3564" s="286"/>
      <c r="G3564" s="286"/>
      <c r="H3564" s="286"/>
      <c r="I3564" s="292"/>
      <c r="J3564" s="286"/>
      <c r="K3564" s="286"/>
    </row>
    <row r="3565" spans="5:11" x14ac:dyDescent="0.2">
      <c r="E3565" s="286"/>
      <c r="F3565" s="286"/>
      <c r="G3565" s="286"/>
      <c r="H3565" s="286"/>
      <c r="I3565" s="292"/>
      <c r="J3565" s="286"/>
      <c r="K3565" s="286"/>
    </row>
    <row r="3566" spans="5:11" x14ac:dyDescent="0.2">
      <c r="E3566" s="286"/>
      <c r="F3566" s="286"/>
      <c r="G3566" s="286"/>
      <c r="H3566" s="286"/>
      <c r="I3566" s="292"/>
      <c r="J3566" s="286"/>
      <c r="K3566" s="286"/>
    </row>
    <row r="3567" spans="5:11" x14ac:dyDescent="0.2">
      <c r="E3567" s="286"/>
      <c r="F3567" s="286"/>
      <c r="G3567" s="286"/>
      <c r="H3567" s="286"/>
      <c r="I3567" s="292"/>
      <c r="J3567" s="286"/>
      <c r="K3567" s="286"/>
    </row>
    <row r="3568" spans="5:11" x14ac:dyDescent="0.2">
      <c r="E3568" s="286"/>
      <c r="F3568" s="286"/>
      <c r="G3568" s="286"/>
      <c r="H3568" s="286"/>
      <c r="I3568" s="292"/>
      <c r="J3568" s="286"/>
      <c r="K3568" s="286"/>
    </row>
    <row r="3569" spans="4:11" x14ac:dyDescent="0.2">
      <c r="E3569" s="286"/>
      <c r="F3569" s="286"/>
      <c r="G3569" s="286"/>
      <c r="H3569" s="286"/>
      <c r="I3569" s="292"/>
      <c r="J3569" s="286"/>
      <c r="K3569" s="286"/>
    </row>
    <row r="3570" spans="4:11" x14ac:dyDescent="0.2">
      <c r="E3570" s="286"/>
      <c r="F3570" s="286"/>
      <c r="G3570" s="286"/>
      <c r="H3570" s="286"/>
      <c r="I3570" s="286"/>
      <c r="J3570" s="286"/>
      <c r="K3570" s="286"/>
    </row>
    <row r="3571" spans="4:11" x14ac:dyDescent="0.2">
      <c r="E3571" s="286"/>
      <c r="F3571" s="286"/>
      <c r="G3571" s="286"/>
      <c r="H3571" s="286"/>
      <c r="I3571" s="286"/>
      <c r="J3571" s="286"/>
      <c r="K3571" s="286"/>
    </row>
    <row r="3572" spans="4:11" x14ac:dyDescent="0.2">
      <c r="E3572" s="286"/>
      <c r="F3572" s="286"/>
      <c r="G3572" s="286"/>
      <c r="H3572" s="286"/>
      <c r="I3572" s="286"/>
      <c r="J3572" s="286"/>
      <c r="K3572" s="286"/>
    </row>
    <row r="3573" spans="4:11" x14ac:dyDescent="0.2">
      <c r="E3573" s="286"/>
      <c r="F3573" s="286"/>
      <c r="G3573" s="286"/>
      <c r="H3573" s="286"/>
      <c r="I3573" s="286"/>
      <c r="J3573" s="286"/>
      <c r="K3573" s="286"/>
    </row>
    <row r="3574" spans="4:11" x14ac:dyDescent="0.2">
      <c r="E3574" s="286"/>
      <c r="F3574" s="286"/>
      <c r="G3574" s="286"/>
      <c r="H3574" s="286"/>
      <c r="I3574" s="286"/>
      <c r="J3574" s="286"/>
      <c r="K3574" s="286"/>
    </row>
    <row r="3575" spans="4:11" x14ac:dyDescent="0.2">
      <c r="E3575" s="286"/>
      <c r="F3575" s="286"/>
      <c r="G3575" s="286"/>
      <c r="H3575" s="286"/>
      <c r="I3575" s="286"/>
      <c r="J3575" s="286"/>
      <c r="K3575" s="286"/>
    </row>
    <row r="3576" spans="4:11" x14ac:dyDescent="0.2">
      <c r="E3576" s="584"/>
      <c r="F3576" s="584"/>
      <c r="G3576" s="584"/>
      <c r="H3576" s="584"/>
      <c r="I3576" s="584"/>
      <c r="J3576" s="584"/>
      <c r="K3576" s="584"/>
    </row>
    <row r="3577" spans="4:11" x14ac:dyDescent="0.2">
      <c r="E3577" s="584"/>
      <c r="F3577" s="584"/>
      <c r="G3577" s="584"/>
      <c r="H3577" s="584"/>
      <c r="I3577" s="584"/>
      <c r="J3577" s="584"/>
      <c r="K3577" s="584"/>
    </row>
    <row r="3578" spans="4:11" x14ac:dyDescent="0.2">
      <c r="E3578" s="584"/>
      <c r="F3578" s="584"/>
      <c r="G3578" s="584"/>
      <c r="H3578" s="584"/>
      <c r="I3578" s="584"/>
      <c r="J3578" s="584"/>
      <c r="K3578" s="584"/>
    </row>
    <row r="3579" spans="4:11" x14ac:dyDescent="0.2">
      <c r="E3579" s="584"/>
      <c r="F3579" s="584"/>
      <c r="G3579" s="584"/>
      <c r="H3579" s="584"/>
      <c r="I3579" s="584"/>
      <c r="J3579" s="584"/>
      <c r="K3579" s="584"/>
    </row>
    <row r="3580" spans="4:11" x14ac:dyDescent="0.2">
      <c r="E3580" s="584"/>
      <c r="F3580" s="584"/>
      <c r="G3580" s="584"/>
      <c r="H3580" s="584"/>
      <c r="I3580" s="584"/>
      <c r="J3580" s="584"/>
      <c r="K3580" s="584"/>
    </row>
    <row r="3581" spans="4:11" x14ac:dyDescent="0.2">
      <c r="E3581" s="584"/>
      <c r="F3581" s="584"/>
      <c r="G3581" s="584"/>
      <c r="H3581" s="584"/>
      <c r="I3581" s="584"/>
      <c r="J3581" s="584"/>
      <c r="K3581" s="584"/>
    </row>
    <row r="3582" spans="4:11" x14ac:dyDescent="0.2">
      <c r="E3582" s="584"/>
      <c r="F3582" s="584"/>
      <c r="G3582" s="584"/>
      <c r="H3582" s="584"/>
      <c r="I3582" s="584"/>
      <c r="J3582" s="584"/>
      <c r="K3582" s="584"/>
    </row>
    <row r="3584" spans="4:11" x14ac:dyDescent="0.2">
      <c r="D3584" s="285"/>
      <c r="E3584" s="601"/>
      <c r="F3584" s="602"/>
      <c r="G3584" s="602"/>
      <c r="H3584" s="602"/>
      <c r="I3584" s="603"/>
      <c r="J3584" s="602"/>
      <c r="K3584" s="602"/>
    </row>
    <row r="3585" spans="4:11" x14ac:dyDescent="0.2">
      <c r="D3585" s="285"/>
      <c r="E3585" s="601"/>
      <c r="F3585" s="602"/>
      <c r="G3585" s="602"/>
      <c r="H3585" s="602"/>
      <c r="I3585" s="603"/>
      <c r="J3585" s="602"/>
      <c r="K3585" s="602"/>
    </row>
    <row r="3586" spans="4:11" x14ac:dyDescent="0.2">
      <c r="D3586" s="285"/>
      <c r="E3586" s="601"/>
      <c r="F3586" s="602"/>
      <c r="G3586" s="602"/>
      <c r="H3586" s="602"/>
      <c r="I3586" s="603"/>
      <c r="J3586" s="602"/>
      <c r="K3586" s="602"/>
    </row>
    <row r="3587" spans="4:11" x14ac:dyDescent="0.2">
      <c r="D3587" s="285"/>
      <c r="E3587" s="601"/>
      <c r="F3587" s="602"/>
      <c r="G3587" s="602"/>
      <c r="H3587" s="602"/>
      <c r="I3587" s="603"/>
      <c r="J3587" s="602"/>
      <c r="K3587" s="602"/>
    </row>
    <row r="3588" spans="4:11" x14ac:dyDescent="0.2">
      <c r="D3588" s="285"/>
      <c r="E3588" s="601"/>
      <c r="F3588" s="602"/>
      <c r="G3588" s="602"/>
      <c r="H3588" s="602"/>
      <c r="I3588" s="603"/>
      <c r="J3588" s="602"/>
      <c r="K3588" s="602"/>
    </row>
    <row r="3589" spans="4:11" x14ac:dyDescent="0.2">
      <c r="D3589" s="285"/>
      <c r="E3589" s="601"/>
      <c r="F3589" s="602"/>
      <c r="G3589" s="602"/>
      <c r="H3589" s="602"/>
      <c r="I3589" s="603"/>
      <c r="J3589" s="602"/>
      <c r="K3589" s="602"/>
    </row>
    <row r="3590" spans="4:11" x14ac:dyDescent="0.2">
      <c r="D3590" s="285"/>
      <c r="E3590" s="458"/>
      <c r="F3590" s="286"/>
      <c r="G3590" s="286"/>
      <c r="H3590" s="286"/>
      <c r="I3590" s="558"/>
      <c r="J3590" s="286"/>
      <c r="K3590" s="286"/>
    </row>
    <row r="3591" spans="4:11" x14ac:dyDescent="0.2">
      <c r="D3591" s="285"/>
      <c r="E3591" s="458"/>
      <c r="F3591" s="286"/>
      <c r="G3591" s="286"/>
      <c r="H3591" s="286"/>
      <c r="I3591" s="558"/>
      <c r="J3591" s="286"/>
      <c r="K3591" s="286"/>
    </row>
    <row r="3592" spans="4:11" x14ac:dyDescent="0.2">
      <c r="D3592" s="285"/>
      <c r="E3592" s="458"/>
      <c r="F3592" s="286"/>
      <c r="G3592" s="286"/>
      <c r="H3592" s="286"/>
      <c r="I3592" s="558"/>
      <c r="J3592" s="286"/>
      <c r="K3592" s="286"/>
    </row>
    <row r="3593" spans="4:11" x14ac:dyDescent="0.2">
      <c r="D3593" s="285"/>
      <c r="E3593" s="286"/>
      <c r="F3593" s="286"/>
      <c r="G3593" s="286"/>
      <c r="H3593" s="286"/>
      <c r="I3593" s="560"/>
      <c r="K3593" s="286"/>
    </row>
    <row r="3594" spans="4:11" x14ac:dyDescent="0.2">
      <c r="D3594" s="285"/>
      <c r="E3594" s="286"/>
      <c r="F3594" s="286"/>
      <c r="G3594" s="286"/>
      <c r="H3594" s="286"/>
      <c r="I3594" s="560"/>
      <c r="J3594" s="286"/>
      <c r="K3594" s="286"/>
    </row>
    <row r="3595" spans="4:11" x14ac:dyDescent="0.2">
      <c r="D3595" s="285"/>
      <c r="E3595" s="286"/>
      <c r="F3595" s="286"/>
      <c r="H3595" s="286"/>
      <c r="I3595" s="560"/>
      <c r="J3595" s="286"/>
      <c r="K3595" s="286"/>
    </row>
    <row r="3596" spans="4:11" x14ac:dyDescent="0.2">
      <c r="D3596" s="285"/>
      <c r="E3596" s="605"/>
      <c r="F3596" s="605"/>
      <c r="G3596" s="605"/>
      <c r="H3596" s="605"/>
      <c r="I3596" s="606"/>
      <c r="J3596" s="605"/>
      <c r="K3596" s="605"/>
    </row>
    <row r="3597" spans="4:11" x14ac:dyDescent="0.2">
      <c r="D3597" s="285"/>
      <c r="E3597" s="605"/>
      <c r="F3597" s="605"/>
      <c r="G3597" s="605"/>
      <c r="H3597" s="605"/>
      <c r="I3597" s="606"/>
      <c r="J3597" s="605"/>
      <c r="K3597" s="605"/>
    </row>
    <row r="3598" spans="4:11" x14ac:dyDescent="0.2">
      <c r="D3598" s="285"/>
      <c r="E3598" s="458"/>
      <c r="F3598" s="286"/>
      <c r="G3598" s="286"/>
      <c r="H3598" s="286"/>
      <c r="I3598" s="558"/>
      <c r="J3598" s="286"/>
      <c r="K3598" s="605"/>
    </row>
    <row r="3599" spans="4:11" x14ac:dyDescent="0.2">
      <c r="D3599" s="285"/>
      <c r="E3599" s="458"/>
      <c r="F3599" s="286"/>
      <c r="G3599" s="286"/>
      <c r="H3599" s="286"/>
      <c r="I3599" s="558"/>
      <c r="J3599" s="286"/>
      <c r="K3599" s="605"/>
    </row>
    <row r="3600" spans="4:11" x14ac:dyDescent="0.2">
      <c r="D3600" s="285"/>
      <c r="E3600" s="458"/>
      <c r="F3600" s="286"/>
      <c r="G3600" s="286"/>
      <c r="H3600" s="286"/>
      <c r="I3600" s="558"/>
      <c r="J3600" s="286"/>
      <c r="K3600" s="605"/>
    </row>
    <row r="3601" spans="4:11" x14ac:dyDescent="0.2">
      <c r="D3601" s="285"/>
      <c r="E3601" s="458"/>
      <c r="F3601" s="286"/>
      <c r="G3601" s="286"/>
      <c r="H3601" s="286"/>
      <c r="I3601" s="607"/>
      <c r="J3601" s="286"/>
      <c r="K3601" s="286"/>
    </row>
    <row r="3602" spans="4:11" x14ac:dyDescent="0.2">
      <c r="D3602" s="285"/>
      <c r="E3602" s="458"/>
      <c r="F3602" s="286"/>
      <c r="G3602" s="286"/>
      <c r="H3602" s="286"/>
      <c r="I3602" s="470"/>
      <c r="J3602" s="286"/>
      <c r="K3602" s="286"/>
    </row>
    <row r="3603" spans="4:11" x14ac:dyDescent="0.2">
      <c r="D3603" s="285"/>
      <c r="E3603" s="458"/>
      <c r="F3603" s="286"/>
      <c r="G3603" s="286"/>
      <c r="H3603" s="286"/>
      <c r="I3603" s="470"/>
      <c r="J3603" s="286"/>
      <c r="K3603" s="286"/>
    </row>
    <row r="3604" spans="4:11" x14ac:dyDescent="0.2">
      <c r="D3604" s="285"/>
      <c r="E3604" s="458"/>
      <c r="F3604" s="286"/>
      <c r="G3604" s="286"/>
      <c r="H3604" s="286"/>
      <c r="I3604" s="470"/>
      <c r="J3604" s="286"/>
      <c r="K3604" s="286"/>
    </row>
    <row r="3605" spans="4:11" x14ac:dyDescent="0.2">
      <c r="D3605" s="285"/>
      <c r="E3605" s="458"/>
      <c r="F3605" s="286"/>
      <c r="G3605" s="286"/>
      <c r="H3605" s="286"/>
      <c r="I3605" s="470"/>
      <c r="J3605" s="286"/>
      <c r="K3605" s="286"/>
    </row>
    <row r="3606" spans="4:11" x14ac:dyDescent="0.2">
      <c r="D3606" s="285"/>
      <c r="E3606" s="458"/>
      <c r="F3606" s="286"/>
      <c r="G3606" s="286"/>
      <c r="H3606" s="286"/>
      <c r="I3606" s="607"/>
      <c r="J3606" s="286"/>
      <c r="K3606" s="286"/>
    </row>
    <row r="3607" spans="4:11" x14ac:dyDescent="0.2">
      <c r="D3607" s="285"/>
      <c r="E3607" s="458"/>
      <c r="F3607" s="286"/>
      <c r="G3607" s="286"/>
      <c r="H3607" s="286"/>
      <c r="I3607" s="470"/>
      <c r="J3607" s="286"/>
      <c r="K3607" s="286"/>
    </row>
    <row r="3608" spans="4:11" x14ac:dyDescent="0.2">
      <c r="D3608" s="285"/>
      <c r="E3608" s="458"/>
      <c r="F3608" s="286"/>
      <c r="G3608" s="286"/>
      <c r="H3608" s="286"/>
      <c r="I3608" s="470"/>
      <c r="J3608" s="286"/>
      <c r="K3608" s="286"/>
    </row>
    <row r="3609" spans="4:11" x14ac:dyDescent="0.2">
      <c r="D3609" s="285"/>
      <c r="E3609" s="458"/>
      <c r="F3609" s="286"/>
      <c r="G3609" s="286"/>
      <c r="H3609" s="286"/>
      <c r="I3609" s="470"/>
      <c r="J3609" s="286"/>
      <c r="K3609" s="286"/>
    </row>
    <row r="3610" spans="4:11" x14ac:dyDescent="0.2">
      <c r="D3610" s="285"/>
      <c r="E3610" s="286"/>
      <c r="F3610" s="286"/>
      <c r="G3610" s="286"/>
      <c r="H3610" s="458"/>
      <c r="I3610" s="470"/>
      <c r="J3610" s="286"/>
      <c r="K3610" s="286"/>
    </row>
    <row r="3611" spans="4:11" x14ac:dyDescent="0.2">
      <c r="D3611" s="285"/>
      <c r="E3611" s="286"/>
      <c r="F3611" s="286"/>
      <c r="G3611" s="286"/>
      <c r="H3611" s="458"/>
      <c r="I3611" s="470"/>
      <c r="J3611" s="286"/>
      <c r="K3611" s="286"/>
    </row>
    <row r="3612" spans="4:11" x14ac:dyDescent="0.2">
      <c r="E3612" s="286"/>
      <c r="F3612" s="286"/>
      <c r="G3612" s="286"/>
      <c r="H3612" s="286"/>
      <c r="I3612" s="286"/>
      <c r="J3612" s="286"/>
      <c r="K3612" s="286"/>
    </row>
    <row r="3613" spans="4:11" x14ac:dyDescent="0.2">
      <c r="E3613" s="286"/>
      <c r="F3613" s="286"/>
      <c r="G3613" s="286"/>
      <c r="H3613" s="286"/>
      <c r="I3613" s="286"/>
      <c r="J3613" s="286"/>
      <c r="K3613" s="286"/>
    </row>
    <row r="3614" spans="4:11" x14ac:dyDescent="0.2">
      <c r="E3614" s="286"/>
      <c r="F3614" s="286"/>
      <c r="G3614" s="286"/>
      <c r="H3614" s="286"/>
      <c r="I3614" s="286"/>
      <c r="J3614" s="286"/>
      <c r="K3614" s="286"/>
    </row>
    <row r="3615" spans="4:11" x14ac:dyDescent="0.2">
      <c r="E3615" s="286"/>
      <c r="F3615" s="286"/>
      <c r="G3615" s="286"/>
      <c r="H3615" s="286"/>
      <c r="I3615" s="286"/>
      <c r="J3615" s="286"/>
      <c r="K3615" s="286"/>
    </row>
    <row r="3616" spans="4:11" x14ac:dyDescent="0.2">
      <c r="E3616" s="286"/>
      <c r="F3616" s="286"/>
      <c r="G3616" s="286"/>
      <c r="H3616" s="286"/>
      <c r="I3616" s="286"/>
      <c r="J3616" s="286"/>
      <c r="K3616" s="286"/>
    </row>
    <row r="3617" spans="5:11" x14ac:dyDescent="0.2">
      <c r="E3617" s="286"/>
      <c r="F3617" s="286"/>
      <c r="G3617" s="286"/>
      <c r="H3617" s="286"/>
      <c r="I3617" s="286"/>
      <c r="J3617" s="286"/>
      <c r="K3617" s="286"/>
    </row>
    <row r="3618" spans="5:11" x14ac:dyDescent="0.2">
      <c r="E3618" s="286"/>
      <c r="F3618" s="286"/>
      <c r="G3618" s="286"/>
      <c r="H3618" s="286"/>
      <c r="I3618" s="286"/>
      <c r="J3618" s="286"/>
      <c r="K3618" s="286"/>
    </row>
    <row r="3619" spans="5:11" x14ac:dyDescent="0.2">
      <c r="E3619" s="286"/>
      <c r="F3619" s="286"/>
      <c r="G3619" s="286"/>
      <c r="H3619" s="286"/>
      <c r="I3619" s="286"/>
      <c r="J3619" s="286"/>
      <c r="K3619" s="286"/>
    </row>
    <row r="3620" spans="5:11" x14ac:dyDescent="0.2">
      <c r="E3620" s="286"/>
      <c r="F3620" s="286"/>
      <c r="G3620" s="286"/>
      <c r="H3620" s="286"/>
      <c r="I3620" s="286"/>
      <c r="J3620" s="286"/>
      <c r="K3620" s="286"/>
    </row>
    <row r="3621" spans="5:11" x14ac:dyDescent="0.2">
      <c r="E3621" s="286"/>
      <c r="F3621" s="286"/>
      <c r="G3621" s="286"/>
      <c r="H3621" s="286"/>
      <c r="I3621" s="286"/>
      <c r="J3621" s="286"/>
      <c r="K3621" s="286"/>
    </row>
    <row r="3622" spans="5:11" x14ac:dyDescent="0.2">
      <c r="E3622" s="286"/>
      <c r="F3622" s="286"/>
      <c r="G3622" s="286"/>
      <c r="H3622" s="286"/>
      <c r="I3622" s="471"/>
      <c r="J3622" s="286"/>
      <c r="K3622" s="286"/>
    </row>
    <row r="3623" spans="5:11" x14ac:dyDescent="0.2">
      <c r="E3623" s="286"/>
      <c r="F3623" s="286"/>
      <c r="G3623" s="286"/>
      <c r="H3623" s="286"/>
      <c r="I3623" s="471"/>
      <c r="J3623" s="286"/>
      <c r="K3623" s="286"/>
    </row>
    <row r="3624" spans="5:11" x14ac:dyDescent="0.2">
      <c r="E3624" s="286"/>
      <c r="F3624" s="286"/>
      <c r="G3624" s="286"/>
      <c r="H3624" s="286"/>
      <c r="I3624" s="471"/>
      <c r="J3624" s="286"/>
      <c r="K3624" s="286"/>
    </row>
    <row r="3625" spans="5:11" x14ac:dyDescent="0.2">
      <c r="E3625" s="286"/>
      <c r="F3625" s="286"/>
      <c r="G3625" s="286"/>
      <c r="H3625" s="286"/>
      <c r="I3625" s="471"/>
      <c r="J3625" s="286"/>
      <c r="K3625" s="286"/>
    </row>
    <row r="3626" spans="5:11" x14ac:dyDescent="0.2">
      <c r="E3626" s="286"/>
      <c r="F3626" s="286"/>
      <c r="G3626" s="286"/>
      <c r="H3626" s="286"/>
      <c r="I3626" s="471"/>
      <c r="J3626" s="286"/>
      <c r="K3626" s="286"/>
    </row>
    <row r="3627" spans="5:11" x14ac:dyDescent="0.2">
      <c r="E3627" s="286"/>
      <c r="F3627" s="286"/>
      <c r="G3627" s="286"/>
      <c r="H3627" s="286"/>
      <c r="I3627" s="471"/>
      <c r="J3627" s="286"/>
      <c r="K3627" s="286"/>
    </row>
    <row r="3628" spans="5:11" x14ac:dyDescent="0.2">
      <c r="E3628" s="286"/>
      <c r="F3628" s="286"/>
      <c r="G3628" s="286"/>
      <c r="H3628" s="286"/>
      <c r="I3628" s="471"/>
      <c r="J3628" s="286"/>
      <c r="K3628" s="286"/>
    </row>
    <row r="3629" spans="5:11" x14ac:dyDescent="0.2">
      <c r="E3629" s="286"/>
      <c r="F3629" s="286"/>
      <c r="G3629" s="286"/>
      <c r="H3629" s="286"/>
      <c r="I3629" s="471"/>
      <c r="J3629" s="286"/>
      <c r="K3629" s="286"/>
    </row>
    <row r="3630" spans="5:11" x14ac:dyDescent="0.2">
      <c r="E3630" s="286"/>
      <c r="F3630" s="286"/>
      <c r="G3630" s="286"/>
      <c r="H3630" s="286"/>
      <c r="I3630" s="471"/>
      <c r="J3630" s="286"/>
      <c r="K3630" s="286"/>
    </row>
    <row r="3631" spans="5:11" x14ac:dyDescent="0.2">
      <c r="E3631" s="286"/>
      <c r="F3631" s="286"/>
      <c r="G3631" s="286"/>
      <c r="H3631" s="286"/>
      <c r="I3631" s="471"/>
      <c r="J3631" s="286"/>
      <c r="K3631" s="286"/>
    </row>
    <row r="3632" spans="5:11" x14ac:dyDescent="0.2">
      <c r="E3632" s="286"/>
      <c r="F3632" s="286"/>
      <c r="G3632" s="286"/>
      <c r="H3632" s="286"/>
      <c r="I3632" s="471"/>
      <c r="J3632" s="286"/>
      <c r="K3632" s="286"/>
    </row>
    <row r="3633" spans="5:11" x14ac:dyDescent="0.2">
      <c r="E3633" s="286"/>
      <c r="F3633" s="286"/>
      <c r="G3633" s="286"/>
      <c r="H3633" s="286"/>
      <c r="I3633" s="471"/>
      <c r="J3633" s="286"/>
      <c r="K3633" s="286"/>
    </row>
    <row r="3634" spans="5:11" x14ac:dyDescent="0.2">
      <c r="E3634" s="286"/>
      <c r="F3634" s="286"/>
      <c r="G3634" s="286"/>
      <c r="H3634" s="286"/>
      <c r="I3634" s="471"/>
      <c r="J3634" s="286"/>
      <c r="K3634" s="286"/>
    </row>
    <row r="3635" spans="5:11" x14ac:dyDescent="0.2">
      <c r="E3635" s="286"/>
      <c r="F3635" s="286"/>
      <c r="G3635" s="286"/>
      <c r="H3635" s="286"/>
      <c r="I3635" s="471"/>
      <c r="J3635" s="286"/>
      <c r="K3635" s="286"/>
    </row>
    <row r="3636" spans="5:11" x14ac:dyDescent="0.2">
      <c r="E3636" s="286"/>
      <c r="F3636" s="286"/>
      <c r="G3636" s="286"/>
      <c r="H3636" s="286"/>
      <c r="I3636" s="471"/>
      <c r="J3636" s="286"/>
      <c r="K3636" s="286"/>
    </row>
    <row r="3637" spans="5:11" x14ac:dyDescent="0.2">
      <c r="E3637" s="286"/>
      <c r="F3637" s="286"/>
      <c r="G3637" s="286"/>
      <c r="H3637" s="286"/>
      <c r="I3637" s="471"/>
      <c r="J3637" s="286"/>
      <c r="K3637" s="286"/>
    </row>
    <row r="3638" spans="5:11" x14ac:dyDescent="0.2">
      <c r="F3638" s="286"/>
      <c r="G3638" s="286"/>
      <c r="H3638" s="286"/>
      <c r="I3638" s="287"/>
      <c r="J3638" s="286"/>
      <c r="K3638" s="286"/>
    </row>
    <row r="3639" spans="5:11" x14ac:dyDescent="0.2">
      <c r="F3639" s="286"/>
      <c r="G3639" s="286"/>
      <c r="H3639" s="286"/>
      <c r="I3639" s="287"/>
      <c r="J3639" s="286"/>
      <c r="K3639" s="286"/>
    </row>
    <row r="3640" spans="5:11" x14ac:dyDescent="0.2">
      <c r="F3640" s="286"/>
      <c r="G3640" s="286"/>
      <c r="H3640" s="286"/>
      <c r="I3640" s="287"/>
      <c r="J3640" s="286"/>
      <c r="K3640" s="286"/>
    </row>
    <row r="3641" spans="5:11" x14ac:dyDescent="0.2">
      <c r="F3641" s="286"/>
      <c r="G3641" s="286"/>
      <c r="H3641" s="286"/>
      <c r="I3641" s="287"/>
      <c r="J3641" s="286"/>
      <c r="K3641" s="286"/>
    </row>
    <row r="3642" spans="5:11" x14ac:dyDescent="0.2">
      <c r="F3642" s="286"/>
      <c r="G3642" s="286"/>
      <c r="H3642" s="286"/>
      <c r="I3642" s="287"/>
      <c r="J3642" s="286"/>
      <c r="K3642" s="286"/>
    </row>
    <row r="3643" spans="5:11" x14ac:dyDescent="0.2">
      <c r="F3643" s="286"/>
      <c r="G3643" s="286"/>
      <c r="H3643" s="286"/>
      <c r="I3643" s="287"/>
      <c r="J3643" s="286"/>
      <c r="K3643" s="286"/>
    </row>
    <row r="3644" spans="5:11" x14ac:dyDescent="0.2">
      <c r="F3644" s="286"/>
      <c r="G3644" s="286"/>
      <c r="H3644" s="286"/>
      <c r="I3644" s="287"/>
      <c r="J3644" s="286"/>
      <c r="K3644" s="286"/>
    </row>
    <row r="3645" spans="5:11" x14ac:dyDescent="0.2">
      <c r="F3645" s="286"/>
      <c r="G3645" s="286"/>
      <c r="H3645" s="286"/>
      <c r="I3645" s="287"/>
      <c r="J3645" s="286"/>
      <c r="K3645" s="286"/>
    </row>
    <row r="3646" spans="5:11" x14ac:dyDescent="0.2">
      <c r="F3646" s="286"/>
      <c r="G3646" s="286"/>
      <c r="H3646" s="286"/>
      <c r="I3646" s="287"/>
      <c r="J3646" s="286"/>
      <c r="K3646" s="286"/>
    </row>
    <row r="3647" spans="5:11" x14ac:dyDescent="0.2">
      <c r="F3647" s="286"/>
      <c r="G3647" s="286"/>
      <c r="H3647" s="286"/>
      <c r="I3647" s="608"/>
      <c r="J3647" s="286"/>
      <c r="K3647" s="286"/>
    </row>
    <row r="3648" spans="5:11" x14ac:dyDescent="0.2">
      <c r="F3648" s="286"/>
      <c r="G3648" s="286"/>
      <c r="H3648" s="286"/>
      <c r="I3648" s="608"/>
      <c r="J3648" s="286"/>
      <c r="K3648" s="286"/>
    </row>
    <row r="3649" spans="5:11" x14ac:dyDescent="0.2">
      <c r="F3649" s="286"/>
      <c r="G3649" s="286"/>
      <c r="H3649" s="286"/>
      <c r="I3649" s="608"/>
      <c r="J3649" s="286"/>
      <c r="K3649" s="286"/>
    </row>
    <row r="3650" spans="5:11" x14ac:dyDescent="0.2">
      <c r="F3650" s="286"/>
      <c r="G3650" s="286"/>
      <c r="H3650" s="286"/>
      <c r="I3650" s="608"/>
      <c r="J3650" s="286"/>
      <c r="K3650" s="286"/>
    </row>
    <row r="3651" spans="5:11" x14ac:dyDescent="0.2">
      <c r="F3651" s="286"/>
      <c r="G3651" s="286"/>
      <c r="H3651" s="286"/>
      <c r="I3651" s="608"/>
      <c r="J3651" s="286"/>
      <c r="K3651" s="286"/>
    </row>
    <row r="3652" spans="5:11" x14ac:dyDescent="0.2">
      <c r="F3652" s="286"/>
      <c r="G3652" s="286"/>
      <c r="H3652" s="286"/>
      <c r="I3652" s="608"/>
      <c r="J3652" s="286"/>
      <c r="K3652" s="286"/>
    </row>
    <row r="3653" spans="5:11" x14ac:dyDescent="0.2">
      <c r="F3653" s="286"/>
      <c r="G3653" s="286"/>
      <c r="H3653" s="286"/>
      <c r="I3653" s="608"/>
      <c r="J3653" s="286"/>
      <c r="K3653" s="286"/>
    </row>
    <row r="3654" spans="5:11" x14ac:dyDescent="0.2">
      <c r="F3654" s="286"/>
      <c r="G3654" s="286"/>
      <c r="H3654" s="286"/>
      <c r="I3654" s="608"/>
      <c r="J3654" s="286"/>
      <c r="K3654" s="286"/>
    </row>
    <row r="3655" spans="5:11" x14ac:dyDescent="0.2">
      <c r="E3655" s="619"/>
      <c r="F3655" s="619"/>
      <c r="G3655" s="619"/>
      <c r="H3655" s="619"/>
      <c r="I3655" s="618"/>
      <c r="J3655" s="619"/>
      <c r="K3655" s="619"/>
    </row>
    <row r="3656" spans="5:11" x14ac:dyDescent="0.2">
      <c r="E3656" s="619"/>
      <c r="F3656" s="619"/>
      <c r="G3656" s="619"/>
      <c r="H3656" s="619"/>
      <c r="I3656" s="618"/>
      <c r="J3656" s="619"/>
      <c r="K3656" s="619"/>
    </row>
    <row r="3657" spans="5:11" x14ac:dyDescent="0.2">
      <c r="E3657" s="617"/>
      <c r="F3657" s="617"/>
      <c r="G3657" s="617"/>
      <c r="H3657" s="617"/>
      <c r="I3657" s="617"/>
      <c r="J3657" s="617"/>
      <c r="K3657" s="617"/>
    </row>
    <row r="3658" spans="5:11" x14ac:dyDescent="0.2">
      <c r="E3658" s="617"/>
      <c r="F3658" s="617"/>
      <c r="G3658" s="617"/>
      <c r="H3658" s="617"/>
      <c r="I3658" s="617"/>
      <c r="J3658" s="617"/>
      <c r="K3658" s="617"/>
    </row>
    <row r="3659" spans="5:11" x14ac:dyDescent="0.2">
      <c r="E3659" s="617"/>
      <c r="F3659" s="617"/>
      <c r="G3659" s="617"/>
      <c r="H3659" s="617"/>
      <c r="I3659" s="617"/>
      <c r="J3659" s="617"/>
      <c r="K3659" s="617"/>
    </row>
    <row r="3660" spans="5:11" x14ac:dyDescent="0.2">
      <c r="E3660" s="617"/>
      <c r="F3660" s="617"/>
      <c r="G3660" s="617"/>
      <c r="H3660" s="617"/>
      <c r="I3660" s="617"/>
      <c r="J3660" s="617"/>
      <c r="K3660" s="617"/>
    </row>
    <row r="3661" spans="5:11" x14ac:dyDescent="0.2">
      <c r="E3661" s="617"/>
      <c r="F3661" s="617"/>
      <c r="G3661" s="617"/>
      <c r="H3661" s="617"/>
      <c r="I3661" s="617"/>
      <c r="J3661" s="617"/>
      <c r="K3661" s="617"/>
    </row>
    <row r="3662" spans="5:11" x14ac:dyDescent="0.2">
      <c r="E3662" s="617"/>
      <c r="F3662" s="617"/>
      <c r="G3662" s="617"/>
      <c r="H3662" s="617"/>
      <c r="I3662" s="617"/>
      <c r="J3662" s="617"/>
      <c r="K3662" s="617"/>
    </row>
    <row r="3663" spans="5:11" x14ac:dyDescent="0.2">
      <c r="E3663" s="617"/>
      <c r="F3663" s="617"/>
      <c r="G3663" s="617"/>
      <c r="H3663" s="617"/>
      <c r="I3663" s="617"/>
      <c r="J3663" s="617"/>
      <c r="K3663" s="617"/>
    </row>
    <row r="3664" spans="5:11" x14ac:dyDescent="0.2">
      <c r="E3664" s="617"/>
      <c r="F3664" s="617"/>
      <c r="G3664" s="617"/>
      <c r="H3664" s="617"/>
      <c r="I3664" s="617"/>
      <c r="J3664" s="617"/>
      <c r="K3664" s="617"/>
    </row>
    <row r="3665" spans="4:11" x14ac:dyDescent="0.2">
      <c r="E3665" s="617"/>
      <c r="F3665" s="617"/>
      <c r="G3665" s="617"/>
      <c r="H3665" s="617"/>
      <c r="I3665" s="617"/>
      <c r="J3665" s="617"/>
      <c r="K3665" s="617"/>
    </row>
    <row r="3666" spans="4:11" x14ac:dyDescent="0.2">
      <c r="E3666" s="617"/>
      <c r="F3666" s="617"/>
      <c r="G3666" s="617"/>
      <c r="H3666" s="617"/>
      <c r="I3666" s="617"/>
      <c r="J3666" s="617"/>
      <c r="K3666" s="617"/>
    </row>
    <row r="3667" spans="4:11" x14ac:dyDescent="0.2">
      <c r="E3667" s="617"/>
      <c r="F3667" s="617"/>
      <c r="G3667" s="617"/>
      <c r="H3667" s="617"/>
      <c r="I3667" s="617"/>
      <c r="J3667" s="617"/>
      <c r="K3667" s="617"/>
    </row>
    <row r="3668" spans="4:11" x14ac:dyDescent="0.2">
      <c r="E3668" s="617"/>
      <c r="F3668" s="617"/>
      <c r="G3668" s="617"/>
      <c r="H3668" s="617"/>
      <c r="I3668" s="617"/>
      <c r="J3668" s="617"/>
      <c r="K3668" s="617"/>
    </row>
    <row r="3669" spans="4:11" x14ac:dyDescent="0.2">
      <c r="E3669" s="617"/>
      <c r="F3669" s="617"/>
      <c r="G3669" s="617"/>
      <c r="H3669" s="617"/>
      <c r="I3669" s="617"/>
      <c r="J3669" s="617"/>
      <c r="K3669" s="617"/>
    </row>
    <row r="3670" spans="4:11" x14ac:dyDescent="0.2">
      <c r="E3670" s="617"/>
      <c r="F3670" s="617"/>
      <c r="G3670" s="617"/>
      <c r="H3670" s="617"/>
      <c r="I3670" s="617"/>
      <c r="J3670" s="617"/>
      <c r="K3670" s="617"/>
    </row>
    <row r="3671" spans="4:11" x14ac:dyDescent="0.2">
      <c r="E3671" s="617"/>
      <c r="F3671" s="617"/>
      <c r="G3671" s="617"/>
      <c r="H3671" s="617"/>
      <c r="I3671" s="617"/>
      <c r="J3671" s="617"/>
      <c r="K3671" s="617"/>
    </row>
    <row r="3672" spans="4:11" x14ac:dyDescent="0.2">
      <c r="E3672" s="617"/>
      <c r="F3672" s="617"/>
      <c r="G3672" s="617"/>
      <c r="H3672" s="617"/>
      <c r="I3672" s="617"/>
      <c r="J3672" s="617"/>
      <c r="K3672" s="617"/>
    </row>
    <row r="3673" spans="4:11" x14ac:dyDescent="0.2">
      <c r="E3673" s="617"/>
      <c r="F3673" s="617"/>
      <c r="G3673" s="617"/>
      <c r="H3673" s="617"/>
      <c r="I3673" s="617"/>
      <c r="J3673" s="617"/>
      <c r="K3673" s="617"/>
    </row>
    <row r="3674" spans="4:11" x14ac:dyDescent="0.2">
      <c r="E3674" s="617"/>
      <c r="F3674" s="617"/>
      <c r="G3674" s="617"/>
      <c r="H3674" s="617"/>
      <c r="I3674" s="617"/>
      <c r="J3674" s="617"/>
      <c r="K3674" s="617"/>
    </row>
    <row r="3675" spans="4:11" x14ac:dyDescent="0.2">
      <c r="D3675" s="616"/>
      <c r="E3675" s="617"/>
      <c r="F3675" s="614"/>
      <c r="G3675" s="614"/>
      <c r="H3675" s="614"/>
      <c r="I3675" s="615"/>
      <c r="J3675" s="614"/>
      <c r="K3675" s="614"/>
    </row>
    <row r="3676" spans="4:11" x14ac:dyDescent="0.2">
      <c r="D3676" s="616"/>
      <c r="E3676" s="617"/>
      <c r="F3676" s="614"/>
      <c r="G3676" s="614"/>
      <c r="H3676" s="614"/>
      <c r="I3676" s="615"/>
      <c r="J3676" s="614"/>
      <c r="K3676" s="614"/>
    </row>
    <row r="3677" spans="4:11" x14ac:dyDescent="0.2">
      <c r="D3677" s="616"/>
      <c r="E3677" s="617"/>
      <c r="F3677" s="614"/>
      <c r="G3677" s="614"/>
      <c r="H3677" s="614"/>
      <c r="I3677" s="615"/>
      <c r="J3677" s="614"/>
      <c r="K3677" s="614"/>
    </row>
    <row r="3678" spans="4:11" x14ac:dyDescent="0.2">
      <c r="D3678" s="616"/>
      <c r="E3678" s="617"/>
      <c r="F3678" s="614"/>
      <c r="G3678" s="614"/>
      <c r="H3678" s="614"/>
      <c r="I3678" s="615"/>
      <c r="J3678" s="614"/>
      <c r="K3678" s="614"/>
    </row>
    <row r="3679" spans="4:11" x14ac:dyDescent="0.2">
      <c r="D3679" s="616"/>
      <c r="E3679" s="617"/>
      <c r="F3679" s="614"/>
      <c r="G3679" s="614"/>
      <c r="H3679" s="614"/>
      <c r="I3679" s="615"/>
      <c r="J3679" s="614"/>
      <c r="K3679" s="614"/>
    </row>
    <row r="3680" spans="4:11" x14ac:dyDescent="0.2">
      <c r="D3680" s="616"/>
      <c r="E3680" s="617"/>
      <c r="F3680" s="614"/>
      <c r="G3680" s="614"/>
      <c r="H3680" s="614"/>
      <c r="I3680" s="615"/>
      <c r="J3680" s="614"/>
      <c r="K3680" s="614"/>
    </row>
    <row r="3681" spans="4:11" x14ac:dyDescent="0.2">
      <c r="D3681" s="616"/>
      <c r="E3681" s="617"/>
      <c r="F3681" s="614"/>
      <c r="G3681" s="614"/>
      <c r="H3681" s="614"/>
      <c r="I3681" s="615"/>
      <c r="J3681" s="614"/>
      <c r="K3681" s="614"/>
    </row>
    <row r="3682" spans="4:11" x14ac:dyDescent="0.2">
      <c r="D3682" s="616"/>
      <c r="E3682" s="617"/>
      <c r="F3682" s="614"/>
      <c r="G3682" s="614"/>
      <c r="H3682" s="614"/>
      <c r="I3682" s="615"/>
      <c r="J3682" s="614"/>
      <c r="K3682" s="614"/>
    </row>
    <row r="3683" spans="4:11" x14ac:dyDescent="0.2">
      <c r="D3683" s="616"/>
      <c r="E3683" s="617"/>
      <c r="F3683" s="614"/>
      <c r="G3683" s="614"/>
      <c r="H3683" s="614"/>
      <c r="I3683" s="615"/>
      <c r="J3683" s="614"/>
      <c r="K3683" s="614"/>
    </row>
    <row r="3684" spans="4:11" x14ac:dyDescent="0.2">
      <c r="D3684" s="616"/>
      <c r="E3684" s="617"/>
      <c r="F3684" s="614"/>
      <c r="G3684" s="614"/>
      <c r="H3684" s="614"/>
      <c r="I3684" s="615"/>
      <c r="J3684" s="614"/>
      <c r="K3684" s="614"/>
    </row>
    <row r="3685" spans="4:11" x14ac:dyDescent="0.2">
      <c r="D3685" s="616"/>
      <c r="E3685" s="617"/>
      <c r="F3685" s="614"/>
      <c r="G3685" s="614"/>
      <c r="H3685" s="614"/>
      <c r="I3685" s="615"/>
      <c r="J3685" s="614"/>
      <c r="K3685" s="614"/>
    </row>
    <row r="3686" spans="4:11" x14ac:dyDescent="0.2">
      <c r="D3686" s="616"/>
      <c r="E3686" s="617"/>
      <c r="F3686" s="614"/>
      <c r="G3686" s="614"/>
      <c r="H3686" s="614"/>
      <c r="I3686" s="615"/>
      <c r="J3686" s="614"/>
      <c r="K3686" s="614"/>
    </row>
    <row r="3687" spans="4:11" x14ac:dyDescent="0.2">
      <c r="D3687" s="616"/>
      <c r="E3687" s="617"/>
      <c r="F3687" s="614"/>
      <c r="G3687" s="614"/>
      <c r="H3687" s="614"/>
      <c r="I3687" s="615"/>
      <c r="J3687" s="614"/>
      <c r="K3687" s="614"/>
    </row>
    <row r="3688" spans="4:11" x14ac:dyDescent="0.2">
      <c r="D3688" s="616"/>
      <c r="E3688" s="617"/>
      <c r="F3688" s="614"/>
      <c r="G3688" s="614"/>
      <c r="H3688" s="614"/>
      <c r="I3688" s="615"/>
      <c r="J3688" s="614"/>
      <c r="K3688" s="614"/>
    </row>
    <row r="3689" spans="4:11" x14ac:dyDescent="0.2">
      <c r="D3689" s="616"/>
      <c r="E3689" s="617"/>
      <c r="F3689" s="614"/>
      <c r="G3689" s="614"/>
      <c r="H3689" s="614"/>
      <c r="I3689" s="615"/>
      <c r="J3689" s="614"/>
      <c r="K3689" s="614"/>
    </row>
    <row r="3690" spans="4:11" x14ac:dyDescent="0.2">
      <c r="D3690" s="616"/>
      <c r="E3690" s="617"/>
      <c r="F3690" s="614"/>
      <c r="G3690" s="614"/>
      <c r="H3690" s="614"/>
      <c r="I3690" s="615"/>
      <c r="J3690" s="614"/>
      <c r="K3690" s="614"/>
    </row>
    <row r="3691" spans="4:11" x14ac:dyDescent="0.2">
      <c r="D3691" s="616"/>
      <c r="E3691" s="617"/>
      <c r="F3691" s="614"/>
      <c r="G3691" s="614"/>
      <c r="H3691" s="614"/>
      <c r="I3691" s="615"/>
      <c r="J3691" s="614"/>
      <c r="K3691" s="614"/>
    </row>
    <row r="3692" spans="4:11" x14ac:dyDescent="0.2">
      <c r="D3692" s="616"/>
      <c r="E3692" s="617"/>
      <c r="F3692" s="614"/>
      <c r="G3692" s="614"/>
      <c r="H3692" s="614"/>
      <c r="I3692" s="615"/>
      <c r="J3692" s="614"/>
      <c r="K3692" s="614"/>
    </row>
    <row r="3693" spans="4:11" x14ac:dyDescent="0.2">
      <c r="E3693" s="617"/>
      <c r="F3693" s="617"/>
      <c r="G3693" s="617"/>
      <c r="H3693" s="617"/>
      <c r="I3693" s="617"/>
      <c r="J3693" s="617"/>
      <c r="K3693" s="617"/>
    </row>
    <row r="3694" spans="4:11" x14ac:dyDescent="0.2">
      <c r="E3694" s="617"/>
      <c r="F3694" s="617"/>
      <c r="G3694" s="617"/>
      <c r="H3694" s="617"/>
      <c r="I3694" s="617"/>
      <c r="J3694" s="617"/>
      <c r="K3694" s="617"/>
    </row>
    <row r="3695" spans="4:11" x14ac:dyDescent="0.2">
      <c r="E3695" s="617"/>
      <c r="F3695" s="617"/>
      <c r="G3695" s="617"/>
      <c r="H3695" s="617"/>
      <c r="I3695" s="617"/>
      <c r="J3695" s="617"/>
      <c r="K3695" s="617"/>
    </row>
    <row r="3696" spans="4:11" x14ac:dyDescent="0.2">
      <c r="E3696" s="617"/>
      <c r="F3696" s="617"/>
      <c r="G3696" s="617"/>
      <c r="H3696" s="617"/>
      <c r="I3696" s="617"/>
      <c r="J3696" s="617"/>
      <c r="K3696" s="617"/>
    </row>
    <row r="3697" spans="5:11" x14ac:dyDescent="0.2">
      <c r="E3697" s="617"/>
      <c r="F3697" s="617"/>
      <c r="G3697" s="617"/>
      <c r="H3697" s="617"/>
      <c r="I3697" s="617"/>
      <c r="J3697" s="617"/>
      <c r="K3697" s="617"/>
    </row>
    <row r="3698" spans="5:11" x14ac:dyDescent="0.2">
      <c r="E3698" s="617"/>
      <c r="F3698" s="617"/>
      <c r="G3698" s="617"/>
      <c r="H3698" s="617"/>
      <c r="I3698" s="617"/>
      <c r="J3698" s="617"/>
      <c r="K3698" s="617"/>
    </row>
    <row r="3699" spans="5:11" x14ac:dyDescent="0.2">
      <c r="E3699" s="617"/>
      <c r="F3699" s="617"/>
      <c r="G3699" s="617"/>
      <c r="H3699" s="617"/>
      <c r="I3699" s="617"/>
      <c r="J3699" s="617"/>
      <c r="K3699" s="617"/>
    </row>
    <row r="3700" spans="5:11" x14ac:dyDescent="0.2">
      <c r="E3700" s="617"/>
      <c r="F3700" s="617"/>
      <c r="G3700" s="617"/>
      <c r="H3700" s="617"/>
      <c r="I3700" s="617"/>
      <c r="J3700" s="617"/>
      <c r="K3700" s="617"/>
    </row>
    <row r="3701" spans="5:11" x14ac:dyDescent="0.2">
      <c r="E3701" s="617"/>
      <c r="F3701" s="617"/>
      <c r="G3701" s="617"/>
      <c r="H3701" s="617"/>
      <c r="I3701" s="617"/>
      <c r="J3701" s="617"/>
      <c r="K3701" s="617"/>
    </row>
    <row r="3702" spans="5:11" x14ac:dyDescent="0.2">
      <c r="E3702" s="617"/>
      <c r="F3702" s="617"/>
      <c r="G3702" s="617"/>
      <c r="H3702" s="617"/>
      <c r="I3702" s="617"/>
      <c r="J3702" s="617"/>
      <c r="K3702" s="617"/>
    </row>
    <row r="3703" spans="5:11" x14ac:dyDescent="0.2">
      <c r="E3703" s="617"/>
      <c r="F3703" s="617"/>
      <c r="G3703" s="617"/>
      <c r="H3703" s="617"/>
      <c r="I3703" s="612"/>
      <c r="J3703" s="617"/>
      <c r="K3703" s="617"/>
    </row>
    <row r="3704" spans="5:11" x14ac:dyDescent="0.2">
      <c r="E3704" s="617"/>
      <c r="F3704" s="617"/>
      <c r="G3704" s="617"/>
      <c r="H3704" s="617"/>
      <c r="I3704" s="612"/>
      <c r="J3704" s="617"/>
      <c r="K3704" s="617"/>
    </row>
    <row r="3705" spans="5:11" x14ac:dyDescent="0.2">
      <c r="E3705" s="617"/>
      <c r="F3705" s="617"/>
      <c r="G3705" s="617"/>
      <c r="H3705" s="617"/>
      <c r="I3705" s="612"/>
      <c r="J3705" s="617"/>
      <c r="K3705" s="617"/>
    </row>
    <row r="3706" spans="5:11" x14ac:dyDescent="0.2">
      <c r="E3706" s="617"/>
      <c r="F3706" s="617"/>
      <c r="G3706" s="617"/>
      <c r="H3706" s="617"/>
      <c r="I3706" s="612"/>
      <c r="J3706" s="617"/>
      <c r="K3706" s="617"/>
    </row>
    <row r="3707" spans="5:11" x14ac:dyDescent="0.2">
      <c r="E3707" s="617"/>
      <c r="F3707" s="617"/>
      <c r="G3707" s="617"/>
      <c r="H3707" s="617"/>
      <c r="I3707" s="612"/>
      <c r="J3707" s="617"/>
      <c r="K3707" s="617"/>
    </row>
    <row r="3708" spans="5:11" x14ac:dyDescent="0.2">
      <c r="E3708" s="617"/>
      <c r="F3708" s="617"/>
      <c r="G3708" s="617"/>
      <c r="H3708" s="617"/>
      <c r="I3708" s="612"/>
      <c r="J3708" s="617"/>
      <c r="K3708" s="617"/>
    </row>
    <row r="3737" spans="5:12" x14ac:dyDescent="0.2">
      <c r="E3737" s="668"/>
      <c r="F3737" s="669"/>
      <c r="G3737" s="669"/>
      <c r="H3737" s="669"/>
      <c r="I3737" s="670"/>
      <c r="J3737" s="669"/>
      <c r="K3737" s="669"/>
      <c r="L3737" s="668"/>
    </row>
    <row r="3738" spans="5:12" x14ac:dyDescent="0.2">
      <c r="E3738" s="668"/>
      <c r="F3738" s="669"/>
      <c r="G3738" s="668"/>
      <c r="H3738" s="669"/>
      <c r="I3738" s="670"/>
      <c r="J3738" s="669"/>
      <c r="K3738" s="669"/>
      <c r="L3738" s="668"/>
    </row>
    <row r="3739" spans="5:12" x14ac:dyDescent="0.2">
      <c r="E3739" s="668"/>
      <c r="F3739" s="669"/>
      <c r="G3739" s="668"/>
      <c r="H3739" s="669"/>
      <c r="I3739" s="670"/>
      <c r="J3739" s="669"/>
      <c r="K3739" s="669"/>
      <c r="L3739" s="668"/>
    </row>
    <row r="3740" spans="5:12" x14ac:dyDescent="0.2">
      <c r="E3740" s="285"/>
      <c r="F3740" s="286"/>
      <c r="G3740" s="286"/>
      <c r="H3740" s="286"/>
      <c r="I3740" s="286"/>
      <c r="J3740" s="286"/>
      <c r="K3740" s="286"/>
      <c r="L3740" s="285"/>
    </row>
    <row r="3741" spans="5:12" x14ac:dyDescent="0.2">
      <c r="E3741" s="285"/>
      <c r="F3741" s="286"/>
      <c r="G3741" s="286"/>
      <c r="H3741" s="286"/>
      <c r="I3741" s="286"/>
      <c r="J3741" s="286"/>
      <c r="K3741" s="286"/>
      <c r="L3741" s="285"/>
    </row>
    <row r="3742" spans="5:12" x14ac:dyDescent="0.2">
      <c r="E3742" s="285"/>
      <c r="F3742" s="286"/>
      <c r="G3742" s="286"/>
      <c r="H3742" s="286"/>
      <c r="I3742" s="286"/>
      <c r="J3742" s="286"/>
      <c r="K3742" s="286"/>
      <c r="L3742" s="285"/>
    </row>
    <row r="3743" spans="5:12" x14ac:dyDescent="0.2">
      <c r="E3743" s="285"/>
      <c r="F3743" s="286"/>
      <c r="G3743" s="286"/>
      <c r="H3743" s="286"/>
      <c r="I3743" s="286"/>
      <c r="J3743" s="286"/>
      <c r="K3743" s="286"/>
      <c r="L3743" s="285"/>
    </row>
    <row r="3744" spans="5:12" x14ac:dyDescent="0.2">
      <c r="E3744" s="285"/>
      <c r="F3744" s="286"/>
      <c r="G3744" s="286"/>
      <c r="H3744" s="286"/>
      <c r="I3744" s="286"/>
      <c r="J3744" s="286"/>
      <c r="K3744" s="286"/>
      <c r="L3744" s="285"/>
    </row>
    <row r="3745" spans="5:12" x14ac:dyDescent="0.2">
      <c r="E3745" s="285"/>
      <c r="F3745" s="286"/>
      <c r="G3745" s="286"/>
      <c r="H3745" s="286"/>
      <c r="I3745" s="286"/>
      <c r="J3745" s="286"/>
      <c r="K3745" s="286"/>
      <c r="L3745" s="285"/>
    </row>
    <row r="3746" spans="5:12" x14ac:dyDescent="0.2">
      <c r="E3746" s="285"/>
      <c r="F3746" s="286"/>
      <c r="G3746" s="286"/>
      <c r="H3746" s="286"/>
      <c r="I3746" s="286"/>
      <c r="J3746" s="286"/>
      <c r="K3746" s="286"/>
      <c r="L3746" s="285"/>
    </row>
    <row r="3747" spans="5:12" x14ac:dyDescent="0.2">
      <c r="E3747" s="285"/>
      <c r="F3747" s="286"/>
      <c r="G3747" s="286"/>
      <c r="H3747" s="286"/>
      <c r="I3747" s="286"/>
      <c r="J3747" s="286"/>
      <c r="K3747" s="286"/>
      <c r="L3747" s="285"/>
    </row>
    <row r="3748" spans="5:12" x14ac:dyDescent="0.2">
      <c r="E3748" s="285"/>
      <c r="F3748" s="286"/>
      <c r="G3748" s="286"/>
      <c r="H3748" s="286"/>
      <c r="I3748" s="286"/>
      <c r="J3748" s="286"/>
      <c r="K3748" s="286"/>
      <c r="L3748" s="285"/>
    </row>
    <row r="3749" spans="5:12" x14ac:dyDescent="0.2">
      <c r="E3749" s="285"/>
      <c r="F3749" s="652"/>
      <c r="G3749" s="659"/>
      <c r="H3749" s="659"/>
      <c r="I3749" s="660"/>
      <c r="J3749" s="660"/>
      <c r="K3749" s="662"/>
      <c r="L3749" s="285"/>
    </row>
    <row r="3750" spans="5:12" x14ac:dyDescent="0.2">
      <c r="F3750" s="286"/>
      <c r="G3750" s="286"/>
      <c r="H3750" s="286"/>
      <c r="I3750" s="286"/>
      <c r="J3750" s="286"/>
      <c r="K3750" s="286"/>
      <c r="L3750" s="285"/>
    </row>
    <row r="3751" spans="5:12" x14ac:dyDescent="0.2">
      <c r="F3751" s="286"/>
      <c r="G3751" s="286"/>
      <c r="H3751" s="286"/>
      <c r="I3751" s="286"/>
      <c r="J3751" s="286"/>
      <c r="K3751" s="286"/>
      <c r="L3751" s="285"/>
    </row>
    <row r="3752" spans="5:12" x14ac:dyDescent="0.2">
      <c r="F3752" s="286"/>
      <c r="G3752" s="286"/>
      <c r="H3752" s="286"/>
      <c r="I3752" s="286"/>
      <c r="J3752" s="286"/>
      <c r="K3752" s="286"/>
      <c r="L3752" s="285"/>
    </row>
    <row r="3753" spans="5:12" x14ac:dyDescent="0.2">
      <c r="F3753" s="286"/>
      <c r="G3753" s="286"/>
      <c r="H3753" s="286"/>
      <c r="I3753" s="286"/>
      <c r="J3753" s="286"/>
      <c r="K3753" s="286"/>
      <c r="L3753" s="285"/>
    </row>
    <row r="3754" spans="5:12" x14ac:dyDescent="0.2">
      <c r="F3754" s="286"/>
      <c r="G3754" s="286"/>
      <c r="H3754" s="286"/>
      <c r="I3754" s="286"/>
      <c r="J3754" s="286"/>
      <c r="K3754" s="286"/>
      <c r="L3754" s="285"/>
    </row>
    <row r="3755" spans="5:12" x14ac:dyDescent="0.2">
      <c r="F3755" s="286"/>
      <c r="G3755" s="286"/>
      <c r="H3755" s="286"/>
      <c r="I3755" s="286"/>
      <c r="J3755" s="286"/>
      <c r="K3755" s="286"/>
      <c r="L3755" s="285"/>
    </row>
    <row r="3756" spans="5:12" x14ac:dyDescent="0.2">
      <c r="F3756" s="286"/>
      <c r="G3756" s="286"/>
      <c r="H3756" s="286"/>
      <c r="I3756" s="286"/>
      <c r="J3756" s="286"/>
      <c r="K3756" s="286"/>
      <c r="L3756" s="285"/>
    </row>
    <row r="3757" spans="5:12" x14ac:dyDescent="0.2">
      <c r="F3757" s="286"/>
      <c r="G3757" s="286"/>
      <c r="H3757" s="286"/>
      <c r="I3757" s="286"/>
      <c r="J3757" s="286"/>
      <c r="K3757" s="286"/>
      <c r="L3757" s="285"/>
    </row>
    <row r="3758" spans="5:12" x14ac:dyDescent="0.2">
      <c r="F3758" s="286"/>
      <c r="G3758" s="286"/>
      <c r="H3758" s="286"/>
      <c r="I3758" s="286"/>
      <c r="J3758" s="286"/>
      <c r="K3758" s="286"/>
      <c r="L3758" s="285"/>
    </row>
    <row r="3759" spans="5:12" x14ac:dyDescent="0.2">
      <c r="F3759" s="286"/>
      <c r="G3759" s="286"/>
      <c r="H3759" s="286"/>
      <c r="I3759" s="286"/>
      <c r="J3759" s="286"/>
      <c r="K3759" s="286"/>
      <c r="L3759" s="285"/>
    </row>
    <row r="3760" spans="5:12" x14ac:dyDescent="0.2">
      <c r="E3760" s="286"/>
      <c r="F3760" s="286"/>
      <c r="G3760" s="286"/>
      <c r="H3760" s="286"/>
      <c r="I3760" s="286"/>
      <c r="J3760" s="286"/>
      <c r="K3760" s="286"/>
    </row>
    <row r="3761" spans="5:11" x14ac:dyDescent="0.2">
      <c r="E3761" s="286"/>
      <c r="F3761" s="286"/>
      <c r="G3761" s="286"/>
      <c r="H3761" s="286"/>
      <c r="I3761" s="286"/>
      <c r="J3761" s="286"/>
      <c r="K3761" s="286"/>
    </row>
    <row r="3762" spans="5:11" x14ac:dyDescent="0.2">
      <c r="E3762" s="286"/>
      <c r="F3762" s="286"/>
      <c r="G3762" s="286"/>
      <c r="H3762" s="285"/>
      <c r="I3762" s="286"/>
      <c r="J3762" s="286"/>
      <c r="K3762" s="286"/>
    </row>
    <row r="3763" spans="5:11" x14ac:dyDescent="0.2">
      <c r="E3763" s="286"/>
      <c r="F3763" s="286"/>
      <c r="G3763" s="286"/>
      <c r="H3763" s="286"/>
      <c r="I3763" s="286"/>
      <c r="J3763" s="286"/>
      <c r="K3763" s="286"/>
    </row>
    <row r="3764" spans="5:11" x14ac:dyDescent="0.2">
      <c r="E3764" s="286"/>
      <c r="F3764" s="286"/>
      <c r="G3764" s="286"/>
      <c r="H3764" s="286"/>
      <c r="I3764" s="292"/>
      <c r="J3764" s="286"/>
      <c r="K3764" s="286"/>
    </row>
    <row r="3765" spans="5:11" x14ac:dyDescent="0.2">
      <c r="E3765" s="286"/>
      <c r="F3765" s="286"/>
      <c r="G3765" s="286"/>
      <c r="H3765" s="286"/>
      <c r="I3765" s="292"/>
      <c r="J3765" s="286"/>
      <c r="K3765" s="286"/>
    </row>
    <row r="3766" spans="5:11" x14ac:dyDescent="0.2">
      <c r="E3766" s="286"/>
      <c r="F3766" s="286"/>
      <c r="G3766" s="286"/>
      <c r="H3766" s="286"/>
      <c r="I3766" s="286"/>
      <c r="J3766" s="286"/>
      <c r="K3766" s="286"/>
    </row>
    <row r="3767" spans="5:11" x14ac:dyDescent="0.2">
      <c r="E3767" s="286"/>
      <c r="F3767" s="285"/>
      <c r="G3767" s="285"/>
      <c r="H3767" s="285"/>
      <c r="I3767" s="285"/>
      <c r="J3767" s="286"/>
      <c r="K3767" s="286"/>
    </row>
    <row r="3768" spans="5:11" x14ac:dyDescent="0.2">
      <c r="E3768" s="580"/>
      <c r="F3768" s="286"/>
      <c r="G3768" s="286"/>
      <c r="H3768" s="286"/>
      <c r="I3768" s="286"/>
      <c r="J3768" s="286"/>
      <c r="K3768" s="286"/>
    </row>
    <row r="3769" spans="5:11" x14ac:dyDescent="0.2">
      <c r="E3769" s="580"/>
      <c r="F3769" s="286"/>
      <c r="G3769" s="286"/>
      <c r="H3769" s="286"/>
      <c r="I3769" s="286"/>
      <c r="J3769" s="286"/>
      <c r="K3769" s="286"/>
    </row>
    <row r="3770" spans="5:11" x14ac:dyDescent="0.2">
      <c r="E3770" s="286"/>
      <c r="F3770" s="285"/>
      <c r="G3770" s="285"/>
      <c r="H3770" s="285"/>
      <c r="I3770" s="285"/>
      <c r="J3770" s="286"/>
      <c r="K3770" s="286"/>
    </row>
    <row r="3771" spans="5:11" x14ac:dyDescent="0.2">
      <c r="E3771" s="286"/>
      <c r="F3771" s="286"/>
      <c r="G3771" s="286"/>
      <c r="H3771" s="286"/>
      <c r="I3771" s="286"/>
      <c r="J3771" s="286"/>
      <c r="K3771" s="286"/>
    </row>
    <row r="3772" spans="5:11" x14ac:dyDescent="0.2">
      <c r="E3772" s="286"/>
      <c r="F3772" s="528"/>
      <c r="G3772" s="528"/>
      <c r="H3772" s="528"/>
      <c r="I3772" s="528"/>
      <c r="J3772" s="528"/>
      <c r="K3772" s="528"/>
    </row>
    <row r="3773" spans="5:11" x14ac:dyDescent="0.2">
      <c r="E3773" s="286"/>
      <c r="F3773" s="286"/>
      <c r="G3773" s="286"/>
      <c r="H3773" s="286"/>
      <c r="I3773" s="286"/>
      <c r="J3773" s="286"/>
      <c r="K3773" s="286"/>
    </row>
    <row r="3774" spans="5:11" x14ac:dyDescent="0.2">
      <c r="E3774" s="286"/>
      <c r="F3774" s="286"/>
      <c r="G3774" s="286"/>
      <c r="H3774" s="286"/>
      <c r="I3774" s="292"/>
      <c r="J3774" s="286"/>
      <c r="K3774" s="286"/>
    </row>
    <row r="3775" spans="5:11" x14ac:dyDescent="0.2">
      <c r="E3775" s="602"/>
      <c r="F3775" s="602"/>
      <c r="G3775" s="602"/>
      <c r="H3775" s="602"/>
      <c r="I3775" s="602"/>
      <c r="J3775" s="602"/>
      <c r="K3775" s="602"/>
    </row>
    <row r="3776" spans="5:11" x14ac:dyDescent="0.2">
      <c r="E3776" s="602"/>
      <c r="F3776" s="602"/>
      <c r="G3776" s="602"/>
      <c r="H3776" s="602"/>
      <c r="I3776" s="602"/>
      <c r="J3776" s="602"/>
      <c r="K3776" s="602"/>
    </row>
    <row r="3777" spans="5:11" x14ac:dyDescent="0.2">
      <c r="E3777" s="602"/>
      <c r="F3777" s="602"/>
      <c r="G3777" s="602"/>
      <c r="H3777" s="602"/>
      <c r="I3777" s="602"/>
      <c r="J3777" s="602"/>
      <c r="K3777" s="602"/>
    </row>
    <row r="3778" spans="5:11" x14ac:dyDescent="0.2">
      <c r="E3778" s="602"/>
      <c r="F3778" s="602"/>
      <c r="G3778" s="602"/>
      <c r="H3778" s="602"/>
      <c r="I3778" s="602"/>
      <c r="J3778" s="602"/>
      <c r="K3778" s="602"/>
    </row>
    <row r="3779" spans="5:11" x14ac:dyDescent="0.2">
      <c r="E3779" s="602"/>
      <c r="F3779" s="602"/>
      <c r="G3779" s="602"/>
      <c r="H3779" s="602"/>
      <c r="I3779" s="602"/>
      <c r="J3779" s="602"/>
      <c r="K3779" s="602"/>
    </row>
    <row r="3780" spans="5:11" x14ac:dyDescent="0.2">
      <c r="E3780" s="602"/>
      <c r="F3780" s="602"/>
      <c r="G3780" s="602"/>
      <c r="H3780" s="602"/>
      <c r="I3780" s="602"/>
      <c r="J3780" s="602"/>
      <c r="K3780" s="602"/>
    </row>
    <row r="3781" spans="5:11" x14ac:dyDescent="0.2">
      <c r="E3781" s="602"/>
      <c r="F3781" s="602"/>
      <c r="G3781" s="602"/>
      <c r="H3781" s="602"/>
      <c r="I3781" s="602"/>
      <c r="J3781" s="602"/>
      <c r="K3781" s="602"/>
    </row>
    <row r="3782" spans="5:11" x14ac:dyDescent="0.2">
      <c r="E3782" s="602"/>
      <c r="F3782" s="602"/>
      <c r="G3782" s="602"/>
      <c r="H3782" s="602"/>
      <c r="I3782" s="602"/>
      <c r="J3782" s="602"/>
      <c r="K3782" s="602"/>
    </row>
    <row r="3783" spans="5:11" x14ac:dyDescent="0.2">
      <c r="E3783" s="602"/>
      <c r="F3783" s="602"/>
      <c r="G3783" s="602"/>
      <c r="H3783" s="602"/>
      <c r="I3783" s="602"/>
      <c r="J3783" s="602"/>
      <c r="K3783" s="602"/>
    </row>
    <row r="3784" spans="5:11" x14ac:dyDescent="0.2">
      <c r="E3784" s="602"/>
      <c r="F3784" s="602"/>
      <c r="G3784" s="602"/>
      <c r="H3784" s="602"/>
      <c r="I3784" s="602"/>
      <c r="J3784" s="602"/>
      <c r="K3784" s="602"/>
    </row>
    <row r="3785" spans="5:11" x14ac:dyDescent="0.2">
      <c r="E3785" s="602"/>
      <c r="F3785" s="602"/>
      <c r="G3785" s="602"/>
      <c r="H3785" s="602"/>
      <c r="I3785" s="602"/>
      <c r="J3785" s="602"/>
      <c r="K3785" s="602"/>
    </row>
    <row r="3786" spans="5:11" x14ac:dyDescent="0.2">
      <c r="E3786" s="602"/>
      <c r="F3786" s="602"/>
      <c r="G3786" s="602"/>
      <c r="H3786" s="602"/>
      <c r="I3786" s="602"/>
      <c r="J3786" s="602"/>
      <c r="K3786" s="602"/>
    </row>
    <row r="3787" spans="5:11" x14ac:dyDescent="0.2">
      <c r="E3787" s="602"/>
      <c r="F3787" s="602"/>
      <c r="G3787" s="602"/>
      <c r="H3787" s="602"/>
      <c r="I3787" s="602"/>
      <c r="J3787" s="602"/>
      <c r="K3787" s="602"/>
    </row>
    <row r="3788" spans="5:11" x14ac:dyDescent="0.2">
      <c r="E3788" s="286"/>
      <c r="F3788" s="286"/>
      <c r="G3788" s="286"/>
      <c r="H3788" s="286"/>
      <c r="I3788" s="292"/>
      <c r="J3788" s="286"/>
      <c r="K3788" s="286"/>
    </row>
    <row r="3789" spans="5:11" x14ac:dyDescent="0.2">
      <c r="E3789" s="286"/>
      <c r="F3789" s="286"/>
      <c r="G3789" s="286"/>
      <c r="H3789" s="286"/>
      <c r="I3789" s="292"/>
      <c r="J3789" s="286"/>
      <c r="K3789" s="286"/>
    </row>
    <row r="3790" spans="5:11" x14ac:dyDescent="0.2">
      <c r="E3790" s="286"/>
      <c r="F3790" s="286"/>
      <c r="G3790" s="286"/>
      <c r="H3790" s="286"/>
      <c r="I3790" s="292"/>
      <c r="J3790" s="286"/>
      <c r="K3790" s="286"/>
    </row>
    <row r="3791" spans="5:11" x14ac:dyDescent="0.2">
      <c r="E3791" s="286"/>
      <c r="F3791" s="286"/>
      <c r="G3791" s="286"/>
      <c r="H3791" s="286"/>
      <c r="I3791" s="292"/>
      <c r="J3791" s="286"/>
      <c r="K3791" s="286"/>
    </row>
    <row r="3792" spans="5:11" x14ac:dyDescent="0.2">
      <c r="E3792" s="286"/>
      <c r="F3792" s="286"/>
      <c r="G3792" s="286"/>
      <c r="H3792" s="286"/>
      <c r="I3792" s="292"/>
      <c r="J3792" s="286"/>
      <c r="K3792" s="286"/>
    </row>
    <row r="3793" spans="5:11" x14ac:dyDescent="0.2">
      <c r="E3793" s="286"/>
      <c r="F3793" s="286"/>
      <c r="G3793" s="286"/>
      <c r="H3793" s="286"/>
      <c r="I3793" s="292"/>
      <c r="J3793" s="286"/>
      <c r="K3793" s="286"/>
    </row>
    <row r="3794" spans="5:11" x14ac:dyDescent="0.2">
      <c r="E3794" s="286"/>
      <c r="F3794" s="286"/>
      <c r="G3794" s="286"/>
      <c r="H3794" s="286"/>
      <c r="I3794" s="292"/>
      <c r="J3794" s="286"/>
      <c r="K3794" s="286"/>
    </row>
    <row r="3795" spans="5:11" x14ac:dyDescent="0.2">
      <c r="E3795" s="286"/>
      <c r="F3795" s="286"/>
      <c r="G3795" s="286"/>
      <c r="H3795" s="286"/>
      <c r="I3795" s="292"/>
      <c r="J3795" s="286"/>
      <c r="K3795" s="286"/>
    </row>
    <row r="3796" spans="5:11" x14ac:dyDescent="0.2">
      <c r="E3796" s="286"/>
      <c r="F3796" s="286"/>
      <c r="G3796" s="286"/>
      <c r="H3796" s="286"/>
      <c r="I3796" s="292"/>
      <c r="J3796" s="286"/>
      <c r="K3796" s="286"/>
    </row>
    <row r="3797" spans="5:11" x14ac:dyDescent="0.2">
      <c r="E3797" s="286"/>
      <c r="F3797" s="286"/>
      <c r="G3797" s="286"/>
      <c r="H3797" s="286"/>
      <c r="I3797" s="292"/>
      <c r="J3797" s="286"/>
      <c r="K3797" s="286"/>
    </row>
    <row r="3798" spans="5:11" x14ac:dyDescent="0.2">
      <c r="E3798" s="286"/>
      <c r="F3798" s="286"/>
      <c r="G3798" s="286"/>
      <c r="H3798" s="286"/>
      <c r="I3798" s="292"/>
      <c r="J3798" s="286"/>
      <c r="K3798" s="286"/>
    </row>
    <row r="3799" spans="5:11" x14ac:dyDescent="0.2">
      <c r="E3799" s="286"/>
      <c r="F3799" s="286"/>
      <c r="G3799" s="286"/>
      <c r="H3799" s="286"/>
      <c r="I3799" s="292"/>
      <c r="J3799" s="286"/>
      <c r="K3799" s="286"/>
    </row>
    <row r="3800" spans="5:11" x14ac:dyDescent="0.2">
      <c r="E3800" s="286"/>
      <c r="F3800" s="286"/>
      <c r="G3800" s="286"/>
      <c r="H3800" s="286"/>
      <c r="I3800" s="292"/>
      <c r="J3800" s="286"/>
      <c r="K3800" s="286"/>
    </row>
    <row r="3801" spans="5:11" x14ac:dyDescent="0.2">
      <c r="E3801" s="286"/>
      <c r="F3801" s="286"/>
      <c r="G3801" s="286"/>
      <c r="H3801" s="286"/>
      <c r="I3801" s="292"/>
      <c r="J3801" s="286"/>
      <c r="K3801" s="286"/>
    </row>
    <row r="3802" spans="5:11" x14ac:dyDescent="0.2">
      <c r="E3802" s="286"/>
      <c r="F3802" s="286"/>
      <c r="G3802" s="286"/>
      <c r="H3802" s="286"/>
      <c r="I3802" s="292"/>
      <c r="J3802" s="286"/>
      <c r="K3802" s="286"/>
    </row>
    <row r="3803" spans="5:11" x14ac:dyDescent="0.2">
      <c r="E3803" s="286"/>
      <c r="F3803" s="286"/>
      <c r="G3803" s="286"/>
      <c r="H3803" s="286"/>
      <c r="I3803" s="286"/>
      <c r="K3803" s="286"/>
    </row>
    <row r="3804" spans="5:11" x14ac:dyDescent="0.2">
      <c r="E3804" s="286"/>
      <c r="F3804" s="286"/>
      <c r="G3804" s="286"/>
      <c r="H3804" s="286"/>
      <c r="I3804" s="286"/>
      <c r="K3804" s="286"/>
    </row>
    <row r="3805" spans="5:11" x14ac:dyDescent="0.2">
      <c r="E3805" s="620"/>
      <c r="F3805" s="286"/>
      <c r="G3805" s="286"/>
      <c r="H3805" s="286"/>
      <c r="I3805" s="292"/>
      <c r="J3805" s="286"/>
      <c r="K3805" s="286"/>
    </row>
    <row r="3806" spans="5:11" x14ac:dyDescent="0.2">
      <c r="E3806" s="620"/>
      <c r="F3806" s="286"/>
      <c r="G3806" s="286"/>
      <c r="H3806" s="286"/>
      <c r="I3806" s="292"/>
      <c r="J3806" s="286"/>
      <c r="K3806" s="286"/>
    </row>
    <row r="3807" spans="5:11" x14ac:dyDescent="0.2">
      <c r="E3807" s="286"/>
      <c r="F3807" s="286"/>
      <c r="G3807" s="286"/>
      <c r="H3807" s="286"/>
      <c r="I3807" s="286"/>
      <c r="J3807" s="286"/>
      <c r="K3807" s="286"/>
    </row>
    <row r="3808" spans="5:11" x14ac:dyDescent="0.2">
      <c r="E3808" s="286"/>
      <c r="F3808" s="286"/>
      <c r="G3808" s="286"/>
      <c r="H3808" s="286"/>
      <c r="I3808" s="286"/>
      <c r="J3808" s="286"/>
      <c r="K3808" s="286"/>
    </row>
    <row r="3809" spans="5:11" x14ac:dyDescent="0.2">
      <c r="E3809" s="620"/>
      <c r="F3809" s="286"/>
      <c r="G3809" s="286"/>
      <c r="H3809" s="286"/>
      <c r="I3809" s="292"/>
      <c r="J3809" s="286"/>
      <c r="K3809" s="286"/>
    </row>
    <row r="3810" spans="5:11" x14ac:dyDescent="0.2">
      <c r="E3810" s="620"/>
      <c r="F3810" s="286"/>
      <c r="G3810" s="286"/>
      <c r="H3810" s="286"/>
      <c r="I3810" s="292"/>
      <c r="J3810" s="286"/>
      <c r="K3810" s="286"/>
    </row>
    <row r="3811" spans="5:11" x14ac:dyDescent="0.2">
      <c r="E3811" s="620"/>
      <c r="F3811" s="286"/>
      <c r="G3811" s="286"/>
      <c r="H3811" s="286"/>
      <c r="I3811" s="286"/>
      <c r="J3811" s="286"/>
      <c r="K3811" s="286"/>
    </row>
    <row r="3812" spans="5:11" x14ac:dyDescent="0.2">
      <c r="E3812" s="286"/>
      <c r="F3812" s="286"/>
      <c r="G3812" s="286"/>
      <c r="H3812" s="286"/>
      <c r="I3812" s="286"/>
      <c r="J3812" s="286"/>
      <c r="K3812" s="286"/>
    </row>
    <row r="3813" spans="5:11" x14ac:dyDescent="0.2">
      <c r="E3813" s="286"/>
      <c r="F3813" s="286"/>
      <c r="G3813" s="286"/>
      <c r="H3813" s="286"/>
      <c r="I3813" s="287"/>
      <c r="J3813" s="286"/>
      <c r="K3813" s="286"/>
    </row>
    <row r="3814" spans="5:11" x14ac:dyDescent="0.2">
      <c r="E3814" s="286"/>
      <c r="F3814" s="286"/>
      <c r="G3814" s="286"/>
      <c r="H3814" s="286"/>
      <c r="I3814" s="287"/>
      <c r="J3814" s="286"/>
      <c r="K3814" s="286"/>
    </row>
    <row r="3815" spans="5:11" x14ac:dyDescent="0.2">
      <c r="E3815" s="286"/>
      <c r="F3815" s="286"/>
      <c r="G3815" s="286"/>
      <c r="H3815" s="286"/>
      <c r="I3815" s="286"/>
      <c r="J3815" s="286"/>
      <c r="K3815" s="286"/>
    </row>
    <row r="3816" spans="5:11" x14ac:dyDescent="0.2">
      <c r="E3816" s="286"/>
      <c r="F3816" s="286"/>
      <c r="G3816" s="286"/>
      <c r="H3816" s="286"/>
      <c r="I3816" s="286"/>
      <c r="J3816" s="286"/>
      <c r="K3816" s="286"/>
    </row>
    <row r="3817" spans="5:11" x14ac:dyDescent="0.2">
      <c r="E3817" s="286"/>
      <c r="F3817" s="286"/>
      <c r="G3817" s="286"/>
      <c r="H3817" s="286"/>
      <c r="I3817" s="286"/>
      <c r="J3817" s="286"/>
      <c r="K3817" s="286"/>
    </row>
    <row r="3818" spans="5:11" x14ac:dyDescent="0.2">
      <c r="E3818" s="286"/>
      <c r="F3818" s="286"/>
      <c r="G3818" s="286"/>
      <c r="H3818" s="286"/>
      <c r="I3818" s="286"/>
      <c r="J3818" s="286"/>
      <c r="K3818" s="286"/>
    </row>
    <row r="3819" spans="5:11" x14ac:dyDescent="0.2">
      <c r="E3819" s="286"/>
      <c r="F3819" s="286"/>
      <c r="G3819" s="286"/>
      <c r="H3819" s="286"/>
      <c r="I3819" s="286"/>
      <c r="J3819" s="286"/>
      <c r="K3819" s="286"/>
    </row>
    <row r="3820" spans="5:11" x14ac:dyDescent="0.2">
      <c r="E3820" s="286"/>
      <c r="F3820" s="286"/>
      <c r="G3820" s="286"/>
      <c r="H3820" s="286"/>
      <c r="I3820" s="286"/>
      <c r="J3820" s="286"/>
      <c r="K3820" s="286"/>
    </row>
    <row r="3821" spans="5:11" x14ac:dyDescent="0.2">
      <c r="E3821" s="286"/>
      <c r="F3821" s="286"/>
      <c r="G3821" s="286"/>
      <c r="H3821" s="286"/>
      <c r="I3821" s="286"/>
      <c r="J3821" s="286"/>
      <c r="K3821" s="286"/>
    </row>
    <row r="3822" spans="5:11" x14ac:dyDescent="0.2">
      <c r="E3822" s="286"/>
      <c r="F3822" s="286"/>
      <c r="G3822" s="286"/>
      <c r="H3822" s="286"/>
      <c r="I3822" s="286"/>
      <c r="J3822" s="286"/>
      <c r="K3822" s="286"/>
    </row>
    <row r="3823" spans="5:11" x14ac:dyDescent="0.2">
      <c r="E3823" s="286"/>
      <c r="F3823" s="286"/>
      <c r="G3823" s="286"/>
      <c r="H3823" s="286"/>
      <c r="I3823" s="286"/>
      <c r="J3823" s="286"/>
      <c r="K3823" s="286"/>
    </row>
    <row r="3824" spans="5:11" x14ac:dyDescent="0.2">
      <c r="E3824" s="286"/>
      <c r="F3824" s="286"/>
      <c r="G3824" s="286"/>
      <c r="H3824" s="286"/>
      <c r="I3824" s="286"/>
      <c r="J3824" s="286"/>
      <c r="K3824" s="286"/>
    </row>
    <row r="3825" spans="5:11" x14ac:dyDescent="0.2">
      <c r="E3825" s="286"/>
      <c r="F3825" s="286"/>
      <c r="G3825" s="286"/>
      <c r="H3825" s="286"/>
      <c r="I3825" s="286"/>
      <c r="J3825" s="286"/>
      <c r="K3825" s="286"/>
    </row>
    <row r="3826" spans="5:11" x14ac:dyDescent="0.2">
      <c r="E3826" s="286"/>
      <c r="F3826" s="286"/>
      <c r="G3826" s="286"/>
      <c r="H3826" s="286"/>
      <c r="I3826" s="286"/>
      <c r="J3826" s="286"/>
      <c r="K3826" s="286"/>
    </row>
    <row r="3827" spans="5:11" x14ac:dyDescent="0.2">
      <c r="E3827" s="286"/>
      <c r="F3827" s="286"/>
      <c r="G3827" s="286"/>
      <c r="H3827" s="286"/>
      <c r="I3827" s="286"/>
      <c r="J3827" s="286"/>
      <c r="K3827" s="286"/>
    </row>
    <row r="3828" spans="5:11" x14ac:dyDescent="0.2">
      <c r="E3828" s="286"/>
      <c r="F3828" s="286"/>
      <c r="G3828" s="286"/>
      <c r="H3828" s="286"/>
      <c r="I3828" s="286"/>
      <c r="J3828" s="286"/>
      <c r="K3828" s="286"/>
    </row>
    <row r="3829" spans="5:11" x14ac:dyDescent="0.2">
      <c r="E3829" s="286"/>
      <c r="F3829" s="286"/>
      <c r="G3829" s="286"/>
      <c r="H3829" s="286"/>
      <c r="I3829" s="286"/>
      <c r="J3829" s="286"/>
      <c r="K3829" s="286"/>
    </row>
    <row r="3830" spans="5:11" x14ac:dyDescent="0.2">
      <c r="E3830" s="286"/>
      <c r="F3830" s="286"/>
      <c r="G3830" s="286"/>
      <c r="H3830" s="286"/>
      <c r="I3830" s="286"/>
      <c r="J3830" s="286"/>
      <c r="K3830" s="286"/>
    </row>
    <row r="3831" spans="5:11" x14ac:dyDescent="0.2">
      <c r="E3831" s="286"/>
      <c r="F3831" s="286"/>
      <c r="G3831" s="286"/>
      <c r="H3831" s="286"/>
      <c r="I3831" s="286"/>
      <c r="J3831" s="286"/>
      <c r="K3831" s="286"/>
    </row>
    <row r="3832" spans="5:11" x14ac:dyDescent="0.2">
      <c r="E3832" s="286"/>
      <c r="F3832" s="286"/>
      <c r="G3832" s="286"/>
      <c r="H3832" s="286"/>
      <c r="I3832" s="286"/>
      <c r="J3832" s="286"/>
      <c r="K3832" s="286"/>
    </row>
    <row r="3833" spans="5:11" x14ac:dyDescent="0.2">
      <c r="E3833" s="286"/>
      <c r="F3833" s="286"/>
      <c r="G3833" s="286"/>
      <c r="H3833" s="286"/>
      <c r="I3833" s="286"/>
      <c r="J3833" s="286"/>
      <c r="K3833" s="286"/>
    </row>
    <row r="3834" spans="5:11" x14ac:dyDescent="0.2">
      <c r="E3834" s="286"/>
      <c r="F3834" s="286"/>
      <c r="G3834" s="286"/>
      <c r="H3834" s="286"/>
      <c r="I3834" s="286"/>
      <c r="J3834" s="286"/>
      <c r="K3834" s="286"/>
    </row>
    <row r="3835" spans="5:11" x14ac:dyDescent="0.2">
      <c r="E3835" s="286"/>
      <c r="F3835" s="286"/>
      <c r="G3835" s="286"/>
      <c r="H3835" s="286"/>
      <c r="I3835" s="286"/>
      <c r="J3835" s="286"/>
      <c r="K3835" s="286"/>
    </row>
    <row r="3836" spans="5:11" x14ac:dyDescent="0.2">
      <c r="E3836" s="286"/>
      <c r="F3836" s="286"/>
      <c r="G3836" s="286"/>
      <c r="H3836" s="286"/>
      <c r="I3836" s="286"/>
      <c r="J3836" s="286"/>
      <c r="K3836" s="286"/>
    </row>
    <row r="3837" spans="5:11" x14ac:dyDescent="0.2">
      <c r="E3837" s="286"/>
      <c r="F3837" s="286"/>
      <c r="G3837" s="286"/>
      <c r="H3837" s="286"/>
      <c r="I3837" s="286"/>
      <c r="J3837" s="286"/>
      <c r="K3837" s="286"/>
    </row>
    <row r="3838" spans="5:11" x14ac:dyDescent="0.2">
      <c r="E3838" s="286"/>
      <c r="F3838" s="286"/>
      <c r="G3838" s="286"/>
      <c r="H3838" s="286"/>
      <c r="I3838" s="286"/>
      <c r="J3838" s="286"/>
      <c r="K3838" s="286"/>
    </row>
    <row r="3839" spans="5:11" x14ac:dyDescent="0.2">
      <c r="E3839" s="286"/>
      <c r="F3839" s="286"/>
      <c r="G3839" s="286"/>
      <c r="H3839" s="286"/>
      <c r="I3839" s="286"/>
      <c r="J3839" s="286"/>
      <c r="K3839" s="286"/>
    </row>
    <row r="3840" spans="5:11" x14ac:dyDescent="0.2">
      <c r="E3840" s="286"/>
      <c r="F3840" s="286"/>
      <c r="G3840" s="286"/>
      <c r="H3840" s="286"/>
      <c r="I3840" s="286"/>
      <c r="J3840" s="286"/>
      <c r="K3840" s="286"/>
    </row>
    <row r="3841" spans="5:11" x14ac:dyDescent="0.2">
      <c r="E3841" s="318"/>
    </row>
    <row r="3842" spans="5:11" x14ac:dyDescent="0.2">
      <c r="E3842" s="318"/>
    </row>
    <row r="3843" spans="5:11" x14ac:dyDescent="0.2">
      <c r="E3843" s="611"/>
      <c r="F3843" s="610"/>
      <c r="G3843" s="610"/>
      <c r="H3843" s="610"/>
      <c r="I3843" s="610"/>
      <c r="J3843" s="610"/>
      <c r="K3843" s="610"/>
    </row>
    <row r="3844" spans="5:11" x14ac:dyDescent="0.2">
      <c r="E3844" s="611"/>
      <c r="F3844" s="610"/>
      <c r="G3844" s="610"/>
      <c r="H3844" s="610"/>
      <c r="I3844" s="610"/>
      <c r="J3844" s="610"/>
      <c r="K3844" s="610"/>
    </row>
    <row r="3845" spans="5:11" x14ac:dyDescent="0.2">
      <c r="E3845" s="611"/>
      <c r="F3845" s="610"/>
      <c r="G3845" s="610"/>
      <c r="H3845" s="610"/>
      <c r="I3845" s="610"/>
      <c r="J3845" s="610"/>
      <c r="K3845" s="610"/>
    </row>
    <row r="3846" spans="5:11" x14ac:dyDescent="0.2">
      <c r="E3846" s="611"/>
      <c r="F3846" s="610"/>
      <c r="G3846" s="610"/>
      <c r="H3846" s="610"/>
      <c r="I3846" s="610"/>
      <c r="J3846" s="610"/>
      <c r="K3846" s="610"/>
    </row>
    <row r="3847" spans="5:11" x14ac:dyDescent="0.2">
      <c r="E3847" s="602"/>
      <c r="F3847" s="602"/>
      <c r="G3847" s="602"/>
      <c r="H3847" s="602"/>
      <c r="I3847" s="602"/>
      <c r="J3847" s="602"/>
      <c r="K3847" s="602"/>
    </row>
    <row r="3848" spans="5:11" x14ac:dyDescent="0.2">
      <c r="E3848" s="602"/>
      <c r="F3848" s="602"/>
      <c r="G3848" s="602"/>
      <c r="H3848" s="602"/>
      <c r="I3848" s="602"/>
      <c r="J3848" s="602"/>
      <c r="K3848" s="602"/>
    </row>
    <row r="3849" spans="5:11" x14ac:dyDescent="0.2">
      <c r="E3849" s="602"/>
      <c r="F3849" s="602"/>
      <c r="G3849" s="602"/>
      <c r="H3849" s="602"/>
      <c r="I3849" s="602"/>
      <c r="J3849" s="602"/>
      <c r="K3849" s="602"/>
    </row>
    <row r="3850" spans="5:11" x14ac:dyDescent="0.2">
      <c r="E3850" s="602"/>
      <c r="F3850" s="602"/>
      <c r="G3850" s="602"/>
      <c r="H3850" s="602"/>
      <c r="I3850" s="602"/>
      <c r="J3850" s="602"/>
      <c r="K3850" s="602"/>
    </row>
    <row r="3851" spans="5:11" x14ac:dyDescent="0.2">
      <c r="E3851" s="602"/>
      <c r="F3851" s="602"/>
      <c r="G3851" s="602"/>
      <c r="H3851" s="602"/>
      <c r="I3851" s="602"/>
      <c r="J3851" s="602"/>
      <c r="K3851" s="602"/>
    </row>
    <row r="3852" spans="5:11" x14ac:dyDescent="0.2">
      <c r="E3852" s="602"/>
      <c r="F3852" s="602"/>
      <c r="G3852" s="602"/>
      <c r="H3852" s="602"/>
      <c r="I3852" s="602"/>
      <c r="J3852" s="602"/>
      <c r="K3852" s="602"/>
    </row>
    <row r="3853" spans="5:11" x14ac:dyDescent="0.2">
      <c r="E3853" s="602"/>
      <c r="F3853" s="602"/>
      <c r="G3853" s="602"/>
      <c r="H3853" s="602"/>
      <c r="I3853" s="602"/>
      <c r="J3853" s="602"/>
      <c r="K3853" s="602"/>
    </row>
    <row r="3854" spans="5:11" x14ac:dyDescent="0.2">
      <c r="E3854" s="602"/>
      <c r="F3854" s="602"/>
      <c r="G3854" s="602"/>
      <c r="H3854" s="602"/>
      <c r="I3854" s="602"/>
      <c r="J3854" s="602"/>
      <c r="K3854" s="602"/>
    </row>
    <row r="3855" spans="5:11" x14ac:dyDescent="0.2">
      <c r="E3855" s="602"/>
      <c r="F3855" s="602"/>
      <c r="G3855" s="602"/>
      <c r="H3855" s="602"/>
      <c r="I3855" s="602"/>
      <c r="J3855" s="602"/>
      <c r="K3855" s="602"/>
    </row>
    <row r="3856" spans="5:11" x14ac:dyDescent="0.2">
      <c r="E3856" s="602"/>
      <c r="F3856" s="602"/>
      <c r="G3856" s="602"/>
      <c r="H3856" s="602"/>
      <c r="I3856" s="604"/>
      <c r="J3856" s="602"/>
      <c r="K3856" s="602"/>
    </row>
    <row r="3857" spans="5:11" x14ac:dyDescent="0.2">
      <c r="E3857" s="602"/>
      <c r="F3857" s="602"/>
      <c r="G3857" s="602"/>
      <c r="H3857" s="602"/>
      <c r="I3857" s="604"/>
      <c r="J3857" s="602"/>
      <c r="K3857" s="602"/>
    </row>
    <row r="3858" spans="5:11" x14ac:dyDescent="0.2">
      <c r="E3858" s="602"/>
      <c r="F3858" s="602"/>
      <c r="G3858" s="602"/>
      <c r="H3858" s="602"/>
      <c r="I3858" s="604"/>
      <c r="J3858" s="602"/>
      <c r="K3858" s="602"/>
    </row>
    <row r="3859" spans="5:11" x14ac:dyDescent="0.2">
      <c r="E3859" s="602"/>
      <c r="F3859" s="602"/>
      <c r="G3859" s="602"/>
      <c r="H3859" s="602"/>
      <c r="I3859" s="604"/>
      <c r="J3859" s="602"/>
      <c r="K3859" s="602"/>
    </row>
    <row r="3860" spans="5:11" x14ac:dyDescent="0.2">
      <c r="E3860" s="602"/>
      <c r="F3860" s="602"/>
      <c r="G3860" s="602"/>
      <c r="H3860" s="602"/>
      <c r="I3860" s="604"/>
      <c r="J3860" s="602"/>
      <c r="K3860" s="602"/>
    </row>
    <row r="3861" spans="5:11" x14ac:dyDescent="0.2">
      <c r="E3861" s="602"/>
      <c r="F3861" s="602"/>
      <c r="G3861" s="602"/>
      <c r="H3861" s="602"/>
      <c r="I3861" s="604"/>
      <c r="J3861" s="602"/>
      <c r="K3861" s="602"/>
    </row>
    <row r="3862" spans="5:11" x14ac:dyDescent="0.2">
      <c r="E3862" s="286"/>
      <c r="F3862" s="286"/>
      <c r="G3862" s="286"/>
      <c r="H3862" s="286"/>
      <c r="I3862" s="292"/>
      <c r="J3862" s="286"/>
      <c r="K3862" s="286"/>
    </row>
    <row r="3863" spans="5:11" x14ac:dyDescent="0.2">
      <c r="E3863" s="286"/>
      <c r="F3863" s="286"/>
      <c r="G3863" s="286"/>
      <c r="H3863" s="286"/>
      <c r="I3863" s="292"/>
      <c r="J3863" s="286"/>
      <c r="K3863" s="286"/>
    </row>
    <row r="3864" spans="5:11" x14ac:dyDescent="0.2">
      <c r="E3864" s="286"/>
      <c r="F3864" s="286"/>
      <c r="G3864" s="286"/>
      <c r="H3864" s="286"/>
      <c r="I3864" s="292"/>
      <c r="J3864" s="286"/>
      <c r="K3864" s="286"/>
    </row>
    <row r="3865" spans="5:11" x14ac:dyDescent="0.2">
      <c r="E3865" s="286"/>
      <c r="F3865" s="286"/>
      <c r="G3865" s="286"/>
      <c r="H3865" s="286"/>
      <c r="I3865" s="292"/>
      <c r="J3865" s="286"/>
      <c r="K3865" s="286"/>
    </row>
    <row r="3866" spans="5:11" x14ac:dyDescent="0.2">
      <c r="E3866" s="286"/>
      <c r="F3866" s="286"/>
      <c r="G3866" s="286"/>
      <c r="H3866" s="286"/>
      <c r="I3866" s="292"/>
      <c r="J3866" s="286"/>
      <c r="K3866" s="286"/>
    </row>
    <row r="3867" spans="5:11" x14ac:dyDescent="0.2">
      <c r="E3867" s="286"/>
      <c r="F3867" s="286"/>
      <c r="G3867" s="286"/>
      <c r="H3867" s="286"/>
      <c r="I3867" s="292"/>
      <c r="J3867" s="286"/>
      <c r="K3867" s="286"/>
    </row>
    <row r="3868" spans="5:11" x14ac:dyDescent="0.2">
      <c r="E3868" s="286"/>
      <c r="F3868" s="286"/>
      <c r="G3868" s="286"/>
      <c r="H3868" s="286"/>
      <c r="I3868" s="292"/>
      <c r="J3868" s="286"/>
      <c r="K3868" s="286"/>
    </row>
    <row r="3869" spans="5:11" x14ac:dyDescent="0.2">
      <c r="E3869" s="286"/>
      <c r="F3869" s="286"/>
      <c r="G3869" s="286"/>
      <c r="H3869" s="286"/>
      <c r="I3869" s="292"/>
      <c r="J3869" s="286"/>
      <c r="K3869" s="286"/>
    </row>
    <row r="3870" spans="5:11" x14ac:dyDescent="0.2">
      <c r="E3870" s="286"/>
      <c r="F3870" s="286"/>
      <c r="G3870" s="286"/>
      <c r="H3870" s="286"/>
      <c r="I3870" s="292"/>
      <c r="J3870" s="286"/>
      <c r="K3870" s="286"/>
    </row>
    <row r="3871" spans="5:11" x14ac:dyDescent="0.2">
      <c r="E3871" s="286"/>
      <c r="F3871" s="286"/>
      <c r="G3871" s="286"/>
      <c r="H3871" s="286"/>
      <c r="I3871" s="292"/>
      <c r="J3871" s="286"/>
      <c r="K3871" s="286"/>
    </row>
    <row r="3872" spans="5:11" x14ac:dyDescent="0.2">
      <c r="E3872" s="286"/>
      <c r="F3872" s="286"/>
      <c r="G3872" s="286"/>
      <c r="H3872" s="286"/>
      <c r="I3872" s="292"/>
      <c r="J3872" s="286"/>
      <c r="K3872" s="286"/>
    </row>
    <row r="3873" spans="5:11" x14ac:dyDescent="0.2">
      <c r="E3873" s="286"/>
      <c r="F3873" s="286"/>
      <c r="G3873" s="286"/>
      <c r="H3873" s="286"/>
      <c r="I3873" s="292"/>
      <c r="J3873" s="286"/>
      <c r="K3873" s="286"/>
    </row>
    <row r="3874" spans="5:11" x14ac:dyDescent="0.2">
      <c r="E3874" s="286"/>
      <c r="F3874" s="286"/>
      <c r="G3874" s="286"/>
      <c r="H3874" s="286"/>
      <c r="I3874" s="292"/>
      <c r="J3874" s="286"/>
      <c r="K3874" s="286"/>
    </row>
    <row r="3875" spans="5:11" x14ac:dyDescent="0.2">
      <c r="E3875" s="286"/>
      <c r="F3875" s="286"/>
      <c r="G3875" s="286"/>
      <c r="H3875" s="286"/>
      <c r="I3875" s="292"/>
      <c r="J3875" s="286"/>
      <c r="K3875" s="286"/>
    </row>
    <row r="3876" spans="5:11" x14ac:dyDescent="0.2">
      <c r="E3876" s="286"/>
      <c r="F3876" s="286"/>
      <c r="G3876" s="286"/>
      <c r="H3876" s="286"/>
      <c r="I3876" s="292"/>
      <c r="J3876" s="286"/>
      <c r="K3876" s="286"/>
    </row>
    <row r="3877" spans="5:11" x14ac:dyDescent="0.2">
      <c r="E3877" s="286"/>
      <c r="F3877" s="286"/>
      <c r="G3877" s="286"/>
      <c r="H3877" s="286"/>
      <c r="I3877" s="292"/>
      <c r="J3877" s="286"/>
      <c r="K3877" s="286"/>
    </row>
    <row r="3878" spans="5:11" x14ac:dyDescent="0.2">
      <c r="E3878" s="286"/>
      <c r="F3878" s="286"/>
      <c r="G3878" s="286"/>
      <c r="H3878" s="286"/>
      <c r="I3878" s="292"/>
      <c r="J3878" s="286"/>
      <c r="K3878" s="286"/>
    </row>
    <row r="3879" spans="5:11" x14ac:dyDescent="0.2">
      <c r="E3879" s="286"/>
      <c r="F3879" s="286"/>
      <c r="G3879" s="286"/>
      <c r="H3879" s="286"/>
      <c r="I3879" s="286"/>
      <c r="J3879" s="286"/>
      <c r="K3879" s="286"/>
    </row>
    <row r="3880" spans="5:11" x14ac:dyDescent="0.2">
      <c r="E3880" s="286"/>
      <c r="F3880" s="286"/>
      <c r="G3880" s="286"/>
      <c r="H3880" s="286"/>
      <c r="I3880" s="286"/>
      <c r="J3880" s="286"/>
      <c r="K3880" s="286"/>
    </row>
    <row r="3881" spans="5:11" x14ac:dyDescent="0.2">
      <c r="E3881" s="286"/>
      <c r="F3881" s="286"/>
      <c r="G3881" s="286"/>
      <c r="H3881" s="286"/>
      <c r="I3881" s="286"/>
      <c r="J3881" s="286"/>
      <c r="K3881" s="286"/>
    </row>
    <row r="3882" spans="5:11" x14ac:dyDescent="0.2">
      <c r="E3882" s="286"/>
      <c r="F3882" s="286"/>
      <c r="G3882" s="286"/>
      <c r="H3882" s="286"/>
      <c r="I3882" s="286"/>
      <c r="J3882" s="286"/>
      <c r="K3882" s="286"/>
    </row>
    <row r="3883" spans="5:11" x14ac:dyDescent="0.2">
      <c r="E3883" s="286"/>
      <c r="F3883" s="286"/>
      <c r="G3883" s="286"/>
      <c r="H3883" s="286"/>
      <c r="I3883" s="286"/>
      <c r="J3883" s="286"/>
      <c r="K3883" s="286"/>
    </row>
    <row r="3884" spans="5:11" x14ac:dyDescent="0.2">
      <c r="E3884" s="286"/>
      <c r="F3884" s="286"/>
      <c r="G3884" s="286"/>
      <c r="H3884" s="286"/>
      <c r="I3884" s="286"/>
      <c r="J3884" s="286"/>
      <c r="K3884" s="286"/>
    </row>
    <row r="3885" spans="5:11" x14ac:dyDescent="0.2">
      <c r="E3885" s="286"/>
      <c r="F3885" s="286"/>
      <c r="G3885" s="286"/>
      <c r="H3885" s="286"/>
      <c r="I3885" s="286"/>
      <c r="J3885" s="286"/>
      <c r="K3885" s="286"/>
    </row>
    <row r="3886" spans="5:11" x14ac:dyDescent="0.2">
      <c r="E3886" s="602"/>
      <c r="F3886" s="602"/>
      <c r="G3886" s="602"/>
      <c r="H3886" s="602"/>
      <c r="I3886" s="602"/>
      <c r="J3886" s="602"/>
      <c r="K3886" s="602"/>
    </row>
    <row r="3887" spans="5:11" x14ac:dyDescent="0.2">
      <c r="E3887" s="602"/>
      <c r="F3887" s="602"/>
      <c r="G3887" s="602"/>
      <c r="H3887" s="602"/>
      <c r="I3887" s="602"/>
      <c r="J3887" s="602"/>
      <c r="K3887" s="602"/>
    </row>
    <row r="3888" spans="5:11" x14ac:dyDescent="0.2">
      <c r="E3888" s="602"/>
      <c r="F3888" s="602"/>
      <c r="G3888" s="602"/>
      <c r="H3888" s="602"/>
      <c r="I3888" s="602"/>
      <c r="J3888" s="602"/>
      <c r="K3888" s="602"/>
    </row>
    <row r="3889" spans="5:11" x14ac:dyDescent="0.2">
      <c r="E3889" s="602"/>
      <c r="F3889" s="602"/>
      <c r="G3889" s="602"/>
      <c r="H3889" s="602"/>
      <c r="I3889" s="602"/>
      <c r="J3889" s="602"/>
      <c r="K3889" s="602"/>
    </row>
    <row r="3890" spans="5:11" x14ac:dyDescent="0.2">
      <c r="E3890" s="602"/>
      <c r="F3890" s="602"/>
      <c r="G3890" s="602"/>
      <c r="H3890" s="602"/>
      <c r="I3890" s="602"/>
      <c r="J3890" s="602"/>
      <c r="K3890" s="602"/>
    </row>
    <row r="3891" spans="5:11" x14ac:dyDescent="0.2">
      <c r="E3891" s="602"/>
      <c r="F3891" s="602"/>
      <c r="G3891" s="602"/>
      <c r="H3891" s="602"/>
      <c r="I3891" s="602"/>
      <c r="J3891" s="602"/>
      <c r="K3891" s="602"/>
    </row>
    <row r="3892" spans="5:11" x14ac:dyDescent="0.2">
      <c r="E3892" s="602"/>
      <c r="F3892" s="602"/>
      <c r="G3892" s="602"/>
      <c r="H3892" s="602"/>
      <c r="I3892" s="602"/>
      <c r="J3892" s="602"/>
      <c r="K3892" s="602"/>
    </row>
    <row r="3893" spans="5:11" x14ac:dyDescent="0.2">
      <c r="E3893" s="602"/>
      <c r="F3893" s="602"/>
      <c r="G3893" s="602"/>
      <c r="H3893" s="602"/>
      <c r="I3893" s="602"/>
      <c r="J3893" s="602"/>
      <c r="K3893" s="602"/>
    </row>
    <row r="3894" spans="5:11" x14ac:dyDescent="0.2">
      <c r="E3894" s="602"/>
      <c r="F3894" s="602"/>
      <c r="G3894" s="602"/>
      <c r="H3894" s="602"/>
      <c r="I3894" s="609"/>
      <c r="J3894" s="602"/>
      <c r="K3894" s="602"/>
    </row>
    <row r="3895" spans="5:11" x14ac:dyDescent="0.2">
      <c r="E3895" s="617"/>
      <c r="F3895" s="617"/>
      <c r="G3895" s="617"/>
      <c r="H3895" s="617"/>
      <c r="I3895" s="625"/>
      <c r="J3895" s="617"/>
      <c r="K3895" s="617"/>
    </row>
    <row r="3896" spans="5:11" x14ac:dyDescent="0.2">
      <c r="E3896" s="617"/>
      <c r="F3896" s="617"/>
      <c r="G3896" s="617"/>
      <c r="H3896" s="617"/>
      <c r="I3896" s="625"/>
      <c r="J3896" s="617"/>
      <c r="K3896" s="617"/>
    </row>
    <row r="3897" spans="5:11" x14ac:dyDescent="0.2">
      <c r="E3897" s="617"/>
      <c r="F3897" s="617"/>
      <c r="G3897" s="617"/>
      <c r="H3897" s="617"/>
      <c r="I3897" s="625"/>
      <c r="J3897" s="617"/>
      <c r="K3897" s="617"/>
    </row>
    <row r="3898" spans="5:11" x14ac:dyDescent="0.2">
      <c r="E3898" s="617"/>
      <c r="F3898" s="617"/>
      <c r="G3898" s="617"/>
      <c r="H3898" s="617"/>
      <c r="I3898" s="625"/>
      <c r="J3898" s="617"/>
      <c r="K3898" s="617"/>
    </row>
    <row r="3899" spans="5:11" x14ac:dyDescent="0.2">
      <c r="E3899" s="617"/>
      <c r="F3899" s="617"/>
      <c r="G3899" s="617"/>
      <c r="H3899" s="617"/>
      <c r="I3899" s="625"/>
      <c r="J3899" s="617"/>
      <c r="K3899" s="617"/>
    </row>
    <row r="3900" spans="5:11" x14ac:dyDescent="0.2">
      <c r="E3900" s="612"/>
      <c r="F3900" s="617"/>
      <c r="G3900" s="617"/>
      <c r="H3900" s="617"/>
      <c r="I3900" s="626"/>
      <c r="J3900" s="617"/>
      <c r="K3900" s="617"/>
    </row>
    <row r="3901" spans="5:11" x14ac:dyDescent="0.2">
      <c r="E3901" s="612"/>
      <c r="F3901" s="617"/>
      <c r="G3901" s="617"/>
      <c r="H3901" s="617"/>
      <c r="I3901" s="627"/>
      <c r="J3901" s="617"/>
      <c r="K3901" s="617"/>
    </row>
    <row r="3902" spans="5:11" x14ac:dyDescent="0.2">
      <c r="E3902" s="612"/>
      <c r="F3902" s="617"/>
      <c r="G3902" s="617"/>
      <c r="H3902" s="617"/>
      <c r="I3902" s="627"/>
      <c r="J3902" s="617"/>
      <c r="K3902" s="617"/>
    </row>
    <row r="3903" spans="5:11" x14ac:dyDescent="0.2">
      <c r="E3903" s="612"/>
      <c r="F3903" s="617"/>
      <c r="G3903" s="617"/>
      <c r="H3903" s="617"/>
      <c r="I3903" s="627"/>
      <c r="J3903" s="617"/>
      <c r="K3903" s="617"/>
    </row>
    <row r="3904" spans="5:11" x14ac:dyDescent="0.2">
      <c r="E3904" s="617"/>
      <c r="F3904" s="617"/>
      <c r="G3904" s="617"/>
      <c r="H3904" s="617"/>
      <c r="I3904" s="627"/>
      <c r="J3904" s="617"/>
      <c r="K3904" s="617"/>
    </row>
    <row r="3905" spans="5:11" x14ac:dyDescent="0.2">
      <c r="E3905" s="617"/>
      <c r="F3905" s="617"/>
      <c r="G3905" s="617"/>
      <c r="H3905" s="617"/>
      <c r="I3905" s="627"/>
      <c r="J3905" s="617"/>
      <c r="K3905" s="617"/>
    </row>
    <row r="3906" spans="5:11" x14ac:dyDescent="0.2">
      <c r="E3906" s="617"/>
      <c r="F3906" s="617"/>
      <c r="G3906" s="617"/>
      <c r="H3906" s="617"/>
      <c r="I3906" s="627"/>
      <c r="J3906" s="617"/>
      <c r="K3906" s="617"/>
    </row>
    <row r="3907" spans="5:11" x14ac:dyDescent="0.2">
      <c r="E3907" s="617"/>
      <c r="F3907" s="617"/>
      <c r="G3907" s="617"/>
      <c r="H3907" s="617"/>
      <c r="I3907" s="627"/>
      <c r="J3907" s="617"/>
      <c r="K3907" s="617"/>
    </row>
    <row r="3908" spans="5:11" x14ac:dyDescent="0.2">
      <c r="E3908" s="617"/>
      <c r="F3908" s="617"/>
      <c r="G3908" s="617"/>
      <c r="H3908" s="617"/>
      <c r="I3908" s="625"/>
      <c r="J3908" s="617"/>
      <c r="K3908" s="617"/>
    </row>
    <row r="3909" spans="5:11" x14ac:dyDescent="0.2">
      <c r="E3909" s="617"/>
      <c r="F3909" s="617"/>
      <c r="G3909" s="617"/>
      <c r="H3909" s="617"/>
      <c r="I3909" s="612"/>
      <c r="J3909" s="617"/>
      <c r="K3909" s="617"/>
    </row>
    <row r="3910" spans="5:11" x14ac:dyDescent="0.2">
      <c r="E3910" s="617"/>
      <c r="F3910" s="617"/>
      <c r="G3910" s="617"/>
      <c r="H3910" s="617"/>
      <c r="I3910" s="612"/>
      <c r="J3910" s="617"/>
      <c r="K3910" s="617"/>
    </row>
    <row r="3911" spans="5:11" x14ac:dyDescent="0.2">
      <c r="E3911" s="617"/>
      <c r="F3911" s="617"/>
      <c r="G3911" s="617"/>
      <c r="H3911" s="617"/>
      <c r="I3911" s="612"/>
      <c r="J3911" s="617"/>
      <c r="K3911" s="622"/>
    </row>
    <row r="3912" spans="5:11" x14ac:dyDescent="0.2">
      <c r="E3912" s="617"/>
      <c r="F3912" s="623"/>
      <c r="G3912" s="623"/>
      <c r="H3912" s="623"/>
      <c r="I3912" s="628"/>
      <c r="J3912" s="623"/>
      <c r="K3912" s="623"/>
    </row>
    <row r="3913" spans="5:11" x14ac:dyDescent="0.2">
      <c r="E3913" s="617"/>
      <c r="F3913" s="624"/>
      <c r="G3913" s="623"/>
      <c r="H3913" s="623"/>
      <c r="I3913" s="628"/>
      <c r="J3913" s="623"/>
      <c r="K3913" s="623"/>
    </row>
    <row r="3914" spans="5:11" x14ac:dyDescent="0.2">
      <c r="E3914" s="617"/>
      <c r="F3914" s="616"/>
      <c r="G3914" s="616"/>
      <c r="H3914" s="616"/>
      <c r="I3914" s="629"/>
      <c r="J3914" s="616"/>
      <c r="K3914" s="616"/>
    </row>
    <row r="3915" spans="5:11" x14ac:dyDescent="0.2">
      <c r="E3915" s="617"/>
      <c r="F3915" s="617"/>
      <c r="G3915" s="617"/>
      <c r="H3915" s="617"/>
      <c r="I3915" s="612"/>
      <c r="J3915" s="617"/>
      <c r="K3915" s="617"/>
    </row>
    <row r="3916" spans="5:11" x14ac:dyDescent="0.2">
      <c r="E3916" s="617"/>
      <c r="F3916" s="617"/>
      <c r="G3916" s="617"/>
      <c r="H3916" s="617"/>
      <c r="I3916" s="630"/>
      <c r="J3916" s="617"/>
      <c r="K3916" s="617"/>
    </row>
    <row r="3917" spans="5:11" x14ac:dyDescent="0.2">
      <c r="E3917" s="617"/>
      <c r="F3917" s="617"/>
      <c r="G3917" s="617"/>
      <c r="H3917" s="617"/>
      <c r="I3917" s="612"/>
      <c r="J3917" s="617"/>
      <c r="K3917" s="617"/>
    </row>
    <row r="3918" spans="5:11" x14ac:dyDescent="0.2">
      <c r="E3918" s="617"/>
      <c r="F3918" s="617"/>
      <c r="G3918" s="617"/>
      <c r="H3918" s="617"/>
      <c r="I3918" s="612"/>
      <c r="J3918" s="617"/>
      <c r="K3918" s="617"/>
    </row>
    <row r="3919" spans="5:11" x14ac:dyDescent="0.2">
      <c r="E3919" s="617"/>
      <c r="F3919" s="617"/>
      <c r="G3919" s="617"/>
      <c r="H3919" s="617"/>
      <c r="I3919" s="617"/>
      <c r="J3919" s="617"/>
      <c r="K3919" s="617"/>
    </row>
    <row r="3920" spans="5:11" x14ac:dyDescent="0.2">
      <c r="E3920" s="617"/>
      <c r="F3920" s="617"/>
      <c r="G3920" s="617"/>
      <c r="H3920" s="617"/>
      <c r="I3920" s="617"/>
      <c r="J3920" s="617"/>
      <c r="K3920" s="617"/>
    </row>
    <row r="3921" spans="5:11" x14ac:dyDescent="0.2">
      <c r="E3921" s="617"/>
      <c r="F3921" s="617"/>
      <c r="G3921" s="617"/>
      <c r="H3921" s="617"/>
      <c r="I3921" s="615"/>
      <c r="J3921" s="617"/>
      <c r="K3921" s="617"/>
    </row>
    <row r="3922" spans="5:11" x14ac:dyDescent="0.2">
      <c r="E3922" s="617"/>
      <c r="F3922" s="617"/>
      <c r="G3922" s="617"/>
      <c r="H3922" s="617"/>
      <c r="I3922" s="615"/>
      <c r="J3922" s="617"/>
      <c r="K3922" s="617"/>
    </row>
    <row r="3923" spans="5:11" x14ac:dyDescent="0.2">
      <c r="E3923" s="617"/>
      <c r="F3923" s="617"/>
      <c r="G3923" s="617"/>
      <c r="H3923" s="617"/>
      <c r="I3923" s="615"/>
      <c r="J3923" s="617"/>
      <c r="K3923" s="617"/>
    </row>
    <row r="3924" spans="5:11" x14ac:dyDescent="0.2">
      <c r="E3924" s="617"/>
      <c r="F3924" s="617"/>
      <c r="G3924" s="617"/>
      <c r="H3924" s="617"/>
      <c r="I3924" s="615"/>
      <c r="J3924" s="617"/>
      <c r="K3924" s="617"/>
    </row>
    <row r="3925" spans="5:11" x14ac:dyDescent="0.2">
      <c r="E3925" s="617"/>
      <c r="F3925" s="617"/>
      <c r="G3925" s="617"/>
      <c r="H3925" s="617"/>
      <c r="I3925" s="615"/>
      <c r="J3925" s="617"/>
      <c r="K3925" s="617"/>
    </row>
    <row r="3926" spans="5:11" x14ac:dyDescent="0.2">
      <c r="E3926" s="617"/>
      <c r="F3926" s="617"/>
      <c r="G3926" s="617"/>
      <c r="H3926" s="617"/>
      <c r="I3926" s="615"/>
      <c r="J3926" s="617"/>
      <c r="K3926" s="617"/>
    </row>
    <row r="3927" spans="5:11" x14ac:dyDescent="0.2">
      <c r="E3927" s="617"/>
      <c r="F3927" s="617"/>
      <c r="G3927" s="617"/>
      <c r="H3927" s="617"/>
      <c r="I3927" s="615"/>
      <c r="J3927" s="617"/>
      <c r="K3927" s="617"/>
    </row>
    <row r="3928" spans="5:11" x14ac:dyDescent="0.2">
      <c r="E3928" s="617"/>
      <c r="F3928" s="617"/>
      <c r="G3928" s="617"/>
      <c r="H3928" s="617"/>
      <c r="I3928" s="615"/>
      <c r="J3928" s="617"/>
      <c r="K3928" s="617"/>
    </row>
    <row r="3929" spans="5:11" x14ac:dyDescent="0.2">
      <c r="E3929" s="617"/>
      <c r="F3929" s="617"/>
      <c r="G3929" s="617"/>
      <c r="H3929" s="617"/>
      <c r="I3929" s="615"/>
      <c r="J3929" s="617"/>
      <c r="K3929" s="617"/>
    </row>
    <row r="3930" spans="5:11" x14ac:dyDescent="0.2">
      <c r="E3930" s="617"/>
      <c r="F3930" s="617"/>
      <c r="G3930" s="617"/>
      <c r="H3930" s="617"/>
      <c r="I3930" s="615"/>
      <c r="J3930" s="617"/>
      <c r="K3930" s="617"/>
    </row>
    <row r="3931" spans="5:11" x14ac:dyDescent="0.2">
      <c r="E3931" s="617"/>
      <c r="F3931" s="617"/>
      <c r="G3931" s="617"/>
      <c r="H3931" s="617"/>
      <c r="I3931" s="615"/>
      <c r="J3931" s="617"/>
      <c r="K3931" s="617"/>
    </row>
    <row r="3932" spans="5:11" x14ac:dyDescent="0.2">
      <c r="F3932" s="617"/>
      <c r="G3932" s="617"/>
      <c r="H3932" s="617"/>
      <c r="I3932" s="629"/>
      <c r="J3932" s="617"/>
      <c r="K3932" s="617"/>
    </row>
    <row r="3933" spans="5:11" x14ac:dyDescent="0.2">
      <c r="F3933" s="617"/>
      <c r="G3933" s="617"/>
      <c r="H3933" s="617"/>
      <c r="I3933" s="629"/>
      <c r="J3933" s="617"/>
      <c r="K3933" s="617"/>
    </row>
    <row r="3934" spans="5:11" x14ac:dyDescent="0.2">
      <c r="F3934" s="617"/>
      <c r="G3934" s="617"/>
      <c r="H3934" s="617"/>
      <c r="I3934" s="629"/>
      <c r="J3934" s="617"/>
      <c r="K3934" s="617"/>
    </row>
    <row r="3935" spans="5:11" x14ac:dyDescent="0.2">
      <c r="F3935" s="617"/>
      <c r="G3935" s="617"/>
      <c r="H3935" s="617"/>
      <c r="I3935" s="629"/>
      <c r="J3935" s="617"/>
      <c r="K3935" s="617"/>
    </row>
    <row r="3936" spans="5:11" x14ac:dyDescent="0.2">
      <c r="F3936" s="617"/>
      <c r="G3936" s="617"/>
      <c r="H3936" s="617"/>
      <c r="I3936" s="629"/>
      <c r="J3936" s="617"/>
      <c r="K3936" s="617"/>
    </row>
    <row r="3937" spans="6:11" x14ac:dyDescent="0.2">
      <c r="F3937" s="617"/>
      <c r="G3937" s="617"/>
      <c r="H3937" s="617"/>
      <c r="I3937" s="629"/>
      <c r="J3937" s="617"/>
      <c r="K3937" s="617"/>
    </row>
    <row r="3938" spans="6:11" x14ac:dyDescent="0.2">
      <c r="F3938" s="617"/>
      <c r="G3938" s="617"/>
      <c r="H3938" s="617"/>
      <c r="I3938" s="629"/>
      <c r="J3938" s="617"/>
      <c r="K3938" s="617"/>
    </row>
    <row r="3939" spans="6:11" x14ac:dyDescent="0.2">
      <c r="F3939" s="617"/>
      <c r="G3939" s="617"/>
      <c r="H3939" s="617"/>
      <c r="I3939" s="629"/>
      <c r="J3939" s="617"/>
      <c r="K3939" s="617"/>
    </row>
    <row r="3940" spans="6:11" x14ac:dyDescent="0.2">
      <c r="F3940" s="617"/>
      <c r="G3940" s="617"/>
      <c r="H3940" s="617"/>
      <c r="I3940" s="629"/>
      <c r="J3940" s="617"/>
      <c r="K3940" s="617"/>
    </row>
    <row r="3941" spans="6:11" x14ac:dyDescent="0.2">
      <c r="F3941" s="617"/>
      <c r="G3941" s="617"/>
      <c r="H3941" s="617"/>
      <c r="I3941" s="629"/>
      <c r="J3941" s="617"/>
      <c r="K3941" s="617"/>
    </row>
    <row r="3942" spans="6:11" x14ac:dyDescent="0.2">
      <c r="F3942" s="617"/>
      <c r="G3942" s="617"/>
      <c r="H3942" s="617"/>
      <c r="I3942" s="629"/>
      <c r="J3942" s="617"/>
      <c r="K3942" s="617"/>
    </row>
    <row r="3943" spans="6:11" x14ac:dyDescent="0.2">
      <c r="F3943" s="617"/>
      <c r="G3943" s="617"/>
      <c r="H3943" s="617"/>
      <c r="I3943" s="612"/>
      <c r="J3943" s="617"/>
      <c r="K3943" s="617"/>
    </row>
    <row r="3944" spans="6:11" x14ac:dyDescent="0.2">
      <c r="F3944" s="617"/>
      <c r="G3944" s="617"/>
      <c r="H3944" s="617"/>
      <c r="I3944" s="612"/>
      <c r="J3944" s="617"/>
      <c r="K3944" s="617"/>
    </row>
    <row r="3945" spans="6:11" x14ac:dyDescent="0.2">
      <c r="F3945" s="617"/>
      <c r="G3945" s="617"/>
      <c r="H3945" s="617"/>
      <c r="I3945" s="612"/>
      <c r="J3945" s="617"/>
      <c r="K3945" s="617"/>
    </row>
    <row r="3946" spans="6:11" x14ac:dyDescent="0.2">
      <c r="F3946" s="617"/>
      <c r="G3946" s="617"/>
      <c r="H3946" s="617"/>
      <c r="I3946" s="612"/>
      <c r="J3946" s="617"/>
      <c r="K3946" s="617"/>
    </row>
    <row r="3947" spans="6:11" x14ac:dyDescent="0.2">
      <c r="F3947" s="617"/>
      <c r="G3947" s="617"/>
      <c r="H3947" s="617"/>
      <c r="I3947" s="612"/>
      <c r="J3947" s="617"/>
      <c r="K3947" s="617"/>
    </row>
    <row r="3948" spans="6:11" x14ac:dyDescent="0.2">
      <c r="F3948" s="617"/>
      <c r="G3948" s="617"/>
      <c r="H3948" s="617"/>
      <c r="I3948" s="612"/>
      <c r="J3948" s="617"/>
      <c r="K3948" s="617"/>
    </row>
    <row r="3949" spans="6:11" x14ac:dyDescent="0.2">
      <c r="F3949" s="617"/>
      <c r="G3949" s="617"/>
      <c r="H3949" s="617"/>
      <c r="I3949" s="612"/>
      <c r="J3949" s="617"/>
      <c r="K3949" s="617"/>
    </row>
    <row r="3950" spans="6:11" x14ac:dyDescent="0.2">
      <c r="F3950" s="617"/>
      <c r="G3950" s="617"/>
      <c r="H3950" s="617"/>
      <c r="I3950" s="612"/>
      <c r="J3950" s="617"/>
      <c r="K3950" s="617"/>
    </row>
    <row r="3957" spans="5:11" x14ac:dyDescent="0.2">
      <c r="E3957" s="617"/>
      <c r="F3957" s="617"/>
      <c r="G3957" s="617"/>
      <c r="H3957" s="617"/>
      <c r="I3957" s="617"/>
      <c r="J3957" s="617"/>
      <c r="K3957" s="617"/>
    </row>
    <row r="3958" spans="5:11" x14ac:dyDescent="0.2">
      <c r="E3958" s="617"/>
      <c r="F3958" s="617"/>
      <c r="G3958" s="617"/>
      <c r="H3958" s="617"/>
      <c r="I3958" s="617"/>
      <c r="J3958" s="617"/>
      <c r="K3958" s="617"/>
    </row>
    <row r="3959" spans="5:11" x14ac:dyDescent="0.2">
      <c r="E3959" s="617"/>
      <c r="F3959" s="617"/>
      <c r="G3959" s="617"/>
      <c r="H3959" s="617"/>
      <c r="I3959" s="617"/>
      <c r="J3959" s="617"/>
      <c r="K3959" s="617"/>
    </row>
    <row r="3960" spans="5:11" x14ac:dyDescent="0.2">
      <c r="E3960" s="617"/>
      <c r="F3960" s="617"/>
      <c r="G3960" s="617"/>
      <c r="H3960" s="617"/>
      <c r="I3960" s="617"/>
      <c r="J3960" s="617"/>
      <c r="K3960" s="617"/>
    </row>
    <row r="3961" spans="5:11" x14ac:dyDescent="0.2">
      <c r="E3961" s="617"/>
      <c r="F3961" s="617"/>
      <c r="G3961" s="617"/>
      <c r="H3961" s="617"/>
      <c r="I3961" s="617"/>
      <c r="J3961" s="617"/>
      <c r="K3961" s="617"/>
    </row>
    <row r="3962" spans="5:11" x14ac:dyDescent="0.2">
      <c r="E3962" s="617"/>
      <c r="F3962" s="617"/>
      <c r="G3962" s="617"/>
      <c r="H3962" s="617"/>
      <c r="I3962" s="617"/>
      <c r="J3962" s="617"/>
      <c r="K3962" s="617"/>
    </row>
    <row r="3963" spans="5:11" x14ac:dyDescent="0.2">
      <c r="E3963" s="617"/>
      <c r="F3963" s="617"/>
      <c r="G3963" s="617"/>
      <c r="H3963" s="617"/>
      <c r="I3963" s="617"/>
      <c r="J3963" s="617"/>
      <c r="K3963" s="617"/>
    </row>
    <row r="3964" spans="5:11" x14ac:dyDescent="0.2">
      <c r="E3964" s="617"/>
      <c r="F3964" s="617"/>
      <c r="G3964" s="617"/>
      <c r="H3964" s="617"/>
      <c r="I3964" s="617"/>
      <c r="J3964" s="617"/>
      <c r="K3964" s="617"/>
    </row>
    <row r="3965" spans="5:11" x14ac:dyDescent="0.2">
      <c r="E3965" s="617"/>
      <c r="F3965" s="617"/>
      <c r="G3965" s="617"/>
      <c r="H3965" s="617"/>
      <c r="I3965" s="617"/>
      <c r="J3965" s="617"/>
      <c r="K3965" s="617"/>
    </row>
    <row r="3966" spans="5:11" x14ac:dyDescent="0.2">
      <c r="E3966" s="617"/>
      <c r="F3966" s="617"/>
      <c r="G3966" s="617"/>
      <c r="H3966" s="617"/>
      <c r="I3966" s="617"/>
      <c r="J3966" s="617"/>
      <c r="K3966" s="617"/>
    </row>
    <row r="3967" spans="5:11" x14ac:dyDescent="0.2">
      <c r="E3967" s="617"/>
      <c r="F3967" s="617"/>
      <c r="G3967" s="617"/>
      <c r="H3967" s="617"/>
      <c r="I3967" s="617"/>
      <c r="J3967" s="617"/>
      <c r="K3967" s="617"/>
    </row>
    <row r="3968" spans="5:11" x14ac:dyDescent="0.2">
      <c r="E3968" s="617"/>
      <c r="F3968" s="617"/>
      <c r="G3968" s="617"/>
      <c r="H3968" s="617"/>
      <c r="I3968" s="617"/>
      <c r="J3968" s="617"/>
      <c r="K3968" s="617"/>
    </row>
    <row r="3969" spans="4:11" x14ac:dyDescent="0.2">
      <c r="E3969" s="617"/>
      <c r="F3969" s="617"/>
      <c r="G3969" s="617"/>
      <c r="H3969" s="617"/>
      <c r="I3969" s="617"/>
      <c r="J3969" s="617"/>
      <c r="K3969" s="617"/>
    </row>
    <row r="3970" spans="4:11" x14ac:dyDescent="0.2">
      <c r="E3970" s="617"/>
      <c r="F3970" s="617"/>
      <c r="G3970" s="617"/>
      <c r="H3970" s="617"/>
      <c r="I3970" s="617"/>
      <c r="J3970" s="617"/>
      <c r="K3970" s="617"/>
    </row>
    <row r="3971" spans="4:11" x14ac:dyDescent="0.2">
      <c r="E3971" s="617"/>
      <c r="F3971" s="617"/>
      <c r="G3971" s="617"/>
      <c r="H3971" s="617"/>
      <c r="I3971" s="617"/>
      <c r="J3971" s="617"/>
      <c r="K3971" s="617"/>
    </row>
    <row r="3972" spans="4:11" x14ac:dyDescent="0.2">
      <c r="E3972" s="617"/>
      <c r="F3972" s="617"/>
      <c r="G3972" s="617"/>
      <c r="H3972" s="617"/>
      <c r="I3972" s="617"/>
      <c r="J3972" s="617"/>
      <c r="K3972" s="617"/>
    </row>
    <row r="3973" spans="4:11" x14ac:dyDescent="0.2">
      <c r="E3973" s="616"/>
      <c r="F3973" s="616"/>
      <c r="G3973" s="616"/>
      <c r="H3973" s="616"/>
      <c r="I3973" s="616"/>
      <c r="J3973" s="616"/>
      <c r="K3973" s="616"/>
    </row>
    <row r="3974" spans="4:11" x14ac:dyDescent="0.2">
      <c r="E3974" s="617"/>
      <c r="F3974" s="617"/>
      <c r="G3974" s="617"/>
      <c r="H3974" s="617"/>
      <c r="I3974" s="617"/>
      <c r="J3974" s="617"/>
      <c r="K3974" s="617"/>
    </row>
    <row r="3975" spans="4:11" x14ac:dyDescent="0.2">
      <c r="D3975" s="615"/>
      <c r="E3975" s="613"/>
      <c r="F3975" s="613"/>
      <c r="G3975" s="613"/>
      <c r="H3975" s="613"/>
      <c r="I3975" s="615"/>
      <c r="J3975" s="613"/>
      <c r="K3975" s="613"/>
    </row>
    <row r="3976" spans="4:11" x14ac:dyDescent="0.2">
      <c r="D3976" s="616"/>
      <c r="E3976" s="613"/>
      <c r="F3976" s="613"/>
      <c r="G3976" s="613"/>
      <c r="H3976" s="613"/>
      <c r="I3976" s="615"/>
      <c r="J3976" s="613"/>
      <c r="K3976" s="613"/>
    </row>
    <row r="3977" spans="4:11" x14ac:dyDescent="0.2">
      <c r="D3977" s="616"/>
      <c r="E3977" s="613"/>
      <c r="F3977" s="613"/>
      <c r="G3977" s="613"/>
      <c r="H3977" s="613"/>
      <c r="I3977" s="615"/>
      <c r="J3977" s="613"/>
      <c r="K3977" s="613"/>
    </row>
    <row r="3978" spans="4:11" x14ac:dyDescent="0.2">
      <c r="D3978" s="616"/>
      <c r="E3978" s="613"/>
      <c r="F3978" s="613"/>
      <c r="G3978" s="613"/>
      <c r="H3978" s="613"/>
      <c r="I3978" s="615"/>
      <c r="J3978" s="613"/>
      <c r="K3978" s="613"/>
    </row>
    <row r="3979" spans="4:11" x14ac:dyDescent="0.2">
      <c r="D3979" s="616"/>
      <c r="E3979" s="613"/>
      <c r="F3979" s="613"/>
      <c r="G3979" s="613"/>
      <c r="H3979" s="613"/>
      <c r="I3979" s="615"/>
      <c r="J3979" s="613"/>
      <c r="K3979" s="613"/>
    </row>
    <row r="3980" spans="4:11" x14ac:dyDescent="0.2">
      <c r="D3980" s="616"/>
      <c r="E3980" s="613"/>
      <c r="F3980" s="613"/>
      <c r="G3980" s="613"/>
      <c r="H3980" s="613"/>
      <c r="I3980" s="615"/>
      <c r="J3980" s="613"/>
      <c r="K3980" s="613"/>
    </row>
    <row r="3981" spans="4:11" x14ac:dyDescent="0.2">
      <c r="D3981" s="616"/>
      <c r="E3981" s="613"/>
      <c r="F3981" s="613"/>
      <c r="G3981" s="613"/>
      <c r="H3981" s="613"/>
      <c r="I3981" s="615"/>
      <c r="J3981" s="613"/>
      <c r="K3981" s="613"/>
    </row>
    <row r="3982" spans="4:11" x14ac:dyDescent="0.2">
      <c r="D3982" s="616"/>
      <c r="E3982" s="613"/>
      <c r="F3982" s="613"/>
      <c r="G3982" s="613"/>
      <c r="H3982" s="613"/>
      <c r="I3982" s="615"/>
      <c r="J3982" s="613"/>
      <c r="K3982" s="613"/>
    </row>
    <row r="3983" spans="4:11" x14ac:dyDescent="0.2">
      <c r="D3983" s="616"/>
      <c r="E3983" s="613"/>
      <c r="F3983" s="613"/>
      <c r="G3983" s="613"/>
      <c r="H3983" s="613"/>
      <c r="I3983" s="615"/>
      <c r="J3983" s="613"/>
      <c r="K3983" s="613"/>
    </row>
    <row r="3984" spans="4:11" x14ac:dyDescent="0.2">
      <c r="D3984" s="616"/>
      <c r="E3984" s="613"/>
      <c r="F3984" s="613"/>
      <c r="G3984" s="613"/>
      <c r="H3984" s="613"/>
      <c r="I3984" s="615"/>
      <c r="J3984" s="613"/>
      <c r="K3984" s="613"/>
    </row>
    <row r="3985" spans="4:11" x14ac:dyDescent="0.2">
      <c r="D3985" s="616"/>
      <c r="E3985" s="613"/>
      <c r="F3985" s="613"/>
      <c r="G3985" s="613"/>
      <c r="H3985" s="613"/>
      <c r="I3985" s="615"/>
      <c r="J3985" s="613"/>
      <c r="K3985" s="613"/>
    </row>
    <row r="3986" spans="4:11" x14ac:dyDescent="0.2">
      <c r="D3986" s="616"/>
      <c r="E3986" s="613"/>
      <c r="F3986" s="613"/>
      <c r="G3986" s="613"/>
      <c r="H3986" s="613"/>
      <c r="I3986" s="615"/>
      <c r="J3986" s="613"/>
      <c r="K3986" s="613"/>
    </row>
    <row r="3987" spans="4:11" x14ac:dyDescent="0.2">
      <c r="D3987" s="616"/>
      <c r="E3987" s="613"/>
      <c r="F3987" s="613"/>
      <c r="G3987" s="613"/>
      <c r="H3987" s="613"/>
      <c r="I3987" s="615"/>
      <c r="J3987" s="613"/>
      <c r="K3987" s="613"/>
    </row>
    <row r="3988" spans="4:11" x14ac:dyDescent="0.2">
      <c r="E3988" s="617"/>
      <c r="F3988" s="617"/>
      <c r="G3988" s="617"/>
      <c r="H3988" s="617"/>
      <c r="I3988" s="617"/>
      <c r="J3988" s="617"/>
      <c r="K3988" s="617"/>
    </row>
    <row r="3989" spans="4:11" x14ac:dyDescent="0.2">
      <c r="E3989" s="617"/>
      <c r="F3989" s="617"/>
      <c r="G3989" s="617"/>
      <c r="H3989" s="617"/>
      <c r="I3989" s="617"/>
      <c r="J3989" s="617"/>
      <c r="K3989" s="617"/>
    </row>
    <row r="3990" spans="4:11" x14ac:dyDescent="0.2">
      <c r="E3990" s="617"/>
      <c r="F3990" s="617"/>
      <c r="G3990" s="617"/>
      <c r="H3990" s="617"/>
      <c r="I3990" s="617"/>
      <c r="J3990" s="617"/>
      <c r="K3990" s="617"/>
    </row>
    <row r="3991" spans="4:11" x14ac:dyDescent="0.2">
      <c r="E3991" s="617"/>
      <c r="F3991" s="617"/>
      <c r="G3991" s="617"/>
      <c r="H3991" s="617"/>
      <c r="I3991" s="617"/>
      <c r="J3991" s="617"/>
      <c r="K3991" s="617"/>
    </row>
    <row r="3992" spans="4:11" x14ac:dyDescent="0.2">
      <c r="E3992" s="617"/>
      <c r="F3992" s="617"/>
      <c r="G3992" s="617"/>
      <c r="H3992" s="617"/>
      <c r="I3992" s="612"/>
      <c r="J3992" s="617"/>
      <c r="K3992" s="617"/>
    </row>
    <row r="3993" spans="4:11" x14ac:dyDescent="0.2">
      <c r="E3993" s="617"/>
      <c r="F3993" s="617"/>
      <c r="G3993" s="617"/>
      <c r="H3993" s="617"/>
      <c r="I3993" s="617"/>
      <c r="J3993" s="617"/>
      <c r="K3993" s="617"/>
    </row>
    <row r="3994" spans="4:11" x14ac:dyDescent="0.2">
      <c r="E3994" s="617"/>
      <c r="F3994" s="617"/>
      <c r="G3994" s="617"/>
      <c r="H3994" s="617"/>
      <c r="I3994" s="617"/>
      <c r="J3994" s="617"/>
      <c r="K3994" s="617"/>
    </row>
    <row r="4010" spans="5:11" x14ac:dyDescent="0.2">
      <c r="E4010" s="613"/>
      <c r="F4010" s="617"/>
      <c r="G4010" s="617"/>
      <c r="H4010" s="617"/>
      <c r="I4010" s="617"/>
      <c r="J4010" s="617"/>
      <c r="K4010" s="617"/>
    </row>
    <row r="4011" spans="5:11" x14ac:dyDescent="0.2">
      <c r="E4011" s="613"/>
      <c r="F4011" s="617"/>
      <c r="G4011" s="617"/>
      <c r="H4011" s="617"/>
      <c r="I4011" s="617"/>
      <c r="J4011" s="617"/>
      <c r="K4011" s="617"/>
    </row>
    <row r="4012" spans="5:11" x14ac:dyDescent="0.2">
      <c r="E4012" s="613"/>
      <c r="F4012" s="617"/>
      <c r="G4012" s="617"/>
      <c r="H4012" s="617"/>
      <c r="I4012" s="617"/>
      <c r="J4012" s="617"/>
      <c r="K4012" s="617"/>
    </row>
    <row r="4013" spans="5:11" x14ac:dyDescent="0.2">
      <c r="E4013" s="613"/>
      <c r="F4013" s="617"/>
      <c r="G4013" s="617"/>
      <c r="H4013" s="617"/>
      <c r="I4013" s="617"/>
      <c r="J4013" s="617"/>
      <c r="K4013" s="617"/>
    </row>
    <row r="4014" spans="5:11" x14ac:dyDescent="0.2">
      <c r="E4014" s="613"/>
      <c r="F4014" s="617"/>
      <c r="G4014" s="617"/>
      <c r="H4014" s="617"/>
      <c r="I4014" s="617"/>
      <c r="J4014" s="617"/>
      <c r="K4014" s="617"/>
    </row>
    <row r="4015" spans="5:11" x14ac:dyDescent="0.2">
      <c r="E4015" s="613"/>
      <c r="F4015" s="617"/>
      <c r="G4015" s="617"/>
      <c r="H4015" s="617"/>
      <c r="I4015" s="617"/>
      <c r="J4015" s="617"/>
      <c r="K4015" s="617"/>
    </row>
    <row r="4016" spans="5:11" x14ac:dyDescent="0.2">
      <c r="E4016" s="613"/>
      <c r="F4016" s="617"/>
      <c r="G4016" s="617"/>
      <c r="H4016" s="617"/>
      <c r="I4016" s="617"/>
      <c r="J4016" s="617"/>
      <c r="K4016" s="617"/>
    </row>
    <row r="4017" spans="5:11" x14ac:dyDescent="0.2">
      <c r="E4017" s="613"/>
      <c r="F4017" s="634"/>
      <c r="G4017" s="634"/>
      <c r="H4017" s="634"/>
      <c r="I4017" s="634"/>
      <c r="J4017" s="634"/>
      <c r="K4017" s="634"/>
    </row>
    <row r="4018" spans="5:11" x14ac:dyDescent="0.2">
      <c r="E4018" s="613"/>
      <c r="F4018" s="617"/>
      <c r="G4018" s="617"/>
      <c r="H4018" s="617"/>
      <c r="I4018" s="617"/>
      <c r="J4018" s="617"/>
      <c r="K4018" s="617"/>
    </row>
    <row r="4019" spans="5:11" x14ac:dyDescent="0.2">
      <c r="E4019" s="613"/>
      <c r="F4019" s="617"/>
      <c r="G4019" s="617"/>
      <c r="H4019" s="617"/>
      <c r="I4019" s="617"/>
      <c r="J4019" s="617"/>
      <c r="K4019" s="617"/>
    </row>
    <row r="4020" spans="5:11" x14ac:dyDescent="0.2">
      <c r="E4020" s="617"/>
      <c r="F4020" s="671"/>
      <c r="G4020" s="671"/>
      <c r="H4020" s="671"/>
      <c r="I4020" s="672"/>
      <c r="J4020" s="671"/>
      <c r="K4020" s="671"/>
    </row>
    <row r="4021" spans="5:11" x14ac:dyDescent="0.2">
      <c r="E4021" s="617"/>
      <c r="F4021" s="671"/>
      <c r="G4021" s="671"/>
      <c r="H4021" s="671"/>
      <c r="I4021" s="672"/>
      <c r="J4021" s="671"/>
      <c r="K4021" s="671"/>
    </row>
    <row r="4022" spans="5:11" x14ac:dyDescent="0.2">
      <c r="E4022" s="617"/>
      <c r="F4022" s="671"/>
      <c r="G4022" s="671"/>
      <c r="H4022" s="671"/>
      <c r="I4022" s="672"/>
      <c r="J4022" s="671"/>
      <c r="K4022" s="671"/>
    </row>
    <row r="4023" spans="5:11" x14ac:dyDescent="0.2">
      <c r="E4023" s="617"/>
      <c r="F4023" s="617"/>
      <c r="G4023" s="617"/>
      <c r="H4023" s="617"/>
      <c r="I4023" s="617"/>
      <c r="J4023" s="617"/>
      <c r="K4023" s="617"/>
    </row>
    <row r="4024" spans="5:11" x14ac:dyDescent="0.2">
      <c r="E4024" s="617"/>
      <c r="F4024" s="617"/>
      <c r="G4024" s="617"/>
      <c r="H4024" s="617"/>
      <c r="I4024" s="617"/>
      <c r="J4024" s="617"/>
      <c r="K4024" s="617"/>
    </row>
    <row r="4025" spans="5:11" x14ac:dyDescent="0.2">
      <c r="E4025" s="617"/>
      <c r="F4025" s="617"/>
      <c r="G4025" s="617"/>
      <c r="H4025" s="617"/>
      <c r="I4025" s="617"/>
      <c r="J4025" s="617"/>
      <c r="K4025" s="617"/>
    </row>
    <row r="4026" spans="5:11" x14ac:dyDescent="0.2">
      <c r="E4026" s="617"/>
      <c r="F4026" s="617"/>
      <c r="G4026" s="617"/>
      <c r="H4026" s="617"/>
      <c r="I4026" s="617"/>
      <c r="J4026" s="617"/>
      <c r="K4026" s="617"/>
    </row>
    <row r="4027" spans="5:11" x14ac:dyDescent="0.2">
      <c r="E4027" s="617"/>
      <c r="F4027" s="617"/>
      <c r="G4027" s="617"/>
      <c r="H4027" s="617"/>
      <c r="I4027" s="617"/>
      <c r="J4027" s="617"/>
      <c r="K4027" s="617"/>
    </row>
    <row r="4028" spans="5:11" x14ac:dyDescent="0.2">
      <c r="E4028" s="617"/>
      <c r="F4028" s="617"/>
      <c r="G4028" s="617"/>
      <c r="H4028" s="617"/>
      <c r="I4028" s="617"/>
      <c r="J4028" s="617"/>
      <c r="K4028" s="617"/>
    </row>
    <row r="4029" spans="5:11" x14ac:dyDescent="0.2">
      <c r="E4029" s="617"/>
      <c r="F4029" s="617"/>
      <c r="G4029" s="617"/>
      <c r="H4029" s="617"/>
      <c r="I4029" s="617"/>
      <c r="J4029" s="617"/>
      <c r="K4029" s="617"/>
    </row>
    <row r="4030" spans="5:11" x14ac:dyDescent="0.2">
      <c r="E4030" s="617"/>
      <c r="F4030" s="617"/>
      <c r="G4030" s="617"/>
      <c r="H4030" s="617"/>
      <c r="I4030" s="617"/>
      <c r="J4030" s="617"/>
      <c r="K4030" s="617"/>
    </row>
    <row r="4031" spans="5:11" x14ac:dyDescent="0.2">
      <c r="E4031" s="617"/>
      <c r="F4031" s="617"/>
      <c r="G4031" s="617"/>
      <c r="H4031" s="617"/>
      <c r="I4031" s="617"/>
      <c r="J4031" s="617"/>
      <c r="K4031" s="617"/>
    </row>
    <row r="4032" spans="5:11" x14ac:dyDescent="0.2">
      <c r="E4032" s="617"/>
      <c r="F4032" s="617"/>
      <c r="G4032" s="617"/>
      <c r="H4032" s="617"/>
      <c r="I4032" s="617"/>
      <c r="J4032" s="617"/>
      <c r="K4032" s="617"/>
    </row>
    <row r="4033" spans="5:11" x14ac:dyDescent="0.2">
      <c r="E4033" s="617"/>
      <c r="F4033" s="617"/>
      <c r="G4033" s="617"/>
      <c r="H4033" s="617"/>
      <c r="I4033" s="617"/>
      <c r="J4033" s="617"/>
      <c r="K4033" s="617"/>
    </row>
    <row r="4034" spans="5:11" x14ac:dyDescent="0.2">
      <c r="E4034" s="617"/>
      <c r="F4034" s="617"/>
      <c r="G4034" s="617"/>
      <c r="H4034" s="617"/>
      <c r="I4034" s="617"/>
      <c r="J4034" s="617"/>
      <c r="K4034" s="617"/>
    </row>
    <row r="4035" spans="5:11" x14ac:dyDescent="0.2">
      <c r="E4035" s="635"/>
      <c r="F4035" s="635"/>
      <c r="G4035" s="635"/>
      <c r="H4035" s="635"/>
      <c r="I4035" s="635"/>
      <c r="J4035" s="635"/>
      <c r="K4035" s="635"/>
    </row>
    <row r="4036" spans="5:11" x14ac:dyDescent="0.2">
      <c r="E4036" s="635"/>
      <c r="F4036" s="635"/>
      <c r="G4036" s="635"/>
      <c r="H4036" s="635"/>
      <c r="I4036" s="635"/>
      <c r="J4036" s="635"/>
      <c r="K4036" s="635"/>
    </row>
    <row r="4037" spans="5:11" x14ac:dyDescent="0.2">
      <c r="E4037" s="635"/>
      <c r="F4037" s="635"/>
      <c r="G4037" s="635"/>
      <c r="H4037" s="635"/>
      <c r="I4037" s="635"/>
      <c r="J4037" s="635"/>
      <c r="K4037" s="635"/>
    </row>
    <row r="4038" spans="5:11" x14ac:dyDescent="0.2">
      <c r="E4038" s="635"/>
      <c r="F4038" s="635"/>
      <c r="G4038" s="635"/>
      <c r="H4038" s="635"/>
      <c r="I4038" s="635"/>
      <c r="J4038" s="635"/>
      <c r="K4038" s="635"/>
    </row>
    <row r="4039" spans="5:11" x14ac:dyDescent="0.2">
      <c r="E4039" s="635"/>
      <c r="F4039" s="635"/>
      <c r="G4039" s="635"/>
      <c r="H4039" s="635"/>
      <c r="I4039" s="635"/>
      <c r="J4039" s="635"/>
      <c r="K4039" s="635"/>
    </row>
    <row r="4040" spans="5:11" x14ac:dyDescent="0.2">
      <c r="E4040" s="635"/>
      <c r="F4040" s="635"/>
      <c r="G4040" s="635"/>
      <c r="H4040" s="635"/>
      <c r="I4040" s="635"/>
      <c r="J4040" s="635"/>
      <c r="K4040" s="635"/>
    </row>
    <row r="4041" spans="5:11" x14ac:dyDescent="0.2">
      <c r="E4041" s="635"/>
      <c r="F4041" s="635"/>
      <c r="G4041" s="635"/>
      <c r="H4041" s="635"/>
      <c r="I4041" s="635"/>
      <c r="J4041" s="635"/>
      <c r="K4041" s="635"/>
    </row>
    <row r="4042" spans="5:11" x14ac:dyDescent="0.2">
      <c r="E4042" s="635"/>
      <c r="F4042" s="635"/>
      <c r="G4042" s="635"/>
      <c r="H4042" s="635"/>
      <c r="I4042" s="635"/>
      <c r="J4042" s="635"/>
      <c r="K4042" s="635"/>
    </row>
    <row r="4043" spans="5:11" x14ac:dyDescent="0.2">
      <c r="E4043" s="635"/>
      <c r="F4043" s="635"/>
      <c r="G4043" s="635"/>
      <c r="H4043" s="635"/>
      <c r="I4043" s="635"/>
      <c r="J4043" s="635"/>
      <c r="K4043" s="635"/>
    </row>
    <row r="4044" spans="5:11" x14ac:dyDescent="0.2">
      <c r="E4044" s="635"/>
      <c r="F4044" s="635"/>
      <c r="G4044" s="635"/>
      <c r="H4044" s="635"/>
      <c r="I4044" s="635"/>
      <c r="J4044" s="635"/>
      <c r="K4044" s="635"/>
    </row>
    <row r="4045" spans="5:11" x14ac:dyDescent="0.2">
      <c r="E4045" s="617"/>
      <c r="F4045" s="617"/>
      <c r="G4045" s="617"/>
      <c r="H4045" s="617"/>
      <c r="I4045" s="617"/>
      <c r="J4045" s="617"/>
      <c r="K4045" s="617"/>
    </row>
    <row r="4046" spans="5:11" x14ac:dyDescent="0.2">
      <c r="E4046" s="617"/>
      <c r="F4046" s="617"/>
      <c r="G4046" s="617"/>
      <c r="H4046" s="617"/>
      <c r="I4046" s="617"/>
      <c r="J4046" s="617"/>
      <c r="K4046" s="617"/>
    </row>
    <row r="4047" spans="5:11" x14ac:dyDescent="0.2">
      <c r="E4047" s="617"/>
      <c r="F4047" s="617"/>
      <c r="G4047" s="617"/>
      <c r="H4047" s="617"/>
      <c r="I4047" s="617"/>
      <c r="J4047" s="617"/>
      <c r="K4047" s="617"/>
    </row>
    <row r="4048" spans="5:11" x14ac:dyDescent="0.2">
      <c r="E4048" s="617"/>
      <c r="F4048" s="617"/>
      <c r="G4048" s="617"/>
      <c r="H4048" s="617"/>
      <c r="I4048" s="617"/>
      <c r="J4048" s="617"/>
      <c r="K4048" s="617"/>
    </row>
    <row r="4049" spans="5:11" x14ac:dyDescent="0.2">
      <c r="E4049" s="617"/>
      <c r="F4049" s="617"/>
      <c r="G4049" s="617"/>
      <c r="H4049" s="617"/>
      <c r="I4049" s="617"/>
      <c r="J4049" s="617"/>
      <c r="K4049" s="617"/>
    </row>
    <row r="4050" spans="5:11" x14ac:dyDescent="0.2">
      <c r="E4050" s="617"/>
      <c r="F4050" s="617"/>
      <c r="G4050" s="617"/>
      <c r="H4050" s="617"/>
      <c r="I4050" s="617"/>
      <c r="J4050" s="617"/>
      <c r="K4050" s="617"/>
    </row>
    <row r="4051" spans="5:11" x14ac:dyDescent="0.2">
      <c r="E4051" s="617"/>
      <c r="F4051" s="617"/>
      <c r="G4051" s="617"/>
      <c r="H4051" s="617"/>
      <c r="I4051" s="617"/>
      <c r="J4051" s="622"/>
      <c r="K4051" s="617"/>
    </row>
    <row r="4052" spans="5:11" x14ac:dyDescent="0.2">
      <c r="E4052" s="617"/>
      <c r="F4052" s="617"/>
      <c r="G4052" s="617"/>
      <c r="H4052" s="617"/>
      <c r="I4052" s="617"/>
      <c r="J4052" s="617"/>
      <c r="K4052" s="617"/>
    </row>
    <row r="4053" spans="5:11" x14ac:dyDescent="0.2">
      <c r="E4053" s="617"/>
      <c r="F4053" s="617"/>
      <c r="G4053" s="617"/>
      <c r="H4053" s="617"/>
      <c r="I4053" s="617"/>
      <c r="J4053" s="617"/>
      <c r="K4053" s="617"/>
    </row>
    <row r="4054" spans="5:11" x14ac:dyDescent="0.2">
      <c r="E4054" s="617"/>
      <c r="F4054" s="617"/>
      <c r="G4054" s="617"/>
      <c r="H4054" s="617"/>
      <c r="I4054" s="617"/>
      <c r="J4054" s="617"/>
      <c r="K4054" s="617"/>
    </row>
    <row r="4055" spans="5:11" x14ac:dyDescent="0.2">
      <c r="E4055" s="617"/>
      <c r="F4055" s="617"/>
      <c r="G4055" s="617"/>
      <c r="H4055" s="617"/>
      <c r="I4055" s="617"/>
      <c r="J4055" s="622"/>
      <c r="K4055" s="617"/>
    </row>
    <row r="4056" spans="5:11" x14ac:dyDescent="0.2">
      <c r="E4056" s="617"/>
      <c r="F4056" s="617"/>
      <c r="G4056" s="617"/>
      <c r="H4056" s="617"/>
      <c r="I4056" s="617"/>
      <c r="J4056" s="622"/>
      <c r="K4056" s="617"/>
    </row>
    <row r="4057" spans="5:11" x14ac:dyDescent="0.2">
      <c r="E4057" s="617"/>
      <c r="F4057" s="617"/>
      <c r="G4057" s="617"/>
      <c r="H4057" s="617"/>
      <c r="I4057" s="617"/>
      <c r="J4057" s="622"/>
      <c r="K4057" s="617"/>
    </row>
    <row r="4058" spans="5:11" x14ac:dyDescent="0.2">
      <c r="E4058" s="617"/>
      <c r="F4058" s="617"/>
      <c r="G4058" s="617"/>
      <c r="H4058" s="617"/>
      <c r="I4058" s="617"/>
      <c r="J4058" s="622"/>
      <c r="K4058" s="617"/>
    </row>
    <row r="4059" spans="5:11" x14ac:dyDescent="0.2">
      <c r="E4059" s="617"/>
      <c r="F4059" s="617"/>
      <c r="G4059" s="617"/>
      <c r="H4059" s="617"/>
      <c r="I4059" s="617"/>
      <c r="J4059" s="622"/>
      <c r="K4059" s="617"/>
    </row>
    <row r="4060" spans="5:11" x14ac:dyDescent="0.2">
      <c r="E4060" s="617"/>
      <c r="F4060" s="617"/>
      <c r="G4060" s="617"/>
      <c r="H4060" s="617"/>
      <c r="I4060" s="612"/>
      <c r="J4060" s="617"/>
      <c r="K4060" s="617"/>
    </row>
    <row r="4061" spans="5:11" x14ac:dyDescent="0.2">
      <c r="E4061" s="636"/>
      <c r="F4061" s="622"/>
      <c r="G4061" s="622"/>
      <c r="H4061" s="622"/>
      <c r="I4061" s="622"/>
      <c r="J4061" s="622"/>
      <c r="K4061" s="622"/>
    </row>
    <row r="4062" spans="5:11" x14ac:dyDescent="0.2">
      <c r="E4062" s="636"/>
      <c r="F4062" s="622"/>
      <c r="G4062" s="622"/>
      <c r="H4062" s="622"/>
      <c r="I4062" s="622"/>
      <c r="J4062" s="622"/>
      <c r="K4062" s="622"/>
    </row>
    <row r="4063" spans="5:11" x14ac:dyDescent="0.2">
      <c r="E4063" s="636"/>
      <c r="F4063" s="622"/>
      <c r="G4063" s="622"/>
      <c r="H4063" s="622"/>
      <c r="I4063" s="622"/>
      <c r="J4063" s="622"/>
      <c r="K4063" s="622"/>
    </row>
    <row r="4064" spans="5:11" x14ac:dyDescent="0.2">
      <c r="E4064" s="636"/>
      <c r="F4064" s="622"/>
      <c r="G4064" s="622"/>
      <c r="H4064" s="622"/>
      <c r="I4064" s="622"/>
      <c r="J4064" s="622"/>
      <c r="K4064" s="622"/>
    </row>
    <row r="4065" spans="5:11" x14ac:dyDescent="0.2">
      <c r="E4065" s="636"/>
      <c r="F4065" s="622"/>
      <c r="G4065" s="622"/>
      <c r="H4065" s="622"/>
      <c r="I4065" s="622"/>
      <c r="J4065" s="622"/>
      <c r="K4065" s="622"/>
    </row>
    <row r="4066" spans="5:11" x14ac:dyDescent="0.2">
      <c r="E4066" s="636"/>
      <c r="F4066" s="622"/>
      <c r="G4066" s="622"/>
      <c r="H4066" s="622"/>
      <c r="I4066" s="622"/>
      <c r="J4066" s="622"/>
      <c r="K4066" s="622"/>
    </row>
    <row r="4067" spans="5:11" x14ac:dyDescent="0.2">
      <c r="E4067" s="636"/>
      <c r="F4067" s="622"/>
      <c r="G4067" s="622"/>
      <c r="H4067" s="622"/>
      <c r="I4067" s="622"/>
      <c r="J4067" s="622"/>
      <c r="K4067" s="622"/>
    </row>
    <row r="4068" spans="5:11" x14ac:dyDescent="0.2">
      <c r="E4068" s="636"/>
      <c r="F4068" s="622"/>
      <c r="G4068" s="622"/>
      <c r="H4068" s="622"/>
      <c r="I4068" s="622"/>
      <c r="J4068" s="622"/>
      <c r="K4068" s="622"/>
    </row>
    <row r="4069" spans="5:11" x14ac:dyDescent="0.2">
      <c r="E4069" s="636"/>
      <c r="F4069" s="622"/>
      <c r="G4069" s="622"/>
      <c r="H4069" s="622"/>
      <c r="I4069" s="622"/>
      <c r="J4069" s="622"/>
      <c r="K4069" s="622"/>
    </row>
    <row r="4070" spans="5:11" x14ac:dyDescent="0.2">
      <c r="E4070" s="636"/>
      <c r="F4070" s="622"/>
      <c r="G4070" s="622"/>
      <c r="H4070" s="622"/>
      <c r="I4070" s="622"/>
      <c r="J4070" s="622"/>
      <c r="K4070" s="622"/>
    </row>
    <row r="4071" spans="5:11" x14ac:dyDescent="0.2">
      <c r="E4071" s="636"/>
      <c r="F4071" s="622"/>
      <c r="G4071" s="622"/>
      <c r="H4071" s="622"/>
      <c r="I4071" s="622"/>
      <c r="J4071" s="622"/>
      <c r="K4071" s="622"/>
    </row>
    <row r="4072" spans="5:11" x14ac:dyDescent="0.2">
      <c r="E4072" s="636"/>
      <c r="F4072" s="622"/>
      <c r="G4072" s="622"/>
      <c r="H4072" s="622"/>
      <c r="I4072" s="622"/>
      <c r="J4072" s="622"/>
      <c r="K4072" s="622"/>
    </row>
    <row r="4073" spans="5:11" x14ac:dyDescent="0.2">
      <c r="E4073" s="636"/>
      <c r="F4073" s="622"/>
      <c r="G4073" s="622"/>
      <c r="H4073" s="622"/>
      <c r="I4073" s="622"/>
      <c r="J4073" s="622"/>
      <c r="K4073" s="622"/>
    </row>
    <row r="4074" spans="5:11" x14ac:dyDescent="0.2">
      <c r="E4074" s="636"/>
      <c r="F4074" s="622"/>
      <c r="G4074" s="622"/>
      <c r="H4074" s="622"/>
      <c r="I4074" s="622"/>
      <c r="J4074" s="622"/>
      <c r="K4074" s="622"/>
    </row>
    <row r="4075" spans="5:11" x14ac:dyDescent="0.2">
      <c r="E4075" s="636"/>
      <c r="F4075" s="622"/>
      <c r="G4075" s="622"/>
      <c r="H4075" s="622"/>
      <c r="I4075" s="622"/>
      <c r="J4075" s="622"/>
      <c r="K4075" s="622"/>
    </row>
    <row r="4076" spans="5:11" x14ac:dyDescent="0.2">
      <c r="E4076" s="636"/>
      <c r="F4076" s="622"/>
      <c r="G4076" s="622"/>
      <c r="H4076" s="622"/>
      <c r="I4076" s="622"/>
      <c r="J4076" s="622"/>
      <c r="K4076" s="622"/>
    </row>
    <row r="4077" spans="5:11" x14ac:dyDescent="0.2">
      <c r="E4077" s="636"/>
      <c r="F4077" s="622"/>
      <c r="G4077" s="622"/>
      <c r="H4077" s="622"/>
      <c r="I4077" s="622"/>
      <c r="J4077" s="622"/>
      <c r="K4077" s="622"/>
    </row>
    <row r="4078" spans="5:11" x14ac:dyDescent="0.2">
      <c r="E4078" s="636"/>
      <c r="F4078" s="622"/>
      <c r="G4078" s="622"/>
      <c r="H4078" s="622"/>
      <c r="I4078" s="622"/>
      <c r="J4078" s="622"/>
      <c r="K4078" s="622"/>
    </row>
    <row r="4079" spans="5:11" x14ac:dyDescent="0.2">
      <c r="E4079" s="636"/>
      <c r="F4079" s="622"/>
      <c r="G4079" s="622"/>
      <c r="H4079" s="622"/>
      <c r="I4079" s="622"/>
      <c r="J4079" s="622"/>
      <c r="K4079" s="622"/>
    </row>
    <row r="4080" spans="5:11" x14ac:dyDescent="0.2">
      <c r="E4080" s="636"/>
      <c r="F4080" s="622"/>
      <c r="G4080" s="622"/>
      <c r="H4080" s="622"/>
      <c r="I4080" s="622"/>
      <c r="J4080" s="622"/>
      <c r="K4080" s="622"/>
    </row>
    <row r="4081" spans="5:11" x14ac:dyDescent="0.2">
      <c r="E4081" s="635"/>
      <c r="F4081" s="635"/>
      <c r="G4081" s="635"/>
      <c r="H4081" s="635"/>
      <c r="I4081" s="637"/>
      <c r="J4081" s="635"/>
      <c r="K4081" s="635"/>
    </row>
    <row r="4082" spans="5:11" x14ac:dyDescent="0.2">
      <c r="E4082" s="635"/>
      <c r="F4082" s="635"/>
      <c r="G4082" s="635"/>
      <c r="H4082" s="635"/>
      <c r="I4082" s="637"/>
      <c r="J4082" s="635"/>
      <c r="K4082" s="635"/>
    </row>
    <row r="4083" spans="5:11" x14ac:dyDescent="0.2">
      <c r="E4083" s="635"/>
      <c r="F4083" s="635"/>
      <c r="G4083" s="635"/>
      <c r="H4083" s="635"/>
      <c r="I4083" s="637"/>
      <c r="J4083" s="635"/>
      <c r="K4083" s="635"/>
    </row>
    <row r="4084" spans="5:11" x14ac:dyDescent="0.2">
      <c r="E4084" s="635"/>
      <c r="F4084" s="635"/>
      <c r="G4084" s="635"/>
      <c r="H4084" s="635"/>
      <c r="I4084" s="637"/>
      <c r="J4084" s="635"/>
      <c r="K4084" s="635"/>
    </row>
    <row r="4085" spans="5:11" x14ac:dyDescent="0.2">
      <c r="E4085" s="635"/>
      <c r="F4085" s="635"/>
      <c r="G4085" s="635"/>
      <c r="H4085" s="635"/>
      <c r="I4085" s="637"/>
      <c r="J4085" s="635"/>
      <c r="K4085" s="635"/>
    </row>
    <row r="4086" spans="5:11" x14ac:dyDescent="0.2">
      <c r="E4086" s="635"/>
      <c r="F4086" s="635"/>
      <c r="G4086" s="635"/>
      <c r="H4086" s="635"/>
      <c r="I4086" s="637"/>
      <c r="J4086" s="635"/>
      <c r="K4086" s="635"/>
    </row>
    <row r="4087" spans="5:11" x14ac:dyDescent="0.2">
      <c r="E4087" s="635"/>
      <c r="F4087" s="635"/>
      <c r="G4087" s="635"/>
      <c r="H4087" s="635"/>
      <c r="I4087" s="637"/>
      <c r="J4087" s="635"/>
      <c r="K4087" s="635"/>
    </row>
    <row r="4088" spans="5:11" x14ac:dyDescent="0.2">
      <c r="E4088" s="635"/>
      <c r="F4088" s="635"/>
      <c r="G4088" s="635"/>
      <c r="H4088" s="635"/>
      <c r="I4088" s="635"/>
      <c r="J4088" s="635"/>
      <c r="K4088" s="635"/>
    </row>
    <row r="4089" spans="5:11" x14ac:dyDescent="0.2">
      <c r="E4089" s="635"/>
      <c r="F4089" s="635"/>
      <c r="G4089" s="635"/>
      <c r="H4089" s="635"/>
      <c r="I4089" s="635"/>
      <c r="J4089" s="635"/>
      <c r="K4089" s="635"/>
    </row>
    <row r="4090" spans="5:11" x14ac:dyDescent="0.2">
      <c r="E4090" s="635"/>
      <c r="F4090" s="635"/>
      <c r="G4090" s="635"/>
      <c r="H4090" s="635"/>
      <c r="I4090" s="635"/>
      <c r="J4090" s="635"/>
      <c r="K4090" s="635"/>
    </row>
    <row r="4091" spans="5:11" x14ac:dyDescent="0.2">
      <c r="E4091" s="635"/>
      <c r="F4091" s="635"/>
      <c r="G4091" s="635"/>
      <c r="H4091" s="635"/>
      <c r="I4091" s="635"/>
      <c r="J4091" s="635"/>
      <c r="K4091" s="635"/>
    </row>
    <row r="4092" spans="5:11" x14ac:dyDescent="0.2">
      <c r="E4092" s="635"/>
      <c r="F4092" s="635"/>
      <c r="G4092" s="635"/>
      <c r="H4092" s="635"/>
      <c r="I4092" s="635"/>
      <c r="J4092" s="635"/>
      <c r="K4092" s="635"/>
    </row>
    <row r="4093" spans="5:11" x14ac:dyDescent="0.2">
      <c r="E4093" s="635"/>
      <c r="F4093" s="635"/>
      <c r="G4093" s="635"/>
      <c r="H4093" s="635"/>
      <c r="I4093" s="635"/>
      <c r="J4093" s="635"/>
      <c r="K4093" s="635"/>
    </row>
    <row r="4094" spans="5:11" x14ac:dyDescent="0.2">
      <c r="E4094" s="635"/>
      <c r="F4094" s="635"/>
      <c r="G4094" s="635"/>
      <c r="H4094" s="635"/>
      <c r="I4094" s="635"/>
      <c r="J4094" s="635"/>
      <c r="K4094" s="635"/>
    </row>
    <row r="4095" spans="5:11" x14ac:dyDescent="0.2">
      <c r="E4095" s="617"/>
      <c r="F4095" s="617"/>
      <c r="G4095" s="617"/>
      <c r="H4095" s="617"/>
      <c r="I4095" s="627"/>
      <c r="J4095" s="617"/>
      <c r="K4095" s="617"/>
    </row>
    <row r="4096" spans="5:11" x14ac:dyDescent="0.2">
      <c r="E4096" s="617"/>
      <c r="F4096" s="617"/>
      <c r="G4096" s="617"/>
      <c r="H4096" s="617"/>
      <c r="I4096" s="627"/>
      <c r="J4096" s="617"/>
      <c r="K4096" s="617"/>
    </row>
    <row r="4097" spans="5:11" x14ac:dyDescent="0.2">
      <c r="E4097" s="617"/>
      <c r="F4097" s="617"/>
      <c r="G4097" s="617"/>
      <c r="H4097" s="617"/>
      <c r="I4097" s="627"/>
      <c r="J4097" s="617"/>
      <c r="K4097" s="617"/>
    </row>
    <row r="4098" spans="5:11" x14ac:dyDescent="0.2">
      <c r="E4098" s="617"/>
      <c r="F4098" s="617"/>
      <c r="G4098" s="617"/>
      <c r="H4098" s="617"/>
      <c r="I4098" s="627"/>
      <c r="J4098" s="617"/>
      <c r="K4098" s="617"/>
    </row>
    <row r="4099" spans="5:11" x14ac:dyDescent="0.2">
      <c r="E4099" s="617"/>
      <c r="F4099" s="617"/>
      <c r="G4099" s="617"/>
      <c r="H4099" s="617"/>
      <c r="I4099" s="627"/>
      <c r="J4099" s="617"/>
      <c r="K4099" s="617"/>
    </row>
    <row r="4100" spans="5:11" x14ac:dyDescent="0.2">
      <c r="E4100" s="617"/>
      <c r="F4100" s="617"/>
      <c r="G4100" s="617"/>
      <c r="H4100" s="617"/>
      <c r="I4100" s="627"/>
      <c r="J4100" s="617"/>
      <c r="K4100" s="617"/>
    </row>
    <row r="4101" spans="5:11" x14ac:dyDescent="0.2">
      <c r="E4101" s="617"/>
      <c r="F4101" s="617"/>
      <c r="G4101" s="617"/>
      <c r="H4101" s="617"/>
      <c r="I4101" s="627"/>
      <c r="J4101" s="617"/>
      <c r="K4101" s="617"/>
    </row>
    <row r="4102" spans="5:11" x14ac:dyDescent="0.2">
      <c r="E4102" s="617"/>
      <c r="F4102" s="617"/>
      <c r="G4102" s="617"/>
      <c r="H4102" s="617"/>
      <c r="I4102" s="627"/>
      <c r="J4102" s="617"/>
      <c r="K4102" s="617"/>
    </row>
    <row r="4103" spans="5:11" x14ac:dyDescent="0.2">
      <c r="E4103" s="617"/>
      <c r="F4103" s="617"/>
      <c r="G4103" s="617"/>
      <c r="H4103" s="617"/>
      <c r="I4103" s="617"/>
      <c r="J4103" s="617"/>
      <c r="K4103" s="617"/>
    </row>
    <row r="4104" spans="5:11" x14ac:dyDescent="0.2">
      <c r="E4104" s="617"/>
      <c r="F4104" s="617"/>
      <c r="G4104" s="617"/>
      <c r="H4104" s="617"/>
      <c r="I4104" s="617"/>
      <c r="J4104" s="617"/>
      <c r="K4104" s="617"/>
    </row>
    <row r="4105" spans="5:11" x14ac:dyDescent="0.2">
      <c r="E4105" s="617"/>
      <c r="F4105" s="617"/>
      <c r="G4105" s="617"/>
      <c r="H4105" s="617"/>
      <c r="I4105" s="617"/>
      <c r="J4105" s="617"/>
      <c r="K4105" s="617"/>
    </row>
    <row r="4106" spans="5:11" x14ac:dyDescent="0.2">
      <c r="E4106" s="617"/>
      <c r="F4106" s="617"/>
      <c r="G4106" s="617"/>
      <c r="H4106" s="617"/>
      <c r="I4106" s="617"/>
      <c r="J4106" s="617"/>
      <c r="K4106" s="617"/>
    </row>
    <row r="4107" spans="5:11" x14ac:dyDescent="0.2">
      <c r="E4107" s="617"/>
      <c r="F4107" s="617"/>
      <c r="G4107" s="617"/>
      <c r="H4107" s="617"/>
      <c r="I4107" s="617"/>
      <c r="J4107" s="617"/>
      <c r="K4107" s="617"/>
    </row>
  </sheetData>
  <mergeCells count="10">
    <mergeCell ref="A1:K1"/>
    <mergeCell ref="A4:A5"/>
    <mergeCell ref="D4:D5"/>
    <mergeCell ref="E4:F4"/>
    <mergeCell ref="G4:G5"/>
    <mergeCell ref="I4:I5"/>
    <mergeCell ref="J4:J5"/>
    <mergeCell ref="K4:K5"/>
    <mergeCell ref="C4:C5"/>
    <mergeCell ref="B4:B5"/>
  </mergeCells>
  <phoneticPr fontId="268" type="noConversion"/>
  <printOptions horizontalCentered="1"/>
  <pageMargins left="1.1023622047244095" right="0.11811023622047245" top="0.35433070866141736" bottom="0.15748031496062992" header="0.31496062992125984" footer="0.31496062992125984"/>
  <pageSetup paperSize="256" scale="85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BJ25"/>
  <sheetViews>
    <sheetView zoomScale="80" zoomScaleNormal="80" workbookViewId="0">
      <selection activeCell="C10" sqref="C10"/>
    </sheetView>
  </sheetViews>
  <sheetFormatPr defaultColWidth="15.54296875" defaultRowHeight="14.5" x14ac:dyDescent="0.35"/>
  <cols>
    <col min="1" max="1" width="11.1796875" customWidth="1"/>
    <col min="2" max="2" width="23.54296875" customWidth="1"/>
    <col min="3" max="3" width="27.26953125" customWidth="1"/>
    <col min="4" max="4" width="32" customWidth="1"/>
    <col min="5" max="5" width="25.81640625" customWidth="1"/>
    <col min="7" max="7" width="19.7265625" customWidth="1"/>
    <col min="33" max="33" width="26.453125" customWidth="1"/>
    <col min="46" max="46" width="24.54296875" customWidth="1"/>
  </cols>
  <sheetData>
    <row r="1" spans="1:62" ht="15.5" x14ac:dyDescent="0.35">
      <c r="A1" s="812" t="s">
        <v>437</v>
      </c>
      <c r="B1" s="813"/>
      <c r="C1" s="813"/>
      <c r="D1" s="813"/>
      <c r="E1" s="813"/>
      <c r="F1" s="813"/>
      <c r="G1" s="813"/>
      <c r="H1" s="813"/>
      <c r="I1" s="813"/>
      <c r="J1" s="813"/>
      <c r="K1" s="813"/>
      <c r="L1" s="813"/>
      <c r="M1" s="813"/>
      <c r="N1" s="813"/>
      <c r="O1" s="813"/>
      <c r="P1" s="813"/>
      <c r="Q1" s="813"/>
      <c r="R1" s="813"/>
      <c r="S1" s="813"/>
      <c r="T1" s="813"/>
      <c r="U1" s="813"/>
      <c r="V1" s="813"/>
      <c r="W1" s="813"/>
      <c r="X1" s="813"/>
      <c r="Y1" s="813"/>
      <c r="Z1" s="813"/>
      <c r="AA1" s="813"/>
      <c r="AB1" s="813"/>
      <c r="AC1" s="813"/>
      <c r="AD1" s="813"/>
      <c r="AE1" s="813"/>
      <c r="AF1" s="813"/>
      <c r="AG1" s="813"/>
      <c r="AH1" s="813"/>
      <c r="AI1" s="813"/>
      <c r="AJ1" s="813"/>
      <c r="AK1" s="813"/>
      <c r="AL1" s="813"/>
      <c r="AM1" s="813"/>
      <c r="AN1" s="813"/>
      <c r="AO1" s="813"/>
      <c r="AP1" s="813"/>
      <c r="AQ1" s="813"/>
      <c r="AR1" s="813"/>
      <c r="AS1" s="813"/>
      <c r="AT1" s="813"/>
      <c r="AU1" s="813"/>
      <c r="AV1" s="813"/>
      <c r="AW1" s="813"/>
      <c r="AX1" s="813"/>
      <c r="AY1" s="813"/>
      <c r="AZ1" s="813"/>
      <c r="BA1" s="813"/>
      <c r="BB1" s="813"/>
      <c r="BC1" s="813"/>
      <c r="BD1" s="813"/>
      <c r="BE1" s="813"/>
      <c r="BF1" s="813"/>
      <c r="BG1" s="813"/>
      <c r="BH1" s="813"/>
      <c r="BI1" s="813"/>
      <c r="BJ1" s="813"/>
    </row>
    <row r="2" spans="1:62" ht="15.5" x14ac:dyDescent="0.35">
      <c r="A2" s="339" t="s">
        <v>403</v>
      </c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339"/>
      <c r="AE2" s="339"/>
      <c r="AF2" s="339"/>
      <c r="AG2" s="339"/>
      <c r="AH2" s="339"/>
      <c r="AI2" s="339"/>
      <c r="AJ2" s="339"/>
      <c r="AK2" s="339"/>
      <c r="AL2" s="339"/>
      <c r="AM2" s="339"/>
      <c r="AN2" s="339"/>
      <c r="AO2" s="339"/>
      <c r="AP2" s="339"/>
      <c r="AQ2" s="339"/>
      <c r="AR2" s="339"/>
      <c r="AS2" s="339"/>
      <c r="AT2" s="339"/>
      <c r="AU2" s="339"/>
      <c r="AV2" s="339"/>
      <c r="AW2" s="339"/>
      <c r="AX2" s="339"/>
      <c r="AY2" s="339"/>
      <c r="AZ2" s="339"/>
      <c r="BA2" s="339"/>
      <c r="BB2" s="339"/>
      <c r="BC2" s="339"/>
      <c r="BD2" s="339"/>
      <c r="BE2" s="339"/>
      <c r="BF2" s="339"/>
      <c r="BG2" s="339"/>
      <c r="BH2" s="339"/>
      <c r="BI2" s="339"/>
      <c r="BJ2" s="339"/>
    </row>
    <row r="3" spans="1:62" ht="16" thickBot="1" x14ac:dyDescent="0.4">
      <c r="A3" s="339"/>
      <c r="B3" s="339"/>
      <c r="C3" s="339"/>
      <c r="D3" s="339"/>
      <c r="E3" s="339"/>
      <c r="F3" s="339"/>
      <c r="G3" s="339"/>
      <c r="H3" s="339"/>
      <c r="I3" s="339"/>
      <c r="J3" s="339"/>
      <c r="K3" s="339"/>
      <c r="L3" s="339"/>
      <c r="M3" s="339"/>
      <c r="N3" s="339"/>
      <c r="O3" s="339"/>
      <c r="P3" s="339"/>
      <c r="Q3" s="339"/>
      <c r="R3" s="339"/>
      <c r="S3" s="339"/>
      <c r="T3" s="339"/>
      <c r="U3" s="339"/>
      <c r="V3" s="339"/>
      <c r="W3" s="339"/>
      <c r="X3" s="339"/>
      <c r="Y3" s="339"/>
      <c r="Z3" s="339"/>
      <c r="AA3" s="339"/>
      <c r="AB3" s="339"/>
      <c r="AC3" s="339"/>
      <c r="AD3" s="339"/>
      <c r="AE3" s="339"/>
      <c r="AF3" s="339"/>
      <c r="AG3" s="339"/>
      <c r="AH3" s="339"/>
      <c r="AI3" s="339"/>
      <c r="AJ3" s="339"/>
      <c r="AK3" s="339"/>
      <c r="AL3" s="339"/>
      <c r="AM3" s="339"/>
      <c r="AN3" s="339"/>
      <c r="AO3" s="339"/>
      <c r="AP3" s="339"/>
      <c r="AQ3" s="339"/>
      <c r="AR3" s="339"/>
      <c r="AS3" s="339"/>
      <c r="AT3" s="339"/>
      <c r="AU3" s="339"/>
      <c r="AV3" s="339"/>
      <c r="AW3" s="339"/>
      <c r="AX3" s="339"/>
      <c r="AY3" s="339"/>
      <c r="AZ3" s="339"/>
      <c r="BA3" s="339"/>
      <c r="BB3" s="339"/>
      <c r="BC3" s="339"/>
      <c r="BD3" s="339"/>
      <c r="BE3" s="339"/>
      <c r="BF3" s="339"/>
      <c r="BG3" s="339"/>
      <c r="BH3" s="339"/>
      <c r="BI3" s="339"/>
      <c r="BJ3" s="339"/>
    </row>
    <row r="4" spans="1:62" s="73" customFormat="1" ht="14.5" customHeight="1" x14ac:dyDescent="0.35">
      <c r="A4" s="816" t="s">
        <v>1</v>
      </c>
      <c r="B4" s="818" t="s">
        <v>314</v>
      </c>
      <c r="C4" s="818" t="s">
        <v>315</v>
      </c>
      <c r="D4" s="818" t="s">
        <v>113</v>
      </c>
      <c r="E4" s="818" t="s">
        <v>316</v>
      </c>
      <c r="F4" s="818" t="s">
        <v>317</v>
      </c>
      <c r="G4" s="814" t="s">
        <v>318</v>
      </c>
      <c r="H4" s="821"/>
      <c r="I4" s="815"/>
      <c r="J4" s="822" t="s">
        <v>319</v>
      </c>
      <c r="K4" s="823"/>
      <c r="L4" s="823"/>
      <c r="M4" s="823"/>
      <c r="N4" s="824"/>
      <c r="O4" s="818" t="s">
        <v>320</v>
      </c>
      <c r="P4" s="814" t="s">
        <v>321</v>
      </c>
      <c r="Q4" s="821"/>
      <c r="R4" s="815"/>
      <c r="S4" s="814" t="s">
        <v>196</v>
      </c>
      <c r="T4" s="815"/>
      <c r="U4" s="818" t="s">
        <v>322</v>
      </c>
      <c r="V4" s="814" t="s">
        <v>323</v>
      </c>
      <c r="W4" s="815"/>
      <c r="X4" s="814" t="s">
        <v>324</v>
      </c>
      <c r="Y4" s="821"/>
      <c r="Z4" s="821"/>
      <c r="AA4" s="821"/>
      <c r="AB4" s="821"/>
      <c r="AC4" s="821"/>
      <c r="AD4" s="821"/>
      <c r="AE4" s="821"/>
      <c r="AF4" s="821"/>
      <c r="AG4" s="815"/>
      <c r="AH4" s="814" t="s">
        <v>114</v>
      </c>
      <c r="AI4" s="821"/>
      <c r="AJ4" s="815"/>
      <c r="AK4" s="814" t="s">
        <v>71</v>
      </c>
      <c r="AL4" s="821"/>
      <c r="AM4" s="815"/>
      <c r="AN4" s="814" t="s">
        <v>325</v>
      </c>
      <c r="AO4" s="821"/>
      <c r="AP4" s="821"/>
      <c r="AQ4" s="821"/>
      <c r="AR4" s="821"/>
      <c r="AS4" s="815"/>
      <c r="AT4" s="830" t="s">
        <v>326</v>
      </c>
      <c r="AU4" s="814" t="s">
        <v>327</v>
      </c>
      <c r="AV4" s="821"/>
      <c r="AW4" s="821"/>
      <c r="AX4" s="821"/>
      <c r="AY4" s="821"/>
      <c r="AZ4" s="815"/>
      <c r="BA4" s="827" t="s">
        <v>328</v>
      </c>
      <c r="BB4" s="828"/>
      <c r="BC4" s="827" t="s">
        <v>329</v>
      </c>
      <c r="BD4" s="829"/>
      <c r="BE4" s="828"/>
      <c r="BF4" s="827" t="s">
        <v>330</v>
      </c>
      <c r="BG4" s="829"/>
      <c r="BH4" s="829"/>
      <c r="BI4" s="829"/>
      <c r="BJ4" s="825" t="s">
        <v>206</v>
      </c>
    </row>
    <row r="5" spans="1:62" s="73" customFormat="1" ht="25.5" thickBot="1" x14ac:dyDescent="0.4">
      <c r="A5" s="817"/>
      <c r="B5" s="819"/>
      <c r="C5" s="819"/>
      <c r="D5" s="820"/>
      <c r="E5" s="820"/>
      <c r="F5" s="820"/>
      <c r="G5" s="393" t="s">
        <v>331</v>
      </c>
      <c r="H5" s="394" t="s">
        <v>332</v>
      </c>
      <c r="I5" s="394" t="s">
        <v>333</v>
      </c>
      <c r="J5" s="394" t="s">
        <v>334</v>
      </c>
      <c r="K5" s="394" t="s">
        <v>115</v>
      </c>
      <c r="L5" s="394" t="s">
        <v>335</v>
      </c>
      <c r="M5" s="394" t="s">
        <v>336</v>
      </c>
      <c r="N5" s="394" t="s">
        <v>337</v>
      </c>
      <c r="O5" s="819"/>
      <c r="P5" s="394" t="s">
        <v>338</v>
      </c>
      <c r="Q5" s="394" t="s">
        <v>339</v>
      </c>
      <c r="R5" s="394" t="s">
        <v>340</v>
      </c>
      <c r="S5" s="394" t="s">
        <v>341</v>
      </c>
      <c r="T5" s="394" t="s">
        <v>342</v>
      </c>
      <c r="U5" s="819"/>
      <c r="V5" s="394" t="s">
        <v>343</v>
      </c>
      <c r="W5" s="394" t="s">
        <v>344</v>
      </c>
      <c r="X5" s="394" t="s">
        <v>345</v>
      </c>
      <c r="Y5" s="394" t="s">
        <v>346</v>
      </c>
      <c r="Z5" s="394" t="s">
        <v>347</v>
      </c>
      <c r="AA5" s="394" t="s">
        <v>348</v>
      </c>
      <c r="AB5" s="394" t="s">
        <v>349</v>
      </c>
      <c r="AC5" s="394" t="s">
        <v>350</v>
      </c>
      <c r="AD5" s="394" t="s">
        <v>351</v>
      </c>
      <c r="AE5" s="394" t="s">
        <v>352</v>
      </c>
      <c r="AF5" s="394" t="s">
        <v>353</v>
      </c>
      <c r="AG5" s="394" t="s">
        <v>354</v>
      </c>
      <c r="AH5" s="394" t="s">
        <v>355</v>
      </c>
      <c r="AI5" s="394" t="s">
        <v>356</v>
      </c>
      <c r="AJ5" s="394" t="s">
        <v>357</v>
      </c>
      <c r="AK5" s="394" t="s">
        <v>77</v>
      </c>
      <c r="AL5" s="394" t="s">
        <v>76</v>
      </c>
      <c r="AM5" s="394" t="s">
        <v>78</v>
      </c>
      <c r="AN5" s="394" t="s">
        <v>89</v>
      </c>
      <c r="AO5" s="394" t="s">
        <v>358</v>
      </c>
      <c r="AP5" s="394" t="s">
        <v>359</v>
      </c>
      <c r="AQ5" s="394" t="s">
        <v>88</v>
      </c>
      <c r="AR5" s="394" t="s">
        <v>85</v>
      </c>
      <c r="AS5" s="394" t="s">
        <v>87</v>
      </c>
      <c r="AT5" s="819"/>
      <c r="AU5" s="394" t="s">
        <v>89</v>
      </c>
      <c r="AV5" s="394" t="s">
        <v>358</v>
      </c>
      <c r="AW5" s="394" t="s">
        <v>359</v>
      </c>
      <c r="AX5" s="394" t="s">
        <v>88</v>
      </c>
      <c r="AY5" s="394" t="s">
        <v>85</v>
      </c>
      <c r="AZ5" s="394" t="s">
        <v>87</v>
      </c>
      <c r="BA5" s="394" t="s">
        <v>360</v>
      </c>
      <c r="BB5" s="394" t="s">
        <v>361</v>
      </c>
      <c r="BC5" s="394" t="s">
        <v>362</v>
      </c>
      <c r="BD5" s="394" t="s">
        <v>363</v>
      </c>
      <c r="BE5" s="394" t="s">
        <v>364</v>
      </c>
      <c r="BF5" s="394" t="s">
        <v>365</v>
      </c>
      <c r="BG5" s="394" t="s">
        <v>366</v>
      </c>
      <c r="BH5" s="394" t="s">
        <v>367</v>
      </c>
      <c r="BI5" s="394" t="s">
        <v>368</v>
      </c>
      <c r="BJ5" s="826"/>
    </row>
    <row r="6" spans="1:62" s="482" customFormat="1" ht="15" customHeight="1" x14ac:dyDescent="0.35">
      <c r="A6" s="480"/>
      <c r="B6" s="480"/>
      <c r="C6" s="480"/>
      <c r="D6" s="480"/>
      <c r="E6" s="480"/>
      <c r="F6" s="481"/>
      <c r="G6" s="480"/>
      <c r="H6" s="480"/>
      <c r="I6" s="480"/>
      <c r="J6" s="480"/>
      <c r="K6" s="480"/>
      <c r="L6" s="480"/>
      <c r="M6" s="480"/>
      <c r="N6" s="480"/>
      <c r="O6" s="480"/>
      <c r="P6" s="480"/>
      <c r="Q6" s="480"/>
      <c r="R6" s="480"/>
      <c r="S6" s="480"/>
      <c r="T6" s="480"/>
      <c r="U6" s="480"/>
      <c r="V6" s="480"/>
      <c r="W6" s="480"/>
      <c r="X6" s="480"/>
      <c r="Y6" s="480"/>
      <c r="Z6" s="480"/>
      <c r="AA6" s="480"/>
      <c r="AB6" s="480"/>
      <c r="AC6" s="480"/>
      <c r="AD6" s="480"/>
      <c r="AE6" s="480"/>
      <c r="AF6" s="480"/>
      <c r="AG6" s="480"/>
      <c r="AH6" s="480"/>
      <c r="AI6" s="480"/>
      <c r="AJ6" s="480"/>
      <c r="AK6" s="480"/>
      <c r="AL6" s="480"/>
      <c r="AM6" s="480"/>
      <c r="AN6" s="480"/>
      <c r="AO6" s="480"/>
      <c r="AP6" s="480"/>
      <c r="AQ6" s="480"/>
      <c r="AR6" s="480"/>
      <c r="AS6" s="480"/>
      <c r="AT6" s="480"/>
      <c r="AU6" s="480"/>
      <c r="AV6" s="480"/>
      <c r="AW6" s="480"/>
      <c r="AX6" s="480"/>
      <c r="AY6" s="480"/>
      <c r="AZ6" s="480"/>
      <c r="BA6" s="480"/>
      <c r="BB6" s="480"/>
      <c r="BC6" s="480"/>
      <c r="BD6" s="480"/>
      <c r="BE6" s="480"/>
      <c r="BF6" s="480"/>
      <c r="BG6" s="480"/>
      <c r="BH6" s="480"/>
      <c r="BI6" s="480"/>
      <c r="BJ6" s="480"/>
    </row>
    <row r="7" spans="1:62" s="482" customFormat="1" ht="15" customHeight="1" x14ac:dyDescent="0.35">
      <c r="A7" s="480"/>
      <c r="B7" s="480"/>
      <c r="C7" s="480"/>
      <c r="D7" s="480"/>
      <c r="E7" s="480"/>
      <c r="F7" s="483"/>
      <c r="G7" s="480"/>
      <c r="H7" s="480"/>
      <c r="I7" s="480"/>
      <c r="J7" s="480"/>
      <c r="K7" s="480"/>
      <c r="L7" s="480"/>
      <c r="M7" s="480"/>
      <c r="N7" s="480"/>
      <c r="O7" s="480"/>
      <c r="P7" s="480"/>
      <c r="Q7" s="480"/>
      <c r="R7" s="480"/>
      <c r="S7" s="480"/>
      <c r="T7" s="480"/>
      <c r="U7" s="480"/>
      <c r="V7" s="480"/>
      <c r="W7" s="480"/>
      <c r="X7" s="480"/>
      <c r="Y7" s="480"/>
      <c r="Z7" s="480"/>
      <c r="AA7" s="480"/>
      <c r="AB7" s="480"/>
      <c r="AC7" s="480"/>
      <c r="AD7" s="480"/>
      <c r="AE7" s="480"/>
      <c r="AF7" s="480"/>
      <c r="AG7" s="480"/>
      <c r="AH7" s="480"/>
      <c r="AI7" s="480"/>
      <c r="AJ7" s="480"/>
      <c r="AK7" s="480"/>
      <c r="AL7" s="480"/>
      <c r="AM7" s="480"/>
      <c r="AN7" s="480"/>
      <c r="AO7" s="480"/>
      <c r="AP7" s="480"/>
      <c r="AQ7" s="480"/>
      <c r="AR7" s="480"/>
      <c r="AS7" s="480"/>
      <c r="AT7" s="480"/>
      <c r="AU7" s="480"/>
      <c r="AV7" s="480"/>
      <c r="AW7" s="480"/>
      <c r="AX7" s="480"/>
      <c r="AY7" s="480"/>
      <c r="AZ7" s="480"/>
      <c r="BA7" s="480"/>
      <c r="BB7" s="480"/>
      <c r="BC7" s="480"/>
      <c r="BD7" s="480"/>
      <c r="BE7" s="480"/>
      <c r="BF7" s="480"/>
      <c r="BG7" s="480"/>
      <c r="BH7" s="480"/>
      <c r="BI7" s="480"/>
      <c r="BJ7" s="480"/>
    </row>
    <row r="8" spans="1:62" s="482" customFormat="1" ht="15" customHeight="1" x14ac:dyDescent="0.35">
      <c r="A8" s="480"/>
      <c r="B8" s="484"/>
      <c r="C8" s="484"/>
      <c r="D8" s="484"/>
      <c r="E8" s="484"/>
      <c r="F8" s="483"/>
      <c r="G8" s="485"/>
      <c r="H8" s="484"/>
      <c r="I8" s="484"/>
      <c r="J8" s="484"/>
      <c r="K8" s="484"/>
      <c r="L8" s="484"/>
      <c r="M8" s="484"/>
      <c r="N8" s="484"/>
      <c r="O8" s="484"/>
      <c r="P8" s="484"/>
      <c r="Q8" s="484"/>
      <c r="R8" s="484"/>
      <c r="S8" s="484"/>
      <c r="T8" s="484"/>
      <c r="U8" s="484"/>
      <c r="V8" s="484"/>
      <c r="W8" s="484"/>
      <c r="X8" s="484"/>
      <c r="Y8" s="484"/>
      <c r="Z8" s="484"/>
      <c r="AA8" s="484"/>
      <c r="AB8" s="484"/>
      <c r="AC8" s="484"/>
      <c r="AD8" s="484"/>
      <c r="AE8" s="484"/>
      <c r="AF8" s="484"/>
      <c r="AG8" s="484"/>
      <c r="AH8" s="484"/>
      <c r="AI8" s="484"/>
      <c r="AJ8" s="484"/>
      <c r="AK8" s="484"/>
      <c r="AL8" s="484"/>
      <c r="AM8" s="484"/>
      <c r="AN8" s="484"/>
      <c r="AO8" s="484"/>
      <c r="AP8" s="484"/>
      <c r="AQ8" s="484"/>
      <c r="AR8" s="484"/>
      <c r="AS8" s="484"/>
      <c r="AT8" s="484"/>
      <c r="AU8" s="484"/>
      <c r="AV8" s="484"/>
      <c r="AW8" s="484"/>
      <c r="AX8" s="484"/>
      <c r="AY8" s="484"/>
      <c r="AZ8" s="484"/>
      <c r="BA8" s="484"/>
      <c r="BB8" s="484"/>
      <c r="BC8" s="484"/>
      <c r="BD8" s="484"/>
      <c r="BE8" s="484"/>
      <c r="BF8" s="484"/>
      <c r="BG8" s="484"/>
      <c r="BH8" s="484"/>
      <c r="BI8" s="484"/>
      <c r="BJ8" s="484"/>
    </row>
    <row r="9" spans="1:62" s="482" customFormat="1" ht="15" customHeight="1" x14ac:dyDescent="0.35">
      <c r="A9" s="480"/>
      <c r="B9" s="486"/>
      <c r="C9" s="486"/>
      <c r="D9" s="486"/>
      <c r="E9" s="480"/>
      <c r="F9" s="487"/>
      <c r="G9" s="488"/>
      <c r="H9" s="489"/>
      <c r="I9" s="480"/>
      <c r="J9" s="480"/>
      <c r="K9" s="480"/>
      <c r="L9" s="480"/>
      <c r="M9" s="480"/>
      <c r="N9" s="480"/>
      <c r="O9" s="480"/>
      <c r="P9" s="480"/>
      <c r="Q9" s="480"/>
      <c r="R9" s="480"/>
      <c r="S9" s="480"/>
      <c r="T9" s="480"/>
      <c r="U9" s="480"/>
      <c r="V9" s="480"/>
      <c r="W9" s="480"/>
      <c r="X9" s="480"/>
      <c r="Y9" s="480"/>
      <c r="Z9" s="480"/>
      <c r="AA9" s="480"/>
      <c r="AB9" s="480"/>
      <c r="AC9" s="480"/>
      <c r="AD9" s="480"/>
      <c r="AE9" s="480"/>
      <c r="AF9" s="480"/>
      <c r="AG9" s="480"/>
      <c r="AH9" s="480"/>
      <c r="AI9" s="480"/>
      <c r="AJ9" s="480"/>
      <c r="AK9" s="480"/>
      <c r="AL9" s="480"/>
      <c r="AM9" s="480"/>
      <c r="AN9" s="480"/>
      <c r="AO9" s="480"/>
      <c r="AP9" s="480"/>
      <c r="AQ9" s="480"/>
      <c r="AR9" s="480"/>
      <c r="AS9" s="480"/>
      <c r="AT9" s="480"/>
      <c r="AU9" s="480"/>
      <c r="AV9" s="480"/>
      <c r="AW9" s="480"/>
      <c r="AX9" s="480"/>
      <c r="AY9" s="480"/>
      <c r="AZ9" s="480"/>
      <c r="BA9" s="480"/>
      <c r="BB9" s="480"/>
      <c r="BC9" s="480"/>
      <c r="BD9" s="480"/>
      <c r="BE9" s="480"/>
      <c r="BF9" s="480"/>
      <c r="BG9" s="480"/>
      <c r="BH9" s="480"/>
      <c r="BI9" s="480"/>
      <c r="BJ9" s="480"/>
    </row>
    <row r="10" spans="1:62" s="482" customFormat="1" ht="15" customHeight="1" x14ac:dyDescent="0.35">
      <c r="A10" s="480"/>
      <c r="B10" s="490"/>
      <c r="C10" s="490"/>
      <c r="D10" s="480"/>
      <c r="E10" s="480"/>
      <c r="F10" s="481"/>
      <c r="G10" s="480"/>
      <c r="H10" s="480"/>
      <c r="I10" s="480"/>
      <c r="J10" s="480"/>
      <c r="K10" s="480"/>
      <c r="L10" s="480"/>
      <c r="M10" s="480"/>
      <c r="N10" s="480"/>
      <c r="O10" s="480"/>
      <c r="P10" s="480"/>
      <c r="Q10" s="480"/>
      <c r="R10" s="480"/>
      <c r="S10" s="480"/>
      <c r="T10" s="480"/>
      <c r="U10" s="480"/>
      <c r="V10" s="480"/>
      <c r="W10" s="480"/>
      <c r="X10" s="480"/>
      <c r="Y10" s="480"/>
      <c r="Z10" s="480"/>
      <c r="AA10" s="480"/>
      <c r="AB10" s="480"/>
      <c r="AC10" s="480"/>
      <c r="AD10" s="480"/>
      <c r="AE10" s="480"/>
      <c r="AF10" s="480"/>
      <c r="AG10" s="480"/>
      <c r="AH10" s="480"/>
      <c r="AI10" s="480"/>
      <c r="AJ10" s="480"/>
      <c r="AK10" s="480"/>
      <c r="AL10" s="480"/>
      <c r="AM10" s="480"/>
      <c r="AN10" s="480"/>
      <c r="AO10" s="480"/>
      <c r="AP10" s="480"/>
      <c r="AQ10" s="480"/>
      <c r="AR10" s="480"/>
      <c r="AS10" s="480"/>
      <c r="AT10" s="480"/>
      <c r="AU10" s="480"/>
      <c r="AV10" s="480"/>
      <c r="AW10" s="480"/>
      <c r="AX10" s="480"/>
      <c r="AY10" s="480"/>
      <c r="AZ10" s="480"/>
      <c r="BA10" s="480"/>
      <c r="BB10" s="480"/>
      <c r="BC10" s="480"/>
      <c r="BD10" s="480"/>
      <c r="BE10" s="480"/>
      <c r="BF10" s="480"/>
      <c r="BG10" s="480"/>
      <c r="BH10" s="480"/>
      <c r="BI10" s="480"/>
      <c r="BJ10" s="480"/>
    </row>
    <row r="11" spans="1:62" s="482" customFormat="1" ht="15" customHeight="1" x14ac:dyDescent="0.35">
      <c r="A11" s="480"/>
      <c r="B11" s="480"/>
      <c r="C11" s="480"/>
      <c r="D11" s="480"/>
      <c r="E11" s="480"/>
      <c r="F11" s="481"/>
      <c r="G11" s="480"/>
      <c r="H11" s="480"/>
      <c r="I11" s="480"/>
      <c r="J11" s="480"/>
      <c r="K11" s="480"/>
      <c r="L11" s="480"/>
      <c r="M11" s="480"/>
      <c r="N11" s="480"/>
      <c r="O11" s="480"/>
      <c r="P11" s="480"/>
      <c r="Q11" s="480"/>
      <c r="R11" s="480"/>
      <c r="S11" s="480"/>
      <c r="T11" s="480"/>
      <c r="U11" s="480"/>
      <c r="V11" s="480"/>
      <c r="W11" s="480"/>
      <c r="X11" s="480"/>
      <c r="Y11" s="480"/>
      <c r="Z11" s="480"/>
      <c r="AA11" s="480"/>
      <c r="AB11" s="480"/>
      <c r="AC11" s="480"/>
      <c r="AD11" s="480"/>
      <c r="AE11" s="480"/>
      <c r="AF11" s="480"/>
      <c r="AG11" s="480"/>
      <c r="AH11" s="480"/>
      <c r="AI11" s="480"/>
      <c r="AJ11" s="480"/>
      <c r="AK11" s="480"/>
      <c r="AL11" s="480"/>
      <c r="AM11" s="480"/>
      <c r="AN11" s="480"/>
      <c r="AO11" s="480"/>
      <c r="AP11" s="480"/>
      <c r="AQ11" s="480"/>
      <c r="AR11" s="480"/>
      <c r="AS11" s="480"/>
      <c r="AT11" s="480"/>
      <c r="AU11" s="480"/>
      <c r="AV11" s="480"/>
      <c r="AW11" s="480"/>
      <c r="AX11" s="480"/>
      <c r="AY11" s="480"/>
      <c r="AZ11" s="480"/>
      <c r="BA11" s="480"/>
      <c r="BB11" s="480"/>
      <c r="BC11" s="480"/>
      <c r="BD11" s="480"/>
      <c r="BE11" s="480"/>
      <c r="BF11" s="480"/>
      <c r="BG11" s="480"/>
      <c r="BH11" s="480"/>
      <c r="BI11" s="480"/>
      <c r="BJ11" s="480"/>
    </row>
    <row r="12" spans="1:62" s="482" customFormat="1" ht="15" customHeight="1" x14ac:dyDescent="0.35">
      <c r="A12" s="480"/>
      <c r="B12" s="484"/>
      <c r="C12" s="484"/>
      <c r="D12" s="484"/>
      <c r="E12" s="484"/>
      <c r="F12" s="481"/>
      <c r="G12" s="484"/>
      <c r="H12" s="484"/>
      <c r="I12" s="484"/>
      <c r="J12" s="484"/>
      <c r="K12" s="484"/>
      <c r="L12" s="484"/>
      <c r="M12" s="484"/>
      <c r="N12" s="484"/>
      <c r="O12" s="484"/>
      <c r="P12" s="484"/>
      <c r="Q12" s="480"/>
      <c r="R12" s="484"/>
      <c r="S12" s="484"/>
      <c r="T12" s="484"/>
      <c r="U12" s="484"/>
      <c r="V12" s="484"/>
      <c r="W12" s="484"/>
      <c r="X12" s="484"/>
      <c r="Y12" s="484"/>
      <c r="Z12" s="484"/>
      <c r="AA12" s="484"/>
      <c r="AB12" s="484"/>
      <c r="AC12" s="484"/>
      <c r="AD12" s="484"/>
      <c r="AE12" s="484"/>
      <c r="AF12" s="484"/>
      <c r="AG12" s="484"/>
      <c r="AH12" s="484"/>
      <c r="AI12" s="484"/>
      <c r="AJ12" s="484"/>
      <c r="AK12" s="484"/>
      <c r="AL12" s="484"/>
      <c r="AM12" s="484"/>
      <c r="AN12" s="484"/>
      <c r="AO12" s="484"/>
      <c r="AP12" s="484"/>
      <c r="AQ12" s="484"/>
      <c r="AR12" s="484"/>
      <c r="AS12" s="484"/>
      <c r="AT12" s="484"/>
      <c r="AU12" s="484"/>
      <c r="AV12" s="484"/>
      <c r="AW12" s="484"/>
      <c r="AX12" s="484"/>
      <c r="AY12" s="484"/>
      <c r="AZ12" s="484"/>
      <c r="BA12" s="484"/>
      <c r="BB12" s="484"/>
      <c r="BC12" s="484"/>
      <c r="BD12" s="484"/>
      <c r="BE12" s="484"/>
      <c r="BF12" s="484"/>
      <c r="BG12" s="484"/>
      <c r="BH12" s="484"/>
      <c r="BI12" s="484"/>
      <c r="BJ12" s="484"/>
    </row>
    <row r="13" spans="1:62" s="482" customFormat="1" ht="15" customHeight="1" x14ac:dyDescent="0.35">
      <c r="A13" s="480"/>
      <c r="B13" s="484"/>
      <c r="C13" s="484"/>
      <c r="D13" s="484"/>
      <c r="E13" s="484"/>
      <c r="F13" s="481"/>
      <c r="G13" s="484"/>
      <c r="H13" s="484"/>
      <c r="I13" s="484"/>
      <c r="J13" s="484"/>
      <c r="K13" s="484"/>
      <c r="L13" s="484"/>
      <c r="M13" s="484"/>
      <c r="N13" s="484"/>
      <c r="O13" s="484"/>
      <c r="P13" s="480"/>
      <c r="Q13" s="484"/>
      <c r="R13" s="484"/>
      <c r="S13" s="484"/>
      <c r="T13" s="484"/>
      <c r="U13" s="484"/>
      <c r="V13" s="484"/>
      <c r="W13" s="484"/>
      <c r="X13" s="484"/>
      <c r="Y13" s="484"/>
      <c r="Z13" s="484"/>
      <c r="AA13" s="484"/>
      <c r="AB13" s="484"/>
      <c r="AC13" s="484"/>
      <c r="AD13" s="484"/>
      <c r="AE13" s="484"/>
      <c r="AF13" s="484"/>
      <c r="AG13" s="484"/>
      <c r="AH13" s="484"/>
      <c r="AI13" s="484"/>
      <c r="AJ13" s="484"/>
      <c r="AK13" s="484"/>
      <c r="AL13" s="484"/>
      <c r="AM13" s="484"/>
      <c r="AN13" s="484"/>
      <c r="AO13" s="484"/>
      <c r="AP13" s="484"/>
      <c r="AQ13" s="484"/>
      <c r="AR13" s="484"/>
      <c r="AS13" s="484"/>
      <c r="AT13" s="484"/>
      <c r="AU13" s="484"/>
      <c r="AV13" s="484"/>
      <c r="AW13" s="484"/>
      <c r="AX13" s="484"/>
      <c r="AY13" s="484"/>
      <c r="AZ13" s="484"/>
      <c r="BA13" s="484"/>
      <c r="BB13" s="484"/>
      <c r="BC13" s="484"/>
      <c r="BD13" s="484"/>
      <c r="BE13" s="484"/>
      <c r="BF13" s="484"/>
      <c r="BG13" s="484"/>
      <c r="BH13" s="484"/>
      <c r="BI13" s="484"/>
      <c r="BJ13" s="484"/>
    </row>
    <row r="14" spans="1:62" s="482" customFormat="1" ht="17.149999999999999" customHeight="1" x14ac:dyDescent="0.35">
      <c r="A14" s="480"/>
      <c r="B14" s="480"/>
      <c r="C14" s="480"/>
      <c r="D14" s="480"/>
      <c r="E14" s="481"/>
      <c r="F14" s="480"/>
      <c r="G14" s="480"/>
      <c r="H14" s="480"/>
      <c r="I14" s="480"/>
      <c r="J14" s="480"/>
      <c r="K14" s="480"/>
      <c r="L14" s="480"/>
      <c r="M14" s="480"/>
      <c r="N14" s="491"/>
      <c r="O14" s="480"/>
      <c r="P14" s="480"/>
      <c r="Q14" s="480"/>
      <c r="R14" s="480"/>
      <c r="S14" s="480"/>
      <c r="T14" s="480"/>
      <c r="U14" s="480"/>
      <c r="V14" s="480"/>
      <c r="W14" s="480"/>
      <c r="X14" s="480"/>
      <c r="Y14" s="480"/>
      <c r="Z14" s="480"/>
      <c r="AA14" s="480"/>
      <c r="AB14" s="480"/>
      <c r="AC14" s="480"/>
      <c r="AD14" s="480"/>
      <c r="AE14" s="480"/>
      <c r="AF14" s="492"/>
      <c r="AG14" s="480"/>
      <c r="AH14" s="480"/>
      <c r="AI14" s="480"/>
      <c r="AJ14" s="480"/>
      <c r="AK14" s="480"/>
      <c r="AL14" s="480"/>
      <c r="AM14" s="480"/>
      <c r="AN14" s="480"/>
      <c r="AO14" s="480"/>
      <c r="AP14" s="480"/>
      <c r="AQ14" s="480"/>
      <c r="AR14" s="480"/>
      <c r="AS14" s="480"/>
      <c r="AT14" s="480"/>
      <c r="AU14" s="480"/>
      <c r="AV14" s="480"/>
      <c r="AW14" s="480"/>
      <c r="AX14" s="480"/>
      <c r="AY14" s="480"/>
      <c r="AZ14" s="480"/>
      <c r="BA14" s="480"/>
      <c r="BB14" s="480"/>
      <c r="BC14" s="480"/>
      <c r="BD14" s="480"/>
      <c r="BE14" s="480"/>
      <c r="BF14" s="480"/>
      <c r="BG14" s="480"/>
      <c r="BH14" s="480"/>
      <c r="BI14" s="480"/>
    </row>
    <row r="15" spans="1:62" s="482" customFormat="1" ht="17.149999999999999" customHeight="1" x14ac:dyDescent="0.35">
      <c r="A15" s="480"/>
      <c r="B15" s="484"/>
      <c r="C15" s="484"/>
      <c r="D15" s="484"/>
      <c r="E15" s="481"/>
      <c r="F15" s="484"/>
      <c r="G15" s="484"/>
      <c r="H15" s="484"/>
      <c r="I15" s="484"/>
      <c r="J15" s="484"/>
      <c r="K15" s="484"/>
      <c r="L15" s="484"/>
      <c r="M15" s="484"/>
      <c r="N15" s="484"/>
      <c r="O15" s="484"/>
      <c r="P15" s="480"/>
      <c r="Q15" s="484"/>
      <c r="R15" s="484"/>
      <c r="S15" s="484"/>
      <c r="T15" s="484"/>
      <c r="U15" s="484"/>
      <c r="V15" s="484"/>
      <c r="W15" s="484"/>
      <c r="X15" s="484"/>
      <c r="Y15" s="484"/>
      <c r="Z15" s="484"/>
      <c r="AA15" s="484"/>
      <c r="AB15" s="484"/>
      <c r="AC15" s="484"/>
      <c r="AD15" s="484"/>
      <c r="AE15" s="484"/>
      <c r="AF15" s="493"/>
      <c r="AG15" s="484"/>
      <c r="AH15" s="484"/>
      <c r="AI15" s="484"/>
      <c r="AJ15" s="484"/>
      <c r="AK15" s="484"/>
      <c r="AL15" s="484"/>
      <c r="AM15" s="484"/>
      <c r="AN15" s="484"/>
      <c r="AO15" s="484"/>
      <c r="AP15" s="484"/>
      <c r="AQ15" s="484"/>
      <c r="AR15" s="484"/>
      <c r="AS15" s="484"/>
      <c r="AT15" s="484"/>
      <c r="AU15" s="484"/>
      <c r="AV15" s="484"/>
      <c r="AW15" s="484"/>
      <c r="AX15" s="484"/>
      <c r="AY15" s="484"/>
      <c r="AZ15" s="484"/>
      <c r="BA15" s="484"/>
      <c r="BB15" s="484"/>
      <c r="BC15" s="484"/>
      <c r="BD15" s="484"/>
      <c r="BE15" s="484"/>
      <c r="BF15" s="484"/>
      <c r="BG15" s="484"/>
      <c r="BH15" s="484"/>
      <c r="BI15" s="484"/>
    </row>
    <row r="16" spans="1:62" s="482" customFormat="1" ht="17.149999999999999" customHeight="1" x14ac:dyDescent="0.35">
      <c r="A16" s="480"/>
      <c r="B16" s="480"/>
      <c r="C16" s="480"/>
      <c r="D16" s="480"/>
      <c r="E16" s="481"/>
      <c r="F16" s="480"/>
      <c r="G16" s="480"/>
      <c r="H16" s="480"/>
      <c r="I16" s="480"/>
      <c r="J16" s="480"/>
      <c r="K16" s="480"/>
      <c r="L16" s="480"/>
      <c r="M16" s="480"/>
      <c r="N16" s="484"/>
      <c r="O16" s="480"/>
      <c r="P16" s="480"/>
      <c r="Q16" s="480"/>
      <c r="R16" s="480"/>
      <c r="S16" s="480"/>
      <c r="T16" s="480"/>
      <c r="U16" s="480"/>
      <c r="V16" s="480"/>
      <c r="W16" s="480"/>
      <c r="X16" s="480"/>
      <c r="Y16" s="480"/>
      <c r="Z16" s="480"/>
      <c r="AA16" s="480"/>
      <c r="AB16" s="480"/>
      <c r="AC16" s="480"/>
      <c r="AD16" s="480"/>
      <c r="AE16" s="480"/>
      <c r="AF16" s="480"/>
      <c r="AG16" s="480"/>
      <c r="AH16" s="480"/>
      <c r="AI16" s="480"/>
      <c r="AJ16" s="480"/>
      <c r="AK16" s="480"/>
      <c r="AL16" s="480"/>
      <c r="AM16" s="480"/>
      <c r="AN16" s="480"/>
      <c r="AO16" s="480"/>
      <c r="AP16" s="480"/>
      <c r="AQ16" s="480"/>
      <c r="AR16" s="480"/>
      <c r="AS16" s="480"/>
      <c r="AT16" s="480"/>
      <c r="AU16" s="480"/>
      <c r="AV16" s="480"/>
      <c r="AW16" s="480"/>
      <c r="AX16" s="480"/>
      <c r="AY16" s="480"/>
      <c r="AZ16" s="480"/>
      <c r="BA16" s="480"/>
      <c r="BB16" s="480"/>
      <c r="BC16" s="480"/>
      <c r="BD16" s="480"/>
      <c r="BE16" s="480"/>
      <c r="BF16" s="480"/>
      <c r="BG16" s="480"/>
      <c r="BH16" s="480"/>
      <c r="BI16" s="480"/>
    </row>
    <row r="17" spans="1:62" s="397" customFormat="1" ht="15" customHeight="1" x14ac:dyDescent="0.35">
      <c r="A17" s="480"/>
      <c r="B17" s="399"/>
      <c r="C17" s="399"/>
      <c r="D17" s="399"/>
      <c r="E17" s="399"/>
      <c r="F17" s="396"/>
      <c r="G17" s="401"/>
      <c r="H17" s="399"/>
      <c r="I17" s="399"/>
      <c r="J17" s="399"/>
      <c r="K17" s="399"/>
      <c r="L17" s="399"/>
      <c r="M17" s="399"/>
      <c r="N17" s="399"/>
      <c r="O17" s="399"/>
      <c r="P17" s="399"/>
      <c r="Q17" s="399"/>
      <c r="R17" s="399"/>
      <c r="S17" s="399"/>
      <c r="T17" s="399"/>
      <c r="U17" s="399"/>
      <c r="V17" s="399"/>
      <c r="W17" s="399"/>
      <c r="X17" s="399"/>
      <c r="Y17" s="399"/>
      <c r="Z17" s="399"/>
      <c r="AA17" s="399"/>
      <c r="AB17" s="399"/>
      <c r="AC17" s="399"/>
      <c r="AD17" s="399"/>
      <c r="AE17" s="399"/>
      <c r="AF17" s="399"/>
      <c r="AG17" s="401"/>
      <c r="AH17" s="399"/>
      <c r="AI17" s="399"/>
      <c r="AJ17" s="399"/>
      <c r="AK17" s="399"/>
      <c r="AL17" s="399"/>
      <c r="AM17" s="399"/>
      <c r="AN17" s="399"/>
      <c r="AO17" s="399"/>
      <c r="AP17" s="399"/>
      <c r="AQ17" s="399"/>
      <c r="AR17" s="399"/>
      <c r="AS17" s="399"/>
      <c r="AT17" s="399"/>
      <c r="AU17" s="399"/>
      <c r="AV17" s="399"/>
      <c r="AW17" s="399"/>
      <c r="AX17" s="399"/>
      <c r="AY17" s="399"/>
      <c r="AZ17" s="399"/>
      <c r="BA17" s="399"/>
      <c r="BB17" s="399"/>
      <c r="BC17" s="399"/>
      <c r="BD17" s="399"/>
      <c r="BE17" s="399"/>
      <c r="BF17" s="399"/>
      <c r="BG17" s="399"/>
      <c r="BH17" s="399"/>
      <c r="BI17" s="399"/>
      <c r="BJ17" s="399"/>
    </row>
    <row r="18" spans="1:62" s="402" customFormat="1" ht="15" customHeight="1" x14ac:dyDescent="0.25">
      <c r="A18" s="480"/>
      <c r="B18" s="399"/>
      <c r="C18" s="399"/>
      <c r="D18" s="399"/>
      <c r="E18" s="399"/>
      <c r="F18" s="396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399"/>
      <c r="T18" s="399"/>
      <c r="U18" s="399"/>
      <c r="V18" s="399"/>
      <c r="W18" s="399"/>
      <c r="X18" s="399"/>
      <c r="Y18" s="399"/>
      <c r="Z18" s="399"/>
      <c r="AA18" s="399"/>
      <c r="AB18" s="399"/>
      <c r="AC18" s="399"/>
      <c r="AD18" s="399"/>
      <c r="AE18" s="399"/>
      <c r="AF18" s="399"/>
      <c r="AG18" s="399"/>
      <c r="AH18" s="399"/>
      <c r="AI18" s="399"/>
      <c r="AJ18" s="399"/>
      <c r="AK18" s="399"/>
      <c r="AL18" s="399"/>
      <c r="AM18" s="399"/>
      <c r="AN18" s="399"/>
      <c r="AO18" s="399"/>
      <c r="AP18" s="399"/>
      <c r="AQ18" s="399"/>
      <c r="AR18" s="399"/>
      <c r="AS18" s="399"/>
      <c r="AT18" s="399"/>
      <c r="AU18" s="399"/>
      <c r="AV18" s="399"/>
      <c r="AW18" s="399"/>
      <c r="AX18" s="399"/>
      <c r="AY18" s="399"/>
      <c r="AZ18" s="399"/>
      <c r="BA18" s="399"/>
      <c r="BB18" s="399"/>
      <c r="BC18" s="399"/>
      <c r="BD18" s="399"/>
      <c r="BE18" s="399"/>
      <c r="BF18" s="399"/>
      <c r="BG18" s="399"/>
      <c r="BH18" s="399"/>
      <c r="BI18" s="399"/>
      <c r="BJ18" s="399"/>
    </row>
    <row r="19" spans="1:62" s="402" customFormat="1" ht="15" customHeight="1" x14ac:dyDescent="0.25">
      <c r="A19" s="395"/>
      <c r="B19" s="399"/>
      <c r="C19" s="399"/>
      <c r="D19" s="399"/>
      <c r="E19" s="399"/>
      <c r="F19" s="398"/>
      <c r="G19" s="399"/>
      <c r="H19" s="399"/>
      <c r="I19" s="399"/>
      <c r="J19" s="399"/>
      <c r="K19" s="399"/>
      <c r="L19" s="399"/>
      <c r="M19" s="399"/>
      <c r="N19" s="399"/>
      <c r="O19" s="403"/>
      <c r="P19" s="399"/>
      <c r="Q19" s="399"/>
      <c r="R19" s="399"/>
      <c r="S19" s="399"/>
      <c r="T19" s="399"/>
      <c r="U19" s="399"/>
      <c r="V19" s="399"/>
      <c r="W19" s="399"/>
      <c r="X19" s="399"/>
      <c r="Y19" s="399"/>
      <c r="Z19" s="399"/>
      <c r="AA19" s="399"/>
      <c r="AB19" s="399"/>
      <c r="AC19" s="399"/>
      <c r="AD19" s="399"/>
      <c r="AE19" s="399"/>
      <c r="AF19" s="399"/>
      <c r="AG19" s="399"/>
      <c r="AH19" s="399"/>
      <c r="AI19" s="399"/>
      <c r="AJ19" s="399"/>
      <c r="AK19" s="399"/>
      <c r="AL19" s="399"/>
      <c r="AM19" s="399"/>
      <c r="AN19" s="399"/>
      <c r="AO19" s="399"/>
      <c r="AP19" s="399"/>
      <c r="AQ19" s="399"/>
      <c r="AR19" s="399"/>
      <c r="AS19" s="399"/>
      <c r="AT19" s="399"/>
      <c r="AU19" s="399"/>
      <c r="AV19" s="399"/>
      <c r="AW19" s="399"/>
      <c r="AX19" s="399"/>
      <c r="AY19" s="399"/>
      <c r="AZ19" s="399"/>
      <c r="BA19" s="399"/>
      <c r="BB19" s="399"/>
      <c r="BC19" s="399"/>
      <c r="BD19" s="399"/>
      <c r="BE19" s="399"/>
      <c r="BF19" s="399"/>
      <c r="BG19" s="399"/>
      <c r="BH19" s="399"/>
      <c r="BI19" s="399"/>
      <c r="BJ19" s="399"/>
    </row>
    <row r="20" spans="1:62" s="404" customFormat="1" ht="13" x14ac:dyDescent="0.3">
      <c r="A20" s="395"/>
      <c r="B20" s="395"/>
      <c r="C20" s="395"/>
      <c r="D20" s="395"/>
      <c r="E20" s="395"/>
      <c r="F20" s="396"/>
      <c r="G20" s="395"/>
      <c r="H20" s="395"/>
      <c r="I20" s="400"/>
      <c r="J20" s="395"/>
      <c r="K20" s="395"/>
      <c r="L20" s="395"/>
      <c r="M20" s="395"/>
      <c r="N20" s="395"/>
      <c r="O20" s="395"/>
      <c r="P20" s="395"/>
      <c r="Q20" s="395"/>
      <c r="R20" s="395"/>
      <c r="S20" s="395"/>
      <c r="T20" s="395"/>
      <c r="U20" s="395"/>
      <c r="V20" s="395"/>
      <c r="W20" s="395"/>
      <c r="X20" s="395"/>
      <c r="Y20" s="395"/>
      <c r="Z20" s="395"/>
      <c r="AA20" s="395"/>
      <c r="AB20" s="395"/>
      <c r="AC20" s="395"/>
      <c r="AD20" s="395"/>
      <c r="AE20" s="395"/>
      <c r="AF20" s="395"/>
      <c r="AG20" s="400"/>
      <c r="AH20" s="395"/>
      <c r="AI20" s="395"/>
      <c r="AJ20" s="395"/>
      <c r="AK20" s="395"/>
      <c r="AL20" s="395"/>
      <c r="AM20" s="395"/>
      <c r="AN20" s="395"/>
      <c r="AO20" s="395"/>
      <c r="AP20" s="395"/>
      <c r="AQ20" s="395"/>
      <c r="AR20" s="395"/>
      <c r="AS20" s="395"/>
      <c r="AT20" s="395"/>
      <c r="AU20" s="395"/>
      <c r="AV20" s="395"/>
      <c r="AW20" s="395"/>
      <c r="AX20" s="395"/>
      <c r="AY20" s="395"/>
      <c r="AZ20" s="395"/>
      <c r="BA20" s="395"/>
      <c r="BB20" s="395"/>
      <c r="BC20" s="395"/>
      <c r="BD20" s="395"/>
      <c r="BE20" s="395"/>
      <c r="BF20" s="395"/>
      <c r="BG20" s="395"/>
      <c r="BH20" s="395"/>
      <c r="BI20" s="395"/>
      <c r="BJ20" s="395"/>
    </row>
    <row r="21" spans="1:62" s="409" customFormat="1" ht="15.5" x14ac:dyDescent="0.35">
      <c r="A21" s="405"/>
      <c r="B21" s="406"/>
      <c r="C21" s="406"/>
      <c r="D21" s="406"/>
      <c r="E21" s="406"/>
      <c r="F21" s="406"/>
      <c r="G21" s="406"/>
      <c r="H21" s="406"/>
      <c r="I21" s="406"/>
      <c r="J21" s="406"/>
      <c r="K21" s="406"/>
      <c r="L21" s="406"/>
      <c r="M21" s="406"/>
      <c r="N21" s="406"/>
      <c r="O21" s="406"/>
      <c r="P21" s="406"/>
      <c r="Q21" s="406"/>
      <c r="R21" s="406"/>
      <c r="S21" s="406"/>
      <c r="T21" s="406"/>
      <c r="U21" s="406"/>
      <c r="V21" s="407"/>
      <c r="W21" s="407"/>
      <c r="X21" s="406"/>
      <c r="Y21" s="406"/>
      <c r="Z21" s="406"/>
      <c r="AA21" s="406"/>
      <c r="AB21" s="406"/>
      <c r="AC21" s="406"/>
      <c r="AD21" s="406"/>
      <c r="AE21" s="406"/>
      <c r="AF21" s="406"/>
      <c r="AG21" s="408"/>
      <c r="AH21" s="406"/>
      <c r="AI21" s="406"/>
      <c r="AJ21" s="406"/>
      <c r="AK21" s="406"/>
      <c r="AL21" s="406"/>
      <c r="AM21" s="406"/>
      <c r="AN21" s="406"/>
      <c r="AO21" s="406"/>
      <c r="AP21" s="406"/>
      <c r="AQ21" s="406"/>
      <c r="AR21" s="406"/>
      <c r="AS21" s="406"/>
      <c r="AT21" s="406"/>
      <c r="AU21" s="406"/>
      <c r="AV21" s="406"/>
      <c r="AW21" s="406"/>
      <c r="AX21" s="406"/>
      <c r="AY21" s="406"/>
      <c r="AZ21" s="406"/>
      <c r="BA21" s="406"/>
      <c r="BB21" s="406"/>
      <c r="BC21" s="406"/>
      <c r="BD21" s="406"/>
      <c r="BE21" s="406"/>
      <c r="BF21" s="406"/>
      <c r="BG21" s="406"/>
      <c r="BH21" s="406"/>
      <c r="BI21" s="406"/>
      <c r="BJ21" s="406"/>
    </row>
    <row r="22" spans="1:62" s="409" customFormat="1" ht="15.5" x14ac:dyDescent="0.35">
      <c r="A22" s="405"/>
      <c r="B22" s="405"/>
      <c r="C22" s="405"/>
      <c r="D22" s="405"/>
      <c r="E22" s="405"/>
      <c r="F22" s="410"/>
      <c r="G22" s="405"/>
      <c r="H22" s="405"/>
      <c r="I22" s="405"/>
      <c r="J22" s="405"/>
      <c r="K22" s="405"/>
      <c r="L22" s="405"/>
      <c r="M22" s="405"/>
      <c r="N22" s="405"/>
      <c r="O22" s="405"/>
      <c r="P22" s="405"/>
      <c r="Q22" s="405"/>
      <c r="R22" s="405"/>
      <c r="S22" s="405"/>
      <c r="T22" s="405"/>
      <c r="U22" s="405"/>
      <c r="V22" s="405"/>
      <c r="W22" s="405"/>
      <c r="X22" s="405"/>
      <c r="Y22" s="405"/>
      <c r="Z22" s="405"/>
      <c r="AA22" s="405"/>
      <c r="AB22" s="405"/>
      <c r="AC22" s="405"/>
      <c r="AD22" s="405"/>
      <c r="AE22" s="405"/>
      <c r="AF22" s="405"/>
      <c r="AG22" s="411"/>
      <c r="AH22" s="405"/>
      <c r="AI22" s="405"/>
      <c r="AJ22" s="405"/>
      <c r="AK22" s="405"/>
      <c r="AL22" s="405"/>
      <c r="AM22" s="405"/>
      <c r="AN22" s="405"/>
      <c r="AO22" s="405"/>
      <c r="AP22" s="405"/>
      <c r="AQ22" s="405"/>
      <c r="AR22" s="405"/>
      <c r="AS22" s="405"/>
      <c r="AT22" s="405"/>
      <c r="AU22" s="405"/>
      <c r="AV22" s="405"/>
      <c r="AW22" s="405"/>
      <c r="AX22" s="405"/>
      <c r="AY22" s="405"/>
      <c r="AZ22" s="405"/>
      <c r="BA22" s="405"/>
      <c r="BB22" s="405"/>
      <c r="BC22" s="405"/>
      <c r="BD22" s="405"/>
      <c r="BE22" s="405"/>
      <c r="BF22" s="405"/>
      <c r="BG22" s="405"/>
      <c r="BH22" s="405"/>
      <c r="BI22" s="405"/>
      <c r="BJ22" s="405"/>
    </row>
    <row r="23" spans="1:62" s="409" customFormat="1" ht="15.5" x14ac:dyDescent="0.35">
      <c r="A23" s="405"/>
      <c r="B23" s="405"/>
      <c r="C23" s="405"/>
      <c r="D23" s="405"/>
      <c r="E23" s="405"/>
      <c r="F23" s="410"/>
      <c r="G23" s="405"/>
      <c r="H23" s="405"/>
      <c r="I23" s="405"/>
      <c r="J23" s="405"/>
      <c r="K23" s="405"/>
      <c r="L23" s="405"/>
      <c r="M23" s="405"/>
      <c r="N23" s="405"/>
      <c r="O23" s="405"/>
      <c r="P23" s="405"/>
      <c r="Q23" s="405"/>
      <c r="R23" s="405"/>
      <c r="S23" s="405"/>
      <c r="T23" s="405"/>
      <c r="U23" s="405"/>
      <c r="V23" s="412"/>
      <c r="W23" s="412"/>
      <c r="X23" s="405"/>
      <c r="Y23" s="405"/>
      <c r="Z23" s="405"/>
      <c r="AA23" s="405"/>
      <c r="AB23" s="405"/>
      <c r="AC23" s="405"/>
      <c r="AD23" s="405"/>
      <c r="AE23" s="405"/>
      <c r="AF23" s="405"/>
      <c r="AG23" s="411"/>
      <c r="AH23" s="405"/>
      <c r="AI23" s="405"/>
      <c r="AJ23" s="405"/>
      <c r="AK23" s="405"/>
      <c r="AL23" s="405"/>
      <c r="AM23" s="405"/>
      <c r="AN23" s="405"/>
      <c r="AO23" s="405"/>
      <c r="AP23" s="405"/>
      <c r="AQ23" s="405"/>
      <c r="AR23" s="405"/>
      <c r="AS23" s="405"/>
      <c r="AT23" s="405"/>
      <c r="AU23" s="405"/>
      <c r="AV23" s="405"/>
      <c r="AW23" s="405"/>
      <c r="AX23" s="405"/>
      <c r="AY23" s="405"/>
      <c r="AZ23" s="405"/>
      <c r="BA23" s="405"/>
      <c r="BB23" s="405"/>
      <c r="BC23" s="405"/>
      <c r="BD23" s="405"/>
      <c r="BE23" s="405"/>
      <c r="BF23" s="405"/>
      <c r="BG23" s="405"/>
      <c r="BH23" s="405"/>
      <c r="BI23" s="405"/>
      <c r="BJ23" s="405"/>
    </row>
    <row r="24" spans="1:62" s="409" customFormat="1" ht="15.5" x14ac:dyDescent="0.35">
      <c r="A24" s="413"/>
      <c r="B24" s="413"/>
      <c r="C24" s="413"/>
      <c r="D24" s="413"/>
      <c r="E24" s="413"/>
      <c r="F24" s="413"/>
      <c r="G24" s="413"/>
      <c r="H24" s="413"/>
      <c r="I24" s="413"/>
      <c r="J24" s="413"/>
      <c r="K24" s="413"/>
      <c r="L24" s="413"/>
      <c r="M24" s="413"/>
      <c r="N24" s="413"/>
      <c r="O24" s="413"/>
      <c r="P24" s="413"/>
      <c r="Q24" s="413"/>
      <c r="R24" s="413"/>
      <c r="S24" s="413"/>
      <c r="T24" s="413"/>
      <c r="U24" s="413"/>
      <c r="V24" s="413"/>
      <c r="W24" s="413"/>
      <c r="X24" s="413"/>
      <c r="Y24" s="413"/>
      <c r="Z24" s="413"/>
      <c r="AA24" s="413"/>
      <c r="AB24" s="413"/>
      <c r="AC24" s="413"/>
      <c r="AD24" s="413"/>
      <c r="AE24" s="413"/>
      <c r="AF24" s="413"/>
      <c r="AG24" s="414"/>
      <c r="AH24" s="413"/>
      <c r="AI24" s="413"/>
      <c r="AJ24" s="413"/>
      <c r="AK24" s="413"/>
      <c r="AL24" s="413"/>
      <c r="AM24" s="413"/>
      <c r="AN24" s="413"/>
      <c r="AO24" s="413"/>
      <c r="AP24" s="413"/>
      <c r="AQ24" s="413"/>
      <c r="AR24" s="413"/>
      <c r="AS24" s="413"/>
      <c r="AT24" s="413"/>
      <c r="AU24" s="413"/>
      <c r="AV24" s="413"/>
      <c r="AW24" s="413"/>
      <c r="AX24" s="413"/>
      <c r="AY24" s="413"/>
      <c r="AZ24" s="413"/>
      <c r="BA24" s="413"/>
      <c r="BB24" s="413"/>
      <c r="BC24" s="413"/>
      <c r="BD24" s="413"/>
      <c r="BE24" s="413"/>
      <c r="BF24" s="413"/>
      <c r="BG24" s="413"/>
      <c r="BH24" s="413"/>
      <c r="BI24" s="413"/>
      <c r="BJ24" s="413"/>
    </row>
    <row r="25" spans="1:62" ht="15.5" x14ac:dyDescent="0.35">
      <c r="A25" s="415" t="s">
        <v>17</v>
      </c>
      <c r="B25" s="415"/>
      <c r="C25" s="415"/>
      <c r="D25" s="415"/>
      <c r="E25" s="415"/>
      <c r="F25" s="415"/>
      <c r="G25" s="415">
        <f t="shared" ref="G25:Z25" si="0">COUNTA(G6:G24)</f>
        <v>0</v>
      </c>
      <c r="H25" s="415">
        <f t="shared" si="0"/>
        <v>0</v>
      </c>
      <c r="I25" s="415">
        <f t="shared" si="0"/>
        <v>0</v>
      </c>
      <c r="J25" s="415">
        <f t="shared" si="0"/>
        <v>0</v>
      </c>
      <c r="K25" s="415">
        <f t="shared" si="0"/>
        <v>0</v>
      </c>
      <c r="L25" s="415">
        <f t="shared" si="0"/>
        <v>0</v>
      </c>
      <c r="M25" s="415">
        <f t="shared" si="0"/>
        <v>0</v>
      </c>
      <c r="N25" s="415">
        <f t="shared" si="0"/>
        <v>0</v>
      </c>
      <c r="O25" s="415">
        <f t="shared" si="0"/>
        <v>0</v>
      </c>
      <c r="P25" s="415">
        <f t="shared" si="0"/>
        <v>0</v>
      </c>
      <c r="Q25" s="415">
        <f t="shared" si="0"/>
        <v>0</v>
      </c>
      <c r="R25" s="415">
        <f t="shared" si="0"/>
        <v>0</v>
      </c>
      <c r="S25" s="415">
        <f t="shared" si="0"/>
        <v>0</v>
      </c>
      <c r="T25" s="415">
        <f t="shared" si="0"/>
        <v>0</v>
      </c>
      <c r="U25" s="415">
        <f t="shared" si="0"/>
        <v>0</v>
      </c>
      <c r="V25" s="415">
        <f t="shared" si="0"/>
        <v>0</v>
      </c>
      <c r="W25" s="415">
        <f t="shared" si="0"/>
        <v>0</v>
      </c>
      <c r="X25" s="415">
        <f t="shared" si="0"/>
        <v>0</v>
      </c>
      <c r="Y25" s="415">
        <f t="shared" si="0"/>
        <v>0</v>
      </c>
      <c r="Z25" s="415">
        <f t="shared" si="0"/>
        <v>0</v>
      </c>
      <c r="AA25" s="415"/>
      <c r="AB25" s="415">
        <f>COUNTA(AB6:AB24)</f>
        <v>0</v>
      </c>
      <c r="AC25" s="415">
        <f>COUNTA(AC6:AC24)</f>
        <v>0</v>
      </c>
      <c r="AD25" s="415"/>
      <c r="AE25" s="415"/>
      <c r="AF25" s="415">
        <f t="shared" ref="AF25:AS25" si="1">COUNTA(AF6:AF24)</f>
        <v>0</v>
      </c>
      <c r="AG25" s="415">
        <f t="shared" si="1"/>
        <v>0</v>
      </c>
      <c r="AH25" s="415">
        <f t="shared" si="1"/>
        <v>0</v>
      </c>
      <c r="AI25" s="415">
        <f t="shared" si="1"/>
        <v>0</v>
      </c>
      <c r="AJ25" s="415">
        <f t="shared" si="1"/>
        <v>0</v>
      </c>
      <c r="AK25" s="415">
        <f t="shared" si="1"/>
        <v>0</v>
      </c>
      <c r="AL25" s="415">
        <f t="shared" si="1"/>
        <v>0</v>
      </c>
      <c r="AM25" s="415">
        <f t="shared" si="1"/>
        <v>0</v>
      </c>
      <c r="AN25" s="415">
        <f t="shared" si="1"/>
        <v>0</v>
      </c>
      <c r="AO25" s="415">
        <f t="shared" si="1"/>
        <v>0</v>
      </c>
      <c r="AP25" s="415">
        <f t="shared" si="1"/>
        <v>0</v>
      </c>
      <c r="AQ25" s="415">
        <f t="shared" si="1"/>
        <v>0</v>
      </c>
      <c r="AR25" s="415">
        <f t="shared" si="1"/>
        <v>0</v>
      </c>
      <c r="AS25" s="415">
        <f t="shared" si="1"/>
        <v>0</v>
      </c>
      <c r="AT25" s="415"/>
      <c r="AU25" s="415">
        <f t="shared" ref="AU25:BI25" si="2">COUNTA(AU6:AU24)</f>
        <v>0</v>
      </c>
      <c r="AV25" s="415">
        <f t="shared" si="2"/>
        <v>0</v>
      </c>
      <c r="AW25" s="415">
        <f t="shared" si="2"/>
        <v>0</v>
      </c>
      <c r="AX25" s="415">
        <f t="shared" si="2"/>
        <v>0</v>
      </c>
      <c r="AY25" s="415">
        <f t="shared" si="2"/>
        <v>0</v>
      </c>
      <c r="AZ25" s="415">
        <f t="shared" si="2"/>
        <v>0</v>
      </c>
      <c r="BA25" s="415">
        <f t="shared" si="2"/>
        <v>0</v>
      </c>
      <c r="BB25" s="415">
        <f t="shared" si="2"/>
        <v>0</v>
      </c>
      <c r="BC25" s="415">
        <f t="shared" si="2"/>
        <v>0</v>
      </c>
      <c r="BD25" s="415">
        <f t="shared" si="2"/>
        <v>0</v>
      </c>
      <c r="BE25" s="415">
        <f t="shared" si="2"/>
        <v>0</v>
      </c>
      <c r="BF25" s="415">
        <f t="shared" si="2"/>
        <v>0</v>
      </c>
      <c r="BG25" s="415">
        <f t="shared" si="2"/>
        <v>0</v>
      </c>
      <c r="BH25" s="415">
        <f t="shared" si="2"/>
        <v>0</v>
      </c>
      <c r="BI25" s="415">
        <f t="shared" si="2"/>
        <v>0</v>
      </c>
      <c r="BJ25" s="415"/>
    </row>
  </sheetData>
  <mergeCells count="24">
    <mergeCell ref="BA4:BB4"/>
    <mergeCell ref="BC4:BE4"/>
    <mergeCell ref="BF4:BI4"/>
    <mergeCell ref="X4:AG4"/>
    <mergeCell ref="AH4:AJ4"/>
    <mergeCell ref="AK4:AM4"/>
    <mergeCell ref="AN4:AS4"/>
    <mergeCell ref="AT4:AT5"/>
    <mergeCell ref="A1:BJ1"/>
    <mergeCell ref="S4:T4"/>
    <mergeCell ref="A4:A5"/>
    <mergeCell ref="B4:B5"/>
    <mergeCell ref="C4:C5"/>
    <mergeCell ref="D4:D5"/>
    <mergeCell ref="E4:E5"/>
    <mergeCell ref="F4:F5"/>
    <mergeCell ref="G4:I4"/>
    <mergeCell ref="J4:N4"/>
    <mergeCell ref="O4:O5"/>
    <mergeCell ref="P4:R4"/>
    <mergeCell ref="BJ4:BJ5"/>
    <mergeCell ref="U4:U5"/>
    <mergeCell ref="V4:W4"/>
    <mergeCell ref="AU4:AZ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4" tint="0.39997558519241921"/>
    <pageSetUpPr fitToPage="1"/>
  </sheetPr>
  <dimension ref="A1:EV478"/>
  <sheetViews>
    <sheetView topLeftCell="W118" zoomScale="70" zoomScaleNormal="70" zoomScaleSheetLayoutView="70" workbookViewId="0">
      <selection activeCell="AJ120" sqref="AJ120"/>
    </sheetView>
  </sheetViews>
  <sheetFormatPr defaultColWidth="9.1796875" defaultRowHeight="14.5" x14ac:dyDescent="0.35"/>
  <cols>
    <col min="1" max="1" width="4" style="143" customWidth="1"/>
    <col min="2" max="2" width="14.54296875" style="143" customWidth="1"/>
    <col min="3" max="3" width="15.54296875" style="4" customWidth="1"/>
    <col min="4" max="5" width="8.81640625" style="4" customWidth="1"/>
    <col min="6" max="6" width="11.7265625" style="4" customWidth="1"/>
    <col min="7" max="7" width="13.453125" style="4" customWidth="1"/>
    <col min="8" max="8" width="8.81640625" style="4" customWidth="1"/>
    <col min="9" max="9" width="9.26953125" style="4" customWidth="1"/>
    <col min="10" max="10" width="8.81640625" style="4" customWidth="1"/>
    <col min="11" max="11" width="11" style="4" customWidth="1"/>
    <col min="12" max="17" width="7.54296875" style="4" customWidth="1"/>
    <col min="18" max="18" width="14.7265625" style="4" customWidth="1"/>
    <col min="19" max="22" width="7.54296875" style="4" customWidth="1"/>
    <col min="23" max="23" width="11.54296875" style="4" customWidth="1"/>
    <col min="24" max="24" width="12.81640625" style="4" customWidth="1"/>
    <col min="25" max="25" width="5.7265625" style="161" customWidth="1"/>
    <col min="26" max="26" width="15.453125" style="4" customWidth="1"/>
    <col min="27" max="33" width="9.1796875" style="4"/>
    <col min="34" max="34" width="24.26953125" style="4" customWidth="1"/>
    <col min="35" max="38" width="9.1796875" style="4"/>
    <col min="39" max="39" width="10.1796875" style="4" customWidth="1"/>
    <col min="40" max="40" width="9.1796875" style="4"/>
    <col min="41" max="41" width="10" style="4" customWidth="1"/>
    <col min="42" max="42" width="9.1796875" style="4"/>
    <col min="43" max="152" width="9.1796875" style="161"/>
    <col min="153" max="16384" width="9.1796875" style="4"/>
  </cols>
  <sheetData>
    <row r="1" spans="1:152" ht="15.5" x14ac:dyDescent="0.35">
      <c r="A1" s="137"/>
      <c r="B1" s="138"/>
      <c r="C1" s="76" t="s">
        <v>64</v>
      </c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101"/>
      <c r="T1" s="101"/>
      <c r="U1" s="101"/>
      <c r="V1" s="101"/>
      <c r="W1" s="101"/>
      <c r="X1" s="101"/>
      <c r="Y1" s="15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</row>
    <row r="2" spans="1:152" ht="15.5" x14ac:dyDescent="0.35">
      <c r="A2" s="137"/>
      <c r="B2" s="98"/>
      <c r="C2" s="103" t="s">
        <v>197</v>
      </c>
      <c r="D2" s="78"/>
      <c r="E2" s="79" t="str">
        <f>PETUNJUK!C5</f>
        <v>PECANGAAN</v>
      </c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101"/>
      <c r="T2" s="101"/>
      <c r="U2" s="101"/>
      <c r="V2" s="101"/>
      <c r="W2" s="101"/>
      <c r="X2" s="101"/>
      <c r="Y2" s="15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</row>
    <row r="3" spans="1:152" ht="15.5" x14ac:dyDescent="0.35">
      <c r="A3" s="137"/>
      <c r="B3" s="139"/>
      <c r="C3" s="104" t="s">
        <v>198</v>
      </c>
      <c r="D3" s="105"/>
      <c r="E3" s="106" t="str">
        <f>'1.DATA KIA'!C4</f>
        <v xml:space="preserve">JANUARI </v>
      </c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1"/>
      <c r="T3" s="101"/>
      <c r="U3" s="101"/>
      <c r="V3" s="101" t="s">
        <v>199</v>
      </c>
      <c r="W3" s="101"/>
      <c r="X3" s="101"/>
      <c r="Y3" s="15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 t="s">
        <v>200</v>
      </c>
      <c r="AP3" s="101"/>
    </row>
    <row r="4" spans="1:152" ht="16" thickBot="1" x14ac:dyDescent="0.4">
      <c r="A4" s="870"/>
      <c r="B4" s="870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1"/>
      <c r="T4" s="101"/>
      <c r="U4" s="101"/>
      <c r="V4" s="101"/>
      <c r="W4" s="101"/>
      <c r="X4" s="101"/>
      <c r="Y4" s="15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</row>
    <row r="5" spans="1:152" s="111" customFormat="1" ht="33" customHeight="1" x14ac:dyDescent="0.35">
      <c r="A5" s="871" t="s">
        <v>1</v>
      </c>
      <c r="B5" s="874" t="s">
        <v>2</v>
      </c>
      <c r="C5" s="877" t="s">
        <v>65</v>
      </c>
      <c r="D5" s="847" t="s">
        <v>66</v>
      </c>
      <c r="E5" s="848"/>
      <c r="F5" s="848"/>
      <c r="G5" s="880"/>
      <c r="H5" s="859" t="s">
        <v>194</v>
      </c>
      <c r="I5" s="860"/>
      <c r="J5" s="860"/>
      <c r="K5" s="861"/>
      <c r="L5" s="847" t="s">
        <v>67</v>
      </c>
      <c r="M5" s="848"/>
      <c r="N5" s="848"/>
      <c r="O5" s="848"/>
      <c r="P5" s="848"/>
      <c r="Q5" s="848"/>
      <c r="R5" s="848"/>
      <c r="S5" s="848"/>
      <c r="T5" s="848"/>
      <c r="U5" s="848"/>
      <c r="V5" s="848"/>
      <c r="W5" s="848"/>
      <c r="X5" s="849"/>
      <c r="Y5" s="152"/>
      <c r="Z5" s="850" t="s">
        <v>79</v>
      </c>
      <c r="AA5" s="851"/>
      <c r="AB5" s="851"/>
      <c r="AC5" s="851"/>
      <c r="AD5" s="851"/>
      <c r="AE5" s="851"/>
      <c r="AF5" s="851"/>
      <c r="AG5" s="851"/>
      <c r="AH5" s="851"/>
      <c r="AI5" s="851"/>
      <c r="AJ5" s="851"/>
      <c r="AK5" s="851"/>
      <c r="AL5" s="851"/>
      <c r="AM5" s="851"/>
      <c r="AN5" s="851"/>
      <c r="AO5" s="851"/>
      <c r="AP5" s="852"/>
      <c r="AQ5" s="280"/>
      <c r="AR5" s="280"/>
      <c r="AS5" s="280"/>
      <c r="AT5" s="280"/>
      <c r="AU5" s="280"/>
      <c r="AV5" s="280"/>
      <c r="AW5" s="280"/>
      <c r="AX5" s="280"/>
      <c r="AY5" s="280"/>
      <c r="AZ5" s="280"/>
      <c r="BA5" s="280"/>
      <c r="BB5" s="280"/>
      <c r="BC5" s="280"/>
      <c r="BD5" s="280"/>
      <c r="BE5" s="280"/>
      <c r="BF5" s="280"/>
      <c r="BG5" s="280"/>
      <c r="BH5" s="280"/>
      <c r="BI5" s="280"/>
      <c r="BJ5" s="280"/>
      <c r="BK5" s="280"/>
      <c r="BL5" s="280"/>
      <c r="BM5" s="280"/>
      <c r="BN5" s="280"/>
      <c r="BO5" s="280"/>
      <c r="BP5" s="280"/>
      <c r="BQ5" s="280"/>
      <c r="BR5" s="280"/>
      <c r="BS5" s="280"/>
      <c r="BT5" s="280"/>
      <c r="BU5" s="280"/>
      <c r="BV5" s="280"/>
      <c r="BW5" s="280"/>
      <c r="BX5" s="280"/>
      <c r="BY5" s="280"/>
      <c r="BZ5" s="280"/>
      <c r="CA5" s="280"/>
      <c r="CB5" s="280"/>
      <c r="CC5" s="280"/>
      <c r="CD5" s="280"/>
      <c r="CE5" s="280"/>
      <c r="CF5" s="280"/>
      <c r="CG5" s="280"/>
      <c r="CH5" s="280"/>
      <c r="CI5" s="280"/>
      <c r="CJ5" s="280"/>
      <c r="CK5" s="280"/>
      <c r="CL5" s="280"/>
      <c r="CM5" s="280"/>
      <c r="CN5" s="280"/>
      <c r="CO5" s="280"/>
      <c r="CP5" s="280"/>
      <c r="CQ5" s="280"/>
      <c r="CR5" s="280"/>
      <c r="CS5" s="280"/>
      <c r="CT5" s="280"/>
      <c r="CU5" s="280"/>
      <c r="CV5" s="280"/>
      <c r="CW5" s="280"/>
      <c r="CX5" s="280"/>
      <c r="CY5" s="280"/>
      <c r="CZ5" s="280"/>
      <c r="DA5" s="280"/>
      <c r="DB5" s="280"/>
      <c r="DC5" s="280"/>
      <c r="DD5" s="280"/>
      <c r="DE5" s="280"/>
      <c r="DF5" s="280"/>
      <c r="DG5" s="280"/>
      <c r="DH5" s="280"/>
      <c r="DI5" s="280"/>
      <c r="DJ5" s="280"/>
      <c r="DK5" s="280"/>
      <c r="DL5" s="280"/>
      <c r="DM5" s="280"/>
      <c r="DN5" s="280"/>
      <c r="DO5" s="280"/>
      <c r="DP5" s="280"/>
      <c r="DQ5" s="280"/>
      <c r="DR5" s="280"/>
      <c r="DS5" s="280"/>
      <c r="DT5" s="280"/>
      <c r="DU5" s="280"/>
      <c r="DV5" s="280"/>
      <c r="DW5" s="280"/>
      <c r="DX5" s="280"/>
      <c r="DY5" s="280"/>
      <c r="DZ5" s="280"/>
      <c r="EA5" s="280"/>
      <c r="EB5" s="280"/>
      <c r="EC5" s="280"/>
      <c r="ED5" s="280"/>
      <c r="EE5" s="280"/>
      <c r="EF5" s="280"/>
      <c r="EG5" s="280"/>
      <c r="EH5" s="280"/>
      <c r="EI5" s="280"/>
      <c r="EJ5" s="280"/>
      <c r="EK5" s="280"/>
      <c r="EL5" s="280"/>
      <c r="EM5" s="280"/>
      <c r="EN5" s="280"/>
      <c r="EO5" s="280"/>
      <c r="EP5" s="280"/>
      <c r="EQ5" s="280"/>
      <c r="ER5" s="280"/>
      <c r="ES5" s="280"/>
      <c r="ET5" s="280"/>
      <c r="EU5" s="280"/>
      <c r="EV5" s="280"/>
    </row>
    <row r="6" spans="1:152" s="111" customFormat="1" ht="110.5" customHeight="1" x14ac:dyDescent="0.35">
      <c r="A6" s="872"/>
      <c r="B6" s="875"/>
      <c r="C6" s="878"/>
      <c r="D6" s="853" t="s">
        <v>68</v>
      </c>
      <c r="E6" s="856" t="s">
        <v>69</v>
      </c>
      <c r="F6" s="856" t="s">
        <v>36</v>
      </c>
      <c r="G6" s="856" t="s">
        <v>37</v>
      </c>
      <c r="H6" s="853" t="s">
        <v>68</v>
      </c>
      <c r="I6" s="856" t="s">
        <v>69</v>
      </c>
      <c r="J6" s="856" t="s">
        <v>36</v>
      </c>
      <c r="K6" s="856" t="s">
        <v>37</v>
      </c>
      <c r="L6" s="865" t="s">
        <v>196</v>
      </c>
      <c r="M6" s="866"/>
      <c r="N6" s="867" t="s">
        <v>70</v>
      </c>
      <c r="O6" s="868"/>
      <c r="P6" s="865" t="s">
        <v>71</v>
      </c>
      <c r="Q6" s="869"/>
      <c r="R6" s="866"/>
      <c r="S6" s="838" t="s">
        <v>80</v>
      </c>
      <c r="T6" s="838"/>
      <c r="U6" s="838"/>
      <c r="V6" s="838"/>
      <c r="W6" s="838"/>
      <c r="X6" s="832"/>
      <c r="Y6" s="153"/>
      <c r="Z6" s="839" t="s">
        <v>81</v>
      </c>
      <c r="AA6" s="838"/>
      <c r="AB6" s="838"/>
      <c r="AC6" s="840" t="s">
        <v>195</v>
      </c>
      <c r="AD6" s="841"/>
      <c r="AE6" s="862" t="s">
        <v>82</v>
      </c>
      <c r="AF6" s="863"/>
      <c r="AG6" s="862" t="s">
        <v>83</v>
      </c>
      <c r="AH6" s="864"/>
      <c r="AI6" s="864"/>
      <c r="AJ6" s="864"/>
      <c r="AK6" s="864"/>
      <c r="AL6" s="863"/>
      <c r="AM6" s="831" t="s">
        <v>84</v>
      </c>
      <c r="AN6" s="838"/>
      <c r="AO6" s="838"/>
      <c r="AP6" s="832"/>
      <c r="AQ6" s="280"/>
      <c r="AR6" s="280"/>
      <c r="AS6" s="280"/>
      <c r="AT6" s="280"/>
      <c r="AU6" s="280"/>
      <c r="AV6" s="280"/>
      <c r="AW6" s="280"/>
      <c r="AX6" s="280"/>
      <c r="AY6" s="280"/>
      <c r="AZ6" s="280"/>
      <c r="BA6" s="280"/>
      <c r="BB6" s="280"/>
      <c r="BC6" s="280"/>
      <c r="BD6" s="280"/>
      <c r="BE6" s="280"/>
      <c r="BF6" s="280"/>
      <c r="BG6" s="280"/>
      <c r="BH6" s="280"/>
      <c r="BI6" s="280"/>
      <c r="BJ6" s="280"/>
      <c r="BK6" s="280"/>
      <c r="BL6" s="280"/>
      <c r="BM6" s="280"/>
      <c r="BN6" s="280"/>
      <c r="BO6" s="280"/>
      <c r="BP6" s="280"/>
      <c r="BQ6" s="280"/>
      <c r="BR6" s="280"/>
      <c r="BS6" s="280"/>
      <c r="BT6" s="280"/>
      <c r="BU6" s="280"/>
      <c r="BV6" s="280"/>
      <c r="BW6" s="280"/>
      <c r="BX6" s="280"/>
      <c r="BY6" s="280"/>
      <c r="BZ6" s="280"/>
      <c r="CA6" s="280"/>
      <c r="CB6" s="280"/>
      <c r="CC6" s="280"/>
      <c r="CD6" s="280"/>
      <c r="CE6" s="280"/>
      <c r="CF6" s="280"/>
      <c r="CG6" s="280"/>
      <c r="CH6" s="280"/>
      <c r="CI6" s="280"/>
      <c r="CJ6" s="280"/>
      <c r="CK6" s="280"/>
      <c r="CL6" s="280"/>
      <c r="CM6" s="280"/>
      <c r="CN6" s="280"/>
      <c r="CO6" s="280"/>
      <c r="CP6" s="280"/>
      <c r="CQ6" s="280"/>
      <c r="CR6" s="280"/>
      <c r="CS6" s="280"/>
      <c r="CT6" s="280"/>
      <c r="CU6" s="280"/>
      <c r="CV6" s="280"/>
      <c r="CW6" s="280"/>
      <c r="CX6" s="280"/>
      <c r="CY6" s="280"/>
      <c r="CZ6" s="280"/>
      <c r="DA6" s="280"/>
      <c r="DB6" s="280"/>
      <c r="DC6" s="280"/>
      <c r="DD6" s="280"/>
      <c r="DE6" s="280"/>
      <c r="DF6" s="280"/>
      <c r="DG6" s="280"/>
      <c r="DH6" s="280"/>
      <c r="DI6" s="280"/>
      <c r="DJ6" s="280"/>
      <c r="DK6" s="280"/>
      <c r="DL6" s="280"/>
      <c r="DM6" s="280"/>
      <c r="DN6" s="280"/>
      <c r="DO6" s="280"/>
      <c r="DP6" s="280"/>
      <c r="DQ6" s="280"/>
      <c r="DR6" s="280"/>
      <c r="DS6" s="280"/>
      <c r="DT6" s="280"/>
      <c r="DU6" s="280"/>
      <c r="DV6" s="280"/>
      <c r="DW6" s="280"/>
      <c r="DX6" s="280"/>
      <c r="DY6" s="280"/>
      <c r="DZ6" s="280"/>
      <c r="EA6" s="280"/>
      <c r="EB6" s="280"/>
      <c r="EC6" s="280"/>
      <c r="ED6" s="280"/>
      <c r="EE6" s="280"/>
      <c r="EF6" s="280"/>
      <c r="EG6" s="280"/>
      <c r="EH6" s="280"/>
      <c r="EI6" s="280"/>
      <c r="EJ6" s="280"/>
      <c r="EK6" s="280"/>
      <c r="EL6" s="280"/>
      <c r="EM6" s="280"/>
      <c r="EN6" s="280"/>
      <c r="EO6" s="280"/>
      <c r="EP6" s="280"/>
      <c r="EQ6" s="280"/>
      <c r="ER6" s="280"/>
      <c r="ES6" s="280"/>
      <c r="ET6" s="280"/>
      <c r="EU6" s="280"/>
      <c r="EV6" s="280"/>
    </row>
    <row r="7" spans="1:152" s="111" customFormat="1" ht="18" customHeight="1" x14ac:dyDescent="0.35">
      <c r="A7" s="872"/>
      <c r="B7" s="875"/>
      <c r="C7" s="878"/>
      <c r="D7" s="854"/>
      <c r="E7" s="857"/>
      <c r="F7" s="857"/>
      <c r="G7" s="857"/>
      <c r="H7" s="854"/>
      <c r="I7" s="857"/>
      <c r="J7" s="857"/>
      <c r="K7" s="857"/>
      <c r="L7" s="856" t="s">
        <v>72</v>
      </c>
      <c r="M7" s="856" t="s">
        <v>73</v>
      </c>
      <c r="N7" s="856" t="s">
        <v>74</v>
      </c>
      <c r="O7" s="856" t="s">
        <v>75</v>
      </c>
      <c r="P7" s="856" t="s">
        <v>76</v>
      </c>
      <c r="Q7" s="856" t="s">
        <v>77</v>
      </c>
      <c r="R7" s="856" t="s">
        <v>78</v>
      </c>
      <c r="S7" s="836" t="s">
        <v>85</v>
      </c>
      <c r="T7" s="842" t="s">
        <v>86</v>
      </c>
      <c r="U7" s="842" t="s">
        <v>87</v>
      </c>
      <c r="V7" s="842" t="s">
        <v>88</v>
      </c>
      <c r="W7" s="831" t="s">
        <v>89</v>
      </c>
      <c r="X7" s="832"/>
      <c r="Y7" s="153"/>
      <c r="Z7" s="844" t="s">
        <v>90</v>
      </c>
      <c r="AA7" s="834" t="s">
        <v>77</v>
      </c>
      <c r="AB7" s="834" t="s">
        <v>76</v>
      </c>
      <c r="AC7" s="834" t="s">
        <v>93</v>
      </c>
      <c r="AD7" s="834" t="s">
        <v>2</v>
      </c>
      <c r="AE7" s="834" t="s">
        <v>93</v>
      </c>
      <c r="AF7" s="834" t="s">
        <v>2</v>
      </c>
      <c r="AG7" s="834" t="s">
        <v>94</v>
      </c>
      <c r="AH7" s="834" t="s">
        <v>95</v>
      </c>
      <c r="AI7" s="834" t="s">
        <v>96</v>
      </c>
      <c r="AJ7" s="834" t="s">
        <v>97</v>
      </c>
      <c r="AK7" s="834" t="s">
        <v>98</v>
      </c>
      <c r="AL7" s="834" t="s">
        <v>99</v>
      </c>
      <c r="AM7" s="831" t="s">
        <v>91</v>
      </c>
      <c r="AN7" s="846"/>
      <c r="AO7" s="831" t="s">
        <v>7</v>
      </c>
      <c r="AP7" s="832"/>
      <c r="AQ7" s="280"/>
      <c r="AR7" s="280"/>
      <c r="AS7" s="280"/>
      <c r="AT7" s="280"/>
      <c r="AU7" s="280"/>
      <c r="AV7" s="280"/>
      <c r="AW7" s="280"/>
      <c r="AX7" s="280"/>
      <c r="AY7" s="280"/>
      <c r="AZ7" s="280"/>
      <c r="BA7" s="280"/>
      <c r="BB7" s="280"/>
      <c r="BC7" s="280"/>
      <c r="BD7" s="280"/>
      <c r="BE7" s="280"/>
      <c r="BF7" s="280"/>
      <c r="BG7" s="280"/>
      <c r="BH7" s="280"/>
      <c r="BI7" s="280"/>
      <c r="BJ7" s="280"/>
      <c r="BK7" s="280"/>
      <c r="BL7" s="280"/>
      <c r="BM7" s="280"/>
      <c r="BN7" s="280"/>
      <c r="BO7" s="280"/>
      <c r="BP7" s="280"/>
      <c r="BQ7" s="280"/>
      <c r="BR7" s="280"/>
      <c r="BS7" s="280"/>
      <c r="BT7" s="280"/>
      <c r="BU7" s="280"/>
      <c r="BV7" s="280"/>
      <c r="BW7" s="280"/>
      <c r="BX7" s="280"/>
      <c r="BY7" s="280"/>
      <c r="BZ7" s="280"/>
      <c r="CA7" s="280"/>
      <c r="CB7" s="280"/>
      <c r="CC7" s="280"/>
      <c r="CD7" s="280"/>
      <c r="CE7" s="280"/>
      <c r="CF7" s="280"/>
      <c r="CG7" s="280"/>
      <c r="CH7" s="280"/>
      <c r="CI7" s="280"/>
      <c r="CJ7" s="280"/>
      <c r="CK7" s="280"/>
      <c r="CL7" s="280"/>
      <c r="CM7" s="280"/>
      <c r="CN7" s="280"/>
      <c r="CO7" s="280"/>
      <c r="CP7" s="280"/>
      <c r="CQ7" s="280"/>
      <c r="CR7" s="280"/>
      <c r="CS7" s="280"/>
      <c r="CT7" s="280"/>
      <c r="CU7" s="280"/>
      <c r="CV7" s="280"/>
      <c r="CW7" s="280"/>
      <c r="CX7" s="280"/>
      <c r="CY7" s="280"/>
      <c r="CZ7" s="280"/>
      <c r="DA7" s="280"/>
      <c r="DB7" s="280"/>
      <c r="DC7" s="280"/>
      <c r="DD7" s="280"/>
      <c r="DE7" s="280"/>
      <c r="DF7" s="280"/>
      <c r="DG7" s="280"/>
      <c r="DH7" s="280"/>
      <c r="DI7" s="280"/>
      <c r="DJ7" s="280"/>
      <c r="DK7" s="280"/>
      <c r="DL7" s="280"/>
      <c r="DM7" s="280"/>
      <c r="DN7" s="280"/>
      <c r="DO7" s="280"/>
      <c r="DP7" s="280"/>
      <c r="DQ7" s="280"/>
      <c r="DR7" s="280"/>
      <c r="DS7" s="280"/>
      <c r="DT7" s="280"/>
      <c r="DU7" s="280"/>
      <c r="DV7" s="280"/>
      <c r="DW7" s="280"/>
      <c r="DX7" s="280"/>
      <c r="DY7" s="280"/>
      <c r="DZ7" s="280"/>
      <c r="EA7" s="280"/>
      <c r="EB7" s="280"/>
      <c r="EC7" s="280"/>
      <c r="ED7" s="280"/>
      <c r="EE7" s="280"/>
      <c r="EF7" s="280"/>
      <c r="EG7" s="280"/>
      <c r="EH7" s="280"/>
      <c r="EI7" s="280"/>
      <c r="EJ7" s="280"/>
      <c r="EK7" s="280"/>
      <c r="EL7" s="280"/>
      <c r="EM7" s="280"/>
      <c r="EN7" s="280"/>
      <c r="EO7" s="280"/>
      <c r="EP7" s="280"/>
      <c r="EQ7" s="280"/>
      <c r="ER7" s="280"/>
      <c r="ES7" s="280"/>
      <c r="ET7" s="280"/>
      <c r="EU7" s="280"/>
      <c r="EV7" s="280"/>
    </row>
    <row r="8" spans="1:152" s="111" customFormat="1" ht="47.15" customHeight="1" x14ac:dyDescent="0.35">
      <c r="A8" s="873"/>
      <c r="B8" s="876"/>
      <c r="C8" s="879"/>
      <c r="D8" s="855"/>
      <c r="E8" s="858"/>
      <c r="F8" s="858"/>
      <c r="G8" s="858"/>
      <c r="H8" s="855"/>
      <c r="I8" s="858"/>
      <c r="J8" s="858"/>
      <c r="K8" s="858"/>
      <c r="L8" s="858"/>
      <c r="M8" s="858"/>
      <c r="N8" s="858"/>
      <c r="O8" s="858"/>
      <c r="P8" s="858"/>
      <c r="Q8" s="858"/>
      <c r="R8" s="858"/>
      <c r="S8" s="837"/>
      <c r="T8" s="843"/>
      <c r="U8" s="843"/>
      <c r="V8" s="843"/>
      <c r="W8" s="162" t="s">
        <v>76</v>
      </c>
      <c r="X8" s="163" t="s">
        <v>92</v>
      </c>
      <c r="Y8" s="153"/>
      <c r="Z8" s="845"/>
      <c r="AA8" s="835"/>
      <c r="AB8" s="835"/>
      <c r="AC8" s="835"/>
      <c r="AD8" s="835"/>
      <c r="AE8" s="835"/>
      <c r="AF8" s="835"/>
      <c r="AG8" s="835"/>
      <c r="AH8" s="835"/>
      <c r="AI8" s="835"/>
      <c r="AJ8" s="835"/>
      <c r="AK8" s="835"/>
      <c r="AL8" s="835"/>
      <c r="AM8" s="162" t="s">
        <v>100</v>
      </c>
      <c r="AN8" s="162" t="s">
        <v>101</v>
      </c>
      <c r="AO8" s="162" t="s">
        <v>100</v>
      </c>
      <c r="AP8" s="163" t="s">
        <v>101</v>
      </c>
      <c r="AQ8" s="280"/>
      <c r="AR8" s="280"/>
      <c r="AS8" s="280"/>
      <c r="AT8" s="280"/>
      <c r="AU8" s="280"/>
      <c r="AV8" s="280"/>
      <c r="AW8" s="280"/>
      <c r="AX8" s="280"/>
      <c r="AY8" s="280"/>
      <c r="AZ8" s="280"/>
      <c r="BA8" s="280"/>
      <c r="BB8" s="280"/>
      <c r="BC8" s="280"/>
      <c r="BD8" s="280"/>
      <c r="BE8" s="280"/>
      <c r="BF8" s="280"/>
      <c r="BG8" s="280"/>
      <c r="BH8" s="280"/>
      <c r="BI8" s="280"/>
      <c r="BJ8" s="280"/>
      <c r="BK8" s="280"/>
      <c r="BL8" s="280"/>
      <c r="BM8" s="280"/>
      <c r="BN8" s="280"/>
      <c r="BO8" s="280"/>
      <c r="BP8" s="280"/>
      <c r="BQ8" s="280"/>
      <c r="BR8" s="280"/>
      <c r="BS8" s="280"/>
      <c r="BT8" s="280"/>
      <c r="BU8" s="280"/>
      <c r="BV8" s="280"/>
      <c r="BW8" s="280"/>
      <c r="BX8" s="280"/>
      <c r="BY8" s="280"/>
      <c r="BZ8" s="280"/>
      <c r="CA8" s="280"/>
      <c r="CB8" s="280"/>
      <c r="CC8" s="280"/>
      <c r="CD8" s="280"/>
      <c r="CE8" s="280"/>
      <c r="CF8" s="280"/>
      <c r="CG8" s="280"/>
      <c r="CH8" s="280"/>
      <c r="CI8" s="280"/>
      <c r="CJ8" s="280"/>
      <c r="CK8" s="280"/>
      <c r="CL8" s="280"/>
      <c r="CM8" s="280"/>
      <c r="CN8" s="280"/>
      <c r="CO8" s="280"/>
      <c r="CP8" s="280"/>
      <c r="CQ8" s="280"/>
      <c r="CR8" s="280"/>
      <c r="CS8" s="280"/>
      <c r="CT8" s="280"/>
      <c r="CU8" s="280"/>
      <c r="CV8" s="280"/>
      <c r="CW8" s="280"/>
      <c r="CX8" s="280"/>
      <c r="CY8" s="280"/>
      <c r="CZ8" s="280"/>
      <c r="DA8" s="280"/>
      <c r="DB8" s="280"/>
      <c r="DC8" s="280"/>
      <c r="DD8" s="280"/>
      <c r="DE8" s="280"/>
      <c r="DF8" s="280"/>
      <c r="DG8" s="280"/>
      <c r="DH8" s="280"/>
      <c r="DI8" s="280"/>
      <c r="DJ8" s="280"/>
      <c r="DK8" s="280"/>
      <c r="DL8" s="280"/>
      <c r="DM8" s="280"/>
      <c r="DN8" s="280"/>
      <c r="DO8" s="280"/>
      <c r="DP8" s="280"/>
      <c r="DQ8" s="280"/>
      <c r="DR8" s="280"/>
      <c r="DS8" s="280"/>
      <c r="DT8" s="280"/>
      <c r="DU8" s="280"/>
      <c r="DV8" s="280"/>
      <c r="DW8" s="280"/>
      <c r="DX8" s="280"/>
      <c r="DY8" s="280"/>
      <c r="DZ8" s="280"/>
      <c r="EA8" s="280"/>
      <c r="EB8" s="280"/>
      <c r="EC8" s="280"/>
      <c r="ED8" s="280"/>
      <c r="EE8" s="280"/>
      <c r="EF8" s="280"/>
      <c r="EG8" s="280"/>
      <c r="EH8" s="280"/>
      <c r="EI8" s="280"/>
      <c r="EJ8" s="280"/>
      <c r="EK8" s="280"/>
      <c r="EL8" s="280"/>
      <c r="EM8" s="280"/>
      <c r="EN8" s="280"/>
      <c r="EO8" s="280"/>
      <c r="EP8" s="280"/>
      <c r="EQ8" s="280"/>
      <c r="ER8" s="280"/>
      <c r="ES8" s="280"/>
      <c r="ET8" s="280"/>
      <c r="EU8" s="280"/>
      <c r="EV8" s="280"/>
    </row>
    <row r="9" spans="1:152" ht="20.149999999999999" customHeight="1" x14ac:dyDescent="0.35">
      <c r="A9" s="450">
        <v>1</v>
      </c>
      <c r="B9" s="715" t="str">
        <f>PETUNJUK!B9</f>
        <v>Pecangaan Kulon</v>
      </c>
      <c r="C9" s="456">
        <f>'1.DATA KIA'!C9</f>
        <v>101.2</v>
      </c>
      <c r="D9" s="454">
        <v>0</v>
      </c>
      <c r="E9" s="449">
        <f>'1.DATA KIA'!F9</f>
        <v>7</v>
      </c>
      <c r="F9" s="454">
        <f>D9+E9</f>
        <v>7</v>
      </c>
      <c r="G9" s="453">
        <f>F9/C9*100</f>
        <v>6.9169960474308301</v>
      </c>
      <c r="H9" s="454">
        <v>0</v>
      </c>
      <c r="I9" s="449">
        <f>'1.DATA KIA'!AB9+'1.DATA KIA'!AE9</f>
        <v>10</v>
      </c>
      <c r="J9" s="454">
        <f>H9+I9</f>
        <v>10</v>
      </c>
      <c r="K9" s="453">
        <f>J9/C9*100</f>
        <v>9.8814229249011856</v>
      </c>
      <c r="L9" s="711">
        <f>I9</f>
        <v>10</v>
      </c>
      <c r="M9" s="113"/>
      <c r="N9" s="711">
        <f>I9</f>
        <v>10</v>
      </c>
      <c r="O9" s="113"/>
      <c r="P9" s="113">
        <v>7</v>
      </c>
      <c r="Q9" s="113"/>
      <c r="R9" s="711">
        <f>I9-P9</f>
        <v>3</v>
      </c>
      <c r="S9" s="113">
        <v>1</v>
      </c>
      <c r="T9" s="113"/>
      <c r="U9" s="113">
        <v>3</v>
      </c>
      <c r="V9" s="113"/>
      <c r="W9" s="711">
        <f>I9-(S9+T9+U9+V9)</f>
        <v>6</v>
      </c>
      <c r="X9" s="113"/>
      <c r="Y9" s="154"/>
      <c r="Z9" s="712">
        <f>S9+T9+W9+X9</f>
        <v>7</v>
      </c>
      <c r="AA9" s="134"/>
      <c r="AB9" s="713">
        <f>I9-Z9</f>
        <v>3</v>
      </c>
      <c r="AC9" s="713">
        <f>I9</f>
        <v>10</v>
      </c>
      <c r="AD9" s="134"/>
      <c r="AE9" s="713">
        <f>I9</f>
        <v>10</v>
      </c>
      <c r="AF9" s="134"/>
      <c r="AG9" s="713">
        <f>I9-(AH9+AI9+AJ9+AK9+AL9)</f>
        <v>3</v>
      </c>
      <c r="AH9" s="134"/>
      <c r="AI9" s="134">
        <v>4</v>
      </c>
      <c r="AJ9" s="134">
        <v>1</v>
      </c>
      <c r="AK9" s="134">
        <v>1</v>
      </c>
      <c r="AL9" s="134">
        <v>1</v>
      </c>
      <c r="AM9" s="713">
        <f>I9</f>
        <v>10</v>
      </c>
      <c r="AN9" s="134"/>
      <c r="AO9" s="713">
        <f>I9</f>
        <v>10</v>
      </c>
      <c r="AP9" s="165"/>
    </row>
    <row r="10" spans="1:152" ht="20.149999999999999" customHeight="1" x14ac:dyDescent="0.35">
      <c r="A10" s="450">
        <v>2</v>
      </c>
      <c r="B10" s="715" t="str">
        <f>PETUNJUK!B10</f>
        <v>Rengging</v>
      </c>
      <c r="C10" s="456">
        <f>'1.DATA KIA'!C10</f>
        <v>111.10000000000001</v>
      </c>
      <c r="D10" s="454">
        <v>0</v>
      </c>
      <c r="E10" s="449">
        <f>'1.DATA KIA'!F10</f>
        <v>23</v>
      </c>
      <c r="F10" s="454">
        <f t="shared" ref="F10:F29" si="0">D10+E10</f>
        <v>23</v>
      </c>
      <c r="G10" s="453">
        <f t="shared" ref="G10:G26" si="1">F10/C10*100</f>
        <v>20.7020702070207</v>
      </c>
      <c r="H10" s="454">
        <v>0</v>
      </c>
      <c r="I10" s="449">
        <f>'1.DATA KIA'!AB10+'1.DATA KIA'!AE10</f>
        <v>14</v>
      </c>
      <c r="J10" s="454">
        <f t="shared" ref="J10:J30" si="2">H10+I10</f>
        <v>14</v>
      </c>
      <c r="K10" s="453">
        <f t="shared" ref="K10:K26" si="3">J10/C10*100</f>
        <v>12.601260126012601</v>
      </c>
      <c r="L10" s="711">
        <f t="shared" ref="L10:L20" si="4">I10</f>
        <v>14</v>
      </c>
      <c r="M10" s="113"/>
      <c r="N10" s="711">
        <f t="shared" ref="N10:N20" si="5">I10</f>
        <v>14</v>
      </c>
      <c r="O10" s="113"/>
      <c r="P10" s="113">
        <v>7</v>
      </c>
      <c r="Q10" s="113"/>
      <c r="R10" s="711">
        <f t="shared" ref="R10:R20" si="6">I10-P10</f>
        <v>7</v>
      </c>
      <c r="S10" s="113">
        <v>1</v>
      </c>
      <c r="T10" s="113"/>
      <c r="U10" s="113">
        <v>9</v>
      </c>
      <c r="V10" s="113"/>
      <c r="W10" s="711">
        <f t="shared" ref="W10:W20" si="7">I10-(S10+T10+U10+V10)</f>
        <v>4</v>
      </c>
      <c r="X10" s="113"/>
      <c r="Y10" s="154"/>
      <c r="Z10" s="712">
        <f t="shared" ref="Z10:Z20" si="8">S10+T10+W10+X10</f>
        <v>5</v>
      </c>
      <c r="AA10" s="134"/>
      <c r="AB10" s="713">
        <f t="shared" ref="AB10:AB20" si="9">I10-Z10</f>
        <v>9</v>
      </c>
      <c r="AC10" s="713">
        <f t="shared" ref="AC10:AC20" si="10">I10</f>
        <v>14</v>
      </c>
      <c r="AD10" s="134"/>
      <c r="AE10" s="713">
        <f t="shared" ref="AE10:AE20" si="11">I10</f>
        <v>14</v>
      </c>
      <c r="AF10" s="134"/>
      <c r="AG10" s="713">
        <f t="shared" ref="AG10:AG20" si="12">I10-(AH10+AI10+AJ10+AK10+AL10)</f>
        <v>0</v>
      </c>
      <c r="AH10" s="134"/>
      <c r="AI10" s="134">
        <v>13</v>
      </c>
      <c r="AJ10" s="134"/>
      <c r="AK10" s="134"/>
      <c r="AL10" s="134">
        <v>1</v>
      </c>
      <c r="AM10" s="713">
        <f t="shared" ref="AM10:AM20" si="13">I10</f>
        <v>14</v>
      </c>
      <c r="AN10" s="134"/>
      <c r="AO10" s="713">
        <f t="shared" ref="AO10:AO20" si="14">I10</f>
        <v>14</v>
      </c>
      <c r="AP10" s="165"/>
    </row>
    <row r="11" spans="1:152" ht="20.149999999999999" customHeight="1" x14ac:dyDescent="0.35">
      <c r="A11" s="450">
        <v>3</v>
      </c>
      <c r="B11" s="715" t="str">
        <f>PETUNJUK!B11</f>
        <v>Troso</v>
      </c>
      <c r="C11" s="456">
        <f>'1.DATA KIA'!C11</f>
        <v>205.70000000000002</v>
      </c>
      <c r="D11" s="454">
        <v>0</v>
      </c>
      <c r="E11" s="449">
        <f>'1.DATA KIA'!F11</f>
        <v>18</v>
      </c>
      <c r="F11" s="454">
        <f t="shared" si="0"/>
        <v>18</v>
      </c>
      <c r="G11" s="453">
        <f t="shared" si="1"/>
        <v>8.7506076810889635</v>
      </c>
      <c r="H11" s="454">
        <v>0</v>
      </c>
      <c r="I11" s="449">
        <f>'1.DATA KIA'!AB11+'1.DATA KIA'!AE11</f>
        <v>17</v>
      </c>
      <c r="J11" s="454">
        <f t="shared" si="2"/>
        <v>17</v>
      </c>
      <c r="K11" s="453">
        <f t="shared" si="3"/>
        <v>8.2644628099173545</v>
      </c>
      <c r="L11" s="711">
        <f t="shared" si="4"/>
        <v>17</v>
      </c>
      <c r="M11" s="113"/>
      <c r="N11" s="711">
        <f t="shared" si="5"/>
        <v>17</v>
      </c>
      <c r="O11" s="113"/>
      <c r="P11" s="113">
        <v>10</v>
      </c>
      <c r="Q11" s="113"/>
      <c r="R11" s="711">
        <f t="shared" si="6"/>
        <v>7</v>
      </c>
      <c r="S11" s="113">
        <v>3</v>
      </c>
      <c r="T11" s="113"/>
      <c r="U11" s="113">
        <v>6</v>
      </c>
      <c r="V11" s="113"/>
      <c r="W11" s="711">
        <f t="shared" si="7"/>
        <v>8</v>
      </c>
      <c r="X11" s="113"/>
      <c r="Y11" s="154"/>
      <c r="Z11" s="712">
        <f t="shared" si="8"/>
        <v>11</v>
      </c>
      <c r="AA11" s="134"/>
      <c r="AB11" s="713">
        <f t="shared" si="9"/>
        <v>6</v>
      </c>
      <c r="AC11" s="713">
        <f t="shared" si="10"/>
        <v>17</v>
      </c>
      <c r="AD11" s="134"/>
      <c r="AE11" s="713">
        <f t="shared" si="11"/>
        <v>17</v>
      </c>
      <c r="AF11" s="134"/>
      <c r="AG11" s="713">
        <f t="shared" si="12"/>
        <v>0</v>
      </c>
      <c r="AH11" s="134"/>
      <c r="AI11" s="134">
        <v>17</v>
      </c>
      <c r="AJ11" s="134"/>
      <c r="AK11" s="134"/>
      <c r="AL11" s="134"/>
      <c r="AM11" s="713">
        <f t="shared" si="13"/>
        <v>17</v>
      </c>
      <c r="AN11" s="134"/>
      <c r="AO11" s="713">
        <f t="shared" si="14"/>
        <v>17</v>
      </c>
      <c r="AP11" s="165"/>
    </row>
    <row r="12" spans="1:152" ht="20.149999999999999" customHeight="1" x14ac:dyDescent="0.35">
      <c r="A12" s="450">
        <v>4</v>
      </c>
      <c r="B12" s="715" t="str">
        <f>PETUNJUK!B12</f>
        <v>Ngeling</v>
      </c>
      <c r="C12" s="456">
        <f>'1.DATA KIA'!C12</f>
        <v>95.7</v>
      </c>
      <c r="D12" s="454">
        <v>0</v>
      </c>
      <c r="E12" s="449">
        <f>'1.DATA KIA'!F12</f>
        <v>7</v>
      </c>
      <c r="F12" s="454">
        <f t="shared" si="0"/>
        <v>7</v>
      </c>
      <c r="G12" s="453">
        <f t="shared" si="1"/>
        <v>7.3145245559038656</v>
      </c>
      <c r="H12" s="454">
        <v>0</v>
      </c>
      <c r="I12" s="449">
        <f>'1.DATA KIA'!AB12+'1.DATA KIA'!AE12</f>
        <v>9</v>
      </c>
      <c r="J12" s="454">
        <f t="shared" si="2"/>
        <v>9</v>
      </c>
      <c r="K12" s="453">
        <f t="shared" si="3"/>
        <v>9.4043887147335408</v>
      </c>
      <c r="L12" s="711">
        <f t="shared" si="4"/>
        <v>9</v>
      </c>
      <c r="M12" s="113"/>
      <c r="N12" s="711">
        <f t="shared" si="5"/>
        <v>9</v>
      </c>
      <c r="O12" s="113"/>
      <c r="P12" s="113">
        <v>6</v>
      </c>
      <c r="Q12" s="113"/>
      <c r="R12" s="711">
        <f t="shared" si="6"/>
        <v>3</v>
      </c>
      <c r="S12" s="113">
        <v>0</v>
      </c>
      <c r="T12" s="113"/>
      <c r="U12" s="113">
        <v>3</v>
      </c>
      <c r="V12" s="113"/>
      <c r="W12" s="711">
        <f t="shared" si="7"/>
        <v>6</v>
      </c>
      <c r="X12" s="113"/>
      <c r="Y12" s="154"/>
      <c r="Z12" s="712">
        <f t="shared" si="8"/>
        <v>6</v>
      </c>
      <c r="AA12" s="134"/>
      <c r="AB12" s="713">
        <f t="shared" si="9"/>
        <v>3</v>
      </c>
      <c r="AC12" s="713">
        <f t="shared" si="10"/>
        <v>9</v>
      </c>
      <c r="AD12" s="134"/>
      <c r="AE12" s="713">
        <f t="shared" si="11"/>
        <v>9</v>
      </c>
      <c r="AF12" s="134"/>
      <c r="AG12" s="713">
        <f t="shared" si="12"/>
        <v>0</v>
      </c>
      <c r="AH12" s="134"/>
      <c r="AI12" s="134">
        <v>9</v>
      </c>
      <c r="AJ12" s="134"/>
      <c r="AK12" s="134"/>
      <c r="AL12" s="134"/>
      <c r="AM12" s="713">
        <f t="shared" si="13"/>
        <v>9</v>
      </c>
      <c r="AN12" s="134"/>
      <c r="AO12" s="713">
        <f t="shared" si="14"/>
        <v>9</v>
      </c>
      <c r="AP12" s="165"/>
    </row>
    <row r="13" spans="1:152" ht="20.149999999999999" customHeight="1" x14ac:dyDescent="0.35">
      <c r="A13" s="450">
        <v>5</v>
      </c>
      <c r="B13" s="715" t="str">
        <f>PETUNJUK!B13</f>
        <v>Lebuawu</v>
      </c>
      <c r="C13" s="456">
        <f>'1.DATA KIA'!C13</f>
        <v>85.800000000000011</v>
      </c>
      <c r="D13" s="454">
        <v>0</v>
      </c>
      <c r="E13" s="449">
        <f>'1.DATA KIA'!F13</f>
        <v>9</v>
      </c>
      <c r="F13" s="454">
        <f t="shared" si="0"/>
        <v>9</v>
      </c>
      <c r="G13" s="453">
        <f t="shared" si="1"/>
        <v>10.489510489510488</v>
      </c>
      <c r="H13" s="454">
        <v>0</v>
      </c>
      <c r="I13" s="449">
        <f>'1.DATA KIA'!AB13+'1.DATA KIA'!AE13</f>
        <v>7</v>
      </c>
      <c r="J13" s="454">
        <f t="shared" si="2"/>
        <v>7</v>
      </c>
      <c r="K13" s="453">
        <f t="shared" si="3"/>
        <v>8.1585081585081571</v>
      </c>
      <c r="L13" s="711">
        <f t="shared" si="4"/>
        <v>7</v>
      </c>
      <c r="M13" s="113"/>
      <c r="N13" s="711">
        <f t="shared" si="5"/>
        <v>7</v>
      </c>
      <c r="O13" s="113"/>
      <c r="P13" s="113">
        <v>5</v>
      </c>
      <c r="Q13" s="113"/>
      <c r="R13" s="711">
        <f t="shared" si="6"/>
        <v>2</v>
      </c>
      <c r="S13" s="113">
        <v>3</v>
      </c>
      <c r="T13" s="113"/>
      <c r="U13" s="113">
        <v>2</v>
      </c>
      <c r="V13" s="113"/>
      <c r="W13" s="711">
        <f t="shared" si="7"/>
        <v>2</v>
      </c>
      <c r="X13" s="113"/>
      <c r="Y13" s="154"/>
      <c r="Z13" s="712">
        <f t="shared" si="8"/>
        <v>5</v>
      </c>
      <c r="AA13" s="134"/>
      <c r="AB13" s="713">
        <f t="shared" si="9"/>
        <v>2</v>
      </c>
      <c r="AC13" s="713">
        <f t="shared" si="10"/>
        <v>7</v>
      </c>
      <c r="AD13" s="134"/>
      <c r="AE13" s="713">
        <f t="shared" si="11"/>
        <v>7</v>
      </c>
      <c r="AF13" s="134"/>
      <c r="AG13" s="713">
        <f t="shared" si="12"/>
        <v>0</v>
      </c>
      <c r="AH13" s="134"/>
      <c r="AI13" s="134">
        <v>5</v>
      </c>
      <c r="AJ13" s="134"/>
      <c r="AK13" s="134"/>
      <c r="AL13" s="134">
        <v>2</v>
      </c>
      <c r="AM13" s="713">
        <f t="shared" si="13"/>
        <v>7</v>
      </c>
      <c r="AN13" s="134"/>
      <c r="AO13" s="713">
        <f t="shared" si="14"/>
        <v>7</v>
      </c>
      <c r="AP13" s="165"/>
    </row>
    <row r="14" spans="1:152" ht="20.149999999999999" customHeight="1" x14ac:dyDescent="0.35">
      <c r="A14" s="450">
        <v>6</v>
      </c>
      <c r="B14" s="715" t="str">
        <f>PETUNJUK!B14</f>
        <v>Pulodarat</v>
      </c>
      <c r="C14" s="456">
        <f>'1.DATA KIA'!C14</f>
        <v>82.5</v>
      </c>
      <c r="D14" s="454">
        <v>0</v>
      </c>
      <c r="E14" s="449">
        <f>'1.DATA KIA'!F14</f>
        <v>5</v>
      </c>
      <c r="F14" s="454">
        <f t="shared" si="0"/>
        <v>5</v>
      </c>
      <c r="G14" s="453">
        <f t="shared" si="1"/>
        <v>6.0606060606060606</v>
      </c>
      <c r="H14" s="454">
        <v>0</v>
      </c>
      <c r="I14" s="449">
        <f>'1.DATA KIA'!AB14+'1.DATA KIA'!AE14</f>
        <v>7</v>
      </c>
      <c r="J14" s="454">
        <f t="shared" si="2"/>
        <v>7</v>
      </c>
      <c r="K14" s="453">
        <f t="shared" si="3"/>
        <v>8.4848484848484862</v>
      </c>
      <c r="L14" s="711">
        <f t="shared" si="4"/>
        <v>7</v>
      </c>
      <c r="M14" s="113"/>
      <c r="N14" s="711">
        <f t="shared" si="5"/>
        <v>7</v>
      </c>
      <c r="O14" s="113"/>
      <c r="P14" s="113">
        <v>6</v>
      </c>
      <c r="Q14" s="113"/>
      <c r="R14" s="711">
        <f t="shared" si="6"/>
        <v>1</v>
      </c>
      <c r="S14" s="113">
        <v>0</v>
      </c>
      <c r="T14" s="113"/>
      <c r="U14" s="113">
        <v>1</v>
      </c>
      <c r="V14" s="113"/>
      <c r="W14" s="711">
        <f t="shared" si="7"/>
        <v>6</v>
      </c>
      <c r="X14" s="113"/>
      <c r="Y14" s="154"/>
      <c r="Z14" s="712">
        <f t="shared" si="8"/>
        <v>6</v>
      </c>
      <c r="AA14" s="134"/>
      <c r="AB14" s="713">
        <f t="shared" si="9"/>
        <v>1</v>
      </c>
      <c r="AC14" s="713">
        <f t="shared" si="10"/>
        <v>7</v>
      </c>
      <c r="AD14" s="134"/>
      <c r="AE14" s="713">
        <f t="shared" si="11"/>
        <v>7</v>
      </c>
      <c r="AF14" s="134"/>
      <c r="AG14" s="713">
        <f t="shared" si="12"/>
        <v>0</v>
      </c>
      <c r="AH14" s="134"/>
      <c r="AI14" s="134">
        <v>4</v>
      </c>
      <c r="AJ14" s="134"/>
      <c r="AK14" s="134">
        <v>3</v>
      </c>
      <c r="AL14" s="134"/>
      <c r="AM14" s="713">
        <f t="shared" si="13"/>
        <v>7</v>
      </c>
      <c r="AN14" s="134"/>
      <c r="AO14" s="713">
        <f t="shared" si="14"/>
        <v>7</v>
      </c>
      <c r="AP14" s="165"/>
    </row>
    <row r="15" spans="1:152" ht="20.149999999999999" customHeight="1" x14ac:dyDescent="0.35">
      <c r="A15" s="450">
        <v>7</v>
      </c>
      <c r="B15" s="715" t="str">
        <f>PETUNJUK!B15</f>
        <v>Karangrandu</v>
      </c>
      <c r="C15" s="456">
        <f>'1.DATA KIA'!C15</f>
        <v>93.500000000000014</v>
      </c>
      <c r="D15" s="454">
        <v>0</v>
      </c>
      <c r="E15" s="449">
        <f>'1.DATA KIA'!F15</f>
        <v>7</v>
      </c>
      <c r="F15" s="454">
        <f t="shared" si="0"/>
        <v>7</v>
      </c>
      <c r="G15" s="453">
        <f t="shared" si="1"/>
        <v>7.4866310160427805</v>
      </c>
      <c r="H15" s="454">
        <v>0</v>
      </c>
      <c r="I15" s="449">
        <f>'1.DATA KIA'!AB15+'1.DATA KIA'!AE15</f>
        <v>5</v>
      </c>
      <c r="J15" s="454">
        <f t="shared" si="2"/>
        <v>5</v>
      </c>
      <c r="K15" s="453">
        <f t="shared" si="3"/>
        <v>5.3475935828876997</v>
      </c>
      <c r="L15" s="711">
        <f t="shared" si="4"/>
        <v>5</v>
      </c>
      <c r="M15" s="113"/>
      <c r="N15" s="711">
        <f t="shared" si="5"/>
        <v>5</v>
      </c>
      <c r="O15" s="113"/>
      <c r="P15" s="113">
        <v>3</v>
      </c>
      <c r="Q15" s="113"/>
      <c r="R15" s="711">
        <f t="shared" si="6"/>
        <v>2</v>
      </c>
      <c r="S15" s="113">
        <v>1</v>
      </c>
      <c r="T15" s="113"/>
      <c r="U15" s="113">
        <v>2</v>
      </c>
      <c r="V15" s="113"/>
      <c r="W15" s="711">
        <f t="shared" si="7"/>
        <v>2</v>
      </c>
      <c r="X15" s="113"/>
      <c r="Y15" s="154"/>
      <c r="Z15" s="712">
        <f t="shared" si="8"/>
        <v>3</v>
      </c>
      <c r="AA15" s="134"/>
      <c r="AB15" s="713">
        <f t="shared" si="9"/>
        <v>2</v>
      </c>
      <c r="AC15" s="713">
        <f t="shared" si="10"/>
        <v>5</v>
      </c>
      <c r="AD15" s="134"/>
      <c r="AE15" s="713">
        <f t="shared" si="11"/>
        <v>5</v>
      </c>
      <c r="AF15" s="134"/>
      <c r="AG15" s="713">
        <f t="shared" si="12"/>
        <v>0</v>
      </c>
      <c r="AH15" s="134"/>
      <c r="AI15" s="134">
        <v>4</v>
      </c>
      <c r="AJ15" s="134"/>
      <c r="AK15" s="134">
        <v>1</v>
      </c>
      <c r="AL15" s="134"/>
      <c r="AM15" s="713">
        <f t="shared" si="13"/>
        <v>5</v>
      </c>
      <c r="AN15" s="134"/>
      <c r="AO15" s="713">
        <f t="shared" si="14"/>
        <v>5</v>
      </c>
      <c r="AP15" s="165"/>
    </row>
    <row r="16" spans="1:152" ht="20.149999999999999" customHeight="1" x14ac:dyDescent="0.35">
      <c r="A16" s="450">
        <v>8</v>
      </c>
      <c r="B16" s="715" t="str">
        <f>PETUNJUK!B16</f>
        <v>Kaliombo</v>
      </c>
      <c r="C16" s="456">
        <f>'1.DATA KIA'!C16</f>
        <v>46.2</v>
      </c>
      <c r="D16" s="454">
        <v>0</v>
      </c>
      <c r="E16" s="449">
        <f>'1.DATA KIA'!F16</f>
        <v>1</v>
      </c>
      <c r="F16" s="454">
        <f t="shared" si="0"/>
        <v>1</v>
      </c>
      <c r="G16" s="453">
        <f t="shared" si="1"/>
        <v>2.1645021645021645</v>
      </c>
      <c r="H16" s="454">
        <v>0</v>
      </c>
      <c r="I16" s="449">
        <f>'1.DATA KIA'!AB16+'1.DATA KIA'!AE16</f>
        <v>1</v>
      </c>
      <c r="J16" s="454">
        <f t="shared" si="2"/>
        <v>1</v>
      </c>
      <c r="K16" s="453">
        <f t="shared" si="3"/>
        <v>2.1645021645021645</v>
      </c>
      <c r="L16" s="711">
        <f t="shared" si="4"/>
        <v>1</v>
      </c>
      <c r="M16" s="113"/>
      <c r="N16" s="711">
        <f t="shared" si="5"/>
        <v>1</v>
      </c>
      <c r="O16" s="113"/>
      <c r="P16" s="113">
        <v>1</v>
      </c>
      <c r="Q16" s="113"/>
      <c r="R16" s="711">
        <f t="shared" si="6"/>
        <v>0</v>
      </c>
      <c r="S16" s="113">
        <v>0</v>
      </c>
      <c r="T16" s="113"/>
      <c r="U16" s="113">
        <v>0</v>
      </c>
      <c r="V16" s="113"/>
      <c r="W16" s="711">
        <f t="shared" si="7"/>
        <v>1</v>
      </c>
      <c r="X16" s="113"/>
      <c r="Y16" s="154"/>
      <c r="Z16" s="712">
        <f t="shared" si="8"/>
        <v>1</v>
      </c>
      <c r="AA16" s="134"/>
      <c r="AB16" s="713">
        <f t="shared" si="9"/>
        <v>0</v>
      </c>
      <c r="AC16" s="713">
        <f t="shared" si="10"/>
        <v>1</v>
      </c>
      <c r="AD16" s="134"/>
      <c r="AE16" s="713">
        <f t="shared" si="11"/>
        <v>1</v>
      </c>
      <c r="AF16" s="134"/>
      <c r="AG16" s="713">
        <f t="shared" si="12"/>
        <v>0</v>
      </c>
      <c r="AH16" s="134"/>
      <c r="AI16" s="134">
        <v>1</v>
      </c>
      <c r="AJ16" s="134"/>
      <c r="AK16" s="134"/>
      <c r="AL16" s="134"/>
      <c r="AM16" s="713">
        <f t="shared" si="13"/>
        <v>1</v>
      </c>
      <c r="AN16" s="134"/>
      <c r="AO16" s="713">
        <f t="shared" si="14"/>
        <v>1</v>
      </c>
      <c r="AP16" s="165"/>
    </row>
    <row r="17" spans="1:42" ht="20.149999999999999" customHeight="1" x14ac:dyDescent="0.35">
      <c r="A17" s="450">
        <v>9</v>
      </c>
      <c r="B17" s="715" t="str">
        <f>PETUNJUK!B17</f>
        <v>Gemulung</v>
      </c>
      <c r="C17" s="456">
        <f>'1.DATA KIA'!C17</f>
        <v>53.900000000000006</v>
      </c>
      <c r="D17" s="454">
        <v>0</v>
      </c>
      <c r="E17" s="449">
        <f>'1.DATA KIA'!F17</f>
        <v>4</v>
      </c>
      <c r="F17" s="454">
        <f t="shared" si="0"/>
        <v>4</v>
      </c>
      <c r="G17" s="453">
        <f t="shared" si="1"/>
        <v>7.4211502782931342</v>
      </c>
      <c r="H17" s="454">
        <v>0</v>
      </c>
      <c r="I17" s="449">
        <f>'1.DATA KIA'!AB17+'1.DATA KIA'!AE17</f>
        <v>3</v>
      </c>
      <c r="J17" s="454">
        <f t="shared" si="2"/>
        <v>3</v>
      </c>
      <c r="K17" s="453">
        <f t="shared" si="3"/>
        <v>5.5658627087198509</v>
      </c>
      <c r="L17" s="711">
        <f t="shared" si="4"/>
        <v>3</v>
      </c>
      <c r="M17" s="113"/>
      <c r="N17" s="711">
        <f t="shared" si="5"/>
        <v>3</v>
      </c>
      <c r="O17" s="113"/>
      <c r="P17" s="113">
        <v>2</v>
      </c>
      <c r="Q17" s="113"/>
      <c r="R17" s="711">
        <f t="shared" si="6"/>
        <v>1</v>
      </c>
      <c r="S17" s="113">
        <v>1</v>
      </c>
      <c r="T17" s="113"/>
      <c r="U17" s="113">
        <v>1</v>
      </c>
      <c r="V17" s="113"/>
      <c r="W17" s="711">
        <f t="shared" si="7"/>
        <v>1</v>
      </c>
      <c r="X17" s="113"/>
      <c r="Y17" s="154"/>
      <c r="Z17" s="712">
        <f t="shared" si="8"/>
        <v>2</v>
      </c>
      <c r="AA17" s="134"/>
      <c r="AB17" s="713">
        <f t="shared" si="9"/>
        <v>1</v>
      </c>
      <c r="AC17" s="713">
        <f t="shared" si="10"/>
        <v>3</v>
      </c>
      <c r="AD17" s="134"/>
      <c r="AE17" s="713">
        <f t="shared" si="11"/>
        <v>3</v>
      </c>
      <c r="AF17" s="134"/>
      <c r="AG17" s="713">
        <f t="shared" si="12"/>
        <v>0</v>
      </c>
      <c r="AH17" s="134"/>
      <c r="AI17" s="134">
        <v>3</v>
      </c>
      <c r="AJ17" s="134"/>
      <c r="AK17" s="134"/>
      <c r="AL17" s="134"/>
      <c r="AM17" s="713">
        <f t="shared" si="13"/>
        <v>3</v>
      </c>
      <c r="AN17" s="134"/>
      <c r="AO17" s="713">
        <f t="shared" si="14"/>
        <v>3</v>
      </c>
      <c r="AP17" s="165"/>
    </row>
    <row r="18" spans="1:42" ht="20.149999999999999" customHeight="1" x14ac:dyDescent="0.35">
      <c r="A18" s="450">
        <v>10</v>
      </c>
      <c r="B18" s="715" t="str">
        <f>PETUNJUK!B18</f>
        <v>Pecangaan Wetan</v>
      </c>
      <c r="C18" s="456">
        <f>'1.DATA KIA'!C18</f>
        <v>50.6</v>
      </c>
      <c r="D18" s="454">
        <v>0</v>
      </c>
      <c r="E18" s="449">
        <f>'1.DATA KIA'!F18</f>
        <v>4</v>
      </c>
      <c r="F18" s="454">
        <f t="shared" si="0"/>
        <v>4</v>
      </c>
      <c r="G18" s="453">
        <f t="shared" si="1"/>
        <v>7.9051383399209492</v>
      </c>
      <c r="H18" s="454">
        <v>0</v>
      </c>
      <c r="I18" s="449">
        <f>'1.DATA KIA'!AB18+'1.DATA KIA'!AE18</f>
        <v>7</v>
      </c>
      <c r="J18" s="454">
        <f t="shared" si="2"/>
        <v>7</v>
      </c>
      <c r="K18" s="453">
        <f t="shared" si="3"/>
        <v>13.83399209486166</v>
      </c>
      <c r="L18" s="711">
        <f t="shared" si="4"/>
        <v>7</v>
      </c>
      <c r="M18" s="113"/>
      <c r="N18" s="711">
        <f t="shared" si="5"/>
        <v>7</v>
      </c>
      <c r="O18" s="113"/>
      <c r="P18" s="113">
        <v>5</v>
      </c>
      <c r="Q18" s="113"/>
      <c r="R18" s="711">
        <f t="shared" si="6"/>
        <v>2</v>
      </c>
      <c r="S18" s="113">
        <v>0</v>
      </c>
      <c r="T18" s="113"/>
      <c r="U18" s="113">
        <v>2</v>
      </c>
      <c r="V18" s="113"/>
      <c r="W18" s="711">
        <f t="shared" si="7"/>
        <v>5</v>
      </c>
      <c r="X18" s="113"/>
      <c r="Y18" s="154"/>
      <c r="Z18" s="712">
        <f t="shared" si="8"/>
        <v>5</v>
      </c>
      <c r="AA18" s="134"/>
      <c r="AB18" s="713">
        <f t="shared" si="9"/>
        <v>2</v>
      </c>
      <c r="AC18" s="713">
        <f t="shared" si="10"/>
        <v>7</v>
      </c>
      <c r="AD18" s="134"/>
      <c r="AE18" s="713">
        <f t="shared" si="11"/>
        <v>7</v>
      </c>
      <c r="AF18" s="134"/>
      <c r="AG18" s="713">
        <f t="shared" si="12"/>
        <v>0</v>
      </c>
      <c r="AH18" s="134"/>
      <c r="AI18" s="134">
        <v>5</v>
      </c>
      <c r="AJ18" s="134"/>
      <c r="AK18" s="134"/>
      <c r="AL18" s="134">
        <v>2</v>
      </c>
      <c r="AM18" s="713">
        <f t="shared" si="13"/>
        <v>7</v>
      </c>
      <c r="AN18" s="134"/>
      <c r="AO18" s="713">
        <f t="shared" si="14"/>
        <v>7</v>
      </c>
      <c r="AP18" s="165"/>
    </row>
    <row r="19" spans="1:42" ht="20.149999999999999" customHeight="1" x14ac:dyDescent="0.35">
      <c r="A19" s="450">
        <v>11</v>
      </c>
      <c r="B19" s="715" t="str">
        <f>PETUNJUK!B19</f>
        <v>Krasak</v>
      </c>
      <c r="C19" s="456">
        <f>'1.DATA KIA'!C19</f>
        <v>117.7</v>
      </c>
      <c r="D19" s="454">
        <v>0</v>
      </c>
      <c r="E19" s="449">
        <f>'1.DATA KIA'!F19</f>
        <v>15</v>
      </c>
      <c r="F19" s="454">
        <f t="shared" si="0"/>
        <v>15</v>
      </c>
      <c r="G19" s="453">
        <f t="shared" si="1"/>
        <v>12.74426508071368</v>
      </c>
      <c r="H19" s="454">
        <v>0</v>
      </c>
      <c r="I19" s="449">
        <f>'1.DATA KIA'!AB19+'1.DATA KIA'!AE19</f>
        <v>8</v>
      </c>
      <c r="J19" s="454">
        <f t="shared" si="2"/>
        <v>8</v>
      </c>
      <c r="K19" s="453">
        <f t="shared" si="3"/>
        <v>6.7969413763806292</v>
      </c>
      <c r="L19" s="711">
        <f t="shared" si="4"/>
        <v>8</v>
      </c>
      <c r="M19" s="113"/>
      <c r="N19" s="711">
        <f t="shared" si="5"/>
        <v>8</v>
      </c>
      <c r="O19" s="113"/>
      <c r="P19" s="113">
        <v>4</v>
      </c>
      <c r="Q19" s="113"/>
      <c r="R19" s="711">
        <f t="shared" si="6"/>
        <v>4</v>
      </c>
      <c r="S19" s="113">
        <v>0</v>
      </c>
      <c r="T19" s="113"/>
      <c r="U19" s="113">
        <v>6</v>
      </c>
      <c r="V19" s="113"/>
      <c r="W19" s="711">
        <f t="shared" si="7"/>
        <v>2</v>
      </c>
      <c r="X19" s="113"/>
      <c r="Y19" s="154"/>
      <c r="Z19" s="712">
        <f t="shared" si="8"/>
        <v>2</v>
      </c>
      <c r="AA19" s="134"/>
      <c r="AB19" s="713">
        <f t="shared" si="9"/>
        <v>6</v>
      </c>
      <c r="AC19" s="713">
        <f t="shared" si="10"/>
        <v>8</v>
      </c>
      <c r="AD19" s="134"/>
      <c r="AE19" s="713">
        <f t="shared" si="11"/>
        <v>8</v>
      </c>
      <c r="AF19" s="134"/>
      <c r="AG19" s="713">
        <f t="shared" si="12"/>
        <v>0</v>
      </c>
      <c r="AH19" s="134"/>
      <c r="AI19" s="134">
        <v>6</v>
      </c>
      <c r="AJ19" s="134"/>
      <c r="AK19" s="134">
        <v>1</v>
      </c>
      <c r="AL19" s="134">
        <v>1</v>
      </c>
      <c r="AM19" s="713">
        <f t="shared" si="13"/>
        <v>8</v>
      </c>
      <c r="AN19" s="134"/>
      <c r="AO19" s="713">
        <f t="shared" si="14"/>
        <v>8</v>
      </c>
      <c r="AP19" s="165"/>
    </row>
    <row r="20" spans="1:42" ht="20.149999999999999" customHeight="1" x14ac:dyDescent="0.35">
      <c r="A20" s="450">
        <v>12</v>
      </c>
      <c r="B20" s="715" t="str">
        <f>PETUNJUK!B20</f>
        <v>Gerdu</v>
      </c>
      <c r="C20" s="456">
        <f>'1.DATA KIA'!C20</f>
        <v>23.1</v>
      </c>
      <c r="D20" s="454">
        <v>0</v>
      </c>
      <c r="E20" s="449">
        <f>'1.DATA KIA'!F20</f>
        <v>1</v>
      </c>
      <c r="F20" s="454">
        <f t="shared" si="0"/>
        <v>1</v>
      </c>
      <c r="G20" s="453">
        <f t="shared" si="1"/>
        <v>4.329004329004329</v>
      </c>
      <c r="H20" s="454">
        <v>0</v>
      </c>
      <c r="I20" s="449">
        <f>'1.DATA KIA'!AB20+'1.DATA KIA'!AE20</f>
        <v>2</v>
      </c>
      <c r="J20" s="454">
        <f t="shared" si="2"/>
        <v>2</v>
      </c>
      <c r="K20" s="453">
        <f t="shared" si="3"/>
        <v>8.6580086580086579</v>
      </c>
      <c r="L20" s="711">
        <f t="shared" si="4"/>
        <v>2</v>
      </c>
      <c r="M20" s="113"/>
      <c r="N20" s="711">
        <f t="shared" si="5"/>
        <v>2</v>
      </c>
      <c r="O20" s="113"/>
      <c r="P20" s="113">
        <v>0</v>
      </c>
      <c r="Q20" s="113"/>
      <c r="R20" s="711">
        <f t="shared" si="6"/>
        <v>2</v>
      </c>
      <c r="S20" s="113">
        <v>0</v>
      </c>
      <c r="T20" s="113"/>
      <c r="U20" s="113">
        <v>2</v>
      </c>
      <c r="V20" s="113"/>
      <c r="W20" s="711">
        <f t="shared" si="7"/>
        <v>0</v>
      </c>
      <c r="X20" s="113"/>
      <c r="Y20" s="154"/>
      <c r="Z20" s="712">
        <f t="shared" si="8"/>
        <v>0</v>
      </c>
      <c r="AA20" s="134"/>
      <c r="AB20" s="713">
        <f t="shared" si="9"/>
        <v>2</v>
      </c>
      <c r="AC20" s="713">
        <f t="shared" si="10"/>
        <v>2</v>
      </c>
      <c r="AD20" s="134"/>
      <c r="AE20" s="713">
        <f t="shared" si="11"/>
        <v>2</v>
      </c>
      <c r="AF20" s="134"/>
      <c r="AG20" s="713">
        <f t="shared" si="12"/>
        <v>0</v>
      </c>
      <c r="AH20" s="134"/>
      <c r="AI20" s="134">
        <v>2</v>
      </c>
      <c r="AJ20" s="134"/>
      <c r="AK20" s="134"/>
      <c r="AL20" s="134"/>
      <c r="AM20" s="713">
        <f t="shared" si="13"/>
        <v>2</v>
      </c>
      <c r="AN20" s="134"/>
      <c r="AO20" s="713">
        <f t="shared" si="14"/>
        <v>2</v>
      </c>
      <c r="AP20" s="165"/>
    </row>
    <row r="21" spans="1:42" ht="20.149999999999999" customHeight="1" x14ac:dyDescent="0.35">
      <c r="A21" s="450">
        <v>13</v>
      </c>
      <c r="B21" s="450">
        <f>PETUNJUK!B21</f>
        <v>0</v>
      </c>
      <c r="C21" s="456">
        <f>'1.DATA KIA'!C21</f>
        <v>0</v>
      </c>
      <c r="D21" s="454">
        <v>0</v>
      </c>
      <c r="E21" s="449">
        <f>'1.DATA KIA'!F21</f>
        <v>0</v>
      </c>
      <c r="F21" s="454">
        <f t="shared" si="0"/>
        <v>0</v>
      </c>
      <c r="G21" s="453" t="e">
        <f t="shared" si="1"/>
        <v>#DIV/0!</v>
      </c>
      <c r="H21" s="454">
        <v>0</v>
      </c>
      <c r="I21" s="449">
        <f>'1.DATA KIA'!AB21+'1.DATA KIA'!AE21</f>
        <v>0</v>
      </c>
      <c r="J21" s="454">
        <f t="shared" si="2"/>
        <v>0</v>
      </c>
      <c r="K21" s="453" t="e">
        <f t="shared" si="3"/>
        <v>#DIV/0!</v>
      </c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54"/>
      <c r="Z21" s="168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34"/>
      <c r="AM21" s="134"/>
      <c r="AN21" s="134"/>
      <c r="AO21" s="134"/>
      <c r="AP21" s="165"/>
    </row>
    <row r="22" spans="1:42" ht="20.149999999999999" customHeight="1" x14ac:dyDescent="0.35">
      <c r="A22" s="450">
        <v>14</v>
      </c>
      <c r="B22" s="450">
        <f>PETUNJUK!B22</f>
        <v>0</v>
      </c>
      <c r="C22" s="456">
        <f>'1.DATA KIA'!C22</f>
        <v>0</v>
      </c>
      <c r="D22" s="454">
        <v>0</v>
      </c>
      <c r="E22" s="449">
        <f>'1.DATA KIA'!F22</f>
        <v>0</v>
      </c>
      <c r="F22" s="454">
        <f t="shared" si="0"/>
        <v>0</v>
      </c>
      <c r="G22" s="453" t="e">
        <f t="shared" si="1"/>
        <v>#DIV/0!</v>
      </c>
      <c r="H22" s="454">
        <v>0</v>
      </c>
      <c r="I22" s="449">
        <f>'1.DATA KIA'!AB22+'1.DATA KIA'!AE22</f>
        <v>0</v>
      </c>
      <c r="J22" s="454">
        <f t="shared" si="2"/>
        <v>0</v>
      </c>
      <c r="K22" s="453" t="e">
        <f t="shared" si="3"/>
        <v>#DIV/0!</v>
      </c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54"/>
      <c r="Z22" s="168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  <c r="AO22" s="134"/>
      <c r="AP22" s="165"/>
    </row>
    <row r="23" spans="1:42" ht="20.149999999999999" customHeight="1" x14ac:dyDescent="0.35">
      <c r="A23" s="450">
        <v>15</v>
      </c>
      <c r="B23" s="450">
        <f>PETUNJUK!B23</f>
        <v>0</v>
      </c>
      <c r="C23" s="456">
        <f>'1.DATA KIA'!C23</f>
        <v>0</v>
      </c>
      <c r="D23" s="454">
        <v>0</v>
      </c>
      <c r="E23" s="449">
        <f>'1.DATA KIA'!F23</f>
        <v>0</v>
      </c>
      <c r="F23" s="454">
        <f t="shared" si="0"/>
        <v>0</v>
      </c>
      <c r="G23" s="453" t="e">
        <f t="shared" si="1"/>
        <v>#DIV/0!</v>
      </c>
      <c r="H23" s="454">
        <v>0</v>
      </c>
      <c r="I23" s="449">
        <f>'1.DATA KIA'!AB23+'1.DATA KIA'!AE23</f>
        <v>0</v>
      </c>
      <c r="J23" s="454">
        <f t="shared" si="2"/>
        <v>0</v>
      </c>
      <c r="K23" s="453" t="e">
        <f t="shared" si="3"/>
        <v>#DIV/0!</v>
      </c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54"/>
      <c r="Z23" s="168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34"/>
      <c r="AM23" s="134"/>
      <c r="AN23" s="134"/>
      <c r="AO23" s="134"/>
      <c r="AP23" s="165"/>
    </row>
    <row r="24" spans="1:42" ht="20.149999999999999" customHeight="1" x14ac:dyDescent="0.35">
      <c r="A24" s="450">
        <v>16</v>
      </c>
      <c r="B24" s="450">
        <f>PETUNJUK!B24</f>
        <v>0</v>
      </c>
      <c r="C24" s="456">
        <f>'1.DATA KIA'!C24</f>
        <v>0</v>
      </c>
      <c r="D24" s="454">
        <v>0</v>
      </c>
      <c r="E24" s="449">
        <f>'1.DATA KIA'!F24</f>
        <v>0</v>
      </c>
      <c r="F24" s="454">
        <f t="shared" si="0"/>
        <v>0</v>
      </c>
      <c r="G24" s="453" t="e">
        <f t="shared" si="1"/>
        <v>#DIV/0!</v>
      </c>
      <c r="H24" s="454">
        <v>0</v>
      </c>
      <c r="I24" s="449">
        <f>'1.DATA KIA'!AB24+'1.DATA KIA'!AE24</f>
        <v>0</v>
      </c>
      <c r="J24" s="454">
        <f t="shared" si="2"/>
        <v>0</v>
      </c>
      <c r="K24" s="453" t="e">
        <f t="shared" si="3"/>
        <v>#DIV/0!</v>
      </c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54"/>
      <c r="Z24" s="168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34"/>
      <c r="AN24" s="134"/>
      <c r="AO24" s="134"/>
      <c r="AP24" s="165"/>
    </row>
    <row r="25" spans="1:42" ht="20.149999999999999" customHeight="1" x14ac:dyDescent="0.35">
      <c r="A25" s="450">
        <v>17</v>
      </c>
      <c r="B25" s="450">
        <f>PETUNJUK!B25</f>
        <v>0</v>
      </c>
      <c r="C25" s="456">
        <f>'1.DATA KIA'!C25</f>
        <v>0</v>
      </c>
      <c r="D25" s="454">
        <v>0</v>
      </c>
      <c r="E25" s="449">
        <f>'1.DATA KIA'!F25</f>
        <v>0</v>
      </c>
      <c r="F25" s="454">
        <f t="shared" si="0"/>
        <v>0</v>
      </c>
      <c r="G25" s="453" t="e">
        <f t="shared" si="1"/>
        <v>#DIV/0!</v>
      </c>
      <c r="H25" s="454">
        <v>0</v>
      </c>
      <c r="I25" s="449">
        <f>'1.DATA KIA'!AB25+'1.DATA KIA'!AE25</f>
        <v>0</v>
      </c>
      <c r="J25" s="454">
        <f t="shared" si="2"/>
        <v>0</v>
      </c>
      <c r="K25" s="453" t="e">
        <f t="shared" si="3"/>
        <v>#DIV/0!</v>
      </c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54"/>
      <c r="Z25" s="168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34"/>
      <c r="AM25" s="134"/>
      <c r="AN25" s="134"/>
      <c r="AO25" s="134"/>
      <c r="AP25" s="165"/>
    </row>
    <row r="26" spans="1:42" ht="20.149999999999999" customHeight="1" x14ac:dyDescent="0.35">
      <c r="A26" s="450">
        <v>18</v>
      </c>
      <c r="B26" s="450">
        <f>PETUNJUK!B26</f>
        <v>0</v>
      </c>
      <c r="C26" s="456">
        <f>'1.DATA KIA'!C26</f>
        <v>0</v>
      </c>
      <c r="D26" s="454">
        <v>0</v>
      </c>
      <c r="E26" s="449">
        <f>'1.DATA KIA'!F26</f>
        <v>0</v>
      </c>
      <c r="F26" s="454">
        <f t="shared" si="0"/>
        <v>0</v>
      </c>
      <c r="G26" s="453" t="e">
        <f t="shared" si="1"/>
        <v>#DIV/0!</v>
      </c>
      <c r="H26" s="454">
        <v>0</v>
      </c>
      <c r="I26" s="449">
        <f>'1.DATA KIA'!AB26+'1.DATA KIA'!AE26</f>
        <v>0</v>
      </c>
      <c r="J26" s="454">
        <f t="shared" si="2"/>
        <v>0</v>
      </c>
      <c r="K26" s="453" t="e">
        <f t="shared" si="3"/>
        <v>#DIV/0!</v>
      </c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54"/>
      <c r="Z26" s="168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34"/>
      <c r="AM26" s="134"/>
      <c r="AN26" s="134"/>
      <c r="AO26" s="134"/>
      <c r="AP26" s="165"/>
    </row>
    <row r="27" spans="1:42" ht="20.149999999999999" customHeight="1" x14ac:dyDescent="0.35">
      <c r="A27" s="450">
        <v>19</v>
      </c>
      <c r="B27" s="450">
        <f>PETUNJUK!B27</f>
        <v>0</v>
      </c>
      <c r="C27" s="456">
        <f>'1.DATA KIA'!C27</f>
        <v>0</v>
      </c>
      <c r="D27" s="454">
        <v>0</v>
      </c>
      <c r="E27" s="449">
        <f>'1.DATA KIA'!F27</f>
        <v>0</v>
      </c>
      <c r="F27" s="454">
        <f t="shared" si="0"/>
        <v>0</v>
      </c>
      <c r="G27" s="453" t="e">
        <f>F27/C27*100</f>
        <v>#DIV/0!</v>
      </c>
      <c r="H27" s="454">
        <v>0</v>
      </c>
      <c r="I27" s="449">
        <f>'1.DATA KIA'!AB27+'1.DATA KIA'!AE27</f>
        <v>0</v>
      </c>
      <c r="J27" s="454">
        <f t="shared" si="2"/>
        <v>0</v>
      </c>
      <c r="K27" s="453" t="e">
        <f>J27/C27*100</f>
        <v>#DIV/0!</v>
      </c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54"/>
      <c r="Z27" s="168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34"/>
      <c r="AM27" s="134"/>
      <c r="AN27" s="134"/>
      <c r="AO27" s="134"/>
      <c r="AP27" s="165"/>
    </row>
    <row r="28" spans="1:42" ht="20.149999999999999" customHeight="1" x14ac:dyDescent="0.35">
      <c r="A28" s="450">
        <v>20</v>
      </c>
      <c r="B28" s="450">
        <f>PETUNJUK!B28</f>
        <v>0</v>
      </c>
      <c r="C28" s="456">
        <f>'1.DATA KIA'!C28</f>
        <v>0</v>
      </c>
      <c r="D28" s="454">
        <v>0</v>
      </c>
      <c r="E28" s="449">
        <f>'1.DATA KIA'!F28</f>
        <v>0</v>
      </c>
      <c r="F28" s="454">
        <f t="shared" si="0"/>
        <v>0</v>
      </c>
      <c r="G28" s="453" t="e">
        <f>F28/C28*100</f>
        <v>#DIV/0!</v>
      </c>
      <c r="H28" s="454">
        <v>0</v>
      </c>
      <c r="I28" s="449">
        <f>'1.DATA KIA'!AB28+'1.DATA KIA'!AE28</f>
        <v>0</v>
      </c>
      <c r="J28" s="454">
        <f t="shared" si="2"/>
        <v>0</v>
      </c>
      <c r="K28" s="453" t="e">
        <f>J28/C28*100</f>
        <v>#DIV/0!</v>
      </c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54"/>
      <c r="Z28" s="168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34"/>
      <c r="AM28" s="134"/>
      <c r="AN28" s="134"/>
      <c r="AO28" s="134"/>
      <c r="AP28" s="165"/>
    </row>
    <row r="29" spans="1:42" ht="20.149999999999999" customHeight="1" x14ac:dyDescent="0.35">
      <c r="A29" s="450">
        <v>21</v>
      </c>
      <c r="B29" s="450">
        <f>PETUNJUK!B29</f>
        <v>0</v>
      </c>
      <c r="C29" s="456">
        <f>'1.DATA KIA'!C29</f>
        <v>0</v>
      </c>
      <c r="D29" s="454">
        <v>0</v>
      </c>
      <c r="E29" s="449">
        <f>'1.DATA KIA'!F29</f>
        <v>0</v>
      </c>
      <c r="F29" s="454">
        <f t="shared" si="0"/>
        <v>0</v>
      </c>
      <c r="G29" s="453" t="e">
        <f>F29/C29*100</f>
        <v>#DIV/0!</v>
      </c>
      <c r="H29" s="454">
        <v>0</v>
      </c>
      <c r="I29" s="449">
        <f>'1.DATA KIA'!AB29+'1.DATA KIA'!AE29</f>
        <v>0</v>
      </c>
      <c r="J29" s="454">
        <f t="shared" si="2"/>
        <v>0</v>
      </c>
      <c r="K29" s="453" t="e">
        <f>J29/C29*100</f>
        <v>#DIV/0!</v>
      </c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54"/>
      <c r="Z29" s="168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134"/>
      <c r="AM29" s="134"/>
      <c r="AN29" s="134"/>
      <c r="AO29" s="134"/>
      <c r="AP29" s="165"/>
    </row>
    <row r="30" spans="1:42" ht="20.149999999999999" customHeight="1" thickBot="1" x14ac:dyDescent="0.4">
      <c r="A30" s="450">
        <v>22</v>
      </c>
      <c r="B30" s="450">
        <f>PETUNJUK!B30</f>
        <v>0</v>
      </c>
      <c r="C30" s="456">
        <f>'1.DATA KIA'!C30</f>
        <v>0</v>
      </c>
      <c r="D30" s="454">
        <v>0</v>
      </c>
      <c r="E30" s="449">
        <f>'1.DATA KIA'!F30</f>
        <v>0</v>
      </c>
      <c r="F30" s="454">
        <f>D30+E30</f>
        <v>0</v>
      </c>
      <c r="G30" s="453" t="e">
        <f>F30/C30*100</f>
        <v>#DIV/0!</v>
      </c>
      <c r="H30" s="454">
        <v>0</v>
      </c>
      <c r="I30" s="449">
        <f>'1.DATA KIA'!AB30+'1.DATA KIA'!AE30</f>
        <v>0</v>
      </c>
      <c r="J30" s="454">
        <f t="shared" si="2"/>
        <v>0</v>
      </c>
      <c r="K30" s="453" t="e">
        <f>J30/C30*100</f>
        <v>#DIV/0!</v>
      </c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54"/>
      <c r="Z30" s="168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34"/>
      <c r="AM30" s="134"/>
      <c r="AN30" s="134"/>
      <c r="AO30" s="134"/>
      <c r="AP30" s="165"/>
    </row>
    <row r="31" spans="1:42" ht="22.5" customHeight="1" thickBot="1" x14ac:dyDescent="0.4">
      <c r="A31" s="833" t="s">
        <v>18</v>
      </c>
      <c r="B31" s="833"/>
      <c r="C31" s="452">
        <f>SUM(C9:C30)</f>
        <v>1067</v>
      </c>
      <c r="D31" s="452">
        <f>SUM(D9:D30)</f>
        <v>0</v>
      </c>
      <c r="E31" s="452">
        <f>SUM(E9:E30)</f>
        <v>101</v>
      </c>
      <c r="F31" s="452">
        <f>SUM(F9:F30)</f>
        <v>101</v>
      </c>
      <c r="G31" s="448">
        <f>F31/C31*100</f>
        <v>9.4657919400187449</v>
      </c>
      <c r="H31" s="447">
        <f>SUM(H9:H30)</f>
        <v>0</v>
      </c>
      <c r="I31" s="447">
        <f>SUM(I9:I30)</f>
        <v>90</v>
      </c>
      <c r="J31" s="447">
        <f>SUM(J9:J30)</f>
        <v>90</v>
      </c>
      <c r="K31" s="448">
        <f>J31/C31*100</f>
        <v>8.4348641049671969</v>
      </c>
      <c r="L31" s="455">
        <f>SUM(L9:L30)</f>
        <v>90</v>
      </c>
      <c r="M31" s="455">
        <f t="shared" ref="M31:AP31" si="15">SUM(M9:M30)</f>
        <v>0</v>
      </c>
      <c r="N31" s="455">
        <f t="shared" si="15"/>
        <v>90</v>
      </c>
      <c r="O31" s="455">
        <f t="shared" si="15"/>
        <v>0</v>
      </c>
      <c r="P31" s="455">
        <f t="shared" si="15"/>
        <v>56</v>
      </c>
      <c r="Q31" s="455">
        <f t="shared" si="15"/>
        <v>0</v>
      </c>
      <c r="R31" s="455">
        <f t="shared" si="15"/>
        <v>34</v>
      </c>
      <c r="S31" s="455">
        <f t="shared" si="15"/>
        <v>10</v>
      </c>
      <c r="T31" s="455">
        <f t="shared" si="15"/>
        <v>0</v>
      </c>
      <c r="U31" s="455">
        <f t="shared" si="15"/>
        <v>37</v>
      </c>
      <c r="V31" s="455">
        <f t="shared" si="15"/>
        <v>0</v>
      </c>
      <c r="W31" s="455">
        <f t="shared" si="15"/>
        <v>43</v>
      </c>
      <c r="X31" s="455">
        <f t="shared" si="15"/>
        <v>0</v>
      </c>
      <c r="Y31" s="155"/>
      <c r="Z31" s="169">
        <f t="shared" si="15"/>
        <v>53</v>
      </c>
      <c r="AA31" s="119">
        <f t="shared" si="15"/>
        <v>0</v>
      </c>
      <c r="AB31" s="119">
        <f t="shared" si="15"/>
        <v>37</v>
      </c>
      <c r="AC31" s="119">
        <f t="shared" si="15"/>
        <v>90</v>
      </c>
      <c r="AD31" s="119">
        <f t="shared" si="15"/>
        <v>0</v>
      </c>
      <c r="AE31" s="119">
        <f t="shared" si="15"/>
        <v>90</v>
      </c>
      <c r="AF31" s="119">
        <f t="shared" si="15"/>
        <v>0</v>
      </c>
      <c r="AG31" s="119">
        <f t="shared" si="15"/>
        <v>3</v>
      </c>
      <c r="AH31" s="119">
        <f t="shared" si="15"/>
        <v>0</v>
      </c>
      <c r="AI31" s="119">
        <f t="shared" si="15"/>
        <v>73</v>
      </c>
      <c r="AJ31" s="119">
        <f t="shared" si="15"/>
        <v>1</v>
      </c>
      <c r="AK31" s="119">
        <f t="shared" si="15"/>
        <v>6</v>
      </c>
      <c r="AL31" s="119">
        <f t="shared" si="15"/>
        <v>7</v>
      </c>
      <c r="AM31" s="119">
        <f t="shared" si="15"/>
        <v>90</v>
      </c>
      <c r="AN31" s="119">
        <f t="shared" si="15"/>
        <v>0</v>
      </c>
      <c r="AO31" s="119">
        <f t="shared" si="15"/>
        <v>90</v>
      </c>
      <c r="AP31" s="120">
        <f t="shared" si="15"/>
        <v>0</v>
      </c>
    </row>
    <row r="32" spans="1:42" ht="15.5" x14ac:dyDescent="0.35">
      <c r="A32" s="140"/>
      <c r="B32" s="140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56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</row>
    <row r="33" spans="1:42" ht="15.5" x14ac:dyDescent="0.35">
      <c r="A33" s="140"/>
      <c r="B33" s="140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56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</row>
    <row r="34" spans="1:42" ht="15.5" x14ac:dyDescent="0.35">
      <c r="A34" s="140"/>
      <c r="B34" s="140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56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</row>
    <row r="35" spans="1:42" ht="15.5" x14ac:dyDescent="0.35">
      <c r="A35" s="140"/>
      <c r="B35" s="140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56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</row>
    <row r="36" spans="1:42" ht="15.5" x14ac:dyDescent="0.35">
      <c r="A36" s="137"/>
      <c r="B36" s="138"/>
      <c r="C36" s="76" t="s">
        <v>64</v>
      </c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101"/>
      <c r="T36" s="101"/>
      <c r="U36" s="101"/>
      <c r="V36" s="101"/>
      <c r="W36" s="101"/>
      <c r="X36" s="101"/>
      <c r="Y36" s="15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</row>
    <row r="37" spans="1:42" ht="15.5" x14ac:dyDescent="0.35">
      <c r="A37" s="137"/>
      <c r="B37" s="98"/>
      <c r="C37" s="103" t="s">
        <v>197</v>
      </c>
      <c r="D37" s="78"/>
      <c r="E37" s="79" t="str">
        <f>PETUNJUK!C5</f>
        <v>PECANGAAN</v>
      </c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101"/>
      <c r="T37" s="101"/>
      <c r="U37" s="101"/>
      <c r="V37" s="101" t="s">
        <v>199</v>
      </c>
      <c r="W37" s="101"/>
      <c r="X37" s="101"/>
      <c r="Y37" s="15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 t="s">
        <v>200</v>
      </c>
      <c r="AP37" s="101"/>
    </row>
    <row r="38" spans="1:42" ht="15.5" x14ac:dyDescent="0.35">
      <c r="A38" s="137"/>
      <c r="B38" s="139"/>
      <c r="C38" s="104" t="s">
        <v>198</v>
      </c>
      <c r="D38" s="105"/>
      <c r="E38" s="109" t="str">
        <f>'1.DATA KIA'!C38</f>
        <v xml:space="preserve">PEBRUARI </v>
      </c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1"/>
      <c r="T38" s="101"/>
      <c r="U38" s="101"/>
      <c r="V38" s="101"/>
      <c r="W38" s="101"/>
      <c r="X38" s="101"/>
      <c r="Y38" s="15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</row>
    <row r="39" spans="1:42" ht="16" thickBot="1" x14ac:dyDescent="0.4">
      <c r="A39" s="870"/>
      <c r="B39" s="870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1"/>
      <c r="T39" s="101"/>
      <c r="U39" s="101"/>
      <c r="V39" s="101"/>
      <c r="W39" s="101"/>
      <c r="X39" s="101"/>
      <c r="Y39" s="15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</row>
    <row r="40" spans="1:42" ht="32.5" customHeight="1" x14ac:dyDescent="0.35">
      <c r="A40" s="871" t="s">
        <v>1</v>
      </c>
      <c r="B40" s="874" t="s">
        <v>2</v>
      </c>
      <c r="C40" s="877" t="s">
        <v>65</v>
      </c>
      <c r="D40" s="847" t="s">
        <v>66</v>
      </c>
      <c r="E40" s="848"/>
      <c r="F40" s="848"/>
      <c r="G40" s="880"/>
      <c r="H40" s="859" t="s">
        <v>194</v>
      </c>
      <c r="I40" s="860"/>
      <c r="J40" s="860"/>
      <c r="K40" s="861"/>
      <c r="L40" s="847" t="s">
        <v>67</v>
      </c>
      <c r="M40" s="848"/>
      <c r="N40" s="848"/>
      <c r="O40" s="848"/>
      <c r="P40" s="848"/>
      <c r="Q40" s="848"/>
      <c r="R40" s="848"/>
      <c r="S40" s="848"/>
      <c r="T40" s="848"/>
      <c r="U40" s="848"/>
      <c r="V40" s="848"/>
      <c r="W40" s="848"/>
      <c r="X40" s="849"/>
      <c r="Y40" s="152"/>
      <c r="Z40" s="850" t="s">
        <v>79</v>
      </c>
      <c r="AA40" s="851"/>
      <c r="AB40" s="851"/>
      <c r="AC40" s="851"/>
      <c r="AD40" s="851"/>
      <c r="AE40" s="851"/>
      <c r="AF40" s="851"/>
      <c r="AG40" s="851"/>
      <c r="AH40" s="851"/>
      <c r="AI40" s="851"/>
      <c r="AJ40" s="851"/>
      <c r="AK40" s="851"/>
      <c r="AL40" s="851"/>
      <c r="AM40" s="851"/>
      <c r="AN40" s="851"/>
      <c r="AO40" s="851"/>
      <c r="AP40" s="852"/>
    </row>
    <row r="41" spans="1:42" ht="62.15" customHeight="1" x14ac:dyDescent="0.35">
      <c r="A41" s="872"/>
      <c r="B41" s="875"/>
      <c r="C41" s="878"/>
      <c r="D41" s="853" t="s">
        <v>68</v>
      </c>
      <c r="E41" s="856" t="s">
        <v>69</v>
      </c>
      <c r="F41" s="856" t="s">
        <v>36</v>
      </c>
      <c r="G41" s="856" t="s">
        <v>37</v>
      </c>
      <c r="H41" s="853" t="s">
        <v>68</v>
      </c>
      <c r="I41" s="856" t="s">
        <v>69</v>
      </c>
      <c r="J41" s="856" t="s">
        <v>36</v>
      </c>
      <c r="K41" s="856" t="s">
        <v>37</v>
      </c>
      <c r="L41" s="865" t="s">
        <v>196</v>
      </c>
      <c r="M41" s="866"/>
      <c r="N41" s="867" t="s">
        <v>70</v>
      </c>
      <c r="O41" s="868"/>
      <c r="P41" s="865" t="s">
        <v>71</v>
      </c>
      <c r="Q41" s="869"/>
      <c r="R41" s="866"/>
      <c r="S41" s="838" t="s">
        <v>80</v>
      </c>
      <c r="T41" s="838"/>
      <c r="U41" s="838"/>
      <c r="V41" s="838"/>
      <c r="W41" s="838"/>
      <c r="X41" s="832"/>
      <c r="Y41" s="153"/>
      <c r="Z41" s="839" t="s">
        <v>81</v>
      </c>
      <c r="AA41" s="838"/>
      <c r="AB41" s="838"/>
      <c r="AC41" s="840" t="s">
        <v>195</v>
      </c>
      <c r="AD41" s="841"/>
      <c r="AE41" s="862" t="s">
        <v>82</v>
      </c>
      <c r="AF41" s="863"/>
      <c r="AG41" s="862" t="s">
        <v>83</v>
      </c>
      <c r="AH41" s="864"/>
      <c r="AI41" s="864"/>
      <c r="AJ41" s="864"/>
      <c r="AK41" s="864"/>
      <c r="AL41" s="863"/>
      <c r="AM41" s="831" t="s">
        <v>84</v>
      </c>
      <c r="AN41" s="838"/>
      <c r="AO41" s="838"/>
      <c r="AP41" s="832"/>
    </row>
    <row r="42" spans="1:42" ht="21" customHeight="1" x14ac:dyDescent="0.35">
      <c r="A42" s="872"/>
      <c r="B42" s="875"/>
      <c r="C42" s="878"/>
      <c r="D42" s="854"/>
      <c r="E42" s="857"/>
      <c r="F42" s="857"/>
      <c r="G42" s="857"/>
      <c r="H42" s="854"/>
      <c r="I42" s="857"/>
      <c r="J42" s="857"/>
      <c r="K42" s="857"/>
      <c r="L42" s="856" t="s">
        <v>72</v>
      </c>
      <c r="M42" s="856" t="s">
        <v>73</v>
      </c>
      <c r="N42" s="856" t="s">
        <v>74</v>
      </c>
      <c r="O42" s="856" t="s">
        <v>75</v>
      </c>
      <c r="P42" s="856" t="s">
        <v>76</v>
      </c>
      <c r="Q42" s="856" t="s">
        <v>77</v>
      </c>
      <c r="R42" s="856" t="s">
        <v>78</v>
      </c>
      <c r="S42" s="836" t="s">
        <v>85</v>
      </c>
      <c r="T42" s="842" t="s">
        <v>86</v>
      </c>
      <c r="U42" s="842" t="s">
        <v>87</v>
      </c>
      <c r="V42" s="842" t="s">
        <v>88</v>
      </c>
      <c r="W42" s="831" t="s">
        <v>89</v>
      </c>
      <c r="X42" s="832"/>
      <c r="Y42" s="153"/>
      <c r="Z42" s="844" t="s">
        <v>90</v>
      </c>
      <c r="AA42" s="834" t="s">
        <v>77</v>
      </c>
      <c r="AB42" s="834" t="s">
        <v>76</v>
      </c>
      <c r="AC42" s="834" t="s">
        <v>93</v>
      </c>
      <c r="AD42" s="834" t="s">
        <v>2</v>
      </c>
      <c r="AE42" s="834" t="s">
        <v>93</v>
      </c>
      <c r="AF42" s="834" t="s">
        <v>2</v>
      </c>
      <c r="AG42" s="834" t="s">
        <v>94</v>
      </c>
      <c r="AH42" s="834" t="s">
        <v>95</v>
      </c>
      <c r="AI42" s="834" t="s">
        <v>96</v>
      </c>
      <c r="AJ42" s="834" t="s">
        <v>97</v>
      </c>
      <c r="AK42" s="834" t="s">
        <v>98</v>
      </c>
      <c r="AL42" s="834" t="s">
        <v>99</v>
      </c>
      <c r="AM42" s="831" t="s">
        <v>91</v>
      </c>
      <c r="AN42" s="846"/>
      <c r="AO42" s="831" t="s">
        <v>7</v>
      </c>
      <c r="AP42" s="832"/>
    </row>
    <row r="43" spans="1:42" ht="24.75" customHeight="1" x14ac:dyDescent="0.35">
      <c r="A43" s="873"/>
      <c r="B43" s="876"/>
      <c r="C43" s="879"/>
      <c r="D43" s="855"/>
      <c r="E43" s="858"/>
      <c r="F43" s="858"/>
      <c r="G43" s="858"/>
      <c r="H43" s="855"/>
      <c r="I43" s="858"/>
      <c r="J43" s="858"/>
      <c r="K43" s="858"/>
      <c r="L43" s="858"/>
      <c r="M43" s="858"/>
      <c r="N43" s="858"/>
      <c r="O43" s="858"/>
      <c r="P43" s="858"/>
      <c r="Q43" s="858"/>
      <c r="R43" s="858"/>
      <c r="S43" s="837"/>
      <c r="T43" s="843"/>
      <c r="U43" s="843"/>
      <c r="V43" s="843"/>
      <c r="W43" s="162" t="s">
        <v>76</v>
      </c>
      <c r="X43" s="163" t="s">
        <v>92</v>
      </c>
      <c r="Y43" s="153"/>
      <c r="Z43" s="845"/>
      <c r="AA43" s="835"/>
      <c r="AB43" s="835"/>
      <c r="AC43" s="835"/>
      <c r="AD43" s="835"/>
      <c r="AE43" s="835"/>
      <c r="AF43" s="835"/>
      <c r="AG43" s="835"/>
      <c r="AH43" s="835"/>
      <c r="AI43" s="835"/>
      <c r="AJ43" s="835"/>
      <c r="AK43" s="835"/>
      <c r="AL43" s="835"/>
      <c r="AM43" s="162" t="s">
        <v>100</v>
      </c>
      <c r="AN43" s="162" t="s">
        <v>101</v>
      </c>
      <c r="AO43" s="162" t="s">
        <v>100</v>
      </c>
      <c r="AP43" s="163" t="s">
        <v>101</v>
      </c>
    </row>
    <row r="44" spans="1:42" ht="20.149999999999999" customHeight="1" x14ac:dyDescent="0.35">
      <c r="A44" s="164">
        <v>1</v>
      </c>
      <c r="B44" s="99" t="str">
        <f>PETUNJUK!B9</f>
        <v>Pecangaan Kulon</v>
      </c>
      <c r="C44" s="80">
        <f>'1.DATA KIA'!C43</f>
        <v>101.2</v>
      </c>
      <c r="D44" s="132">
        <f t="shared" ref="D44:D61" si="16">F9</f>
        <v>7</v>
      </c>
      <c r="E44" s="196">
        <f>'1.DATA KIA'!F43</f>
        <v>8</v>
      </c>
      <c r="F44" s="132">
        <f>D44+E44</f>
        <v>15</v>
      </c>
      <c r="G44" s="133">
        <f>F44/C44*100</f>
        <v>14.822134387351779</v>
      </c>
      <c r="H44" s="132">
        <f t="shared" ref="H44:H61" si="17">J9</f>
        <v>10</v>
      </c>
      <c r="I44" s="196">
        <f>'1.DATA KIA'!AB43+'1.DATA KIA'!AE43</f>
        <v>7</v>
      </c>
      <c r="J44" s="132">
        <f>H44+I44</f>
        <v>17</v>
      </c>
      <c r="K44" s="133">
        <f>J44/C44*100</f>
        <v>16.798418972332016</v>
      </c>
      <c r="L44" s="711">
        <f t="shared" ref="L44:L55" si="18">I44</f>
        <v>7</v>
      </c>
      <c r="M44" s="113"/>
      <c r="N44" s="711">
        <f t="shared" ref="N44:N55" si="19">I44</f>
        <v>7</v>
      </c>
      <c r="O44" s="113"/>
      <c r="P44" s="113">
        <v>3</v>
      </c>
      <c r="Q44" s="113"/>
      <c r="R44" s="711">
        <f t="shared" ref="R44:R55" si="20">I44-P44</f>
        <v>4</v>
      </c>
      <c r="S44" s="113">
        <v>0</v>
      </c>
      <c r="T44" s="113"/>
      <c r="U44" s="113">
        <v>4</v>
      </c>
      <c r="V44" s="113"/>
      <c r="W44" s="711">
        <f t="shared" ref="W44:W55" si="21">I44-(S44+T44+U44+V44)</f>
        <v>3</v>
      </c>
      <c r="X44" s="113"/>
      <c r="Y44" s="154"/>
      <c r="Z44" s="712">
        <f t="shared" ref="Z44:Z55" si="22">S44+T44+W44+X44</f>
        <v>3</v>
      </c>
      <c r="AA44" s="134"/>
      <c r="AB44" s="713">
        <f t="shared" ref="AB44:AB55" si="23">I44-Z44</f>
        <v>4</v>
      </c>
      <c r="AC44" s="713">
        <f t="shared" ref="AC44:AC55" si="24">I44</f>
        <v>7</v>
      </c>
      <c r="AD44" s="134"/>
      <c r="AE44" s="713">
        <f t="shared" ref="AE44:AE55" si="25">I44</f>
        <v>7</v>
      </c>
      <c r="AF44" s="134"/>
      <c r="AG44" s="713">
        <f t="shared" ref="AG44:AG55" si="26">I44-(AH44+AI44+AJ44+AK44+AL44)</f>
        <v>0</v>
      </c>
      <c r="AH44" s="134"/>
      <c r="AI44" s="134">
        <v>4</v>
      </c>
      <c r="AJ44" s="134"/>
      <c r="AK44" s="134"/>
      <c r="AL44" s="134">
        <v>3</v>
      </c>
      <c r="AM44" s="713">
        <f t="shared" ref="AM44:AM55" si="27">I44</f>
        <v>7</v>
      </c>
      <c r="AN44" s="134"/>
      <c r="AO44" s="713">
        <f t="shared" ref="AO44:AO55" si="28">I44</f>
        <v>7</v>
      </c>
      <c r="AP44" s="165"/>
    </row>
    <row r="45" spans="1:42" ht="20.149999999999999" customHeight="1" x14ac:dyDescent="0.35">
      <c r="A45" s="166">
        <v>2</v>
      </c>
      <c r="B45" s="100" t="str">
        <f>PETUNJUK!B10</f>
        <v>Rengging</v>
      </c>
      <c r="C45" s="83">
        <f>'1.DATA KIA'!C44</f>
        <v>111.10000000000001</v>
      </c>
      <c r="D45" s="84">
        <f t="shared" si="16"/>
        <v>23</v>
      </c>
      <c r="E45" s="85">
        <f>'1.DATA KIA'!F44</f>
        <v>6</v>
      </c>
      <c r="F45" s="84">
        <f t="shared" ref="F45:F61" si="29">D45+E45</f>
        <v>29</v>
      </c>
      <c r="G45" s="86">
        <f t="shared" ref="G45:G61" si="30">F45/C45*100</f>
        <v>26.102610261026101</v>
      </c>
      <c r="H45" s="84">
        <f t="shared" si="17"/>
        <v>14</v>
      </c>
      <c r="I45" s="85">
        <f>'1.DATA KIA'!AB44+'1.DATA KIA'!AE44</f>
        <v>4</v>
      </c>
      <c r="J45" s="84">
        <f t="shared" ref="J45:J61" si="31">H45+I45</f>
        <v>18</v>
      </c>
      <c r="K45" s="86">
        <f t="shared" ref="K45:K61" si="32">J45/C45*100</f>
        <v>16.201620162016201</v>
      </c>
      <c r="L45" s="711">
        <f t="shared" si="18"/>
        <v>4</v>
      </c>
      <c r="M45" s="113"/>
      <c r="N45" s="711">
        <f t="shared" si="19"/>
        <v>4</v>
      </c>
      <c r="O45" s="113"/>
      <c r="P45" s="113">
        <v>2</v>
      </c>
      <c r="Q45" s="113"/>
      <c r="R45" s="711">
        <f t="shared" si="20"/>
        <v>2</v>
      </c>
      <c r="S45" s="113">
        <v>1</v>
      </c>
      <c r="T45" s="113"/>
      <c r="U45" s="113">
        <v>2</v>
      </c>
      <c r="V45" s="113"/>
      <c r="W45" s="711">
        <f t="shared" si="21"/>
        <v>1</v>
      </c>
      <c r="X45" s="113"/>
      <c r="Y45" s="154"/>
      <c r="Z45" s="712">
        <f t="shared" si="22"/>
        <v>2</v>
      </c>
      <c r="AA45" s="134"/>
      <c r="AB45" s="713">
        <f t="shared" si="23"/>
        <v>2</v>
      </c>
      <c r="AC45" s="713">
        <f t="shared" si="24"/>
        <v>4</v>
      </c>
      <c r="AD45" s="134"/>
      <c r="AE45" s="713">
        <f t="shared" si="25"/>
        <v>4</v>
      </c>
      <c r="AF45" s="134"/>
      <c r="AG45" s="713">
        <f t="shared" si="26"/>
        <v>0</v>
      </c>
      <c r="AH45" s="134"/>
      <c r="AI45" s="134">
        <v>4</v>
      </c>
      <c r="AJ45" s="134"/>
      <c r="AK45" s="134"/>
      <c r="AL45" s="134"/>
      <c r="AM45" s="713">
        <f t="shared" si="27"/>
        <v>4</v>
      </c>
      <c r="AN45" s="134"/>
      <c r="AO45" s="713">
        <f t="shared" si="28"/>
        <v>4</v>
      </c>
      <c r="AP45" s="165"/>
    </row>
    <row r="46" spans="1:42" ht="20.149999999999999" customHeight="1" x14ac:dyDescent="0.35">
      <c r="A46" s="166">
        <v>3</v>
      </c>
      <c r="B46" s="100" t="str">
        <f>PETUNJUK!B11</f>
        <v>Troso</v>
      </c>
      <c r="C46" s="83">
        <f>'1.DATA KIA'!C45</f>
        <v>205.70000000000002</v>
      </c>
      <c r="D46" s="84">
        <f t="shared" si="16"/>
        <v>18</v>
      </c>
      <c r="E46" s="85">
        <f>'1.DATA KIA'!F45</f>
        <v>17</v>
      </c>
      <c r="F46" s="84">
        <f t="shared" si="29"/>
        <v>35</v>
      </c>
      <c r="G46" s="86">
        <f t="shared" si="30"/>
        <v>17.015070491006316</v>
      </c>
      <c r="H46" s="84">
        <f t="shared" si="17"/>
        <v>17</v>
      </c>
      <c r="I46" s="85">
        <f>'1.DATA KIA'!AB45+'1.DATA KIA'!AE45</f>
        <v>17</v>
      </c>
      <c r="J46" s="84">
        <f t="shared" si="31"/>
        <v>34</v>
      </c>
      <c r="K46" s="86">
        <f t="shared" si="32"/>
        <v>16.528925619834709</v>
      </c>
      <c r="L46" s="711">
        <f t="shared" si="18"/>
        <v>17</v>
      </c>
      <c r="M46" s="113"/>
      <c r="N46" s="711">
        <f t="shared" si="19"/>
        <v>17</v>
      </c>
      <c r="O46" s="113"/>
      <c r="P46" s="113">
        <v>8</v>
      </c>
      <c r="Q46" s="113"/>
      <c r="R46" s="711">
        <f t="shared" si="20"/>
        <v>9</v>
      </c>
      <c r="S46" s="113">
        <v>2</v>
      </c>
      <c r="T46" s="113"/>
      <c r="U46" s="113">
        <v>1</v>
      </c>
      <c r="V46" s="113"/>
      <c r="W46" s="711">
        <f t="shared" si="21"/>
        <v>14</v>
      </c>
      <c r="X46" s="113"/>
      <c r="Y46" s="154"/>
      <c r="Z46" s="712">
        <f t="shared" si="22"/>
        <v>16</v>
      </c>
      <c r="AA46" s="134"/>
      <c r="AB46" s="713">
        <f t="shared" si="23"/>
        <v>1</v>
      </c>
      <c r="AC46" s="713">
        <f t="shared" si="24"/>
        <v>17</v>
      </c>
      <c r="AD46" s="134"/>
      <c r="AE46" s="713">
        <f t="shared" si="25"/>
        <v>17</v>
      </c>
      <c r="AF46" s="134"/>
      <c r="AG46" s="713">
        <f t="shared" si="26"/>
        <v>0</v>
      </c>
      <c r="AH46" s="134"/>
      <c r="AI46" s="134">
        <v>13</v>
      </c>
      <c r="AJ46" s="134">
        <v>2</v>
      </c>
      <c r="AK46" s="134"/>
      <c r="AL46" s="134">
        <v>2</v>
      </c>
      <c r="AM46" s="713">
        <f t="shared" si="27"/>
        <v>17</v>
      </c>
      <c r="AN46" s="134"/>
      <c r="AO46" s="713">
        <f t="shared" si="28"/>
        <v>17</v>
      </c>
      <c r="AP46" s="165"/>
    </row>
    <row r="47" spans="1:42" ht="20.149999999999999" customHeight="1" x14ac:dyDescent="0.35">
      <c r="A47" s="166">
        <v>4</v>
      </c>
      <c r="B47" s="100" t="str">
        <f>PETUNJUK!B12</f>
        <v>Ngeling</v>
      </c>
      <c r="C47" s="83">
        <f>'1.DATA KIA'!C46</f>
        <v>95.7</v>
      </c>
      <c r="D47" s="84">
        <f t="shared" si="16"/>
        <v>7</v>
      </c>
      <c r="E47" s="85">
        <f>'1.DATA KIA'!F46</f>
        <v>4</v>
      </c>
      <c r="F47" s="84">
        <f t="shared" si="29"/>
        <v>11</v>
      </c>
      <c r="G47" s="86">
        <f t="shared" si="30"/>
        <v>11.494252873563218</v>
      </c>
      <c r="H47" s="84">
        <f t="shared" si="17"/>
        <v>9</v>
      </c>
      <c r="I47" s="85">
        <f>'1.DATA KIA'!AB46+'1.DATA KIA'!AE46</f>
        <v>7</v>
      </c>
      <c r="J47" s="84">
        <f t="shared" si="31"/>
        <v>16</v>
      </c>
      <c r="K47" s="86">
        <f t="shared" si="32"/>
        <v>16.718913270637408</v>
      </c>
      <c r="L47" s="711">
        <f t="shared" si="18"/>
        <v>7</v>
      </c>
      <c r="M47" s="113"/>
      <c r="N47" s="711">
        <f t="shared" si="19"/>
        <v>7</v>
      </c>
      <c r="O47" s="113"/>
      <c r="P47" s="113">
        <v>3</v>
      </c>
      <c r="Q47" s="113"/>
      <c r="R47" s="711">
        <f t="shared" si="20"/>
        <v>4</v>
      </c>
      <c r="S47" s="113">
        <v>1</v>
      </c>
      <c r="T47" s="113"/>
      <c r="U47" s="113">
        <v>0</v>
      </c>
      <c r="V47" s="113"/>
      <c r="W47" s="711">
        <f t="shared" si="21"/>
        <v>6</v>
      </c>
      <c r="X47" s="113"/>
      <c r="Y47" s="154"/>
      <c r="Z47" s="712">
        <f t="shared" si="22"/>
        <v>7</v>
      </c>
      <c r="AA47" s="134"/>
      <c r="AB47" s="713">
        <f t="shared" si="23"/>
        <v>0</v>
      </c>
      <c r="AC47" s="713">
        <f t="shared" si="24"/>
        <v>7</v>
      </c>
      <c r="AD47" s="134"/>
      <c r="AE47" s="713">
        <f t="shared" si="25"/>
        <v>7</v>
      </c>
      <c r="AF47" s="134"/>
      <c r="AG47" s="713">
        <f t="shared" si="26"/>
        <v>0</v>
      </c>
      <c r="AH47" s="134"/>
      <c r="AI47" s="134">
        <v>7</v>
      </c>
      <c r="AJ47" s="134"/>
      <c r="AK47" s="134"/>
      <c r="AL47" s="134"/>
      <c r="AM47" s="713">
        <f t="shared" si="27"/>
        <v>7</v>
      </c>
      <c r="AN47" s="134"/>
      <c r="AO47" s="713">
        <f t="shared" si="28"/>
        <v>7</v>
      </c>
      <c r="AP47" s="165"/>
    </row>
    <row r="48" spans="1:42" ht="20.149999999999999" customHeight="1" x14ac:dyDescent="0.35">
      <c r="A48" s="166">
        <v>5</v>
      </c>
      <c r="B48" s="100" t="str">
        <f>PETUNJUK!B13</f>
        <v>Lebuawu</v>
      </c>
      <c r="C48" s="83">
        <f>'1.DATA KIA'!C47</f>
        <v>85.800000000000011</v>
      </c>
      <c r="D48" s="84">
        <f t="shared" si="16"/>
        <v>9</v>
      </c>
      <c r="E48" s="85">
        <f>'1.DATA KIA'!F47</f>
        <v>11</v>
      </c>
      <c r="F48" s="84">
        <f t="shared" si="29"/>
        <v>20</v>
      </c>
      <c r="G48" s="86">
        <f t="shared" si="30"/>
        <v>23.310023310023308</v>
      </c>
      <c r="H48" s="84">
        <f t="shared" si="17"/>
        <v>7</v>
      </c>
      <c r="I48" s="85">
        <f>'1.DATA KIA'!AB47+'1.DATA KIA'!AE47</f>
        <v>4</v>
      </c>
      <c r="J48" s="84">
        <f t="shared" si="31"/>
        <v>11</v>
      </c>
      <c r="K48" s="86">
        <f t="shared" si="32"/>
        <v>12.820512820512819</v>
      </c>
      <c r="L48" s="711">
        <f t="shared" si="18"/>
        <v>4</v>
      </c>
      <c r="M48" s="113"/>
      <c r="N48" s="711">
        <f t="shared" si="19"/>
        <v>4</v>
      </c>
      <c r="O48" s="113"/>
      <c r="P48" s="113">
        <v>3</v>
      </c>
      <c r="Q48" s="113"/>
      <c r="R48" s="711">
        <f t="shared" si="20"/>
        <v>1</v>
      </c>
      <c r="S48" s="113">
        <v>1</v>
      </c>
      <c r="T48" s="113"/>
      <c r="U48" s="113">
        <v>4</v>
      </c>
      <c r="V48" s="113"/>
      <c r="W48" s="711">
        <f t="shared" si="21"/>
        <v>-1</v>
      </c>
      <c r="X48" s="113"/>
      <c r="Y48" s="154"/>
      <c r="Z48" s="712">
        <f t="shared" si="22"/>
        <v>0</v>
      </c>
      <c r="AA48" s="134"/>
      <c r="AB48" s="713">
        <f t="shared" si="23"/>
        <v>4</v>
      </c>
      <c r="AC48" s="713">
        <f t="shared" si="24"/>
        <v>4</v>
      </c>
      <c r="AD48" s="134"/>
      <c r="AE48" s="713">
        <f t="shared" si="25"/>
        <v>4</v>
      </c>
      <c r="AF48" s="134"/>
      <c r="AG48" s="713">
        <f t="shared" si="26"/>
        <v>0</v>
      </c>
      <c r="AH48" s="134"/>
      <c r="AI48" s="134">
        <v>4</v>
      </c>
      <c r="AJ48" s="134"/>
      <c r="AK48" s="134"/>
      <c r="AL48" s="134"/>
      <c r="AM48" s="713">
        <f t="shared" si="27"/>
        <v>4</v>
      </c>
      <c r="AN48" s="134"/>
      <c r="AO48" s="713">
        <f t="shared" si="28"/>
        <v>4</v>
      </c>
      <c r="AP48" s="165"/>
    </row>
    <row r="49" spans="1:46" ht="20.149999999999999" customHeight="1" x14ac:dyDescent="0.35">
      <c r="A49" s="166">
        <v>6</v>
      </c>
      <c r="B49" s="100" t="str">
        <f>PETUNJUK!B14</f>
        <v>Pulodarat</v>
      </c>
      <c r="C49" s="83">
        <f>'1.DATA KIA'!C48</f>
        <v>82.5</v>
      </c>
      <c r="D49" s="84">
        <f t="shared" si="16"/>
        <v>5</v>
      </c>
      <c r="E49" s="85">
        <f>'1.DATA KIA'!F48</f>
        <v>4</v>
      </c>
      <c r="F49" s="84">
        <f t="shared" si="29"/>
        <v>9</v>
      </c>
      <c r="G49" s="86">
        <f t="shared" si="30"/>
        <v>10.909090909090908</v>
      </c>
      <c r="H49" s="84">
        <f t="shared" si="17"/>
        <v>7</v>
      </c>
      <c r="I49" s="85">
        <f>'1.DATA KIA'!AB48+'1.DATA KIA'!AE48</f>
        <v>4</v>
      </c>
      <c r="J49" s="84">
        <f t="shared" si="31"/>
        <v>11</v>
      </c>
      <c r="K49" s="86">
        <f t="shared" si="32"/>
        <v>13.333333333333334</v>
      </c>
      <c r="L49" s="711">
        <f t="shared" si="18"/>
        <v>4</v>
      </c>
      <c r="M49" s="113"/>
      <c r="N49" s="711">
        <f t="shared" si="19"/>
        <v>4</v>
      </c>
      <c r="O49" s="113"/>
      <c r="P49" s="113">
        <v>2</v>
      </c>
      <c r="Q49" s="113"/>
      <c r="R49" s="711">
        <f t="shared" si="20"/>
        <v>2</v>
      </c>
      <c r="S49" s="113">
        <v>0</v>
      </c>
      <c r="T49" s="113"/>
      <c r="U49" s="113">
        <v>1</v>
      </c>
      <c r="V49" s="113"/>
      <c r="W49" s="711">
        <f t="shared" si="21"/>
        <v>3</v>
      </c>
      <c r="X49" s="113"/>
      <c r="Y49" s="154"/>
      <c r="Z49" s="712">
        <f t="shared" si="22"/>
        <v>3</v>
      </c>
      <c r="AA49" s="134"/>
      <c r="AB49" s="713">
        <f t="shared" si="23"/>
        <v>1</v>
      </c>
      <c r="AC49" s="713">
        <f t="shared" si="24"/>
        <v>4</v>
      </c>
      <c r="AD49" s="134"/>
      <c r="AE49" s="713">
        <f t="shared" si="25"/>
        <v>4</v>
      </c>
      <c r="AF49" s="134"/>
      <c r="AG49" s="713">
        <f t="shared" si="26"/>
        <v>0</v>
      </c>
      <c r="AH49" s="134"/>
      <c r="AI49" s="134">
        <v>4</v>
      </c>
      <c r="AJ49" s="134"/>
      <c r="AK49" s="134"/>
      <c r="AL49" s="134"/>
      <c r="AM49" s="713">
        <f t="shared" si="27"/>
        <v>4</v>
      </c>
      <c r="AN49" s="134"/>
      <c r="AO49" s="713">
        <f t="shared" si="28"/>
        <v>4</v>
      </c>
      <c r="AP49" s="165"/>
    </row>
    <row r="50" spans="1:46" ht="20.149999999999999" customHeight="1" x14ac:dyDescent="0.35">
      <c r="A50" s="166">
        <v>7</v>
      </c>
      <c r="B50" s="100" t="str">
        <f>PETUNJUK!B15</f>
        <v>Karangrandu</v>
      </c>
      <c r="C50" s="83">
        <f>'1.DATA KIA'!C49</f>
        <v>93.500000000000014</v>
      </c>
      <c r="D50" s="84">
        <f t="shared" si="16"/>
        <v>7</v>
      </c>
      <c r="E50" s="85">
        <f>'1.DATA KIA'!F49</f>
        <v>8</v>
      </c>
      <c r="F50" s="84">
        <f t="shared" si="29"/>
        <v>15</v>
      </c>
      <c r="G50" s="86">
        <f t="shared" si="30"/>
        <v>16.042780748663098</v>
      </c>
      <c r="H50" s="84">
        <f t="shared" si="17"/>
        <v>5</v>
      </c>
      <c r="I50" s="85">
        <f>'1.DATA KIA'!AB49+'1.DATA KIA'!AE49</f>
        <v>5</v>
      </c>
      <c r="J50" s="84">
        <f t="shared" si="31"/>
        <v>10</v>
      </c>
      <c r="K50" s="86">
        <f t="shared" si="32"/>
        <v>10.695187165775399</v>
      </c>
      <c r="L50" s="711">
        <f t="shared" si="18"/>
        <v>5</v>
      </c>
      <c r="M50" s="113"/>
      <c r="N50" s="711">
        <f t="shared" si="19"/>
        <v>5</v>
      </c>
      <c r="O50" s="113"/>
      <c r="P50" s="113">
        <v>3</v>
      </c>
      <c r="Q50" s="113"/>
      <c r="R50" s="711">
        <f t="shared" si="20"/>
        <v>2</v>
      </c>
      <c r="S50" s="113">
        <v>0</v>
      </c>
      <c r="T50" s="113"/>
      <c r="U50" s="113">
        <v>2</v>
      </c>
      <c r="V50" s="113"/>
      <c r="W50" s="711">
        <f t="shared" si="21"/>
        <v>3</v>
      </c>
      <c r="X50" s="113"/>
      <c r="Y50" s="154"/>
      <c r="Z50" s="712">
        <f t="shared" si="22"/>
        <v>3</v>
      </c>
      <c r="AA50" s="134"/>
      <c r="AB50" s="713">
        <f t="shared" si="23"/>
        <v>2</v>
      </c>
      <c r="AC50" s="713">
        <f t="shared" si="24"/>
        <v>5</v>
      </c>
      <c r="AD50" s="134"/>
      <c r="AE50" s="713">
        <f t="shared" si="25"/>
        <v>5</v>
      </c>
      <c r="AF50" s="134"/>
      <c r="AG50" s="713">
        <f t="shared" si="26"/>
        <v>0</v>
      </c>
      <c r="AH50" s="134"/>
      <c r="AI50" s="134">
        <v>5</v>
      </c>
      <c r="AJ50" s="134"/>
      <c r="AK50" s="134"/>
      <c r="AL50" s="134"/>
      <c r="AM50" s="713">
        <f t="shared" si="27"/>
        <v>5</v>
      </c>
      <c r="AN50" s="134"/>
      <c r="AO50" s="713">
        <v>4</v>
      </c>
      <c r="AP50" s="165"/>
      <c r="AQ50" s="161" t="s">
        <v>45</v>
      </c>
    </row>
    <row r="51" spans="1:46" ht="20.149999999999999" customHeight="1" x14ac:dyDescent="0.35">
      <c r="A51" s="166">
        <v>8</v>
      </c>
      <c r="B51" s="100" t="str">
        <f>PETUNJUK!B16</f>
        <v>Kaliombo</v>
      </c>
      <c r="C51" s="83">
        <f>'1.DATA KIA'!C50</f>
        <v>46.2</v>
      </c>
      <c r="D51" s="84">
        <f t="shared" si="16"/>
        <v>1</v>
      </c>
      <c r="E51" s="85">
        <f>'1.DATA KIA'!F50</f>
        <v>5</v>
      </c>
      <c r="F51" s="84">
        <f t="shared" si="29"/>
        <v>6</v>
      </c>
      <c r="G51" s="86">
        <f t="shared" si="30"/>
        <v>12.987012987012985</v>
      </c>
      <c r="H51" s="84">
        <f t="shared" si="17"/>
        <v>1</v>
      </c>
      <c r="I51" s="85">
        <f>'1.DATA KIA'!AB50+'1.DATA KIA'!AE50</f>
        <v>5</v>
      </c>
      <c r="J51" s="84">
        <f t="shared" si="31"/>
        <v>6</v>
      </c>
      <c r="K51" s="86">
        <f t="shared" si="32"/>
        <v>12.987012987012985</v>
      </c>
      <c r="L51" s="711">
        <f t="shared" si="18"/>
        <v>5</v>
      </c>
      <c r="M51" s="113"/>
      <c r="N51" s="711">
        <f t="shared" si="19"/>
        <v>5</v>
      </c>
      <c r="O51" s="113"/>
      <c r="P51" s="113">
        <v>3</v>
      </c>
      <c r="Q51" s="113"/>
      <c r="R51" s="711">
        <f t="shared" si="20"/>
        <v>2</v>
      </c>
      <c r="S51" s="113">
        <v>1</v>
      </c>
      <c r="T51" s="113"/>
      <c r="U51" s="113">
        <v>1</v>
      </c>
      <c r="V51" s="113"/>
      <c r="W51" s="711">
        <f t="shared" si="21"/>
        <v>3</v>
      </c>
      <c r="X51" s="113"/>
      <c r="Y51" s="154"/>
      <c r="Z51" s="712">
        <f t="shared" si="22"/>
        <v>4</v>
      </c>
      <c r="AA51" s="134"/>
      <c r="AB51" s="713">
        <f t="shared" si="23"/>
        <v>1</v>
      </c>
      <c r="AC51" s="713">
        <f t="shared" si="24"/>
        <v>5</v>
      </c>
      <c r="AD51" s="134"/>
      <c r="AE51" s="713">
        <f t="shared" si="25"/>
        <v>5</v>
      </c>
      <c r="AF51" s="134"/>
      <c r="AG51" s="713">
        <f t="shared" si="26"/>
        <v>0</v>
      </c>
      <c r="AH51" s="134"/>
      <c r="AI51" s="134">
        <v>4</v>
      </c>
      <c r="AJ51" s="134"/>
      <c r="AK51" s="134">
        <v>1</v>
      </c>
      <c r="AL51" s="134"/>
      <c r="AM51" s="713">
        <f t="shared" si="27"/>
        <v>5</v>
      </c>
      <c r="AN51" s="134"/>
      <c r="AO51" s="713">
        <f t="shared" si="28"/>
        <v>5</v>
      </c>
      <c r="AP51" s="165"/>
    </row>
    <row r="52" spans="1:46" ht="20.149999999999999" customHeight="1" x14ac:dyDescent="0.35">
      <c r="A52" s="166">
        <v>9</v>
      </c>
      <c r="B52" s="100" t="str">
        <f>PETUNJUK!B17</f>
        <v>Gemulung</v>
      </c>
      <c r="C52" s="83">
        <f>'1.DATA KIA'!C51</f>
        <v>53.900000000000006</v>
      </c>
      <c r="D52" s="84">
        <f t="shared" si="16"/>
        <v>4</v>
      </c>
      <c r="E52" s="85">
        <f>'1.DATA KIA'!F51</f>
        <v>5</v>
      </c>
      <c r="F52" s="84">
        <f t="shared" si="29"/>
        <v>9</v>
      </c>
      <c r="G52" s="86">
        <f t="shared" si="30"/>
        <v>16.697588126159555</v>
      </c>
      <c r="H52" s="84">
        <f t="shared" si="17"/>
        <v>3</v>
      </c>
      <c r="I52" s="85">
        <f>'1.DATA KIA'!AB51+'1.DATA KIA'!AE51</f>
        <v>5</v>
      </c>
      <c r="J52" s="84">
        <f t="shared" si="31"/>
        <v>8</v>
      </c>
      <c r="K52" s="86">
        <f t="shared" si="32"/>
        <v>14.842300556586268</v>
      </c>
      <c r="L52" s="711">
        <f t="shared" si="18"/>
        <v>5</v>
      </c>
      <c r="M52" s="113"/>
      <c r="N52" s="711">
        <f t="shared" si="19"/>
        <v>5</v>
      </c>
      <c r="O52" s="113"/>
      <c r="P52" s="113">
        <v>3</v>
      </c>
      <c r="Q52" s="113"/>
      <c r="R52" s="711">
        <f t="shared" si="20"/>
        <v>2</v>
      </c>
      <c r="S52" s="113">
        <v>0</v>
      </c>
      <c r="T52" s="113"/>
      <c r="U52" s="113">
        <v>2</v>
      </c>
      <c r="V52" s="113"/>
      <c r="W52" s="711">
        <f t="shared" si="21"/>
        <v>3</v>
      </c>
      <c r="X52" s="113"/>
      <c r="Y52" s="154"/>
      <c r="Z52" s="712">
        <f t="shared" si="22"/>
        <v>3</v>
      </c>
      <c r="AA52" s="134"/>
      <c r="AB52" s="713">
        <f t="shared" si="23"/>
        <v>2</v>
      </c>
      <c r="AC52" s="713">
        <f t="shared" si="24"/>
        <v>5</v>
      </c>
      <c r="AD52" s="134"/>
      <c r="AE52" s="713">
        <f t="shared" si="25"/>
        <v>5</v>
      </c>
      <c r="AF52" s="134"/>
      <c r="AG52" s="713">
        <f t="shared" si="26"/>
        <v>0</v>
      </c>
      <c r="AH52" s="134"/>
      <c r="AI52" s="134">
        <v>4</v>
      </c>
      <c r="AJ52" s="134"/>
      <c r="AK52" s="134">
        <v>1</v>
      </c>
      <c r="AL52" s="134"/>
      <c r="AM52" s="713">
        <f t="shared" si="27"/>
        <v>5</v>
      </c>
      <c r="AN52" s="134"/>
      <c r="AO52" s="713">
        <f t="shared" si="28"/>
        <v>5</v>
      </c>
      <c r="AP52" s="165"/>
    </row>
    <row r="53" spans="1:46" ht="20.149999999999999" customHeight="1" x14ac:dyDescent="0.35">
      <c r="A53" s="166">
        <v>10</v>
      </c>
      <c r="B53" s="100" t="str">
        <f>PETUNJUK!B18</f>
        <v>Pecangaan Wetan</v>
      </c>
      <c r="C53" s="83">
        <f>'1.DATA KIA'!C52</f>
        <v>50.6</v>
      </c>
      <c r="D53" s="84">
        <f t="shared" si="16"/>
        <v>4</v>
      </c>
      <c r="E53" s="85">
        <f>'1.DATA KIA'!F52</f>
        <v>6</v>
      </c>
      <c r="F53" s="84">
        <f t="shared" si="29"/>
        <v>10</v>
      </c>
      <c r="G53" s="86">
        <f t="shared" si="30"/>
        <v>19.762845849802371</v>
      </c>
      <c r="H53" s="84">
        <f t="shared" si="17"/>
        <v>7</v>
      </c>
      <c r="I53" s="85">
        <f>'1.DATA KIA'!AB52+'1.DATA KIA'!AE52</f>
        <v>3</v>
      </c>
      <c r="J53" s="84">
        <f t="shared" si="31"/>
        <v>10</v>
      </c>
      <c r="K53" s="86">
        <f t="shared" si="32"/>
        <v>19.762845849802371</v>
      </c>
      <c r="L53" s="711">
        <f t="shared" si="18"/>
        <v>3</v>
      </c>
      <c r="M53" s="113"/>
      <c r="N53" s="711">
        <f t="shared" si="19"/>
        <v>3</v>
      </c>
      <c r="O53" s="113"/>
      <c r="P53" s="113">
        <v>2</v>
      </c>
      <c r="Q53" s="113"/>
      <c r="R53" s="711">
        <f t="shared" si="20"/>
        <v>1</v>
      </c>
      <c r="S53" s="113">
        <v>0</v>
      </c>
      <c r="T53" s="113"/>
      <c r="U53" s="113">
        <v>2</v>
      </c>
      <c r="V53" s="113"/>
      <c r="W53" s="711">
        <f t="shared" si="21"/>
        <v>1</v>
      </c>
      <c r="X53" s="113"/>
      <c r="Y53" s="154"/>
      <c r="Z53" s="712">
        <f t="shared" si="22"/>
        <v>1</v>
      </c>
      <c r="AA53" s="134"/>
      <c r="AB53" s="713">
        <f t="shared" si="23"/>
        <v>2</v>
      </c>
      <c r="AC53" s="713">
        <f t="shared" si="24"/>
        <v>3</v>
      </c>
      <c r="AD53" s="134"/>
      <c r="AE53" s="713">
        <f t="shared" si="25"/>
        <v>3</v>
      </c>
      <c r="AF53" s="134"/>
      <c r="AG53" s="713">
        <f t="shared" si="26"/>
        <v>0</v>
      </c>
      <c r="AH53" s="134"/>
      <c r="AI53" s="134">
        <v>3</v>
      </c>
      <c r="AJ53" s="134"/>
      <c r="AK53" s="134"/>
      <c r="AL53" s="134"/>
      <c r="AM53" s="713">
        <f t="shared" si="27"/>
        <v>3</v>
      </c>
      <c r="AN53" s="134"/>
      <c r="AO53" s="713">
        <f t="shared" si="28"/>
        <v>3</v>
      </c>
      <c r="AP53" s="165"/>
    </row>
    <row r="54" spans="1:46" ht="20.149999999999999" customHeight="1" x14ac:dyDescent="0.35">
      <c r="A54" s="166">
        <v>11</v>
      </c>
      <c r="B54" s="100" t="str">
        <f>PETUNJUK!B19</f>
        <v>Krasak</v>
      </c>
      <c r="C54" s="83">
        <f>'1.DATA KIA'!C53</f>
        <v>117.7</v>
      </c>
      <c r="D54" s="84">
        <f t="shared" si="16"/>
        <v>15</v>
      </c>
      <c r="E54" s="85">
        <f>'1.DATA KIA'!F53</f>
        <v>10</v>
      </c>
      <c r="F54" s="84">
        <f t="shared" si="29"/>
        <v>25</v>
      </c>
      <c r="G54" s="86">
        <f t="shared" si="30"/>
        <v>21.240441801189462</v>
      </c>
      <c r="H54" s="84">
        <f t="shared" si="17"/>
        <v>8</v>
      </c>
      <c r="I54" s="85">
        <f>'1.DATA KIA'!AB53+'1.DATA KIA'!AE53</f>
        <v>6</v>
      </c>
      <c r="J54" s="84">
        <f t="shared" si="31"/>
        <v>14</v>
      </c>
      <c r="K54" s="86">
        <f t="shared" si="32"/>
        <v>11.894647408666099</v>
      </c>
      <c r="L54" s="711">
        <f t="shared" si="18"/>
        <v>6</v>
      </c>
      <c r="M54" s="113"/>
      <c r="N54" s="711">
        <f t="shared" si="19"/>
        <v>6</v>
      </c>
      <c r="O54" s="113"/>
      <c r="P54" s="113">
        <v>4</v>
      </c>
      <c r="Q54" s="113"/>
      <c r="R54" s="711">
        <f t="shared" si="20"/>
        <v>2</v>
      </c>
      <c r="S54" s="113">
        <v>0</v>
      </c>
      <c r="T54" s="113"/>
      <c r="U54" s="113">
        <v>1</v>
      </c>
      <c r="V54" s="113"/>
      <c r="W54" s="711">
        <f t="shared" si="21"/>
        <v>5</v>
      </c>
      <c r="X54" s="113"/>
      <c r="Y54" s="154"/>
      <c r="Z54" s="712">
        <f t="shared" si="22"/>
        <v>5</v>
      </c>
      <c r="AA54" s="134"/>
      <c r="AB54" s="713">
        <f t="shared" si="23"/>
        <v>1</v>
      </c>
      <c r="AC54" s="713">
        <f t="shared" si="24"/>
        <v>6</v>
      </c>
      <c r="AD54" s="134"/>
      <c r="AE54" s="713">
        <f t="shared" si="25"/>
        <v>6</v>
      </c>
      <c r="AF54" s="134"/>
      <c r="AG54" s="713">
        <f t="shared" si="26"/>
        <v>0</v>
      </c>
      <c r="AH54" s="134"/>
      <c r="AI54" s="134">
        <v>6</v>
      </c>
      <c r="AJ54" s="134"/>
      <c r="AK54" s="134"/>
      <c r="AL54" s="134"/>
      <c r="AM54" s="713">
        <f t="shared" si="27"/>
        <v>6</v>
      </c>
      <c r="AN54" s="134"/>
      <c r="AO54" s="713">
        <f t="shared" si="28"/>
        <v>6</v>
      </c>
      <c r="AP54" s="165"/>
    </row>
    <row r="55" spans="1:46" ht="20.149999999999999" customHeight="1" x14ac:dyDescent="0.35">
      <c r="A55" s="166">
        <v>12</v>
      </c>
      <c r="B55" s="100" t="str">
        <f>PETUNJUK!B20</f>
        <v>Gerdu</v>
      </c>
      <c r="C55" s="83">
        <f>'1.DATA KIA'!C54</f>
        <v>23.1</v>
      </c>
      <c r="D55" s="84">
        <f t="shared" si="16"/>
        <v>1</v>
      </c>
      <c r="E55" s="85">
        <f>'1.DATA KIA'!F54</f>
        <v>1</v>
      </c>
      <c r="F55" s="84">
        <f t="shared" si="29"/>
        <v>2</v>
      </c>
      <c r="G55" s="86">
        <f t="shared" si="30"/>
        <v>8.6580086580086579</v>
      </c>
      <c r="H55" s="84">
        <f t="shared" si="17"/>
        <v>2</v>
      </c>
      <c r="I55" s="85">
        <f>'1.DATA KIA'!AB54+'1.DATA KIA'!AE54</f>
        <v>1</v>
      </c>
      <c r="J55" s="84">
        <f t="shared" si="31"/>
        <v>3</v>
      </c>
      <c r="K55" s="86">
        <f t="shared" si="32"/>
        <v>12.987012987012985</v>
      </c>
      <c r="L55" s="711">
        <f t="shared" si="18"/>
        <v>1</v>
      </c>
      <c r="M55" s="113"/>
      <c r="N55" s="711">
        <f t="shared" si="19"/>
        <v>1</v>
      </c>
      <c r="O55" s="113"/>
      <c r="P55" s="113">
        <v>1</v>
      </c>
      <c r="Q55" s="113"/>
      <c r="R55" s="711">
        <f t="shared" si="20"/>
        <v>0</v>
      </c>
      <c r="S55" s="113">
        <v>0</v>
      </c>
      <c r="T55" s="113"/>
      <c r="U55" s="113">
        <v>2</v>
      </c>
      <c r="V55" s="113"/>
      <c r="W55" s="711">
        <f t="shared" si="21"/>
        <v>-1</v>
      </c>
      <c r="X55" s="113"/>
      <c r="Y55" s="154"/>
      <c r="Z55" s="712">
        <f t="shared" si="22"/>
        <v>-1</v>
      </c>
      <c r="AA55" s="134"/>
      <c r="AB55" s="713">
        <f t="shared" si="23"/>
        <v>2</v>
      </c>
      <c r="AC55" s="713">
        <f t="shared" si="24"/>
        <v>1</v>
      </c>
      <c r="AD55" s="134"/>
      <c r="AE55" s="713">
        <f t="shared" si="25"/>
        <v>1</v>
      </c>
      <c r="AF55" s="134"/>
      <c r="AG55" s="713">
        <f t="shared" si="26"/>
        <v>0</v>
      </c>
      <c r="AH55" s="134"/>
      <c r="AI55" s="134">
        <v>1</v>
      </c>
      <c r="AJ55" s="134"/>
      <c r="AK55" s="134"/>
      <c r="AL55" s="134"/>
      <c r="AM55" s="713">
        <f t="shared" si="27"/>
        <v>1</v>
      </c>
      <c r="AN55" s="134"/>
      <c r="AO55" s="713">
        <f t="shared" si="28"/>
        <v>1</v>
      </c>
      <c r="AP55" s="165"/>
    </row>
    <row r="56" spans="1:46" ht="20.149999999999999" customHeight="1" x14ac:dyDescent="0.35">
      <c r="A56" s="166">
        <v>13</v>
      </c>
      <c r="B56" s="100">
        <f>PETUNJUK!B21</f>
        <v>0</v>
      </c>
      <c r="C56" s="83">
        <f>'1.DATA KIA'!C55</f>
        <v>0</v>
      </c>
      <c r="D56" s="84">
        <f t="shared" si="16"/>
        <v>0</v>
      </c>
      <c r="E56" s="85">
        <f>'1.DATA KIA'!F55</f>
        <v>0</v>
      </c>
      <c r="F56" s="84">
        <f t="shared" si="29"/>
        <v>0</v>
      </c>
      <c r="G56" s="86" t="e">
        <f t="shared" si="30"/>
        <v>#DIV/0!</v>
      </c>
      <c r="H56" s="84">
        <f t="shared" si="17"/>
        <v>0</v>
      </c>
      <c r="I56" s="85">
        <f>'1.DATA KIA'!AB55+'1.DATA KIA'!AE55</f>
        <v>0</v>
      </c>
      <c r="J56" s="84">
        <f t="shared" si="31"/>
        <v>0</v>
      </c>
      <c r="K56" s="86" t="e">
        <f t="shared" si="32"/>
        <v>#DIV/0!</v>
      </c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54"/>
      <c r="Z56" s="168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34"/>
      <c r="AM56" s="134"/>
      <c r="AN56" s="134"/>
      <c r="AO56" s="134"/>
      <c r="AP56" s="165"/>
    </row>
    <row r="57" spans="1:46" ht="20.149999999999999" customHeight="1" x14ac:dyDescent="0.35">
      <c r="A57" s="166">
        <v>14</v>
      </c>
      <c r="B57" s="100">
        <f>PETUNJUK!B22</f>
        <v>0</v>
      </c>
      <c r="C57" s="83">
        <f>'1.DATA KIA'!C56</f>
        <v>0</v>
      </c>
      <c r="D57" s="84">
        <f t="shared" si="16"/>
        <v>0</v>
      </c>
      <c r="E57" s="85">
        <f>'1.DATA KIA'!F56</f>
        <v>0</v>
      </c>
      <c r="F57" s="84">
        <f t="shared" si="29"/>
        <v>0</v>
      </c>
      <c r="G57" s="86" t="e">
        <f t="shared" si="30"/>
        <v>#DIV/0!</v>
      </c>
      <c r="H57" s="84">
        <f t="shared" si="17"/>
        <v>0</v>
      </c>
      <c r="I57" s="85">
        <f>'1.DATA KIA'!AB56+'1.DATA KIA'!AE56</f>
        <v>0</v>
      </c>
      <c r="J57" s="84">
        <f t="shared" si="31"/>
        <v>0</v>
      </c>
      <c r="K57" s="86" t="e">
        <f t="shared" si="32"/>
        <v>#DIV/0!</v>
      </c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54"/>
      <c r="Z57" s="168"/>
      <c r="AA57" s="134"/>
      <c r="AB57" s="134"/>
      <c r="AC57" s="134"/>
      <c r="AD57" s="134"/>
      <c r="AE57" s="134"/>
      <c r="AF57" s="134"/>
      <c r="AG57" s="134"/>
      <c r="AH57" s="134"/>
      <c r="AI57" s="134"/>
      <c r="AJ57" s="134"/>
      <c r="AK57" s="134"/>
      <c r="AL57" s="134"/>
      <c r="AM57" s="134"/>
      <c r="AN57" s="134"/>
      <c r="AO57" s="134"/>
      <c r="AP57" s="165"/>
    </row>
    <row r="58" spans="1:46" ht="20.149999999999999" customHeight="1" x14ac:dyDescent="0.35">
      <c r="A58" s="166">
        <v>15</v>
      </c>
      <c r="B58" s="100">
        <f>PETUNJUK!B23</f>
        <v>0</v>
      </c>
      <c r="C58" s="83">
        <f>'1.DATA KIA'!C57</f>
        <v>0</v>
      </c>
      <c r="D58" s="84">
        <f t="shared" si="16"/>
        <v>0</v>
      </c>
      <c r="E58" s="85">
        <f>'1.DATA KIA'!F57</f>
        <v>0</v>
      </c>
      <c r="F58" s="84">
        <f t="shared" si="29"/>
        <v>0</v>
      </c>
      <c r="G58" s="86" t="e">
        <f t="shared" si="30"/>
        <v>#DIV/0!</v>
      </c>
      <c r="H58" s="84">
        <f t="shared" si="17"/>
        <v>0</v>
      </c>
      <c r="I58" s="85">
        <f>'1.DATA KIA'!AB57+'1.DATA KIA'!AE57</f>
        <v>0</v>
      </c>
      <c r="J58" s="84">
        <f t="shared" si="31"/>
        <v>0</v>
      </c>
      <c r="K58" s="86" t="e">
        <f t="shared" si="32"/>
        <v>#DIV/0!</v>
      </c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54"/>
      <c r="Z58" s="168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  <c r="AK58" s="134"/>
      <c r="AL58" s="134"/>
      <c r="AM58" s="134"/>
      <c r="AN58" s="134"/>
      <c r="AO58" s="134"/>
      <c r="AP58" s="165"/>
      <c r="AQ58" s="161">
        <v>11</v>
      </c>
      <c r="AR58" s="161">
        <v>16</v>
      </c>
    </row>
    <row r="59" spans="1:46" ht="20.149999999999999" customHeight="1" x14ac:dyDescent="0.35">
      <c r="A59" s="166">
        <v>16</v>
      </c>
      <c r="B59" s="100">
        <f>PETUNJUK!B24</f>
        <v>0</v>
      </c>
      <c r="C59" s="83">
        <f>'1.DATA KIA'!C58</f>
        <v>0</v>
      </c>
      <c r="D59" s="84">
        <f t="shared" si="16"/>
        <v>0</v>
      </c>
      <c r="E59" s="85">
        <f>'1.DATA KIA'!F58</f>
        <v>0</v>
      </c>
      <c r="F59" s="84">
        <f t="shared" si="29"/>
        <v>0</v>
      </c>
      <c r="G59" s="86" t="e">
        <f t="shared" si="30"/>
        <v>#DIV/0!</v>
      </c>
      <c r="H59" s="84">
        <f t="shared" si="17"/>
        <v>0</v>
      </c>
      <c r="I59" s="85">
        <f>'1.DATA KIA'!AB58+'1.DATA KIA'!AE58</f>
        <v>0</v>
      </c>
      <c r="J59" s="84">
        <f t="shared" si="31"/>
        <v>0</v>
      </c>
      <c r="K59" s="86" t="e">
        <f t="shared" si="32"/>
        <v>#DIV/0!</v>
      </c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54"/>
      <c r="Z59" s="168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  <c r="AK59" s="134"/>
      <c r="AL59" s="134"/>
      <c r="AM59" s="134"/>
      <c r="AN59" s="134"/>
      <c r="AO59" s="134"/>
      <c r="AP59" s="165"/>
      <c r="AS59" s="161">
        <v>6</v>
      </c>
      <c r="AT59" s="161">
        <v>0</v>
      </c>
    </row>
    <row r="60" spans="1:46" ht="20.149999999999999" customHeight="1" x14ac:dyDescent="0.35">
      <c r="A60" s="166">
        <v>17</v>
      </c>
      <c r="B60" s="100">
        <f>PETUNJUK!B25</f>
        <v>0</v>
      </c>
      <c r="C60" s="83">
        <f>'1.DATA KIA'!C59</f>
        <v>0</v>
      </c>
      <c r="D60" s="84">
        <f t="shared" si="16"/>
        <v>0</v>
      </c>
      <c r="E60" s="85">
        <f>'1.DATA KIA'!F59</f>
        <v>0</v>
      </c>
      <c r="F60" s="84">
        <f t="shared" si="29"/>
        <v>0</v>
      </c>
      <c r="G60" s="86" t="e">
        <f t="shared" si="30"/>
        <v>#DIV/0!</v>
      </c>
      <c r="H60" s="84">
        <f t="shared" si="17"/>
        <v>0</v>
      </c>
      <c r="I60" s="85">
        <f>'1.DATA KIA'!AB59+'1.DATA KIA'!AE59</f>
        <v>0</v>
      </c>
      <c r="J60" s="84">
        <f t="shared" si="31"/>
        <v>0</v>
      </c>
      <c r="K60" s="86" t="e">
        <f t="shared" si="32"/>
        <v>#DIV/0!</v>
      </c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54"/>
      <c r="Z60" s="168"/>
      <c r="AA60" s="134"/>
      <c r="AB60" s="134"/>
      <c r="AC60" s="134"/>
      <c r="AD60" s="134"/>
      <c r="AE60" s="134"/>
      <c r="AF60" s="134"/>
      <c r="AG60" s="134"/>
      <c r="AH60" s="134"/>
      <c r="AI60" s="134"/>
      <c r="AJ60" s="134"/>
      <c r="AK60" s="134"/>
      <c r="AL60" s="134"/>
      <c r="AM60" s="134"/>
      <c r="AN60" s="134"/>
      <c r="AO60" s="134"/>
      <c r="AP60" s="165"/>
    </row>
    <row r="61" spans="1:46" ht="20.149999999999999" customHeight="1" x14ac:dyDescent="0.35">
      <c r="A61" s="166">
        <v>18</v>
      </c>
      <c r="B61" s="100">
        <f>PETUNJUK!B26</f>
        <v>0</v>
      </c>
      <c r="C61" s="89">
        <f>'1.DATA KIA'!C60</f>
        <v>0</v>
      </c>
      <c r="D61" s="87">
        <f t="shared" si="16"/>
        <v>0</v>
      </c>
      <c r="E61" s="90">
        <f>'1.DATA KIA'!F60</f>
        <v>0</v>
      </c>
      <c r="F61" s="87">
        <f t="shared" si="29"/>
        <v>0</v>
      </c>
      <c r="G61" s="88" t="e">
        <f t="shared" si="30"/>
        <v>#DIV/0!</v>
      </c>
      <c r="H61" s="87">
        <f t="shared" si="17"/>
        <v>0</v>
      </c>
      <c r="I61" s="90">
        <f>'1.DATA KIA'!AB60+'1.DATA KIA'!AE60</f>
        <v>0</v>
      </c>
      <c r="J61" s="87">
        <f t="shared" si="31"/>
        <v>0</v>
      </c>
      <c r="K61" s="88" t="e">
        <f t="shared" si="32"/>
        <v>#DIV/0!</v>
      </c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54"/>
      <c r="Z61" s="168"/>
      <c r="AA61" s="134"/>
      <c r="AB61" s="134"/>
      <c r="AC61" s="134"/>
      <c r="AD61" s="134"/>
      <c r="AE61" s="134"/>
      <c r="AF61" s="134"/>
      <c r="AG61" s="134"/>
      <c r="AH61" s="134"/>
      <c r="AI61" s="134"/>
      <c r="AJ61" s="134"/>
      <c r="AK61" s="134"/>
      <c r="AL61" s="134"/>
      <c r="AM61" s="134"/>
      <c r="AN61" s="134"/>
      <c r="AO61" s="134"/>
      <c r="AP61" s="165"/>
    </row>
    <row r="62" spans="1:46" ht="20.149999999999999" customHeight="1" x14ac:dyDescent="0.35">
      <c r="A62" s="166">
        <v>19</v>
      </c>
      <c r="B62" s="100">
        <f>PETUNJUK!B27</f>
        <v>0</v>
      </c>
      <c r="C62" s="83">
        <f>'1.DATA KIA'!C61</f>
        <v>0</v>
      </c>
      <c r="D62" s="84">
        <f>F27</f>
        <v>0</v>
      </c>
      <c r="E62" s="85">
        <f>'1.DATA KIA'!F61</f>
        <v>0</v>
      </c>
      <c r="F62" s="84">
        <f>D62+E62</f>
        <v>0</v>
      </c>
      <c r="G62" s="86" t="e">
        <f>F62/C62*100</f>
        <v>#DIV/0!</v>
      </c>
      <c r="H62" s="84">
        <f>J27</f>
        <v>0</v>
      </c>
      <c r="I62" s="85">
        <f>'1.DATA KIA'!AB61+'1.DATA KIA'!AE61</f>
        <v>0</v>
      </c>
      <c r="J62" s="84">
        <f>H62+I62</f>
        <v>0</v>
      </c>
      <c r="K62" s="86" t="e">
        <f>J62/C62*100</f>
        <v>#DIV/0!</v>
      </c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54"/>
      <c r="Z62" s="168"/>
      <c r="AA62" s="134"/>
      <c r="AB62" s="134"/>
      <c r="AC62" s="134"/>
      <c r="AD62" s="134"/>
      <c r="AE62" s="134"/>
      <c r="AF62" s="134"/>
      <c r="AG62" s="134"/>
      <c r="AH62" s="134"/>
      <c r="AI62" s="134"/>
      <c r="AJ62" s="134"/>
      <c r="AK62" s="134"/>
      <c r="AL62" s="134"/>
      <c r="AM62" s="134"/>
      <c r="AN62" s="134"/>
      <c r="AO62" s="134"/>
      <c r="AP62" s="165"/>
    </row>
    <row r="63" spans="1:46" ht="20.149999999999999" customHeight="1" x14ac:dyDescent="0.35">
      <c r="A63" s="166">
        <v>20</v>
      </c>
      <c r="B63" s="100">
        <f>PETUNJUK!B28</f>
        <v>0</v>
      </c>
      <c r="C63" s="89">
        <f>'1.DATA KIA'!C62</f>
        <v>0</v>
      </c>
      <c r="D63" s="87">
        <f>F28</f>
        <v>0</v>
      </c>
      <c r="E63" s="90">
        <f>'1.DATA KIA'!F62</f>
        <v>0</v>
      </c>
      <c r="F63" s="87">
        <f>D63+E63</f>
        <v>0</v>
      </c>
      <c r="G63" s="88" t="e">
        <f>F63/C63*100</f>
        <v>#DIV/0!</v>
      </c>
      <c r="H63" s="87">
        <f>J28</f>
        <v>0</v>
      </c>
      <c r="I63" s="90">
        <f>'1.DATA KIA'!AB62+'1.DATA KIA'!AE62</f>
        <v>0</v>
      </c>
      <c r="J63" s="87">
        <f>H63+I63</f>
        <v>0</v>
      </c>
      <c r="K63" s="88" t="e">
        <f>J63/C63*100</f>
        <v>#DIV/0!</v>
      </c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54"/>
      <c r="Z63" s="168"/>
      <c r="AA63" s="134"/>
      <c r="AB63" s="134"/>
      <c r="AC63" s="134"/>
      <c r="AD63" s="134"/>
      <c r="AE63" s="134"/>
      <c r="AF63" s="134"/>
      <c r="AG63" s="134"/>
      <c r="AH63" s="134"/>
      <c r="AI63" s="134"/>
      <c r="AJ63" s="134"/>
      <c r="AK63" s="134"/>
      <c r="AL63" s="134"/>
      <c r="AM63" s="134"/>
      <c r="AN63" s="134"/>
      <c r="AO63" s="134"/>
      <c r="AP63" s="165"/>
    </row>
    <row r="64" spans="1:46" ht="20.149999999999999" customHeight="1" x14ac:dyDescent="0.35">
      <c r="A64" s="166">
        <v>21</v>
      </c>
      <c r="B64" s="100">
        <f>PETUNJUK!B29</f>
        <v>0</v>
      </c>
      <c r="C64" s="83">
        <f>'1.DATA KIA'!C63</f>
        <v>0</v>
      </c>
      <c r="D64" s="84">
        <f>F29</f>
        <v>0</v>
      </c>
      <c r="E64" s="85">
        <f>'1.DATA KIA'!F63</f>
        <v>0</v>
      </c>
      <c r="F64" s="84">
        <f>D64+E64</f>
        <v>0</v>
      </c>
      <c r="G64" s="86" t="e">
        <f>F64/C64*100</f>
        <v>#DIV/0!</v>
      </c>
      <c r="H64" s="84">
        <f>J29</f>
        <v>0</v>
      </c>
      <c r="I64" s="85">
        <f>'1.DATA KIA'!AB63+'1.DATA KIA'!AE63</f>
        <v>0</v>
      </c>
      <c r="J64" s="84">
        <f>H64+I64</f>
        <v>0</v>
      </c>
      <c r="K64" s="86" t="e">
        <f>J64/C64*100</f>
        <v>#DIV/0!</v>
      </c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54"/>
      <c r="Z64" s="168"/>
      <c r="AA64" s="134"/>
      <c r="AB64" s="134"/>
      <c r="AC64" s="134"/>
      <c r="AD64" s="134"/>
      <c r="AE64" s="134"/>
      <c r="AF64" s="134"/>
      <c r="AG64" s="134"/>
      <c r="AH64" s="134"/>
      <c r="AI64" s="134"/>
      <c r="AJ64" s="134"/>
      <c r="AK64" s="134"/>
      <c r="AL64" s="134"/>
      <c r="AM64" s="134"/>
      <c r="AN64" s="134"/>
      <c r="AO64" s="134"/>
      <c r="AP64" s="165"/>
    </row>
    <row r="65" spans="1:152" ht="20.149999999999999" customHeight="1" thickBot="1" x14ac:dyDescent="0.4">
      <c r="A65" s="167">
        <v>22</v>
      </c>
      <c r="B65" s="114">
        <f>PETUNJUK!B30</f>
        <v>0</v>
      </c>
      <c r="C65" s="115">
        <f>'1.DATA KIA'!C64</f>
        <v>0</v>
      </c>
      <c r="D65" s="87">
        <f>F30</f>
        <v>0</v>
      </c>
      <c r="E65" s="90">
        <f>'1.DATA KIA'!F64</f>
        <v>0</v>
      </c>
      <c r="F65" s="87">
        <f>D65+E65</f>
        <v>0</v>
      </c>
      <c r="G65" s="88" t="e">
        <f>F65/C65*100</f>
        <v>#DIV/0!</v>
      </c>
      <c r="H65" s="87">
        <f>J30</f>
        <v>0</v>
      </c>
      <c r="I65" s="90">
        <f>'1.DATA KIA'!AB64+'1.DATA KIA'!AE64</f>
        <v>0</v>
      </c>
      <c r="J65" s="87">
        <f>H65+I65</f>
        <v>0</v>
      </c>
      <c r="K65" s="88" t="e">
        <f>J65/C65*100</f>
        <v>#DIV/0!</v>
      </c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54"/>
      <c r="Z65" s="168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  <c r="AK65" s="134"/>
      <c r="AL65" s="134"/>
      <c r="AM65" s="134"/>
      <c r="AN65" s="134"/>
      <c r="AO65" s="134"/>
      <c r="AP65" s="165"/>
    </row>
    <row r="66" spans="1:152" ht="22.5" customHeight="1" thickBot="1" x14ac:dyDescent="0.4">
      <c r="A66" s="881" t="s">
        <v>18</v>
      </c>
      <c r="B66" s="882"/>
      <c r="C66" s="116">
        <f>SUM(C44:C65)</f>
        <v>1067</v>
      </c>
      <c r="D66" s="116">
        <f t="shared" ref="D66:J66" si="33">SUM(D44:D65)</f>
        <v>101</v>
      </c>
      <c r="E66" s="116">
        <f t="shared" si="33"/>
        <v>85</v>
      </c>
      <c r="F66" s="116">
        <f t="shared" si="33"/>
        <v>186</v>
      </c>
      <c r="G66" s="117">
        <f>F66/C66*100</f>
        <v>17.432052483598877</v>
      </c>
      <c r="H66" s="116">
        <f t="shared" si="33"/>
        <v>90</v>
      </c>
      <c r="I66" s="116">
        <f t="shared" si="33"/>
        <v>68</v>
      </c>
      <c r="J66" s="116">
        <f t="shared" si="33"/>
        <v>158</v>
      </c>
      <c r="K66" s="117">
        <f>J66/C66*100</f>
        <v>14.807872539831301</v>
      </c>
      <c r="L66" s="116">
        <f>SUM(L44:L65)</f>
        <v>68</v>
      </c>
      <c r="M66" s="116">
        <f t="shared" ref="M66:AP66" si="34">SUM(M44:M65)</f>
        <v>0</v>
      </c>
      <c r="N66" s="116">
        <f t="shared" si="34"/>
        <v>68</v>
      </c>
      <c r="O66" s="116">
        <f t="shared" si="34"/>
        <v>0</v>
      </c>
      <c r="P66" s="116">
        <f t="shared" si="34"/>
        <v>37</v>
      </c>
      <c r="Q66" s="116">
        <f t="shared" si="34"/>
        <v>0</v>
      </c>
      <c r="R66" s="116">
        <f t="shared" si="34"/>
        <v>31</v>
      </c>
      <c r="S66" s="116">
        <f t="shared" si="34"/>
        <v>6</v>
      </c>
      <c r="T66" s="116">
        <f t="shared" si="34"/>
        <v>0</v>
      </c>
      <c r="U66" s="116">
        <f t="shared" si="34"/>
        <v>22</v>
      </c>
      <c r="V66" s="116">
        <f t="shared" si="34"/>
        <v>0</v>
      </c>
      <c r="W66" s="116">
        <f t="shared" si="34"/>
        <v>40</v>
      </c>
      <c r="X66" s="135">
        <f t="shared" si="34"/>
        <v>0</v>
      </c>
      <c r="Y66" s="157"/>
      <c r="Z66" s="170">
        <f t="shared" si="34"/>
        <v>46</v>
      </c>
      <c r="AA66" s="116">
        <f t="shared" si="34"/>
        <v>0</v>
      </c>
      <c r="AB66" s="116">
        <f t="shared" si="34"/>
        <v>22</v>
      </c>
      <c r="AC66" s="116">
        <f t="shared" si="34"/>
        <v>68</v>
      </c>
      <c r="AD66" s="116">
        <f t="shared" si="34"/>
        <v>0</v>
      </c>
      <c r="AE66" s="116">
        <f t="shared" si="34"/>
        <v>68</v>
      </c>
      <c r="AF66" s="116">
        <f t="shared" si="34"/>
        <v>0</v>
      </c>
      <c r="AG66" s="116">
        <f t="shared" si="34"/>
        <v>0</v>
      </c>
      <c r="AH66" s="116">
        <f t="shared" si="34"/>
        <v>0</v>
      </c>
      <c r="AI66" s="116">
        <f t="shared" si="34"/>
        <v>59</v>
      </c>
      <c r="AJ66" s="116">
        <f t="shared" si="34"/>
        <v>2</v>
      </c>
      <c r="AK66" s="116">
        <f t="shared" si="34"/>
        <v>2</v>
      </c>
      <c r="AL66" s="116">
        <f t="shared" si="34"/>
        <v>5</v>
      </c>
      <c r="AM66" s="116">
        <f t="shared" si="34"/>
        <v>68</v>
      </c>
      <c r="AN66" s="116">
        <f t="shared" si="34"/>
        <v>0</v>
      </c>
      <c r="AO66" s="116">
        <f t="shared" si="34"/>
        <v>67</v>
      </c>
      <c r="AP66" s="135">
        <f t="shared" si="34"/>
        <v>0</v>
      </c>
    </row>
    <row r="67" spans="1:152" ht="15.5" x14ac:dyDescent="0.35">
      <c r="A67" s="140"/>
      <c r="B67" s="140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56"/>
      <c r="Z67" s="102"/>
      <c r="AA67" s="102"/>
      <c r="AB67" s="102"/>
      <c r="AC67" s="102"/>
      <c r="AD67" s="102"/>
      <c r="AE67" s="102"/>
      <c r="AF67" s="102"/>
      <c r="AG67" s="102"/>
      <c r="AH67" s="102"/>
      <c r="AI67" s="102"/>
      <c r="AJ67" s="102"/>
      <c r="AK67" s="102"/>
      <c r="AL67" s="102"/>
      <c r="AM67" s="102"/>
      <c r="AN67" s="102"/>
      <c r="AO67" s="102"/>
      <c r="AP67" s="102"/>
    </row>
    <row r="68" spans="1:152" ht="15.5" x14ac:dyDescent="0.35">
      <c r="A68" s="140"/>
      <c r="B68" s="140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56"/>
      <c r="Z68" s="102"/>
      <c r="AA68" s="102"/>
      <c r="AB68" s="102"/>
      <c r="AC68" s="102"/>
      <c r="AD68" s="102"/>
      <c r="AE68" s="102"/>
      <c r="AF68" s="102"/>
      <c r="AG68" s="102"/>
      <c r="AH68" s="102"/>
      <c r="AI68" s="102"/>
      <c r="AJ68" s="102"/>
      <c r="AK68" s="102"/>
      <c r="AL68" s="102"/>
      <c r="AM68" s="102"/>
      <c r="AN68" s="102"/>
      <c r="AO68" s="102"/>
      <c r="AP68" s="102"/>
    </row>
    <row r="69" spans="1:152" ht="15.5" x14ac:dyDescent="0.35">
      <c r="A69" s="140"/>
      <c r="B69" s="140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56"/>
      <c r="Z69" s="102"/>
      <c r="AA69" s="102"/>
      <c r="AB69" s="102"/>
      <c r="AC69" s="102"/>
      <c r="AD69" s="102"/>
      <c r="AE69" s="102"/>
      <c r="AF69" s="102"/>
      <c r="AG69" s="102"/>
      <c r="AH69" s="102"/>
      <c r="AI69" s="102"/>
      <c r="AJ69" s="102"/>
      <c r="AK69" s="102"/>
      <c r="AL69" s="102"/>
      <c r="AM69" s="102"/>
      <c r="AN69" s="102"/>
      <c r="AO69" s="102"/>
      <c r="AP69" s="102"/>
    </row>
    <row r="70" spans="1:152" ht="15.5" x14ac:dyDescent="0.35">
      <c r="A70" s="140"/>
      <c r="B70" s="140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56"/>
      <c r="Z70" s="102"/>
      <c r="AA70" s="102"/>
      <c r="AB70" s="102"/>
      <c r="AC70" s="102"/>
      <c r="AD70" s="102"/>
      <c r="AE70" s="102"/>
      <c r="AF70" s="102"/>
      <c r="AG70" s="102"/>
      <c r="AH70" s="102"/>
      <c r="AI70" s="102"/>
      <c r="AJ70" s="102"/>
      <c r="AK70" s="102"/>
      <c r="AL70" s="102"/>
      <c r="AM70" s="102"/>
      <c r="AN70" s="102"/>
      <c r="AO70" s="102"/>
      <c r="AP70" s="102"/>
    </row>
    <row r="71" spans="1:152" ht="15.5" x14ac:dyDescent="0.35">
      <c r="A71" s="137"/>
      <c r="B71" s="138"/>
      <c r="C71" s="76" t="s">
        <v>64</v>
      </c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101"/>
      <c r="T71" s="101"/>
      <c r="U71" s="101"/>
      <c r="V71" s="101"/>
      <c r="W71" s="101"/>
      <c r="X71" s="101"/>
      <c r="Y71" s="15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  <c r="AN71" s="101"/>
      <c r="AO71" s="101"/>
      <c r="AP71" s="101"/>
    </row>
    <row r="72" spans="1:152" ht="15.5" x14ac:dyDescent="0.35">
      <c r="A72" s="137"/>
      <c r="B72" s="98"/>
      <c r="C72" s="103" t="s">
        <v>197</v>
      </c>
      <c r="D72" s="78"/>
      <c r="E72" s="79" t="str">
        <f>PETUNJUK!C5</f>
        <v>PECANGAAN</v>
      </c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101"/>
      <c r="T72" s="101"/>
      <c r="U72" s="101"/>
      <c r="V72" s="101" t="s">
        <v>199</v>
      </c>
      <c r="W72" s="101"/>
      <c r="X72" s="101"/>
      <c r="Y72" s="15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  <c r="AM72" s="101"/>
      <c r="AN72" s="101"/>
      <c r="AO72" s="101" t="s">
        <v>200</v>
      </c>
      <c r="AP72" s="101"/>
    </row>
    <row r="73" spans="1:152" ht="15.5" x14ac:dyDescent="0.35">
      <c r="A73" s="137"/>
      <c r="B73" s="139"/>
      <c r="C73" s="104" t="s">
        <v>198</v>
      </c>
      <c r="D73" s="105"/>
      <c r="E73" s="106" t="str">
        <f>'1.DATA KIA'!C72</f>
        <v xml:space="preserve">MARET </v>
      </c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1"/>
      <c r="T73" s="101"/>
      <c r="U73" s="101"/>
      <c r="V73" s="101"/>
      <c r="W73" s="101"/>
      <c r="X73" s="101"/>
      <c r="Y73" s="15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  <c r="AN73" s="101"/>
      <c r="AO73" s="101"/>
      <c r="AP73" s="101"/>
    </row>
    <row r="74" spans="1:152" ht="16" thickBot="1" x14ac:dyDescent="0.4">
      <c r="A74" s="870"/>
      <c r="B74" s="870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1"/>
      <c r="T74" s="101"/>
      <c r="U74" s="101"/>
      <c r="V74" s="101"/>
      <c r="W74" s="101"/>
      <c r="X74" s="101"/>
      <c r="Y74" s="15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  <c r="AN74" s="101"/>
      <c r="AO74" s="101"/>
      <c r="AP74" s="101"/>
    </row>
    <row r="75" spans="1:152" s="111" customFormat="1" ht="34.5" customHeight="1" x14ac:dyDescent="0.35">
      <c r="A75" s="871" t="s">
        <v>1</v>
      </c>
      <c r="B75" s="874" t="s">
        <v>2</v>
      </c>
      <c r="C75" s="877" t="s">
        <v>65</v>
      </c>
      <c r="D75" s="847" t="s">
        <v>66</v>
      </c>
      <c r="E75" s="848"/>
      <c r="F75" s="848"/>
      <c r="G75" s="880"/>
      <c r="H75" s="859" t="s">
        <v>194</v>
      </c>
      <c r="I75" s="860"/>
      <c r="J75" s="860"/>
      <c r="K75" s="861"/>
      <c r="L75" s="847" t="s">
        <v>67</v>
      </c>
      <c r="M75" s="848"/>
      <c r="N75" s="848"/>
      <c r="O75" s="848"/>
      <c r="P75" s="848"/>
      <c r="Q75" s="848"/>
      <c r="R75" s="848"/>
      <c r="S75" s="848"/>
      <c r="T75" s="848"/>
      <c r="U75" s="848"/>
      <c r="V75" s="848"/>
      <c r="W75" s="848"/>
      <c r="X75" s="849"/>
      <c r="Y75" s="152"/>
      <c r="Z75" s="850" t="s">
        <v>79</v>
      </c>
      <c r="AA75" s="851"/>
      <c r="AB75" s="851"/>
      <c r="AC75" s="851"/>
      <c r="AD75" s="851"/>
      <c r="AE75" s="851"/>
      <c r="AF75" s="851"/>
      <c r="AG75" s="851"/>
      <c r="AH75" s="851"/>
      <c r="AI75" s="851"/>
      <c r="AJ75" s="851"/>
      <c r="AK75" s="851"/>
      <c r="AL75" s="851"/>
      <c r="AM75" s="851"/>
      <c r="AN75" s="851"/>
      <c r="AO75" s="851"/>
      <c r="AP75" s="852"/>
      <c r="AQ75" s="280"/>
      <c r="AR75" s="280"/>
      <c r="AS75" s="280"/>
      <c r="AT75" s="280"/>
      <c r="AU75" s="280"/>
      <c r="AV75" s="280"/>
      <c r="AW75" s="280"/>
      <c r="AX75" s="280"/>
      <c r="AY75" s="280"/>
      <c r="AZ75" s="280"/>
      <c r="BA75" s="280"/>
      <c r="BB75" s="280"/>
      <c r="BC75" s="280"/>
      <c r="BD75" s="280"/>
      <c r="BE75" s="280"/>
      <c r="BF75" s="280"/>
      <c r="BG75" s="280"/>
      <c r="BH75" s="280"/>
      <c r="BI75" s="280"/>
      <c r="BJ75" s="280"/>
      <c r="BK75" s="280"/>
      <c r="BL75" s="280"/>
      <c r="BM75" s="280"/>
      <c r="BN75" s="280"/>
      <c r="BO75" s="280"/>
      <c r="BP75" s="280"/>
      <c r="BQ75" s="280"/>
      <c r="BR75" s="280"/>
      <c r="BS75" s="280"/>
      <c r="BT75" s="280"/>
      <c r="BU75" s="280"/>
      <c r="BV75" s="280"/>
      <c r="BW75" s="280"/>
      <c r="BX75" s="280"/>
      <c r="BY75" s="280"/>
      <c r="BZ75" s="280"/>
      <c r="CA75" s="280"/>
      <c r="CB75" s="280"/>
      <c r="CC75" s="280"/>
      <c r="CD75" s="280"/>
      <c r="CE75" s="280"/>
      <c r="CF75" s="280"/>
      <c r="CG75" s="280"/>
      <c r="CH75" s="280"/>
      <c r="CI75" s="280"/>
      <c r="CJ75" s="280"/>
      <c r="CK75" s="280"/>
      <c r="CL75" s="280"/>
      <c r="CM75" s="280"/>
      <c r="CN75" s="280"/>
      <c r="CO75" s="280"/>
      <c r="CP75" s="280"/>
      <c r="CQ75" s="280"/>
      <c r="CR75" s="280"/>
      <c r="CS75" s="280"/>
      <c r="CT75" s="280"/>
      <c r="CU75" s="280"/>
      <c r="CV75" s="280"/>
      <c r="CW75" s="280"/>
      <c r="CX75" s="280"/>
      <c r="CY75" s="280"/>
      <c r="CZ75" s="280"/>
      <c r="DA75" s="280"/>
      <c r="DB75" s="280"/>
      <c r="DC75" s="280"/>
      <c r="DD75" s="280"/>
      <c r="DE75" s="280"/>
      <c r="DF75" s="280"/>
      <c r="DG75" s="280"/>
      <c r="DH75" s="280"/>
      <c r="DI75" s="280"/>
      <c r="DJ75" s="280"/>
      <c r="DK75" s="280"/>
      <c r="DL75" s="280"/>
      <c r="DM75" s="280"/>
      <c r="DN75" s="280"/>
      <c r="DO75" s="280"/>
      <c r="DP75" s="280"/>
      <c r="DQ75" s="280"/>
      <c r="DR75" s="280"/>
      <c r="DS75" s="280"/>
      <c r="DT75" s="280"/>
      <c r="DU75" s="280"/>
      <c r="DV75" s="280"/>
      <c r="DW75" s="280"/>
      <c r="DX75" s="280"/>
      <c r="DY75" s="280"/>
      <c r="DZ75" s="280"/>
      <c r="EA75" s="280"/>
      <c r="EB75" s="280"/>
      <c r="EC75" s="280"/>
      <c r="ED75" s="280"/>
      <c r="EE75" s="280"/>
      <c r="EF75" s="280"/>
      <c r="EG75" s="280"/>
      <c r="EH75" s="280"/>
      <c r="EI75" s="280"/>
      <c r="EJ75" s="280"/>
      <c r="EK75" s="280"/>
      <c r="EL75" s="280"/>
      <c r="EM75" s="280"/>
      <c r="EN75" s="280"/>
      <c r="EO75" s="280"/>
      <c r="EP75" s="280"/>
      <c r="EQ75" s="280"/>
      <c r="ER75" s="280"/>
      <c r="ES75" s="280"/>
      <c r="ET75" s="280"/>
      <c r="EU75" s="280"/>
      <c r="EV75" s="280"/>
    </row>
    <row r="76" spans="1:152" s="111" customFormat="1" ht="43.5" customHeight="1" x14ac:dyDescent="0.35">
      <c r="A76" s="872"/>
      <c r="B76" s="875"/>
      <c r="C76" s="878"/>
      <c r="D76" s="853" t="s">
        <v>68</v>
      </c>
      <c r="E76" s="856" t="s">
        <v>69</v>
      </c>
      <c r="F76" s="856" t="s">
        <v>36</v>
      </c>
      <c r="G76" s="856" t="s">
        <v>37</v>
      </c>
      <c r="H76" s="853" t="s">
        <v>68</v>
      </c>
      <c r="I76" s="856" t="s">
        <v>69</v>
      </c>
      <c r="J76" s="856" t="s">
        <v>36</v>
      </c>
      <c r="K76" s="856" t="s">
        <v>37</v>
      </c>
      <c r="L76" s="865" t="s">
        <v>196</v>
      </c>
      <c r="M76" s="866"/>
      <c r="N76" s="867" t="s">
        <v>70</v>
      </c>
      <c r="O76" s="868"/>
      <c r="P76" s="865" t="s">
        <v>71</v>
      </c>
      <c r="Q76" s="869"/>
      <c r="R76" s="866"/>
      <c r="S76" s="838" t="s">
        <v>80</v>
      </c>
      <c r="T76" s="838"/>
      <c r="U76" s="838"/>
      <c r="V76" s="838"/>
      <c r="W76" s="838"/>
      <c r="X76" s="832"/>
      <c r="Y76" s="153"/>
      <c r="Z76" s="839" t="s">
        <v>81</v>
      </c>
      <c r="AA76" s="838"/>
      <c r="AB76" s="838"/>
      <c r="AC76" s="840" t="s">
        <v>195</v>
      </c>
      <c r="AD76" s="841"/>
      <c r="AE76" s="862" t="s">
        <v>82</v>
      </c>
      <c r="AF76" s="863"/>
      <c r="AG76" s="862" t="s">
        <v>83</v>
      </c>
      <c r="AH76" s="864"/>
      <c r="AI76" s="864"/>
      <c r="AJ76" s="864"/>
      <c r="AK76" s="864"/>
      <c r="AL76" s="863"/>
      <c r="AM76" s="831" t="s">
        <v>84</v>
      </c>
      <c r="AN76" s="838"/>
      <c r="AO76" s="838"/>
      <c r="AP76" s="832"/>
      <c r="AQ76" s="280"/>
      <c r="AR76" s="280"/>
      <c r="AS76" s="280"/>
      <c r="AT76" s="280"/>
      <c r="AU76" s="280"/>
      <c r="AV76" s="280"/>
      <c r="AW76" s="280"/>
      <c r="AX76" s="280"/>
      <c r="AY76" s="280"/>
      <c r="AZ76" s="280"/>
      <c r="BA76" s="280"/>
      <c r="BB76" s="280"/>
      <c r="BC76" s="280"/>
      <c r="BD76" s="280"/>
      <c r="BE76" s="280"/>
      <c r="BF76" s="280"/>
      <c r="BG76" s="280"/>
      <c r="BH76" s="280"/>
      <c r="BI76" s="280"/>
      <c r="BJ76" s="280"/>
      <c r="BK76" s="280"/>
      <c r="BL76" s="280"/>
      <c r="BM76" s="280"/>
      <c r="BN76" s="280"/>
      <c r="BO76" s="280"/>
      <c r="BP76" s="280"/>
      <c r="BQ76" s="280"/>
      <c r="BR76" s="280"/>
      <c r="BS76" s="280"/>
      <c r="BT76" s="280"/>
      <c r="BU76" s="280"/>
      <c r="BV76" s="280"/>
      <c r="BW76" s="280"/>
      <c r="BX76" s="280"/>
      <c r="BY76" s="280"/>
      <c r="BZ76" s="280"/>
      <c r="CA76" s="280"/>
      <c r="CB76" s="280"/>
      <c r="CC76" s="280"/>
      <c r="CD76" s="280"/>
      <c r="CE76" s="280"/>
      <c r="CF76" s="280"/>
      <c r="CG76" s="280"/>
      <c r="CH76" s="280"/>
      <c r="CI76" s="280"/>
      <c r="CJ76" s="280"/>
      <c r="CK76" s="280"/>
      <c r="CL76" s="280"/>
      <c r="CM76" s="280"/>
      <c r="CN76" s="280"/>
      <c r="CO76" s="280"/>
      <c r="CP76" s="280"/>
      <c r="CQ76" s="280"/>
      <c r="CR76" s="280"/>
      <c r="CS76" s="280"/>
      <c r="CT76" s="280"/>
      <c r="CU76" s="280"/>
      <c r="CV76" s="280"/>
      <c r="CW76" s="280"/>
      <c r="CX76" s="280"/>
      <c r="CY76" s="280"/>
      <c r="CZ76" s="280"/>
      <c r="DA76" s="280"/>
      <c r="DB76" s="280"/>
      <c r="DC76" s="280"/>
      <c r="DD76" s="280"/>
      <c r="DE76" s="280"/>
      <c r="DF76" s="280"/>
      <c r="DG76" s="280"/>
      <c r="DH76" s="280"/>
      <c r="DI76" s="280"/>
      <c r="DJ76" s="280"/>
      <c r="DK76" s="280"/>
      <c r="DL76" s="280"/>
      <c r="DM76" s="280"/>
      <c r="DN76" s="280"/>
      <c r="DO76" s="280"/>
      <c r="DP76" s="280"/>
      <c r="DQ76" s="280"/>
      <c r="DR76" s="280"/>
      <c r="DS76" s="280"/>
      <c r="DT76" s="280"/>
      <c r="DU76" s="280"/>
      <c r="DV76" s="280"/>
      <c r="DW76" s="280"/>
      <c r="DX76" s="280"/>
      <c r="DY76" s="280"/>
      <c r="DZ76" s="280"/>
      <c r="EA76" s="280"/>
      <c r="EB76" s="280"/>
      <c r="EC76" s="280"/>
      <c r="ED76" s="280"/>
      <c r="EE76" s="280"/>
      <c r="EF76" s="280"/>
      <c r="EG76" s="280"/>
      <c r="EH76" s="280"/>
      <c r="EI76" s="280"/>
      <c r="EJ76" s="280"/>
      <c r="EK76" s="280"/>
      <c r="EL76" s="280"/>
      <c r="EM76" s="280"/>
      <c r="EN76" s="280"/>
      <c r="EO76" s="280"/>
      <c r="EP76" s="280"/>
      <c r="EQ76" s="280"/>
      <c r="ER76" s="280"/>
      <c r="ES76" s="280"/>
      <c r="ET76" s="280"/>
      <c r="EU76" s="280"/>
      <c r="EV76" s="280"/>
    </row>
    <row r="77" spans="1:152" s="111" customFormat="1" ht="22.5" customHeight="1" x14ac:dyDescent="0.35">
      <c r="A77" s="872"/>
      <c r="B77" s="875"/>
      <c r="C77" s="878"/>
      <c r="D77" s="854"/>
      <c r="E77" s="857"/>
      <c r="F77" s="857"/>
      <c r="G77" s="857"/>
      <c r="H77" s="854"/>
      <c r="I77" s="857"/>
      <c r="J77" s="857"/>
      <c r="K77" s="857"/>
      <c r="L77" s="856" t="s">
        <v>72</v>
      </c>
      <c r="M77" s="856" t="s">
        <v>73</v>
      </c>
      <c r="N77" s="856" t="s">
        <v>74</v>
      </c>
      <c r="O77" s="856" t="s">
        <v>75</v>
      </c>
      <c r="P77" s="856" t="s">
        <v>76</v>
      </c>
      <c r="Q77" s="856" t="s">
        <v>77</v>
      </c>
      <c r="R77" s="856" t="s">
        <v>78</v>
      </c>
      <c r="S77" s="836" t="s">
        <v>85</v>
      </c>
      <c r="T77" s="842" t="s">
        <v>86</v>
      </c>
      <c r="U77" s="842" t="s">
        <v>87</v>
      </c>
      <c r="V77" s="842" t="s">
        <v>88</v>
      </c>
      <c r="W77" s="831" t="s">
        <v>89</v>
      </c>
      <c r="X77" s="832"/>
      <c r="Y77" s="153"/>
      <c r="Z77" s="844" t="s">
        <v>90</v>
      </c>
      <c r="AA77" s="834" t="s">
        <v>77</v>
      </c>
      <c r="AB77" s="834" t="s">
        <v>76</v>
      </c>
      <c r="AC77" s="834" t="s">
        <v>93</v>
      </c>
      <c r="AD77" s="834" t="s">
        <v>2</v>
      </c>
      <c r="AE77" s="834" t="s">
        <v>93</v>
      </c>
      <c r="AF77" s="834" t="s">
        <v>2</v>
      </c>
      <c r="AG77" s="834" t="s">
        <v>94</v>
      </c>
      <c r="AH77" s="834" t="s">
        <v>95</v>
      </c>
      <c r="AI77" s="834" t="s">
        <v>96</v>
      </c>
      <c r="AJ77" s="834" t="s">
        <v>97</v>
      </c>
      <c r="AK77" s="834" t="s">
        <v>98</v>
      </c>
      <c r="AL77" s="834" t="s">
        <v>99</v>
      </c>
      <c r="AM77" s="831" t="s">
        <v>91</v>
      </c>
      <c r="AN77" s="846"/>
      <c r="AO77" s="831" t="s">
        <v>7</v>
      </c>
      <c r="AP77" s="832"/>
      <c r="AQ77" s="280"/>
      <c r="AR77" s="280"/>
      <c r="AS77" s="280"/>
      <c r="AT77" s="280"/>
      <c r="AU77" s="280"/>
      <c r="AV77" s="280"/>
      <c r="AW77" s="280"/>
      <c r="AX77" s="280"/>
      <c r="AY77" s="280"/>
      <c r="AZ77" s="280"/>
      <c r="BA77" s="280"/>
      <c r="BB77" s="280"/>
      <c r="BC77" s="280"/>
      <c r="BD77" s="280"/>
      <c r="BE77" s="280"/>
      <c r="BF77" s="280"/>
      <c r="BG77" s="280"/>
      <c r="BH77" s="280"/>
      <c r="BI77" s="280"/>
      <c r="BJ77" s="280"/>
      <c r="BK77" s="280"/>
      <c r="BL77" s="280"/>
      <c r="BM77" s="280"/>
      <c r="BN77" s="280"/>
      <c r="BO77" s="280"/>
      <c r="BP77" s="280"/>
      <c r="BQ77" s="280"/>
      <c r="BR77" s="280"/>
      <c r="BS77" s="280"/>
      <c r="BT77" s="280"/>
      <c r="BU77" s="280"/>
      <c r="BV77" s="280"/>
      <c r="BW77" s="280"/>
      <c r="BX77" s="280"/>
      <c r="BY77" s="280"/>
      <c r="BZ77" s="280"/>
      <c r="CA77" s="280"/>
      <c r="CB77" s="280"/>
      <c r="CC77" s="280"/>
      <c r="CD77" s="280"/>
      <c r="CE77" s="280"/>
      <c r="CF77" s="280"/>
      <c r="CG77" s="280"/>
      <c r="CH77" s="280"/>
      <c r="CI77" s="280"/>
      <c r="CJ77" s="280"/>
      <c r="CK77" s="280"/>
      <c r="CL77" s="280"/>
      <c r="CM77" s="280"/>
      <c r="CN77" s="280"/>
      <c r="CO77" s="280"/>
      <c r="CP77" s="280"/>
      <c r="CQ77" s="280"/>
      <c r="CR77" s="280"/>
      <c r="CS77" s="280"/>
      <c r="CT77" s="280"/>
      <c r="CU77" s="280"/>
      <c r="CV77" s="280"/>
      <c r="CW77" s="280"/>
      <c r="CX77" s="280"/>
      <c r="CY77" s="280"/>
      <c r="CZ77" s="280"/>
      <c r="DA77" s="280"/>
      <c r="DB77" s="280"/>
      <c r="DC77" s="280"/>
      <c r="DD77" s="280"/>
      <c r="DE77" s="280"/>
      <c r="DF77" s="280"/>
      <c r="DG77" s="280"/>
      <c r="DH77" s="280"/>
      <c r="DI77" s="280"/>
      <c r="DJ77" s="280"/>
      <c r="DK77" s="280"/>
      <c r="DL77" s="280"/>
      <c r="DM77" s="280"/>
      <c r="DN77" s="280"/>
      <c r="DO77" s="280"/>
      <c r="DP77" s="280"/>
      <c r="DQ77" s="280"/>
      <c r="DR77" s="280"/>
      <c r="DS77" s="280"/>
      <c r="DT77" s="280"/>
      <c r="DU77" s="280"/>
      <c r="DV77" s="280"/>
      <c r="DW77" s="280"/>
      <c r="DX77" s="280"/>
      <c r="DY77" s="280"/>
      <c r="DZ77" s="280"/>
      <c r="EA77" s="280"/>
      <c r="EB77" s="280"/>
      <c r="EC77" s="280"/>
      <c r="ED77" s="280"/>
      <c r="EE77" s="280"/>
      <c r="EF77" s="280"/>
      <c r="EG77" s="280"/>
      <c r="EH77" s="280"/>
      <c r="EI77" s="280"/>
      <c r="EJ77" s="280"/>
      <c r="EK77" s="280"/>
      <c r="EL77" s="280"/>
      <c r="EM77" s="280"/>
      <c r="EN77" s="280"/>
      <c r="EO77" s="280"/>
      <c r="EP77" s="280"/>
      <c r="EQ77" s="280"/>
      <c r="ER77" s="280"/>
      <c r="ES77" s="280"/>
      <c r="ET77" s="280"/>
      <c r="EU77" s="280"/>
      <c r="EV77" s="280"/>
    </row>
    <row r="78" spans="1:152" s="111" customFormat="1" ht="21.75" customHeight="1" x14ac:dyDescent="0.35">
      <c r="A78" s="873"/>
      <c r="B78" s="876"/>
      <c r="C78" s="879"/>
      <c r="D78" s="855"/>
      <c r="E78" s="858"/>
      <c r="F78" s="858"/>
      <c r="G78" s="858"/>
      <c r="H78" s="855"/>
      <c r="I78" s="858"/>
      <c r="J78" s="858"/>
      <c r="K78" s="858"/>
      <c r="L78" s="858"/>
      <c r="M78" s="858"/>
      <c r="N78" s="858"/>
      <c r="O78" s="858"/>
      <c r="P78" s="858"/>
      <c r="Q78" s="858"/>
      <c r="R78" s="858"/>
      <c r="S78" s="837"/>
      <c r="T78" s="843"/>
      <c r="U78" s="843"/>
      <c r="V78" s="843"/>
      <c r="W78" s="162" t="s">
        <v>76</v>
      </c>
      <c r="X78" s="163" t="s">
        <v>92</v>
      </c>
      <c r="Y78" s="153"/>
      <c r="Z78" s="845"/>
      <c r="AA78" s="835"/>
      <c r="AB78" s="835"/>
      <c r="AC78" s="835"/>
      <c r="AD78" s="835"/>
      <c r="AE78" s="835"/>
      <c r="AF78" s="835"/>
      <c r="AG78" s="835"/>
      <c r="AH78" s="835"/>
      <c r="AI78" s="835"/>
      <c r="AJ78" s="835"/>
      <c r="AK78" s="835"/>
      <c r="AL78" s="835"/>
      <c r="AM78" s="162" t="s">
        <v>100</v>
      </c>
      <c r="AN78" s="162" t="s">
        <v>101</v>
      </c>
      <c r="AO78" s="162" t="s">
        <v>100</v>
      </c>
      <c r="AP78" s="163" t="s">
        <v>101</v>
      </c>
      <c r="AQ78" s="280"/>
      <c r="AR78" s="280"/>
      <c r="AS78" s="280"/>
      <c r="AT78" s="280"/>
      <c r="AU78" s="280"/>
      <c r="AV78" s="280"/>
      <c r="AW78" s="280"/>
      <c r="AX78" s="280"/>
      <c r="AY78" s="280"/>
      <c r="AZ78" s="280"/>
      <c r="BA78" s="280"/>
      <c r="BB78" s="280"/>
      <c r="BC78" s="280"/>
      <c r="BD78" s="280"/>
      <c r="BE78" s="280"/>
      <c r="BF78" s="280"/>
      <c r="BG78" s="280"/>
      <c r="BH78" s="280"/>
      <c r="BI78" s="280"/>
      <c r="BJ78" s="280"/>
      <c r="BK78" s="280"/>
      <c r="BL78" s="280"/>
      <c r="BM78" s="280"/>
      <c r="BN78" s="280"/>
      <c r="BO78" s="280"/>
      <c r="BP78" s="280"/>
      <c r="BQ78" s="280"/>
      <c r="BR78" s="280"/>
      <c r="BS78" s="280"/>
      <c r="BT78" s="280"/>
      <c r="BU78" s="280"/>
      <c r="BV78" s="280"/>
      <c r="BW78" s="280"/>
      <c r="BX78" s="280"/>
      <c r="BY78" s="280"/>
      <c r="BZ78" s="280"/>
      <c r="CA78" s="280"/>
      <c r="CB78" s="280"/>
      <c r="CC78" s="280"/>
      <c r="CD78" s="280"/>
      <c r="CE78" s="280"/>
      <c r="CF78" s="280"/>
      <c r="CG78" s="280"/>
      <c r="CH78" s="280"/>
      <c r="CI78" s="280"/>
      <c r="CJ78" s="280"/>
      <c r="CK78" s="280"/>
      <c r="CL78" s="280"/>
      <c r="CM78" s="280"/>
      <c r="CN78" s="280"/>
      <c r="CO78" s="280"/>
      <c r="CP78" s="280"/>
      <c r="CQ78" s="280"/>
      <c r="CR78" s="280"/>
      <c r="CS78" s="280"/>
      <c r="CT78" s="280"/>
      <c r="CU78" s="280"/>
      <c r="CV78" s="280"/>
      <c r="CW78" s="280"/>
      <c r="CX78" s="280"/>
      <c r="CY78" s="280"/>
      <c r="CZ78" s="280"/>
      <c r="DA78" s="280"/>
      <c r="DB78" s="280"/>
      <c r="DC78" s="280"/>
      <c r="DD78" s="280"/>
      <c r="DE78" s="280"/>
      <c r="DF78" s="280"/>
      <c r="DG78" s="280"/>
      <c r="DH78" s="280"/>
      <c r="DI78" s="280"/>
      <c r="DJ78" s="280"/>
      <c r="DK78" s="280"/>
      <c r="DL78" s="280"/>
      <c r="DM78" s="280"/>
      <c r="DN78" s="280"/>
      <c r="DO78" s="280"/>
      <c r="DP78" s="280"/>
      <c r="DQ78" s="280"/>
      <c r="DR78" s="280"/>
      <c r="DS78" s="280"/>
      <c r="DT78" s="280"/>
      <c r="DU78" s="280"/>
      <c r="DV78" s="280"/>
      <c r="DW78" s="280"/>
      <c r="DX78" s="280"/>
      <c r="DY78" s="280"/>
      <c r="DZ78" s="280"/>
      <c r="EA78" s="280"/>
      <c r="EB78" s="280"/>
      <c r="EC78" s="280"/>
      <c r="ED78" s="280"/>
      <c r="EE78" s="280"/>
      <c r="EF78" s="280"/>
      <c r="EG78" s="280"/>
      <c r="EH78" s="280"/>
      <c r="EI78" s="280"/>
      <c r="EJ78" s="280"/>
      <c r="EK78" s="280"/>
      <c r="EL78" s="280"/>
      <c r="EM78" s="280"/>
      <c r="EN78" s="280"/>
      <c r="EO78" s="280"/>
      <c r="EP78" s="280"/>
      <c r="EQ78" s="280"/>
      <c r="ER78" s="280"/>
      <c r="ES78" s="280"/>
      <c r="ET78" s="280"/>
      <c r="EU78" s="280"/>
      <c r="EV78" s="280"/>
    </row>
    <row r="79" spans="1:152" ht="20.149999999999999" customHeight="1" x14ac:dyDescent="0.35">
      <c r="A79" s="164">
        <v>1</v>
      </c>
      <c r="B79" s="99" t="str">
        <f>PETUNJUK!B9</f>
        <v>Pecangaan Kulon</v>
      </c>
      <c r="C79" s="80">
        <f>'1.DATA KIA'!C77</f>
        <v>101.2</v>
      </c>
      <c r="D79" s="132">
        <f t="shared" ref="D79:D96" si="35">F44</f>
        <v>15</v>
      </c>
      <c r="E79" s="132">
        <f>'1.DATA KIA'!F77</f>
        <v>7</v>
      </c>
      <c r="F79" s="132">
        <f>D79+E79</f>
        <v>22</v>
      </c>
      <c r="G79" s="133">
        <f>F79/C79*100</f>
        <v>21.739130434782609</v>
      </c>
      <c r="H79" s="132">
        <f t="shared" ref="H79:H96" si="36">J44</f>
        <v>17</v>
      </c>
      <c r="I79" s="132">
        <f>'1.DATA KIA'!AB77+'1.DATA KIA'!AE77</f>
        <v>6</v>
      </c>
      <c r="J79" s="132">
        <f>H79+I79</f>
        <v>23</v>
      </c>
      <c r="K79" s="133">
        <f>J79/C79*100</f>
        <v>22.727272727272727</v>
      </c>
      <c r="L79" s="711">
        <f t="shared" ref="L79:L90" si="37">I79</f>
        <v>6</v>
      </c>
      <c r="M79" s="113"/>
      <c r="N79" s="711">
        <f t="shared" ref="N79:N90" si="38">I79</f>
        <v>6</v>
      </c>
      <c r="O79" s="113"/>
      <c r="P79" s="113">
        <v>5</v>
      </c>
      <c r="Q79" s="113"/>
      <c r="R79" s="711">
        <f t="shared" ref="R79:R90" si="39">I79-P79</f>
        <v>1</v>
      </c>
      <c r="S79" s="113">
        <v>0</v>
      </c>
      <c r="T79" s="113"/>
      <c r="U79" s="113">
        <v>1</v>
      </c>
      <c r="V79" s="113"/>
      <c r="W79" s="711">
        <f t="shared" ref="W79:W90" si="40">I79-(S79+T79+U79+V79)</f>
        <v>5</v>
      </c>
      <c r="X79" s="113"/>
      <c r="Y79" s="154"/>
      <c r="Z79" s="712">
        <f t="shared" ref="Z79:Z90" si="41">S79+T79+W79+X79</f>
        <v>5</v>
      </c>
      <c r="AA79" s="134"/>
      <c r="AB79" s="713">
        <f t="shared" ref="AB79:AB90" si="42">I79-Z79</f>
        <v>1</v>
      </c>
      <c r="AC79" s="713">
        <f t="shared" ref="AC79:AC90" si="43">I79</f>
        <v>6</v>
      </c>
      <c r="AD79" s="134"/>
      <c r="AE79" s="713">
        <f t="shared" ref="AE79:AE90" si="44">I79</f>
        <v>6</v>
      </c>
      <c r="AF79" s="134"/>
      <c r="AG79" s="713">
        <f t="shared" ref="AG79:AG90" si="45">I79-(AH79+AI79+AJ79+AK79+AL79)</f>
        <v>0</v>
      </c>
      <c r="AH79" s="134"/>
      <c r="AI79" s="134">
        <v>3</v>
      </c>
      <c r="AJ79" s="134"/>
      <c r="AK79" s="134"/>
      <c r="AL79" s="134">
        <v>3</v>
      </c>
      <c r="AM79" s="713">
        <f t="shared" ref="AM79:AM90" si="46">I79</f>
        <v>6</v>
      </c>
      <c r="AN79" s="134"/>
      <c r="AO79" s="713">
        <f t="shared" ref="AO79:AO90" si="47">I79</f>
        <v>6</v>
      </c>
      <c r="AP79" s="165"/>
    </row>
    <row r="80" spans="1:152" ht="20.149999999999999" customHeight="1" x14ac:dyDescent="0.35">
      <c r="A80" s="166">
        <v>2</v>
      </c>
      <c r="B80" s="100" t="str">
        <f>PETUNJUK!B10</f>
        <v>Rengging</v>
      </c>
      <c r="C80" s="83">
        <f>'1.DATA KIA'!C78</f>
        <v>111.10000000000001</v>
      </c>
      <c r="D80" s="84">
        <f t="shared" si="35"/>
        <v>29</v>
      </c>
      <c r="E80" s="84">
        <f>'1.DATA KIA'!F78</f>
        <v>6</v>
      </c>
      <c r="F80" s="84">
        <f t="shared" ref="F80:F96" si="48">D80+E80</f>
        <v>35</v>
      </c>
      <c r="G80" s="86">
        <f t="shared" ref="G80:G96" si="49">F80/C80*100</f>
        <v>31.503150315031505</v>
      </c>
      <c r="H80" s="84">
        <f t="shared" si="36"/>
        <v>18</v>
      </c>
      <c r="I80" s="84">
        <f>'1.DATA KIA'!AB78+'1.DATA KIA'!AE78</f>
        <v>7</v>
      </c>
      <c r="J80" s="84">
        <f t="shared" ref="J80:J96" si="50">H80+I80</f>
        <v>25</v>
      </c>
      <c r="K80" s="86">
        <f t="shared" ref="K80:K100" si="51">J80/C80*100</f>
        <v>22.5022502250225</v>
      </c>
      <c r="L80" s="711">
        <f t="shared" si="37"/>
        <v>7</v>
      </c>
      <c r="M80" s="113"/>
      <c r="N80" s="711">
        <f t="shared" si="38"/>
        <v>7</v>
      </c>
      <c r="O80" s="113"/>
      <c r="P80" s="113">
        <v>2</v>
      </c>
      <c r="Q80" s="113"/>
      <c r="R80" s="711">
        <f t="shared" si="39"/>
        <v>5</v>
      </c>
      <c r="S80" s="113">
        <v>1</v>
      </c>
      <c r="T80" s="113"/>
      <c r="U80" s="113">
        <v>5</v>
      </c>
      <c r="V80" s="113"/>
      <c r="W80" s="711">
        <f t="shared" si="40"/>
        <v>1</v>
      </c>
      <c r="X80" s="113"/>
      <c r="Y80" s="154"/>
      <c r="Z80" s="712">
        <f t="shared" si="41"/>
        <v>2</v>
      </c>
      <c r="AA80" s="134"/>
      <c r="AB80" s="713">
        <f t="shared" si="42"/>
        <v>5</v>
      </c>
      <c r="AC80" s="713">
        <f t="shared" si="43"/>
        <v>7</v>
      </c>
      <c r="AD80" s="134"/>
      <c r="AE80" s="713">
        <f t="shared" si="44"/>
        <v>7</v>
      </c>
      <c r="AF80" s="134"/>
      <c r="AG80" s="713">
        <f t="shared" si="45"/>
        <v>0</v>
      </c>
      <c r="AH80" s="134"/>
      <c r="AI80" s="134">
        <v>7</v>
      </c>
      <c r="AJ80" s="134"/>
      <c r="AK80" s="134"/>
      <c r="AL80" s="134"/>
      <c r="AM80" s="713">
        <f t="shared" si="46"/>
        <v>7</v>
      </c>
      <c r="AN80" s="134"/>
      <c r="AO80" s="713">
        <v>8</v>
      </c>
      <c r="AP80" s="165"/>
    </row>
    <row r="81" spans="1:42" ht="20.149999999999999" customHeight="1" x14ac:dyDescent="0.35">
      <c r="A81" s="166">
        <v>3</v>
      </c>
      <c r="B81" s="100" t="str">
        <f>PETUNJUK!B11</f>
        <v>Troso</v>
      </c>
      <c r="C81" s="83">
        <f>'1.DATA KIA'!C79</f>
        <v>205.70000000000002</v>
      </c>
      <c r="D81" s="84">
        <f t="shared" si="35"/>
        <v>35</v>
      </c>
      <c r="E81" s="84">
        <f>'1.DATA KIA'!F79</f>
        <v>17</v>
      </c>
      <c r="F81" s="84">
        <f t="shared" si="48"/>
        <v>52</v>
      </c>
      <c r="G81" s="86">
        <f t="shared" si="49"/>
        <v>25.279533300923674</v>
      </c>
      <c r="H81" s="84">
        <f t="shared" si="36"/>
        <v>34</v>
      </c>
      <c r="I81" s="84">
        <f>'1.DATA KIA'!AB79+'1.DATA KIA'!AE79</f>
        <v>12</v>
      </c>
      <c r="J81" s="84">
        <f t="shared" si="50"/>
        <v>46</v>
      </c>
      <c r="K81" s="86">
        <f t="shared" si="51"/>
        <v>22.362664073894017</v>
      </c>
      <c r="L81" s="711">
        <f t="shared" si="37"/>
        <v>12</v>
      </c>
      <c r="M81" s="113"/>
      <c r="N81" s="711">
        <f t="shared" si="38"/>
        <v>12</v>
      </c>
      <c r="O81" s="113"/>
      <c r="P81" s="113">
        <v>8</v>
      </c>
      <c r="Q81" s="113"/>
      <c r="R81" s="711">
        <f t="shared" si="39"/>
        <v>4</v>
      </c>
      <c r="S81" s="113">
        <v>1</v>
      </c>
      <c r="T81" s="113"/>
      <c r="U81" s="113">
        <v>6</v>
      </c>
      <c r="V81" s="113"/>
      <c r="W81" s="711">
        <f t="shared" si="40"/>
        <v>5</v>
      </c>
      <c r="X81" s="113"/>
      <c r="Y81" s="154"/>
      <c r="Z81" s="712">
        <f t="shared" si="41"/>
        <v>6</v>
      </c>
      <c r="AA81" s="134"/>
      <c r="AB81" s="713">
        <f t="shared" si="42"/>
        <v>6</v>
      </c>
      <c r="AC81" s="713">
        <f t="shared" si="43"/>
        <v>12</v>
      </c>
      <c r="AD81" s="134"/>
      <c r="AE81" s="713">
        <f t="shared" si="44"/>
        <v>12</v>
      </c>
      <c r="AF81" s="134"/>
      <c r="AG81" s="713">
        <f t="shared" si="45"/>
        <v>0</v>
      </c>
      <c r="AH81" s="134"/>
      <c r="AI81" s="134">
        <v>10</v>
      </c>
      <c r="AJ81" s="134"/>
      <c r="AK81" s="134"/>
      <c r="AL81" s="134">
        <v>2</v>
      </c>
      <c r="AM81" s="713">
        <f t="shared" si="46"/>
        <v>12</v>
      </c>
      <c r="AN81" s="134"/>
      <c r="AO81" s="713">
        <f t="shared" si="47"/>
        <v>12</v>
      </c>
      <c r="AP81" s="165"/>
    </row>
    <row r="82" spans="1:42" ht="20.149999999999999" customHeight="1" x14ac:dyDescent="0.35">
      <c r="A82" s="166">
        <v>4</v>
      </c>
      <c r="B82" s="100" t="str">
        <f>PETUNJUK!B12</f>
        <v>Ngeling</v>
      </c>
      <c r="C82" s="83">
        <f>'1.DATA KIA'!C80</f>
        <v>95.7</v>
      </c>
      <c r="D82" s="84">
        <f t="shared" si="35"/>
        <v>11</v>
      </c>
      <c r="E82" s="84">
        <f>'1.DATA KIA'!F80</f>
        <v>10</v>
      </c>
      <c r="F82" s="84">
        <f t="shared" si="48"/>
        <v>21</v>
      </c>
      <c r="G82" s="86">
        <f t="shared" si="49"/>
        <v>21.9435736677116</v>
      </c>
      <c r="H82" s="84">
        <f t="shared" si="36"/>
        <v>16</v>
      </c>
      <c r="I82" s="84">
        <f>'1.DATA KIA'!AB80+'1.DATA KIA'!AE80</f>
        <v>1</v>
      </c>
      <c r="J82" s="84">
        <f t="shared" si="50"/>
        <v>17</v>
      </c>
      <c r="K82" s="86">
        <f t="shared" si="51"/>
        <v>17.763845350052247</v>
      </c>
      <c r="L82" s="711">
        <f t="shared" si="37"/>
        <v>1</v>
      </c>
      <c r="M82" s="113"/>
      <c r="N82" s="711">
        <f t="shared" si="38"/>
        <v>1</v>
      </c>
      <c r="O82" s="113"/>
      <c r="P82" s="113">
        <v>1</v>
      </c>
      <c r="Q82" s="113"/>
      <c r="R82" s="711">
        <f t="shared" si="39"/>
        <v>0</v>
      </c>
      <c r="S82" s="113">
        <v>1</v>
      </c>
      <c r="T82" s="113"/>
      <c r="U82" s="113">
        <v>0</v>
      </c>
      <c r="V82" s="113"/>
      <c r="W82" s="711">
        <f t="shared" si="40"/>
        <v>0</v>
      </c>
      <c r="X82" s="113"/>
      <c r="Y82" s="154"/>
      <c r="Z82" s="712">
        <f t="shared" si="41"/>
        <v>1</v>
      </c>
      <c r="AA82" s="134"/>
      <c r="AB82" s="713">
        <f t="shared" si="42"/>
        <v>0</v>
      </c>
      <c r="AC82" s="713">
        <f t="shared" si="43"/>
        <v>1</v>
      </c>
      <c r="AD82" s="134"/>
      <c r="AE82" s="713">
        <f t="shared" si="44"/>
        <v>1</v>
      </c>
      <c r="AF82" s="134"/>
      <c r="AG82" s="713">
        <f t="shared" si="45"/>
        <v>0</v>
      </c>
      <c r="AH82" s="134"/>
      <c r="AI82" s="134">
        <v>1</v>
      </c>
      <c r="AJ82" s="134"/>
      <c r="AK82" s="134"/>
      <c r="AL82" s="134"/>
      <c r="AM82" s="713">
        <f t="shared" si="46"/>
        <v>1</v>
      </c>
      <c r="AN82" s="134"/>
      <c r="AO82" s="713">
        <f t="shared" si="47"/>
        <v>1</v>
      </c>
      <c r="AP82" s="165"/>
    </row>
    <row r="83" spans="1:42" ht="20.149999999999999" customHeight="1" x14ac:dyDescent="0.35">
      <c r="A83" s="166">
        <v>5</v>
      </c>
      <c r="B83" s="141" t="str">
        <f>PETUNJUK!B13</f>
        <v>Lebuawu</v>
      </c>
      <c r="C83" s="83">
        <f>'1.DATA KIA'!C81</f>
        <v>85.800000000000011</v>
      </c>
      <c r="D83" s="84">
        <f t="shared" si="35"/>
        <v>20</v>
      </c>
      <c r="E83" s="84">
        <f>'1.DATA KIA'!F81</f>
        <v>5</v>
      </c>
      <c r="F83" s="84">
        <f t="shared" si="48"/>
        <v>25</v>
      </c>
      <c r="G83" s="86">
        <f t="shared" si="49"/>
        <v>29.137529137529132</v>
      </c>
      <c r="H83" s="84">
        <f t="shared" si="36"/>
        <v>11</v>
      </c>
      <c r="I83" s="84">
        <f>'1.DATA KIA'!AB81+'1.DATA KIA'!AE81</f>
        <v>4</v>
      </c>
      <c r="J83" s="84">
        <f t="shared" si="50"/>
        <v>15</v>
      </c>
      <c r="K83" s="86">
        <f t="shared" si="51"/>
        <v>17.48251748251748</v>
      </c>
      <c r="L83" s="711">
        <f t="shared" si="37"/>
        <v>4</v>
      </c>
      <c r="M83" s="113"/>
      <c r="N83" s="711">
        <f t="shared" si="38"/>
        <v>4</v>
      </c>
      <c r="O83" s="113"/>
      <c r="P83" s="113">
        <v>4</v>
      </c>
      <c r="Q83" s="113"/>
      <c r="R83" s="711">
        <f t="shared" si="39"/>
        <v>0</v>
      </c>
      <c r="S83" s="113">
        <v>3</v>
      </c>
      <c r="T83" s="113"/>
      <c r="U83" s="113">
        <v>1</v>
      </c>
      <c r="V83" s="113"/>
      <c r="W83" s="711">
        <f t="shared" si="40"/>
        <v>0</v>
      </c>
      <c r="X83" s="113"/>
      <c r="Y83" s="154"/>
      <c r="Z83" s="712">
        <f t="shared" si="41"/>
        <v>3</v>
      </c>
      <c r="AA83" s="134"/>
      <c r="AB83" s="713">
        <f t="shared" si="42"/>
        <v>1</v>
      </c>
      <c r="AC83" s="713">
        <f t="shared" si="43"/>
        <v>4</v>
      </c>
      <c r="AD83" s="134"/>
      <c r="AE83" s="713">
        <f t="shared" si="44"/>
        <v>4</v>
      </c>
      <c r="AF83" s="134"/>
      <c r="AG83" s="713">
        <f t="shared" si="45"/>
        <v>0</v>
      </c>
      <c r="AH83" s="134"/>
      <c r="AI83" s="134">
        <v>4</v>
      </c>
      <c r="AJ83" s="134"/>
      <c r="AK83" s="134"/>
      <c r="AL83" s="134"/>
      <c r="AM83" s="713">
        <f t="shared" si="46"/>
        <v>4</v>
      </c>
      <c r="AN83" s="134"/>
      <c r="AO83" s="713">
        <f t="shared" si="47"/>
        <v>4</v>
      </c>
      <c r="AP83" s="165"/>
    </row>
    <row r="84" spans="1:42" ht="20.149999999999999" customHeight="1" x14ac:dyDescent="0.35">
      <c r="A84" s="166">
        <v>6</v>
      </c>
      <c r="B84" s="100" t="str">
        <f>PETUNJUK!B14</f>
        <v>Pulodarat</v>
      </c>
      <c r="C84" s="83">
        <f>'1.DATA KIA'!C82</f>
        <v>82.5</v>
      </c>
      <c r="D84" s="84">
        <f t="shared" si="35"/>
        <v>9</v>
      </c>
      <c r="E84" s="84">
        <f>'1.DATA KIA'!F82</f>
        <v>5</v>
      </c>
      <c r="F84" s="84">
        <f t="shared" si="48"/>
        <v>14</v>
      </c>
      <c r="G84" s="86">
        <f t="shared" si="49"/>
        <v>16.969696969696972</v>
      </c>
      <c r="H84" s="84">
        <f t="shared" si="36"/>
        <v>11</v>
      </c>
      <c r="I84" s="84">
        <f>'1.DATA KIA'!AB82+'1.DATA KIA'!AE82</f>
        <v>2</v>
      </c>
      <c r="J84" s="84">
        <f t="shared" si="50"/>
        <v>13</v>
      </c>
      <c r="K84" s="86">
        <f t="shared" si="51"/>
        <v>15.757575757575756</v>
      </c>
      <c r="L84" s="711">
        <f t="shared" si="37"/>
        <v>2</v>
      </c>
      <c r="M84" s="113"/>
      <c r="N84" s="711">
        <f t="shared" si="38"/>
        <v>2</v>
      </c>
      <c r="O84" s="113"/>
      <c r="P84" s="113">
        <v>1</v>
      </c>
      <c r="Q84" s="113"/>
      <c r="R84" s="711">
        <f t="shared" si="39"/>
        <v>1</v>
      </c>
      <c r="S84" s="113">
        <v>1</v>
      </c>
      <c r="T84" s="113"/>
      <c r="U84" s="113">
        <v>1</v>
      </c>
      <c r="V84" s="113"/>
      <c r="W84" s="711">
        <f t="shared" si="40"/>
        <v>0</v>
      </c>
      <c r="X84" s="113"/>
      <c r="Y84" s="154"/>
      <c r="Z84" s="712">
        <f t="shared" si="41"/>
        <v>1</v>
      </c>
      <c r="AA84" s="134"/>
      <c r="AB84" s="713">
        <f t="shared" si="42"/>
        <v>1</v>
      </c>
      <c r="AC84" s="713">
        <f t="shared" si="43"/>
        <v>2</v>
      </c>
      <c r="AD84" s="134"/>
      <c r="AE84" s="713">
        <f t="shared" si="44"/>
        <v>2</v>
      </c>
      <c r="AF84" s="134"/>
      <c r="AG84" s="713">
        <f t="shared" si="45"/>
        <v>0</v>
      </c>
      <c r="AH84" s="134"/>
      <c r="AI84" s="134">
        <v>2</v>
      </c>
      <c r="AJ84" s="134"/>
      <c r="AK84" s="134"/>
      <c r="AL84" s="134"/>
      <c r="AM84" s="713">
        <f t="shared" si="46"/>
        <v>2</v>
      </c>
      <c r="AN84" s="134"/>
      <c r="AO84" s="713">
        <f t="shared" si="47"/>
        <v>2</v>
      </c>
      <c r="AP84" s="165"/>
    </row>
    <row r="85" spans="1:42" ht="20.149999999999999" customHeight="1" x14ac:dyDescent="0.35">
      <c r="A85" s="166">
        <v>7</v>
      </c>
      <c r="B85" s="100" t="str">
        <f>PETUNJUK!B15</f>
        <v>Karangrandu</v>
      </c>
      <c r="C85" s="83">
        <f>'1.DATA KIA'!C83</f>
        <v>93.500000000000014</v>
      </c>
      <c r="D85" s="84">
        <f t="shared" si="35"/>
        <v>15</v>
      </c>
      <c r="E85" s="84">
        <f>'1.DATA KIA'!F83</f>
        <v>7</v>
      </c>
      <c r="F85" s="84">
        <f t="shared" si="48"/>
        <v>22</v>
      </c>
      <c r="G85" s="86">
        <f t="shared" si="49"/>
        <v>23.52941176470588</v>
      </c>
      <c r="H85" s="84">
        <f t="shared" si="36"/>
        <v>10</v>
      </c>
      <c r="I85" s="84">
        <f>'1.DATA KIA'!AB83+'1.DATA KIA'!AE83</f>
        <v>9</v>
      </c>
      <c r="J85" s="84">
        <f t="shared" si="50"/>
        <v>19</v>
      </c>
      <c r="K85" s="86">
        <f t="shared" si="51"/>
        <v>20.320855614973262</v>
      </c>
      <c r="L85" s="711">
        <f t="shared" si="37"/>
        <v>9</v>
      </c>
      <c r="M85" s="113"/>
      <c r="N85" s="711">
        <f t="shared" si="38"/>
        <v>9</v>
      </c>
      <c r="O85" s="113"/>
      <c r="P85" s="113">
        <v>8</v>
      </c>
      <c r="Q85" s="113"/>
      <c r="R85" s="711">
        <f t="shared" si="39"/>
        <v>1</v>
      </c>
      <c r="S85" s="113">
        <v>1</v>
      </c>
      <c r="T85" s="113"/>
      <c r="U85" s="113">
        <v>2</v>
      </c>
      <c r="V85" s="113"/>
      <c r="W85" s="711">
        <f t="shared" si="40"/>
        <v>6</v>
      </c>
      <c r="X85" s="113"/>
      <c r="Y85" s="154"/>
      <c r="Z85" s="712">
        <f t="shared" si="41"/>
        <v>7</v>
      </c>
      <c r="AA85" s="134"/>
      <c r="AB85" s="713">
        <f t="shared" si="42"/>
        <v>2</v>
      </c>
      <c r="AC85" s="713">
        <f t="shared" si="43"/>
        <v>9</v>
      </c>
      <c r="AD85" s="134"/>
      <c r="AE85" s="713">
        <f t="shared" si="44"/>
        <v>9</v>
      </c>
      <c r="AF85" s="134"/>
      <c r="AG85" s="713">
        <f t="shared" si="45"/>
        <v>0</v>
      </c>
      <c r="AH85" s="134"/>
      <c r="AI85" s="134">
        <v>9</v>
      </c>
      <c r="AJ85" s="134"/>
      <c r="AK85" s="134"/>
      <c r="AL85" s="134"/>
      <c r="AM85" s="713">
        <f t="shared" si="46"/>
        <v>9</v>
      </c>
      <c r="AN85" s="134"/>
      <c r="AO85" s="713">
        <f t="shared" si="47"/>
        <v>9</v>
      </c>
      <c r="AP85" s="165"/>
    </row>
    <row r="86" spans="1:42" ht="20.149999999999999" customHeight="1" x14ac:dyDescent="0.35">
      <c r="A86" s="166">
        <v>8</v>
      </c>
      <c r="B86" s="100" t="str">
        <f>PETUNJUK!B16</f>
        <v>Kaliombo</v>
      </c>
      <c r="C86" s="83">
        <f>'1.DATA KIA'!C84</f>
        <v>46.2</v>
      </c>
      <c r="D86" s="84">
        <f t="shared" si="35"/>
        <v>6</v>
      </c>
      <c r="E86" s="84">
        <f>'1.DATA KIA'!F84</f>
        <v>2</v>
      </c>
      <c r="F86" s="84">
        <f t="shared" si="48"/>
        <v>8</v>
      </c>
      <c r="G86" s="86">
        <f t="shared" si="49"/>
        <v>17.316017316017316</v>
      </c>
      <c r="H86" s="84">
        <f t="shared" si="36"/>
        <v>6</v>
      </c>
      <c r="I86" s="84">
        <f>'1.DATA KIA'!AB84+'1.DATA KIA'!AE84</f>
        <v>2</v>
      </c>
      <c r="J86" s="84">
        <f t="shared" si="50"/>
        <v>8</v>
      </c>
      <c r="K86" s="86">
        <f t="shared" si="51"/>
        <v>17.316017316017316</v>
      </c>
      <c r="L86" s="711">
        <f t="shared" si="37"/>
        <v>2</v>
      </c>
      <c r="M86" s="113"/>
      <c r="N86" s="711">
        <f t="shared" si="38"/>
        <v>2</v>
      </c>
      <c r="O86" s="113"/>
      <c r="P86" s="113">
        <v>1</v>
      </c>
      <c r="Q86" s="113"/>
      <c r="R86" s="711">
        <f t="shared" si="39"/>
        <v>1</v>
      </c>
      <c r="S86" s="113">
        <v>0</v>
      </c>
      <c r="T86" s="113"/>
      <c r="U86" s="113">
        <v>1</v>
      </c>
      <c r="V86" s="113"/>
      <c r="W86" s="711">
        <f t="shared" si="40"/>
        <v>1</v>
      </c>
      <c r="X86" s="113"/>
      <c r="Y86" s="154"/>
      <c r="Z86" s="712">
        <f t="shared" si="41"/>
        <v>1</v>
      </c>
      <c r="AA86" s="134"/>
      <c r="AB86" s="713">
        <f t="shared" si="42"/>
        <v>1</v>
      </c>
      <c r="AC86" s="713">
        <f t="shared" si="43"/>
        <v>2</v>
      </c>
      <c r="AD86" s="134"/>
      <c r="AE86" s="713">
        <f t="shared" si="44"/>
        <v>2</v>
      </c>
      <c r="AF86" s="134"/>
      <c r="AG86" s="713">
        <f t="shared" si="45"/>
        <v>0</v>
      </c>
      <c r="AH86" s="134"/>
      <c r="AI86" s="134">
        <v>1</v>
      </c>
      <c r="AJ86" s="134"/>
      <c r="AK86" s="134">
        <v>1</v>
      </c>
      <c r="AL86" s="134"/>
      <c r="AM86" s="713">
        <f t="shared" si="46"/>
        <v>2</v>
      </c>
      <c r="AN86" s="134"/>
      <c r="AO86" s="713">
        <f t="shared" si="47"/>
        <v>2</v>
      </c>
      <c r="AP86" s="165"/>
    </row>
    <row r="87" spans="1:42" ht="20.149999999999999" customHeight="1" x14ac:dyDescent="0.35">
      <c r="A87" s="166">
        <v>9</v>
      </c>
      <c r="B87" s="100" t="str">
        <f>PETUNJUK!B17</f>
        <v>Gemulung</v>
      </c>
      <c r="C87" s="83">
        <f>'1.DATA KIA'!C85</f>
        <v>53.900000000000006</v>
      </c>
      <c r="D87" s="84">
        <f t="shared" si="35"/>
        <v>9</v>
      </c>
      <c r="E87" s="84">
        <f>'1.DATA KIA'!F85</f>
        <v>5</v>
      </c>
      <c r="F87" s="84">
        <f t="shared" si="48"/>
        <v>14</v>
      </c>
      <c r="G87" s="86">
        <f t="shared" si="49"/>
        <v>25.97402597402597</v>
      </c>
      <c r="H87" s="84">
        <f t="shared" si="36"/>
        <v>8</v>
      </c>
      <c r="I87" s="84">
        <f>'1.DATA KIA'!AB85+'1.DATA KIA'!AE85</f>
        <v>8</v>
      </c>
      <c r="J87" s="84">
        <f t="shared" si="50"/>
        <v>16</v>
      </c>
      <c r="K87" s="86">
        <f t="shared" si="51"/>
        <v>29.684601113172537</v>
      </c>
      <c r="L87" s="711">
        <f t="shared" si="37"/>
        <v>8</v>
      </c>
      <c r="M87" s="113"/>
      <c r="N87" s="711">
        <f t="shared" si="38"/>
        <v>8</v>
      </c>
      <c r="O87" s="113"/>
      <c r="P87" s="113">
        <v>2</v>
      </c>
      <c r="Q87" s="113"/>
      <c r="R87" s="711">
        <f t="shared" si="39"/>
        <v>6</v>
      </c>
      <c r="S87" s="113">
        <v>0</v>
      </c>
      <c r="T87" s="113"/>
      <c r="U87" s="113">
        <v>5</v>
      </c>
      <c r="V87" s="113"/>
      <c r="W87" s="711">
        <f t="shared" si="40"/>
        <v>3</v>
      </c>
      <c r="X87" s="113"/>
      <c r="Y87" s="154"/>
      <c r="Z87" s="712">
        <f t="shared" si="41"/>
        <v>3</v>
      </c>
      <c r="AA87" s="134"/>
      <c r="AB87" s="713">
        <f t="shared" si="42"/>
        <v>5</v>
      </c>
      <c r="AC87" s="713">
        <f t="shared" si="43"/>
        <v>8</v>
      </c>
      <c r="AD87" s="134"/>
      <c r="AE87" s="713">
        <f t="shared" si="44"/>
        <v>8</v>
      </c>
      <c r="AF87" s="134"/>
      <c r="AG87" s="713">
        <f t="shared" si="45"/>
        <v>0</v>
      </c>
      <c r="AH87" s="134"/>
      <c r="AI87" s="134">
        <v>6</v>
      </c>
      <c r="AJ87" s="134"/>
      <c r="AK87" s="134">
        <v>2</v>
      </c>
      <c r="AL87" s="134"/>
      <c r="AM87" s="713">
        <f t="shared" si="46"/>
        <v>8</v>
      </c>
      <c r="AN87" s="134"/>
      <c r="AO87" s="713">
        <f t="shared" si="47"/>
        <v>8</v>
      </c>
      <c r="AP87" s="165"/>
    </row>
    <row r="88" spans="1:42" ht="20.149999999999999" customHeight="1" x14ac:dyDescent="0.35">
      <c r="A88" s="166">
        <v>10</v>
      </c>
      <c r="B88" s="100" t="str">
        <f>PETUNJUK!B18</f>
        <v>Pecangaan Wetan</v>
      </c>
      <c r="C88" s="83">
        <f>'1.DATA KIA'!C86</f>
        <v>50.6</v>
      </c>
      <c r="D88" s="84">
        <f t="shared" si="35"/>
        <v>10</v>
      </c>
      <c r="E88" s="84">
        <f>'1.DATA KIA'!F86</f>
        <v>2</v>
      </c>
      <c r="F88" s="84">
        <f t="shared" si="48"/>
        <v>12</v>
      </c>
      <c r="G88" s="86">
        <f t="shared" si="49"/>
        <v>23.715415019762844</v>
      </c>
      <c r="H88" s="84">
        <f t="shared" si="36"/>
        <v>10</v>
      </c>
      <c r="I88" s="84">
        <f>'1.DATA KIA'!AB86+'1.DATA KIA'!AE86</f>
        <v>1</v>
      </c>
      <c r="J88" s="84">
        <f t="shared" si="50"/>
        <v>11</v>
      </c>
      <c r="K88" s="86">
        <f t="shared" si="51"/>
        <v>21.739130434782609</v>
      </c>
      <c r="L88" s="711">
        <f t="shared" si="37"/>
        <v>1</v>
      </c>
      <c r="M88" s="113"/>
      <c r="N88" s="711">
        <f t="shared" si="38"/>
        <v>1</v>
      </c>
      <c r="O88" s="113"/>
      <c r="P88" s="113">
        <v>0</v>
      </c>
      <c r="Q88" s="113"/>
      <c r="R88" s="711">
        <f t="shared" si="39"/>
        <v>1</v>
      </c>
      <c r="S88" s="113">
        <v>0</v>
      </c>
      <c r="T88" s="113"/>
      <c r="U88" s="113">
        <v>1</v>
      </c>
      <c r="V88" s="113"/>
      <c r="W88" s="711">
        <f t="shared" si="40"/>
        <v>0</v>
      </c>
      <c r="X88" s="113"/>
      <c r="Y88" s="154"/>
      <c r="Z88" s="712">
        <f t="shared" si="41"/>
        <v>0</v>
      </c>
      <c r="AA88" s="134"/>
      <c r="AB88" s="713">
        <f t="shared" si="42"/>
        <v>1</v>
      </c>
      <c r="AC88" s="713">
        <f t="shared" si="43"/>
        <v>1</v>
      </c>
      <c r="AD88" s="134"/>
      <c r="AE88" s="713">
        <f t="shared" si="44"/>
        <v>1</v>
      </c>
      <c r="AF88" s="134"/>
      <c r="AG88" s="713">
        <f t="shared" si="45"/>
        <v>0</v>
      </c>
      <c r="AH88" s="134"/>
      <c r="AI88" s="134">
        <v>0</v>
      </c>
      <c r="AJ88" s="134"/>
      <c r="AK88" s="134"/>
      <c r="AL88" s="134">
        <v>1</v>
      </c>
      <c r="AM88" s="713">
        <f t="shared" si="46"/>
        <v>1</v>
      </c>
      <c r="AN88" s="134"/>
      <c r="AO88" s="713">
        <f t="shared" si="47"/>
        <v>1</v>
      </c>
      <c r="AP88" s="165"/>
    </row>
    <row r="89" spans="1:42" ht="20.149999999999999" customHeight="1" x14ac:dyDescent="0.35">
      <c r="A89" s="166">
        <v>11</v>
      </c>
      <c r="B89" s="100" t="str">
        <f>PETUNJUK!B19</f>
        <v>Krasak</v>
      </c>
      <c r="C89" s="83">
        <f>'1.DATA KIA'!C87</f>
        <v>117.7</v>
      </c>
      <c r="D89" s="84">
        <f t="shared" si="35"/>
        <v>25</v>
      </c>
      <c r="E89" s="84">
        <f>'1.DATA KIA'!F87</f>
        <v>9</v>
      </c>
      <c r="F89" s="84">
        <f t="shared" si="48"/>
        <v>34</v>
      </c>
      <c r="G89" s="86">
        <f t="shared" si="49"/>
        <v>28.887000849617671</v>
      </c>
      <c r="H89" s="84">
        <f t="shared" si="36"/>
        <v>14</v>
      </c>
      <c r="I89" s="84">
        <f>'1.DATA KIA'!AB87+'1.DATA KIA'!AE87</f>
        <v>6</v>
      </c>
      <c r="J89" s="84">
        <f t="shared" si="50"/>
        <v>20</v>
      </c>
      <c r="K89" s="86">
        <f t="shared" si="51"/>
        <v>16.992353440951572</v>
      </c>
      <c r="L89" s="711">
        <f t="shared" si="37"/>
        <v>6</v>
      </c>
      <c r="M89" s="113"/>
      <c r="N89" s="711">
        <f t="shared" si="38"/>
        <v>6</v>
      </c>
      <c r="O89" s="113"/>
      <c r="P89" s="113">
        <v>5</v>
      </c>
      <c r="Q89" s="113"/>
      <c r="R89" s="711">
        <f t="shared" si="39"/>
        <v>1</v>
      </c>
      <c r="S89" s="113">
        <v>0</v>
      </c>
      <c r="T89" s="113"/>
      <c r="U89" s="113">
        <v>3</v>
      </c>
      <c r="V89" s="113"/>
      <c r="W89" s="711">
        <f t="shared" si="40"/>
        <v>3</v>
      </c>
      <c r="X89" s="113"/>
      <c r="Y89" s="154"/>
      <c r="Z89" s="712">
        <f t="shared" si="41"/>
        <v>3</v>
      </c>
      <c r="AA89" s="134"/>
      <c r="AB89" s="713">
        <f t="shared" si="42"/>
        <v>3</v>
      </c>
      <c r="AC89" s="713">
        <f t="shared" si="43"/>
        <v>6</v>
      </c>
      <c r="AD89" s="134"/>
      <c r="AE89" s="713">
        <f t="shared" si="44"/>
        <v>6</v>
      </c>
      <c r="AF89" s="134"/>
      <c r="AG89" s="713">
        <f t="shared" si="45"/>
        <v>0</v>
      </c>
      <c r="AH89" s="134"/>
      <c r="AI89" s="134">
        <v>6</v>
      </c>
      <c r="AJ89" s="134"/>
      <c r="AK89" s="134"/>
      <c r="AL89" s="134"/>
      <c r="AM89" s="713">
        <f t="shared" si="46"/>
        <v>6</v>
      </c>
      <c r="AN89" s="134"/>
      <c r="AO89" s="713">
        <f t="shared" si="47"/>
        <v>6</v>
      </c>
      <c r="AP89" s="165"/>
    </row>
    <row r="90" spans="1:42" ht="20.149999999999999" customHeight="1" x14ac:dyDescent="0.35">
      <c r="A90" s="166">
        <v>12</v>
      </c>
      <c r="B90" s="100" t="str">
        <f>PETUNJUK!B20</f>
        <v>Gerdu</v>
      </c>
      <c r="C90" s="83">
        <f>'1.DATA KIA'!C88</f>
        <v>23.1</v>
      </c>
      <c r="D90" s="84">
        <f t="shared" si="35"/>
        <v>2</v>
      </c>
      <c r="E90" s="84">
        <f>'1.DATA KIA'!F88</f>
        <v>3</v>
      </c>
      <c r="F90" s="84">
        <f t="shared" si="48"/>
        <v>5</v>
      </c>
      <c r="G90" s="86">
        <f t="shared" si="49"/>
        <v>21.645021645021643</v>
      </c>
      <c r="H90" s="84">
        <f t="shared" si="36"/>
        <v>3</v>
      </c>
      <c r="I90" s="84">
        <f>'1.DATA KIA'!AB88+'1.DATA KIA'!AE88</f>
        <v>0</v>
      </c>
      <c r="J90" s="84">
        <f t="shared" si="50"/>
        <v>3</v>
      </c>
      <c r="K90" s="86">
        <f t="shared" si="51"/>
        <v>12.987012987012985</v>
      </c>
      <c r="L90" s="711">
        <f t="shared" si="37"/>
        <v>0</v>
      </c>
      <c r="M90" s="113"/>
      <c r="N90" s="711">
        <f t="shared" si="38"/>
        <v>0</v>
      </c>
      <c r="O90" s="113"/>
      <c r="P90" s="113">
        <v>0</v>
      </c>
      <c r="Q90" s="113"/>
      <c r="R90" s="711">
        <f t="shared" si="39"/>
        <v>0</v>
      </c>
      <c r="S90" s="113">
        <v>0</v>
      </c>
      <c r="T90" s="113"/>
      <c r="U90" s="113">
        <v>0</v>
      </c>
      <c r="V90" s="113"/>
      <c r="W90" s="711">
        <f t="shared" si="40"/>
        <v>0</v>
      </c>
      <c r="X90" s="113"/>
      <c r="Y90" s="154"/>
      <c r="Z90" s="712">
        <f t="shared" si="41"/>
        <v>0</v>
      </c>
      <c r="AA90" s="134"/>
      <c r="AB90" s="713">
        <f t="shared" si="42"/>
        <v>0</v>
      </c>
      <c r="AC90" s="713">
        <f t="shared" si="43"/>
        <v>0</v>
      </c>
      <c r="AD90" s="134"/>
      <c r="AE90" s="713">
        <f t="shared" si="44"/>
        <v>0</v>
      </c>
      <c r="AF90" s="134"/>
      <c r="AG90" s="713">
        <f t="shared" si="45"/>
        <v>0</v>
      </c>
      <c r="AH90" s="134"/>
      <c r="AI90" s="134">
        <v>0</v>
      </c>
      <c r="AJ90" s="134"/>
      <c r="AK90" s="134"/>
      <c r="AL90" s="134"/>
      <c r="AM90" s="713">
        <f t="shared" si="46"/>
        <v>0</v>
      </c>
      <c r="AN90" s="134"/>
      <c r="AO90" s="713">
        <f t="shared" si="47"/>
        <v>0</v>
      </c>
      <c r="AP90" s="165"/>
    </row>
    <row r="91" spans="1:42" ht="20.149999999999999" customHeight="1" x14ac:dyDescent="0.35">
      <c r="A91" s="166">
        <v>13</v>
      </c>
      <c r="B91" s="100">
        <f>PETUNJUK!B21</f>
        <v>0</v>
      </c>
      <c r="C91" s="83">
        <f>'1.DATA KIA'!C89</f>
        <v>0</v>
      </c>
      <c r="D91" s="84">
        <f t="shared" si="35"/>
        <v>0</v>
      </c>
      <c r="E91" s="84">
        <f>'1.DATA KIA'!F89</f>
        <v>0</v>
      </c>
      <c r="F91" s="84">
        <f t="shared" si="48"/>
        <v>0</v>
      </c>
      <c r="G91" s="86" t="e">
        <f t="shared" si="49"/>
        <v>#DIV/0!</v>
      </c>
      <c r="H91" s="84">
        <f t="shared" si="36"/>
        <v>0</v>
      </c>
      <c r="I91" s="84">
        <f>'1.DATA KIA'!AB89+'1.DATA KIA'!AE89</f>
        <v>0</v>
      </c>
      <c r="J91" s="84">
        <f t="shared" si="50"/>
        <v>0</v>
      </c>
      <c r="K91" s="86" t="e">
        <f t="shared" si="51"/>
        <v>#DIV/0!</v>
      </c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54"/>
      <c r="Z91" s="168"/>
      <c r="AA91" s="134"/>
      <c r="AB91" s="134"/>
      <c r="AC91" s="134"/>
      <c r="AD91" s="134"/>
      <c r="AE91" s="134"/>
      <c r="AF91" s="134"/>
      <c r="AG91" s="134"/>
      <c r="AH91" s="134"/>
      <c r="AI91" s="134"/>
      <c r="AJ91" s="134"/>
      <c r="AK91" s="134"/>
      <c r="AL91" s="134"/>
      <c r="AM91" s="134"/>
      <c r="AN91" s="134"/>
      <c r="AO91" s="134"/>
      <c r="AP91" s="165"/>
    </row>
    <row r="92" spans="1:42" ht="20.149999999999999" customHeight="1" x14ac:dyDescent="0.35">
      <c r="A92" s="166">
        <v>14</v>
      </c>
      <c r="B92" s="100">
        <f>PETUNJUK!B22</f>
        <v>0</v>
      </c>
      <c r="C92" s="83">
        <f>'1.DATA KIA'!C90</f>
        <v>0</v>
      </c>
      <c r="D92" s="84">
        <f t="shared" si="35"/>
        <v>0</v>
      </c>
      <c r="E92" s="84">
        <f>'1.DATA KIA'!F90</f>
        <v>0</v>
      </c>
      <c r="F92" s="84">
        <f t="shared" si="48"/>
        <v>0</v>
      </c>
      <c r="G92" s="86" t="e">
        <f t="shared" si="49"/>
        <v>#DIV/0!</v>
      </c>
      <c r="H92" s="84">
        <f t="shared" si="36"/>
        <v>0</v>
      </c>
      <c r="I92" s="84">
        <f>'1.DATA KIA'!AB90+'1.DATA KIA'!AE90</f>
        <v>0</v>
      </c>
      <c r="J92" s="84">
        <f t="shared" si="50"/>
        <v>0</v>
      </c>
      <c r="K92" s="86" t="e">
        <f t="shared" si="51"/>
        <v>#DIV/0!</v>
      </c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54"/>
      <c r="Z92" s="168"/>
      <c r="AA92" s="134"/>
      <c r="AB92" s="134"/>
      <c r="AC92" s="134"/>
      <c r="AD92" s="134"/>
      <c r="AE92" s="134"/>
      <c r="AF92" s="134"/>
      <c r="AG92" s="134"/>
      <c r="AH92" s="134"/>
      <c r="AI92" s="134"/>
      <c r="AJ92" s="134"/>
      <c r="AK92" s="134"/>
      <c r="AL92" s="134"/>
      <c r="AM92" s="134"/>
      <c r="AN92" s="134"/>
      <c r="AO92" s="134"/>
      <c r="AP92" s="165"/>
    </row>
    <row r="93" spans="1:42" ht="20.149999999999999" customHeight="1" x14ac:dyDescent="0.35">
      <c r="A93" s="166">
        <v>15</v>
      </c>
      <c r="B93" s="100">
        <f>PETUNJUK!B23</f>
        <v>0</v>
      </c>
      <c r="C93" s="83">
        <f>'1.DATA KIA'!C91</f>
        <v>0</v>
      </c>
      <c r="D93" s="84">
        <f t="shared" si="35"/>
        <v>0</v>
      </c>
      <c r="E93" s="84">
        <f>'1.DATA KIA'!F91</f>
        <v>0</v>
      </c>
      <c r="F93" s="84">
        <f t="shared" si="48"/>
        <v>0</v>
      </c>
      <c r="G93" s="86" t="e">
        <f t="shared" si="49"/>
        <v>#DIV/0!</v>
      </c>
      <c r="H93" s="84">
        <f t="shared" si="36"/>
        <v>0</v>
      </c>
      <c r="I93" s="84">
        <f>'1.DATA KIA'!AB91+'1.DATA KIA'!AE91</f>
        <v>0</v>
      </c>
      <c r="J93" s="84">
        <f t="shared" si="50"/>
        <v>0</v>
      </c>
      <c r="K93" s="86" t="e">
        <f t="shared" si="51"/>
        <v>#DIV/0!</v>
      </c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54"/>
      <c r="Z93" s="168"/>
      <c r="AA93" s="134"/>
      <c r="AB93" s="134"/>
      <c r="AC93" s="134"/>
      <c r="AD93" s="134"/>
      <c r="AE93" s="134"/>
      <c r="AF93" s="134"/>
      <c r="AG93" s="134"/>
      <c r="AH93" s="134"/>
      <c r="AI93" s="134"/>
      <c r="AJ93" s="134"/>
      <c r="AK93" s="134"/>
      <c r="AL93" s="134"/>
      <c r="AM93" s="134"/>
      <c r="AN93" s="134"/>
      <c r="AO93" s="134"/>
      <c r="AP93" s="165"/>
    </row>
    <row r="94" spans="1:42" ht="20.149999999999999" customHeight="1" x14ac:dyDescent="0.35">
      <c r="A94" s="166">
        <v>16</v>
      </c>
      <c r="B94" s="100">
        <f>PETUNJUK!B24</f>
        <v>0</v>
      </c>
      <c r="C94" s="83">
        <f>'1.DATA KIA'!C92</f>
        <v>0</v>
      </c>
      <c r="D94" s="84">
        <f t="shared" si="35"/>
        <v>0</v>
      </c>
      <c r="E94" s="84">
        <f>'1.DATA KIA'!F92</f>
        <v>0</v>
      </c>
      <c r="F94" s="84">
        <f t="shared" si="48"/>
        <v>0</v>
      </c>
      <c r="G94" s="86" t="e">
        <f t="shared" si="49"/>
        <v>#DIV/0!</v>
      </c>
      <c r="H94" s="84">
        <f t="shared" si="36"/>
        <v>0</v>
      </c>
      <c r="I94" s="84">
        <f>'1.DATA KIA'!AB92+'1.DATA KIA'!AE92</f>
        <v>0</v>
      </c>
      <c r="J94" s="84">
        <f t="shared" si="50"/>
        <v>0</v>
      </c>
      <c r="K94" s="86" t="e">
        <f t="shared" si="51"/>
        <v>#DIV/0!</v>
      </c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54"/>
      <c r="Z94" s="168"/>
      <c r="AA94" s="134"/>
      <c r="AB94" s="134"/>
      <c r="AC94" s="134"/>
      <c r="AD94" s="134"/>
      <c r="AE94" s="134"/>
      <c r="AF94" s="134"/>
      <c r="AG94" s="134"/>
      <c r="AH94" s="134"/>
      <c r="AI94" s="134"/>
      <c r="AJ94" s="134"/>
      <c r="AK94" s="134"/>
      <c r="AL94" s="134"/>
      <c r="AM94" s="134"/>
      <c r="AN94" s="134"/>
      <c r="AO94" s="134"/>
      <c r="AP94" s="165"/>
    </row>
    <row r="95" spans="1:42" ht="20.149999999999999" customHeight="1" x14ac:dyDescent="0.35">
      <c r="A95" s="166">
        <v>17</v>
      </c>
      <c r="B95" s="100">
        <f>PETUNJUK!B25</f>
        <v>0</v>
      </c>
      <c r="C95" s="83">
        <f>'1.DATA KIA'!C93</f>
        <v>0</v>
      </c>
      <c r="D95" s="84">
        <f t="shared" si="35"/>
        <v>0</v>
      </c>
      <c r="E95" s="84">
        <f>'1.DATA KIA'!F93</f>
        <v>0</v>
      </c>
      <c r="F95" s="84">
        <f t="shared" si="48"/>
        <v>0</v>
      </c>
      <c r="G95" s="86" t="e">
        <f t="shared" si="49"/>
        <v>#DIV/0!</v>
      </c>
      <c r="H95" s="84">
        <f t="shared" si="36"/>
        <v>0</v>
      </c>
      <c r="I95" s="84">
        <f>'1.DATA KIA'!AB93+'1.DATA KIA'!AE93</f>
        <v>0</v>
      </c>
      <c r="J95" s="84">
        <f t="shared" si="50"/>
        <v>0</v>
      </c>
      <c r="K95" s="86" t="e">
        <f t="shared" si="51"/>
        <v>#DIV/0!</v>
      </c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54"/>
      <c r="Z95" s="168"/>
      <c r="AA95" s="134"/>
      <c r="AB95" s="134"/>
      <c r="AC95" s="134"/>
      <c r="AD95" s="134"/>
      <c r="AE95" s="134"/>
      <c r="AF95" s="134"/>
      <c r="AG95" s="134"/>
      <c r="AH95" s="134"/>
      <c r="AI95" s="134"/>
      <c r="AJ95" s="134"/>
      <c r="AK95" s="134"/>
      <c r="AL95" s="134"/>
      <c r="AM95" s="134"/>
      <c r="AN95" s="134"/>
      <c r="AO95" s="134"/>
      <c r="AP95" s="165"/>
    </row>
    <row r="96" spans="1:42" ht="20.149999999999999" customHeight="1" x14ac:dyDescent="0.35">
      <c r="A96" s="166">
        <v>18</v>
      </c>
      <c r="B96" s="100">
        <f>PETUNJUK!B26</f>
        <v>0</v>
      </c>
      <c r="C96" s="89">
        <f>'1.DATA KIA'!C94</f>
        <v>0</v>
      </c>
      <c r="D96" s="87">
        <f t="shared" si="35"/>
        <v>0</v>
      </c>
      <c r="E96" s="87">
        <f>'1.DATA KIA'!F94</f>
        <v>0</v>
      </c>
      <c r="F96" s="87">
        <f t="shared" si="48"/>
        <v>0</v>
      </c>
      <c r="G96" s="88" t="e">
        <f t="shared" si="49"/>
        <v>#DIV/0!</v>
      </c>
      <c r="H96" s="87">
        <f t="shared" si="36"/>
        <v>0</v>
      </c>
      <c r="I96" s="87">
        <f>'1.DATA KIA'!AB94+'1.DATA KIA'!AE94</f>
        <v>0</v>
      </c>
      <c r="J96" s="87">
        <f t="shared" si="50"/>
        <v>0</v>
      </c>
      <c r="K96" s="86" t="e">
        <f t="shared" si="51"/>
        <v>#DIV/0!</v>
      </c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54"/>
      <c r="Z96" s="168"/>
      <c r="AA96" s="134"/>
      <c r="AB96" s="134"/>
      <c r="AC96" s="134"/>
      <c r="AD96" s="134"/>
      <c r="AE96" s="134"/>
      <c r="AF96" s="134"/>
      <c r="AG96" s="134"/>
      <c r="AH96" s="134"/>
      <c r="AI96" s="134"/>
      <c r="AJ96" s="134"/>
      <c r="AK96" s="134"/>
      <c r="AL96" s="134"/>
      <c r="AM96" s="134"/>
      <c r="AN96" s="134"/>
      <c r="AO96" s="134"/>
      <c r="AP96" s="165"/>
    </row>
    <row r="97" spans="1:152" ht="20.149999999999999" customHeight="1" x14ac:dyDescent="0.35">
      <c r="A97" s="166">
        <v>19</v>
      </c>
      <c r="B97" s="100">
        <f>PETUNJUK!B27</f>
        <v>0</v>
      </c>
      <c r="C97" s="83">
        <f>'1.DATA KIA'!C95</f>
        <v>0</v>
      </c>
      <c r="D97" s="84">
        <f>F62</f>
        <v>0</v>
      </c>
      <c r="E97" s="84">
        <f>'1.DATA KIA'!F95</f>
        <v>0</v>
      </c>
      <c r="F97" s="84">
        <f>D97+E97</f>
        <v>0</v>
      </c>
      <c r="G97" s="86" t="e">
        <f>F97/C97*100</f>
        <v>#DIV/0!</v>
      </c>
      <c r="H97" s="84">
        <f>J62</f>
        <v>0</v>
      </c>
      <c r="I97" s="84">
        <f>'1.DATA KIA'!AB95+'1.DATA KIA'!AE95</f>
        <v>0</v>
      </c>
      <c r="J97" s="84">
        <f>H97+I97</f>
        <v>0</v>
      </c>
      <c r="K97" s="86" t="e">
        <f t="shared" si="51"/>
        <v>#DIV/0!</v>
      </c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54"/>
      <c r="Z97" s="168"/>
      <c r="AA97" s="134"/>
      <c r="AB97" s="134"/>
      <c r="AC97" s="134"/>
      <c r="AD97" s="134"/>
      <c r="AE97" s="134"/>
      <c r="AF97" s="134"/>
      <c r="AG97" s="134"/>
      <c r="AH97" s="134"/>
      <c r="AI97" s="134"/>
      <c r="AJ97" s="134"/>
      <c r="AK97" s="134"/>
      <c r="AL97" s="134"/>
      <c r="AM97" s="134"/>
      <c r="AN97" s="134"/>
      <c r="AO97" s="134"/>
      <c r="AP97" s="165"/>
    </row>
    <row r="98" spans="1:152" ht="20.149999999999999" customHeight="1" x14ac:dyDescent="0.35">
      <c r="A98" s="166">
        <v>20</v>
      </c>
      <c r="B98" s="100">
        <f>PETUNJUK!B28</f>
        <v>0</v>
      </c>
      <c r="C98" s="89">
        <f>'1.DATA KIA'!C96</f>
        <v>0</v>
      </c>
      <c r="D98" s="87">
        <f>F63</f>
        <v>0</v>
      </c>
      <c r="E98" s="87">
        <f>'1.DATA KIA'!F96</f>
        <v>0</v>
      </c>
      <c r="F98" s="87">
        <f>D98+E98</f>
        <v>0</v>
      </c>
      <c r="G98" s="88" t="e">
        <f>F98/C98*100</f>
        <v>#DIV/0!</v>
      </c>
      <c r="H98" s="87">
        <f>J63</f>
        <v>0</v>
      </c>
      <c r="I98" s="87">
        <f>'1.DATA KIA'!AB96+'1.DATA KIA'!AE96</f>
        <v>0</v>
      </c>
      <c r="J98" s="87">
        <f>H98+I98</f>
        <v>0</v>
      </c>
      <c r="K98" s="86" t="e">
        <f t="shared" si="51"/>
        <v>#DIV/0!</v>
      </c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54"/>
      <c r="Z98" s="168"/>
      <c r="AA98" s="134"/>
      <c r="AB98" s="134"/>
      <c r="AC98" s="134"/>
      <c r="AD98" s="134"/>
      <c r="AE98" s="134"/>
      <c r="AF98" s="134"/>
      <c r="AG98" s="134"/>
      <c r="AH98" s="134"/>
      <c r="AI98" s="134"/>
      <c r="AJ98" s="134"/>
      <c r="AK98" s="134"/>
      <c r="AL98" s="134"/>
      <c r="AM98" s="134"/>
      <c r="AN98" s="134"/>
      <c r="AO98" s="134"/>
      <c r="AP98" s="165"/>
    </row>
    <row r="99" spans="1:152" ht="20.149999999999999" customHeight="1" x14ac:dyDescent="0.35">
      <c r="A99" s="166">
        <v>21</v>
      </c>
      <c r="B99" s="100">
        <f>PETUNJUK!B29</f>
        <v>0</v>
      </c>
      <c r="C99" s="83">
        <f>'1.DATA KIA'!C97</f>
        <v>0</v>
      </c>
      <c r="D99" s="84">
        <f>F64</f>
        <v>0</v>
      </c>
      <c r="E99" s="84">
        <f>'1.DATA KIA'!F97</f>
        <v>0</v>
      </c>
      <c r="F99" s="84">
        <f>D99+E99</f>
        <v>0</v>
      </c>
      <c r="G99" s="86" t="e">
        <f>F99/C99*100</f>
        <v>#DIV/0!</v>
      </c>
      <c r="H99" s="84">
        <f>J64</f>
        <v>0</v>
      </c>
      <c r="I99" s="84">
        <f>'1.DATA KIA'!AB97+'1.DATA KIA'!AE97</f>
        <v>0</v>
      </c>
      <c r="J99" s="84">
        <f>H99+I99</f>
        <v>0</v>
      </c>
      <c r="K99" s="86" t="e">
        <f t="shared" si="51"/>
        <v>#DIV/0!</v>
      </c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54"/>
      <c r="Z99" s="168"/>
      <c r="AA99" s="134"/>
      <c r="AB99" s="134"/>
      <c r="AC99" s="134"/>
      <c r="AD99" s="134"/>
      <c r="AE99" s="134"/>
      <c r="AF99" s="134"/>
      <c r="AG99" s="134"/>
      <c r="AH99" s="134"/>
      <c r="AI99" s="134"/>
      <c r="AJ99" s="134"/>
      <c r="AK99" s="134"/>
      <c r="AL99" s="134"/>
      <c r="AM99" s="134"/>
      <c r="AN99" s="134"/>
      <c r="AO99" s="134"/>
      <c r="AP99" s="165"/>
    </row>
    <row r="100" spans="1:152" ht="20.149999999999999" customHeight="1" thickBot="1" x14ac:dyDescent="0.4">
      <c r="A100" s="167">
        <v>22</v>
      </c>
      <c r="B100" s="114">
        <f>PETUNJUK!B30</f>
        <v>0</v>
      </c>
      <c r="C100" s="115">
        <f>'1.DATA KIA'!C98</f>
        <v>0</v>
      </c>
      <c r="D100" s="87">
        <f>F65</f>
        <v>0</v>
      </c>
      <c r="E100" s="87">
        <f>'1.DATA KIA'!F98</f>
        <v>0</v>
      </c>
      <c r="F100" s="87">
        <f>D100+E100</f>
        <v>0</v>
      </c>
      <c r="G100" s="88" t="e">
        <f>F100/C100*100</f>
        <v>#DIV/0!</v>
      </c>
      <c r="H100" s="87">
        <f>J65</f>
        <v>0</v>
      </c>
      <c r="I100" s="87">
        <f>'1.DATA KIA'!AB98+'1.DATA KIA'!AE98</f>
        <v>0</v>
      </c>
      <c r="J100" s="87">
        <f>H100+I100</f>
        <v>0</v>
      </c>
      <c r="K100" s="94" t="e">
        <f t="shared" si="51"/>
        <v>#DIV/0!</v>
      </c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54"/>
      <c r="Z100" s="168"/>
      <c r="AA100" s="134"/>
      <c r="AB100" s="134"/>
      <c r="AC100" s="134"/>
      <c r="AD100" s="134"/>
      <c r="AE100" s="134"/>
      <c r="AF100" s="134"/>
      <c r="AG100" s="134"/>
      <c r="AH100" s="134"/>
      <c r="AI100" s="134"/>
      <c r="AJ100" s="134"/>
      <c r="AK100" s="134"/>
      <c r="AL100" s="134"/>
      <c r="AM100" s="134"/>
      <c r="AN100" s="134"/>
      <c r="AO100" s="134"/>
      <c r="AP100" s="165"/>
    </row>
    <row r="101" spans="1:152" ht="25.5" customHeight="1" thickBot="1" x14ac:dyDescent="0.4">
      <c r="A101" s="883" t="s">
        <v>18</v>
      </c>
      <c r="B101" s="884"/>
      <c r="C101" s="171">
        <f>SUM(C79:C100)</f>
        <v>1067</v>
      </c>
      <c r="D101" s="171">
        <f>SUM(D79:D100)</f>
        <v>186</v>
      </c>
      <c r="E101" s="171">
        <f>SUM(E79:E100)</f>
        <v>78</v>
      </c>
      <c r="F101" s="171">
        <f>SUM(F79:F100)</f>
        <v>264</v>
      </c>
      <c r="G101" s="172">
        <f>F101/C101*100</f>
        <v>24.742268041237114</v>
      </c>
      <c r="H101" s="173">
        <f>SUM(H79:H100)</f>
        <v>158</v>
      </c>
      <c r="I101" s="173">
        <f>SUM(I79:I100)</f>
        <v>58</v>
      </c>
      <c r="J101" s="173">
        <f>SUM(J79:J100)</f>
        <v>216</v>
      </c>
      <c r="K101" s="172">
        <f>J101/C101*100</f>
        <v>20.243673851921272</v>
      </c>
      <c r="L101" s="174">
        <f>SUM(L79:L100)</f>
        <v>58</v>
      </c>
      <c r="M101" s="174">
        <f t="shared" ref="M101:AP101" si="52">SUM(M79:M100)</f>
        <v>0</v>
      </c>
      <c r="N101" s="174">
        <f t="shared" si="52"/>
        <v>58</v>
      </c>
      <c r="O101" s="174">
        <f t="shared" si="52"/>
        <v>0</v>
      </c>
      <c r="P101" s="174">
        <f t="shared" si="52"/>
        <v>37</v>
      </c>
      <c r="Q101" s="174">
        <f t="shared" si="52"/>
        <v>0</v>
      </c>
      <c r="R101" s="174">
        <f t="shared" si="52"/>
        <v>21</v>
      </c>
      <c r="S101" s="174">
        <f t="shared" si="52"/>
        <v>8</v>
      </c>
      <c r="T101" s="174">
        <f t="shared" si="52"/>
        <v>0</v>
      </c>
      <c r="U101" s="174">
        <f t="shared" si="52"/>
        <v>26</v>
      </c>
      <c r="V101" s="174">
        <f t="shared" si="52"/>
        <v>0</v>
      </c>
      <c r="W101" s="174">
        <f t="shared" si="52"/>
        <v>24</v>
      </c>
      <c r="X101" s="175">
        <f t="shared" si="52"/>
        <v>0</v>
      </c>
      <c r="Y101" s="159"/>
      <c r="Z101" s="177">
        <f t="shared" si="52"/>
        <v>32</v>
      </c>
      <c r="AA101" s="176">
        <f t="shared" si="52"/>
        <v>0</v>
      </c>
      <c r="AB101" s="174">
        <f t="shared" si="52"/>
        <v>26</v>
      </c>
      <c r="AC101" s="174">
        <f t="shared" si="52"/>
        <v>58</v>
      </c>
      <c r="AD101" s="174">
        <f t="shared" si="52"/>
        <v>0</v>
      </c>
      <c r="AE101" s="174">
        <f t="shared" si="52"/>
        <v>58</v>
      </c>
      <c r="AF101" s="174">
        <f t="shared" si="52"/>
        <v>0</v>
      </c>
      <c r="AG101" s="174">
        <f t="shared" si="52"/>
        <v>0</v>
      </c>
      <c r="AH101" s="174">
        <f t="shared" si="52"/>
        <v>0</v>
      </c>
      <c r="AI101" s="174">
        <f t="shared" si="52"/>
        <v>49</v>
      </c>
      <c r="AJ101" s="174">
        <f t="shared" si="52"/>
        <v>0</v>
      </c>
      <c r="AK101" s="174">
        <f t="shared" si="52"/>
        <v>3</v>
      </c>
      <c r="AL101" s="174">
        <f t="shared" si="52"/>
        <v>6</v>
      </c>
      <c r="AM101" s="174">
        <f t="shared" si="52"/>
        <v>58</v>
      </c>
      <c r="AN101" s="174">
        <f t="shared" si="52"/>
        <v>0</v>
      </c>
      <c r="AO101" s="174">
        <f t="shared" si="52"/>
        <v>59</v>
      </c>
      <c r="AP101" s="175">
        <f t="shared" si="52"/>
        <v>0</v>
      </c>
    </row>
    <row r="102" spans="1:152" ht="15.5" x14ac:dyDescent="0.35">
      <c r="A102" s="140"/>
      <c r="B102" s="140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56"/>
      <c r="Z102" s="102"/>
      <c r="AA102" s="102"/>
      <c r="AB102" s="102"/>
      <c r="AC102" s="102"/>
      <c r="AD102" s="102"/>
      <c r="AE102" s="102"/>
      <c r="AF102" s="102"/>
      <c r="AG102" s="102"/>
      <c r="AH102" s="102"/>
      <c r="AI102" s="102"/>
      <c r="AJ102" s="102"/>
      <c r="AK102" s="102"/>
      <c r="AL102" s="102"/>
      <c r="AM102" s="102"/>
      <c r="AN102" s="102"/>
      <c r="AO102" s="102"/>
      <c r="AP102" s="102"/>
    </row>
    <row r="103" spans="1:152" ht="15.5" x14ac:dyDescent="0.35">
      <c r="A103" s="140"/>
      <c r="B103" s="140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56"/>
      <c r="Z103" s="102"/>
      <c r="AA103" s="102"/>
      <c r="AB103" s="102"/>
      <c r="AC103" s="102"/>
      <c r="AD103" s="102"/>
      <c r="AE103" s="102"/>
      <c r="AF103" s="102"/>
      <c r="AG103" s="102"/>
      <c r="AH103" s="102"/>
      <c r="AI103" s="102"/>
      <c r="AJ103" s="102"/>
      <c r="AK103" s="102"/>
      <c r="AL103" s="102"/>
      <c r="AM103" s="102"/>
      <c r="AN103" s="102"/>
      <c r="AO103" s="102"/>
      <c r="AP103" s="102"/>
    </row>
    <row r="104" spans="1:152" ht="15.5" x14ac:dyDescent="0.35">
      <c r="A104" s="140"/>
      <c r="B104" s="140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56"/>
      <c r="Z104" s="102"/>
      <c r="AA104" s="102"/>
      <c r="AB104" s="102"/>
      <c r="AC104" s="102"/>
      <c r="AD104" s="102"/>
      <c r="AE104" s="102"/>
      <c r="AF104" s="102"/>
      <c r="AG104" s="102"/>
      <c r="AH104" s="102"/>
      <c r="AI104" s="102"/>
      <c r="AJ104" s="102"/>
      <c r="AK104" s="102"/>
      <c r="AL104" s="102"/>
      <c r="AM104" s="102"/>
      <c r="AN104" s="102"/>
      <c r="AO104" s="102"/>
      <c r="AP104" s="102"/>
    </row>
    <row r="105" spans="1:152" ht="15.5" x14ac:dyDescent="0.35">
      <c r="A105" s="140"/>
      <c r="B105" s="140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56"/>
      <c r="Z105" s="102"/>
      <c r="AA105" s="102"/>
      <c r="AB105" s="102"/>
      <c r="AC105" s="102"/>
      <c r="AD105" s="102"/>
      <c r="AE105" s="102"/>
      <c r="AF105" s="102"/>
      <c r="AG105" s="102"/>
      <c r="AH105" s="102"/>
      <c r="AI105" s="102"/>
      <c r="AJ105" s="102"/>
      <c r="AK105" s="102"/>
      <c r="AL105" s="102"/>
      <c r="AM105" s="102"/>
      <c r="AN105" s="102"/>
      <c r="AO105" s="102"/>
      <c r="AP105" s="102"/>
    </row>
    <row r="106" spans="1:152" ht="15.5" x14ac:dyDescent="0.35">
      <c r="A106" s="137"/>
      <c r="B106" s="138"/>
      <c r="C106" s="76" t="s">
        <v>64</v>
      </c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101"/>
      <c r="T106" s="101"/>
      <c r="U106" s="101"/>
      <c r="V106" s="101"/>
      <c r="W106" s="101"/>
      <c r="X106" s="101"/>
      <c r="Y106" s="15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101"/>
      <c r="AN106" s="101"/>
      <c r="AO106" s="101"/>
      <c r="AP106" s="101"/>
    </row>
    <row r="107" spans="1:152" ht="15.5" x14ac:dyDescent="0.35">
      <c r="A107" s="137"/>
      <c r="B107" s="98"/>
      <c r="C107" s="103" t="s">
        <v>197</v>
      </c>
      <c r="D107" s="78"/>
      <c r="E107" s="79" t="str">
        <f>PETUNJUK!C5</f>
        <v>PECANGAAN</v>
      </c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101"/>
      <c r="T107" s="101"/>
      <c r="U107" s="101"/>
      <c r="V107" s="101" t="s">
        <v>199</v>
      </c>
      <c r="W107" s="101"/>
      <c r="X107" s="101"/>
      <c r="Y107" s="15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101"/>
      <c r="AN107" s="101"/>
      <c r="AO107" s="101" t="s">
        <v>200</v>
      </c>
      <c r="AP107" s="101"/>
    </row>
    <row r="108" spans="1:152" ht="15.5" x14ac:dyDescent="0.35">
      <c r="A108" s="137"/>
      <c r="B108" s="139"/>
      <c r="C108" s="104" t="s">
        <v>198</v>
      </c>
      <c r="D108" s="105"/>
      <c r="E108" s="106" t="str">
        <f>'1.DATA KIA'!C106</f>
        <v xml:space="preserve">APRIL </v>
      </c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1"/>
      <c r="T108" s="101"/>
      <c r="U108" s="101"/>
      <c r="V108" s="101"/>
      <c r="W108" s="101"/>
      <c r="X108" s="101"/>
      <c r="Y108" s="15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  <c r="AM108" s="101"/>
      <c r="AN108" s="101"/>
      <c r="AO108" s="101"/>
      <c r="AP108" s="101"/>
    </row>
    <row r="109" spans="1:152" ht="16" thickBot="1" x14ac:dyDescent="0.4">
      <c r="A109" s="870"/>
      <c r="B109" s="870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1"/>
      <c r="T109" s="101"/>
      <c r="U109" s="101"/>
      <c r="V109" s="101"/>
      <c r="W109" s="101"/>
      <c r="X109" s="101"/>
      <c r="Y109" s="15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  <c r="AM109" s="101"/>
      <c r="AN109" s="101"/>
      <c r="AO109" s="101"/>
      <c r="AP109" s="101"/>
    </row>
    <row r="110" spans="1:152" s="74" customFormat="1" ht="35.15" customHeight="1" x14ac:dyDescent="0.35">
      <c r="A110" s="871" t="s">
        <v>1</v>
      </c>
      <c r="B110" s="874" t="s">
        <v>2</v>
      </c>
      <c r="C110" s="877" t="s">
        <v>65</v>
      </c>
      <c r="D110" s="847" t="s">
        <v>66</v>
      </c>
      <c r="E110" s="848"/>
      <c r="F110" s="848"/>
      <c r="G110" s="880"/>
      <c r="H110" s="859" t="s">
        <v>194</v>
      </c>
      <c r="I110" s="860"/>
      <c r="J110" s="860"/>
      <c r="K110" s="861"/>
      <c r="L110" s="847" t="s">
        <v>67</v>
      </c>
      <c r="M110" s="848"/>
      <c r="N110" s="848"/>
      <c r="O110" s="848"/>
      <c r="P110" s="848"/>
      <c r="Q110" s="848"/>
      <c r="R110" s="848"/>
      <c r="S110" s="848"/>
      <c r="T110" s="848"/>
      <c r="U110" s="848"/>
      <c r="V110" s="848"/>
      <c r="W110" s="848"/>
      <c r="X110" s="849"/>
      <c r="Y110" s="152"/>
      <c r="Z110" s="850" t="s">
        <v>79</v>
      </c>
      <c r="AA110" s="851"/>
      <c r="AB110" s="851"/>
      <c r="AC110" s="851"/>
      <c r="AD110" s="851"/>
      <c r="AE110" s="851"/>
      <c r="AF110" s="851"/>
      <c r="AG110" s="851"/>
      <c r="AH110" s="851"/>
      <c r="AI110" s="851"/>
      <c r="AJ110" s="851"/>
      <c r="AK110" s="851"/>
      <c r="AL110" s="851"/>
      <c r="AM110" s="851"/>
      <c r="AN110" s="851"/>
      <c r="AO110" s="851"/>
      <c r="AP110" s="852"/>
      <c r="AQ110" s="280"/>
      <c r="AR110" s="280"/>
      <c r="AS110" s="280"/>
      <c r="AT110" s="280"/>
      <c r="AU110" s="280"/>
      <c r="AV110" s="280"/>
      <c r="AW110" s="280"/>
      <c r="AX110" s="280"/>
      <c r="AY110" s="280"/>
      <c r="AZ110" s="280"/>
      <c r="BA110" s="280"/>
      <c r="BB110" s="280"/>
      <c r="BC110" s="280"/>
      <c r="BD110" s="280"/>
      <c r="BE110" s="280"/>
      <c r="BF110" s="280"/>
      <c r="BG110" s="280"/>
      <c r="BH110" s="280"/>
      <c r="BI110" s="280"/>
      <c r="BJ110" s="280"/>
      <c r="BK110" s="280"/>
      <c r="BL110" s="280"/>
      <c r="BM110" s="280"/>
      <c r="BN110" s="280"/>
      <c r="BO110" s="280"/>
      <c r="BP110" s="280"/>
      <c r="BQ110" s="280"/>
      <c r="BR110" s="280"/>
      <c r="BS110" s="280"/>
      <c r="BT110" s="280"/>
      <c r="BU110" s="280"/>
      <c r="BV110" s="280"/>
      <c r="BW110" s="280"/>
      <c r="BX110" s="280"/>
      <c r="BY110" s="280"/>
      <c r="BZ110" s="280"/>
      <c r="CA110" s="280"/>
      <c r="CB110" s="280"/>
      <c r="CC110" s="280"/>
      <c r="CD110" s="280"/>
      <c r="CE110" s="280"/>
      <c r="CF110" s="280"/>
      <c r="CG110" s="280"/>
      <c r="CH110" s="280"/>
      <c r="CI110" s="280"/>
      <c r="CJ110" s="280"/>
      <c r="CK110" s="280"/>
      <c r="CL110" s="280"/>
      <c r="CM110" s="280"/>
      <c r="CN110" s="280"/>
      <c r="CO110" s="280"/>
      <c r="CP110" s="280"/>
      <c r="CQ110" s="280"/>
      <c r="CR110" s="280"/>
      <c r="CS110" s="280"/>
      <c r="CT110" s="280"/>
      <c r="CU110" s="280"/>
      <c r="CV110" s="280"/>
      <c r="CW110" s="280"/>
      <c r="CX110" s="280"/>
      <c r="CY110" s="280"/>
      <c r="CZ110" s="280"/>
      <c r="DA110" s="280"/>
      <c r="DB110" s="280"/>
      <c r="DC110" s="280"/>
      <c r="DD110" s="280"/>
      <c r="DE110" s="280"/>
      <c r="DF110" s="280"/>
      <c r="DG110" s="280"/>
      <c r="DH110" s="280"/>
      <c r="DI110" s="280"/>
      <c r="DJ110" s="280"/>
      <c r="DK110" s="280"/>
      <c r="DL110" s="280"/>
      <c r="DM110" s="280"/>
      <c r="DN110" s="280"/>
      <c r="DO110" s="280"/>
      <c r="DP110" s="280"/>
      <c r="DQ110" s="280"/>
      <c r="DR110" s="280"/>
      <c r="DS110" s="280"/>
      <c r="DT110" s="280"/>
      <c r="DU110" s="280"/>
      <c r="DV110" s="280"/>
      <c r="DW110" s="280"/>
      <c r="DX110" s="280"/>
      <c r="DY110" s="280"/>
      <c r="DZ110" s="280"/>
      <c r="EA110" s="280"/>
      <c r="EB110" s="280"/>
      <c r="EC110" s="280"/>
      <c r="ED110" s="280"/>
      <c r="EE110" s="280"/>
      <c r="EF110" s="280"/>
      <c r="EG110" s="280"/>
      <c r="EH110" s="280"/>
      <c r="EI110" s="280"/>
      <c r="EJ110" s="280"/>
      <c r="EK110" s="280"/>
      <c r="EL110" s="280"/>
      <c r="EM110" s="280"/>
      <c r="EN110" s="280"/>
      <c r="EO110" s="280"/>
      <c r="EP110" s="280"/>
      <c r="EQ110" s="280"/>
      <c r="ER110" s="280"/>
      <c r="ES110" s="280"/>
      <c r="ET110" s="280"/>
      <c r="EU110" s="280"/>
      <c r="EV110" s="280"/>
    </row>
    <row r="111" spans="1:152" s="74" customFormat="1" ht="103" customHeight="1" x14ac:dyDescent="0.35">
      <c r="A111" s="872"/>
      <c r="B111" s="875"/>
      <c r="C111" s="878"/>
      <c r="D111" s="853" t="s">
        <v>68</v>
      </c>
      <c r="E111" s="856" t="s">
        <v>69</v>
      </c>
      <c r="F111" s="856" t="s">
        <v>36</v>
      </c>
      <c r="G111" s="856" t="s">
        <v>37</v>
      </c>
      <c r="H111" s="853" t="s">
        <v>68</v>
      </c>
      <c r="I111" s="856" t="s">
        <v>69</v>
      </c>
      <c r="J111" s="856" t="s">
        <v>36</v>
      </c>
      <c r="K111" s="856" t="s">
        <v>37</v>
      </c>
      <c r="L111" s="865" t="s">
        <v>196</v>
      </c>
      <c r="M111" s="866"/>
      <c r="N111" s="867" t="s">
        <v>70</v>
      </c>
      <c r="O111" s="868"/>
      <c r="P111" s="865" t="s">
        <v>71</v>
      </c>
      <c r="Q111" s="869"/>
      <c r="R111" s="866"/>
      <c r="S111" s="838" t="s">
        <v>80</v>
      </c>
      <c r="T111" s="838"/>
      <c r="U111" s="838"/>
      <c r="V111" s="838"/>
      <c r="W111" s="838"/>
      <c r="X111" s="832"/>
      <c r="Y111" s="153"/>
      <c r="Z111" s="839" t="s">
        <v>81</v>
      </c>
      <c r="AA111" s="838"/>
      <c r="AB111" s="838"/>
      <c r="AC111" s="840" t="s">
        <v>195</v>
      </c>
      <c r="AD111" s="841"/>
      <c r="AE111" s="862" t="s">
        <v>82</v>
      </c>
      <c r="AF111" s="863"/>
      <c r="AG111" s="862" t="s">
        <v>83</v>
      </c>
      <c r="AH111" s="864"/>
      <c r="AI111" s="864"/>
      <c r="AJ111" s="864"/>
      <c r="AK111" s="864"/>
      <c r="AL111" s="863"/>
      <c r="AM111" s="831" t="s">
        <v>84</v>
      </c>
      <c r="AN111" s="838"/>
      <c r="AO111" s="838"/>
      <c r="AP111" s="832"/>
      <c r="AQ111" s="280"/>
      <c r="AR111" s="280"/>
      <c r="AS111" s="280"/>
      <c r="AT111" s="280"/>
      <c r="AU111" s="280"/>
      <c r="AV111" s="280"/>
      <c r="AW111" s="280"/>
      <c r="AX111" s="280"/>
      <c r="AY111" s="280"/>
      <c r="AZ111" s="280"/>
      <c r="BA111" s="280"/>
      <c r="BB111" s="280"/>
      <c r="BC111" s="280"/>
      <c r="BD111" s="280"/>
      <c r="BE111" s="280"/>
      <c r="BF111" s="280"/>
      <c r="BG111" s="280"/>
      <c r="BH111" s="280"/>
      <c r="BI111" s="280"/>
      <c r="BJ111" s="280"/>
      <c r="BK111" s="280"/>
      <c r="BL111" s="280"/>
      <c r="BM111" s="280"/>
      <c r="BN111" s="280"/>
      <c r="BO111" s="280"/>
      <c r="BP111" s="280"/>
      <c r="BQ111" s="280"/>
      <c r="BR111" s="280"/>
      <c r="BS111" s="280"/>
      <c r="BT111" s="280"/>
      <c r="BU111" s="280"/>
      <c r="BV111" s="280"/>
      <c r="BW111" s="280"/>
      <c r="BX111" s="280"/>
      <c r="BY111" s="280"/>
      <c r="BZ111" s="280"/>
      <c r="CA111" s="280"/>
      <c r="CB111" s="280"/>
      <c r="CC111" s="280"/>
      <c r="CD111" s="280"/>
      <c r="CE111" s="280"/>
      <c r="CF111" s="280"/>
      <c r="CG111" s="280"/>
      <c r="CH111" s="280"/>
      <c r="CI111" s="280"/>
      <c r="CJ111" s="280"/>
      <c r="CK111" s="280"/>
      <c r="CL111" s="280"/>
      <c r="CM111" s="280"/>
      <c r="CN111" s="280"/>
      <c r="CO111" s="280"/>
      <c r="CP111" s="280"/>
      <c r="CQ111" s="280"/>
      <c r="CR111" s="280"/>
      <c r="CS111" s="280"/>
      <c r="CT111" s="280"/>
      <c r="CU111" s="280"/>
      <c r="CV111" s="280"/>
      <c r="CW111" s="280"/>
      <c r="CX111" s="280"/>
      <c r="CY111" s="280"/>
      <c r="CZ111" s="280"/>
      <c r="DA111" s="280"/>
      <c r="DB111" s="280"/>
      <c r="DC111" s="280"/>
      <c r="DD111" s="280"/>
      <c r="DE111" s="280"/>
      <c r="DF111" s="280"/>
      <c r="DG111" s="280"/>
      <c r="DH111" s="280"/>
      <c r="DI111" s="280"/>
      <c r="DJ111" s="280"/>
      <c r="DK111" s="280"/>
      <c r="DL111" s="280"/>
      <c r="DM111" s="280"/>
      <c r="DN111" s="280"/>
      <c r="DO111" s="280"/>
      <c r="DP111" s="280"/>
      <c r="DQ111" s="280"/>
      <c r="DR111" s="280"/>
      <c r="DS111" s="280"/>
      <c r="DT111" s="280"/>
      <c r="DU111" s="280"/>
      <c r="DV111" s="280"/>
      <c r="DW111" s="280"/>
      <c r="DX111" s="280"/>
      <c r="DY111" s="280"/>
      <c r="DZ111" s="280"/>
      <c r="EA111" s="280"/>
      <c r="EB111" s="280"/>
      <c r="EC111" s="280"/>
      <c r="ED111" s="280"/>
      <c r="EE111" s="280"/>
      <c r="EF111" s="280"/>
      <c r="EG111" s="280"/>
      <c r="EH111" s="280"/>
      <c r="EI111" s="280"/>
      <c r="EJ111" s="280"/>
      <c r="EK111" s="280"/>
      <c r="EL111" s="280"/>
      <c r="EM111" s="280"/>
      <c r="EN111" s="280"/>
      <c r="EO111" s="280"/>
      <c r="EP111" s="280"/>
      <c r="EQ111" s="280"/>
      <c r="ER111" s="280"/>
      <c r="ES111" s="280"/>
      <c r="ET111" s="280"/>
      <c r="EU111" s="280"/>
      <c r="EV111" s="280"/>
    </row>
    <row r="112" spans="1:152" s="74" customFormat="1" ht="19.5" customHeight="1" x14ac:dyDescent="0.35">
      <c r="A112" s="872"/>
      <c r="B112" s="875"/>
      <c r="C112" s="878"/>
      <c r="D112" s="854"/>
      <c r="E112" s="857"/>
      <c r="F112" s="857"/>
      <c r="G112" s="857"/>
      <c r="H112" s="854"/>
      <c r="I112" s="857"/>
      <c r="J112" s="857"/>
      <c r="K112" s="857"/>
      <c r="L112" s="856" t="s">
        <v>72</v>
      </c>
      <c r="M112" s="856" t="s">
        <v>73</v>
      </c>
      <c r="N112" s="856" t="s">
        <v>74</v>
      </c>
      <c r="O112" s="856" t="s">
        <v>75</v>
      </c>
      <c r="P112" s="856" t="s">
        <v>76</v>
      </c>
      <c r="Q112" s="856" t="s">
        <v>77</v>
      </c>
      <c r="R112" s="856" t="s">
        <v>78</v>
      </c>
      <c r="S112" s="836" t="s">
        <v>85</v>
      </c>
      <c r="T112" s="842" t="s">
        <v>86</v>
      </c>
      <c r="U112" s="842" t="s">
        <v>87</v>
      </c>
      <c r="V112" s="842" t="s">
        <v>88</v>
      </c>
      <c r="W112" s="831" t="s">
        <v>89</v>
      </c>
      <c r="X112" s="832"/>
      <c r="Y112" s="153"/>
      <c r="Z112" s="844" t="s">
        <v>90</v>
      </c>
      <c r="AA112" s="834" t="s">
        <v>77</v>
      </c>
      <c r="AB112" s="834" t="s">
        <v>76</v>
      </c>
      <c r="AC112" s="834" t="s">
        <v>93</v>
      </c>
      <c r="AD112" s="834" t="s">
        <v>2</v>
      </c>
      <c r="AE112" s="834" t="s">
        <v>93</v>
      </c>
      <c r="AF112" s="834" t="s">
        <v>2</v>
      </c>
      <c r="AG112" s="834" t="s">
        <v>94</v>
      </c>
      <c r="AH112" s="834" t="s">
        <v>95</v>
      </c>
      <c r="AI112" s="834" t="s">
        <v>96</v>
      </c>
      <c r="AJ112" s="834" t="s">
        <v>97</v>
      </c>
      <c r="AK112" s="834" t="s">
        <v>98</v>
      </c>
      <c r="AL112" s="834" t="s">
        <v>99</v>
      </c>
      <c r="AM112" s="831" t="s">
        <v>91</v>
      </c>
      <c r="AN112" s="846"/>
      <c r="AO112" s="831" t="s">
        <v>7</v>
      </c>
      <c r="AP112" s="832"/>
      <c r="AQ112" s="280"/>
      <c r="AR112" s="280"/>
      <c r="AS112" s="280"/>
      <c r="AT112" s="280"/>
      <c r="AU112" s="280"/>
      <c r="AV112" s="280"/>
      <c r="AW112" s="280"/>
      <c r="AX112" s="280"/>
      <c r="AY112" s="280"/>
      <c r="AZ112" s="280"/>
      <c r="BA112" s="280"/>
      <c r="BB112" s="280"/>
      <c r="BC112" s="280"/>
      <c r="BD112" s="280"/>
      <c r="BE112" s="280"/>
      <c r="BF112" s="280"/>
      <c r="BG112" s="280"/>
      <c r="BH112" s="280"/>
      <c r="BI112" s="280"/>
      <c r="BJ112" s="280"/>
      <c r="BK112" s="280"/>
      <c r="BL112" s="280"/>
      <c r="BM112" s="280"/>
      <c r="BN112" s="280"/>
      <c r="BO112" s="280"/>
      <c r="BP112" s="280"/>
      <c r="BQ112" s="280"/>
      <c r="BR112" s="280"/>
      <c r="BS112" s="280"/>
      <c r="BT112" s="280"/>
      <c r="BU112" s="280"/>
      <c r="BV112" s="280"/>
      <c r="BW112" s="280"/>
      <c r="BX112" s="280"/>
      <c r="BY112" s="280"/>
      <c r="BZ112" s="280"/>
      <c r="CA112" s="280"/>
      <c r="CB112" s="280"/>
      <c r="CC112" s="280"/>
      <c r="CD112" s="280"/>
      <c r="CE112" s="280"/>
      <c r="CF112" s="280"/>
      <c r="CG112" s="280"/>
      <c r="CH112" s="280"/>
      <c r="CI112" s="280"/>
      <c r="CJ112" s="280"/>
      <c r="CK112" s="280"/>
      <c r="CL112" s="280"/>
      <c r="CM112" s="280"/>
      <c r="CN112" s="280"/>
      <c r="CO112" s="280"/>
      <c r="CP112" s="280"/>
      <c r="CQ112" s="280"/>
      <c r="CR112" s="280"/>
      <c r="CS112" s="280"/>
      <c r="CT112" s="280"/>
      <c r="CU112" s="280"/>
      <c r="CV112" s="280"/>
      <c r="CW112" s="280"/>
      <c r="CX112" s="280"/>
      <c r="CY112" s="280"/>
      <c r="CZ112" s="280"/>
      <c r="DA112" s="280"/>
      <c r="DB112" s="280"/>
      <c r="DC112" s="280"/>
      <c r="DD112" s="280"/>
      <c r="DE112" s="280"/>
      <c r="DF112" s="280"/>
      <c r="DG112" s="280"/>
      <c r="DH112" s="280"/>
      <c r="DI112" s="280"/>
      <c r="DJ112" s="280"/>
      <c r="DK112" s="280"/>
      <c r="DL112" s="280"/>
      <c r="DM112" s="280"/>
      <c r="DN112" s="280"/>
      <c r="DO112" s="280"/>
      <c r="DP112" s="280"/>
      <c r="DQ112" s="280"/>
      <c r="DR112" s="280"/>
      <c r="DS112" s="280"/>
      <c r="DT112" s="280"/>
      <c r="DU112" s="280"/>
      <c r="DV112" s="280"/>
      <c r="DW112" s="280"/>
      <c r="DX112" s="280"/>
      <c r="DY112" s="280"/>
      <c r="DZ112" s="280"/>
      <c r="EA112" s="280"/>
      <c r="EB112" s="280"/>
      <c r="EC112" s="280"/>
      <c r="ED112" s="280"/>
      <c r="EE112" s="280"/>
      <c r="EF112" s="280"/>
      <c r="EG112" s="280"/>
      <c r="EH112" s="280"/>
      <c r="EI112" s="280"/>
      <c r="EJ112" s="280"/>
      <c r="EK112" s="280"/>
      <c r="EL112" s="280"/>
      <c r="EM112" s="280"/>
      <c r="EN112" s="280"/>
      <c r="EO112" s="280"/>
      <c r="EP112" s="280"/>
      <c r="EQ112" s="280"/>
      <c r="ER112" s="280"/>
      <c r="ES112" s="280"/>
      <c r="ET112" s="280"/>
      <c r="EU112" s="280"/>
      <c r="EV112" s="280"/>
    </row>
    <row r="113" spans="1:152" s="74" customFormat="1" ht="38.15" customHeight="1" x14ac:dyDescent="0.35">
      <c r="A113" s="873"/>
      <c r="B113" s="876"/>
      <c r="C113" s="879"/>
      <c r="D113" s="855"/>
      <c r="E113" s="858"/>
      <c r="F113" s="858"/>
      <c r="G113" s="858"/>
      <c r="H113" s="855"/>
      <c r="I113" s="858"/>
      <c r="J113" s="858"/>
      <c r="K113" s="858"/>
      <c r="L113" s="858"/>
      <c r="M113" s="858"/>
      <c r="N113" s="858"/>
      <c r="O113" s="858"/>
      <c r="P113" s="858"/>
      <c r="Q113" s="858"/>
      <c r="R113" s="858"/>
      <c r="S113" s="837"/>
      <c r="T113" s="843"/>
      <c r="U113" s="843"/>
      <c r="V113" s="843"/>
      <c r="W113" s="162" t="s">
        <v>76</v>
      </c>
      <c r="X113" s="163" t="s">
        <v>92</v>
      </c>
      <c r="Y113" s="153"/>
      <c r="Z113" s="845"/>
      <c r="AA113" s="835"/>
      <c r="AB113" s="835"/>
      <c r="AC113" s="835"/>
      <c r="AD113" s="835"/>
      <c r="AE113" s="835"/>
      <c r="AF113" s="835"/>
      <c r="AG113" s="835"/>
      <c r="AH113" s="835"/>
      <c r="AI113" s="835"/>
      <c r="AJ113" s="835"/>
      <c r="AK113" s="835"/>
      <c r="AL113" s="835"/>
      <c r="AM113" s="162" t="s">
        <v>100</v>
      </c>
      <c r="AN113" s="162" t="s">
        <v>101</v>
      </c>
      <c r="AO113" s="162" t="s">
        <v>100</v>
      </c>
      <c r="AP113" s="163" t="s">
        <v>101</v>
      </c>
      <c r="AQ113" s="280"/>
      <c r="AR113" s="280"/>
      <c r="AS113" s="280"/>
      <c r="AT113" s="280"/>
      <c r="AU113" s="280"/>
      <c r="AV113" s="280"/>
      <c r="AW113" s="280"/>
      <c r="AX113" s="280"/>
      <c r="AY113" s="280"/>
      <c r="AZ113" s="280"/>
      <c r="BA113" s="280"/>
      <c r="BB113" s="280"/>
      <c r="BC113" s="280"/>
      <c r="BD113" s="280"/>
      <c r="BE113" s="280"/>
      <c r="BF113" s="280"/>
      <c r="BG113" s="280"/>
      <c r="BH113" s="280"/>
      <c r="BI113" s="280"/>
      <c r="BJ113" s="280"/>
      <c r="BK113" s="280"/>
      <c r="BL113" s="280"/>
      <c r="BM113" s="280"/>
      <c r="BN113" s="280"/>
      <c r="BO113" s="280"/>
      <c r="BP113" s="280"/>
      <c r="BQ113" s="280"/>
      <c r="BR113" s="280"/>
      <c r="BS113" s="280"/>
      <c r="BT113" s="280"/>
      <c r="BU113" s="280"/>
      <c r="BV113" s="280"/>
      <c r="BW113" s="280"/>
      <c r="BX113" s="280"/>
      <c r="BY113" s="280"/>
      <c r="BZ113" s="280"/>
      <c r="CA113" s="280"/>
      <c r="CB113" s="280"/>
      <c r="CC113" s="280"/>
      <c r="CD113" s="280"/>
      <c r="CE113" s="280"/>
      <c r="CF113" s="280"/>
      <c r="CG113" s="280"/>
      <c r="CH113" s="280"/>
      <c r="CI113" s="280"/>
      <c r="CJ113" s="280"/>
      <c r="CK113" s="280"/>
      <c r="CL113" s="280"/>
      <c r="CM113" s="280"/>
      <c r="CN113" s="280"/>
      <c r="CO113" s="280"/>
      <c r="CP113" s="280"/>
      <c r="CQ113" s="280"/>
      <c r="CR113" s="280"/>
      <c r="CS113" s="280"/>
      <c r="CT113" s="280"/>
      <c r="CU113" s="280"/>
      <c r="CV113" s="280"/>
      <c r="CW113" s="280"/>
      <c r="CX113" s="280"/>
      <c r="CY113" s="280"/>
      <c r="CZ113" s="280"/>
      <c r="DA113" s="280"/>
      <c r="DB113" s="280"/>
      <c r="DC113" s="280"/>
      <c r="DD113" s="280"/>
      <c r="DE113" s="280"/>
      <c r="DF113" s="280"/>
      <c r="DG113" s="280"/>
      <c r="DH113" s="280"/>
      <c r="DI113" s="280"/>
      <c r="DJ113" s="280"/>
      <c r="DK113" s="280"/>
      <c r="DL113" s="280"/>
      <c r="DM113" s="280"/>
      <c r="DN113" s="280"/>
      <c r="DO113" s="280"/>
      <c r="DP113" s="280"/>
      <c r="DQ113" s="280"/>
      <c r="DR113" s="280"/>
      <c r="DS113" s="280"/>
      <c r="DT113" s="280"/>
      <c r="DU113" s="280"/>
      <c r="DV113" s="280"/>
      <c r="DW113" s="280"/>
      <c r="DX113" s="280"/>
      <c r="DY113" s="280"/>
      <c r="DZ113" s="280"/>
      <c r="EA113" s="280"/>
      <c r="EB113" s="280"/>
      <c r="EC113" s="280"/>
      <c r="ED113" s="280"/>
      <c r="EE113" s="280"/>
      <c r="EF113" s="280"/>
      <c r="EG113" s="280"/>
      <c r="EH113" s="280"/>
      <c r="EI113" s="280"/>
      <c r="EJ113" s="280"/>
      <c r="EK113" s="280"/>
      <c r="EL113" s="280"/>
      <c r="EM113" s="280"/>
      <c r="EN113" s="280"/>
      <c r="EO113" s="280"/>
      <c r="EP113" s="280"/>
      <c r="EQ113" s="280"/>
      <c r="ER113" s="280"/>
      <c r="ES113" s="280"/>
      <c r="ET113" s="280"/>
      <c r="EU113" s="280"/>
      <c r="EV113" s="280"/>
    </row>
    <row r="114" spans="1:152" ht="20.149999999999999" customHeight="1" x14ac:dyDescent="0.35">
      <c r="A114" s="164">
        <v>1</v>
      </c>
      <c r="B114" s="99" t="str">
        <f>PETUNJUK!B9</f>
        <v>Pecangaan Kulon</v>
      </c>
      <c r="C114" s="80">
        <f>'1.DATA KIA'!C111</f>
        <v>101.2</v>
      </c>
      <c r="D114" s="132">
        <f t="shared" ref="D114:D131" si="53">F79</f>
        <v>22</v>
      </c>
      <c r="E114" s="91">
        <f>'1.DATA KIA'!F111</f>
        <v>8</v>
      </c>
      <c r="F114" s="132">
        <f>D114+E114</f>
        <v>30</v>
      </c>
      <c r="G114" s="133">
        <f>F114/C114*100</f>
        <v>29.644268774703558</v>
      </c>
      <c r="H114" s="132">
        <f t="shared" ref="H114:H131" si="54">J79</f>
        <v>23</v>
      </c>
      <c r="I114" s="91">
        <f>'1.DATA KIA'!AB111+'1.DATA KIA'!AE111</f>
        <v>6</v>
      </c>
      <c r="J114" s="132">
        <f>H114+I114</f>
        <v>29</v>
      </c>
      <c r="K114" s="133">
        <f>J114/C114*100</f>
        <v>28.656126482213441</v>
      </c>
      <c r="L114" s="711">
        <f t="shared" ref="L114:L125" si="55">I114</f>
        <v>6</v>
      </c>
      <c r="M114" s="113"/>
      <c r="N114" s="711">
        <f t="shared" ref="N114:N125" si="56">I114</f>
        <v>6</v>
      </c>
      <c r="O114" s="113"/>
      <c r="P114" s="113">
        <v>1</v>
      </c>
      <c r="Q114" s="113"/>
      <c r="R114" s="711">
        <f t="shared" ref="R114:R125" si="57">I114-P114</f>
        <v>5</v>
      </c>
      <c r="S114" s="113">
        <v>0</v>
      </c>
      <c r="T114" s="113"/>
      <c r="U114" s="113">
        <v>5</v>
      </c>
      <c r="V114" s="113"/>
      <c r="W114" s="711">
        <f t="shared" ref="W114:W125" si="58">I114-(S114+T114+U114+V114)</f>
        <v>1</v>
      </c>
      <c r="X114" s="113"/>
      <c r="Y114" s="154"/>
      <c r="Z114" s="712">
        <f t="shared" ref="Z114:Z125" si="59">S114+T114+W114+X114</f>
        <v>1</v>
      </c>
      <c r="AA114" s="134"/>
      <c r="AB114" s="713">
        <f t="shared" ref="AB114:AB125" si="60">I114-Z114</f>
        <v>5</v>
      </c>
      <c r="AC114" s="713">
        <f t="shared" ref="AC114:AC125" si="61">I114</f>
        <v>6</v>
      </c>
      <c r="AD114" s="134"/>
      <c r="AE114" s="713">
        <f t="shared" ref="AE114:AE125" si="62">I114</f>
        <v>6</v>
      </c>
      <c r="AF114" s="134"/>
      <c r="AG114" s="713">
        <f t="shared" ref="AG114:AG125" si="63">I114-(AH114+AI114+AJ114+AK114+AL114)</f>
        <v>0</v>
      </c>
      <c r="AH114" s="134"/>
      <c r="AI114" s="134">
        <v>1</v>
      </c>
      <c r="AJ114" s="134"/>
      <c r="AK114" s="134"/>
      <c r="AL114" s="134">
        <v>5</v>
      </c>
      <c r="AM114" s="713">
        <f t="shared" ref="AM114:AM125" si="64">I114</f>
        <v>6</v>
      </c>
      <c r="AN114" s="134"/>
      <c r="AO114" s="713">
        <f t="shared" ref="AO114:AO125" si="65">I114</f>
        <v>6</v>
      </c>
      <c r="AP114" s="165"/>
    </row>
    <row r="115" spans="1:152" ht="20.149999999999999" customHeight="1" x14ac:dyDescent="0.35">
      <c r="A115" s="166">
        <v>2</v>
      </c>
      <c r="B115" s="100" t="str">
        <f>PETUNJUK!B10</f>
        <v>Rengging</v>
      </c>
      <c r="C115" s="83">
        <f>'1.DATA KIA'!C112</f>
        <v>111.10000000000001</v>
      </c>
      <c r="D115" s="84">
        <f t="shared" si="53"/>
        <v>35</v>
      </c>
      <c r="E115" s="84">
        <f>'1.DATA KIA'!F112</f>
        <v>19</v>
      </c>
      <c r="F115" s="84">
        <f t="shared" ref="F115:F131" si="66">D115+E115</f>
        <v>54</v>
      </c>
      <c r="G115" s="86">
        <f t="shared" ref="G115:G131" si="67">F115/C115*100</f>
        <v>48.604860486048601</v>
      </c>
      <c r="H115" s="84">
        <f t="shared" si="54"/>
        <v>25</v>
      </c>
      <c r="I115" s="84">
        <f>'1.DATA KIA'!AB112+'1.DATA KIA'!AE112</f>
        <v>9</v>
      </c>
      <c r="J115" s="84">
        <f t="shared" ref="J115:J131" si="68">H115+I115</f>
        <v>34</v>
      </c>
      <c r="K115" s="86">
        <f t="shared" ref="K115:K131" si="69">J115/C115*100</f>
        <v>30.603060306030599</v>
      </c>
      <c r="L115" s="711">
        <f t="shared" si="55"/>
        <v>9</v>
      </c>
      <c r="M115" s="113"/>
      <c r="N115" s="711">
        <f t="shared" si="56"/>
        <v>9</v>
      </c>
      <c r="O115" s="113"/>
      <c r="P115" s="113">
        <v>7</v>
      </c>
      <c r="Q115" s="113"/>
      <c r="R115" s="711">
        <f t="shared" si="57"/>
        <v>2</v>
      </c>
      <c r="S115" s="113">
        <v>3</v>
      </c>
      <c r="T115" s="113"/>
      <c r="U115" s="113">
        <v>5</v>
      </c>
      <c r="V115" s="113"/>
      <c r="W115" s="711">
        <f t="shared" si="58"/>
        <v>1</v>
      </c>
      <c r="X115" s="113"/>
      <c r="Y115" s="154"/>
      <c r="Z115" s="712">
        <f t="shared" si="59"/>
        <v>4</v>
      </c>
      <c r="AA115" s="134"/>
      <c r="AB115" s="713">
        <f t="shared" si="60"/>
        <v>5</v>
      </c>
      <c r="AC115" s="713">
        <f t="shared" si="61"/>
        <v>9</v>
      </c>
      <c r="AD115" s="134"/>
      <c r="AE115" s="713">
        <f t="shared" si="62"/>
        <v>9</v>
      </c>
      <c r="AF115" s="134"/>
      <c r="AG115" s="713">
        <f t="shared" si="63"/>
        <v>0</v>
      </c>
      <c r="AH115" s="134"/>
      <c r="AI115" s="134">
        <v>9</v>
      </c>
      <c r="AJ115" s="134"/>
      <c r="AK115" s="134"/>
      <c r="AL115" s="134"/>
      <c r="AM115" s="713">
        <f t="shared" si="64"/>
        <v>9</v>
      </c>
      <c r="AN115" s="134"/>
      <c r="AO115" s="713">
        <f t="shared" si="65"/>
        <v>9</v>
      </c>
      <c r="AP115" s="165"/>
    </row>
    <row r="116" spans="1:152" ht="20.149999999999999" customHeight="1" x14ac:dyDescent="0.35">
      <c r="A116" s="166">
        <v>3</v>
      </c>
      <c r="B116" s="100" t="str">
        <f>PETUNJUK!B11</f>
        <v>Troso</v>
      </c>
      <c r="C116" s="83">
        <f>'1.DATA KIA'!C113</f>
        <v>205.70000000000002</v>
      </c>
      <c r="D116" s="84">
        <f t="shared" si="53"/>
        <v>52</v>
      </c>
      <c r="E116" s="84">
        <f>'1.DATA KIA'!F113</f>
        <v>26</v>
      </c>
      <c r="F116" s="84">
        <f t="shared" si="66"/>
        <v>78</v>
      </c>
      <c r="G116" s="86">
        <f t="shared" si="67"/>
        <v>37.919299951385511</v>
      </c>
      <c r="H116" s="84">
        <f t="shared" si="54"/>
        <v>46</v>
      </c>
      <c r="I116" s="84">
        <f>'1.DATA KIA'!AB113+'1.DATA KIA'!AE113</f>
        <v>14</v>
      </c>
      <c r="J116" s="84">
        <f t="shared" si="68"/>
        <v>60</v>
      </c>
      <c r="K116" s="86">
        <f t="shared" si="69"/>
        <v>29.168692270296546</v>
      </c>
      <c r="L116" s="711">
        <f t="shared" si="55"/>
        <v>14</v>
      </c>
      <c r="M116" s="113"/>
      <c r="N116" s="711">
        <f t="shared" si="56"/>
        <v>14</v>
      </c>
      <c r="O116" s="113"/>
      <c r="P116" s="113">
        <v>8</v>
      </c>
      <c r="Q116" s="113"/>
      <c r="R116" s="711">
        <f t="shared" si="57"/>
        <v>6</v>
      </c>
      <c r="S116" s="113">
        <v>4</v>
      </c>
      <c r="T116" s="113"/>
      <c r="U116" s="113">
        <v>9</v>
      </c>
      <c r="V116" s="113"/>
      <c r="W116" s="711">
        <f t="shared" si="58"/>
        <v>1</v>
      </c>
      <c r="X116" s="113"/>
      <c r="Y116" s="154"/>
      <c r="Z116" s="712">
        <f t="shared" si="59"/>
        <v>5</v>
      </c>
      <c r="AA116" s="134"/>
      <c r="AB116" s="713">
        <f t="shared" si="60"/>
        <v>9</v>
      </c>
      <c r="AC116" s="713">
        <f t="shared" si="61"/>
        <v>14</v>
      </c>
      <c r="AD116" s="134"/>
      <c r="AE116" s="713">
        <f t="shared" si="62"/>
        <v>14</v>
      </c>
      <c r="AF116" s="134"/>
      <c r="AG116" s="713">
        <f t="shared" si="63"/>
        <v>0</v>
      </c>
      <c r="AH116" s="134"/>
      <c r="AI116" s="134">
        <v>11</v>
      </c>
      <c r="AJ116" s="134"/>
      <c r="AK116" s="134"/>
      <c r="AL116" s="134">
        <v>3</v>
      </c>
      <c r="AM116" s="713">
        <f t="shared" si="64"/>
        <v>14</v>
      </c>
      <c r="AN116" s="134"/>
      <c r="AO116" s="713">
        <f t="shared" si="65"/>
        <v>14</v>
      </c>
      <c r="AP116" s="165"/>
    </row>
    <row r="117" spans="1:152" ht="20.149999999999999" customHeight="1" x14ac:dyDescent="0.35">
      <c r="A117" s="166">
        <v>4</v>
      </c>
      <c r="B117" s="100" t="str">
        <f>PETUNJUK!B12</f>
        <v>Ngeling</v>
      </c>
      <c r="C117" s="83">
        <f>'1.DATA KIA'!C114</f>
        <v>95.7</v>
      </c>
      <c r="D117" s="84">
        <f t="shared" si="53"/>
        <v>21</v>
      </c>
      <c r="E117" s="84">
        <f>'1.DATA KIA'!F114</f>
        <v>9</v>
      </c>
      <c r="F117" s="84">
        <f t="shared" si="66"/>
        <v>30</v>
      </c>
      <c r="G117" s="86">
        <f t="shared" si="67"/>
        <v>31.347962382445139</v>
      </c>
      <c r="H117" s="84">
        <f t="shared" si="54"/>
        <v>17</v>
      </c>
      <c r="I117" s="84">
        <f>'1.DATA KIA'!AB114+'1.DATA KIA'!AE114</f>
        <v>11</v>
      </c>
      <c r="J117" s="84">
        <f t="shared" si="68"/>
        <v>28</v>
      </c>
      <c r="K117" s="86">
        <f t="shared" si="69"/>
        <v>29.258098223615463</v>
      </c>
      <c r="L117" s="711">
        <f t="shared" si="55"/>
        <v>11</v>
      </c>
      <c r="M117" s="113"/>
      <c r="N117" s="711">
        <f t="shared" si="56"/>
        <v>11</v>
      </c>
      <c r="O117" s="113"/>
      <c r="P117" s="113">
        <v>2</v>
      </c>
      <c r="Q117" s="113"/>
      <c r="R117" s="711">
        <f t="shared" si="57"/>
        <v>9</v>
      </c>
      <c r="S117" s="113">
        <v>0</v>
      </c>
      <c r="T117" s="113"/>
      <c r="U117" s="113">
        <v>8</v>
      </c>
      <c r="V117" s="113"/>
      <c r="W117" s="711">
        <f t="shared" si="58"/>
        <v>3</v>
      </c>
      <c r="X117" s="113"/>
      <c r="Y117" s="154"/>
      <c r="Z117" s="712">
        <f t="shared" si="59"/>
        <v>3</v>
      </c>
      <c r="AA117" s="134"/>
      <c r="AB117" s="713">
        <f t="shared" si="60"/>
        <v>8</v>
      </c>
      <c r="AC117" s="713">
        <f t="shared" si="61"/>
        <v>11</v>
      </c>
      <c r="AD117" s="134"/>
      <c r="AE117" s="713">
        <f t="shared" si="62"/>
        <v>11</v>
      </c>
      <c r="AF117" s="134"/>
      <c r="AG117" s="713">
        <f t="shared" si="63"/>
        <v>0</v>
      </c>
      <c r="AH117" s="134"/>
      <c r="AI117" s="134">
        <v>10</v>
      </c>
      <c r="AJ117" s="134"/>
      <c r="AK117" s="134"/>
      <c r="AL117" s="134">
        <v>1</v>
      </c>
      <c r="AM117" s="713">
        <f t="shared" si="64"/>
        <v>11</v>
      </c>
      <c r="AN117" s="134"/>
      <c r="AO117" s="713">
        <f t="shared" si="65"/>
        <v>11</v>
      </c>
      <c r="AP117" s="165"/>
    </row>
    <row r="118" spans="1:152" ht="20.149999999999999" customHeight="1" x14ac:dyDescent="0.35">
      <c r="A118" s="166">
        <v>5</v>
      </c>
      <c r="B118" s="100" t="str">
        <f>PETUNJUK!B13</f>
        <v>Lebuawu</v>
      </c>
      <c r="C118" s="83">
        <f>'1.DATA KIA'!C115</f>
        <v>85.800000000000011</v>
      </c>
      <c r="D118" s="84">
        <f t="shared" si="53"/>
        <v>25</v>
      </c>
      <c r="E118" s="84">
        <f>'1.DATA KIA'!F115</f>
        <v>8</v>
      </c>
      <c r="F118" s="84">
        <f t="shared" si="66"/>
        <v>33</v>
      </c>
      <c r="G118" s="86">
        <f t="shared" si="67"/>
        <v>38.46153846153846</v>
      </c>
      <c r="H118" s="84">
        <f t="shared" si="54"/>
        <v>15</v>
      </c>
      <c r="I118" s="84">
        <f>'1.DATA KIA'!AB115+'1.DATA KIA'!AE115</f>
        <v>8</v>
      </c>
      <c r="J118" s="84">
        <f t="shared" si="68"/>
        <v>23</v>
      </c>
      <c r="K118" s="86">
        <f t="shared" si="69"/>
        <v>26.806526806526804</v>
      </c>
      <c r="L118" s="711">
        <f t="shared" si="55"/>
        <v>8</v>
      </c>
      <c r="M118" s="113"/>
      <c r="N118" s="711">
        <f t="shared" si="56"/>
        <v>8</v>
      </c>
      <c r="O118" s="113"/>
      <c r="P118" s="113">
        <v>6</v>
      </c>
      <c r="Q118" s="113"/>
      <c r="R118" s="711">
        <f t="shared" si="57"/>
        <v>2</v>
      </c>
      <c r="S118" s="113">
        <v>4</v>
      </c>
      <c r="T118" s="113"/>
      <c r="U118" s="113">
        <v>2</v>
      </c>
      <c r="V118" s="113"/>
      <c r="W118" s="711">
        <f t="shared" si="58"/>
        <v>2</v>
      </c>
      <c r="X118" s="113"/>
      <c r="Y118" s="154"/>
      <c r="Z118" s="712">
        <f t="shared" si="59"/>
        <v>6</v>
      </c>
      <c r="AA118" s="134"/>
      <c r="AB118" s="713">
        <f t="shared" si="60"/>
        <v>2</v>
      </c>
      <c r="AC118" s="713">
        <f t="shared" si="61"/>
        <v>8</v>
      </c>
      <c r="AD118" s="134"/>
      <c r="AE118" s="713">
        <f t="shared" si="62"/>
        <v>8</v>
      </c>
      <c r="AF118" s="134"/>
      <c r="AG118" s="713">
        <f t="shared" si="63"/>
        <v>0</v>
      </c>
      <c r="AH118" s="134"/>
      <c r="AI118" s="134">
        <v>6</v>
      </c>
      <c r="AJ118" s="134"/>
      <c r="AK118" s="134">
        <v>2</v>
      </c>
      <c r="AL118" s="134"/>
      <c r="AM118" s="713">
        <f t="shared" si="64"/>
        <v>8</v>
      </c>
      <c r="AN118" s="134"/>
      <c r="AO118" s="713">
        <f t="shared" si="65"/>
        <v>8</v>
      </c>
      <c r="AP118" s="165"/>
    </row>
    <row r="119" spans="1:152" ht="20.149999999999999" customHeight="1" x14ac:dyDescent="0.35">
      <c r="A119" s="166">
        <v>6</v>
      </c>
      <c r="B119" s="100" t="str">
        <f>PETUNJUK!B14</f>
        <v>Pulodarat</v>
      </c>
      <c r="C119" s="83">
        <f>'1.DATA KIA'!C116</f>
        <v>82.5</v>
      </c>
      <c r="D119" s="84">
        <f t="shared" si="53"/>
        <v>14</v>
      </c>
      <c r="E119" s="84">
        <f>'1.DATA KIA'!F116</f>
        <v>4</v>
      </c>
      <c r="F119" s="84">
        <f t="shared" si="66"/>
        <v>18</v>
      </c>
      <c r="G119" s="86">
        <f t="shared" si="67"/>
        <v>21.818181818181817</v>
      </c>
      <c r="H119" s="84">
        <f t="shared" si="54"/>
        <v>13</v>
      </c>
      <c r="I119" s="84">
        <f>'1.DATA KIA'!AB116+'1.DATA KIA'!AE116</f>
        <v>4</v>
      </c>
      <c r="J119" s="84">
        <f t="shared" si="68"/>
        <v>17</v>
      </c>
      <c r="K119" s="86">
        <f t="shared" si="69"/>
        <v>20.606060606060606</v>
      </c>
      <c r="L119" s="711">
        <f t="shared" si="55"/>
        <v>4</v>
      </c>
      <c r="M119" s="113"/>
      <c r="N119" s="711">
        <f t="shared" si="56"/>
        <v>4</v>
      </c>
      <c r="O119" s="113"/>
      <c r="P119" s="113">
        <v>2</v>
      </c>
      <c r="Q119" s="113"/>
      <c r="R119" s="711">
        <f t="shared" si="57"/>
        <v>2</v>
      </c>
      <c r="S119" s="113">
        <v>0</v>
      </c>
      <c r="T119" s="113"/>
      <c r="U119" s="113">
        <v>2</v>
      </c>
      <c r="V119" s="113"/>
      <c r="W119" s="711">
        <f t="shared" si="58"/>
        <v>2</v>
      </c>
      <c r="X119" s="113"/>
      <c r="Y119" s="154"/>
      <c r="Z119" s="712">
        <f t="shared" si="59"/>
        <v>2</v>
      </c>
      <c r="AA119" s="134"/>
      <c r="AB119" s="713">
        <f t="shared" si="60"/>
        <v>2</v>
      </c>
      <c r="AC119" s="713">
        <f t="shared" si="61"/>
        <v>4</v>
      </c>
      <c r="AD119" s="134"/>
      <c r="AE119" s="713">
        <f t="shared" si="62"/>
        <v>4</v>
      </c>
      <c r="AF119" s="134"/>
      <c r="AG119" s="713">
        <f t="shared" si="63"/>
        <v>0</v>
      </c>
      <c r="AH119" s="134"/>
      <c r="AI119" s="134">
        <v>4</v>
      </c>
      <c r="AJ119" s="134"/>
      <c r="AK119" s="134"/>
      <c r="AL119" s="134"/>
      <c r="AM119" s="713">
        <f t="shared" si="64"/>
        <v>4</v>
      </c>
      <c r="AN119" s="134"/>
      <c r="AO119" s="713">
        <f t="shared" si="65"/>
        <v>4</v>
      </c>
      <c r="AP119" s="165"/>
    </row>
    <row r="120" spans="1:152" ht="20.149999999999999" customHeight="1" x14ac:dyDescent="0.35">
      <c r="A120" s="166">
        <v>7</v>
      </c>
      <c r="B120" s="100" t="str">
        <f>PETUNJUK!B15</f>
        <v>Karangrandu</v>
      </c>
      <c r="C120" s="83">
        <f>'1.DATA KIA'!C117</f>
        <v>93.500000000000014</v>
      </c>
      <c r="D120" s="84">
        <f t="shared" si="53"/>
        <v>22</v>
      </c>
      <c r="E120" s="84">
        <f>'1.DATA KIA'!F117</f>
        <v>9</v>
      </c>
      <c r="F120" s="84">
        <f t="shared" si="66"/>
        <v>31</v>
      </c>
      <c r="G120" s="86">
        <f t="shared" si="67"/>
        <v>33.155080213903737</v>
      </c>
      <c r="H120" s="84">
        <f t="shared" si="54"/>
        <v>19</v>
      </c>
      <c r="I120" s="84">
        <f>'1.DATA KIA'!AB117+'1.DATA KIA'!AE117</f>
        <v>8</v>
      </c>
      <c r="J120" s="84">
        <f t="shared" si="68"/>
        <v>27</v>
      </c>
      <c r="K120" s="86">
        <f t="shared" si="69"/>
        <v>28.877005347593578</v>
      </c>
      <c r="L120" s="711">
        <f t="shared" si="55"/>
        <v>8</v>
      </c>
      <c r="M120" s="113"/>
      <c r="N120" s="711">
        <f t="shared" si="56"/>
        <v>8</v>
      </c>
      <c r="O120" s="113"/>
      <c r="P120" s="113">
        <v>6</v>
      </c>
      <c r="Q120" s="113"/>
      <c r="R120" s="711">
        <f t="shared" si="57"/>
        <v>2</v>
      </c>
      <c r="S120" s="113">
        <v>1</v>
      </c>
      <c r="T120" s="113"/>
      <c r="U120" s="113">
        <v>3</v>
      </c>
      <c r="V120" s="113"/>
      <c r="W120" s="711">
        <f t="shared" si="58"/>
        <v>4</v>
      </c>
      <c r="X120" s="113"/>
      <c r="Y120" s="154"/>
      <c r="Z120" s="712">
        <f t="shared" si="59"/>
        <v>5</v>
      </c>
      <c r="AA120" s="134"/>
      <c r="AB120" s="713">
        <f t="shared" si="60"/>
        <v>3</v>
      </c>
      <c r="AC120" s="713">
        <f t="shared" si="61"/>
        <v>8</v>
      </c>
      <c r="AD120" s="134"/>
      <c r="AE120" s="713">
        <f t="shared" si="62"/>
        <v>8</v>
      </c>
      <c r="AF120" s="134"/>
      <c r="AG120" s="713">
        <f t="shared" si="63"/>
        <v>0</v>
      </c>
      <c r="AH120" s="134"/>
      <c r="AI120" s="134">
        <v>8</v>
      </c>
      <c r="AJ120" s="134"/>
      <c r="AK120" s="134"/>
      <c r="AL120" s="134"/>
      <c r="AM120" s="713">
        <f t="shared" si="64"/>
        <v>8</v>
      </c>
      <c r="AN120" s="134"/>
      <c r="AO120" s="713">
        <f t="shared" si="65"/>
        <v>8</v>
      </c>
      <c r="AP120" s="165"/>
    </row>
    <row r="121" spans="1:152" ht="20.149999999999999" customHeight="1" x14ac:dyDescent="0.35">
      <c r="A121" s="166">
        <v>8</v>
      </c>
      <c r="B121" s="100" t="str">
        <f>PETUNJUK!B16</f>
        <v>Kaliombo</v>
      </c>
      <c r="C121" s="83">
        <f>'1.DATA KIA'!C118</f>
        <v>46.2</v>
      </c>
      <c r="D121" s="84">
        <f t="shared" si="53"/>
        <v>8</v>
      </c>
      <c r="E121" s="84">
        <f>'1.DATA KIA'!F118</f>
        <v>5</v>
      </c>
      <c r="F121" s="84">
        <f t="shared" si="66"/>
        <v>13</v>
      </c>
      <c r="G121" s="86">
        <f t="shared" si="67"/>
        <v>28.138528138528134</v>
      </c>
      <c r="H121" s="84">
        <f t="shared" si="54"/>
        <v>8</v>
      </c>
      <c r="I121" s="84">
        <f>'1.DATA KIA'!AB118+'1.DATA KIA'!AE118</f>
        <v>5</v>
      </c>
      <c r="J121" s="84">
        <f t="shared" si="68"/>
        <v>13</v>
      </c>
      <c r="K121" s="86">
        <f t="shared" si="69"/>
        <v>28.138528138528134</v>
      </c>
      <c r="L121" s="711">
        <f t="shared" si="55"/>
        <v>5</v>
      </c>
      <c r="M121" s="113"/>
      <c r="N121" s="711">
        <f t="shared" si="56"/>
        <v>5</v>
      </c>
      <c r="O121" s="113"/>
      <c r="P121" s="113">
        <v>2</v>
      </c>
      <c r="Q121" s="113"/>
      <c r="R121" s="711">
        <f t="shared" si="57"/>
        <v>3</v>
      </c>
      <c r="S121" s="113">
        <v>1</v>
      </c>
      <c r="T121" s="113"/>
      <c r="U121" s="113">
        <v>3</v>
      </c>
      <c r="V121" s="113"/>
      <c r="W121" s="711">
        <f t="shared" si="58"/>
        <v>1</v>
      </c>
      <c r="X121" s="113"/>
      <c r="Y121" s="154"/>
      <c r="Z121" s="712">
        <f t="shared" si="59"/>
        <v>2</v>
      </c>
      <c r="AA121" s="134"/>
      <c r="AB121" s="713">
        <f t="shared" si="60"/>
        <v>3</v>
      </c>
      <c r="AC121" s="713">
        <f t="shared" si="61"/>
        <v>5</v>
      </c>
      <c r="AD121" s="134"/>
      <c r="AE121" s="713">
        <f t="shared" si="62"/>
        <v>5</v>
      </c>
      <c r="AF121" s="134"/>
      <c r="AG121" s="713">
        <f t="shared" si="63"/>
        <v>0</v>
      </c>
      <c r="AH121" s="134"/>
      <c r="AI121" s="134">
        <v>5</v>
      </c>
      <c r="AJ121" s="134"/>
      <c r="AK121" s="134"/>
      <c r="AL121" s="134"/>
      <c r="AM121" s="713">
        <f t="shared" si="64"/>
        <v>5</v>
      </c>
      <c r="AN121" s="134"/>
      <c r="AO121" s="713">
        <f t="shared" si="65"/>
        <v>5</v>
      </c>
      <c r="AP121" s="165"/>
    </row>
    <row r="122" spans="1:152" ht="20.149999999999999" customHeight="1" x14ac:dyDescent="0.35">
      <c r="A122" s="166">
        <v>9</v>
      </c>
      <c r="B122" s="100" t="str">
        <f>PETUNJUK!B17</f>
        <v>Gemulung</v>
      </c>
      <c r="C122" s="83">
        <f>'1.DATA KIA'!C119</f>
        <v>53.900000000000006</v>
      </c>
      <c r="D122" s="84">
        <f t="shared" si="53"/>
        <v>14</v>
      </c>
      <c r="E122" s="84">
        <f>'1.DATA KIA'!F119</f>
        <v>5</v>
      </c>
      <c r="F122" s="84">
        <f t="shared" si="66"/>
        <v>19</v>
      </c>
      <c r="G122" s="86">
        <f t="shared" si="67"/>
        <v>35.250463821892389</v>
      </c>
      <c r="H122" s="84">
        <f t="shared" si="54"/>
        <v>16</v>
      </c>
      <c r="I122" s="84">
        <f>'1.DATA KIA'!AB119+'1.DATA KIA'!AE119</f>
        <v>4</v>
      </c>
      <c r="J122" s="84">
        <f t="shared" si="68"/>
        <v>20</v>
      </c>
      <c r="K122" s="86">
        <f t="shared" si="69"/>
        <v>37.105751391465674</v>
      </c>
      <c r="L122" s="711">
        <f t="shared" si="55"/>
        <v>4</v>
      </c>
      <c r="M122" s="113"/>
      <c r="N122" s="711">
        <f t="shared" si="56"/>
        <v>4</v>
      </c>
      <c r="O122" s="113"/>
      <c r="P122" s="113">
        <v>1</v>
      </c>
      <c r="Q122" s="113"/>
      <c r="R122" s="711">
        <f t="shared" si="57"/>
        <v>3</v>
      </c>
      <c r="S122" s="113">
        <v>1</v>
      </c>
      <c r="T122" s="113"/>
      <c r="U122" s="113">
        <v>3</v>
      </c>
      <c r="V122" s="113"/>
      <c r="W122" s="711">
        <f t="shared" si="58"/>
        <v>0</v>
      </c>
      <c r="X122" s="113"/>
      <c r="Y122" s="154"/>
      <c r="Z122" s="712">
        <f t="shared" si="59"/>
        <v>1</v>
      </c>
      <c r="AA122" s="134"/>
      <c r="AB122" s="713">
        <f t="shared" si="60"/>
        <v>3</v>
      </c>
      <c r="AC122" s="713">
        <f t="shared" si="61"/>
        <v>4</v>
      </c>
      <c r="AD122" s="134"/>
      <c r="AE122" s="713">
        <f t="shared" si="62"/>
        <v>4</v>
      </c>
      <c r="AF122" s="134"/>
      <c r="AG122" s="713">
        <f t="shared" si="63"/>
        <v>0</v>
      </c>
      <c r="AH122" s="134"/>
      <c r="AI122" s="134">
        <v>3</v>
      </c>
      <c r="AJ122" s="134"/>
      <c r="AK122" s="134"/>
      <c r="AL122" s="134">
        <v>1</v>
      </c>
      <c r="AM122" s="713">
        <f t="shared" si="64"/>
        <v>4</v>
      </c>
      <c r="AN122" s="134"/>
      <c r="AO122" s="713">
        <f t="shared" si="65"/>
        <v>4</v>
      </c>
      <c r="AP122" s="165"/>
    </row>
    <row r="123" spans="1:152" ht="20.149999999999999" customHeight="1" x14ac:dyDescent="0.35">
      <c r="A123" s="166">
        <v>10</v>
      </c>
      <c r="B123" s="100" t="str">
        <f>PETUNJUK!B18</f>
        <v>Pecangaan Wetan</v>
      </c>
      <c r="C123" s="83">
        <f>'1.DATA KIA'!C120</f>
        <v>50.6</v>
      </c>
      <c r="D123" s="84">
        <f t="shared" si="53"/>
        <v>12</v>
      </c>
      <c r="E123" s="84">
        <f>'1.DATA KIA'!F120</f>
        <v>3</v>
      </c>
      <c r="F123" s="84">
        <f t="shared" si="66"/>
        <v>15</v>
      </c>
      <c r="G123" s="86">
        <f t="shared" si="67"/>
        <v>29.644268774703558</v>
      </c>
      <c r="H123" s="84">
        <f t="shared" si="54"/>
        <v>11</v>
      </c>
      <c r="I123" s="84">
        <f>'1.DATA KIA'!AB120+'1.DATA KIA'!AE120</f>
        <v>2</v>
      </c>
      <c r="J123" s="84">
        <f t="shared" si="68"/>
        <v>13</v>
      </c>
      <c r="K123" s="86">
        <f t="shared" si="69"/>
        <v>25.691699604743086</v>
      </c>
      <c r="L123" s="711">
        <f t="shared" si="55"/>
        <v>2</v>
      </c>
      <c r="M123" s="113"/>
      <c r="N123" s="711">
        <f t="shared" si="56"/>
        <v>2</v>
      </c>
      <c r="O123" s="113"/>
      <c r="P123" s="113">
        <v>2</v>
      </c>
      <c r="Q123" s="113"/>
      <c r="R123" s="711">
        <f t="shared" si="57"/>
        <v>0</v>
      </c>
      <c r="S123" s="113">
        <v>0</v>
      </c>
      <c r="T123" s="113"/>
      <c r="U123" s="113">
        <v>0</v>
      </c>
      <c r="V123" s="113"/>
      <c r="W123" s="711">
        <f t="shared" si="58"/>
        <v>2</v>
      </c>
      <c r="X123" s="113"/>
      <c r="Y123" s="154"/>
      <c r="Z123" s="712">
        <f t="shared" si="59"/>
        <v>2</v>
      </c>
      <c r="AA123" s="134"/>
      <c r="AB123" s="713">
        <f t="shared" si="60"/>
        <v>0</v>
      </c>
      <c r="AC123" s="713">
        <f t="shared" si="61"/>
        <v>2</v>
      </c>
      <c r="AD123" s="134"/>
      <c r="AE123" s="713">
        <f t="shared" si="62"/>
        <v>2</v>
      </c>
      <c r="AF123" s="134"/>
      <c r="AG123" s="713">
        <f t="shared" si="63"/>
        <v>0</v>
      </c>
      <c r="AH123" s="134"/>
      <c r="AI123" s="134">
        <v>1</v>
      </c>
      <c r="AJ123" s="134"/>
      <c r="AK123" s="134"/>
      <c r="AL123" s="134">
        <v>1</v>
      </c>
      <c r="AM123" s="713">
        <f t="shared" si="64"/>
        <v>2</v>
      </c>
      <c r="AN123" s="134"/>
      <c r="AO123" s="713">
        <f t="shared" si="65"/>
        <v>2</v>
      </c>
      <c r="AP123" s="165"/>
    </row>
    <row r="124" spans="1:152" ht="20.149999999999999" customHeight="1" x14ac:dyDescent="0.35">
      <c r="A124" s="166">
        <v>11</v>
      </c>
      <c r="B124" s="100" t="str">
        <f>PETUNJUK!B19</f>
        <v>Krasak</v>
      </c>
      <c r="C124" s="83">
        <f>'1.DATA KIA'!C121</f>
        <v>117.7</v>
      </c>
      <c r="D124" s="84">
        <f t="shared" si="53"/>
        <v>34</v>
      </c>
      <c r="E124" s="84">
        <f>'1.DATA KIA'!F121</f>
        <v>11</v>
      </c>
      <c r="F124" s="84">
        <f t="shared" si="66"/>
        <v>45</v>
      </c>
      <c r="G124" s="86">
        <f t="shared" si="67"/>
        <v>38.232795242141037</v>
      </c>
      <c r="H124" s="84">
        <f t="shared" si="54"/>
        <v>20</v>
      </c>
      <c r="I124" s="84">
        <f>'1.DATA KIA'!AB121+'1.DATA KIA'!AE121</f>
        <v>9</v>
      </c>
      <c r="J124" s="84">
        <f t="shared" si="68"/>
        <v>29</v>
      </c>
      <c r="K124" s="86">
        <f t="shared" si="69"/>
        <v>24.638912489379777</v>
      </c>
      <c r="L124" s="711">
        <f t="shared" si="55"/>
        <v>9</v>
      </c>
      <c r="M124" s="113"/>
      <c r="N124" s="711">
        <f t="shared" si="56"/>
        <v>9</v>
      </c>
      <c r="O124" s="113"/>
      <c r="P124" s="113">
        <v>5</v>
      </c>
      <c r="Q124" s="113"/>
      <c r="R124" s="711">
        <f t="shared" si="57"/>
        <v>4</v>
      </c>
      <c r="S124" s="113">
        <v>0</v>
      </c>
      <c r="T124" s="113"/>
      <c r="U124" s="113">
        <v>4</v>
      </c>
      <c r="V124" s="113"/>
      <c r="W124" s="711">
        <f t="shared" si="58"/>
        <v>5</v>
      </c>
      <c r="X124" s="113"/>
      <c r="Y124" s="154"/>
      <c r="Z124" s="712">
        <f t="shared" si="59"/>
        <v>5</v>
      </c>
      <c r="AA124" s="134"/>
      <c r="AB124" s="713">
        <f t="shared" si="60"/>
        <v>4</v>
      </c>
      <c r="AC124" s="713">
        <f t="shared" si="61"/>
        <v>9</v>
      </c>
      <c r="AD124" s="134"/>
      <c r="AE124" s="713">
        <f t="shared" si="62"/>
        <v>9</v>
      </c>
      <c r="AF124" s="134"/>
      <c r="AG124" s="713">
        <f t="shared" si="63"/>
        <v>0</v>
      </c>
      <c r="AH124" s="134"/>
      <c r="AI124" s="134">
        <v>9</v>
      </c>
      <c r="AJ124" s="134"/>
      <c r="AK124" s="134"/>
      <c r="AL124" s="134"/>
      <c r="AM124" s="713">
        <f t="shared" si="64"/>
        <v>9</v>
      </c>
      <c r="AN124" s="134"/>
      <c r="AO124" s="713">
        <f t="shared" si="65"/>
        <v>9</v>
      </c>
      <c r="AP124" s="165"/>
    </row>
    <row r="125" spans="1:152" ht="20.149999999999999" customHeight="1" x14ac:dyDescent="0.35">
      <c r="A125" s="166">
        <v>12</v>
      </c>
      <c r="B125" s="100" t="str">
        <f>PETUNJUK!B20</f>
        <v>Gerdu</v>
      </c>
      <c r="C125" s="83">
        <f>'1.DATA KIA'!C122</f>
        <v>23.1</v>
      </c>
      <c r="D125" s="84">
        <f t="shared" si="53"/>
        <v>5</v>
      </c>
      <c r="E125" s="84">
        <f>'1.DATA KIA'!F122</f>
        <v>3</v>
      </c>
      <c r="F125" s="84">
        <f t="shared" si="66"/>
        <v>8</v>
      </c>
      <c r="G125" s="86">
        <f t="shared" si="67"/>
        <v>34.632034632034632</v>
      </c>
      <c r="H125" s="84">
        <f t="shared" si="54"/>
        <v>3</v>
      </c>
      <c r="I125" s="84">
        <f>'1.DATA KIA'!AB122+'1.DATA KIA'!AE122</f>
        <v>2</v>
      </c>
      <c r="J125" s="84">
        <f t="shared" si="68"/>
        <v>5</v>
      </c>
      <c r="K125" s="86">
        <f t="shared" si="69"/>
        <v>21.645021645021643</v>
      </c>
      <c r="L125" s="711">
        <f t="shared" si="55"/>
        <v>2</v>
      </c>
      <c r="M125" s="113"/>
      <c r="N125" s="711">
        <f t="shared" si="56"/>
        <v>2</v>
      </c>
      <c r="O125" s="113"/>
      <c r="P125" s="113">
        <v>1</v>
      </c>
      <c r="Q125" s="113"/>
      <c r="R125" s="711">
        <f t="shared" si="57"/>
        <v>1</v>
      </c>
      <c r="S125" s="113">
        <v>0</v>
      </c>
      <c r="T125" s="113"/>
      <c r="U125" s="113">
        <v>1</v>
      </c>
      <c r="V125" s="113"/>
      <c r="W125" s="711">
        <f t="shared" si="58"/>
        <v>1</v>
      </c>
      <c r="X125" s="113"/>
      <c r="Y125" s="154"/>
      <c r="Z125" s="712">
        <f t="shared" si="59"/>
        <v>1</v>
      </c>
      <c r="AA125" s="134"/>
      <c r="AB125" s="713">
        <f t="shared" si="60"/>
        <v>1</v>
      </c>
      <c r="AC125" s="713">
        <f t="shared" si="61"/>
        <v>2</v>
      </c>
      <c r="AD125" s="134"/>
      <c r="AE125" s="713">
        <f t="shared" si="62"/>
        <v>2</v>
      </c>
      <c r="AF125" s="134"/>
      <c r="AG125" s="713">
        <f t="shared" si="63"/>
        <v>0</v>
      </c>
      <c r="AH125" s="134"/>
      <c r="AI125" s="134">
        <v>2</v>
      </c>
      <c r="AJ125" s="134"/>
      <c r="AK125" s="134"/>
      <c r="AL125" s="134">
        <v>0</v>
      </c>
      <c r="AM125" s="713">
        <f t="shared" si="64"/>
        <v>2</v>
      </c>
      <c r="AN125" s="134"/>
      <c r="AO125" s="713">
        <f t="shared" si="65"/>
        <v>2</v>
      </c>
      <c r="AP125" s="165"/>
    </row>
    <row r="126" spans="1:152" ht="20.149999999999999" customHeight="1" x14ac:dyDescent="0.35">
      <c r="A126" s="166">
        <v>13</v>
      </c>
      <c r="B126" s="100">
        <f>PETUNJUK!B21</f>
        <v>0</v>
      </c>
      <c r="C126" s="83">
        <f>'1.DATA KIA'!C123</f>
        <v>0</v>
      </c>
      <c r="D126" s="84">
        <f t="shared" si="53"/>
        <v>0</v>
      </c>
      <c r="E126" s="84">
        <f>'1.DATA KIA'!F123</f>
        <v>0</v>
      </c>
      <c r="F126" s="84">
        <f t="shared" si="66"/>
        <v>0</v>
      </c>
      <c r="G126" s="86" t="e">
        <f t="shared" si="67"/>
        <v>#DIV/0!</v>
      </c>
      <c r="H126" s="84">
        <f t="shared" si="54"/>
        <v>0</v>
      </c>
      <c r="I126" s="84">
        <f>'1.DATA KIA'!AB123+'1.DATA KIA'!AE123</f>
        <v>0</v>
      </c>
      <c r="J126" s="84">
        <f t="shared" si="68"/>
        <v>0</v>
      </c>
      <c r="K126" s="86" t="e">
        <f t="shared" si="69"/>
        <v>#DIV/0!</v>
      </c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54"/>
      <c r="Z126" s="168"/>
      <c r="AA126" s="134"/>
      <c r="AB126" s="134"/>
      <c r="AC126" s="134"/>
      <c r="AD126" s="134"/>
      <c r="AE126" s="134"/>
      <c r="AF126" s="134"/>
      <c r="AG126" s="134"/>
      <c r="AH126" s="134"/>
      <c r="AI126" s="134"/>
      <c r="AJ126" s="134"/>
      <c r="AK126" s="134"/>
      <c r="AL126" s="134"/>
      <c r="AM126" s="134"/>
      <c r="AN126" s="134"/>
      <c r="AO126" s="134"/>
      <c r="AP126" s="165"/>
    </row>
    <row r="127" spans="1:152" ht="20.149999999999999" customHeight="1" x14ac:dyDescent="0.35">
      <c r="A127" s="166">
        <v>14</v>
      </c>
      <c r="B127" s="100">
        <f>PETUNJUK!B22</f>
        <v>0</v>
      </c>
      <c r="C127" s="83">
        <f>'1.DATA KIA'!C124</f>
        <v>0</v>
      </c>
      <c r="D127" s="84">
        <f t="shared" si="53"/>
        <v>0</v>
      </c>
      <c r="E127" s="84">
        <f>'1.DATA KIA'!F124</f>
        <v>0</v>
      </c>
      <c r="F127" s="84">
        <f t="shared" si="66"/>
        <v>0</v>
      </c>
      <c r="G127" s="86" t="e">
        <f t="shared" si="67"/>
        <v>#DIV/0!</v>
      </c>
      <c r="H127" s="84">
        <f t="shared" si="54"/>
        <v>0</v>
      </c>
      <c r="I127" s="84">
        <f>'1.DATA KIA'!AB124+'1.DATA KIA'!AE124</f>
        <v>0</v>
      </c>
      <c r="J127" s="84">
        <f t="shared" si="68"/>
        <v>0</v>
      </c>
      <c r="K127" s="86" t="e">
        <f t="shared" si="69"/>
        <v>#DIV/0!</v>
      </c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54"/>
      <c r="Z127" s="168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34"/>
      <c r="AK127" s="134"/>
      <c r="AL127" s="134"/>
      <c r="AM127" s="134"/>
      <c r="AN127" s="134"/>
      <c r="AO127" s="134"/>
      <c r="AP127" s="165"/>
    </row>
    <row r="128" spans="1:152" ht="20.149999999999999" customHeight="1" x14ac:dyDescent="0.35">
      <c r="A128" s="166">
        <v>15</v>
      </c>
      <c r="B128" s="100">
        <f>PETUNJUK!B23</f>
        <v>0</v>
      </c>
      <c r="C128" s="83">
        <f>'1.DATA KIA'!C125</f>
        <v>0</v>
      </c>
      <c r="D128" s="84">
        <f t="shared" si="53"/>
        <v>0</v>
      </c>
      <c r="E128" s="84">
        <f>'1.DATA KIA'!F125</f>
        <v>0</v>
      </c>
      <c r="F128" s="84">
        <f t="shared" si="66"/>
        <v>0</v>
      </c>
      <c r="G128" s="86" t="e">
        <f t="shared" si="67"/>
        <v>#DIV/0!</v>
      </c>
      <c r="H128" s="84">
        <f t="shared" si="54"/>
        <v>0</v>
      </c>
      <c r="I128" s="84">
        <f>'1.DATA KIA'!AB125+'1.DATA KIA'!AE125</f>
        <v>0</v>
      </c>
      <c r="J128" s="84">
        <f t="shared" si="68"/>
        <v>0</v>
      </c>
      <c r="K128" s="86" t="e">
        <f t="shared" si="69"/>
        <v>#DIV/0!</v>
      </c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54"/>
      <c r="Z128" s="168"/>
      <c r="AA128" s="134"/>
      <c r="AB128" s="134"/>
      <c r="AC128" s="134"/>
      <c r="AD128" s="134"/>
      <c r="AE128" s="134"/>
      <c r="AF128" s="134"/>
      <c r="AG128" s="134"/>
      <c r="AH128" s="134"/>
      <c r="AI128" s="134"/>
      <c r="AJ128" s="134"/>
      <c r="AK128" s="134"/>
      <c r="AL128" s="134"/>
      <c r="AM128" s="134"/>
      <c r="AN128" s="134"/>
      <c r="AO128" s="134"/>
      <c r="AP128" s="165"/>
    </row>
    <row r="129" spans="1:42" ht="20.149999999999999" customHeight="1" x14ac:dyDescent="0.35">
      <c r="A129" s="166">
        <v>16</v>
      </c>
      <c r="B129" s="100">
        <f>PETUNJUK!B24</f>
        <v>0</v>
      </c>
      <c r="C129" s="83">
        <f>'1.DATA KIA'!C126</f>
        <v>0</v>
      </c>
      <c r="D129" s="84">
        <f t="shared" si="53"/>
        <v>0</v>
      </c>
      <c r="E129" s="84">
        <f>'1.DATA KIA'!F126</f>
        <v>0</v>
      </c>
      <c r="F129" s="84">
        <f t="shared" si="66"/>
        <v>0</v>
      </c>
      <c r="G129" s="86" t="e">
        <f t="shared" si="67"/>
        <v>#DIV/0!</v>
      </c>
      <c r="H129" s="84">
        <f t="shared" si="54"/>
        <v>0</v>
      </c>
      <c r="I129" s="84">
        <f>'1.DATA KIA'!AB126+'1.DATA KIA'!AE126</f>
        <v>0</v>
      </c>
      <c r="J129" s="84">
        <f t="shared" si="68"/>
        <v>0</v>
      </c>
      <c r="K129" s="86" t="e">
        <f t="shared" si="69"/>
        <v>#DIV/0!</v>
      </c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54"/>
      <c r="Z129" s="168"/>
      <c r="AA129" s="134"/>
      <c r="AB129" s="134"/>
      <c r="AC129" s="134"/>
      <c r="AD129" s="134"/>
      <c r="AE129" s="134"/>
      <c r="AF129" s="134"/>
      <c r="AG129" s="134"/>
      <c r="AH129" s="134"/>
      <c r="AI129" s="134"/>
      <c r="AJ129" s="134"/>
      <c r="AK129" s="134"/>
      <c r="AL129" s="134"/>
      <c r="AM129" s="134"/>
      <c r="AN129" s="134"/>
      <c r="AO129" s="134"/>
      <c r="AP129" s="165"/>
    </row>
    <row r="130" spans="1:42" ht="20.149999999999999" customHeight="1" x14ac:dyDescent="0.35">
      <c r="A130" s="166">
        <v>17</v>
      </c>
      <c r="B130" s="100">
        <f>PETUNJUK!B25</f>
        <v>0</v>
      </c>
      <c r="C130" s="83">
        <f>'1.DATA KIA'!C127</f>
        <v>0</v>
      </c>
      <c r="D130" s="84">
        <f t="shared" si="53"/>
        <v>0</v>
      </c>
      <c r="E130" s="84">
        <f>'1.DATA KIA'!F127</f>
        <v>0</v>
      </c>
      <c r="F130" s="84">
        <f t="shared" si="66"/>
        <v>0</v>
      </c>
      <c r="G130" s="86" t="e">
        <f t="shared" si="67"/>
        <v>#DIV/0!</v>
      </c>
      <c r="H130" s="84">
        <f t="shared" si="54"/>
        <v>0</v>
      </c>
      <c r="I130" s="84">
        <f>'1.DATA KIA'!AB127+'1.DATA KIA'!AE127</f>
        <v>0</v>
      </c>
      <c r="J130" s="84">
        <f t="shared" si="68"/>
        <v>0</v>
      </c>
      <c r="K130" s="86" t="e">
        <f t="shared" si="69"/>
        <v>#DIV/0!</v>
      </c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54"/>
      <c r="Z130" s="168"/>
      <c r="AA130" s="134"/>
      <c r="AB130" s="134"/>
      <c r="AC130" s="134"/>
      <c r="AD130" s="134"/>
      <c r="AE130" s="134"/>
      <c r="AF130" s="134"/>
      <c r="AG130" s="134"/>
      <c r="AH130" s="134"/>
      <c r="AI130" s="134"/>
      <c r="AJ130" s="134"/>
      <c r="AK130" s="134"/>
      <c r="AL130" s="134"/>
      <c r="AM130" s="134"/>
      <c r="AN130" s="134"/>
      <c r="AO130" s="134"/>
      <c r="AP130" s="165"/>
    </row>
    <row r="131" spans="1:42" ht="20.149999999999999" customHeight="1" x14ac:dyDescent="0.35">
      <c r="A131" s="166">
        <v>18</v>
      </c>
      <c r="B131" s="100">
        <f>PETUNJUK!B26</f>
        <v>0</v>
      </c>
      <c r="C131" s="89">
        <f>'1.DATA KIA'!C128</f>
        <v>0</v>
      </c>
      <c r="D131" s="87">
        <f t="shared" si="53"/>
        <v>0</v>
      </c>
      <c r="E131" s="92">
        <f>'1.DATA KIA'!F128</f>
        <v>0</v>
      </c>
      <c r="F131" s="87">
        <f t="shared" si="66"/>
        <v>0</v>
      </c>
      <c r="G131" s="88" t="e">
        <f t="shared" si="67"/>
        <v>#DIV/0!</v>
      </c>
      <c r="H131" s="87">
        <f t="shared" si="54"/>
        <v>0</v>
      </c>
      <c r="I131" s="92">
        <f>'1.DATA KIA'!AB128+'1.DATA KIA'!AE128</f>
        <v>0</v>
      </c>
      <c r="J131" s="87">
        <f t="shared" si="68"/>
        <v>0</v>
      </c>
      <c r="K131" s="88" t="e">
        <f t="shared" si="69"/>
        <v>#DIV/0!</v>
      </c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54"/>
      <c r="Z131" s="168"/>
      <c r="AA131" s="134"/>
      <c r="AB131" s="134"/>
      <c r="AC131" s="134"/>
      <c r="AD131" s="134"/>
      <c r="AE131" s="134"/>
      <c r="AF131" s="134"/>
      <c r="AG131" s="134"/>
      <c r="AH131" s="134"/>
      <c r="AI131" s="134"/>
      <c r="AJ131" s="134"/>
      <c r="AK131" s="134"/>
      <c r="AL131" s="134"/>
      <c r="AM131" s="134"/>
      <c r="AN131" s="134"/>
      <c r="AO131" s="134"/>
      <c r="AP131" s="165"/>
    </row>
    <row r="132" spans="1:42" ht="20.149999999999999" customHeight="1" x14ac:dyDescent="0.35">
      <c r="A132" s="166">
        <v>19</v>
      </c>
      <c r="B132" s="100">
        <f>PETUNJUK!B27</f>
        <v>0</v>
      </c>
      <c r="C132" s="83">
        <f>'1.DATA KIA'!C129</f>
        <v>0</v>
      </c>
      <c r="D132" s="84">
        <f>F97</f>
        <v>0</v>
      </c>
      <c r="E132" s="84">
        <f>'1.DATA KIA'!F129</f>
        <v>0</v>
      </c>
      <c r="F132" s="84">
        <f>D132+E132</f>
        <v>0</v>
      </c>
      <c r="G132" s="86" t="e">
        <f>F132/C132*100</f>
        <v>#DIV/0!</v>
      </c>
      <c r="H132" s="84">
        <f>J97</f>
        <v>0</v>
      </c>
      <c r="I132" s="84">
        <f>'1.DATA KIA'!AB129+'1.DATA KIA'!AE129</f>
        <v>0</v>
      </c>
      <c r="J132" s="84">
        <f>H132+I132</f>
        <v>0</v>
      </c>
      <c r="K132" s="86" t="e">
        <f>J132/C132*100</f>
        <v>#DIV/0!</v>
      </c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54"/>
      <c r="Z132" s="168"/>
      <c r="AA132" s="134"/>
      <c r="AB132" s="134"/>
      <c r="AC132" s="134"/>
      <c r="AD132" s="134"/>
      <c r="AE132" s="134"/>
      <c r="AF132" s="134"/>
      <c r="AG132" s="134"/>
      <c r="AH132" s="134"/>
      <c r="AI132" s="134"/>
      <c r="AJ132" s="134"/>
      <c r="AK132" s="134"/>
      <c r="AL132" s="134"/>
      <c r="AM132" s="134"/>
      <c r="AN132" s="134"/>
      <c r="AO132" s="134"/>
      <c r="AP132" s="165"/>
    </row>
    <row r="133" spans="1:42" ht="20.149999999999999" customHeight="1" x14ac:dyDescent="0.35">
      <c r="A133" s="166">
        <v>20</v>
      </c>
      <c r="B133" s="100">
        <f>PETUNJUK!B28</f>
        <v>0</v>
      </c>
      <c r="C133" s="89">
        <f>'1.DATA KIA'!C130</f>
        <v>0</v>
      </c>
      <c r="D133" s="87">
        <f>F98</f>
        <v>0</v>
      </c>
      <c r="E133" s="92">
        <f>'1.DATA KIA'!F130</f>
        <v>0</v>
      </c>
      <c r="F133" s="87">
        <f>D133+E133</f>
        <v>0</v>
      </c>
      <c r="G133" s="88" t="e">
        <f>F133/C133*100</f>
        <v>#DIV/0!</v>
      </c>
      <c r="H133" s="87">
        <f>J98</f>
        <v>0</v>
      </c>
      <c r="I133" s="92">
        <f>'1.DATA KIA'!AB130+'1.DATA KIA'!AE130</f>
        <v>0</v>
      </c>
      <c r="J133" s="87">
        <f>H133+I133</f>
        <v>0</v>
      </c>
      <c r="K133" s="88" t="e">
        <f>J133/C133*100</f>
        <v>#DIV/0!</v>
      </c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54"/>
      <c r="Z133" s="168"/>
      <c r="AA133" s="134"/>
      <c r="AB133" s="134"/>
      <c r="AC133" s="134"/>
      <c r="AD133" s="134"/>
      <c r="AE133" s="134"/>
      <c r="AF133" s="134"/>
      <c r="AG133" s="134"/>
      <c r="AH133" s="134"/>
      <c r="AI133" s="134"/>
      <c r="AJ133" s="134"/>
      <c r="AK133" s="134"/>
      <c r="AL133" s="134"/>
      <c r="AM133" s="134"/>
      <c r="AN133" s="134"/>
      <c r="AO133" s="134"/>
      <c r="AP133" s="165"/>
    </row>
    <row r="134" spans="1:42" ht="20.149999999999999" customHeight="1" x14ac:dyDescent="0.35">
      <c r="A134" s="166">
        <v>21</v>
      </c>
      <c r="B134" s="100">
        <f>PETUNJUK!B29</f>
        <v>0</v>
      </c>
      <c r="C134" s="83">
        <f>'1.DATA KIA'!C131</f>
        <v>0</v>
      </c>
      <c r="D134" s="84">
        <f>F99</f>
        <v>0</v>
      </c>
      <c r="E134" s="84">
        <f>'1.DATA KIA'!F131</f>
        <v>0</v>
      </c>
      <c r="F134" s="84">
        <f>D134+E134</f>
        <v>0</v>
      </c>
      <c r="G134" s="86" t="e">
        <f>F134/C134*100</f>
        <v>#DIV/0!</v>
      </c>
      <c r="H134" s="84">
        <f>J99</f>
        <v>0</v>
      </c>
      <c r="I134" s="84">
        <f>'1.DATA KIA'!AB131+'1.DATA KIA'!AE131</f>
        <v>0</v>
      </c>
      <c r="J134" s="84">
        <f>H134+I134</f>
        <v>0</v>
      </c>
      <c r="K134" s="86" t="e">
        <f>J134/C134*100</f>
        <v>#DIV/0!</v>
      </c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54"/>
      <c r="Z134" s="168"/>
      <c r="AA134" s="134"/>
      <c r="AB134" s="134"/>
      <c r="AC134" s="134"/>
      <c r="AD134" s="134"/>
      <c r="AE134" s="134"/>
      <c r="AF134" s="134"/>
      <c r="AG134" s="134"/>
      <c r="AH134" s="134"/>
      <c r="AI134" s="134"/>
      <c r="AJ134" s="134"/>
      <c r="AK134" s="134"/>
      <c r="AL134" s="134"/>
      <c r="AM134" s="134"/>
      <c r="AN134" s="134"/>
      <c r="AO134" s="134"/>
      <c r="AP134" s="165"/>
    </row>
    <row r="135" spans="1:42" ht="20.149999999999999" customHeight="1" thickBot="1" x14ac:dyDescent="0.4">
      <c r="A135" s="167">
        <v>22</v>
      </c>
      <c r="B135" s="114">
        <f>PETUNJUK!B30</f>
        <v>0</v>
      </c>
      <c r="C135" s="115">
        <f>'1.DATA KIA'!C132</f>
        <v>0</v>
      </c>
      <c r="D135" s="87">
        <f>F100</f>
        <v>0</v>
      </c>
      <c r="E135" s="95">
        <f>'1.DATA KIA'!F132</f>
        <v>0</v>
      </c>
      <c r="F135" s="87">
        <f>D135+E135</f>
        <v>0</v>
      </c>
      <c r="G135" s="88" t="e">
        <f>F135/C135*100</f>
        <v>#DIV/0!</v>
      </c>
      <c r="H135" s="87">
        <f>J100</f>
        <v>0</v>
      </c>
      <c r="I135" s="95">
        <f>'1.DATA KIA'!AB132+'1.DATA KIA'!AE132</f>
        <v>0</v>
      </c>
      <c r="J135" s="87">
        <f>H135+I135</f>
        <v>0</v>
      </c>
      <c r="K135" s="88" t="e">
        <f>J135/C135*100</f>
        <v>#DIV/0!</v>
      </c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54"/>
      <c r="Z135" s="168"/>
      <c r="AA135" s="134"/>
      <c r="AB135" s="134"/>
      <c r="AC135" s="134"/>
      <c r="AD135" s="134"/>
      <c r="AE135" s="134"/>
      <c r="AF135" s="134"/>
      <c r="AG135" s="134"/>
      <c r="AH135" s="134"/>
      <c r="AI135" s="134"/>
      <c r="AJ135" s="134"/>
      <c r="AK135" s="134"/>
      <c r="AL135" s="134"/>
      <c r="AM135" s="134"/>
      <c r="AN135" s="134"/>
      <c r="AO135" s="134"/>
      <c r="AP135" s="165"/>
    </row>
    <row r="136" spans="1:42" ht="25.5" customHeight="1" thickBot="1" x14ac:dyDescent="0.4">
      <c r="A136" s="881" t="s">
        <v>18</v>
      </c>
      <c r="B136" s="882"/>
      <c r="C136" s="116">
        <f>SUM(C114:C135)</f>
        <v>1067</v>
      </c>
      <c r="D136" s="116">
        <f>SUM(D114:D135)</f>
        <v>264</v>
      </c>
      <c r="E136" s="116">
        <f>SUM(E114:E135)</f>
        <v>110</v>
      </c>
      <c r="F136" s="116">
        <f>SUM(F114:F135)</f>
        <v>374</v>
      </c>
      <c r="G136" s="117">
        <f>F136/C136*100</f>
        <v>35.051546391752574</v>
      </c>
      <c r="H136" s="118">
        <f>SUM(H114:H135)</f>
        <v>216</v>
      </c>
      <c r="I136" s="118">
        <f>SUM(I114:I135)</f>
        <v>82</v>
      </c>
      <c r="J136" s="118">
        <f>SUM(J114:J135)</f>
        <v>298</v>
      </c>
      <c r="K136" s="117">
        <f>J136/C136*100</f>
        <v>27.928772258669166</v>
      </c>
      <c r="L136" s="121">
        <f>SUM(L114:L135)</f>
        <v>82</v>
      </c>
      <c r="M136" s="121">
        <f t="shared" ref="M136:AP136" si="70">SUM(M114:M135)</f>
        <v>0</v>
      </c>
      <c r="N136" s="121">
        <f t="shared" si="70"/>
        <v>82</v>
      </c>
      <c r="O136" s="121">
        <f t="shared" si="70"/>
        <v>0</v>
      </c>
      <c r="P136" s="121">
        <f t="shared" si="70"/>
        <v>43</v>
      </c>
      <c r="Q136" s="121">
        <f t="shared" si="70"/>
        <v>0</v>
      </c>
      <c r="R136" s="121">
        <f t="shared" si="70"/>
        <v>39</v>
      </c>
      <c r="S136" s="121">
        <f t="shared" si="70"/>
        <v>14</v>
      </c>
      <c r="T136" s="121">
        <f t="shared" si="70"/>
        <v>0</v>
      </c>
      <c r="U136" s="121">
        <f t="shared" si="70"/>
        <v>45</v>
      </c>
      <c r="V136" s="121">
        <f t="shared" si="70"/>
        <v>0</v>
      </c>
      <c r="W136" s="121">
        <f t="shared" si="70"/>
        <v>23</v>
      </c>
      <c r="X136" s="122">
        <f t="shared" si="70"/>
        <v>0</v>
      </c>
      <c r="Y136" s="159"/>
      <c r="Z136" s="189">
        <f t="shared" si="70"/>
        <v>37</v>
      </c>
      <c r="AA136" s="121">
        <f t="shared" si="70"/>
        <v>0</v>
      </c>
      <c r="AB136" s="121">
        <f t="shared" si="70"/>
        <v>45</v>
      </c>
      <c r="AC136" s="121">
        <f t="shared" si="70"/>
        <v>82</v>
      </c>
      <c r="AD136" s="121">
        <f t="shared" si="70"/>
        <v>0</v>
      </c>
      <c r="AE136" s="121">
        <f t="shared" si="70"/>
        <v>82</v>
      </c>
      <c r="AF136" s="121">
        <f t="shared" si="70"/>
        <v>0</v>
      </c>
      <c r="AG136" s="121">
        <f t="shared" si="70"/>
        <v>0</v>
      </c>
      <c r="AH136" s="121">
        <f t="shared" si="70"/>
        <v>0</v>
      </c>
      <c r="AI136" s="121">
        <f t="shared" si="70"/>
        <v>69</v>
      </c>
      <c r="AJ136" s="121">
        <f t="shared" si="70"/>
        <v>0</v>
      </c>
      <c r="AK136" s="121">
        <f t="shared" si="70"/>
        <v>2</v>
      </c>
      <c r="AL136" s="121">
        <f t="shared" si="70"/>
        <v>11</v>
      </c>
      <c r="AM136" s="121">
        <f t="shared" si="70"/>
        <v>82</v>
      </c>
      <c r="AN136" s="121">
        <f t="shared" si="70"/>
        <v>0</v>
      </c>
      <c r="AO136" s="121">
        <f t="shared" si="70"/>
        <v>82</v>
      </c>
      <c r="AP136" s="122">
        <f t="shared" si="70"/>
        <v>0</v>
      </c>
    </row>
    <row r="137" spans="1:42" ht="15.5" x14ac:dyDescent="0.35">
      <c r="A137" s="140"/>
      <c r="B137" s="140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56"/>
      <c r="Z137" s="102"/>
      <c r="AA137" s="102"/>
      <c r="AB137" s="102"/>
      <c r="AC137" s="102"/>
      <c r="AD137" s="102"/>
      <c r="AE137" s="102"/>
      <c r="AF137" s="102"/>
      <c r="AG137" s="102"/>
      <c r="AH137" s="102"/>
      <c r="AI137" s="102"/>
      <c r="AJ137" s="102"/>
      <c r="AK137" s="102"/>
      <c r="AL137" s="102"/>
      <c r="AM137" s="102"/>
      <c r="AN137" s="102"/>
      <c r="AO137" s="102"/>
      <c r="AP137" s="102"/>
    </row>
    <row r="138" spans="1:42" ht="15.5" x14ac:dyDescent="0.35">
      <c r="A138" s="140"/>
      <c r="B138" s="140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56"/>
      <c r="Z138" s="102"/>
      <c r="AA138" s="102"/>
      <c r="AB138" s="102"/>
      <c r="AC138" s="102"/>
      <c r="AD138" s="102"/>
      <c r="AE138" s="102"/>
      <c r="AF138" s="102"/>
      <c r="AG138" s="102"/>
      <c r="AH138" s="102"/>
      <c r="AI138" s="102"/>
      <c r="AJ138" s="102"/>
      <c r="AK138" s="102"/>
      <c r="AL138" s="102"/>
      <c r="AM138" s="102"/>
      <c r="AN138" s="102"/>
      <c r="AO138" s="102"/>
      <c r="AP138" s="102"/>
    </row>
    <row r="139" spans="1:42" ht="15.5" x14ac:dyDescent="0.35">
      <c r="A139" s="140"/>
      <c r="B139" s="140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56"/>
      <c r="Z139" s="102"/>
      <c r="AA139" s="102"/>
      <c r="AB139" s="102"/>
      <c r="AC139" s="102"/>
      <c r="AD139" s="102"/>
      <c r="AE139" s="102"/>
      <c r="AF139" s="102"/>
      <c r="AG139" s="102"/>
      <c r="AH139" s="102"/>
      <c r="AI139" s="102"/>
      <c r="AJ139" s="102"/>
      <c r="AK139" s="102"/>
      <c r="AL139" s="102"/>
      <c r="AM139" s="102"/>
      <c r="AN139" s="102"/>
      <c r="AO139" s="102"/>
      <c r="AP139" s="102"/>
    </row>
    <row r="140" spans="1:42" ht="15.5" x14ac:dyDescent="0.35">
      <c r="A140" s="140"/>
      <c r="B140" s="140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56"/>
      <c r="Z140" s="102"/>
      <c r="AA140" s="102"/>
      <c r="AB140" s="102"/>
      <c r="AC140" s="102"/>
      <c r="AD140" s="102"/>
      <c r="AE140" s="102"/>
      <c r="AF140" s="102"/>
      <c r="AG140" s="102"/>
      <c r="AH140" s="102"/>
      <c r="AI140" s="102"/>
      <c r="AJ140" s="102"/>
      <c r="AK140" s="102"/>
      <c r="AL140" s="102"/>
      <c r="AM140" s="102"/>
      <c r="AN140" s="102"/>
      <c r="AO140" s="102"/>
      <c r="AP140" s="102"/>
    </row>
    <row r="141" spans="1:42" ht="15.5" x14ac:dyDescent="0.35">
      <c r="A141" s="137"/>
      <c r="B141" s="138"/>
      <c r="C141" s="76" t="s">
        <v>64</v>
      </c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101"/>
      <c r="T141" s="101"/>
      <c r="U141" s="101"/>
      <c r="V141" s="101"/>
      <c r="W141" s="101"/>
      <c r="X141" s="101"/>
      <c r="Y141" s="15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1"/>
      <c r="AJ141" s="101"/>
      <c r="AK141" s="101"/>
      <c r="AL141" s="101"/>
      <c r="AM141" s="101"/>
      <c r="AN141" s="101"/>
      <c r="AO141" s="101"/>
      <c r="AP141" s="101"/>
    </row>
    <row r="142" spans="1:42" ht="15.5" x14ac:dyDescent="0.35">
      <c r="A142" s="137"/>
      <c r="B142" s="98"/>
      <c r="C142" s="103" t="s">
        <v>197</v>
      </c>
      <c r="D142" s="78"/>
      <c r="E142" s="79" t="str">
        <f>PETUNJUK!C5</f>
        <v>PECANGAAN</v>
      </c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101"/>
      <c r="T142" s="101"/>
      <c r="U142" s="101"/>
      <c r="V142" s="101" t="s">
        <v>199</v>
      </c>
      <c r="W142" s="101"/>
      <c r="X142" s="101"/>
      <c r="Y142" s="151"/>
      <c r="Z142" s="101"/>
      <c r="AA142" s="101"/>
      <c r="AB142" s="101"/>
      <c r="AC142" s="101"/>
      <c r="AD142" s="101"/>
      <c r="AE142" s="101"/>
      <c r="AF142" s="101"/>
      <c r="AG142" s="101"/>
      <c r="AH142" s="101"/>
      <c r="AI142" s="101"/>
      <c r="AJ142" s="101"/>
      <c r="AK142" s="101"/>
      <c r="AL142" s="101"/>
      <c r="AM142" s="101"/>
      <c r="AN142" s="101"/>
      <c r="AO142" s="101" t="s">
        <v>200</v>
      </c>
      <c r="AP142" s="101"/>
    </row>
    <row r="143" spans="1:42" ht="15.5" x14ac:dyDescent="0.35">
      <c r="A143" s="137"/>
      <c r="B143" s="139"/>
      <c r="C143" s="104" t="s">
        <v>198</v>
      </c>
      <c r="D143" s="105"/>
      <c r="E143" s="106" t="str">
        <f>'1.DATA KIA'!C140</f>
        <v xml:space="preserve">MEI </v>
      </c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1"/>
      <c r="T143" s="101"/>
      <c r="U143" s="101"/>
      <c r="V143" s="101"/>
      <c r="W143" s="101"/>
      <c r="X143" s="101"/>
      <c r="Y143" s="151"/>
      <c r="Z143" s="101"/>
      <c r="AA143" s="101"/>
      <c r="AB143" s="101"/>
      <c r="AC143" s="101"/>
      <c r="AD143" s="101"/>
      <c r="AE143" s="101"/>
      <c r="AF143" s="101"/>
      <c r="AG143" s="101"/>
      <c r="AH143" s="101"/>
      <c r="AI143" s="101"/>
      <c r="AJ143" s="101"/>
      <c r="AK143" s="101"/>
      <c r="AL143" s="101"/>
      <c r="AM143" s="101"/>
      <c r="AN143" s="101"/>
      <c r="AO143" s="101"/>
      <c r="AP143" s="101"/>
    </row>
    <row r="144" spans="1:42" ht="16" thickBot="1" x14ac:dyDescent="0.4">
      <c r="A144" s="870"/>
      <c r="B144" s="870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1"/>
      <c r="T144" s="101"/>
      <c r="U144" s="101"/>
      <c r="V144" s="101"/>
      <c r="W144" s="101"/>
      <c r="X144" s="101"/>
      <c r="Y144" s="151"/>
      <c r="Z144" s="101"/>
      <c r="AA144" s="101"/>
      <c r="AB144" s="101"/>
      <c r="AC144" s="101"/>
      <c r="AD144" s="101"/>
      <c r="AE144" s="101"/>
      <c r="AF144" s="101"/>
      <c r="AG144" s="101"/>
      <c r="AH144" s="101"/>
      <c r="AI144" s="101"/>
      <c r="AJ144" s="101"/>
      <c r="AK144" s="101"/>
      <c r="AL144" s="101"/>
      <c r="AM144" s="101"/>
      <c r="AN144" s="101"/>
      <c r="AO144" s="101"/>
      <c r="AP144" s="101"/>
    </row>
    <row r="145" spans="1:152" s="126" customFormat="1" ht="39.65" customHeight="1" x14ac:dyDescent="0.35">
      <c r="A145" s="871" t="s">
        <v>1</v>
      </c>
      <c r="B145" s="874" t="s">
        <v>2</v>
      </c>
      <c r="C145" s="877" t="s">
        <v>65</v>
      </c>
      <c r="D145" s="847" t="s">
        <v>66</v>
      </c>
      <c r="E145" s="848"/>
      <c r="F145" s="848"/>
      <c r="G145" s="880"/>
      <c r="H145" s="859" t="s">
        <v>194</v>
      </c>
      <c r="I145" s="860"/>
      <c r="J145" s="860"/>
      <c r="K145" s="861"/>
      <c r="L145" s="847" t="s">
        <v>67</v>
      </c>
      <c r="M145" s="848"/>
      <c r="N145" s="848"/>
      <c r="O145" s="848"/>
      <c r="P145" s="848"/>
      <c r="Q145" s="848"/>
      <c r="R145" s="848"/>
      <c r="S145" s="848"/>
      <c r="T145" s="848"/>
      <c r="U145" s="848"/>
      <c r="V145" s="848"/>
      <c r="W145" s="848"/>
      <c r="X145" s="849"/>
      <c r="Y145" s="152"/>
      <c r="Z145" s="885" t="s">
        <v>79</v>
      </c>
      <c r="AA145" s="851"/>
      <c r="AB145" s="851"/>
      <c r="AC145" s="851"/>
      <c r="AD145" s="851"/>
      <c r="AE145" s="851"/>
      <c r="AF145" s="851"/>
      <c r="AG145" s="851"/>
      <c r="AH145" s="851"/>
      <c r="AI145" s="851"/>
      <c r="AJ145" s="851"/>
      <c r="AK145" s="851"/>
      <c r="AL145" s="851"/>
      <c r="AM145" s="851"/>
      <c r="AN145" s="851"/>
      <c r="AO145" s="851"/>
      <c r="AP145" s="886"/>
      <c r="AQ145" s="281"/>
      <c r="AR145" s="281"/>
      <c r="AS145" s="281"/>
      <c r="AT145" s="281"/>
      <c r="AU145" s="281"/>
      <c r="AV145" s="281"/>
      <c r="AW145" s="281"/>
      <c r="AX145" s="281"/>
      <c r="AY145" s="281"/>
      <c r="AZ145" s="281"/>
      <c r="BA145" s="281"/>
      <c r="BB145" s="281"/>
      <c r="BC145" s="281"/>
      <c r="BD145" s="281"/>
      <c r="BE145" s="281"/>
      <c r="BF145" s="281"/>
      <c r="BG145" s="281"/>
      <c r="BH145" s="281"/>
      <c r="BI145" s="281"/>
      <c r="BJ145" s="281"/>
      <c r="BK145" s="281"/>
      <c r="BL145" s="281"/>
      <c r="BM145" s="281"/>
      <c r="BN145" s="281"/>
      <c r="BO145" s="281"/>
      <c r="BP145" s="281"/>
      <c r="BQ145" s="281"/>
      <c r="BR145" s="281"/>
      <c r="BS145" s="281"/>
      <c r="BT145" s="281"/>
      <c r="BU145" s="281"/>
      <c r="BV145" s="281"/>
      <c r="BW145" s="281"/>
      <c r="BX145" s="281"/>
      <c r="BY145" s="281"/>
      <c r="BZ145" s="281"/>
      <c r="CA145" s="281"/>
      <c r="CB145" s="281"/>
      <c r="CC145" s="281"/>
      <c r="CD145" s="281"/>
      <c r="CE145" s="281"/>
      <c r="CF145" s="281"/>
      <c r="CG145" s="281"/>
      <c r="CH145" s="281"/>
      <c r="CI145" s="281"/>
      <c r="CJ145" s="281"/>
      <c r="CK145" s="281"/>
      <c r="CL145" s="281"/>
      <c r="CM145" s="281"/>
      <c r="CN145" s="281"/>
      <c r="CO145" s="281"/>
      <c r="CP145" s="281"/>
      <c r="CQ145" s="281"/>
      <c r="CR145" s="281"/>
      <c r="CS145" s="281"/>
      <c r="CT145" s="281"/>
      <c r="CU145" s="281"/>
      <c r="CV145" s="281"/>
      <c r="CW145" s="281"/>
      <c r="CX145" s="281"/>
      <c r="CY145" s="281"/>
      <c r="CZ145" s="281"/>
      <c r="DA145" s="281"/>
      <c r="DB145" s="281"/>
      <c r="DC145" s="281"/>
      <c r="DD145" s="281"/>
      <c r="DE145" s="281"/>
      <c r="DF145" s="281"/>
      <c r="DG145" s="281"/>
      <c r="DH145" s="281"/>
      <c r="DI145" s="281"/>
      <c r="DJ145" s="281"/>
      <c r="DK145" s="281"/>
      <c r="DL145" s="281"/>
      <c r="DM145" s="281"/>
      <c r="DN145" s="281"/>
      <c r="DO145" s="281"/>
      <c r="DP145" s="281"/>
      <c r="DQ145" s="281"/>
      <c r="DR145" s="281"/>
      <c r="DS145" s="281"/>
      <c r="DT145" s="281"/>
      <c r="DU145" s="281"/>
      <c r="DV145" s="281"/>
      <c r="DW145" s="281"/>
      <c r="DX145" s="281"/>
      <c r="DY145" s="281"/>
      <c r="DZ145" s="281"/>
      <c r="EA145" s="281"/>
      <c r="EB145" s="281"/>
      <c r="EC145" s="281"/>
      <c r="ED145" s="281"/>
      <c r="EE145" s="281"/>
      <c r="EF145" s="281"/>
      <c r="EG145" s="281"/>
      <c r="EH145" s="281"/>
      <c r="EI145" s="281"/>
      <c r="EJ145" s="281"/>
      <c r="EK145" s="281"/>
      <c r="EL145" s="281"/>
      <c r="EM145" s="281"/>
      <c r="EN145" s="281"/>
      <c r="EO145" s="281"/>
      <c r="EP145" s="281"/>
      <c r="EQ145" s="281"/>
      <c r="ER145" s="281"/>
      <c r="ES145" s="281"/>
      <c r="ET145" s="281"/>
      <c r="EU145" s="281"/>
      <c r="EV145" s="281"/>
    </row>
    <row r="146" spans="1:152" s="111" customFormat="1" ht="104.15" customHeight="1" thickBot="1" x14ac:dyDescent="0.4">
      <c r="A146" s="872"/>
      <c r="B146" s="875"/>
      <c r="C146" s="878"/>
      <c r="D146" s="853" t="s">
        <v>68</v>
      </c>
      <c r="E146" s="856" t="s">
        <v>69</v>
      </c>
      <c r="F146" s="856" t="s">
        <v>36</v>
      </c>
      <c r="G146" s="856" t="s">
        <v>37</v>
      </c>
      <c r="H146" s="853" t="s">
        <v>68</v>
      </c>
      <c r="I146" s="856" t="s">
        <v>69</v>
      </c>
      <c r="J146" s="856" t="s">
        <v>36</v>
      </c>
      <c r="K146" s="856" t="s">
        <v>37</v>
      </c>
      <c r="L146" s="865" t="s">
        <v>196</v>
      </c>
      <c r="M146" s="866"/>
      <c r="N146" s="867" t="s">
        <v>70</v>
      </c>
      <c r="O146" s="868"/>
      <c r="P146" s="865" t="s">
        <v>71</v>
      </c>
      <c r="Q146" s="869"/>
      <c r="R146" s="866"/>
      <c r="S146" s="838" t="s">
        <v>80</v>
      </c>
      <c r="T146" s="838"/>
      <c r="U146" s="838"/>
      <c r="V146" s="838"/>
      <c r="W146" s="838"/>
      <c r="X146" s="832"/>
      <c r="Y146" s="153"/>
      <c r="Z146" s="862" t="s">
        <v>81</v>
      </c>
      <c r="AA146" s="864"/>
      <c r="AB146" s="864"/>
      <c r="AC146" s="840" t="s">
        <v>195</v>
      </c>
      <c r="AD146" s="841"/>
      <c r="AE146" s="862" t="s">
        <v>82</v>
      </c>
      <c r="AF146" s="863"/>
      <c r="AG146" s="862" t="s">
        <v>83</v>
      </c>
      <c r="AH146" s="864"/>
      <c r="AI146" s="864"/>
      <c r="AJ146" s="864"/>
      <c r="AK146" s="864"/>
      <c r="AL146" s="863"/>
      <c r="AM146" s="862" t="s">
        <v>84</v>
      </c>
      <c r="AN146" s="864"/>
      <c r="AO146" s="864"/>
      <c r="AP146" s="863"/>
      <c r="AQ146" s="280"/>
      <c r="AR146" s="280"/>
      <c r="AS146" s="280"/>
      <c r="AT146" s="280"/>
      <c r="AU146" s="280"/>
      <c r="AV146" s="280"/>
      <c r="AW146" s="280"/>
      <c r="AX146" s="280"/>
      <c r="AY146" s="280"/>
      <c r="AZ146" s="280"/>
      <c r="BA146" s="280"/>
      <c r="BB146" s="280"/>
      <c r="BC146" s="280"/>
      <c r="BD146" s="280"/>
      <c r="BE146" s="280"/>
      <c r="BF146" s="280"/>
      <c r="BG146" s="280"/>
      <c r="BH146" s="280"/>
      <c r="BI146" s="280"/>
      <c r="BJ146" s="280"/>
      <c r="BK146" s="280"/>
      <c r="BL146" s="280"/>
      <c r="BM146" s="280"/>
      <c r="BN146" s="280"/>
      <c r="BO146" s="280"/>
      <c r="BP146" s="280"/>
      <c r="BQ146" s="280"/>
      <c r="BR146" s="280"/>
      <c r="BS146" s="280"/>
      <c r="BT146" s="280"/>
      <c r="BU146" s="280"/>
      <c r="BV146" s="280"/>
      <c r="BW146" s="280"/>
      <c r="BX146" s="280"/>
      <c r="BY146" s="280"/>
      <c r="BZ146" s="280"/>
      <c r="CA146" s="280"/>
      <c r="CB146" s="280"/>
      <c r="CC146" s="280"/>
      <c r="CD146" s="280"/>
      <c r="CE146" s="280"/>
      <c r="CF146" s="280"/>
      <c r="CG146" s="280"/>
      <c r="CH146" s="280"/>
      <c r="CI146" s="280"/>
      <c r="CJ146" s="280"/>
      <c r="CK146" s="280"/>
      <c r="CL146" s="280"/>
      <c r="CM146" s="280"/>
      <c r="CN146" s="280"/>
      <c r="CO146" s="280"/>
      <c r="CP146" s="280"/>
      <c r="CQ146" s="280"/>
      <c r="CR146" s="280"/>
      <c r="CS146" s="280"/>
      <c r="CT146" s="280"/>
      <c r="CU146" s="280"/>
      <c r="CV146" s="280"/>
      <c r="CW146" s="280"/>
      <c r="CX146" s="280"/>
      <c r="CY146" s="280"/>
      <c r="CZ146" s="280"/>
      <c r="DA146" s="280"/>
      <c r="DB146" s="280"/>
      <c r="DC146" s="280"/>
      <c r="DD146" s="280"/>
      <c r="DE146" s="280"/>
      <c r="DF146" s="280"/>
      <c r="DG146" s="280"/>
      <c r="DH146" s="280"/>
      <c r="DI146" s="280"/>
      <c r="DJ146" s="280"/>
      <c r="DK146" s="280"/>
      <c r="DL146" s="280"/>
      <c r="DM146" s="280"/>
      <c r="DN146" s="280"/>
      <c r="DO146" s="280"/>
      <c r="DP146" s="280"/>
      <c r="DQ146" s="280"/>
      <c r="DR146" s="280"/>
      <c r="DS146" s="280"/>
      <c r="DT146" s="280"/>
      <c r="DU146" s="280"/>
      <c r="DV146" s="280"/>
      <c r="DW146" s="280"/>
      <c r="DX146" s="280"/>
      <c r="DY146" s="280"/>
      <c r="DZ146" s="280"/>
      <c r="EA146" s="280"/>
      <c r="EB146" s="280"/>
      <c r="EC146" s="280"/>
      <c r="ED146" s="280"/>
      <c r="EE146" s="280"/>
      <c r="EF146" s="280"/>
      <c r="EG146" s="280"/>
      <c r="EH146" s="280"/>
      <c r="EI146" s="280"/>
      <c r="EJ146" s="280"/>
      <c r="EK146" s="280"/>
      <c r="EL146" s="280"/>
      <c r="EM146" s="280"/>
      <c r="EN146" s="280"/>
      <c r="EO146" s="280"/>
      <c r="EP146" s="280"/>
      <c r="EQ146" s="280"/>
      <c r="ER146" s="280"/>
      <c r="ES146" s="280"/>
      <c r="ET146" s="280"/>
      <c r="EU146" s="280"/>
      <c r="EV146" s="280"/>
    </row>
    <row r="147" spans="1:152" s="111" customFormat="1" ht="21" customHeight="1" x14ac:dyDescent="0.35">
      <c r="A147" s="872"/>
      <c r="B147" s="875"/>
      <c r="C147" s="878"/>
      <c r="D147" s="854"/>
      <c r="E147" s="857"/>
      <c r="F147" s="857"/>
      <c r="G147" s="857"/>
      <c r="H147" s="854"/>
      <c r="I147" s="857"/>
      <c r="J147" s="857"/>
      <c r="K147" s="857"/>
      <c r="L147" s="856" t="s">
        <v>72</v>
      </c>
      <c r="M147" s="856" t="s">
        <v>73</v>
      </c>
      <c r="N147" s="856" t="s">
        <v>74</v>
      </c>
      <c r="O147" s="856" t="s">
        <v>75</v>
      </c>
      <c r="P147" s="856" t="s">
        <v>76</v>
      </c>
      <c r="Q147" s="856" t="s">
        <v>77</v>
      </c>
      <c r="R147" s="856" t="s">
        <v>78</v>
      </c>
      <c r="S147" s="836" t="s">
        <v>85</v>
      </c>
      <c r="T147" s="842" t="s">
        <v>86</v>
      </c>
      <c r="U147" s="842" t="s">
        <v>87</v>
      </c>
      <c r="V147" s="842" t="s">
        <v>88</v>
      </c>
      <c r="W147" s="831" t="s">
        <v>89</v>
      </c>
      <c r="X147" s="832"/>
      <c r="Y147" s="153"/>
      <c r="Z147" s="894" t="s">
        <v>90</v>
      </c>
      <c r="AA147" s="889" t="s">
        <v>77</v>
      </c>
      <c r="AB147" s="889" t="s">
        <v>76</v>
      </c>
      <c r="AC147" s="889" t="s">
        <v>93</v>
      </c>
      <c r="AD147" s="889" t="s">
        <v>2</v>
      </c>
      <c r="AE147" s="889" t="s">
        <v>93</v>
      </c>
      <c r="AF147" s="889" t="s">
        <v>2</v>
      </c>
      <c r="AG147" s="889" t="s">
        <v>94</v>
      </c>
      <c r="AH147" s="889" t="s">
        <v>95</v>
      </c>
      <c r="AI147" s="889" t="s">
        <v>96</v>
      </c>
      <c r="AJ147" s="889" t="s">
        <v>97</v>
      </c>
      <c r="AK147" s="889" t="s">
        <v>98</v>
      </c>
      <c r="AL147" s="889" t="s">
        <v>99</v>
      </c>
      <c r="AM147" s="885" t="s">
        <v>91</v>
      </c>
      <c r="AN147" s="886"/>
      <c r="AO147" s="885" t="s">
        <v>7</v>
      </c>
      <c r="AP147" s="852"/>
      <c r="AQ147" s="280"/>
      <c r="AR147" s="280"/>
      <c r="AS147" s="280"/>
      <c r="AT147" s="280"/>
      <c r="AU147" s="280"/>
      <c r="AV147" s="280"/>
      <c r="AW147" s="280"/>
      <c r="AX147" s="280"/>
      <c r="AY147" s="280"/>
      <c r="AZ147" s="280"/>
      <c r="BA147" s="280"/>
      <c r="BB147" s="280"/>
      <c r="BC147" s="280"/>
      <c r="BD147" s="280"/>
      <c r="BE147" s="280"/>
      <c r="BF147" s="280"/>
      <c r="BG147" s="280"/>
      <c r="BH147" s="280"/>
      <c r="BI147" s="280"/>
      <c r="BJ147" s="280"/>
      <c r="BK147" s="280"/>
      <c r="BL147" s="280"/>
      <c r="BM147" s="280"/>
      <c r="BN147" s="280"/>
      <c r="BO147" s="280"/>
      <c r="BP147" s="280"/>
      <c r="BQ147" s="280"/>
      <c r="BR147" s="280"/>
      <c r="BS147" s="280"/>
      <c r="BT147" s="280"/>
      <c r="BU147" s="280"/>
      <c r="BV147" s="280"/>
      <c r="BW147" s="280"/>
      <c r="BX147" s="280"/>
      <c r="BY147" s="280"/>
      <c r="BZ147" s="280"/>
      <c r="CA147" s="280"/>
      <c r="CB147" s="280"/>
      <c r="CC147" s="280"/>
      <c r="CD147" s="280"/>
      <c r="CE147" s="280"/>
      <c r="CF147" s="280"/>
      <c r="CG147" s="280"/>
      <c r="CH147" s="280"/>
      <c r="CI147" s="280"/>
      <c r="CJ147" s="280"/>
      <c r="CK147" s="280"/>
      <c r="CL147" s="280"/>
      <c r="CM147" s="280"/>
      <c r="CN147" s="280"/>
      <c r="CO147" s="280"/>
      <c r="CP147" s="280"/>
      <c r="CQ147" s="280"/>
      <c r="CR147" s="280"/>
      <c r="CS147" s="280"/>
      <c r="CT147" s="280"/>
      <c r="CU147" s="280"/>
      <c r="CV147" s="280"/>
      <c r="CW147" s="280"/>
      <c r="CX147" s="280"/>
      <c r="CY147" s="280"/>
      <c r="CZ147" s="280"/>
      <c r="DA147" s="280"/>
      <c r="DB147" s="280"/>
      <c r="DC147" s="280"/>
      <c r="DD147" s="280"/>
      <c r="DE147" s="280"/>
      <c r="DF147" s="280"/>
      <c r="DG147" s="280"/>
      <c r="DH147" s="280"/>
      <c r="DI147" s="280"/>
      <c r="DJ147" s="280"/>
      <c r="DK147" s="280"/>
      <c r="DL147" s="280"/>
      <c r="DM147" s="280"/>
      <c r="DN147" s="280"/>
      <c r="DO147" s="280"/>
      <c r="DP147" s="280"/>
      <c r="DQ147" s="280"/>
      <c r="DR147" s="280"/>
      <c r="DS147" s="280"/>
      <c r="DT147" s="280"/>
      <c r="DU147" s="280"/>
      <c r="DV147" s="280"/>
      <c r="DW147" s="280"/>
      <c r="DX147" s="280"/>
      <c r="DY147" s="280"/>
      <c r="DZ147" s="280"/>
      <c r="EA147" s="280"/>
      <c r="EB147" s="280"/>
      <c r="EC147" s="280"/>
      <c r="ED147" s="280"/>
      <c r="EE147" s="280"/>
      <c r="EF147" s="280"/>
      <c r="EG147" s="280"/>
      <c r="EH147" s="280"/>
      <c r="EI147" s="280"/>
      <c r="EJ147" s="280"/>
      <c r="EK147" s="280"/>
      <c r="EL147" s="280"/>
      <c r="EM147" s="280"/>
      <c r="EN147" s="280"/>
      <c r="EO147" s="280"/>
      <c r="EP147" s="280"/>
      <c r="EQ147" s="280"/>
      <c r="ER147" s="280"/>
      <c r="ES147" s="280"/>
      <c r="ET147" s="280"/>
      <c r="EU147" s="280"/>
      <c r="EV147" s="280"/>
    </row>
    <row r="148" spans="1:152" s="130" customFormat="1" ht="23.15" customHeight="1" thickBot="1" x14ac:dyDescent="0.4">
      <c r="A148" s="891"/>
      <c r="B148" s="892"/>
      <c r="C148" s="893"/>
      <c r="D148" s="887"/>
      <c r="E148" s="888"/>
      <c r="F148" s="888"/>
      <c r="G148" s="888"/>
      <c r="H148" s="887"/>
      <c r="I148" s="888"/>
      <c r="J148" s="888"/>
      <c r="K148" s="888"/>
      <c r="L148" s="857"/>
      <c r="M148" s="857"/>
      <c r="N148" s="857"/>
      <c r="O148" s="857"/>
      <c r="P148" s="857"/>
      <c r="Q148" s="857"/>
      <c r="R148" s="857"/>
      <c r="S148" s="896"/>
      <c r="T148" s="897"/>
      <c r="U148" s="897"/>
      <c r="V148" s="897"/>
      <c r="W148" s="128" t="s">
        <v>76</v>
      </c>
      <c r="X148" s="178" t="s">
        <v>92</v>
      </c>
      <c r="Y148" s="153"/>
      <c r="Z148" s="895"/>
      <c r="AA148" s="890"/>
      <c r="AB148" s="890"/>
      <c r="AC148" s="890"/>
      <c r="AD148" s="890"/>
      <c r="AE148" s="890"/>
      <c r="AF148" s="890"/>
      <c r="AG148" s="890"/>
      <c r="AH148" s="890"/>
      <c r="AI148" s="890"/>
      <c r="AJ148" s="890"/>
      <c r="AK148" s="890"/>
      <c r="AL148" s="890"/>
      <c r="AM148" s="128" t="s">
        <v>100</v>
      </c>
      <c r="AN148" s="129" t="s">
        <v>101</v>
      </c>
      <c r="AO148" s="129" t="s">
        <v>100</v>
      </c>
      <c r="AP148" s="145" t="s">
        <v>101</v>
      </c>
      <c r="AQ148" s="282"/>
      <c r="AR148" s="282"/>
      <c r="AS148" s="282"/>
      <c r="AT148" s="282"/>
      <c r="AU148" s="282"/>
      <c r="AV148" s="282"/>
      <c r="AW148" s="282"/>
      <c r="AX148" s="282"/>
      <c r="AY148" s="282"/>
      <c r="AZ148" s="282"/>
      <c r="BA148" s="282"/>
      <c r="BB148" s="282"/>
      <c r="BC148" s="282"/>
      <c r="BD148" s="282"/>
      <c r="BE148" s="282"/>
      <c r="BF148" s="282"/>
      <c r="BG148" s="282"/>
      <c r="BH148" s="282"/>
      <c r="BI148" s="282"/>
      <c r="BJ148" s="282"/>
      <c r="BK148" s="282"/>
      <c r="BL148" s="282"/>
      <c r="BM148" s="282"/>
      <c r="BN148" s="282"/>
      <c r="BO148" s="282"/>
      <c r="BP148" s="282"/>
      <c r="BQ148" s="282"/>
      <c r="BR148" s="282"/>
      <c r="BS148" s="282"/>
      <c r="BT148" s="282"/>
      <c r="BU148" s="282"/>
      <c r="BV148" s="282"/>
      <c r="BW148" s="282"/>
      <c r="BX148" s="282"/>
      <c r="BY148" s="282"/>
      <c r="BZ148" s="282"/>
      <c r="CA148" s="282"/>
      <c r="CB148" s="282"/>
      <c r="CC148" s="282"/>
      <c r="CD148" s="282"/>
      <c r="CE148" s="282"/>
      <c r="CF148" s="282"/>
      <c r="CG148" s="282"/>
      <c r="CH148" s="282"/>
      <c r="CI148" s="282"/>
      <c r="CJ148" s="282"/>
      <c r="CK148" s="282"/>
      <c r="CL148" s="282"/>
      <c r="CM148" s="282"/>
      <c r="CN148" s="282"/>
      <c r="CO148" s="282"/>
      <c r="CP148" s="282"/>
      <c r="CQ148" s="282"/>
      <c r="CR148" s="282"/>
      <c r="CS148" s="282"/>
      <c r="CT148" s="282"/>
      <c r="CU148" s="282"/>
      <c r="CV148" s="282"/>
      <c r="CW148" s="282"/>
      <c r="CX148" s="282"/>
      <c r="CY148" s="282"/>
      <c r="CZ148" s="282"/>
      <c r="DA148" s="282"/>
      <c r="DB148" s="282"/>
      <c r="DC148" s="282"/>
      <c r="DD148" s="282"/>
      <c r="DE148" s="282"/>
      <c r="DF148" s="282"/>
      <c r="DG148" s="282"/>
      <c r="DH148" s="282"/>
      <c r="DI148" s="282"/>
      <c r="DJ148" s="282"/>
      <c r="DK148" s="282"/>
      <c r="DL148" s="282"/>
      <c r="DM148" s="282"/>
      <c r="DN148" s="282"/>
      <c r="DO148" s="282"/>
      <c r="DP148" s="282"/>
      <c r="DQ148" s="282"/>
      <c r="DR148" s="282"/>
      <c r="DS148" s="282"/>
      <c r="DT148" s="282"/>
      <c r="DU148" s="282"/>
      <c r="DV148" s="282"/>
      <c r="DW148" s="282"/>
      <c r="DX148" s="282"/>
      <c r="DY148" s="282"/>
      <c r="DZ148" s="282"/>
      <c r="EA148" s="282"/>
      <c r="EB148" s="282"/>
      <c r="EC148" s="282"/>
      <c r="ED148" s="282"/>
      <c r="EE148" s="282"/>
      <c r="EF148" s="282"/>
      <c r="EG148" s="282"/>
      <c r="EH148" s="282"/>
      <c r="EI148" s="282"/>
      <c r="EJ148" s="282"/>
      <c r="EK148" s="282"/>
      <c r="EL148" s="282"/>
      <c r="EM148" s="282"/>
      <c r="EN148" s="282"/>
      <c r="EO148" s="282"/>
      <c r="EP148" s="282"/>
      <c r="EQ148" s="282"/>
      <c r="ER148" s="282"/>
      <c r="ES148" s="282"/>
      <c r="ET148" s="282"/>
      <c r="EU148" s="282"/>
      <c r="EV148" s="282"/>
    </row>
    <row r="149" spans="1:152" ht="20.149999999999999" customHeight="1" x14ac:dyDescent="0.35">
      <c r="A149" s="179">
        <v>1</v>
      </c>
      <c r="B149" s="123" t="str">
        <f>PETUNJUK!B9</f>
        <v>Pecangaan Kulon</v>
      </c>
      <c r="C149" s="124">
        <f>'1.DATA KIA'!C145</f>
        <v>101.2</v>
      </c>
      <c r="D149" s="87">
        <f t="shared" ref="D149:D166" si="71">F114</f>
        <v>30</v>
      </c>
      <c r="E149" s="125">
        <f>'1.DATA KIA'!F145</f>
        <v>0</v>
      </c>
      <c r="F149" s="87">
        <f>D149+E149</f>
        <v>30</v>
      </c>
      <c r="G149" s="88">
        <f>F149/C149*100</f>
        <v>29.644268774703558</v>
      </c>
      <c r="H149" s="87">
        <f t="shared" ref="H149:H166" si="72">J114</f>
        <v>29</v>
      </c>
      <c r="I149" s="125">
        <f>'1.DATA KIA'!AB145+'1.DATA KIA'!AE145</f>
        <v>0</v>
      </c>
      <c r="J149" s="87">
        <f>H149+I149</f>
        <v>29</v>
      </c>
      <c r="K149" s="88">
        <f>J149/C149*100</f>
        <v>28.656126482213441</v>
      </c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54"/>
      <c r="Z149" s="168"/>
      <c r="AA149" s="134"/>
      <c r="AB149" s="134"/>
      <c r="AC149" s="134"/>
      <c r="AD149" s="134"/>
      <c r="AE149" s="134"/>
      <c r="AF149" s="134"/>
      <c r="AG149" s="134"/>
      <c r="AH149" s="134"/>
      <c r="AI149" s="134"/>
      <c r="AJ149" s="134"/>
      <c r="AK149" s="134"/>
      <c r="AL149" s="134"/>
      <c r="AM149" s="134"/>
      <c r="AN149" s="134"/>
      <c r="AO149" s="134"/>
      <c r="AP149" s="165"/>
    </row>
    <row r="150" spans="1:152" ht="20.149999999999999" customHeight="1" x14ac:dyDescent="0.35">
      <c r="A150" s="166">
        <v>2</v>
      </c>
      <c r="B150" s="100" t="str">
        <f>PETUNJUK!B10</f>
        <v>Rengging</v>
      </c>
      <c r="C150" s="83">
        <f>'1.DATA KIA'!C146</f>
        <v>111.10000000000001</v>
      </c>
      <c r="D150" s="84">
        <f t="shared" si="71"/>
        <v>54</v>
      </c>
      <c r="E150" s="84">
        <f>'1.DATA KIA'!F146</f>
        <v>0</v>
      </c>
      <c r="F150" s="87">
        <f t="shared" ref="F150:F170" si="73">D150+E150</f>
        <v>54</v>
      </c>
      <c r="G150" s="86">
        <f t="shared" ref="G150:G166" si="74">F150/C150*100</f>
        <v>48.604860486048601</v>
      </c>
      <c r="H150" s="84">
        <f t="shared" si="72"/>
        <v>34</v>
      </c>
      <c r="I150" s="84">
        <f>'1.DATA KIA'!AB146+'1.DATA KIA'!AE146</f>
        <v>0</v>
      </c>
      <c r="J150" s="84">
        <f t="shared" ref="J150:J166" si="75">H150+I150</f>
        <v>34</v>
      </c>
      <c r="K150" s="86">
        <f t="shared" ref="K150:K166" si="76">J150/C150*100</f>
        <v>30.603060306030599</v>
      </c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54"/>
      <c r="Z150" s="168"/>
      <c r="AA150" s="134"/>
      <c r="AB150" s="134"/>
      <c r="AC150" s="134"/>
      <c r="AD150" s="134"/>
      <c r="AE150" s="134"/>
      <c r="AF150" s="134"/>
      <c r="AG150" s="134"/>
      <c r="AH150" s="134"/>
      <c r="AI150" s="134"/>
      <c r="AJ150" s="134"/>
      <c r="AK150" s="134"/>
      <c r="AL150" s="134"/>
      <c r="AM150" s="134"/>
      <c r="AN150" s="134"/>
      <c r="AO150" s="134"/>
      <c r="AP150" s="165"/>
    </row>
    <row r="151" spans="1:152" ht="20.149999999999999" customHeight="1" x14ac:dyDescent="0.35">
      <c r="A151" s="166">
        <v>3</v>
      </c>
      <c r="B151" s="100" t="str">
        <f>PETUNJUK!B11</f>
        <v>Troso</v>
      </c>
      <c r="C151" s="83">
        <f>'1.DATA KIA'!C147</f>
        <v>205.70000000000002</v>
      </c>
      <c r="D151" s="84">
        <f t="shared" si="71"/>
        <v>78</v>
      </c>
      <c r="E151" s="84">
        <f>'1.DATA KIA'!F147</f>
        <v>0</v>
      </c>
      <c r="F151" s="87">
        <f t="shared" si="73"/>
        <v>78</v>
      </c>
      <c r="G151" s="86">
        <f t="shared" si="74"/>
        <v>37.919299951385511</v>
      </c>
      <c r="H151" s="84">
        <f t="shared" si="72"/>
        <v>60</v>
      </c>
      <c r="I151" s="84">
        <f>'1.DATA KIA'!AB147+'1.DATA KIA'!AE147</f>
        <v>0</v>
      </c>
      <c r="J151" s="84">
        <f t="shared" si="75"/>
        <v>60</v>
      </c>
      <c r="K151" s="86">
        <f t="shared" si="76"/>
        <v>29.168692270296546</v>
      </c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54"/>
      <c r="Z151" s="168"/>
      <c r="AA151" s="134"/>
      <c r="AB151" s="134"/>
      <c r="AC151" s="134"/>
      <c r="AD151" s="134"/>
      <c r="AE151" s="134"/>
      <c r="AF151" s="134"/>
      <c r="AG151" s="134"/>
      <c r="AH151" s="134"/>
      <c r="AI151" s="134"/>
      <c r="AJ151" s="134"/>
      <c r="AK151" s="134"/>
      <c r="AL151" s="134"/>
      <c r="AM151" s="134"/>
      <c r="AN151" s="134"/>
      <c r="AO151" s="134"/>
      <c r="AP151" s="165"/>
    </row>
    <row r="152" spans="1:152" ht="20.149999999999999" customHeight="1" x14ac:dyDescent="0.35">
      <c r="A152" s="166">
        <v>4</v>
      </c>
      <c r="B152" s="100" t="str">
        <f>PETUNJUK!B12</f>
        <v>Ngeling</v>
      </c>
      <c r="C152" s="83">
        <f>'1.DATA KIA'!C148</f>
        <v>95.7</v>
      </c>
      <c r="D152" s="84">
        <f t="shared" si="71"/>
        <v>30</v>
      </c>
      <c r="E152" s="84">
        <f>'1.DATA KIA'!F148</f>
        <v>0</v>
      </c>
      <c r="F152" s="87">
        <f t="shared" si="73"/>
        <v>30</v>
      </c>
      <c r="G152" s="86">
        <f t="shared" si="74"/>
        <v>31.347962382445139</v>
      </c>
      <c r="H152" s="84">
        <f t="shared" si="72"/>
        <v>28</v>
      </c>
      <c r="I152" s="84">
        <f>'1.DATA KIA'!AB148+'1.DATA KIA'!AE148</f>
        <v>0</v>
      </c>
      <c r="J152" s="84">
        <f t="shared" si="75"/>
        <v>28</v>
      </c>
      <c r="K152" s="86">
        <f t="shared" si="76"/>
        <v>29.258098223615463</v>
      </c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54"/>
      <c r="Z152" s="168"/>
      <c r="AA152" s="134"/>
      <c r="AB152" s="134"/>
      <c r="AC152" s="134"/>
      <c r="AD152" s="134"/>
      <c r="AE152" s="134"/>
      <c r="AF152" s="134"/>
      <c r="AG152" s="134"/>
      <c r="AH152" s="134"/>
      <c r="AI152" s="134"/>
      <c r="AJ152" s="134"/>
      <c r="AK152" s="134"/>
      <c r="AL152" s="134"/>
      <c r="AM152" s="134"/>
      <c r="AN152" s="134"/>
      <c r="AO152" s="134"/>
      <c r="AP152" s="165"/>
    </row>
    <row r="153" spans="1:152" ht="20.149999999999999" customHeight="1" x14ac:dyDescent="0.35">
      <c r="A153" s="166">
        <v>5</v>
      </c>
      <c r="B153" s="100" t="str">
        <f>PETUNJUK!B13</f>
        <v>Lebuawu</v>
      </c>
      <c r="C153" s="83">
        <f>'1.DATA KIA'!C149</f>
        <v>85.800000000000011</v>
      </c>
      <c r="D153" s="84">
        <f t="shared" si="71"/>
        <v>33</v>
      </c>
      <c r="E153" s="84">
        <f>'1.DATA KIA'!F149</f>
        <v>0</v>
      </c>
      <c r="F153" s="87">
        <f t="shared" si="73"/>
        <v>33</v>
      </c>
      <c r="G153" s="86">
        <f t="shared" si="74"/>
        <v>38.46153846153846</v>
      </c>
      <c r="H153" s="84">
        <f t="shared" si="72"/>
        <v>23</v>
      </c>
      <c r="I153" s="84">
        <f>'1.DATA KIA'!AB149+'1.DATA KIA'!AE149</f>
        <v>0</v>
      </c>
      <c r="J153" s="84">
        <f t="shared" si="75"/>
        <v>23</v>
      </c>
      <c r="K153" s="86">
        <f t="shared" si="76"/>
        <v>26.806526806526804</v>
      </c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54"/>
      <c r="Z153" s="168"/>
      <c r="AA153" s="134"/>
      <c r="AB153" s="134"/>
      <c r="AC153" s="134"/>
      <c r="AD153" s="134"/>
      <c r="AE153" s="134"/>
      <c r="AF153" s="134"/>
      <c r="AG153" s="134"/>
      <c r="AH153" s="134"/>
      <c r="AI153" s="134"/>
      <c r="AJ153" s="134"/>
      <c r="AK153" s="134"/>
      <c r="AL153" s="134"/>
      <c r="AM153" s="134"/>
      <c r="AN153" s="134"/>
      <c r="AO153" s="134"/>
      <c r="AP153" s="165"/>
    </row>
    <row r="154" spans="1:152" ht="20.149999999999999" customHeight="1" x14ac:dyDescent="0.35">
      <c r="A154" s="166">
        <v>6</v>
      </c>
      <c r="B154" s="100" t="str">
        <f>PETUNJUK!B14</f>
        <v>Pulodarat</v>
      </c>
      <c r="C154" s="83">
        <f>'1.DATA KIA'!C150</f>
        <v>82.5</v>
      </c>
      <c r="D154" s="84">
        <f t="shared" si="71"/>
        <v>18</v>
      </c>
      <c r="E154" s="84">
        <f>'1.DATA KIA'!F150</f>
        <v>0</v>
      </c>
      <c r="F154" s="87">
        <f t="shared" si="73"/>
        <v>18</v>
      </c>
      <c r="G154" s="86">
        <f t="shared" si="74"/>
        <v>21.818181818181817</v>
      </c>
      <c r="H154" s="84">
        <f t="shared" si="72"/>
        <v>17</v>
      </c>
      <c r="I154" s="84">
        <f>'1.DATA KIA'!AB150+'1.DATA KIA'!AE150</f>
        <v>0</v>
      </c>
      <c r="J154" s="84">
        <f t="shared" si="75"/>
        <v>17</v>
      </c>
      <c r="K154" s="86">
        <f t="shared" si="76"/>
        <v>20.606060606060606</v>
      </c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54"/>
      <c r="Z154" s="168"/>
      <c r="AA154" s="134"/>
      <c r="AB154" s="134"/>
      <c r="AC154" s="134"/>
      <c r="AD154" s="134"/>
      <c r="AE154" s="134"/>
      <c r="AF154" s="134"/>
      <c r="AG154" s="134"/>
      <c r="AH154" s="134"/>
      <c r="AI154" s="134"/>
      <c r="AJ154" s="134"/>
      <c r="AK154" s="134"/>
      <c r="AL154" s="134"/>
      <c r="AM154" s="134"/>
      <c r="AN154" s="134"/>
      <c r="AO154" s="134"/>
      <c r="AP154" s="165"/>
    </row>
    <row r="155" spans="1:152" ht="20.149999999999999" customHeight="1" x14ac:dyDescent="0.35">
      <c r="A155" s="166">
        <v>7</v>
      </c>
      <c r="B155" s="100" t="str">
        <f>PETUNJUK!B15</f>
        <v>Karangrandu</v>
      </c>
      <c r="C155" s="83">
        <f>'1.DATA KIA'!C151</f>
        <v>93.500000000000014</v>
      </c>
      <c r="D155" s="84">
        <f t="shared" si="71"/>
        <v>31</v>
      </c>
      <c r="E155" s="84">
        <f>'1.DATA KIA'!F151</f>
        <v>0</v>
      </c>
      <c r="F155" s="87">
        <f t="shared" si="73"/>
        <v>31</v>
      </c>
      <c r="G155" s="86">
        <f t="shared" si="74"/>
        <v>33.155080213903737</v>
      </c>
      <c r="H155" s="84">
        <f t="shared" si="72"/>
        <v>27</v>
      </c>
      <c r="I155" s="84">
        <f>'1.DATA KIA'!AB151+'1.DATA KIA'!AE151</f>
        <v>0</v>
      </c>
      <c r="J155" s="84">
        <f t="shared" si="75"/>
        <v>27</v>
      </c>
      <c r="K155" s="86">
        <f t="shared" si="76"/>
        <v>28.877005347593578</v>
      </c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54"/>
      <c r="Z155" s="168"/>
      <c r="AA155" s="134"/>
      <c r="AB155" s="134"/>
      <c r="AC155" s="134"/>
      <c r="AD155" s="134"/>
      <c r="AE155" s="134"/>
      <c r="AF155" s="134"/>
      <c r="AG155" s="134"/>
      <c r="AH155" s="134"/>
      <c r="AI155" s="134"/>
      <c r="AJ155" s="134"/>
      <c r="AK155" s="134"/>
      <c r="AL155" s="134"/>
      <c r="AM155" s="134"/>
      <c r="AN155" s="134"/>
      <c r="AO155" s="134"/>
      <c r="AP155" s="165"/>
    </row>
    <row r="156" spans="1:152" ht="20.149999999999999" customHeight="1" x14ac:dyDescent="0.35">
      <c r="A156" s="166">
        <v>8</v>
      </c>
      <c r="B156" s="100" t="str">
        <f>PETUNJUK!B16</f>
        <v>Kaliombo</v>
      </c>
      <c r="C156" s="83">
        <f>'1.DATA KIA'!C152</f>
        <v>46.2</v>
      </c>
      <c r="D156" s="84">
        <f t="shared" si="71"/>
        <v>13</v>
      </c>
      <c r="E156" s="84">
        <f>'1.DATA KIA'!F152</f>
        <v>0</v>
      </c>
      <c r="F156" s="87">
        <f t="shared" si="73"/>
        <v>13</v>
      </c>
      <c r="G156" s="86">
        <f t="shared" si="74"/>
        <v>28.138528138528134</v>
      </c>
      <c r="H156" s="84">
        <f t="shared" si="72"/>
        <v>13</v>
      </c>
      <c r="I156" s="84">
        <f>'1.DATA KIA'!AB152+'1.DATA KIA'!AE152</f>
        <v>0</v>
      </c>
      <c r="J156" s="84">
        <f t="shared" si="75"/>
        <v>13</v>
      </c>
      <c r="K156" s="86">
        <f t="shared" si="76"/>
        <v>28.138528138528134</v>
      </c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54"/>
      <c r="Z156" s="168"/>
      <c r="AA156" s="134"/>
      <c r="AB156" s="134"/>
      <c r="AC156" s="134"/>
      <c r="AD156" s="134"/>
      <c r="AE156" s="134"/>
      <c r="AF156" s="134"/>
      <c r="AG156" s="134"/>
      <c r="AH156" s="134"/>
      <c r="AI156" s="134"/>
      <c r="AJ156" s="134"/>
      <c r="AK156" s="134"/>
      <c r="AL156" s="134"/>
      <c r="AM156" s="134"/>
      <c r="AN156" s="134"/>
      <c r="AO156" s="134"/>
      <c r="AP156" s="165"/>
    </row>
    <row r="157" spans="1:152" ht="20.149999999999999" customHeight="1" x14ac:dyDescent="0.35">
      <c r="A157" s="166">
        <v>9</v>
      </c>
      <c r="B157" s="100" t="str">
        <f>PETUNJUK!B17</f>
        <v>Gemulung</v>
      </c>
      <c r="C157" s="83">
        <f>'1.DATA KIA'!C153</f>
        <v>53.900000000000006</v>
      </c>
      <c r="D157" s="84">
        <f t="shared" si="71"/>
        <v>19</v>
      </c>
      <c r="E157" s="84">
        <f>'1.DATA KIA'!F153</f>
        <v>0</v>
      </c>
      <c r="F157" s="87">
        <f t="shared" si="73"/>
        <v>19</v>
      </c>
      <c r="G157" s="86">
        <f t="shared" si="74"/>
        <v>35.250463821892389</v>
      </c>
      <c r="H157" s="84">
        <f t="shared" si="72"/>
        <v>20</v>
      </c>
      <c r="I157" s="84">
        <f>'1.DATA KIA'!AB153+'1.DATA KIA'!AE153</f>
        <v>0</v>
      </c>
      <c r="J157" s="84">
        <f t="shared" si="75"/>
        <v>20</v>
      </c>
      <c r="K157" s="86">
        <f t="shared" si="76"/>
        <v>37.105751391465674</v>
      </c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54"/>
      <c r="Z157" s="168"/>
      <c r="AA157" s="134"/>
      <c r="AB157" s="134"/>
      <c r="AC157" s="134"/>
      <c r="AD157" s="134"/>
      <c r="AE157" s="134"/>
      <c r="AF157" s="134"/>
      <c r="AG157" s="134"/>
      <c r="AH157" s="134"/>
      <c r="AI157" s="134"/>
      <c r="AJ157" s="134"/>
      <c r="AK157" s="134"/>
      <c r="AL157" s="134"/>
      <c r="AM157" s="134"/>
      <c r="AN157" s="134"/>
      <c r="AO157" s="134"/>
      <c r="AP157" s="165"/>
    </row>
    <row r="158" spans="1:152" ht="20.149999999999999" customHeight="1" x14ac:dyDescent="0.35">
      <c r="A158" s="166">
        <v>10</v>
      </c>
      <c r="B158" s="100" t="str">
        <f>PETUNJUK!B18</f>
        <v>Pecangaan Wetan</v>
      </c>
      <c r="C158" s="83">
        <f>'1.DATA KIA'!C154</f>
        <v>50.6</v>
      </c>
      <c r="D158" s="84">
        <f t="shared" si="71"/>
        <v>15</v>
      </c>
      <c r="E158" s="84">
        <f>'1.DATA KIA'!F154</f>
        <v>0</v>
      </c>
      <c r="F158" s="87">
        <f t="shared" si="73"/>
        <v>15</v>
      </c>
      <c r="G158" s="86">
        <f t="shared" si="74"/>
        <v>29.644268774703558</v>
      </c>
      <c r="H158" s="84">
        <f t="shared" si="72"/>
        <v>13</v>
      </c>
      <c r="I158" s="84">
        <f>'1.DATA KIA'!AB154+'1.DATA KIA'!AE154</f>
        <v>0</v>
      </c>
      <c r="J158" s="84">
        <f t="shared" si="75"/>
        <v>13</v>
      </c>
      <c r="K158" s="86">
        <f t="shared" si="76"/>
        <v>25.691699604743086</v>
      </c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54"/>
      <c r="Z158" s="168"/>
      <c r="AA158" s="134"/>
      <c r="AB158" s="134"/>
      <c r="AC158" s="134"/>
      <c r="AD158" s="134"/>
      <c r="AE158" s="134"/>
      <c r="AF158" s="134"/>
      <c r="AG158" s="134"/>
      <c r="AH158" s="134"/>
      <c r="AI158" s="134"/>
      <c r="AJ158" s="134"/>
      <c r="AK158" s="134"/>
      <c r="AL158" s="134"/>
      <c r="AM158" s="134"/>
      <c r="AN158" s="134"/>
      <c r="AO158" s="134"/>
      <c r="AP158" s="165"/>
    </row>
    <row r="159" spans="1:152" ht="20.149999999999999" customHeight="1" x14ac:dyDescent="0.35">
      <c r="A159" s="166">
        <v>11</v>
      </c>
      <c r="B159" s="100" t="str">
        <f>PETUNJUK!B19</f>
        <v>Krasak</v>
      </c>
      <c r="C159" s="83">
        <f>'1.DATA KIA'!C155</f>
        <v>117.7</v>
      </c>
      <c r="D159" s="84">
        <f t="shared" si="71"/>
        <v>45</v>
      </c>
      <c r="E159" s="84">
        <f>'1.DATA KIA'!F155</f>
        <v>0</v>
      </c>
      <c r="F159" s="87">
        <f t="shared" si="73"/>
        <v>45</v>
      </c>
      <c r="G159" s="86">
        <f t="shared" si="74"/>
        <v>38.232795242141037</v>
      </c>
      <c r="H159" s="84">
        <f t="shared" si="72"/>
        <v>29</v>
      </c>
      <c r="I159" s="84">
        <f>'1.DATA KIA'!AB155+'1.DATA KIA'!AE155</f>
        <v>0</v>
      </c>
      <c r="J159" s="84">
        <f t="shared" si="75"/>
        <v>29</v>
      </c>
      <c r="K159" s="86">
        <f t="shared" si="76"/>
        <v>24.638912489379777</v>
      </c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54"/>
      <c r="Z159" s="168"/>
      <c r="AA159" s="134"/>
      <c r="AB159" s="134"/>
      <c r="AC159" s="134"/>
      <c r="AD159" s="134"/>
      <c r="AE159" s="134"/>
      <c r="AF159" s="134"/>
      <c r="AG159" s="134"/>
      <c r="AH159" s="134"/>
      <c r="AI159" s="134"/>
      <c r="AJ159" s="134"/>
      <c r="AK159" s="134"/>
      <c r="AL159" s="134"/>
      <c r="AM159" s="134"/>
      <c r="AN159" s="134"/>
      <c r="AO159" s="134"/>
      <c r="AP159" s="165"/>
    </row>
    <row r="160" spans="1:152" ht="20.149999999999999" customHeight="1" x14ac:dyDescent="0.35">
      <c r="A160" s="166">
        <v>12</v>
      </c>
      <c r="B160" s="100" t="str">
        <f>PETUNJUK!B20</f>
        <v>Gerdu</v>
      </c>
      <c r="C160" s="83">
        <f>'1.DATA KIA'!C156</f>
        <v>23.1</v>
      </c>
      <c r="D160" s="84">
        <f t="shared" si="71"/>
        <v>8</v>
      </c>
      <c r="E160" s="84">
        <f>'1.DATA KIA'!F156</f>
        <v>0</v>
      </c>
      <c r="F160" s="298">
        <f t="shared" si="73"/>
        <v>8</v>
      </c>
      <c r="G160" s="86">
        <f t="shared" si="74"/>
        <v>34.632034632034632</v>
      </c>
      <c r="H160" s="84">
        <f t="shared" si="72"/>
        <v>5</v>
      </c>
      <c r="I160" s="84">
        <f>'1.DATA KIA'!AB156+'1.DATA KIA'!AE156</f>
        <v>0</v>
      </c>
      <c r="J160" s="84">
        <f t="shared" si="75"/>
        <v>5</v>
      </c>
      <c r="K160" s="86">
        <f t="shared" si="76"/>
        <v>21.645021645021643</v>
      </c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54"/>
      <c r="Z160" s="168"/>
      <c r="AA160" s="134"/>
      <c r="AB160" s="134"/>
      <c r="AC160" s="134"/>
      <c r="AD160" s="134"/>
      <c r="AE160" s="134"/>
      <c r="AF160" s="134"/>
      <c r="AG160" s="134"/>
      <c r="AH160" s="134"/>
      <c r="AI160" s="134"/>
      <c r="AJ160" s="134"/>
      <c r="AK160" s="134"/>
      <c r="AL160" s="134"/>
      <c r="AM160" s="134"/>
      <c r="AN160" s="134"/>
      <c r="AO160" s="134"/>
      <c r="AP160" s="165"/>
    </row>
    <row r="161" spans="1:42" ht="20.149999999999999" customHeight="1" x14ac:dyDescent="0.35">
      <c r="A161" s="166">
        <v>13</v>
      </c>
      <c r="B161" s="100">
        <f>PETUNJUK!B21</f>
        <v>0</v>
      </c>
      <c r="C161" s="83">
        <f>'1.DATA KIA'!C157</f>
        <v>0</v>
      </c>
      <c r="D161" s="84">
        <f t="shared" si="71"/>
        <v>0</v>
      </c>
      <c r="E161" s="84">
        <f>'1.DATA KIA'!F157</f>
        <v>0</v>
      </c>
      <c r="F161" s="87">
        <f t="shared" si="73"/>
        <v>0</v>
      </c>
      <c r="G161" s="86" t="e">
        <f t="shared" si="74"/>
        <v>#DIV/0!</v>
      </c>
      <c r="H161" s="84">
        <f t="shared" si="72"/>
        <v>0</v>
      </c>
      <c r="I161" s="84">
        <f>'1.DATA KIA'!AB157+'1.DATA KIA'!AE157</f>
        <v>0</v>
      </c>
      <c r="J161" s="84">
        <f t="shared" si="75"/>
        <v>0</v>
      </c>
      <c r="K161" s="86" t="e">
        <f t="shared" si="76"/>
        <v>#DIV/0!</v>
      </c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54"/>
      <c r="Z161" s="168"/>
      <c r="AA161" s="134"/>
      <c r="AB161" s="134"/>
      <c r="AC161" s="134"/>
      <c r="AD161" s="134"/>
      <c r="AE161" s="134"/>
      <c r="AF161" s="134"/>
      <c r="AG161" s="134"/>
      <c r="AH161" s="134"/>
      <c r="AI161" s="134"/>
      <c r="AJ161" s="134"/>
      <c r="AK161" s="134"/>
      <c r="AL161" s="134"/>
      <c r="AM161" s="134"/>
      <c r="AN161" s="134"/>
      <c r="AO161" s="134"/>
      <c r="AP161" s="165"/>
    </row>
    <row r="162" spans="1:42" ht="20.149999999999999" customHeight="1" x14ac:dyDescent="0.35">
      <c r="A162" s="166">
        <v>14</v>
      </c>
      <c r="B162" s="100">
        <f>PETUNJUK!B22</f>
        <v>0</v>
      </c>
      <c r="C162" s="83">
        <f>'1.DATA KIA'!C158</f>
        <v>0</v>
      </c>
      <c r="D162" s="84">
        <f t="shared" si="71"/>
        <v>0</v>
      </c>
      <c r="E162" s="84">
        <f>'1.DATA KIA'!F158</f>
        <v>0</v>
      </c>
      <c r="F162" s="87">
        <f t="shared" si="73"/>
        <v>0</v>
      </c>
      <c r="G162" s="86" t="e">
        <f t="shared" si="74"/>
        <v>#DIV/0!</v>
      </c>
      <c r="H162" s="84">
        <f t="shared" si="72"/>
        <v>0</v>
      </c>
      <c r="I162" s="84">
        <f>'1.DATA KIA'!AB158+'1.DATA KIA'!AE158</f>
        <v>0</v>
      </c>
      <c r="J162" s="84">
        <f t="shared" si="75"/>
        <v>0</v>
      </c>
      <c r="K162" s="86" t="e">
        <f t="shared" si="76"/>
        <v>#DIV/0!</v>
      </c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54"/>
      <c r="Z162" s="168"/>
      <c r="AA162" s="134"/>
      <c r="AB162" s="134"/>
      <c r="AC162" s="134"/>
      <c r="AD162" s="134"/>
      <c r="AE162" s="134"/>
      <c r="AF162" s="134"/>
      <c r="AG162" s="134"/>
      <c r="AH162" s="134"/>
      <c r="AI162" s="134"/>
      <c r="AJ162" s="134"/>
      <c r="AK162" s="134"/>
      <c r="AL162" s="134"/>
      <c r="AM162" s="134"/>
      <c r="AN162" s="134"/>
      <c r="AO162" s="134"/>
      <c r="AP162" s="165"/>
    </row>
    <row r="163" spans="1:42" ht="20.149999999999999" customHeight="1" x14ac:dyDescent="0.35">
      <c r="A163" s="166">
        <v>15</v>
      </c>
      <c r="B163" s="100">
        <f>PETUNJUK!B23</f>
        <v>0</v>
      </c>
      <c r="C163" s="83">
        <f>'1.DATA KIA'!C159</f>
        <v>0</v>
      </c>
      <c r="D163" s="84">
        <f t="shared" si="71"/>
        <v>0</v>
      </c>
      <c r="E163" s="84">
        <f>'1.DATA KIA'!F159</f>
        <v>0</v>
      </c>
      <c r="F163" s="87">
        <f t="shared" si="73"/>
        <v>0</v>
      </c>
      <c r="G163" s="86" t="e">
        <f t="shared" si="74"/>
        <v>#DIV/0!</v>
      </c>
      <c r="H163" s="84">
        <f t="shared" si="72"/>
        <v>0</v>
      </c>
      <c r="I163" s="84">
        <f>'1.DATA KIA'!AB159+'1.DATA KIA'!AE159</f>
        <v>0</v>
      </c>
      <c r="J163" s="84">
        <f t="shared" si="75"/>
        <v>0</v>
      </c>
      <c r="K163" s="86" t="e">
        <f t="shared" si="76"/>
        <v>#DIV/0!</v>
      </c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54"/>
      <c r="Z163" s="168"/>
      <c r="AA163" s="134"/>
      <c r="AB163" s="134"/>
      <c r="AC163" s="134"/>
      <c r="AD163" s="134"/>
      <c r="AE163" s="134"/>
      <c r="AF163" s="134"/>
      <c r="AG163" s="134"/>
      <c r="AH163" s="134"/>
      <c r="AI163" s="134"/>
      <c r="AJ163" s="134"/>
      <c r="AK163" s="134"/>
      <c r="AL163" s="134"/>
      <c r="AM163" s="134"/>
      <c r="AN163" s="134"/>
      <c r="AO163" s="134"/>
      <c r="AP163" s="165"/>
    </row>
    <row r="164" spans="1:42" ht="20.149999999999999" customHeight="1" x14ac:dyDescent="0.35">
      <c r="A164" s="166">
        <v>16</v>
      </c>
      <c r="B164" s="100">
        <f>PETUNJUK!B24</f>
        <v>0</v>
      </c>
      <c r="C164" s="83">
        <f>'1.DATA KIA'!C160</f>
        <v>0</v>
      </c>
      <c r="D164" s="84">
        <f t="shared" si="71"/>
        <v>0</v>
      </c>
      <c r="E164" s="84">
        <f>'1.DATA KIA'!F160</f>
        <v>0</v>
      </c>
      <c r="F164" s="87">
        <f t="shared" si="73"/>
        <v>0</v>
      </c>
      <c r="G164" s="86" t="e">
        <f t="shared" si="74"/>
        <v>#DIV/0!</v>
      </c>
      <c r="H164" s="84">
        <f t="shared" si="72"/>
        <v>0</v>
      </c>
      <c r="I164" s="84">
        <f>'1.DATA KIA'!AB160+'1.DATA KIA'!AE160</f>
        <v>0</v>
      </c>
      <c r="J164" s="84">
        <f t="shared" si="75"/>
        <v>0</v>
      </c>
      <c r="K164" s="86" t="e">
        <f t="shared" si="76"/>
        <v>#DIV/0!</v>
      </c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54"/>
      <c r="Z164" s="168"/>
      <c r="AA164" s="134"/>
      <c r="AB164" s="134"/>
      <c r="AC164" s="134"/>
      <c r="AD164" s="134"/>
      <c r="AE164" s="134"/>
      <c r="AF164" s="134"/>
      <c r="AG164" s="134"/>
      <c r="AH164" s="134"/>
      <c r="AI164" s="134"/>
      <c r="AJ164" s="134"/>
      <c r="AK164" s="134"/>
      <c r="AL164" s="134"/>
      <c r="AM164" s="134"/>
      <c r="AN164" s="134"/>
      <c r="AO164" s="134"/>
      <c r="AP164" s="165"/>
    </row>
    <row r="165" spans="1:42" ht="20.149999999999999" customHeight="1" x14ac:dyDescent="0.35">
      <c r="A165" s="166">
        <v>17</v>
      </c>
      <c r="B165" s="100">
        <f>PETUNJUK!B25</f>
        <v>0</v>
      </c>
      <c r="C165" s="83">
        <f>'1.DATA KIA'!C161</f>
        <v>0</v>
      </c>
      <c r="D165" s="84">
        <f t="shared" si="71"/>
        <v>0</v>
      </c>
      <c r="E165" s="84">
        <f>'1.DATA KIA'!F161</f>
        <v>0</v>
      </c>
      <c r="F165" s="87">
        <f t="shared" si="73"/>
        <v>0</v>
      </c>
      <c r="G165" s="86" t="e">
        <f t="shared" si="74"/>
        <v>#DIV/0!</v>
      </c>
      <c r="H165" s="84">
        <f t="shared" si="72"/>
        <v>0</v>
      </c>
      <c r="I165" s="84">
        <f>'1.DATA KIA'!AB161+'1.DATA KIA'!AE161</f>
        <v>0</v>
      </c>
      <c r="J165" s="84">
        <f t="shared" si="75"/>
        <v>0</v>
      </c>
      <c r="K165" s="86" t="e">
        <f t="shared" si="76"/>
        <v>#DIV/0!</v>
      </c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54"/>
      <c r="Z165" s="168"/>
      <c r="AA165" s="134"/>
      <c r="AB165" s="134"/>
      <c r="AC165" s="134"/>
      <c r="AD165" s="134"/>
      <c r="AE165" s="134"/>
      <c r="AF165" s="134"/>
      <c r="AG165" s="134"/>
      <c r="AH165" s="134"/>
      <c r="AI165" s="134"/>
      <c r="AJ165" s="134"/>
      <c r="AK165" s="134"/>
      <c r="AL165" s="134"/>
      <c r="AM165" s="134"/>
      <c r="AN165" s="134"/>
      <c r="AO165" s="134"/>
      <c r="AP165" s="165"/>
    </row>
    <row r="166" spans="1:42" ht="20.149999999999999" customHeight="1" x14ac:dyDescent="0.35">
      <c r="A166" s="166">
        <v>18</v>
      </c>
      <c r="B166" s="100">
        <f>PETUNJUK!B26</f>
        <v>0</v>
      </c>
      <c r="C166" s="93">
        <f>'1.DATA KIA'!C162</f>
        <v>0</v>
      </c>
      <c r="D166" s="87">
        <f t="shared" si="71"/>
        <v>0</v>
      </c>
      <c r="E166" s="84">
        <f>'1.DATA KIA'!F162</f>
        <v>0</v>
      </c>
      <c r="F166" s="87">
        <f t="shared" si="73"/>
        <v>0</v>
      </c>
      <c r="G166" s="88" t="e">
        <f t="shared" si="74"/>
        <v>#DIV/0!</v>
      </c>
      <c r="H166" s="87">
        <f t="shared" si="72"/>
        <v>0</v>
      </c>
      <c r="I166" s="92">
        <f>'1.DATA KIA'!AB162+'1.DATA KIA'!AE162</f>
        <v>0</v>
      </c>
      <c r="J166" s="87">
        <f t="shared" si="75"/>
        <v>0</v>
      </c>
      <c r="K166" s="88" t="e">
        <f t="shared" si="76"/>
        <v>#DIV/0!</v>
      </c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54"/>
      <c r="Z166" s="168"/>
      <c r="AA166" s="134"/>
      <c r="AB166" s="134"/>
      <c r="AC166" s="134"/>
      <c r="AD166" s="134"/>
      <c r="AE166" s="134"/>
      <c r="AF166" s="134"/>
      <c r="AG166" s="134"/>
      <c r="AH166" s="134"/>
      <c r="AI166" s="134"/>
      <c r="AJ166" s="134"/>
      <c r="AK166" s="134"/>
      <c r="AL166" s="134"/>
      <c r="AM166" s="134"/>
      <c r="AN166" s="134"/>
      <c r="AO166" s="134"/>
      <c r="AP166" s="165"/>
    </row>
    <row r="167" spans="1:42" ht="20.149999999999999" customHeight="1" x14ac:dyDescent="0.35">
      <c r="A167" s="166">
        <v>19</v>
      </c>
      <c r="B167" s="100">
        <f>PETUNJUK!B27</f>
        <v>0</v>
      </c>
      <c r="C167" s="83">
        <f>'1.DATA KIA'!C163</f>
        <v>0</v>
      </c>
      <c r="D167" s="84">
        <f>F132</f>
        <v>0</v>
      </c>
      <c r="E167" s="84">
        <f>'1.DATA KIA'!F163</f>
        <v>0</v>
      </c>
      <c r="F167" s="87">
        <f t="shared" si="73"/>
        <v>0</v>
      </c>
      <c r="G167" s="86" t="e">
        <f>F167/C167*100</f>
        <v>#DIV/0!</v>
      </c>
      <c r="H167" s="84">
        <f>J132</f>
        <v>0</v>
      </c>
      <c r="I167" s="84">
        <f>'1.DATA KIA'!AB163+'1.DATA KIA'!AE163</f>
        <v>0</v>
      </c>
      <c r="J167" s="84">
        <f>H167+I167</f>
        <v>0</v>
      </c>
      <c r="K167" s="86" t="e">
        <f>J167/C167*100</f>
        <v>#DIV/0!</v>
      </c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54"/>
      <c r="Z167" s="168"/>
      <c r="AA167" s="134"/>
      <c r="AB167" s="134"/>
      <c r="AC167" s="134"/>
      <c r="AD167" s="134"/>
      <c r="AE167" s="134"/>
      <c r="AF167" s="134"/>
      <c r="AG167" s="134"/>
      <c r="AH167" s="134"/>
      <c r="AI167" s="134"/>
      <c r="AJ167" s="134"/>
      <c r="AK167" s="134"/>
      <c r="AL167" s="134"/>
      <c r="AM167" s="134"/>
      <c r="AN167" s="134"/>
      <c r="AO167" s="134"/>
      <c r="AP167" s="165"/>
    </row>
    <row r="168" spans="1:42" ht="20.149999999999999" customHeight="1" x14ac:dyDescent="0.35">
      <c r="A168" s="166">
        <v>20</v>
      </c>
      <c r="B168" s="100">
        <f>PETUNJUK!B28</f>
        <v>0</v>
      </c>
      <c r="C168" s="93">
        <f>'1.DATA KIA'!C164</f>
        <v>0</v>
      </c>
      <c r="D168" s="87">
        <f>F133</f>
        <v>0</v>
      </c>
      <c r="E168" s="84">
        <f>'1.DATA KIA'!F164</f>
        <v>0</v>
      </c>
      <c r="F168" s="87">
        <f t="shared" si="73"/>
        <v>0</v>
      </c>
      <c r="G168" s="88" t="e">
        <f>F168/C168*100</f>
        <v>#DIV/0!</v>
      </c>
      <c r="H168" s="87">
        <f>J133</f>
        <v>0</v>
      </c>
      <c r="I168" s="92">
        <f>'1.DATA KIA'!AB164+'1.DATA KIA'!AE164</f>
        <v>0</v>
      </c>
      <c r="J168" s="87">
        <f>H168+I168</f>
        <v>0</v>
      </c>
      <c r="K168" s="88" t="e">
        <f>J168/C168*100</f>
        <v>#DIV/0!</v>
      </c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54"/>
      <c r="Z168" s="168"/>
      <c r="AA168" s="134"/>
      <c r="AB168" s="134"/>
      <c r="AC168" s="134"/>
      <c r="AD168" s="134"/>
      <c r="AE168" s="134"/>
      <c r="AF168" s="134"/>
      <c r="AG168" s="134"/>
      <c r="AH168" s="134"/>
      <c r="AI168" s="134"/>
      <c r="AJ168" s="134"/>
      <c r="AK168" s="134"/>
      <c r="AL168" s="134"/>
      <c r="AM168" s="134"/>
      <c r="AN168" s="134"/>
      <c r="AO168" s="134"/>
      <c r="AP168" s="165"/>
    </row>
    <row r="169" spans="1:42" ht="20.149999999999999" customHeight="1" x14ac:dyDescent="0.35">
      <c r="A169" s="166">
        <v>21</v>
      </c>
      <c r="B169" s="100">
        <f>PETUNJUK!B29</f>
        <v>0</v>
      </c>
      <c r="C169" s="83">
        <f>'1.DATA KIA'!C165</f>
        <v>0</v>
      </c>
      <c r="D169" s="84">
        <f>F134</f>
        <v>0</v>
      </c>
      <c r="E169" s="84">
        <f>'1.DATA KIA'!F165</f>
        <v>0</v>
      </c>
      <c r="F169" s="87">
        <f t="shared" si="73"/>
        <v>0</v>
      </c>
      <c r="G169" s="86" t="e">
        <f>F169/C169*100</f>
        <v>#DIV/0!</v>
      </c>
      <c r="H169" s="84">
        <f>J134</f>
        <v>0</v>
      </c>
      <c r="I169" s="84">
        <f>'1.DATA KIA'!AB165+'1.DATA KIA'!AE165</f>
        <v>0</v>
      </c>
      <c r="J169" s="84">
        <f>H169+I169</f>
        <v>0</v>
      </c>
      <c r="K169" s="86" t="e">
        <f>J169/C169*100</f>
        <v>#DIV/0!</v>
      </c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54"/>
      <c r="Z169" s="168"/>
      <c r="AA169" s="134"/>
      <c r="AB169" s="134"/>
      <c r="AC169" s="134"/>
      <c r="AD169" s="134"/>
      <c r="AE169" s="134"/>
      <c r="AF169" s="134"/>
      <c r="AG169" s="134"/>
      <c r="AH169" s="134"/>
      <c r="AI169" s="134"/>
      <c r="AJ169" s="134"/>
      <c r="AK169" s="134"/>
      <c r="AL169" s="134"/>
      <c r="AM169" s="134"/>
      <c r="AN169" s="134"/>
      <c r="AO169" s="134"/>
      <c r="AP169" s="165"/>
    </row>
    <row r="170" spans="1:42" ht="20.149999999999999" customHeight="1" thickBot="1" x14ac:dyDescent="0.4">
      <c r="A170" s="167">
        <v>22</v>
      </c>
      <c r="B170" s="114">
        <f>PETUNJUK!B30</f>
        <v>0</v>
      </c>
      <c r="C170" s="124">
        <f>'1.DATA KIA'!C166</f>
        <v>0</v>
      </c>
      <c r="D170" s="87">
        <f>F135</f>
        <v>0</v>
      </c>
      <c r="E170" s="84">
        <f>'1.DATA KIA'!F166</f>
        <v>0</v>
      </c>
      <c r="F170" s="87">
        <f t="shared" si="73"/>
        <v>0</v>
      </c>
      <c r="G170" s="88" t="e">
        <f>F170/C170*100</f>
        <v>#DIV/0!</v>
      </c>
      <c r="H170" s="87">
        <f>J135</f>
        <v>0</v>
      </c>
      <c r="I170" s="95">
        <f>'1.DATA KIA'!AB166+'1.DATA KIA'!AE166</f>
        <v>0</v>
      </c>
      <c r="J170" s="87">
        <f>H170+I170</f>
        <v>0</v>
      </c>
      <c r="K170" s="88" t="e">
        <f>J170/C170*100</f>
        <v>#DIV/0!</v>
      </c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54"/>
      <c r="Z170" s="168"/>
      <c r="AA170" s="134"/>
      <c r="AB170" s="134"/>
      <c r="AC170" s="134"/>
      <c r="AD170" s="134"/>
      <c r="AE170" s="134"/>
      <c r="AF170" s="134"/>
      <c r="AG170" s="134"/>
      <c r="AH170" s="134"/>
      <c r="AI170" s="134"/>
      <c r="AJ170" s="134"/>
      <c r="AK170" s="134"/>
      <c r="AL170" s="134"/>
      <c r="AM170" s="134"/>
      <c r="AN170" s="134"/>
      <c r="AO170" s="134"/>
      <c r="AP170" s="165"/>
    </row>
    <row r="171" spans="1:42" ht="25.5" customHeight="1" thickBot="1" x14ac:dyDescent="0.4">
      <c r="A171" s="881" t="s">
        <v>18</v>
      </c>
      <c r="B171" s="882"/>
      <c r="C171" s="116">
        <f>SUM(C149:C170)</f>
        <v>1067</v>
      </c>
      <c r="D171" s="116">
        <f>SUM(D149:D170)</f>
        <v>374</v>
      </c>
      <c r="E171" s="116">
        <f>SUM(E149:E170)</f>
        <v>0</v>
      </c>
      <c r="F171" s="116">
        <f>SUM(F149:F170)</f>
        <v>374</v>
      </c>
      <c r="G171" s="117">
        <f>F171/C171*100</f>
        <v>35.051546391752574</v>
      </c>
      <c r="H171" s="118">
        <f>SUM(H149:H170)</f>
        <v>298</v>
      </c>
      <c r="I171" s="118">
        <f>SUM(I149:I170)</f>
        <v>0</v>
      </c>
      <c r="J171" s="118">
        <f>SUM(J149:J170)</f>
        <v>298</v>
      </c>
      <c r="K171" s="117">
        <f>J171/C171*100</f>
        <v>27.928772258669166</v>
      </c>
      <c r="L171" s="131">
        <f>SUM(L149:L170)</f>
        <v>0</v>
      </c>
      <c r="M171" s="131">
        <f t="shared" ref="M171:AP171" si="77">SUM(M149:M170)</f>
        <v>0</v>
      </c>
      <c r="N171" s="131">
        <f t="shared" si="77"/>
        <v>0</v>
      </c>
      <c r="O171" s="131">
        <f t="shared" si="77"/>
        <v>0</v>
      </c>
      <c r="P171" s="131">
        <f t="shared" si="77"/>
        <v>0</v>
      </c>
      <c r="Q171" s="131">
        <f t="shared" si="77"/>
        <v>0</v>
      </c>
      <c r="R171" s="131">
        <f t="shared" si="77"/>
        <v>0</v>
      </c>
      <c r="S171" s="131">
        <f t="shared" si="77"/>
        <v>0</v>
      </c>
      <c r="T171" s="131">
        <f t="shared" si="77"/>
        <v>0</v>
      </c>
      <c r="U171" s="131">
        <f t="shared" si="77"/>
        <v>0</v>
      </c>
      <c r="V171" s="131">
        <f t="shared" si="77"/>
        <v>0</v>
      </c>
      <c r="W171" s="131">
        <f t="shared" si="77"/>
        <v>0</v>
      </c>
      <c r="X171" s="180">
        <f t="shared" si="77"/>
        <v>0</v>
      </c>
      <c r="Y171" s="159"/>
      <c r="Z171" s="195">
        <f t="shared" si="77"/>
        <v>0</v>
      </c>
      <c r="AA171" s="131">
        <f t="shared" si="77"/>
        <v>0</v>
      </c>
      <c r="AB171" s="131">
        <f t="shared" si="77"/>
        <v>0</v>
      </c>
      <c r="AC171" s="131">
        <f t="shared" si="77"/>
        <v>0</v>
      </c>
      <c r="AD171" s="131">
        <f t="shared" si="77"/>
        <v>0</v>
      </c>
      <c r="AE171" s="131">
        <f t="shared" si="77"/>
        <v>0</v>
      </c>
      <c r="AF171" s="131">
        <f t="shared" si="77"/>
        <v>0</v>
      </c>
      <c r="AG171" s="131">
        <f t="shared" si="77"/>
        <v>0</v>
      </c>
      <c r="AH171" s="131">
        <f t="shared" si="77"/>
        <v>0</v>
      </c>
      <c r="AI171" s="131">
        <f t="shared" si="77"/>
        <v>0</v>
      </c>
      <c r="AJ171" s="131">
        <f t="shared" si="77"/>
        <v>0</v>
      </c>
      <c r="AK171" s="131">
        <f t="shared" si="77"/>
        <v>0</v>
      </c>
      <c r="AL171" s="131">
        <f t="shared" si="77"/>
        <v>0</v>
      </c>
      <c r="AM171" s="131">
        <f t="shared" si="77"/>
        <v>0</v>
      </c>
      <c r="AN171" s="121">
        <f t="shared" si="77"/>
        <v>0</v>
      </c>
      <c r="AO171" s="121">
        <f t="shared" si="77"/>
        <v>0</v>
      </c>
      <c r="AP171" s="122">
        <f t="shared" si="77"/>
        <v>0</v>
      </c>
    </row>
    <row r="172" spans="1:42" ht="15.5" x14ac:dyDescent="0.35">
      <c r="A172" s="140"/>
      <c r="B172" s="140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56"/>
      <c r="Z172" s="102"/>
      <c r="AA172" s="102"/>
      <c r="AB172" s="102"/>
      <c r="AC172" s="102"/>
      <c r="AD172" s="102"/>
      <c r="AE172" s="102"/>
      <c r="AF172" s="102"/>
      <c r="AG172" s="102"/>
      <c r="AH172" s="102"/>
      <c r="AI172" s="102"/>
      <c r="AJ172" s="102"/>
      <c r="AK172" s="102"/>
      <c r="AL172" s="102"/>
      <c r="AM172" s="102"/>
      <c r="AN172" s="102"/>
      <c r="AO172" s="102"/>
      <c r="AP172" s="102"/>
    </row>
    <row r="173" spans="1:42" ht="15.5" x14ac:dyDescent="0.35">
      <c r="A173" s="140"/>
      <c r="B173" s="140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56"/>
      <c r="Z173" s="102"/>
      <c r="AA173" s="102"/>
      <c r="AB173" s="102"/>
      <c r="AC173" s="102"/>
      <c r="AD173" s="102"/>
      <c r="AE173" s="102"/>
      <c r="AF173" s="102"/>
      <c r="AG173" s="102"/>
      <c r="AH173" s="102"/>
      <c r="AI173" s="102"/>
      <c r="AJ173" s="102"/>
      <c r="AK173" s="102"/>
      <c r="AL173" s="102"/>
      <c r="AM173" s="102"/>
      <c r="AN173" s="102"/>
      <c r="AO173" s="102"/>
      <c r="AP173" s="102"/>
    </row>
    <row r="174" spans="1:42" ht="15.5" x14ac:dyDescent="0.35">
      <c r="A174" s="140"/>
      <c r="B174" s="140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56"/>
      <c r="Z174" s="102"/>
      <c r="AA174" s="102"/>
      <c r="AB174" s="102"/>
      <c r="AC174" s="102"/>
      <c r="AD174" s="102"/>
      <c r="AE174" s="102"/>
      <c r="AF174" s="102"/>
      <c r="AG174" s="102"/>
      <c r="AH174" s="102"/>
      <c r="AI174" s="102"/>
      <c r="AJ174" s="102"/>
      <c r="AK174" s="102"/>
      <c r="AL174" s="102"/>
      <c r="AM174" s="102"/>
      <c r="AN174" s="102"/>
      <c r="AO174" s="102"/>
      <c r="AP174" s="102"/>
    </row>
    <row r="175" spans="1:42" ht="15.5" x14ac:dyDescent="0.35">
      <c r="A175" s="140"/>
      <c r="B175" s="140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56"/>
      <c r="Z175" s="102"/>
      <c r="AA175" s="102"/>
      <c r="AB175" s="102"/>
      <c r="AC175" s="102"/>
      <c r="AD175" s="102"/>
      <c r="AE175" s="102"/>
      <c r="AF175" s="102"/>
      <c r="AG175" s="102"/>
      <c r="AH175" s="102"/>
      <c r="AI175" s="102"/>
      <c r="AJ175" s="102"/>
      <c r="AK175" s="102"/>
      <c r="AL175" s="102"/>
      <c r="AM175" s="102"/>
      <c r="AN175" s="102"/>
      <c r="AO175" s="102"/>
      <c r="AP175" s="102"/>
    </row>
    <row r="176" spans="1:42" ht="15.5" x14ac:dyDescent="0.35">
      <c r="A176" s="137"/>
      <c r="B176" s="138"/>
      <c r="C176" s="76" t="s">
        <v>64</v>
      </c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101"/>
      <c r="T176" s="101"/>
      <c r="U176" s="101"/>
      <c r="V176" s="101"/>
      <c r="W176" s="101"/>
      <c r="X176" s="101"/>
      <c r="Y176" s="15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1"/>
      <c r="AK176" s="101"/>
      <c r="AL176" s="101"/>
      <c r="AM176" s="101"/>
      <c r="AN176" s="101"/>
      <c r="AO176" s="101"/>
      <c r="AP176" s="101"/>
    </row>
    <row r="177" spans="1:152" ht="15.5" x14ac:dyDescent="0.35">
      <c r="A177" s="137"/>
      <c r="B177" s="98"/>
      <c r="C177" s="103" t="s">
        <v>197</v>
      </c>
      <c r="D177" s="78"/>
      <c r="E177" s="79" t="str">
        <f>PETUNJUK!C5</f>
        <v>PECANGAAN</v>
      </c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101"/>
      <c r="T177" s="101"/>
      <c r="U177" s="101"/>
      <c r="V177" s="101" t="s">
        <v>199</v>
      </c>
      <c r="W177" s="101"/>
      <c r="X177" s="101"/>
      <c r="Y177" s="15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1"/>
      <c r="AK177" s="101"/>
      <c r="AL177" s="101"/>
      <c r="AM177" s="101"/>
      <c r="AN177" s="101"/>
      <c r="AO177" s="101" t="s">
        <v>200</v>
      </c>
      <c r="AP177" s="101"/>
    </row>
    <row r="178" spans="1:152" ht="15.5" x14ac:dyDescent="0.35">
      <c r="A178" s="137"/>
      <c r="B178" s="139"/>
      <c r="C178" s="104" t="s">
        <v>198</v>
      </c>
      <c r="D178" s="105"/>
      <c r="E178" s="106" t="str">
        <f>'1.DATA KIA'!C174</f>
        <v xml:space="preserve">JUNI </v>
      </c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1"/>
      <c r="T178" s="101"/>
      <c r="U178" s="101"/>
      <c r="V178" s="101"/>
      <c r="W178" s="101"/>
      <c r="X178" s="101"/>
      <c r="Y178" s="151"/>
      <c r="Z178" s="101"/>
      <c r="AA178" s="101"/>
      <c r="AB178" s="101"/>
      <c r="AC178" s="101"/>
      <c r="AD178" s="101"/>
      <c r="AE178" s="101"/>
      <c r="AF178" s="101"/>
      <c r="AG178" s="101"/>
      <c r="AH178" s="101"/>
      <c r="AI178" s="101"/>
      <c r="AJ178" s="101"/>
      <c r="AK178" s="101"/>
      <c r="AL178" s="101"/>
      <c r="AM178" s="101"/>
      <c r="AN178" s="101"/>
      <c r="AO178" s="101"/>
      <c r="AP178" s="101"/>
    </row>
    <row r="179" spans="1:152" ht="16" thickBot="1" x14ac:dyDescent="0.4">
      <c r="A179" s="870"/>
      <c r="B179" s="870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1"/>
      <c r="T179" s="101"/>
      <c r="U179" s="101"/>
      <c r="V179" s="101"/>
      <c r="W179" s="101"/>
      <c r="X179" s="101"/>
      <c r="Y179" s="151"/>
      <c r="Z179" s="101"/>
      <c r="AA179" s="101"/>
      <c r="AB179" s="101"/>
      <c r="AC179" s="101"/>
      <c r="AD179" s="101"/>
      <c r="AE179" s="101"/>
      <c r="AF179" s="101"/>
      <c r="AG179" s="101"/>
      <c r="AH179" s="101"/>
      <c r="AI179" s="101"/>
      <c r="AJ179" s="101"/>
      <c r="AK179" s="101"/>
      <c r="AL179" s="101"/>
      <c r="AM179" s="101"/>
      <c r="AN179" s="101"/>
      <c r="AO179" s="101"/>
      <c r="AP179" s="101"/>
    </row>
    <row r="180" spans="1:152" s="111" customFormat="1" ht="38.5" customHeight="1" x14ac:dyDescent="0.35">
      <c r="A180" s="871" t="s">
        <v>1</v>
      </c>
      <c r="B180" s="874" t="s">
        <v>2</v>
      </c>
      <c r="C180" s="877" t="s">
        <v>65</v>
      </c>
      <c r="D180" s="847" t="s">
        <v>66</v>
      </c>
      <c r="E180" s="848"/>
      <c r="F180" s="848"/>
      <c r="G180" s="880"/>
      <c r="H180" s="859" t="s">
        <v>194</v>
      </c>
      <c r="I180" s="860"/>
      <c r="J180" s="860"/>
      <c r="K180" s="861"/>
      <c r="L180" s="847" t="s">
        <v>67</v>
      </c>
      <c r="M180" s="848"/>
      <c r="N180" s="848"/>
      <c r="O180" s="848"/>
      <c r="P180" s="848"/>
      <c r="Q180" s="848"/>
      <c r="R180" s="848"/>
      <c r="S180" s="848"/>
      <c r="T180" s="848"/>
      <c r="U180" s="848"/>
      <c r="V180" s="848"/>
      <c r="W180" s="848"/>
      <c r="X180" s="849"/>
      <c r="Y180" s="152"/>
      <c r="Z180" s="850" t="s">
        <v>79</v>
      </c>
      <c r="AA180" s="851"/>
      <c r="AB180" s="851"/>
      <c r="AC180" s="851"/>
      <c r="AD180" s="851"/>
      <c r="AE180" s="851"/>
      <c r="AF180" s="851"/>
      <c r="AG180" s="851"/>
      <c r="AH180" s="851"/>
      <c r="AI180" s="851"/>
      <c r="AJ180" s="851"/>
      <c r="AK180" s="851"/>
      <c r="AL180" s="851"/>
      <c r="AM180" s="851"/>
      <c r="AN180" s="851"/>
      <c r="AO180" s="851"/>
      <c r="AP180" s="852"/>
      <c r="AQ180" s="280"/>
      <c r="AR180" s="280"/>
      <c r="AS180" s="280"/>
      <c r="AT180" s="280"/>
      <c r="AU180" s="280"/>
      <c r="AV180" s="280"/>
      <c r="AW180" s="280"/>
      <c r="AX180" s="280"/>
      <c r="AY180" s="280"/>
      <c r="AZ180" s="280"/>
      <c r="BA180" s="280"/>
      <c r="BB180" s="280"/>
      <c r="BC180" s="280"/>
      <c r="BD180" s="280"/>
      <c r="BE180" s="280"/>
      <c r="BF180" s="280"/>
      <c r="BG180" s="280"/>
      <c r="BH180" s="280"/>
      <c r="BI180" s="280"/>
      <c r="BJ180" s="280"/>
      <c r="BK180" s="280"/>
      <c r="BL180" s="280"/>
      <c r="BM180" s="280"/>
      <c r="BN180" s="280"/>
      <c r="BO180" s="280"/>
      <c r="BP180" s="280"/>
      <c r="BQ180" s="280"/>
      <c r="BR180" s="280"/>
      <c r="BS180" s="280"/>
      <c r="BT180" s="280"/>
      <c r="BU180" s="280"/>
      <c r="BV180" s="280"/>
      <c r="BW180" s="280"/>
      <c r="BX180" s="280"/>
      <c r="BY180" s="280"/>
      <c r="BZ180" s="280"/>
      <c r="CA180" s="280"/>
      <c r="CB180" s="280"/>
      <c r="CC180" s="280"/>
      <c r="CD180" s="280"/>
      <c r="CE180" s="280"/>
      <c r="CF180" s="280"/>
      <c r="CG180" s="280"/>
      <c r="CH180" s="280"/>
      <c r="CI180" s="280"/>
      <c r="CJ180" s="280"/>
      <c r="CK180" s="280"/>
      <c r="CL180" s="280"/>
      <c r="CM180" s="280"/>
      <c r="CN180" s="280"/>
      <c r="CO180" s="280"/>
      <c r="CP180" s="280"/>
      <c r="CQ180" s="280"/>
      <c r="CR180" s="280"/>
      <c r="CS180" s="280"/>
      <c r="CT180" s="280"/>
      <c r="CU180" s="280"/>
      <c r="CV180" s="280"/>
      <c r="CW180" s="280"/>
      <c r="CX180" s="280"/>
      <c r="CY180" s="280"/>
      <c r="CZ180" s="280"/>
      <c r="DA180" s="280"/>
      <c r="DB180" s="280"/>
      <c r="DC180" s="280"/>
      <c r="DD180" s="280"/>
      <c r="DE180" s="280"/>
      <c r="DF180" s="280"/>
      <c r="DG180" s="280"/>
      <c r="DH180" s="280"/>
      <c r="DI180" s="280"/>
      <c r="DJ180" s="280"/>
      <c r="DK180" s="280"/>
      <c r="DL180" s="280"/>
      <c r="DM180" s="280"/>
      <c r="DN180" s="280"/>
      <c r="DO180" s="280"/>
      <c r="DP180" s="280"/>
      <c r="DQ180" s="280"/>
      <c r="DR180" s="280"/>
      <c r="DS180" s="280"/>
      <c r="DT180" s="280"/>
      <c r="DU180" s="280"/>
      <c r="DV180" s="280"/>
      <c r="DW180" s="280"/>
      <c r="DX180" s="280"/>
      <c r="DY180" s="280"/>
      <c r="DZ180" s="280"/>
      <c r="EA180" s="280"/>
      <c r="EB180" s="280"/>
      <c r="EC180" s="280"/>
      <c r="ED180" s="280"/>
      <c r="EE180" s="280"/>
      <c r="EF180" s="280"/>
      <c r="EG180" s="280"/>
      <c r="EH180" s="280"/>
      <c r="EI180" s="280"/>
      <c r="EJ180" s="280"/>
      <c r="EK180" s="280"/>
      <c r="EL180" s="280"/>
      <c r="EM180" s="280"/>
      <c r="EN180" s="280"/>
      <c r="EO180" s="280"/>
      <c r="EP180" s="280"/>
      <c r="EQ180" s="280"/>
      <c r="ER180" s="280"/>
      <c r="ES180" s="280"/>
      <c r="ET180" s="280"/>
      <c r="EU180" s="280"/>
      <c r="EV180" s="280"/>
    </row>
    <row r="181" spans="1:152" s="111" customFormat="1" ht="100.5" customHeight="1" x14ac:dyDescent="0.35">
      <c r="A181" s="872"/>
      <c r="B181" s="875"/>
      <c r="C181" s="878"/>
      <c r="D181" s="853" t="s">
        <v>68</v>
      </c>
      <c r="E181" s="856" t="s">
        <v>69</v>
      </c>
      <c r="F181" s="856" t="s">
        <v>36</v>
      </c>
      <c r="G181" s="856" t="s">
        <v>37</v>
      </c>
      <c r="H181" s="853" t="s">
        <v>68</v>
      </c>
      <c r="I181" s="856" t="s">
        <v>69</v>
      </c>
      <c r="J181" s="856" t="s">
        <v>36</v>
      </c>
      <c r="K181" s="856" t="s">
        <v>37</v>
      </c>
      <c r="L181" s="865" t="s">
        <v>196</v>
      </c>
      <c r="M181" s="866"/>
      <c r="N181" s="867" t="s">
        <v>70</v>
      </c>
      <c r="O181" s="868"/>
      <c r="P181" s="865" t="s">
        <v>71</v>
      </c>
      <c r="Q181" s="869"/>
      <c r="R181" s="866"/>
      <c r="S181" s="838" t="s">
        <v>80</v>
      </c>
      <c r="T181" s="838"/>
      <c r="U181" s="838"/>
      <c r="V181" s="838"/>
      <c r="W181" s="838"/>
      <c r="X181" s="832"/>
      <c r="Y181" s="153"/>
      <c r="Z181" s="839" t="s">
        <v>81</v>
      </c>
      <c r="AA181" s="838"/>
      <c r="AB181" s="838"/>
      <c r="AC181" s="840" t="s">
        <v>195</v>
      </c>
      <c r="AD181" s="841"/>
      <c r="AE181" s="862" t="s">
        <v>82</v>
      </c>
      <c r="AF181" s="863"/>
      <c r="AG181" s="862" t="s">
        <v>83</v>
      </c>
      <c r="AH181" s="864"/>
      <c r="AI181" s="864"/>
      <c r="AJ181" s="864"/>
      <c r="AK181" s="864"/>
      <c r="AL181" s="863"/>
      <c r="AM181" s="831" t="s">
        <v>84</v>
      </c>
      <c r="AN181" s="838"/>
      <c r="AO181" s="838"/>
      <c r="AP181" s="832"/>
      <c r="AQ181" s="280"/>
      <c r="AR181" s="280"/>
      <c r="AS181" s="280"/>
      <c r="AT181" s="280"/>
      <c r="AU181" s="280"/>
      <c r="AV181" s="280"/>
      <c r="AW181" s="280"/>
      <c r="AX181" s="280"/>
      <c r="AY181" s="280"/>
      <c r="AZ181" s="280"/>
      <c r="BA181" s="280"/>
      <c r="BB181" s="280"/>
      <c r="BC181" s="280"/>
      <c r="BD181" s="280"/>
      <c r="BE181" s="280"/>
      <c r="BF181" s="280"/>
      <c r="BG181" s="280"/>
      <c r="BH181" s="280"/>
      <c r="BI181" s="280"/>
      <c r="BJ181" s="280"/>
      <c r="BK181" s="280"/>
      <c r="BL181" s="280"/>
      <c r="BM181" s="280"/>
      <c r="BN181" s="280"/>
      <c r="BO181" s="280"/>
      <c r="BP181" s="280"/>
      <c r="BQ181" s="280"/>
      <c r="BR181" s="280"/>
      <c r="BS181" s="280"/>
      <c r="BT181" s="280"/>
      <c r="BU181" s="280"/>
      <c r="BV181" s="280"/>
      <c r="BW181" s="280"/>
      <c r="BX181" s="280"/>
      <c r="BY181" s="280"/>
      <c r="BZ181" s="280"/>
      <c r="CA181" s="280"/>
      <c r="CB181" s="280"/>
      <c r="CC181" s="280"/>
      <c r="CD181" s="280"/>
      <c r="CE181" s="280"/>
      <c r="CF181" s="280"/>
      <c r="CG181" s="280"/>
      <c r="CH181" s="280"/>
      <c r="CI181" s="280"/>
      <c r="CJ181" s="280"/>
      <c r="CK181" s="280"/>
      <c r="CL181" s="280"/>
      <c r="CM181" s="280"/>
      <c r="CN181" s="280"/>
      <c r="CO181" s="280"/>
      <c r="CP181" s="280"/>
      <c r="CQ181" s="280"/>
      <c r="CR181" s="280"/>
      <c r="CS181" s="280"/>
      <c r="CT181" s="280"/>
      <c r="CU181" s="280"/>
      <c r="CV181" s="280"/>
      <c r="CW181" s="280"/>
      <c r="CX181" s="280"/>
      <c r="CY181" s="280"/>
      <c r="CZ181" s="280"/>
      <c r="DA181" s="280"/>
      <c r="DB181" s="280"/>
      <c r="DC181" s="280"/>
      <c r="DD181" s="280"/>
      <c r="DE181" s="280"/>
      <c r="DF181" s="280"/>
      <c r="DG181" s="280"/>
      <c r="DH181" s="280"/>
      <c r="DI181" s="280"/>
      <c r="DJ181" s="280"/>
      <c r="DK181" s="280"/>
      <c r="DL181" s="280"/>
      <c r="DM181" s="280"/>
      <c r="DN181" s="280"/>
      <c r="DO181" s="280"/>
      <c r="DP181" s="280"/>
      <c r="DQ181" s="280"/>
      <c r="DR181" s="280"/>
      <c r="DS181" s="280"/>
      <c r="DT181" s="280"/>
      <c r="DU181" s="280"/>
      <c r="DV181" s="280"/>
      <c r="DW181" s="280"/>
      <c r="DX181" s="280"/>
      <c r="DY181" s="280"/>
      <c r="DZ181" s="280"/>
      <c r="EA181" s="280"/>
      <c r="EB181" s="280"/>
      <c r="EC181" s="280"/>
      <c r="ED181" s="280"/>
      <c r="EE181" s="280"/>
      <c r="EF181" s="280"/>
      <c r="EG181" s="280"/>
      <c r="EH181" s="280"/>
      <c r="EI181" s="280"/>
      <c r="EJ181" s="280"/>
      <c r="EK181" s="280"/>
      <c r="EL181" s="280"/>
      <c r="EM181" s="280"/>
      <c r="EN181" s="280"/>
      <c r="EO181" s="280"/>
      <c r="EP181" s="280"/>
      <c r="EQ181" s="280"/>
      <c r="ER181" s="280"/>
      <c r="ES181" s="280"/>
      <c r="ET181" s="280"/>
      <c r="EU181" s="280"/>
      <c r="EV181" s="280"/>
    </row>
    <row r="182" spans="1:152" s="111" customFormat="1" ht="38.5" customHeight="1" x14ac:dyDescent="0.35">
      <c r="A182" s="872"/>
      <c r="B182" s="875"/>
      <c r="C182" s="878"/>
      <c r="D182" s="854"/>
      <c r="E182" s="857"/>
      <c r="F182" s="857"/>
      <c r="G182" s="857"/>
      <c r="H182" s="854"/>
      <c r="I182" s="857"/>
      <c r="J182" s="857"/>
      <c r="K182" s="857"/>
      <c r="L182" s="856" t="s">
        <v>72</v>
      </c>
      <c r="M182" s="856" t="s">
        <v>73</v>
      </c>
      <c r="N182" s="856" t="s">
        <v>74</v>
      </c>
      <c r="O182" s="856" t="s">
        <v>75</v>
      </c>
      <c r="P182" s="856" t="s">
        <v>76</v>
      </c>
      <c r="Q182" s="856" t="s">
        <v>77</v>
      </c>
      <c r="R182" s="856" t="s">
        <v>78</v>
      </c>
      <c r="S182" s="836" t="s">
        <v>85</v>
      </c>
      <c r="T182" s="842" t="s">
        <v>86</v>
      </c>
      <c r="U182" s="842" t="s">
        <v>87</v>
      </c>
      <c r="V182" s="842" t="s">
        <v>88</v>
      </c>
      <c r="W182" s="831" t="s">
        <v>89</v>
      </c>
      <c r="X182" s="832"/>
      <c r="Y182" s="153"/>
      <c r="Z182" s="844" t="s">
        <v>90</v>
      </c>
      <c r="AA182" s="834" t="s">
        <v>77</v>
      </c>
      <c r="AB182" s="834" t="s">
        <v>76</v>
      </c>
      <c r="AC182" s="834" t="s">
        <v>93</v>
      </c>
      <c r="AD182" s="834" t="s">
        <v>2</v>
      </c>
      <c r="AE182" s="834" t="s">
        <v>93</v>
      </c>
      <c r="AF182" s="834" t="s">
        <v>2</v>
      </c>
      <c r="AG182" s="834" t="s">
        <v>94</v>
      </c>
      <c r="AH182" s="834" t="s">
        <v>95</v>
      </c>
      <c r="AI182" s="834" t="s">
        <v>96</v>
      </c>
      <c r="AJ182" s="834" t="s">
        <v>97</v>
      </c>
      <c r="AK182" s="834" t="s">
        <v>98</v>
      </c>
      <c r="AL182" s="834" t="s">
        <v>99</v>
      </c>
      <c r="AM182" s="831" t="s">
        <v>91</v>
      </c>
      <c r="AN182" s="846"/>
      <c r="AO182" s="831" t="s">
        <v>7</v>
      </c>
      <c r="AP182" s="832"/>
      <c r="AQ182" s="280"/>
      <c r="AR182" s="280"/>
      <c r="AS182" s="280"/>
      <c r="AT182" s="280"/>
      <c r="AU182" s="280"/>
      <c r="AV182" s="280"/>
      <c r="AW182" s="280"/>
      <c r="AX182" s="280"/>
      <c r="AY182" s="280"/>
      <c r="AZ182" s="280"/>
      <c r="BA182" s="280"/>
      <c r="BB182" s="280"/>
      <c r="BC182" s="280"/>
      <c r="BD182" s="280"/>
      <c r="BE182" s="280"/>
      <c r="BF182" s="280"/>
      <c r="BG182" s="280"/>
      <c r="BH182" s="280"/>
      <c r="BI182" s="280"/>
      <c r="BJ182" s="280"/>
      <c r="BK182" s="280"/>
      <c r="BL182" s="280"/>
      <c r="BM182" s="280"/>
      <c r="BN182" s="280"/>
      <c r="BO182" s="280"/>
      <c r="BP182" s="280"/>
      <c r="BQ182" s="280"/>
      <c r="BR182" s="280"/>
      <c r="BS182" s="280"/>
      <c r="BT182" s="280"/>
      <c r="BU182" s="280"/>
      <c r="BV182" s="280"/>
      <c r="BW182" s="280"/>
      <c r="BX182" s="280"/>
      <c r="BY182" s="280"/>
      <c r="BZ182" s="280"/>
      <c r="CA182" s="280"/>
      <c r="CB182" s="280"/>
      <c r="CC182" s="280"/>
      <c r="CD182" s="280"/>
      <c r="CE182" s="280"/>
      <c r="CF182" s="280"/>
      <c r="CG182" s="280"/>
      <c r="CH182" s="280"/>
      <c r="CI182" s="280"/>
      <c r="CJ182" s="280"/>
      <c r="CK182" s="280"/>
      <c r="CL182" s="280"/>
      <c r="CM182" s="280"/>
      <c r="CN182" s="280"/>
      <c r="CO182" s="280"/>
      <c r="CP182" s="280"/>
      <c r="CQ182" s="280"/>
      <c r="CR182" s="280"/>
      <c r="CS182" s="280"/>
      <c r="CT182" s="280"/>
      <c r="CU182" s="280"/>
      <c r="CV182" s="280"/>
      <c r="CW182" s="280"/>
      <c r="CX182" s="280"/>
      <c r="CY182" s="280"/>
      <c r="CZ182" s="280"/>
      <c r="DA182" s="280"/>
      <c r="DB182" s="280"/>
      <c r="DC182" s="280"/>
      <c r="DD182" s="280"/>
      <c r="DE182" s="280"/>
      <c r="DF182" s="280"/>
      <c r="DG182" s="280"/>
      <c r="DH182" s="280"/>
      <c r="DI182" s="280"/>
      <c r="DJ182" s="280"/>
      <c r="DK182" s="280"/>
      <c r="DL182" s="280"/>
      <c r="DM182" s="280"/>
      <c r="DN182" s="280"/>
      <c r="DO182" s="280"/>
      <c r="DP182" s="280"/>
      <c r="DQ182" s="280"/>
      <c r="DR182" s="280"/>
      <c r="DS182" s="280"/>
      <c r="DT182" s="280"/>
      <c r="DU182" s="280"/>
      <c r="DV182" s="280"/>
      <c r="DW182" s="280"/>
      <c r="DX182" s="280"/>
      <c r="DY182" s="280"/>
      <c r="DZ182" s="280"/>
      <c r="EA182" s="280"/>
      <c r="EB182" s="280"/>
      <c r="EC182" s="280"/>
      <c r="ED182" s="280"/>
      <c r="EE182" s="280"/>
      <c r="EF182" s="280"/>
      <c r="EG182" s="280"/>
      <c r="EH182" s="280"/>
      <c r="EI182" s="280"/>
      <c r="EJ182" s="280"/>
      <c r="EK182" s="280"/>
      <c r="EL182" s="280"/>
      <c r="EM182" s="280"/>
      <c r="EN182" s="280"/>
      <c r="EO182" s="280"/>
      <c r="EP182" s="280"/>
      <c r="EQ182" s="280"/>
      <c r="ER182" s="280"/>
      <c r="ES182" s="280"/>
      <c r="ET182" s="280"/>
      <c r="EU182" s="280"/>
      <c r="EV182" s="280"/>
    </row>
    <row r="183" spans="1:152" s="111" customFormat="1" ht="38.5" customHeight="1" x14ac:dyDescent="0.35">
      <c r="A183" s="873"/>
      <c r="B183" s="876"/>
      <c r="C183" s="879"/>
      <c r="D183" s="855"/>
      <c r="E183" s="858"/>
      <c r="F183" s="858"/>
      <c r="G183" s="858"/>
      <c r="H183" s="855"/>
      <c r="I183" s="858"/>
      <c r="J183" s="858"/>
      <c r="K183" s="858"/>
      <c r="L183" s="858"/>
      <c r="M183" s="858"/>
      <c r="N183" s="858"/>
      <c r="O183" s="858"/>
      <c r="P183" s="858"/>
      <c r="Q183" s="858"/>
      <c r="R183" s="858"/>
      <c r="S183" s="837"/>
      <c r="T183" s="843"/>
      <c r="U183" s="843"/>
      <c r="V183" s="843"/>
      <c r="W183" s="162" t="s">
        <v>76</v>
      </c>
      <c r="X183" s="163" t="s">
        <v>92</v>
      </c>
      <c r="Y183" s="153"/>
      <c r="Z183" s="845"/>
      <c r="AA183" s="835"/>
      <c r="AB183" s="835"/>
      <c r="AC183" s="835"/>
      <c r="AD183" s="835"/>
      <c r="AE183" s="835"/>
      <c r="AF183" s="835"/>
      <c r="AG183" s="835"/>
      <c r="AH183" s="835"/>
      <c r="AI183" s="835"/>
      <c r="AJ183" s="835"/>
      <c r="AK183" s="835"/>
      <c r="AL183" s="835"/>
      <c r="AM183" s="162" t="s">
        <v>100</v>
      </c>
      <c r="AN183" s="162" t="s">
        <v>101</v>
      </c>
      <c r="AO183" s="162" t="s">
        <v>100</v>
      </c>
      <c r="AP183" s="163" t="s">
        <v>101</v>
      </c>
      <c r="AQ183" s="280"/>
      <c r="AR183" s="280"/>
      <c r="AS183" s="280"/>
      <c r="AT183" s="280"/>
      <c r="AU183" s="280"/>
      <c r="AV183" s="280"/>
      <c r="AW183" s="280"/>
      <c r="AX183" s="280"/>
      <c r="AY183" s="280"/>
      <c r="AZ183" s="280"/>
      <c r="BA183" s="280"/>
      <c r="BB183" s="280"/>
      <c r="BC183" s="280"/>
      <c r="BD183" s="280"/>
      <c r="BE183" s="280"/>
      <c r="BF183" s="280"/>
      <c r="BG183" s="280"/>
      <c r="BH183" s="280"/>
      <c r="BI183" s="280"/>
      <c r="BJ183" s="280"/>
      <c r="BK183" s="280"/>
      <c r="BL183" s="280"/>
      <c r="BM183" s="280"/>
      <c r="BN183" s="280"/>
      <c r="BO183" s="280"/>
      <c r="BP183" s="280"/>
      <c r="BQ183" s="280"/>
      <c r="BR183" s="280"/>
      <c r="BS183" s="280"/>
      <c r="BT183" s="280"/>
      <c r="BU183" s="280"/>
      <c r="BV183" s="280"/>
      <c r="BW183" s="280"/>
      <c r="BX183" s="280"/>
      <c r="BY183" s="280"/>
      <c r="BZ183" s="280"/>
      <c r="CA183" s="280"/>
      <c r="CB183" s="280"/>
      <c r="CC183" s="280"/>
      <c r="CD183" s="280"/>
      <c r="CE183" s="280"/>
      <c r="CF183" s="280"/>
      <c r="CG183" s="280"/>
      <c r="CH183" s="280"/>
      <c r="CI183" s="280"/>
      <c r="CJ183" s="280"/>
      <c r="CK183" s="280"/>
      <c r="CL183" s="280"/>
      <c r="CM183" s="280"/>
      <c r="CN183" s="280"/>
      <c r="CO183" s="280"/>
      <c r="CP183" s="280"/>
      <c r="CQ183" s="280"/>
      <c r="CR183" s="280"/>
      <c r="CS183" s="280"/>
      <c r="CT183" s="280"/>
      <c r="CU183" s="280"/>
      <c r="CV183" s="280"/>
      <c r="CW183" s="280"/>
      <c r="CX183" s="280"/>
      <c r="CY183" s="280"/>
      <c r="CZ183" s="280"/>
      <c r="DA183" s="280"/>
      <c r="DB183" s="280"/>
      <c r="DC183" s="280"/>
      <c r="DD183" s="280"/>
      <c r="DE183" s="280"/>
      <c r="DF183" s="280"/>
      <c r="DG183" s="280"/>
      <c r="DH183" s="280"/>
      <c r="DI183" s="280"/>
      <c r="DJ183" s="280"/>
      <c r="DK183" s="280"/>
      <c r="DL183" s="280"/>
      <c r="DM183" s="280"/>
      <c r="DN183" s="280"/>
      <c r="DO183" s="280"/>
      <c r="DP183" s="280"/>
      <c r="DQ183" s="280"/>
      <c r="DR183" s="280"/>
      <c r="DS183" s="280"/>
      <c r="DT183" s="280"/>
      <c r="DU183" s="280"/>
      <c r="DV183" s="280"/>
      <c r="DW183" s="280"/>
      <c r="DX183" s="280"/>
      <c r="DY183" s="280"/>
      <c r="DZ183" s="280"/>
      <c r="EA183" s="280"/>
      <c r="EB183" s="280"/>
      <c r="EC183" s="280"/>
      <c r="ED183" s="280"/>
      <c r="EE183" s="280"/>
      <c r="EF183" s="280"/>
      <c r="EG183" s="280"/>
      <c r="EH183" s="280"/>
      <c r="EI183" s="280"/>
      <c r="EJ183" s="280"/>
      <c r="EK183" s="280"/>
      <c r="EL183" s="280"/>
      <c r="EM183" s="280"/>
      <c r="EN183" s="280"/>
      <c r="EO183" s="280"/>
      <c r="EP183" s="280"/>
      <c r="EQ183" s="280"/>
      <c r="ER183" s="280"/>
      <c r="ES183" s="280"/>
      <c r="ET183" s="280"/>
      <c r="EU183" s="280"/>
      <c r="EV183" s="280"/>
    </row>
    <row r="184" spans="1:152" ht="20.149999999999999" customHeight="1" x14ac:dyDescent="0.35">
      <c r="A184" s="164">
        <v>1</v>
      </c>
      <c r="B184" s="99" t="str">
        <f>PETUNJUK!B9</f>
        <v>Pecangaan Kulon</v>
      </c>
      <c r="C184" s="80">
        <f>'1.DATA KIA'!C179</f>
        <v>101.2</v>
      </c>
      <c r="D184" s="132">
        <f>F149</f>
        <v>30</v>
      </c>
      <c r="E184" s="91">
        <f>'1.DATA KIA'!F179</f>
        <v>0</v>
      </c>
      <c r="F184" s="132">
        <f>D184+E184</f>
        <v>30</v>
      </c>
      <c r="G184" s="133">
        <f>F184/C184*100</f>
        <v>29.644268774703558</v>
      </c>
      <c r="H184" s="132">
        <f>J149</f>
        <v>29</v>
      </c>
      <c r="I184" s="91">
        <f>'1.DATA KIA'!AB179+'1.DATA KIA'!AE179</f>
        <v>0</v>
      </c>
      <c r="J184" s="132">
        <f>H184+I184</f>
        <v>29</v>
      </c>
      <c r="K184" s="133">
        <f>J184/C184*100</f>
        <v>28.656126482213441</v>
      </c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54"/>
      <c r="Z184" s="168"/>
      <c r="AA184" s="134"/>
      <c r="AB184" s="134"/>
      <c r="AC184" s="134"/>
      <c r="AD184" s="134"/>
      <c r="AE184" s="134"/>
      <c r="AF184" s="134"/>
      <c r="AG184" s="134"/>
      <c r="AH184" s="134"/>
      <c r="AI184" s="134"/>
      <c r="AJ184" s="134"/>
      <c r="AK184" s="134"/>
      <c r="AL184" s="134"/>
      <c r="AM184" s="134"/>
      <c r="AN184" s="134"/>
      <c r="AO184" s="134"/>
      <c r="AP184" s="165"/>
    </row>
    <row r="185" spans="1:152" ht="20.149999999999999" customHeight="1" x14ac:dyDescent="0.35">
      <c r="A185" s="166">
        <v>2</v>
      </c>
      <c r="B185" s="100" t="str">
        <f>PETUNJUK!B10</f>
        <v>Rengging</v>
      </c>
      <c r="C185" s="80">
        <f>'1.DATA KIA'!C180</f>
        <v>111.10000000000001</v>
      </c>
      <c r="D185" s="132">
        <f t="shared" ref="D185:D205" si="78">F150</f>
        <v>54</v>
      </c>
      <c r="E185" s="91">
        <f>'1.DATA KIA'!F180</f>
        <v>0</v>
      </c>
      <c r="F185" s="132">
        <f t="shared" ref="F185:F205" si="79">D185+E185</f>
        <v>54</v>
      </c>
      <c r="G185" s="133">
        <f t="shared" ref="G185:G205" si="80">F185/C185*100</f>
        <v>48.604860486048601</v>
      </c>
      <c r="H185" s="132">
        <f t="shared" ref="H185:H205" si="81">J150</f>
        <v>34</v>
      </c>
      <c r="I185" s="91">
        <f>'1.DATA KIA'!AB180+'1.DATA KIA'!AE180</f>
        <v>0</v>
      </c>
      <c r="J185" s="132">
        <f t="shared" ref="J185:J205" si="82">H185+I185</f>
        <v>34</v>
      </c>
      <c r="K185" s="133">
        <f t="shared" ref="K185:K205" si="83">J185/C185*100</f>
        <v>30.603060306030599</v>
      </c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54"/>
      <c r="Z185" s="168"/>
      <c r="AA185" s="134"/>
      <c r="AB185" s="134"/>
      <c r="AC185" s="134"/>
      <c r="AD185" s="134"/>
      <c r="AE185" s="134"/>
      <c r="AF185" s="134"/>
      <c r="AG185" s="134"/>
      <c r="AH185" s="134"/>
      <c r="AI185" s="134"/>
      <c r="AJ185" s="134"/>
      <c r="AK185" s="134"/>
      <c r="AL185" s="134"/>
      <c r="AM185" s="134"/>
      <c r="AN185" s="134"/>
      <c r="AO185" s="134"/>
      <c r="AP185" s="165"/>
    </row>
    <row r="186" spans="1:152" ht="20.149999999999999" customHeight="1" x14ac:dyDescent="0.35">
      <c r="A186" s="166">
        <v>3</v>
      </c>
      <c r="B186" s="100" t="str">
        <f>PETUNJUK!B11</f>
        <v>Troso</v>
      </c>
      <c r="C186" s="80">
        <f>'1.DATA KIA'!C181</f>
        <v>205.70000000000002</v>
      </c>
      <c r="D186" s="132">
        <f t="shared" si="78"/>
        <v>78</v>
      </c>
      <c r="E186" s="91">
        <f>'1.DATA KIA'!F181</f>
        <v>0</v>
      </c>
      <c r="F186" s="132">
        <f t="shared" si="79"/>
        <v>78</v>
      </c>
      <c r="G186" s="133">
        <f t="shared" si="80"/>
        <v>37.919299951385511</v>
      </c>
      <c r="H186" s="132">
        <f t="shared" si="81"/>
        <v>60</v>
      </c>
      <c r="I186" s="91">
        <f>'1.DATA KIA'!AB181+'1.DATA KIA'!AE181</f>
        <v>0</v>
      </c>
      <c r="J186" s="132">
        <f t="shared" si="82"/>
        <v>60</v>
      </c>
      <c r="K186" s="133">
        <f t="shared" si="83"/>
        <v>29.168692270296546</v>
      </c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54"/>
      <c r="Z186" s="168"/>
      <c r="AA186" s="134"/>
      <c r="AB186" s="134"/>
      <c r="AC186" s="134"/>
      <c r="AD186" s="134"/>
      <c r="AE186" s="134"/>
      <c r="AF186" s="134"/>
      <c r="AG186" s="134"/>
      <c r="AH186" s="134"/>
      <c r="AI186" s="134"/>
      <c r="AJ186" s="134"/>
      <c r="AK186" s="134"/>
      <c r="AL186" s="134"/>
      <c r="AM186" s="134"/>
      <c r="AN186" s="134"/>
      <c r="AO186" s="134"/>
      <c r="AP186" s="165"/>
    </row>
    <row r="187" spans="1:152" ht="20.149999999999999" customHeight="1" x14ac:dyDescent="0.35">
      <c r="A187" s="166">
        <v>4</v>
      </c>
      <c r="B187" s="100" t="str">
        <f>PETUNJUK!B12</f>
        <v>Ngeling</v>
      </c>
      <c r="C187" s="80">
        <f>'1.DATA KIA'!C182</f>
        <v>95.7</v>
      </c>
      <c r="D187" s="132">
        <f t="shared" si="78"/>
        <v>30</v>
      </c>
      <c r="E187" s="91">
        <f>'1.DATA KIA'!F182</f>
        <v>0</v>
      </c>
      <c r="F187" s="132">
        <f t="shared" si="79"/>
        <v>30</v>
      </c>
      <c r="G187" s="133">
        <f t="shared" si="80"/>
        <v>31.347962382445139</v>
      </c>
      <c r="H187" s="132">
        <f t="shared" si="81"/>
        <v>28</v>
      </c>
      <c r="I187" s="91">
        <f>'1.DATA KIA'!AB182+'1.DATA KIA'!AE182</f>
        <v>0</v>
      </c>
      <c r="J187" s="132">
        <f t="shared" si="82"/>
        <v>28</v>
      </c>
      <c r="K187" s="133">
        <f t="shared" si="83"/>
        <v>29.258098223615463</v>
      </c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54"/>
      <c r="Z187" s="168"/>
      <c r="AA187" s="134"/>
      <c r="AB187" s="134"/>
      <c r="AC187" s="134"/>
      <c r="AD187" s="134"/>
      <c r="AE187" s="134"/>
      <c r="AF187" s="134"/>
      <c r="AG187" s="134"/>
      <c r="AH187" s="134"/>
      <c r="AI187" s="134"/>
      <c r="AJ187" s="134"/>
      <c r="AK187" s="134"/>
      <c r="AL187" s="134"/>
      <c r="AM187" s="134"/>
      <c r="AN187" s="134"/>
      <c r="AO187" s="134"/>
      <c r="AP187" s="165"/>
    </row>
    <row r="188" spans="1:152" ht="20.149999999999999" customHeight="1" x14ac:dyDescent="0.35">
      <c r="A188" s="166">
        <v>5</v>
      </c>
      <c r="B188" s="100" t="str">
        <f>PETUNJUK!B13</f>
        <v>Lebuawu</v>
      </c>
      <c r="C188" s="80">
        <f>'1.DATA KIA'!C183</f>
        <v>85.800000000000011</v>
      </c>
      <c r="D188" s="132">
        <f t="shared" si="78"/>
        <v>33</v>
      </c>
      <c r="E188" s="91">
        <f>'1.DATA KIA'!F183</f>
        <v>0</v>
      </c>
      <c r="F188" s="132">
        <f t="shared" si="79"/>
        <v>33</v>
      </c>
      <c r="G188" s="133">
        <f t="shared" si="80"/>
        <v>38.46153846153846</v>
      </c>
      <c r="H188" s="132">
        <f t="shared" si="81"/>
        <v>23</v>
      </c>
      <c r="I188" s="91">
        <f>'1.DATA KIA'!AB183+'1.DATA KIA'!AE183</f>
        <v>0</v>
      </c>
      <c r="J188" s="132">
        <f t="shared" si="82"/>
        <v>23</v>
      </c>
      <c r="K188" s="133">
        <f t="shared" si="83"/>
        <v>26.806526806526804</v>
      </c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54"/>
      <c r="Z188" s="168"/>
      <c r="AA188" s="134"/>
      <c r="AB188" s="134"/>
      <c r="AC188" s="134"/>
      <c r="AD188" s="134"/>
      <c r="AE188" s="134"/>
      <c r="AF188" s="134"/>
      <c r="AG188" s="134"/>
      <c r="AH188" s="134"/>
      <c r="AI188" s="134"/>
      <c r="AJ188" s="134"/>
      <c r="AK188" s="134"/>
      <c r="AL188" s="134"/>
      <c r="AM188" s="134"/>
      <c r="AN188" s="134"/>
      <c r="AO188" s="134"/>
      <c r="AP188" s="165"/>
    </row>
    <row r="189" spans="1:152" ht="20.149999999999999" customHeight="1" x14ac:dyDescent="0.35">
      <c r="A189" s="166">
        <v>6</v>
      </c>
      <c r="B189" s="100" t="str">
        <f>PETUNJUK!B14</f>
        <v>Pulodarat</v>
      </c>
      <c r="C189" s="80">
        <f>'1.DATA KIA'!C184</f>
        <v>82.5</v>
      </c>
      <c r="D189" s="132">
        <f t="shared" si="78"/>
        <v>18</v>
      </c>
      <c r="E189" s="91">
        <f>'1.DATA KIA'!F184</f>
        <v>0</v>
      </c>
      <c r="F189" s="132">
        <f t="shared" si="79"/>
        <v>18</v>
      </c>
      <c r="G189" s="133">
        <f t="shared" si="80"/>
        <v>21.818181818181817</v>
      </c>
      <c r="H189" s="132">
        <f t="shared" si="81"/>
        <v>17</v>
      </c>
      <c r="I189" s="91">
        <f>'1.DATA KIA'!AB184+'1.DATA KIA'!AE184</f>
        <v>0</v>
      </c>
      <c r="J189" s="132">
        <f t="shared" si="82"/>
        <v>17</v>
      </c>
      <c r="K189" s="133">
        <f t="shared" si="83"/>
        <v>20.606060606060606</v>
      </c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54"/>
      <c r="Z189" s="168"/>
      <c r="AA189" s="134"/>
      <c r="AB189" s="134"/>
      <c r="AC189" s="134"/>
      <c r="AD189" s="134"/>
      <c r="AE189" s="134"/>
      <c r="AF189" s="134"/>
      <c r="AG189" s="134"/>
      <c r="AH189" s="134"/>
      <c r="AI189" s="134"/>
      <c r="AJ189" s="134"/>
      <c r="AK189" s="134"/>
      <c r="AL189" s="134"/>
      <c r="AM189" s="134"/>
      <c r="AN189" s="134"/>
      <c r="AO189" s="134"/>
      <c r="AP189" s="165"/>
    </row>
    <row r="190" spans="1:152" ht="20.149999999999999" customHeight="1" x14ac:dyDescent="0.35">
      <c r="A190" s="166">
        <v>7</v>
      </c>
      <c r="B190" s="100" t="str">
        <f>PETUNJUK!B15</f>
        <v>Karangrandu</v>
      </c>
      <c r="C190" s="80">
        <f>'1.DATA KIA'!C185</f>
        <v>93.500000000000014</v>
      </c>
      <c r="D190" s="132">
        <f t="shared" si="78"/>
        <v>31</v>
      </c>
      <c r="E190" s="91">
        <f>'1.DATA KIA'!F185</f>
        <v>0</v>
      </c>
      <c r="F190" s="132">
        <f t="shared" si="79"/>
        <v>31</v>
      </c>
      <c r="G190" s="133">
        <f t="shared" si="80"/>
        <v>33.155080213903737</v>
      </c>
      <c r="H190" s="132">
        <f t="shared" si="81"/>
        <v>27</v>
      </c>
      <c r="I190" s="91">
        <f>'1.DATA KIA'!AB185+'1.DATA KIA'!AE185</f>
        <v>0</v>
      </c>
      <c r="J190" s="132">
        <f t="shared" si="82"/>
        <v>27</v>
      </c>
      <c r="K190" s="133">
        <f t="shared" si="83"/>
        <v>28.877005347593578</v>
      </c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54"/>
      <c r="Z190" s="168"/>
      <c r="AA190" s="134"/>
      <c r="AB190" s="134"/>
      <c r="AC190" s="134"/>
      <c r="AD190" s="134"/>
      <c r="AE190" s="134"/>
      <c r="AF190" s="134"/>
      <c r="AG190" s="134"/>
      <c r="AH190" s="134"/>
      <c r="AI190" s="134"/>
      <c r="AJ190" s="134"/>
      <c r="AK190" s="134"/>
      <c r="AL190" s="134"/>
      <c r="AM190" s="134"/>
      <c r="AN190" s="134"/>
      <c r="AO190" s="134"/>
      <c r="AP190" s="165"/>
    </row>
    <row r="191" spans="1:152" ht="20.149999999999999" customHeight="1" x14ac:dyDescent="0.35">
      <c r="A191" s="166">
        <v>8</v>
      </c>
      <c r="B191" s="100" t="str">
        <f>PETUNJUK!B16</f>
        <v>Kaliombo</v>
      </c>
      <c r="C191" s="80">
        <f>'1.DATA KIA'!C186</f>
        <v>46.2</v>
      </c>
      <c r="D191" s="132">
        <f t="shared" si="78"/>
        <v>13</v>
      </c>
      <c r="E191" s="91">
        <f>'1.DATA KIA'!F186</f>
        <v>0</v>
      </c>
      <c r="F191" s="132">
        <f t="shared" si="79"/>
        <v>13</v>
      </c>
      <c r="G191" s="133">
        <f t="shared" si="80"/>
        <v>28.138528138528134</v>
      </c>
      <c r="H191" s="132">
        <f t="shared" si="81"/>
        <v>13</v>
      </c>
      <c r="I191" s="91">
        <f>'1.DATA KIA'!AB186+'1.DATA KIA'!AE186</f>
        <v>0</v>
      </c>
      <c r="J191" s="132">
        <f t="shared" si="82"/>
        <v>13</v>
      </c>
      <c r="K191" s="133">
        <f t="shared" si="83"/>
        <v>28.138528138528134</v>
      </c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54"/>
      <c r="Z191" s="168"/>
      <c r="AA191" s="134"/>
      <c r="AB191" s="134"/>
      <c r="AC191" s="134"/>
      <c r="AD191" s="134"/>
      <c r="AE191" s="134"/>
      <c r="AF191" s="134"/>
      <c r="AG191" s="134"/>
      <c r="AH191" s="134"/>
      <c r="AI191" s="134"/>
      <c r="AJ191" s="134"/>
      <c r="AK191" s="134"/>
      <c r="AL191" s="134"/>
      <c r="AM191" s="134"/>
      <c r="AN191" s="134"/>
      <c r="AO191" s="134"/>
      <c r="AP191" s="165"/>
    </row>
    <row r="192" spans="1:152" ht="20.149999999999999" customHeight="1" x14ac:dyDescent="0.35">
      <c r="A192" s="166">
        <v>9</v>
      </c>
      <c r="B192" s="100" t="str">
        <f>PETUNJUK!B17</f>
        <v>Gemulung</v>
      </c>
      <c r="C192" s="80">
        <f>'1.DATA KIA'!C187</f>
        <v>53.900000000000006</v>
      </c>
      <c r="D192" s="132">
        <f t="shared" si="78"/>
        <v>19</v>
      </c>
      <c r="E192" s="91">
        <f>'1.DATA KIA'!F187</f>
        <v>0</v>
      </c>
      <c r="F192" s="132">
        <f t="shared" si="79"/>
        <v>19</v>
      </c>
      <c r="G192" s="133">
        <f t="shared" si="80"/>
        <v>35.250463821892389</v>
      </c>
      <c r="H192" s="132">
        <f t="shared" si="81"/>
        <v>20</v>
      </c>
      <c r="I192" s="91">
        <f>'1.DATA KIA'!AB187+'1.DATA KIA'!AE187</f>
        <v>0</v>
      </c>
      <c r="J192" s="132">
        <f t="shared" si="82"/>
        <v>20</v>
      </c>
      <c r="K192" s="133">
        <f t="shared" si="83"/>
        <v>37.105751391465674</v>
      </c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54"/>
      <c r="Z192" s="168"/>
      <c r="AA192" s="134"/>
      <c r="AB192" s="134"/>
      <c r="AC192" s="134"/>
      <c r="AD192" s="134"/>
      <c r="AE192" s="134"/>
      <c r="AF192" s="134"/>
      <c r="AG192" s="134"/>
      <c r="AH192" s="134"/>
      <c r="AI192" s="134"/>
      <c r="AJ192" s="134"/>
      <c r="AK192" s="134"/>
      <c r="AL192" s="134"/>
      <c r="AM192" s="134"/>
      <c r="AN192" s="134"/>
      <c r="AO192" s="134"/>
      <c r="AP192" s="165"/>
    </row>
    <row r="193" spans="1:42" ht="20.149999999999999" customHeight="1" x14ac:dyDescent="0.35">
      <c r="A193" s="166">
        <v>10</v>
      </c>
      <c r="B193" s="100" t="str">
        <f>PETUNJUK!B18</f>
        <v>Pecangaan Wetan</v>
      </c>
      <c r="C193" s="80">
        <f>'1.DATA KIA'!C188</f>
        <v>50.6</v>
      </c>
      <c r="D193" s="132">
        <f t="shared" si="78"/>
        <v>15</v>
      </c>
      <c r="E193" s="91">
        <f>'1.DATA KIA'!F188</f>
        <v>0</v>
      </c>
      <c r="F193" s="132">
        <f t="shared" si="79"/>
        <v>15</v>
      </c>
      <c r="G193" s="133">
        <f t="shared" si="80"/>
        <v>29.644268774703558</v>
      </c>
      <c r="H193" s="132">
        <f t="shared" si="81"/>
        <v>13</v>
      </c>
      <c r="I193" s="91">
        <f>'1.DATA KIA'!AB188+'1.DATA KIA'!AE188</f>
        <v>0</v>
      </c>
      <c r="J193" s="132">
        <f t="shared" si="82"/>
        <v>13</v>
      </c>
      <c r="K193" s="133">
        <f t="shared" si="83"/>
        <v>25.691699604743086</v>
      </c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54"/>
      <c r="Z193" s="168"/>
      <c r="AA193" s="134"/>
      <c r="AB193" s="134"/>
      <c r="AC193" s="134"/>
      <c r="AD193" s="134"/>
      <c r="AE193" s="134"/>
      <c r="AF193" s="134"/>
      <c r="AG193" s="134"/>
      <c r="AH193" s="134"/>
      <c r="AI193" s="134"/>
      <c r="AJ193" s="134"/>
      <c r="AK193" s="134"/>
      <c r="AL193" s="134"/>
      <c r="AM193" s="134"/>
      <c r="AN193" s="134"/>
      <c r="AO193" s="134"/>
      <c r="AP193" s="165"/>
    </row>
    <row r="194" spans="1:42" ht="20.149999999999999" customHeight="1" x14ac:dyDescent="0.35">
      <c r="A194" s="166">
        <v>11</v>
      </c>
      <c r="B194" s="100" t="str">
        <f>PETUNJUK!B19</f>
        <v>Krasak</v>
      </c>
      <c r="C194" s="80">
        <f>'1.DATA KIA'!C189</f>
        <v>117.7</v>
      </c>
      <c r="D194" s="132">
        <f t="shared" si="78"/>
        <v>45</v>
      </c>
      <c r="E194" s="91">
        <f>'1.DATA KIA'!F189</f>
        <v>0</v>
      </c>
      <c r="F194" s="132">
        <f t="shared" si="79"/>
        <v>45</v>
      </c>
      <c r="G194" s="133">
        <f t="shared" si="80"/>
        <v>38.232795242141037</v>
      </c>
      <c r="H194" s="132">
        <f t="shared" si="81"/>
        <v>29</v>
      </c>
      <c r="I194" s="91">
        <f>'1.DATA KIA'!AB189+'1.DATA KIA'!AE189</f>
        <v>0</v>
      </c>
      <c r="J194" s="132">
        <f t="shared" si="82"/>
        <v>29</v>
      </c>
      <c r="K194" s="133">
        <f t="shared" si="83"/>
        <v>24.638912489379777</v>
      </c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54"/>
      <c r="Z194" s="168"/>
      <c r="AA194" s="134"/>
      <c r="AB194" s="134"/>
      <c r="AC194" s="134"/>
      <c r="AD194" s="134"/>
      <c r="AE194" s="134"/>
      <c r="AF194" s="134"/>
      <c r="AG194" s="134"/>
      <c r="AH194" s="134"/>
      <c r="AI194" s="134"/>
      <c r="AJ194" s="134"/>
      <c r="AK194" s="134"/>
      <c r="AL194" s="134"/>
      <c r="AM194" s="134"/>
      <c r="AN194" s="134"/>
      <c r="AO194" s="134"/>
      <c r="AP194" s="165"/>
    </row>
    <row r="195" spans="1:42" ht="20.149999999999999" customHeight="1" x14ac:dyDescent="0.35">
      <c r="A195" s="166">
        <v>12</v>
      </c>
      <c r="B195" s="100" t="str">
        <f>PETUNJUK!B20</f>
        <v>Gerdu</v>
      </c>
      <c r="C195" s="80">
        <f>'1.DATA KIA'!C190</f>
        <v>23.1</v>
      </c>
      <c r="D195" s="299">
        <f t="shared" si="78"/>
        <v>8</v>
      </c>
      <c r="E195" s="91">
        <f>'1.DATA KIA'!F190</f>
        <v>0</v>
      </c>
      <c r="F195" s="299">
        <f t="shared" si="79"/>
        <v>8</v>
      </c>
      <c r="G195" s="133">
        <f t="shared" si="80"/>
        <v>34.632034632034632</v>
      </c>
      <c r="H195" s="132">
        <f t="shared" si="81"/>
        <v>5</v>
      </c>
      <c r="I195" s="91">
        <f>'1.DATA KIA'!AB190+'1.DATA KIA'!AE190</f>
        <v>0</v>
      </c>
      <c r="J195" s="132">
        <f t="shared" si="82"/>
        <v>5</v>
      </c>
      <c r="K195" s="133">
        <f t="shared" si="83"/>
        <v>21.645021645021643</v>
      </c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54"/>
      <c r="Z195" s="168"/>
      <c r="AA195" s="134"/>
      <c r="AB195" s="134"/>
      <c r="AC195" s="134"/>
      <c r="AD195" s="134"/>
      <c r="AE195" s="134"/>
      <c r="AF195" s="134"/>
      <c r="AG195" s="134"/>
      <c r="AH195" s="134"/>
      <c r="AI195" s="134"/>
      <c r="AJ195" s="134"/>
      <c r="AK195" s="134"/>
      <c r="AL195" s="134"/>
      <c r="AM195" s="134"/>
      <c r="AN195" s="134"/>
      <c r="AO195" s="134"/>
      <c r="AP195" s="165"/>
    </row>
    <row r="196" spans="1:42" ht="20.149999999999999" customHeight="1" x14ac:dyDescent="0.35">
      <c r="A196" s="166">
        <v>13</v>
      </c>
      <c r="B196" s="100">
        <f>PETUNJUK!B21</f>
        <v>0</v>
      </c>
      <c r="C196" s="80">
        <f>'1.DATA KIA'!C191</f>
        <v>0</v>
      </c>
      <c r="D196" s="132">
        <f t="shared" si="78"/>
        <v>0</v>
      </c>
      <c r="E196" s="91">
        <f>'1.DATA KIA'!F191</f>
        <v>0</v>
      </c>
      <c r="F196" s="132">
        <f t="shared" si="79"/>
        <v>0</v>
      </c>
      <c r="G196" s="133" t="e">
        <f t="shared" si="80"/>
        <v>#DIV/0!</v>
      </c>
      <c r="H196" s="132">
        <f t="shared" si="81"/>
        <v>0</v>
      </c>
      <c r="I196" s="91">
        <f>'1.DATA KIA'!AB191+'1.DATA KIA'!AE191</f>
        <v>0</v>
      </c>
      <c r="J196" s="132">
        <f t="shared" si="82"/>
        <v>0</v>
      </c>
      <c r="K196" s="133" t="e">
        <f t="shared" si="83"/>
        <v>#DIV/0!</v>
      </c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54"/>
      <c r="Z196" s="168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4"/>
      <c r="AK196" s="134"/>
      <c r="AL196" s="134"/>
      <c r="AM196" s="134"/>
      <c r="AN196" s="134"/>
      <c r="AO196" s="134"/>
      <c r="AP196" s="165"/>
    </row>
    <row r="197" spans="1:42" ht="20.149999999999999" customHeight="1" x14ac:dyDescent="0.35">
      <c r="A197" s="166">
        <v>14</v>
      </c>
      <c r="B197" s="100">
        <f>PETUNJUK!B22</f>
        <v>0</v>
      </c>
      <c r="C197" s="80">
        <f>'1.DATA KIA'!C192</f>
        <v>0</v>
      </c>
      <c r="D197" s="132">
        <f t="shared" si="78"/>
        <v>0</v>
      </c>
      <c r="E197" s="91">
        <f>'1.DATA KIA'!F192</f>
        <v>0</v>
      </c>
      <c r="F197" s="132">
        <f t="shared" si="79"/>
        <v>0</v>
      </c>
      <c r="G197" s="133" t="e">
        <f t="shared" si="80"/>
        <v>#DIV/0!</v>
      </c>
      <c r="H197" s="132">
        <f t="shared" si="81"/>
        <v>0</v>
      </c>
      <c r="I197" s="91">
        <f>'1.DATA KIA'!AB192+'1.DATA KIA'!AE192</f>
        <v>0</v>
      </c>
      <c r="J197" s="132">
        <f t="shared" si="82"/>
        <v>0</v>
      </c>
      <c r="K197" s="133" t="e">
        <f t="shared" si="83"/>
        <v>#DIV/0!</v>
      </c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54"/>
      <c r="Z197" s="168"/>
      <c r="AA197" s="134"/>
      <c r="AB197" s="134"/>
      <c r="AC197" s="134"/>
      <c r="AD197" s="134"/>
      <c r="AE197" s="134"/>
      <c r="AF197" s="134"/>
      <c r="AG197" s="134"/>
      <c r="AH197" s="134"/>
      <c r="AI197" s="134"/>
      <c r="AJ197" s="134"/>
      <c r="AK197" s="134"/>
      <c r="AL197" s="134"/>
      <c r="AM197" s="134"/>
      <c r="AN197" s="134"/>
      <c r="AO197" s="134"/>
      <c r="AP197" s="165"/>
    </row>
    <row r="198" spans="1:42" ht="20.149999999999999" customHeight="1" x14ac:dyDescent="0.35">
      <c r="A198" s="166">
        <v>15</v>
      </c>
      <c r="B198" s="100">
        <f>PETUNJUK!B23</f>
        <v>0</v>
      </c>
      <c r="C198" s="80">
        <f>'1.DATA KIA'!C193</f>
        <v>0</v>
      </c>
      <c r="D198" s="132">
        <f t="shared" si="78"/>
        <v>0</v>
      </c>
      <c r="E198" s="91">
        <f>'1.DATA KIA'!F193</f>
        <v>0</v>
      </c>
      <c r="F198" s="132">
        <f t="shared" si="79"/>
        <v>0</v>
      </c>
      <c r="G198" s="133" t="e">
        <f t="shared" si="80"/>
        <v>#DIV/0!</v>
      </c>
      <c r="H198" s="132">
        <f t="shared" si="81"/>
        <v>0</v>
      </c>
      <c r="I198" s="91">
        <f>'1.DATA KIA'!AB193+'1.DATA KIA'!AE193</f>
        <v>0</v>
      </c>
      <c r="J198" s="132">
        <f t="shared" si="82"/>
        <v>0</v>
      </c>
      <c r="K198" s="133" t="e">
        <f t="shared" si="83"/>
        <v>#DIV/0!</v>
      </c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54"/>
      <c r="Z198" s="168"/>
      <c r="AA198" s="134"/>
      <c r="AB198" s="134"/>
      <c r="AC198" s="134"/>
      <c r="AD198" s="134"/>
      <c r="AE198" s="134"/>
      <c r="AF198" s="134"/>
      <c r="AG198" s="134"/>
      <c r="AH198" s="134"/>
      <c r="AI198" s="134"/>
      <c r="AJ198" s="134"/>
      <c r="AK198" s="134"/>
      <c r="AL198" s="134"/>
      <c r="AM198" s="134"/>
      <c r="AN198" s="134"/>
      <c r="AO198" s="134"/>
      <c r="AP198" s="165"/>
    </row>
    <row r="199" spans="1:42" ht="20.149999999999999" customHeight="1" x14ac:dyDescent="0.35">
      <c r="A199" s="166">
        <v>16</v>
      </c>
      <c r="B199" s="100">
        <f>PETUNJUK!B24</f>
        <v>0</v>
      </c>
      <c r="C199" s="80">
        <f>'1.DATA KIA'!C194</f>
        <v>0</v>
      </c>
      <c r="D199" s="132">
        <f t="shared" si="78"/>
        <v>0</v>
      </c>
      <c r="E199" s="91">
        <f>'1.DATA KIA'!F194</f>
        <v>0</v>
      </c>
      <c r="F199" s="132">
        <f t="shared" si="79"/>
        <v>0</v>
      </c>
      <c r="G199" s="133" t="e">
        <f t="shared" si="80"/>
        <v>#DIV/0!</v>
      </c>
      <c r="H199" s="132">
        <f t="shared" si="81"/>
        <v>0</v>
      </c>
      <c r="I199" s="91">
        <f>'1.DATA KIA'!AB194+'1.DATA KIA'!AE194</f>
        <v>0</v>
      </c>
      <c r="J199" s="132">
        <f t="shared" si="82"/>
        <v>0</v>
      </c>
      <c r="K199" s="133" t="e">
        <f t="shared" si="83"/>
        <v>#DIV/0!</v>
      </c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54"/>
      <c r="Z199" s="168"/>
      <c r="AA199" s="134"/>
      <c r="AB199" s="134"/>
      <c r="AC199" s="134"/>
      <c r="AD199" s="134"/>
      <c r="AE199" s="134"/>
      <c r="AF199" s="134"/>
      <c r="AG199" s="134"/>
      <c r="AH199" s="134"/>
      <c r="AI199" s="134"/>
      <c r="AJ199" s="134"/>
      <c r="AK199" s="134"/>
      <c r="AL199" s="134"/>
      <c r="AM199" s="134"/>
      <c r="AN199" s="134"/>
      <c r="AO199" s="134"/>
      <c r="AP199" s="165"/>
    </row>
    <row r="200" spans="1:42" ht="20.149999999999999" customHeight="1" x14ac:dyDescent="0.35">
      <c r="A200" s="166">
        <v>17</v>
      </c>
      <c r="B200" s="100">
        <f>PETUNJUK!B25</f>
        <v>0</v>
      </c>
      <c r="C200" s="80">
        <f>'1.DATA KIA'!C195</f>
        <v>0</v>
      </c>
      <c r="D200" s="132">
        <f t="shared" si="78"/>
        <v>0</v>
      </c>
      <c r="E200" s="91">
        <f>'1.DATA KIA'!F195</f>
        <v>0</v>
      </c>
      <c r="F200" s="132">
        <f t="shared" si="79"/>
        <v>0</v>
      </c>
      <c r="G200" s="133" t="e">
        <f t="shared" si="80"/>
        <v>#DIV/0!</v>
      </c>
      <c r="H200" s="132">
        <f t="shared" si="81"/>
        <v>0</v>
      </c>
      <c r="I200" s="91">
        <f>'1.DATA KIA'!AB195+'1.DATA KIA'!AE195</f>
        <v>0</v>
      </c>
      <c r="J200" s="132">
        <f t="shared" si="82"/>
        <v>0</v>
      </c>
      <c r="K200" s="133" t="e">
        <f t="shared" si="83"/>
        <v>#DIV/0!</v>
      </c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54"/>
      <c r="Z200" s="168"/>
      <c r="AA200" s="134"/>
      <c r="AB200" s="134"/>
      <c r="AC200" s="134"/>
      <c r="AD200" s="134"/>
      <c r="AE200" s="134"/>
      <c r="AF200" s="134"/>
      <c r="AG200" s="134"/>
      <c r="AH200" s="134"/>
      <c r="AI200" s="134"/>
      <c r="AJ200" s="134"/>
      <c r="AK200" s="134"/>
      <c r="AL200" s="134"/>
      <c r="AM200" s="134"/>
      <c r="AN200" s="134"/>
      <c r="AO200" s="134"/>
      <c r="AP200" s="165"/>
    </row>
    <row r="201" spans="1:42" ht="20.149999999999999" customHeight="1" x14ac:dyDescent="0.35">
      <c r="A201" s="166">
        <v>18</v>
      </c>
      <c r="B201" s="100">
        <f>PETUNJUK!B26</f>
        <v>0</v>
      </c>
      <c r="C201" s="80">
        <f>'1.DATA KIA'!C196</f>
        <v>0</v>
      </c>
      <c r="D201" s="132">
        <f t="shared" si="78"/>
        <v>0</v>
      </c>
      <c r="E201" s="91">
        <f>'1.DATA KIA'!F196</f>
        <v>0</v>
      </c>
      <c r="F201" s="132">
        <f t="shared" si="79"/>
        <v>0</v>
      </c>
      <c r="G201" s="133" t="e">
        <f t="shared" si="80"/>
        <v>#DIV/0!</v>
      </c>
      <c r="H201" s="132">
        <f t="shared" si="81"/>
        <v>0</v>
      </c>
      <c r="I201" s="91">
        <f>'1.DATA KIA'!AB196+'1.DATA KIA'!AE196</f>
        <v>0</v>
      </c>
      <c r="J201" s="132">
        <f t="shared" si="82"/>
        <v>0</v>
      </c>
      <c r="K201" s="133" t="e">
        <f t="shared" si="83"/>
        <v>#DIV/0!</v>
      </c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54"/>
      <c r="Z201" s="168"/>
      <c r="AA201" s="134"/>
      <c r="AB201" s="134"/>
      <c r="AC201" s="134"/>
      <c r="AD201" s="134"/>
      <c r="AE201" s="134"/>
      <c r="AF201" s="134"/>
      <c r="AG201" s="134"/>
      <c r="AH201" s="134"/>
      <c r="AI201" s="134"/>
      <c r="AJ201" s="134"/>
      <c r="AK201" s="134"/>
      <c r="AL201" s="134"/>
      <c r="AM201" s="134"/>
      <c r="AN201" s="134"/>
      <c r="AO201" s="134"/>
      <c r="AP201" s="165"/>
    </row>
    <row r="202" spans="1:42" ht="20.149999999999999" customHeight="1" x14ac:dyDescent="0.35">
      <c r="A202" s="166">
        <v>19</v>
      </c>
      <c r="B202" s="100">
        <f>PETUNJUK!B27</f>
        <v>0</v>
      </c>
      <c r="C202" s="80">
        <f>'1.DATA KIA'!C197</f>
        <v>0</v>
      </c>
      <c r="D202" s="132">
        <f t="shared" si="78"/>
        <v>0</v>
      </c>
      <c r="E202" s="91">
        <f>'1.DATA KIA'!F197</f>
        <v>0</v>
      </c>
      <c r="F202" s="132">
        <f t="shared" si="79"/>
        <v>0</v>
      </c>
      <c r="G202" s="133" t="e">
        <f t="shared" si="80"/>
        <v>#DIV/0!</v>
      </c>
      <c r="H202" s="132">
        <f t="shared" si="81"/>
        <v>0</v>
      </c>
      <c r="I202" s="91">
        <f>'1.DATA KIA'!AB197+'1.DATA KIA'!AE197</f>
        <v>0</v>
      </c>
      <c r="J202" s="132">
        <f t="shared" si="82"/>
        <v>0</v>
      </c>
      <c r="K202" s="133" t="e">
        <f t="shared" si="83"/>
        <v>#DIV/0!</v>
      </c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54"/>
      <c r="Z202" s="168"/>
      <c r="AA202" s="134"/>
      <c r="AB202" s="134"/>
      <c r="AC202" s="134"/>
      <c r="AD202" s="134"/>
      <c r="AE202" s="134"/>
      <c r="AF202" s="134"/>
      <c r="AG202" s="134"/>
      <c r="AH202" s="134"/>
      <c r="AI202" s="134"/>
      <c r="AJ202" s="134"/>
      <c r="AK202" s="134"/>
      <c r="AL202" s="134"/>
      <c r="AM202" s="134"/>
      <c r="AN202" s="134"/>
      <c r="AO202" s="134"/>
      <c r="AP202" s="165"/>
    </row>
    <row r="203" spans="1:42" ht="20.149999999999999" customHeight="1" x14ac:dyDescent="0.35">
      <c r="A203" s="166">
        <v>20</v>
      </c>
      <c r="B203" s="100">
        <f>PETUNJUK!B28</f>
        <v>0</v>
      </c>
      <c r="C203" s="80">
        <f>'1.DATA KIA'!C198</f>
        <v>0</v>
      </c>
      <c r="D203" s="132">
        <f t="shared" si="78"/>
        <v>0</v>
      </c>
      <c r="E203" s="91">
        <f>'1.DATA KIA'!F198</f>
        <v>0</v>
      </c>
      <c r="F203" s="132">
        <f t="shared" si="79"/>
        <v>0</v>
      </c>
      <c r="G203" s="133" t="e">
        <f t="shared" si="80"/>
        <v>#DIV/0!</v>
      </c>
      <c r="H203" s="132">
        <f t="shared" si="81"/>
        <v>0</v>
      </c>
      <c r="I203" s="91">
        <f>'1.DATA KIA'!AB198+'1.DATA KIA'!AE198</f>
        <v>0</v>
      </c>
      <c r="J203" s="132">
        <f t="shared" si="82"/>
        <v>0</v>
      </c>
      <c r="K203" s="133" t="e">
        <f t="shared" si="83"/>
        <v>#DIV/0!</v>
      </c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54"/>
      <c r="Z203" s="168"/>
      <c r="AA203" s="134"/>
      <c r="AB203" s="134"/>
      <c r="AC203" s="134"/>
      <c r="AD203" s="134"/>
      <c r="AE203" s="134"/>
      <c r="AF203" s="134"/>
      <c r="AG203" s="134"/>
      <c r="AH203" s="134"/>
      <c r="AI203" s="134"/>
      <c r="AJ203" s="134"/>
      <c r="AK203" s="134"/>
      <c r="AL203" s="134"/>
      <c r="AM203" s="134"/>
      <c r="AN203" s="134"/>
      <c r="AO203" s="134"/>
      <c r="AP203" s="165"/>
    </row>
    <row r="204" spans="1:42" ht="20.149999999999999" customHeight="1" x14ac:dyDescent="0.35">
      <c r="A204" s="166">
        <v>21</v>
      </c>
      <c r="B204" s="100">
        <f>PETUNJUK!B29</f>
        <v>0</v>
      </c>
      <c r="C204" s="80">
        <f>'1.DATA KIA'!C199</f>
        <v>0</v>
      </c>
      <c r="D204" s="132">
        <f t="shared" si="78"/>
        <v>0</v>
      </c>
      <c r="E204" s="91">
        <f>'1.DATA KIA'!F199</f>
        <v>0</v>
      </c>
      <c r="F204" s="132">
        <f t="shared" si="79"/>
        <v>0</v>
      </c>
      <c r="G204" s="133" t="e">
        <f t="shared" si="80"/>
        <v>#DIV/0!</v>
      </c>
      <c r="H204" s="132">
        <f t="shared" si="81"/>
        <v>0</v>
      </c>
      <c r="I204" s="91">
        <f>'1.DATA KIA'!AB199+'1.DATA KIA'!AE199</f>
        <v>0</v>
      </c>
      <c r="J204" s="132">
        <f t="shared" si="82"/>
        <v>0</v>
      </c>
      <c r="K204" s="133" t="e">
        <f t="shared" si="83"/>
        <v>#DIV/0!</v>
      </c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54"/>
      <c r="Z204" s="168"/>
      <c r="AA204" s="134"/>
      <c r="AB204" s="134"/>
      <c r="AC204" s="134"/>
      <c r="AD204" s="134"/>
      <c r="AE204" s="134"/>
      <c r="AF204" s="134"/>
      <c r="AG204" s="134"/>
      <c r="AH204" s="134"/>
      <c r="AI204" s="134"/>
      <c r="AJ204" s="134"/>
      <c r="AK204" s="134"/>
      <c r="AL204" s="134"/>
      <c r="AM204" s="134"/>
      <c r="AN204" s="134"/>
      <c r="AO204" s="134"/>
      <c r="AP204" s="165"/>
    </row>
    <row r="205" spans="1:42" ht="20.149999999999999" customHeight="1" thickBot="1" x14ac:dyDescent="0.4">
      <c r="A205" s="167">
        <v>22</v>
      </c>
      <c r="B205" s="114">
        <f>PETUNJUK!B30</f>
        <v>0</v>
      </c>
      <c r="C205" s="49">
        <f>'1.DATA KIA'!C200</f>
        <v>0</v>
      </c>
      <c r="D205" s="132">
        <f t="shared" si="78"/>
        <v>0</v>
      </c>
      <c r="E205" s="91">
        <f>'1.DATA KIA'!F200</f>
        <v>0</v>
      </c>
      <c r="F205" s="132">
        <f t="shared" si="79"/>
        <v>0</v>
      </c>
      <c r="G205" s="133" t="e">
        <f t="shared" si="80"/>
        <v>#DIV/0!</v>
      </c>
      <c r="H205" s="132">
        <f t="shared" si="81"/>
        <v>0</v>
      </c>
      <c r="I205" s="91">
        <f>'1.DATA KIA'!AB200+'1.DATA KIA'!AE200</f>
        <v>0</v>
      </c>
      <c r="J205" s="132">
        <f t="shared" si="82"/>
        <v>0</v>
      </c>
      <c r="K205" s="133" t="e">
        <f t="shared" si="83"/>
        <v>#DIV/0!</v>
      </c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54"/>
      <c r="Z205" s="168"/>
      <c r="AA205" s="134"/>
      <c r="AB205" s="134"/>
      <c r="AC205" s="134"/>
      <c r="AD205" s="134"/>
      <c r="AE205" s="134"/>
      <c r="AF205" s="134"/>
      <c r="AG205" s="134"/>
      <c r="AH205" s="134"/>
      <c r="AI205" s="134"/>
      <c r="AJ205" s="134"/>
      <c r="AK205" s="134"/>
      <c r="AL205" s="134"/>
      <c r="AM205" s="134"/>
      <c r="AN205" s="134"/>
      <c r="AO205" s="134"/>
      <c r="AP205" s="165"/>
    </row>
    <row r="206" spans="1:42" ht="26.15" customHeight="1" thickBot="1" x14ac:dyDescent="0.4">
      <c r="A206" s="881" t="s">
        <v>18</v>
      </c>
      <c r="B206" s="882"/>
      <c r="C206" s="116">
        <f>SUM(C184:C205)</f>
        <v>1067</v>
      </c>
      <c r="D206" s="116">
        <f t="shared" ref="D206:AP206" si="84">SUM(D184:D205)</f>
        <v>374</v>
      </c>
      <c r="E206" s="116">
        <f t="shared" si="84"/>
        <v>0</v>
      </c>
      <c r="F206" s="116">
        <f t="shared" si="84"/>
        <v>374</v>
      </c>
      <c r="G206" s="116" t="e">
        <f t="shared" si="84"/>
        <v>#DIV/0!</v>
      </c>
      <c r="H206" s="116">
        <f t="shared" si="84"/>
        <v>298</v>
      </c>
      <c r="I206" s="116">
        <f t="shared" si="84"/>
        <v>0</v>
      </c>
      <c r="J206" s="116">
        <f t="shared" si="84"/>
        <v>298</v>
      </c>
      <c r="K206" s="116" t="e">
        <f t="shared" si="84"/>
        <v>#DIV/0!</v>
      </c>
      <c r="L206" s="116">
        <f t="shared" si="84"/>
        <v>0</v>
      </c>
      <c r="M206" s="116">
        <f t="shared" si="84"/>
        <v>0</v>
      </c>
      <c r="N206" s="116">
        <f t="shared" si="84"/>
        <v>0</v>
      </c>
      <c r="O206" s="116">
        <f t="shared" si="84"/>
        <v>0</v>
      </c>
      <c r="P206" s="116">
        <f t="shared" si="84"/>
        <v>0</v>
      </c>
      <c r="Q206" s="116">
        <f t="shared" si="84"/>
        <v>0</v>
      </c>
      <c r="R206" s="116">
        <f t="shared" si="84"/>
        <v>0</v>
      </c>
      <c r="S206" s="116">
        <f t="shared" si="84"/>
        <v>0</v>
      </c>
      <c r="T206" s="116">
        <f t="shared" si="84"/>
        <v>0</v>
      </c>
      <c r="U206" s="116">
        <f t="shared" si="84"/>
        <v>0</v>
      </c>
      <c r="V206" s="116">
        <f t="shared" si="84"/>
        <v>0</v>
      </c>
      <c r="W206" s="116">
        <f t="shared" si="84"/>
        <v>0</v>
      </c>
      <c r="X206" s="135">
        <f t="shared" si="84"/>
        <v>0</v>
      </c>
      <c r="Y206" s="157"/>
      <c r="Z206" s="170">
        <f t="shared" si="84"/>
        <v>0</v>
      </c>
      <c r="AA206" s="116">
        <f t="shared" si="84"/>
        <v>0</v>
      </c>
      <c r="AB206" s="116">
        <f t="shared" si="84"/>
        <v>0</v>
      </c>
      <c r="AC206" s="116">
        <f t="shared" si="84"/>
        <v>0</v>
      </c>
      <c r="AD206" s="116">
        <f t="shared" si="84"/>
        <v>0</v>
      </c>
      <c r="AE206" s="116">
        <f t="shared" si="84"/>
        <v>0</v>
      </c>
      <c r="AF206" s="116">
        <f t="shared" si="84"/>
        <v>0</v>
      </c>
      <c r="AG206" s="116">
        <f t="shared" si="84"/>
        <v>0</v>
      </c>
      <c r="AH206" s="116">
        <f t="shared" si="84"/>
        <v>0</v>
      </c>
      <c r="AI206" s="116">
        <f t="shared" si="84"/>
        <v>0</v>
      </c>
      <c r="AJ206" s="116">
        <f t="shared" si="84"/>
        <v>0</v>
      </c>
      <c r="AK206" s="116">
        <f t="shared" si="84"/>
        <v>0</v>
      </c>
      <c r="AL206" s="116">
        <f t="shared" si="84"/>
        <v>0</v>
      </c>
      <c r="AM206" s="116">
        <f t="shared" si="84"/>
        <v>0</v>
      </c>
      <c r="AN206" s="116">
        <f t="shared" si="84"/>
        <v>0</v>
      </c>
      <c r="AO206" s="116">
        <f t="shared" si="84"/>
        <v>0</v>
      </c>
      <c r="AP206" s="135">
        <f t="shared" si="84"/>
        <v>0</v>
      </c>
    </row>
    <row r="207" spans="1:42" ht="15.5" x14ac:dyDescent="0.35">
      <c r="A207" s="140"/>
      <c r="B207" s="140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56"/>
      <c r="Z207" s="102"/>
      <c r="AA207" s="102"/>
      <c r="AB207" s="102"/>
      <c r="AC207" s="102"/>
      <c r="AD207" s="102"/>
      <c r="AE207" s="102"/>
      <c r="AF207" s="102"/>
      <c r="AG207" s="102"/>
      <c r="AH207" s="102"/>
      <c r="AI207" s="102"/>
      <c r="AJ207" s="102"/>
      <c r="AK207" s="102"/>
      <c r="AL207" s="102"/>
      <c r="AM207" s="102"/>
      <c r="AN207" s="102"/>
      <c r="AO207" s="102"/>
      <c r="AP207" s="102"/>
    </row>
    <row r="208" spans="1:42" ht="15.5" x14ac:dyDescent="0.35">
      <c r="A208" s="140"/>
      <c r="B208" s="140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56"/>
      <c r="Z208" s="102"/>
      <c r="AA208" s="102"/>
      <c r="AB208" s="102"/>
      <c r="AC208" s="102"/>
      <c r="AD208" s="102"/>
      <c r="AE208" s="102"/>
      <c r="AF208" s="102"/>
      <c r="AG208" s="102"/>
      <c r="AH208" s="102"/>
      <c r="AI208" s="102"/>
      <c r="AJ208" s="102"/>
      <c r="AK208" s="102"/>
      <c r="AL208" s="102"/>
      <c r="AM208" s="102"/>
      <c r="AN208" s="102"/>
      <c r="AO208" s="102"/>
      <c r="AP208" s="102"/>
    </row>
    <row r="209" spans="1:152" ht="15.5" x14ac:dyDescent="0.35">
      <c r="A209" s="140"/>
      <c r="B209" s="140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56"/>
      <c r="Z209" s="102"/>
      <c r="AA209" s="102"/>
      <c r="AB209" s="102"/>
      <c r="AC209" s="102"/>
      <c r="AD209" s="102"/>
      <c r="AE209" s="102"/>
      <c r="AF209" s="102"/>
      <c r="AG209" s="102"/>
      <c r="AH209" s="102"/>
      <c r="AI209" s="102"/>
      <c r="AJ209" s="102"/>
      <c r="AK209" s="102"/>
      <c r="AL209" s="102"/>
      <c r="AM209" s="102"/>
      <c r="AN209" s="102"/>
      <c r="AO209" s="102"/>
      <c r="AP209" s="102"/>
    </row>
    <row r="210" spans="1:152" ht="15.5" x14ac:dyDescent="0.35">
      <c r="A210" s="140"/>
      <c r="B210" s="140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56"/>
      <c r="Z210" s="102"/>
      <c r="AA210" s="102"/>
      <c r="AB210" s="102"/>
      <c r="AC210" s="102"/>
      <c r="AD210" s="102"/>
      <c r="AE210" s="102"/>
      <c r="AF210" s="102"/>
      <c r="AG210" s="102"/>
      <c r="AH210" s="102"/>
      <c r="AI210" s="102"/>
      <c r="AJ210" s="102"/>
      <c r="AK210" s="102"/>
      <c r="AL210" s="102"/>
      <c r="AM210" s="102"/>
      <c r="AN210" s="102"/>
      <c r="AO210" s="102"/>
      <c r="AP210" s="102"/>
    </row>
    <row r="211" spans="1:152" ht="15.5" x14ac:dyDescent="0.35">
      <c r="A211" s="137"/>
      <c r="B211" s="138"/>
      <c r="C211" s="76" t="s">
        <v>64</v>
      </c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101"/>
      <c r="T211" s="101"/>
      <c r="U211" s="101"/>
      <c r="V211" s="101"/>
      <c r="W211" s="101"/>
      <c r="X211" s="101"/>
      <c r="Y211" s="151"/>
      <c r="Z211" s="101"/>
      <c r="AA211" s="101"/>
      <c r="AB211" s="101"/>
      <c r="AC211" s="101"/>
      <c r="AD211" s="101"/>
      <c r="AE211" s="101"/>
      <c r="AF211" s="101"/>
      <c r="AG211" s="101"/>
      <c r="AH211" s="101"/>
      <c r="AI211" s="101"/>
      <c r="AJ211" s="101"/>
      <c r="AK211" s="101"/>
      <c r="AL211" s="101"/>
      <c r="AM211" s="101"/>
      <c r="AN211" s="101"/>
      <c r="AO211" s="101"/>
      <c r="AP211" s="101"/>
    </row>
    <row r="212" spans="1:152" ht="15.5" x14ac:dyDescent="0.35">
      <c r="A212" s="137"/>
      <c r="B212" s="98"/>
      <c r="C212" s="103" t="s">
        <v>197</v>
      </c>
      <c r="D212" s="78"/>
      <c r="E212" s="79" t="str">
        <f>PETUNJUK!C5</f>
        <v>PECANGAAN</v>
      </c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101"/>
      <c r="T212" s="101"/>
      <c r="U212" s="101"/>
      <c r="V212" s="101" t="s">
        <v>199</v>
      </c>
      <c r="W212" s="101"/>
      <c r="X212" s="101"/>
      <c r="Y212" s="151"/>
      <c r="Z212" s="101"/>
      <c r="AA212" s="101"/>
      <c r="AB212" s="101"/>
      <c r="AC212" s="101"/>
      <c r="AD212" s="101"/>
      <c r="AE212" s="101"/>
      <c r="AF212" s="101"/>
      <c r="AG212" s="101"/>
      <c r="AH212" s="101"/>
      <c r="AI212" s="101"/>
      <c r="AJ212" s="101"/>
      <c r="AK212" s="101"/>
      <c r="AL212" s="101"/>
      <c r="AM212" s="101"/>
      <c r="AN212" s="101"/>
      <c r="AO212" s="101" t="s">
        <v>200</v>
      </c>
      <c r="AP212" s="101"/>
    </row>
    <row r="213" spans="1:152" ht="15.5" x14ac:dyDescent="0.35">
      <c r="A213" s="137"/>
      <c r="B213" s="139"/>
      <c r="C213" s="104" t="s">
        <v>198</v>
      </c>
      <c r="D213" s="105"/>
      <c r="E213" s="106" t="str">
        <f>'1.DATA KIA'!C208</f>
        <v xml:space="preserve">JULI </v>
      </c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1"/>
      <c r="T213" s="101"/>
      <c r="U213" s="101"/>
      <c r="V213" s="101"/>
      <c r="W213" s="101"/>
      <c r="X213" s="101"/>
      <c r="Y213" s="151"/>
      <c r="Z213" s="101"/>
      <c r="AA213" s="101"/>
      <c r="AB213" s="101"/>
      <c r="AC213" s="101"/>
      <c r="AD213" s="101"/>
      <c r="AE213" s="101"/>
      <c r="AF213" s="101"/>
      <c r="AG213" s="101"/>
      <c r="AH213" s="101"/>
      <c r="AI213" s="101"/>
      <c r="AJ213" s="101"/>
      <c r="AK213" s="101"/>
      <c r="AL213" s="101"/>
      <c r="AM213" s="101"/>
      <c r="AN213" s="101"/>
      <c r="AO213" s="101"/>
      <c r="AP213" s="101"/>
    </row>
    <row r="214" spans="1:152" ht="16" thickBot="1" x14ac:dyDescent="0.4">
      <c r="A214" s="870"/>
      <c r="B214" s="870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1"/>
      <c r="T214" s="101"/>
      <c r="U214" s="101"/>
      <c r="V214" s="101"/>
      <c r="W214" s="101"/>
      <c r="X214" s="101"/>
      <c r="Y214" s="151"/>
      <c r="Z214" s="101"/>
      <c r="AA214" s="101"/>
      <c r="AB214" s="101"/>
      <c r="AC214" s="101"/>
      <c r="AD214" s="101"/>
      <c r="AE214" s="101"/>
      <c r="AF214" s="101"/>
      <c r="AG214" s="101"/>
      <c r="AH214" s="101"/>
      <c r="AI214" s="101"/>
      <c r="AJ214" s="101"/>
      <c r="AK214" s="101"/>
      <c r="AL214" s="101"/>
      <c r="AM214" s="101"/>
      <c r="AN214" s="101"/>
      <c r="AO214" s="101"/>
      <c r="AP214" s="101"/>
    </row>
    <row r="215" spans="1:152" s="111" customFormat="1" ht="46.5" customHeight="1" x14ac:dyDescent="0.35">
      <c r="A215" s="871" t="s">
        <v>1</v>
      </c>
      <c r="B215" s="874" t="s">
        <v>2</v>
      </c>
      <c r="C215" s="877" t="s">
        <v>65</v>
      </c>
      <c r="D215" s="847" t="s">
        <v>66</v>
      </c>
      <c r="E215" s="848"/>
      <c r="F215" s="848"/>
      <c r="G215" s="880"/>
      <c r="H215" s="859" t="s">
        <v>194</v>
      </c>
      <c r="I215" s="860"/>
      <c r="J215" s="860"/>
      <c r="K215" s="861"/>
      <c r="L215" s="847" t="s">
        <v>67</v>
      </c>
      <c r="M215" s="848"/>
      <c r="N215" s="848"/>
      <c r="O215" s="848"/>
      <c r="P215" s="848"/>
      <c r="Q215" s="848"/>
      <c r="R215" s="848"/>
      <c r="S215" s="848"/>
      <c r="T215" s="848"/>
      <c r="U215" s="848"/>
      <c r="V215" s="848"/>
      <c r="W215" s="848"/>
      <c r="X215" s="849"/>
      <c r="Y215" s="152"/>
      <c r="Z215" s="850" t="s">
        <v>79</v>
      </c>
      <c r="AA215" s="851"/>
      <c r="AB215" s="851"/>
      <c r="AC215" s="851"/>
      <c r="AD215" s="851"/>
      <c r="AE215" s="851"/>
      <c r="AF215" s="851"/>
      <c r="AG215" s="851"/>
      <c r="AH215" s="851"/>
      <c r="AI215" s="851"/>
      <c r="AJ215" s="851"/>
      <c r="AK215" s="851"/>
      <c r="AL215" s="851"/>
      <c r="AM215" s="851"/>
      <c r="AN215" s="851"/>
      <c r="AO215" s="851"/>
      <c r="AP215" s="852"/>
      <c r="AQ215" s="280"/>
      <c r="AR215" s="280"/>
      <c r="AS215" s="280"/>
      <c r="AT215" s="280"/>
      <c r="AU215" s="280"/>
      <c r="AV215" s="280"/>
      <c r="AW215" s="280"/>
      <c r="AX215" s="280"/>
      <c r="AY215" s="280"/>
      <c r="AZ215" s="280"/>
      <c r="BA215" s="280"/>
      <c r="BB215" s="280"/>
      <c r="BC215" s="280"/>
      <c r="BD215" s="280"/>
      <c r="BE215" s="280"/>
      <c r="BF215" s="280"/>
      <c r="BG215" s="280"/>
      <c r="BH215" s="280"/>
      <c r="BI215" s="280"/>
      <c r="BJ215" s="280"/>
      <c r="BK215" s="280"/>
      <c r="BL215" s="280"/>
      <c r="BM215" s="280"/>
      <c r="BN215" s="280"/>
      <c r="BO215" s="280"/>
      <c r="BP215" s="280"/>
      <c r="BQ215" s="280"/>
      <c r="BR215" s="280"/>
      <c r="BS215" s="280"/>
      <c r="BT215" s="280"/>
      <c r="BU215" s="280"/>
      <c r="BV215" s="280"/>
      <c r="BW215" s="280"/>
      <c r="BX215" s="280"/>
      <c r="BY215" s="280"/>
      <c r="BZ215" s="280"/>
      <c r="CA215" s="280"/>
      <c r="CB215" s="280"/>
      <c r="CC215" s="280"/>
      <c r="CD215" s="280"/>
      <c r="CE215" s="280"/>
      <c r="CF215" s="280"/>
      <c r="CG215" s="280"/>
      <c r="CH215" s="280"/>
      <c r="CI215" s="280"/>
      <c r="CJ215" s="280"/>
      <c r="CK215" s="280"/>
      <c r="CL215" s="280"/>
      <c r="CM215" s="280"/>
      <c r="CN215" s="280"/>
      <c r="CO215" s="280"/>
      <c r="CP215" s="280"/>
      <c r="CQ215" s="280"/>
      <c r="CR215" s="280"/>
      <c r="CS215" s="280"/>
      <c r="CT215" s="280"/>
      <c r="CU215" s="280"/>
      <c r="CV215" s="280"/>
      <c r="CW215" s="280"/>
      <c r="CX215" s="280"/>
      <c r="CY215" s="280"/>
      <c r="CZ215" s="280"/>
      <c r="DA215" s="280"/>
      <c r="DB215" s="280"/>
      <c r="DC215" s="280"/>
      <c r="DD215" s="280"/>
      <c r="DE215" s="280"/>
      <c r="DF215" s="280"/>
      <c r="DG215" s="280"/>
      <c r="DH215" s="280"/>
      <c r="DI215" s="280"/>
      <c r="DJ215" s="280"/>
      <c r="DK215" s="280"/>
      <c r="DL215" s="280"/>
      <c r="DM215" s="280"/>
      <c r="DN215" s="280"/>
      <c r="DO215" s="280"/>
      <c r="DP215" s="280"/>
      <c r="DQ215" s="280"/>
      <c r="DR215" s="280"/>
      <c r="DS215" s="280"/>
      <c r="DT215" s="280"/>
      <c r="DU215" s="280"/>
      <c r="DV215" s="280"/>
      <c r="DW215" s="280"/>
      <c r="DX215" s="280"/>
      <c r="DY215" s="280"/>
      <c r="DZ215" s="280"/>
      <c r="EA215" s="280"/>
      <c r="EB215" s="280"/>
      <c r="EC215" s="280"/>
      <c r="ED215" s="280"/>
      <c r="EE215" s="280"/>
      <c r="EF215" s="280"/>
      <c r="EG215" s="280"/>
      <c r="EH215" s="280"/>
      <c r="EI215" s="280"/>
      <c r="EJ215" s="280"/>
      <c r="EK215" s="280"/>
      <c r="EL215" s="280"/>
      <c r="EM215" s="280"/>
      <c r="EN215" s="280"/>
      <c r="EO215" s="280"/>
      <c r="EP215" s="280"/>
      <c r="EQ215" s="280"/>
      <c r="ER215" s="280"/>
      <c r="ES215" s="280"/>
      <c r="ET215" s="280"/>
      <c r="EU215" s="280"/>
      <c r="EV215" s="280"/>
    </row>
    <row r="216" spans="1:152" s="111" customFormat="1" ht="110.5" customHeight="1" x14ac:dyDescent="0.35">
      <c r="A216" s="872"/>
      <c r="B216" s="875"/>
      <c r="C216" s="878"/>
      <c r="D216" s="853" t="s">
        <v>68</v>
      </c>
      <c r="E216" s="856" t="s">
        <v>69</v>
      </c>
      <c r="F216" s="856" t="s">
        <v>36</v>
      </c>
      <c r="G216" s="856" t="s">
        <v>37</v>
      </c>
      <c r="H216" s="853" t="s">
        <v>68</v>
      </c>
      <c r="I216" s="856" t="s">
        <v>69</v>
      </c>
      <c r="J216" s="856" t="s">
        <v>36</v>
      </c>
      <c r="K216" s="856" t="s">
        <v>37</v>
      </c>
      <c r="L216" s="865" t="s">
        <v>196</v>
      </c>
      <c r="M216" s="866"/>
      <c r="N216" s="867" t="s">
        <v>70</v>
      </c>
      <c r="O216" s="868"/>
      <c r="P216" s="865" t="s">
        <v>71</v>
      </c>
      <c r="Q216" s="869"/>
      <c r="R216" s="866"/>
      <c r="S216" s="838" t="s">
        <v>80</v>
      </c>
      <c r="T216" s="838"/>
      <c r="U216" s="838"/>
      <c r="V216" s="838"/>
      <c r="W216" s="838"/>
      <c r="X216" s="832"/>
      <c r="Y216" s="153"/>
      <c r="Z216" s="839" t="s">
        <v>81</v>
      </c>
      <c r="AA216" s="838"/>
      <c r="AB216" s="838"/>
      <c r="AC216" s="840" t="s">
        <v>195</v>
      </c>
      <c r="AD216" s="841"/>
      <c r="AE216" s="862" t="s">
        <v>82</v>
      </c>
      <c r="AF216" s="863"/>
      <c r="AG216" s="862" t="s">
        <v>83</v>
      </c>
      <c r="AH216" s="864"/>
      <c r="AI216" s="864"/>
      <c r="AJ216" s="864"/>
      <c r="AK216" s="864"/>
      <c r="AL216" s="863"/>
      <c r="AM216" s="831" t="s">
        <v>84</v>
      </c>
      <c r="AN216" s="838"/>
      <c r="AO216" s="838"/>
      <c r="AP216" s="832"/>
      <c r="AQ216" s="280"/>
      <c r="AR216" s="280"/>
      <c r="AS216" s="280"/>
      <c r="AT216" s="280"/>
      <c r="AU216" s="280"/>
      <c r="AV216" s="280"/>
      <c r="AW216" s="280"/>
      <c r="AX216" s="280"/>
      <c r="AY216" s="280"/>
      <c r="AZ216" s="280"/>
      <c r="BA216" s="280"/>
      <c r="BB216" s="280"/>
      <c r="BC216" s="280"/>
      <c r="BD216" s="280"/>
      <c r="BE216" s="280"/>
      <c r="BF216" s="280"/>
      <c r="BG216" s="280"/>
      <c r="BH216" s="280"/>
      <c r="BI216" s="280"/>
      <c r="BJ216" s="280"/>
      <c r="BK216" s="280"/>
      <c r="BL216" s="280"/>
      <c r="BM216" s="280"/>
      <c r="BN216" s="280"/>
      <c r="BO216" s="280"/>
      <c r="BP216" s="280"/>
      <c r="BQ216" s="280"/>
      <c r="BR216" s="280"/>
      <c r="BS216" s="280"/>
      <c r="BT216" s="280"/>
      <c r="BU216" s="280"/>
      <c r="BV216" s="280"/>
      <c r="BW216" s="280"/>
      <c r="BX216" s="280"/>
      <c r="BY216" s="280"/>
      <c r="BZ216" s="280"/>
      <c r="CA216" s="280"/>
      <c r="CB216" s="280"/>
      <c r="CC216" s="280"/>
      <c r="CD216" s="280"/>
      <c r="CE216" s="280"/>
      <c r="CF216" s="280"/>
      <c r="CG216" s="280"/>
      <c r="CH216" s="280"/>
      <c r="CI216" s="280"/>
      <c r="CJ216" s="280"/>
      <c r="CK216" s="280"/>
      <c r="CL216" s="280"/>
      <c r="CM216" s="280"/>
      <c r="CN216" s="280"/>
      <c r="CO216" s="280"/>
      <c r="CP216" s="280"/>
      <c r="CQ216" s="280"/>
      <c r="CR216" s="280"/>
      <c r="CS216" s="280"/>
      <c r="CT216" s="280"/>
      <c r="CU216" s="280"/>
      <c r="CV216" s="280"/>
      <c r="CW216" s="280"/>
      <c r="CX216" s="280"/>
      <c r="CY216" s="280"/>
      <c r="CZ216" s="280"/>
      <c r="DA216" s="280"/>
      <c r="DB216" s="280"/>
      <c r="DC216" s="280"/>
      <c r="DD216" s="280"/>
      <c r="DE216" s="280"/>
      <c r="DF216" s="280"/>
      <c r="DG216" s="280"/>
      <c r="DH216" s="280"/>
      <c r="DI216" s="280"/>
      <c r="DJ216" s="280"/>
      <c r="DK216" s="280"/>
      <c r="DL216" s="280"/>
      <c r="DM216" s="280"/>
      <c r="DN216" s="280"/>
      <c r="DO216" s="280"/>
      <c r="DP216" s="280"/>
      <c r="DQ216" s="280"/>
      <c r="DR216" s="280"/>
      <c r="DS216" s="280"/>
      <c r="DT216" s="280"/>
      <c r="DU216" s="280"/>
      <c r="DV216" s="280"/>
      <c r="DW216" s="280"/>
      <c r="DX216" s="280"/>
      <c r="DY216" s="280"/>
      <c r="DZ216" s="280"/>
      <c r="EA216" s="280"/>
      <c r="EB216" s="280"/>
      <c r="EC216" s="280"/>
      <c r="ED216" s="280"/>
      <c r="EE216" s="280"/>
      <c r="EF216" s="280"/>
      <c r="EG216" s="280"/>
      <c r="EH216" s="280"/>
      <c r="EI216" s="280"/>
      <c r="EJ216" s="280"/>
      <c r="EK216" s="280"/>
      <c r="EL216" s="280"/>
      <c r="EM216" s="280"/>
      <c r="EN216" s="280"/>
      <c r="EO216" s="280"/>
      <c r="EP216" s="280"/>
      <c r="EQ216" s="280"/>
      <c r="ER216" s="280"/>
      <c r="ES216" s="280"/>
      <c r="ET216" s="280"/>
      <c r="EU216" s="280"/>
      <c r="EV216" s="280"/>
    </row>
    <row r="217" spans="1:152" s="111" customFormat="1" ht="21.75" customHeight="1" x14ac:dyDescent="0.35">
      <c r="A217" s="872"/>
      <c r="B217" s="875"/>
      <c r="C217" s="878"/>
      <c r="D217" s="854"/>
      <c r="E217" s="857"/>
      <c r="F217" s="857"/>
      <c r="G217" s="857"/>
      <c r="H217" s="854"/>
      <c r="I217" s="857"/>
      <c r="J217" s="857"/>
      <c r="K217" s="857"/>
      <c r="L217" s="856" t="s">
        <v>72</v>
      </c>
      <c r="M217" s="856" t="s">
        <v>73</v>
      </c>
      <c r="N217" s="856" t="s">
        <v>74</v>
      </c>
      <c r="O217" s="856" t="s">
        <v>75</v>
      </c>
      <c r="P217" s="856" t="s">
        <v>76</v>
      </c>
      <c r="Q217" s="856" t="s">
        <v>77</v>
      </c>
      <c r="R217" s="856" t="s">
        <v>78</v>
      </c>
      <c r="S217" s="836" t="s">
        <v>85</v>
      </c>
      <c r="T217" s="842" t="s">
        <v>86</v>
      </c>
      <c r="U217" s="842" t="s">
        <v>87</v>
      </c>
      <c r="V217" s="842" t="s">
        <v>88</v>
      </c>
      <c r="W217" s="831" t="s">
        <v>89</v>
      </c>
      <c r="X217" s="832"/>
      <c r="Y217" s="153"/>
      <c r="Z217" s="844" t="s">
        <v>90</v>
      </c>
      <c r="AA217" s="834" t="s">
        <v>77</v>
      </c>
      <c r="AB217" s="834" t="s">
        <v>76</v>
      </c>
      <c r="AC217" s="834" t="s">
        <v>93</v>
      </c>
      <c r="AD217" s="834" t="s">
        <v>2</v>
      </c>
      <c r="AE217" s="834" t="s">
        <v>93</v>
      </c>
      <c r="AF217" s="834" t="s">
        <v>2</v>
      </c>
      <c r="AG217" s="834" t="s">
        <v>94</v>
      </c>
      <c r="AH217" s="834" t="s">
        <v>95</v>
      </c>
      <c r="AI217" s="834" t="s">
        <v>96</v>
      </c>
      <c r="AJ217" s="834" t="s">
        <v>97</v>
      </c>
      <c r="AK217" s="834" t="s">
        <v>98</v>
      </c>
      <c r="AL217" s="834" t="s">
        <v>99</v>
      </c>
      <c r="AM217" s="831" t="s">
        <v>91</v>
      </c>
      <c r="AN217" s="846"/>
      <c r="AO217" s="831" t="s">
        <v>7</v>
      </c>
      <c r="AP217" s="832"/>
      <c r="AQ217" s="280"/>
      <c r="AR217" s="280"/>
      <c r="AS217" s="280"/>
      <c r="AT217" s="280"/>
      <c r="AU217" s="280"/>
      <c r="AV217" s="280"/>
      <c r="AW217" s="280"/>
      <c r="AX217" s="280"/>
      <c r="AY217" s="280"/>
      <c r="AZ217" s="280"/>
      <c r="BA217" s="280"/>
      <c r="BB217" s="280"/>
      <c r="BC217" s="280"/>
      <c r="BD217" s="280"/>
      <c r="BE217" s="280"/>
      <c r="BF217" s="280"/>
      <c r="BG217" s="280"/>
      <c r="BH217" s="280"/>
      <c r="BI217" s="280"/>
      <c r="BJ217" s="280"/>
      <c r="BK217" s="280"/>
      <c r="BL217" s="280"/>
      <c r="BM217" s="280"/>
      <c r="BN217" s="280"/>
      <c r="BO217" s="280"/>
      <c r="BP217" s="280"/>
      <c r="BQ217" s="280"/>
      <c r="BR217" s="280"/>
      <c r="BS217" s="280"/>
      <c r="BT217" s="280"/>
      <c r="BU217" s="280"/>
      <c r="BV217" s="280"/>
      <c r="BW217" s="280"/>
      <c r="BX217" s="280"/>
      <c r="BY217" s="280"/>
      <c r="BZ217" s="280"/>
      <c r="CA217" s="280"/>
      <c r="CB217" s="280"/>
      <c r="CC217" s="280"/>
      <c r="CD217" s="280"/>
      <c r="CE217" s="280"/>
      <c r="CF217" s="280"/>
      <c r="CG217" s="280"/>
      <c r="CH217" s="280"/>
      <c r="CI217" s="280"/>
      <c r="CJ217" s="280"/>
      <c r="CK217" s="280"/>
      <c r="CL217" s="280"/>
      <c r="CM217" s="280"/>
      <c r="CN217" s="280"/>
      <c r="CO217" s="280"/>
      <c r="CP217" s="280"/>
      <c r="CQ217" s="280"/>
      <c r="CR217" s="280"/>
      <c r="CS217" s="280"/>
      <c r="CT217" s="280"/>
      <c r="CU217" s="280"/>
      <c r="CV217" s="280"/>
      <c r="CW217" s="280"/>
      <c r="CX217" s="280"/>
      <c r="CY217" s="280"/>
      <c r="CZ217" s="280"/>
      <c r="DA217" s="280"/>
      <c r="DB217" s="280"/>
      <c r="DC217" s="280"/>
      <c r="DD217" s="280"/>
      <c r="DE217" s="280"/>
      <c r="DF217" s="280"/>
      <c r="DG217" s="280"/>
      <c r="DH217" s="280"/>
      <c r="DI217" s="280"/>
      <c r="DJ217" s="280"/>
      <c r="DK217" s="280"/>
      <c r="DL217" s="280"/>
      <c r="DM217" s="280"/>
      <c r="DN217" s="280"/>
      <c r="DO217" s="280"/>
      <c r="DP217" s="280"/>
      <c r="DQ217" s="280"/>
      <c r="DR217" s="280"/>
      <c r="DS217" s="280"/>
      <c r="DT217" s="280"/>
      <c r="DU217" s="280"/>
      <c r="DV217" s="280"/>
      <c r="DW217" s="280"/>
      <c r="DX217" s="280"/>
      <c r="DY217" s="280"/>
      <c r="DZ217" s="280"/>
      <c r="EA217" s="280"/>
      <c r="EB217" s="280"/>
      <c r="EC217" s="280"/>
      <c r="ED217" s="280"/>
      <c r="EE217" s="280"/>
      <c r="EF217" s="280"/>
      <c r="EG217" s="280"/>
      <c r="EH217" s="280"/>
      <c r="EI217" s="280"/>
      <c r="EJ217" s="280"/>
      <c r="EK217" s="280"/>
      <c r="EL217" s="280"/>
      <c r="EM217" s="280"/>
      <c r="EN217" s="280"/>
      <c r="EO217" s="280"/>
      <c r="EP217" s="280"/>
      <c r="EQ217" s="280"/>
      <c r="ER217" s="280"/>
      <c r="ES217" s="280"/>
      <c r="ET217" s="280"/>
      <c r="EU217" s="280"/>
      <c r="EV217" s="280"/>
    </row>
    <row r="218" spans="1:152" s="111" customFormat="1" ht="24.75" customHeight="1" x14ac:dyDescent="0.35">
      <c r="A218" s="873"/>
      <c r="B218" s="876"/>
      <c r="C218" s="878"/>
      <c r="D218" s="855"/>
      <c r="E218" s="858"/>
      <c r="F218" s="858"/>
      <c r="G218" s="858"/>
      <c r="H218" s="855"/>
      <c r="I218" s="858"/>
      <c r="J218" s="858"/>
      <c r="K218" s="858"/>
      <c r="L218" s="858"/>
      <c r="M218" s="858"/>
      <c r="N218" s="858"/>
      <c r="O218" s="858"/>
      <c r="P218" s="858"/>
      <c r="Q218" s="858"/>
      <c r="R218" s="858"/>
      <c r="S218" s="837"/>
      <c r="T218" s="843"/>
      <c r="U218" s="843"/>
      <c r="V218" s="843"/>
      <c r="W218" s="162" t="s">
        <v>76</v>
      </c>
      <c r="X218" s="163" t="s">
        <v>92</v>
      </c>
      <c r="Y218" s="153"/>
      <c r="Z218" s="845"/>
      <c r="AA218" s="835"/>
      <c r="AB218" s="835"/>
      <c r="AC218" s="835"/>
      <c r="AD218" s="835"/>
      <c r="AE218" s="835"/>
      <c r="AF218" s="835"/>
      <c r="AG218" s="835"/>
      <c r="AH218" s="835"/>
      <c r="AI218" s="835"/>
      <c r="AJ218" s="835"/>
      <c r="AK218" s="835"/>
      <c r="AL218" s="835"/>
      <c r="AM218" s="162" t="s">
        <v>100</v>
      </c>
      <c r="AN218" s="162" t="s">
        <v>101</v>
      </c>
      <c r="AO218" s="162" t="s">
        <v>100</v>
      </c>
      <c r="AP218" s="163" t="s">
        <v>101</v>
      </c>
      <c r="AQ218" s="280"/>
      <c r="AR218" s="280"/>
      <c r="AS218" s="280"/>
      <c r="AT218" s="280"/>
      <c r="AU218" s="280"/>
      <c r="AV218" s="280"/>
      <c r="AW218" s="280"/>
      <c r="AX218" s="280"/>
      <c r="AY218" s="280"/>
      <c r="AZ218" s="280"/>
      <c r="BA218" s="280"/>
      <c r="BB218" s="280"/>
      <c r="BC218" s="280"/>
      <c r="BD218" s="280"/>
      <c r="BE218" s="280"/>
      <c r="BF218" s="280"/>
      <c r="BG218" s="280"/>
      <c r="BH218" s="280"/>
      <c r="BI218" s="280"/>
      <c r="BJ218" s="280"/>
      <c r="BK218" s="280"/>
      <c r="BL218" s="280"/>
      <c r="BM218" s="280"/>
      <c r="BN218" s="280"/>
      <c r="BO218" s="280"/>
      <c r="BP218" s="280"/>
      <c r="BQ218" s="280"/>
      <c r="BR218" s="280"/>
      <c r="BS218" s="280"/>
      <c r="BT218" s="280"/>
      <c r="BU218" s="280"/>
      <c r="BV218" s="280"/>
      <c r="BW218" s="280"/>
      <c r="BX218" s="280"/>
      <c r="BY218" s="280"/>
      <c r="BZ218" s="280"/>
      <c r="CA218" s="280"/>
      <c r="CB218" s="280"/>
      <c r="CC218" s="280"/>
      <c r="CD218" s="280"/>
      <c r="CE218" s="280"/>
      <c r="CF218" s="280"/>
      <c r="CG218" s="280"/>
      <c r="CH218" s="280"/>
      <c r="CI218" s="280"/>
      <c r="CJ218" s="280"/>
      <c r="CK218" s="280"/>
      <c r="CL218" s="280"/>
      <c r="CM218" s="280"/>
      <c r="CN218" s="280"/>
      <c r="CO218" s="280"/>
      <c r="CP218" s="280"/>
      <c r="CQ218" s="280"/>
      <c r="CR218" s="280"/>
      <c r="CS218" s="280"/>
      <c r="CT218" s="280"/>
      <c r="CU218" s="280"/>
      <c r="CV218" s="280"/>
      <c r="CW218" s="280"/>
      <c r="CX218" s="280"/>
      <c r="CY218" s="280"/>
      <c r="CZ218" s="280"/>
      <c r="DA218" s="280"/>
      <c r="DB218" s="280"/>
      <c r="DC218" s="280"/>
      <c r="DD218" s="280"/>
      <c r="DE218" s="280"/>
      <c r="DF218" s="280"/>
      <c r="DG218" s="280"/>
      <c r="DH218" s="280"/>
      <c r="DI218" s="280"/>
      <c r="DJ218" s="280"/>
      <c r="DK218" s="280"/>
      <c r="DL218" s="280"/>
      <c r="DM218" s="280"/>
      <c r="DN218" s="280"/>
      <c r="DO218" s="280"/>
      <c r="DP218" s="280"/>
      <c r="DQ218" s="280"/>
      <c r="DR218" s="280"/>
      <c r="DS218" s="280"/>
      <c r="DT218" s="280"/>
      <c r="DU218" s="280"/>
      <c r="DV218" s="280"/>
      <c r="DW218" s="280"/>
      <c r="DX218" s="280"/>
      <c r="DY218" s="280"/>
      <c r="DZ218" s="280"/>
      <c r="EA218" s="280"/>
      <c r="EB218" s="280"/>
      <c r="EC218" s="280"/>
      <c r="ED218" s="280"/>
      <c r="EE218" s="280"/>
      <c r="EF218" s="280"/>
      <c r="EG218" s="280"/>
      <c r="EH218" s="280"/>
      <c r="EI218" s="280"/>
      <c r="EJ218" s="280"/>
      <c r="EK218" s="280"/>
      <c r="EL218" s="280"/>
      <c r="EM218" s="280"/>
      <c r="EN218" s="280"/>
      <c r="EO218" s="280"/>
      <c r="EP218" s="280"/>
      <c r="EQ218" s="280"/>
      <c r="ER218" s="280"/>
      <c r="ES218" s="280"/>
      <c r="ET218" s="280"/>
      <c r="EU218" s="280"/>
      <c r="EV218" s="280"/>
    </row>
    <row r="219" spans="1:152" ht="20.149999999999999" customHeight="1" x14ac:dyDescent="0.35">
      <c r="A219" s="164">
        <v>1</v>
      </c>
      <c r="B219" s="99" t="str">
        <f>PETUNJUK!B9</f>
        <v>Pecangaan Kulon</v>
      </c>
      <c r="C219" s="80">
        <f>'1.DATA KIA'!C213</f>
        <v>101.2</v>
      </c>
      <c r="D219" s="299">
        <f>F184</f>
        <v>30</v>
      </c>
      <c r="E219" s="300">
        <f>'1.DATA KIA'!F213</f>
        <v>0</v>
      </c>
      <c r="F219" s="132">
        <f>D219+E219</f>
        <v>30</v>
      </c>
      <c r="G219" s="133">
        <f>F219/C219*100</f>
        <v>29.644268774703558</v>
      </c>
      <c r="H219" s="132">
        <f>J184</f>
        <v>29</v>
      </c>
      <c r="I219" s="91">
        <f>'1.DATA KIA'!AB213+'1.DATA KIA'!AE213</f>
        <v>0</v>
      </c>
      <c r="J219" s="132">
        <f>H219+I219</f>
        <v>29</v>
      </c>
      <c r="K219" s="133">
        <f>J219/C219*100</f>
        <v>28.656126482213441</v>
      </c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54"/>
      <c r="Z219" s="168"/>
      <c r="AA219" s="134"/>
      <c r="AB219" s="134"/>
      <c r="AC219" s="134"/>
      <c r="AD219" s="134"/>
      <c r="AE219" s="134"/>
      <c r="AF219" s="134"/>
      <c r="AG219" s="134"/>
      <c r="AH219" s="134"/>
      <c r="AI219" s="134"/>
      <c r="AJ219" s="134"/>
      <c r="AK219" s="134"/>
      <c r="AL219" s="134"/>
      <c r="AM219" s="134"/>
      <c r="AN219" s="134"/>
      <c r="AO219" s="134"/>
      <c r="AP219" s="165"/>
    </row>
    <row r="220" spans="1:152" ht="20.149999999999999" customHeight="1" x14ac:dyDescent="0.35">
      <c r="A220" s="166">
        <v>2</v>
      </c>
      <c r="B220" s="100" t="str">
        <f>PETUNJUK!B10</f>
        <v>Rengging</v>
      </c>
      <c r="C220" s="80">
        <f>'1.DATA KIA'!C214</f>
        <v>111.10000000000001</v>
      </c>
      <c r="D220" s="299">
        <f t="shared" ref="D220:D240" si="85">F185</f>
        <v>54</v>
      </c>
      <c r="E220" s="300">
        <f>'1.DATA KIA'!F214</f>
        <v>0</v>
      </c>
      <c r="F220" s="132">
        <f t="shared" ref="F220:F240" si="86">D220+E220</f>
        <v>54</v>
      </c>
      <c r="G220" s="133">
        <f t="shared" ref="G220:G241" si="87">F220/C220*100</f>
        <v>48.604860486048601</v>
      </c>
      <c r="H220" s="132">
        <f t="shared" ref="H220:H240" si="88">J185</f>
        <v>34</v>
      </c>
      <c r="I220" s="91">
        <f>'1.DATA KIA'!AB214+'1.DATA KIA'!AE214</f>
        <v>0</v>
      </c>
      <c r="J220" s="132">
        <f t="shared" ref="J220:J240" si="89">H220+I220</f>
        <v>34</v>
      </c>
      <c r="K220" s="133">
        <f t="shared" ref="K220:K241" si="90">J220/C220*100</f>
        <v>30.603060306030599</v>
      </c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54"/>
      <c r="Z220" s="168"/>
      <c r="AA220" s="134"/>
      <c r="AB220" s="134"/>
      <c r="AC220" s="134"/>
      <c r="AD220" s="134"/>
      <c r="AE220" s="134"/>
      <c r="AF220" s="134"/>
      <c r="AG220" s="134"/>
      <c r="AH220" s="134"/>
      <c r="AI220" s="134"/>
      <c r="AJ220" s="134"/>
      <c r="AK220" s="134"/>
      <c r="AL220" s="134"/>
      <c r="AM220" s="134"/>
      <c r="AN220" s="134"/>
      <c r="AO220" s="134"/>
      <c r="AP220" s="165"/>
    </row>
    <row r="221" spans="1:152" ht="20.149999999999999" customHeight="1" x14ac:dyDescent="0.35">
      <c r="A221" s="166">
        <v>3</v>
      </c>
      <c r="B221" s="100" t="str">
        <f>PETUNJUK!B11</f>
        <v>Troso</v>
      </c>
      <c r="C221" s="80">
        <f>'1.DATA KIA'!C215</f>
        <v>205.70000000000002</v>
      </c>
      <c r="D221" s="299">
        <f t="shared" si="85"/>
        <v>78</v>
      </c>
      <c r="E221" s="300">
        <f>'1.DATA KIA'!F215</f>
        <v>0</v>
      </c>
      <c r="F221" s="132">
        <f t="shared" si="86"/>
        <v>78</v>
      </c>
      <c r="G221" s="133">
        <f t="shared" si="87"/>
        <v>37.919299951385511</v>
      </c>
      <c r="H221" s="132">
        <f t="shared" si="88"/>
        <v>60</v>
      </c>
      <c r="I221" s="91">
        <f>'1.DATA KIA'!AB215+'1.DATA KIA'!AE215</f>
        <v>0</v>
      </c>
      <c r="J221" s="132">
        <f t="shared" si="89"/>
        <v>60</v>
      </c>
      <c r="K221" s="133">
        <f t="shared" si="90"/>
        <v>29.168692270296546</v>
      </c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54"/>
      <c r="Z221" s="168"/>
      <c r="AA221" s="134"/>
      <c r="AB221" s="134"/>
      <c r="AC221" s="134"/>
      <c r="AD221" s="134"/>
      <c r="AE221" s="134"/>
      <c r="AF221" s="134"/>
      <c r="AG221" s="134"/>
      <c r="AH221" s="134"/>
      <c r="AI221" s="134"/>
      <c r="AJ221" s="134"/>
      <c r="AK221" s="134"/>
      <c r="AL221" s="134"/>
      <c r="AM221" s="134"/>
      <c r="AN221" s="134"/>
      <c r="AO221" s="134"/>
      <c r="AP221" s="165"/>
    </row>
    <row r="222" spans="1:152" ht="20.149999999999999" customHeight="1" x14ac:dyDescent="0.35">
      <c r="A222" s="166">
        <v>4</v>
      </c>
      <c r="B222" s="100" t="str">
        <f>PETUNJUK!B12</f>
        <v>Ngeling</v>
      </c>
      <c r="C222" s="80">
        <f>'1.DATA KIA'!C216</f>
        <v>95.7</v>
      </c>
      <c r="D222" s="299">
        <f t="shared" si="85"/>
        <v>30</v>
      </c>
      <c r="E222" s="300">
        <f>'1.DATA KIA'!F216</f>
        <v>0</v>
      </c>
      <c r="F222" s="132">
        <f t="shared" si="86"/>
        <v>30</v>
      </c>
      <c r="G222" s="133">
        <f t="shared" si="87"/>
        <v>31.347962382445139</v>
      </c>
      <c r="H222" s="132">
        <f t="shared" si="88"/>
        <v>28</v>
      </c>
      <c r="I222" s="91">
        <f>'1.DATA KIA'!AB216+'1.DATA KIA'!AE216</f>
        <v>0</v>
      </c>
      <c r="J222" s="132">
        <f t="shared" si="89"/>
        <v>28</v>
      </c>
      <c r="K222" s="133">
        <f t="shared" si="90"/>
        <v>29.258098223615463</v>
      </c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54"/>
      <c r="Z222" s="168"/>
      <c r="AA222" s="134"/>
      <c r="AB222" s="134"/>
      <c r="AC222" s="134"/>
      <c r="AD222" s="134"/>
      <c r="AE222" s="134"/>
      <c r="AF222" s="134"/>
      <c r="AG222" s="134"/>
      <c r="AH222" s="134"/>
      <c r="AI222" s="134"/>
      <c r="AJ222" s="134"/>
      <c r="AK222" s="134"/>
      <c r="AL222" s="134"/>
      <c r="AM222" s="134"/>
      <c r="AN222" s="134"/>
      <c r="AO222" s="134"/>
      <c r="AP222" s="165"/>
    </row>
    <row r="223" spans="1:152" ht="20.149999999999999" customHeight="1" x14ac:dyDescent="0.35">
      <c r="A223" s="166">
        <v>5</v>
      </c>
      <c r="B223" s="100" t="str">
        <f>PETUNJUK!B13</f>
        <v>Lebuawu</v>
      </c>
      <c r="C223" s="80">
        <f>'1.DATA KIA'!C217</f>
        <v>85.800000000000011</v>
      </c>
      <c r="D223" s="299">
        <f t="shared" si="85"/>
        <v>33</v>
      </c>
      <c r="E223" s="300">
        <f>'1.DATA KIA'!F217</f>
        <v>0</v>
      </c>
      <c r="F223" s="132">
        <f t="shared" si="86"/>
        <v>33</v>
      </c>
      <c r="G223" s="133">
        <f t="shared" si="87"/>
        <v>38.46153846153846</v>
      </c>
      <c r="H223" s="132">
        <f t="shared" si="88"/>
        <v>23</v>
      </c>
      <c r="I223" s="91">
        <f>'1.DATA KIA'!AB217+'1.DATA KIA'!AE217</f>
        <v>0</v>
      </c>
      <c r="J223" s="132">
        <f t="shared" si="89"/>
        <v>23</v>
      </c>
      <c r="K223" s="133">
        <f t="shared" si="90"/>
        <v>26.806526806526804</v>
      </c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54"/>
      <c r="Z223" s="168"/>
      <c r="AA223" s="134"/>
      <c r="AB223" s="134"/>
      <c r="AC223" s="134"/>
      <c r="AD223" s="134"/>
      <c r="AE223" s="134"/>
      <c r="AF223" s="134"/>
      <c r="AG223" s="134"/>
      <c r="AH223" s="134"/>
      <c r="AI223" s="134"/>
      <c r="AJ223" s="134"/>
      <c r="AK223" s="134"/>
      <c r="AL223" s="134"/>
      <c r="AM223" s="134"/>
      <c r="AN223" s="134"/>
      <c r="AO223" s="134"/>
      <c r="AP223" s="165"/>
    </row>
    <row r="224" spans="1:152" ht="20.149999999999999" customHeight="1" x14ac:dyDescent="0.35">
      <c r="A224" s="166">
        <v>6</v>
      </c>
      <c r="B224" s="100" t="str">
        <f>PETUNJUK!B14</f>
        <v>Pulodarat</v>
      </c>
      <c r="C224" s="80">
        <f>'1.DATA KIA'!C218</f>
        <v>82.5</v>
      </c>
      <c r="D224" s="299">
        <f t="shared" si="85"/>
        <v>18</v>
      </c>
      <c r="E224" s="300">
        <f>'1.DATA KIA'!F218</f>
        <v>0</v>
      </c>
      <c r="F224" s="132">
        <f t="shared" si="86"/>
        <v>18</v>
      </c>
      <c r="G224" s="133">
        <f t="shared" si="87"/>
        <v>21.818181818181817</v>
      </c>
      <c r="H224" s="132">
        <f t="shared" si="88"/>
        <v>17</v>
      </c>
      <c r="I224" s="91">
        <f>'1.DATA KIA'!AB218+'1.DATA KIA'!AE218</f>
        <v>0</v>
      </c>
      <c r="J224" s="132">
        <f t="shared" si="89"/>
        <v>17</v>
      </c>
      <c r="K224" s="133">
        <f t="shared" si="90"/>
        <v>20.606060606060606</v>
      </c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54"/>
      <c r="Z224" s="168"/>
      <c r="AA224" s="134"/>
      <c r="AB224" s="134"/>
      <c r="AC224" s="134"/>
      <c r="AD224" s="134"/>
      <c r="AE224" s="134"/>
      <c r="AF224" s="134"/>
      <c r="AG224" s="134"/>
      <c r="AH224" s="134"/>
      <c r="AI224" s="134"/>
      <c r="AJ224" s="134"/>
      <c r="AK224" s="134"/>
      <c r="AL224" s="134"/>
      <c r="AM224" s="134"/>
      <c r="AN224" s="134"/>
      <c r="AO224" s="134"/>
      <c r="AP224" s="165"/>
    </row>
    <row r="225" spans="1:42" ht="20.149999999999999" customHeight="1" x14ac:dyDescent="0.35">
      <c r="A225" s="166">
        <v>7</v>
      </c>
      <c r="B225" s="100" t="str">
        <f>PETUNJUK!B15</f>
        <v>Karangrandu</v>
      </c>
      <c r="C225" s="80">
        <f>'1.DATA KIA'!C219</f>
        <v>93.500000000000014</v>
      </c>
      <c r="D225" s="299">
        <f t="shared" si="85"/>
        <v>31</v>
      </c>
      <c r="E225" s="300">
        <f>'1.DATA KIA'!F219</f>
        <v>0</v>
      </c>
      <c r="F225" s="132">
        <f t="shared" si="86"/>
        <v>31</v>
      </c>
      <c r="G225" s="133">
        <f t="shared" si="87"/>
        <v>33.155080213903737</v>
      </c>
      <c r="H225" s="132">
        <f t="shared" si="88"/>
        <v>27</v>
      </c>
      <c r="I225" s="91">
        <f>'1.DATA KIA'!AB219+'1.DATA KIA'!AE219</f>
        <v>0</v>
      </c>
      <c r="J225" s="132">
        <f t="shared" si="89"/>
        <v>27</v>
      </c>
      <c r="K225" s="133">
        <f t="shared" si="90"/>
        <v>28.877005347593578</v>
      </c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54"/>
      <c r="Z225" s="168"/>
      <c r="AA225" s="134"/>
      <c r="AB225" s="134"/>
      <c r="AC225" s="134"/>
      <c r="AD225" s="134"/>
      <c r="AE225" s="134"/>
      <c r="AF225" s="134"/>
      <c r="AG225" s="134"/>
      <c r="AH225" s="134"/>
      <c r="AI225" s="134"/>
      <c r="AJ225" s="134"/>
      <c r="AK225" s="134"/>
      <c r="AL225" s="134"/>
      <c r="AM225" s="134"/>
      <c r="AN225" s="134"/>
      <c r="AO225" s="134"/>
      <c r="AP225" s="165"/>
    </row>
    <row r="226" spans="1:42" ht="20.149999999999999" customHeight="1" x14ac:dyDescent="0.35">
      <c r="A226" s="166">
        <v>8</v>
      </c>
      <c r="B226" s="100" t="str">
        <f>PETUNJUK!B16</f>
        <v>Kaliombo</v>
      </c>
      <c r="C226" s="80">
        <f>'1.DATA KIA'!C220</f>
        <v>46.2</v>
      </c>
      <c r="D226" s="299">
        <f t="shared" si="85"/>
        <v>13</v>
      </c>
      <c r="E226" s="300">
        <f>'1.DATA KIA'!F220</f>
        <v>0</v>
      </c>
      <c r="F226" s="132">
        <f t="shared" si="86"/>
        <v>13</v>
      </c>
      <c r="G226" s="133">
        <f t="shared" si="87"/>
        <v>28.138528138528134</v>
      </c>
      <c r="H226" s="132">
        <f t="shared" si="88"/>
        <v>13</v>
      </c>
      <c r="I226" s="91">
        <f>'1.DATA KIA'!AB220+'1.DATA KIA'!AE220</f>
        <v>0</v>
      </c>
      <c r="J226" s="132">
        <f t="shared" si="89"/>
        <v>13</v>
      </c>
      <c r="K226" s="133">
        <f t="shared" si="90"/>
        <v>28.138528138528134</v>
      </c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54"/>
      <c r="Z226" s="168"/>
      <c r="AA226" s="134"/>
      <c r="AB226" s="134"/>
      <c r="AC226" s="134"/>
      <c r="AD226" s="134"/>
      <c r="AE226" s="134"/>
      <c r="AF226" s="134"/>
      <c r="AG226" s="134"/>
      <c r="AH226" s="134"/>
      <c r="AI226" s="134"/>
      <c r="AJ226" s="134"/>
      <c r="AK226" s="134"/>
      <c r="AL226" s="134"/>
      <c r="AM226" s="134"/>
      <c r="AN226" s="134"/>
      <c r="AO226" s="134"/>
      <c r="AP226" s="165"/>
    </row>
    <row r="227" spans="1:42" ht="20.149999999999999" customHeight="1" x14ac:dyDescent="0.35">
      <c r="A227" s="166">
        <v>9</v>
      </c>
      <c r="B227" s="100" t="str">
        <f>PETUNJUK!B17</f>
        <v>Gemulung</v>
      </c>
      <c r="C227" s="80">
        <f>'1.DATA KIA'!C221</f>
        <v>53.900000000000006</v>
      </c>
      <c r="D227" s="299">
        <f t="shared" si="85"/>
        <v>19</v>
      </c>
      <c r="E227" s="300">
        <f>'1.DATA KIA'!F221</f>
        <v>0</v>
      </c>
      <c r="F227" s="132">
        <f t="shared" si="86"/>
        <v>19</v>
      </c>
      <c r="G227" s="133">
        <f t="shared" si="87"/>
        <v>35.250463821892389</v>
      </c>
      <c r="H227" s="132">
        <f t="shared" si="88"/>
        <v>20</v>
      </c>
      <c r="I227" s="91">
        <f>'1.DATA KIA'!AB221+'1.DATA KIA'!AE221</f>
        <v>0</v>
      </c>
      <c r="J227" s="132">
        <f t="shared" si="89"/>
        <v>20</v>
      </c>
      <c r="K227" s="133">
        <f t="shared" si="90"/>
        <v>37.105751391465674</v>
      </c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54"/>
      <c r="Z227" s="168"/>
      <c r="AA227" s="134"/>
      <c r="AB227" s="134"/>
      <c r="AC227" s="134"/>
      <c r="AD227" s="134"/>
      <c r="AE227" s="134"/>
      <c r="AF227" s="134"/>
      <c r="AG227" s="134"/>
      <c r="AH227" s="134"/>
      <c r="AI227" s="134"/>
      <c r="AJ227" s="134"/>
      <c r="AK227" s="134"/>
      <c r="AL227" s="134"/>
      <c r="AM227" s="134"/>
      <c r="AN227" s="134"/>
      <c r="AO227" s="134"/>
      <c r="AP227" s="165"/>
    </row>
    <row r="228" spans="1:42" ht="20.149999999999999" customHeight="1" x14ac:dyDescent="0.35">
      <c r="A228" s="166">
        <v>10</v>
      </c>
      <c r="B228" s="100" t="str">
        <f>PETUNJUK!B18</f>
        <v>Pecangaan Wetan</v>
      </c>
      <c r="C228" s="80">
        <f>'1.DATA KIA'!C222</f>
        <v>50.6</v>
      </c>
      <c r="D228" s="299">
        <f t="shared" si="85"/>
        <v>15</v>
      </c>
      <c r="E228" s="300">
        <f>'1.DATA KIA'!F222</f>
        <v>0</v>
      </c>
      <c r="F228" s="132">
        <f t="shared" si="86"/>
        <v>15</v>
      </c>
      <c r="G228" s="133">
        <f t="shared" si="87"/>
        <v>29.644268774703558</v>
      </c>
      <c r="H228" s="132">
        <f t="shared" si="88"/>
        <v>13</v>
      </c>
      <c r="I228" s="91">
        <f>'1.DATA KIA'!AB222+'1.DATA KIA'!AE222</f>
        <v>0</v>
      </c>
      <c r="J228" s="132">
        <f t="shared" si="89"/>
        <v>13</v>
      </c>
      <c r="K228" s="133">
        <f t="shared" si="90"/>
        <v>25.691699604743086</v>
      </c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54"/>
      <c r="Z228" s="168"/>
      <c r="AA228" s="134"/>
      <c r="AB228" s="134"/>
      <c r="AC228" s="134"/>
      <c r="AD228" s="134"/>
      <c r="AE228" s="134"/>
      <c r="AF228" s="134"/>
      <c r="AG228" s="134"/>
      <c r="AH228" s="134"/>
      <c r="AI228" s="134"/>
      <c r="AJ228" s="134"/>
      <c r="AK228" s="134"/>
      <c r="AL228" s="134"/>
      <c r="AM228" s="134"/>
      <c r="AN228" s="134"/>
      <c r="AO228" s="134"/>
      <c r="AP228" s="165"/>
    </row>
    <row r="229" spans="1:42" ht="20.149999999999999" customHeight="1" x14ac:dyDescent="0.35">
      <c r="A229" s="166">
        <v>11</v>
      </c>
      <c r="B229" s="100" t="str">
        <f>PETUNJUK!B19</f>
        <v>Krasak</v>
      </c>
      <c r="C229" s="80">
        <f>'1.DATA KIA'!C223</f>
        <v>117.7</v>
      </c>
      <c r="D229" s="299">
        <f t="shared" si="85"/>
        <v>45</v>
      </c>
      <c r="E229" s="300">
        <f>'1.DATA KIA'!F223</f>
        <v>0</v>
      </c>
      <c r="F229" s="132">
        <f t="shared" si="86"/>
        <v>45</v>
      </c>
      <c r="G229" s="133">
        <f t="shared" si="87"/>
        <v>38.232795242141037</v>
      </c>
      <c r="H229" s="132">
        <f t="shared" si="88"/>
        <v>29</v>
      </c>
      <c r="I229" s="91">
        <f>'1.DATA KIA'!AB223+'1.DATA KIA'!AE223</f>
        <v>0</v>
      </c>
      <c r="J229" s="132">
        <f t="shared" si="89"/>
        <v>29</v>
      </c>
      <c r="K229" s="133">
        <f t="shared" si="90"/>
        <v>24.638912489379777</v>
      </c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54"/>
      <c r="Z229" s="168"/>
      <c r="AA229" s="134"/>
      <c r="AB229" s="134"/>
      <c r="AC229" s="134"/>
      <c r="AD229" s="134"/>
      <c r="AE229" s="134"/>
      <c r="AF229" s="134"/>
      <c r="AG229" s="134"/>
      <c r="AH229" s="134"/>
      <c r="AI229" s="134"/>
      <c r="AJ229" s="134"/>
      <c r="AK229" s="134"/>
      <c r="AL229" s="134"/>
      <c r="AM229" s="134"/>
      <c r="AN229" s="134"/>
      <c r="AO229" s="134"/>
      <c r="AP229" s="165"/>
    </row>
    <row r="230" spans="1:42" ht="20.149999999999999" customHeight="1" x14ac:dyDescent="0.35">
      <c r="A230" s="166">
        <v>12</v>
      </c>
      <c r="B230" s="100" t="str">
        <f>PETUNJUK!B20</f>
        <v>Gerdu</v>
      </c>
      <c r="C230" s="80">
        <f>'1.DATA KIA'!C224</f>
        <v>23.1</v>
      </c>
      <c r="D230" s="299">
        <f t="shared" si="85"/>
        <v>8</v>
      </c>
      <c r="E230" s="300">
        <f>'1.DATA KIA'!F224</f>
        <v>0</v>
      </c>
      <c r="F230" s="132">
        <f t="shared" si="86"/>
        <v>8</v>
      </c>
      <c r="G230" s="133">
        <f t="shared" si="87"/>
        <v>34.632034632034632</v>
      </c>
      <c r="H230" s="132">
        <f t="shared" si="88"/>
        <v>5</v>
      </c>
      <c r="I230" s="91">
        <f>'1.DATA KIA'!AB224+'1.DATA KIA'!AE224</f>
        <v>0</v>
      </c>
      <c r="J230" s="132">
        <f t="shared" si="89"/>
        <v>5</v>
      </c>
      <c r="K230" s="133">
        <f t="shared" si="90"/>
        <v>21.645021645021643</v>
      </c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54"/>
      <c r="Z230" s="168"/>
      <c r="AA230" s="134"/>
      <c r="AB230" s="134"/>
      <c r="AC230" s="134"/>
      <c r="AD230" s="134"/>
      <c r="AE230" s="134"/>
      <c r="AF230" s="134"/>
      <c r="AG230" s="134"/>
      <c r="AH230" s="134"/>
      <c r="AI230" s="134"/>
      <c r="AJ230" s="134"/>
      <c r="AK230" s="134"/>
      <c r="AL230" s="134"/>
      <c r="AM230" s="134"/>
      <c r="AN230" s="134"/>
      <c r="AO230" s="134"/>
      <c r="AP230" s="165"/>
    </row>
    <row r="231" spans="1:42" ht="20.149999999999999" customHeight="1" x14ac:dyDescent="0.35">
      <c r="A231" s="166">
        <v>13</v>
      </c>
      <c r="B231" s="100">
        <f>PETUNJUK!B21</f>
        <v>0</v>
      </c>
      <c r="C231" s="80">
        <f>'1.DATA KIA'!C225</f>
        <v>0</v>
      </c>
      <c r="D231" s="299">
        <f t="shared" si="85"/>
        <v>0</v>
      </c>
      <c r="E231" s="300">
        <f>'1.DATA KIA'!F225</f>
        <v>0</v>
      </c>
      <c r="F231" s="132">
        <f t="shared" si="86"/>
        <v>0</v>
      </c>
      <c r="G231" s="133" t="e">
        <f t="shared" si="87"/>
        <v>#DIV/0!</v>
      </c>
      <c r="H231" s="132">
        <f t="shared" si="88"/>
        <v>0</v>
      </c>
      <c r="I231" s="91">
        <f>'1.DATA KIA'!AB225+'1.DATA KIA'!AE225</f>
        <v>0</v>
      </c>
      <c r="J231" s="132">
        <f t="shared" si="89"/>
        <v>0</v>
      </c>
      <c r="K231" s="133" t="e">
        <f t="shared" si="90"/>
        <v>#DIV/0!</v>
      </c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54"/>
      <c r="Z231" s="168"/>
      <c r="AA231" s="134"/>
      <c r="AB231" s="134"/>
      <c r="AC231" s="134"/>
      <c r="AD231" s="134"/>
      <c r="AE231" s="134"/>
      <c r="AF231" s="134"/>
      <c r="AG231" s="134"/>
      <c r="AH231" s="134"/>
      <c r="AI231" s="134"/>
      <c r="AJ231" s="134"/>
      <c r="AK231" s="134"/>
      <c r="AL231" s="134"/>
      <c r="AM231" s="134"/>
      <c r="AN231" s="134"/>
      <c r="AO231" s="134"/>
      <c r="AP231" s="165"/>
    </row>
    <row r="232" spans="1:42" ht="20.149999999999999" customHeight="1" x14ac:dyDescent="0.35">
      <c r="A232" s="166">
        <v>14</v>
      </c>
      <c r="B232" s="100">
        <f>PETUNJUK!B22</f>
        <v>0</v>
      </c>
      <c r="C232" s="80">
        <f>'1.DATA KIA'!C226</f>
        <v>0</v>
      </c>
      <c r="D232" s="299">
        <f t="shared" si="85"/>
        <v>0</v>
      </c>
      <c r="E232" s="300">
        <f>'1.DATA KIA'!F226</f>
        <v>0</v>
      </c>
      <c r="F232" s="132">
        <f t="shared" si="86"/>
        <v>0</v>
      </c>
      <c r="G232" s="133" t="e">
        <f t="shared" si="87"/>
        <v>#DIV/0!</v>
      </c>
      <c r="H232" s="132">
        <f t="shared" si="88"/>
        <v>0</v>
      </c>
      <c r="I232" s="91">
        <f>'1.DATA KIA'!AB226+'1.DATA KIA'!AE226</f>
        <v>0</v>
      </c>
      <c r="J232" s="132">
        <f t="shared" si="89"/>
        <v>0</v>
      </c>
      <c r="K232" s="133" t="e">
        <f t="shared" si="90"/>
        <v>#DIV/0!</v>
      </c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54"/>
      <c r="Z232" s="168"/>
      <c r="AA232" s="134"/>
      <c r="AB232" s="134"/>
      <c r="AC232" s="134"/>
      <c r="AD232" s="134"/>
      <c r="AE232" s="134"/>
      <c r="AF232" s="134"/>
      <c r="AG232" s="134"/>
      <c r="AH232" s="134"/>
      <c r="AI232" s="134"/>
      <c r="AJ232" s="134"/>
      <c r="AK232" s="134"/>
      <c r="AL232" s="134"/>
      <c r="AM232" s="134"/>
      <c r="AN232" s="134"/>
      <c r="AO232" s="134"/>
      <c r="AP232" s="165"/>
    </row>
    <row r="233" spans="1:42" ht="20.149999999999999" customHeight="1" x14ac:dyDescent="0.35">
      <c r="A233" s="166">
        <v>15</v>
      </c>
      <c r="B233" s="100">
        <f>PETUNJUK!B23</f>
        <v>0</v>
      </c>
      <c r="C233" s="80">
        <f>'1.DATA KIA'!C227</f>
        <v>0</v>
      </c>
      <c r="D233" s="299">
        <f t="shared" si="85"/>
        <v>0</v>
      </c>
      <c r="E233" s="300">
        <f>'1.DATA KIA'!F227</f>
        <v>0</v>
      </c>
      <c r="F233" s="132">
        <f t="shared" si="86"/>
        <v>0</v>
      </c>
      <c r="G233" s="133" t="e">
        <f t="shared" si="87"/>
        <v>#DIV/0!</v>
      </c>
      <c r="H233" s="132">
        <f t="shared" si="88"/>
        <v>0</v>
      </c>
      <c r="I233" s="91">
        <f>'1.DATA KIA'!AB227+'1.DATA KIA'!AE227</f>
        <v>0</v>
      </c>
      <c r="J233" s="132">
        <f t="shared" si="89"/>
        <v>0</v>
      </c>
      <c r="K233" s="133" t="e">
        <f t="shared" si="90"/>
        <v>#DIV/0!</v>
      </c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54"/>
      <c r="Z233" s="168"/>
      <c r="AA233" s="134"/>
      <c r="AB233" s="134"/>
      <c r="AC233" s="134"/>
      <c r="AD233" s="134"/>
      <c r="AE233" s="134"/>
      <c r="AF233" s="134"/>
      <c r="AG233" s="134"/>
      <c r="AH233" s="134"/>
      <c r="AI233" s="134"/>
      <c r="AJ233" s="134"/>
      <c r="AK233" s="134"/>
      <c r="AL233" s="134"/>
      <c r="AM233" s="134"/>
      <c r="AN233" s="134"/>
      <c r="AO233" s="134"/>
      <c r="AP233" s="165"/>
    </row>
    <row r="234" spans="1:42" ht="20.149999999999999" customHeight="1" x14ac:dyDescent="0.35">
      <c r="A234" s="166">
        <v>16</v>
      </c>
      <c r="B234" s="100">
        <f>PETUNJUK!B24</f>
        <v>0</v>
      </c>
      <c r="C234" s="80">
        <f>'1.DATA KIA'!C228</f>
        <v>0</v>
      </c>
      <c r="D234" s="299">
        <f t="shared" si="85"/>
        <v>0</v>
      </c>
      <c r="E234" s="300">
        <f>'1.DATA KIA'!F228</f>
        <v>0</v>
      </c>
      <c r="F234" s="132">
        <f t="shared" si="86"/>
        <v>0</v>
      </c>
      <c r="G234" s="133" t="e">
        <f t="shared" si="87"/>
        <v>#DIV/0!</v>
      </c>
      <c r="H234" s="132">
        <f t="shared" si="88"/>
        <v>0</v>
      </c>
      <c r="I234" s="91">
        <f>'1.DATA KIA'!AB228+'1.DATA KIA'!AE228</f>
        <v>0</v>
      </c>
      <c r="J234" s="132">
        <f t="shared" si="89"/>
        <v>0</v>
      </c>
      <c r="K234" s="133" t="e">
        <f t="shared" si="90"/>
        <v>#DIV/0!</v>
      </c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54"/>
      <c r="Z234" s="168"/>
      <c r="AA234" s="134"/>
      <c r="AB234" s="134"/>
      <c r="AC234" s="134"/>
      <c r="AD234" s="134"/>
      <c r="AE234" s="134"/>
      <c r="AF234" s="134"/>
      <c r="AG234" s="134"/>
      <c r="AH234" s="134"/>
      <c r="AI234" s="134"/>
      <c r="AJ234" s="134"/>
      <c r="AK234" s="134"/>
      <c r="AL234" s="134"/>
      <c r="AM234" s="134"/>
      <c r="AN234" s="134"/>
      <c r="AO234" s="134"/>
      <c r="AP234" s="165"/>
    </row>
    <row r="235" spans="1:42" ht="20.149999999999999" customHeight="1" x14ac:dyDescent="0.35">
      <c r="A235" s="166">
        <v>17</v>
      </c>
      <c r="B235" s="100">
        <f>PETUNJUK!B25</f>
        <v>0</v>
      </c>
      <c r="C235" s="80">
        <f>'1.DATA KIA'!C229</f>
        <v>0</v>
      </c>
      <c r="D235" s="299">
        <f t="shared" si="85"/>
        <v>0</v>
      </c>
      <c r="E235" s="300">
        <f>'1.DATA KIA'!F229</f>
        <v>0</v>
      </c>
      <c r="F235" s="132">
        <f t="shared" si="86"/>
        <v>0</v>
      </c>
      <c r="G235" s="133" t="e">
        <f t="shared" si="87"/>
        <v>#DIV/0!</v>
      </c>
      <c r="H235" s="132">
        <f t="shared" si="88"/>
        <v>0</v>
      </c>
      <c r="I235" s="91">
        <f>'1.DATA KIA'!AB229+'1.DATA KIA'!AE229</f>
        <v>0</v>
      </c>
      <c r="J235" s="132">
        <f t="shared" si="89"/>
        <v>0</v>
      </c>
      <c r="K235" s="133" t="e">
        <f t="shared" si="90"/>
        <v>#DIV/0!</v>
      </c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54"/>
      <c r="Z235" s="168"/>
      <c r="AA235" s="134"/>
      <c r="AB235" s="134"/>
      <c r="AC235" s="134"/>
      <c r="AD235" s="134"/>
      <c r="AE235" s="134"/>
      <c r="AF235" s="134"/>
      <c r="AG235" s="134"/>
      <c r="AH235" s="134"/>
      <c r="AI235" s="134"/>
      <c r="AJ235" s="134"/>
      <c r="AK235" s="134"/>
      <c r="AL235" s="134"/>
      <c r="AM235" s="134"/>
      <c r="AN235" s="134"/>
      <c r="AO235" s="134"/>
      <c r="AP235" s="165"/>
    </row>
    <row r="236" spans="1:42" ht="20.149999999999999" customHeight="1" x14ac:dyDescent="0.35">
      <c r="A236" s="166">
        <v>18</v>
      </c>
      <c r="B236" s="100">
        <f>PETUNJUK!B26</f>
        <v>0</v>
      </c>
      <c r="C236" s="80">
        <f>'1.DATA KIA'!C230</f>
        <v>0</v>
      </c>
      <c r="D236" s="299">
        <f t="shared" si="85"/>
        <v>0</v>
      </c>
      <c r="E236" s="300">
        <f>'1.DATA KIA'!F230</f>
        <v>0</v>
      </c>
      <c r="F236" s="132">
        <f t="shared" si="86"/>
        <v>0</v>
      </c>
      <c r="G236" s="133" t="e">
        <f t="shared" si="87"/>
        <v>#DIV/0!</v>
      </c>
      <c r="H236" s="132">
        <f t="shared" si="88"/>
        <v>0</v>
      </c>
      <c r="I236" s="91">
        <f>'1.DATA KIA'!AB230+'1.DATA KIA'!AE230</f>
        <v>0</v>
      </c>
      <c r="J236" s="132">
        <f t="shared" si="89"/>
        <v>0</v>
      </c>
      <c r="K236" s="133" t="e">
        <f t="shared" si="90"/>
        <v>#DIV/0!</v>
      </c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54"/>
      <c r="Z236" s="168"/>
      <c r="AA236" s="134"/>
      <c r="AB236" s="134"/>
      <c r="AC236" s="134"/>
      <c r="AD236" s="134"/>
      <c r="AE236" s="134"/>
      <c r="AF236" s="134"/>
      <c r="AG236" s="134"/>
      <c r="AH236" s="134"/>
      <c r="AI236" s="134"/>
      <c r="AJ236" s="134"/>
      <c r="AK236" s="134"/>
      <c r="AL236" s="134"/>
      <c r="AM236" s="134"/>
      <c r="AN236" s="134"/>
      <c r="AO236" s="134"/>
      <c r="AP236" s="165"/>
    </row>
    <row r="237" spans="1:42" ht="20.149999999999999" customHeight="1" x14ac:dyDescent="0.35">
      <c r="A237" s="166">
        <v>19</v>
      </c>
      <c r="B237" s="100">
        <f>PETUNJUK!B27</f>
        <v>0</v>
      </c>
      <c r="C237" s="80">
        <f>'1.DATA KIA'!C231</f>
        <v>0</v>
      </c>
      <c r="D237" s="299">
        <f t="shared" si="85"/>
        <v>0</v>
      </c>
      <c r="E237" s="300">
        <f>'1.DATA KIA'!F231</f>
        <v>0</v>
      </c>
      <c r="F237" s="132">
        <f t="shared" si="86"/>
        <v>0</v>
      </c>
      <c r="G237" s="133" t="e">
        <f t="shared" si="87"/>
        <v>#DIV/0!</v>
      </c>
      <c r="H237" s="132">
        <f t="shared" si="88"/>
        <v>0</v>
      </c>
      <c r="I237" s="91">
        <f>'1.DATA KIA'!AB231+'1.DATA KIA'!AE231</f>
        <v>0</v>
      </c>
      <c r="J237" s="132">
        <f t="shared" si="89"/>
        <v>0</v>
      </c>
      <c r="K237" s="133" t="e">
        <f t="shared" si="90"/>
        <v>#DIV/0!</v>
      </c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54"/>
      <c r="Z237" s="168"/>
      <c r="AA237" s="134"/>
      <c r="AB237" s="134"/>
      <c r="AC237" s="134"/>
      <c r="AD237" s="134"/>
      <c r="AE237" s="134"/>
      <c r="AF237" s="134"/>
      <c r="AG237" s="134"/>
      <c r="AH237" s="134"/>
      <c r="AI237" s="134"/>
      <c r="AJ237" s="134"/>
      <c r="AK237" s="134"/>
      <c r="AL237" s="134"/>
      <c r="AM237" s="134"/>
      <c r="AN237" s="134"/>
      <c r="AO237" s="134"/>
      <c r="AP237" s="165"/>
    </row>
    <row r="238" spans="1:42" ht="20.149999999999999" customHeight="1" x14ac:dyDescent="0.35">
      <c r="A238" s="166">
        <v>20</v>
      </c>
      <c r="B238" s="100">
        <f>PETUNJUK!B28</f>
        <v>0</v>
      </c>
      <c r="C238" s="80">
        <f>'1.DATA KIA'!C232</f>
        <v>0</v>
      </c>
      <c r="D238" s="299">
        <f t="shared" si="85"/>
        <v>0</v>
      </c>
      <c r="E238" s="300">
        <f>'1.DATA KIA'!F232</f>
        <v>0</v>
      </c>
      <c r="F238" s="132">
        <f t="shared" si="86"/>
        <v>0</v>
      </c>
      <c r="G238" s="133" t="e">
        <f t="shared" si="87"/>
        <v>#DIV/0!</v>
      </c>
      <c r="H238" s="132">
        <f t="shared" si="88"/>
        <v>0</v>
      </c>
      <c r="I238" s="91">
        <f>'1.DATA KIA'!AB232+'1.DATA KIA'!AE232</f>
        <v>0</v>
      </c>
      <c r="J238" s="132">
        <f t="shared" si="89"/>
        <v>0</v>
      </c>
      <c r="K238" s="133" t="e">
        <f t="shared" si="90"/>
        <v>#DIV/0!</v>
      </c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54"/>
      <c r="Z238" s="168"/>
      <c r="AA238" s="134"/>
      <c r="AB238" s="134"/>
      <c r="AC238" s="134"/>
      <c r="AD238" s="134"/>
      <c r="AE238" s="134"/>
      <c r="AF238" s="134"/>
      <c r="AG238" s="134"/>
      <c r="AH238" s="134"/>
      <c r="AI238" s="134"/>
      <c r="AJ238" s="134"/>
      <c r="AK238" s="134"/>
      <c r="AL238" s="134"/>
      <c r="AM238" s="134"/>
      <c r="AN238" s="134"/>
      <c r="AO238" s="134"/>
      <c r="AP238" s="165"/>
    </row>
    <row r="239" spans="1:42" ht="20.149999999999999" customHeight="1" x14ac:dyDescent="0.35">
      <c r="A239" s="166">
        <v>21</v>
      </c>
      <c r="B239" s="100">
        <f>PETUNJUK!B29</f>
        <v>0</v>
      </c>
      <c r="C239" s="80">
        <f>'1.DATA KIA'!C233</f>
        <v>0</v>
      </c>
      <c r="D239" s="299">
        <f t="shared" si="85"/>
        <v>0</v>
      </c>
      <c r="E239" s="300">
        <f>'1.DATA KIA'!F233</f>
        <v>0</v>
      </c>
      <c r="F239" s="132">
        <f t="shared" si="86"/>
        <v>0</v>
      </c>
      <c r="G239" s="133" t="e">
        <f t="shared" si="87"/>
        <v>#DIV/0!</v>
      </c>
      <c r="H239" s="132">
        <f t="shared" si="88"/>
        <v>0</v>
      </c>
      <c r="I239" s="91">
        <f>'1.DATA KIA'!AB233+'1.DATA KIA'!AE233</f>
        <v>0</v>
      </c>
      <c r="J239" s="132">
        <f t="shared" si="89"/>
        <v>0</v>
      </c>
      <c r="K239" s="133" t="e">
        <f t="shared" si="90"/>
        <v>#DIV/0!</v>
      </c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54"/>
      <c r="Z239" s="168"/>
      <c r="AA239" s="134"/>
      <c r="AB239" s="134"/>
      <c r="AC239" s="134"/>
      <c r="AD239" s="134"/>
      <c r="AE239" s="134"/>
      <c r="AF239" s="134"/>
      <c r="AG239" s="134"/>
      <c r="AH239" s="134"/>
      <c r="AI239" s="134"/>
      <c r="AJ239" s="134"/>
      <c r="AK239" s="134"/>
      <c r="AL239" s="134"/>
      <c r="AM239" s="134"/>
      <c r="AN239" s="134"/>
      <c r="AO239" s="134"/>
      <c r="AP239" s="165"/>
    </row>
    <row r="240" spans="1:42" ht="20.149999999999999" customHeight="1" x14ac:dyDescent="0.35">
      <c r="A240" s="166">
        <v>22</v>
      </c>
      <c r="B240" s="100">
        <f>PETUNJUK!B30</f>
        <v>0</v>
      </c>
      <c r="C240" s="80">
        <f>'1.DATA KIA'!C234</f>
        <v>0</v>
      </c>
      <c r="D240" s="299">
        <f t="shared" si="85"/>
        <v>0</v>
      </c>
      <c r="E240" s="300">
        <f>'1.DATA KIA'!F234</f>
        <v>0</v>
      </c>
      <c r="F240" s="132">
        <f t="shared" si="86"/>
        <v>0</v>
      </c>
      <c r="G240" s="133" t="e">
        <f t="shared" si="87"/>
        <v>#DIV/0!</v>
      </c>
      <c r="H240" s="132">
        <f t="shared" si="88"/>
        <v>0</v>
      </c>
      <c r="I240" s="91">
        <f>'1.DATA KIA'!AB234+'1.DATA KIA'!AE234</f>
        <v>0</v>
      </c>
      <c r="J240" s="132">
        <f t="shared" si="89"/>
        <v>0</v>
      </c>
      <c r="K240" s="133" t="e">
        <f t="shared" si="90"/>
        <v>#DIV/0!</v>
      </c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54"/>
      <c r="Z240" s="168"/>
      <c r="AA240" s="134"/>
      <c r="AB240" s="134"/>
      <c r="AC240" s="134"/>
      <c r="AD240" s="134"/>
      <c r="AE240" s="134"/>
      <c r="AF240" s="134"/>
      <c r="AG240" s="134"/>
      <c r="AH240" s="134"/>
      <c r="AI240" s="134"/>
      <c r="AJ240" s="134"/>
      <c r="AK240" s="134"/>
      <c r="AL240" s="134"/>
      <c r="AM240" s="134"/>
      <c r="AN240" s="134"/>
      <c r="AO240" s="134"/>
      <c r="AP240" s="165"/>
    </row>
    <row r="241" spans="1:42" ht="26.25" customHeight="1" thickBot="1" x14ac:dyDescent="0.4">
      <c r="A241" s="898" t="s">
        <v>18</v>
      </c>
      <c r="B241" s="899"/>
      <c r="C241" s="181">
        <f>SUM(C219:C240)</f>
        <v>1067</v>
      </c>
      <c r="D241" s="181">
        <f>SUM(D219:D240)</f>
        <v>374</v>
      </c>
      <c r="E241" s="181">
        <f>SUM(E219:E240)</f>
        <v>0</v>
      </c>
      <c r="F241" s="181">
        <f>SUM(F219:F240)</f>
        <v>374</v>
      </c>
      <c r="G241" s="182">
        <f t="shared" si="87"/>
        <v>35.051546391752574</v>
      </c>
      <c r="H241" s="183">
        <f>SUM(H219:H240)</f>
        <v>298</v>
      </c>
      <c r="I241" s="183">
        <f>SUM(I219:I240)</f>
        <v>0</v>
      </c>
      <c r="J241" s="183">
        <f>SUM(J219:J240)</f>
        <v>298</v>
      </c>
      <c r="K241" s="182">
        <f t="shared" si="90"/>
        <v>27.928772258669166</v>
      </c>
      <c r="L241" s="184">
        <f>SUM(L219:L240)</f>
        <v>0</v>
      </c>
      <c r="M241" s="184">
        <f t="shared" ref="M241:X241" si="91">SUM(M219:M240)</f>
        <v>0</v>
      </c>
      <c r="N241" s="184">
        <f t="shared" si="91"/>
        <v>0</v>
      </c>
      <c r="O241" s="184">
        <f t="shared" si="91"/>
        <v>0</v>
      </c>
      <c r="P241" s="184">
        <f t="shared" si="91"/>
        <v>0</v>
      </c>
      <c r="Q241" s="184">
        <f t="shared" si="91"/>
        <v>0</v>
      </c>
      <c r="R241" s="184">
        <f t="shared" si="91"/>
        <v>0</v>
      </c>
      <c r="S241" s="184">
        <f t="shared" si="91"/>
        <v>0</v>
      </c>
      <c r="T241" s="184">
        <f t="shared" si="91"/>
        <v>0</v>
      </c>
      <c r="U241" s="184">
        <f t="shared" si="91"/>
        <v>0</v>
      </c>
      <c r="V241" s="184">
        <f t="shared" si="91"/>
        <v>0</v>
      </c>
      <c r="W241" s="184">
        <f t="shared" si="91"/>
        <v>0</v>
      </c>
      <c r="X241" s="185">
        <f t="shared" si="91"/>
        <v>0</v>
      </c>
      <c r="Y241" s="159"/>
      <c r="Z241" s="194">
        <f>SUM(Z219:Z240)</f>
        <v>0</v>
      </c>
      <c r="AA241" s="184">
        <f t="shared" ref="AA241:AP241" si="92">SUM(AA219:AA240)</f>
        <v>0</v>
      </c>
      <c r="AB241" s="184">
        <f t="shared" si="92"/>
        <v>0</v>
      </c>
      <c r="AC241" s="184">
        <f t="shared" si="92"/>
        <v>0</v>
      </c>
      <c r="AD241" s="184">
        <f t="shared" si="92"/>
        <v>0</v>
      </c>
      <c r="AE241" s="184">
        <f t="shared" si="92"/>
        <v>0</v>
      </c>
      <c r="AF241" s="184">
        <f t="shared" si="92"/>
        <v>0</v>
      </c>
      <c r="AG241" s="184">
        <f t="shared" si="92"/>
        <v>0</v>
      </c>
      <c r="AH241" s="184">
        <f t="shared" si="92"/>
        <v>0</v>
      </c>
      <c r="AI241" s="184">
        <f t="shared" si="92"/>
        <v>0</v>
      </c>
      <c r="AJ241" s="184">
        <f t="shared" si="92"/>
        <v>0</v>
      </c>
      <c r="AK241" s="184">
        <f t="shared" si="92"/>
        <v>0</v>
      </c>
      <c r="AL241" s="184">
        <f t="shared" si="92"/>
        <v>0</v>
      </c>
      <c r="AM241" s="184">
        <f t="shared" si="92"/>
        <v>0</v>
      </c>
      <c r="AN241" s="184">
        <f t="shared" si="92"/>
        <v>0</v>
      </c>
      <c r="AO241" s="184">
        <f t="shared" si="92"/>
        <v>0</v>
      </c>
      <c r="AP241" s="185">
        <f t="shared" si="92"/>
        <v>0</v>
      </c>
    </row>
    <row r="242" spans="1:42" ht="15.5" x14ac:dyDescent="0.35">
      <c r="A242" s="140"/>
      <c r="B242" s="140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56"/>
      <c r="Z242" s="102"/>
      <c r="AA242" s="102"/>
      <c r="AB242" s="102"/>
      <c r="AC242" s="102"/>
      <c r="AD242" s="102"/>
      <c r="AE242" s="102"/>
      <c r="AF242" s="102"/>
      <c r="AG242" s="102"/>
      <c r="AH242" s="102"/>
      <c r="AI242" s="102"/>
      <c r="AJ242" s="102"/>
      <c r="AK242" s="102"/>
      <c r="AL242" s="102"/>
      <c r="AM242" s="102"/>
      <c r="AN242" s="102"/>
      <c r="AO242" s="102"/>
      <c r="AP242" s="102"/>
    </row>
    <row r="243" spans="1:42" ht="15.5" x14ac:dyDescent="0.35">
      <c r="A243" s="140"/>
      <c r="B243" s="140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56"/>
      <c r="Z243" s="102"/>
      <c r="AA243" s="102"/>
      <c r="AB243" s="102"/>
      <c r="AC243" s="102"/>
      <c r="AD243" s="102"/>
      <c r="AE243" s="102"/>
      <c r="AF243" s="102"/>
      <c r="AG243" s="102"/>
      <c r="AH243" s="102"/>
      <c r="AI243" s="102"/>
      <c r="AJ243" s="102"/>
      <c r="AK243" s="102"/>
      <c r="AL243" s="102"/>
      <c r="AM243" s="102"/>
      <c r="AN243" s="102"/>
      <c r="AO243" s="102"/>
      <c r="AP243" s="102"/>
    </row>
    <row r="244" spans="1:42" ht="15.5" x14ac:dyDescent="0.35">
      <c r="A244" s="140"/>
      <c r="B244" s="140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56"/>
      <c r="Z244" s="102"/>
      <c r="AA244" s="102"/>
      <c r="AB244" s="102"/>
      <c r="AC244" s="102"/>
      <c r="AD244" s="102"/>
      <c r="AE244" s="102"/>
      <c r="AF244" s="102"/>
      <c r="AG244" s="102"/>
      <c r="AH244" s="102"/>
      <c r="AI244" s="102"/>
      <c r="AJ244" s="102"/>
      <c r="AK244" s="102"/>
      <c r="AL244" s="102"/>
      <c r="AM244" s="102"/>
      <c r="AN244" s="102"/>
      <c r="AO244" s="102"/>
      <c r="AP244" s="102"/>
    </row>
    <row r="245" spans="1:42" ht="15.5" x14ac:dyDescent="0.35">
      <c r="A245" s="140"/>
      <c r="B245" s="140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56"/>
      <c r="Z245" s="102"/>
      <c r="AA245" s="102"/>
      <c r="AB245" s="102"/>
      <c r="AC245" s="102"/>
      <c r="AD245" s="102"/>
      <c r="AE245" s="102"/>
      <c r="AF245" s="102"/>
      <c r="AG245" s="102"/>
      <c r="AH245" s="102"/>
      <c r="AI245" s="102"/>
      <c r="AJ245" s="102"/>
      <c r="AK245" s="102"/>
      <c r="AL245" s="102"/>
      <c r="AM245" s="102"/>
      <c r="AN245" s="102"/>
      <c r="AO245" s="102"/>
      <c r="AP245" s="102"/>
    </row>
    <row r="246" spans="1:42" ht="15.5" x14ac:dyDescent="0.35">
      <c r="A246" s="137"/>
      <c r="B246" s="138"/>
      <c r="C246" s="76" t="s">
        <v>64</v>
      </c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101"/>
      <c r="T246" s="101"/>
      <c r="U246" s="101"/>
      <c r="V246" s="101"/>
      <c r="W246" s="101"/>
      <c r="X246" s="101"/>
      <c r="Y246" s="151"/>
      <c r="Z246" s="101"/>
      <c r="AA246" s="101"/>
      <c r="AB246" s="101"/>
      <c r="AC246" s="101"/>
      <c r="AD246" s="101"/>
      <c r="AE246" s="101"/>
      <c r="AF246" s="101"/>
      <c r="AG246" s="101"/>
      <c r="AH246" s="101"/>
      <c r="AI246" s="101"/>
      <c r="AJ246" s="101"/>
      <c r="AK246" s="101"/>
      <c r="AL246" s="101"/>
      <c r="AM246" s="101"/>
      <c r="AN246" s="101"/>
      <c r="AO246" s="101"/>
      <c r="AP246" s="101"/>
    </row>
    <row r="247" spans="1:42" ht="15.5" x14ac:dyDescent="0.35">
      <c r="A247" s="137"/>
      <c r="B247" s="98"/>
      <c r="C247" s="103" t="s">
        <v>197</v>
      </c>
      <c r="D247" s="78"/>
      <c r="E247" s="79" t="str">
        <f>PETUNJUK!C5</f>
        <v>PECANGAAN</v>
      </c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101"/>
      <c r="T247" s="101"/>
      <c r="U247" s="101"/>
      <c r="V247" s="101" t="s">
        <v>199</v>
      </c>
      <c r="W247" s="101"/>
      <c r="X247" s="101"/>
      <c r="Y247" s="151"/>
      <c r="Z247" s="101"/>
      <c r="AA247" s="101"/>
      <c r="AB247" s="101"/>
      <c r="AC247" s="101"/>
      <c r="AD247" s="101"/>
      <c r="AE247" s="101"/>
      <c r="AF247" s="101"/>
      <c r="AG247" s="101"/>
      <c r="AH247" s="101"/>
      <c r="AI247" s="101"/>
      <c r="AJ247" s="101"/>
      <c r="AK247" s="101"/>
      <c r="AL247" s="101"/>
      <c r="AM247" s="101"/>
      <c r="AN247" s="101"/>
      <c r="AO247" s="101" t="s">
        <v>200</v>
      </c>
      <c r="AP247" s="101"/>
    </row>
    <row r="248" spans="1:42" ht="15.5" x14ac:dyDescent="0.35">
      <c r="A248" s="137"/>
      <c r="B248" s="139"/>
      <c r="C248" s="104" t="s">
        <v>198</v>
      </c>
      <c r="D248" s="105"/>
      <c r="E248" s="106" t="str">
        <f>'1.DATA KIA'!C242</f>
        <v xml:space="preserve">AGUSTUS </v>
      </c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1"/>
      <c r="T248" s="101"/>
      <c r="U248" s="101"/>
      <c r="V248" s="101"/>
      <c r="W248" s="101"/>
      <c r="X248" s="101"/>
      <c r="Y248" s="151"/>
      <c r="Z248" s="101"/>
      <c r="AA248" s="101"/>
      <c r="AB248" s="101"/>
      <c r="AC248" s="101"/>
      <c r="AD248" s="101"/>
      <c r="AE248" s="101"/>
      <c r="AF248" s="101"/>
      <c r="AG248" s="101"/>
      <c r="AH248" s="101"/>
      <c r="AI248" s="101"/>
      <c r="AJ248" s="101"/>
      <c r="AK248" s="101"/>
      <c r="AL248" s="101"/>
      <c r="AM248" s="101"/>
      <c r="AN248" s="101"/>
      <c r="AO248" s="101"/>
      <c r="AP248" s="101"/>
    </row>
    <row r="249" spans="1:42" ht="16" thickBot="1" x14ac:dyDescent="0.4">
      <c r="A249" s="870"/>
      <c r="B249" s="870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1"/>
      <c r="T249" s="101"/>
      <c r="U249" s="101"/>
      <c r="V249" s="101"/>
      <c r="W249" s="101"/>
      <c r="X249" s="101"/>
      <c r="Y249" s="151"/>
      <c r="Z249" s="101"/>
      <c r="AA249" s="101"/>
      <c r="AB249" s="101"/>
      <c r="AC249" s="101"/>
      <c r="AD249" s="101"/>
      <c r="AE249" s="101"/>
      <c r="AF249" s="101"/>
      <c r="AG249" s="101"/>
      <c r="AH249" s="101"/>
      <c r="AI249" s="101"/>
      <c r="AJ249" s="101"/>
      <c r="AK249" s="101"/>
      <c r="AL249" s="101"/>
      <c r="AM249" s="101"/>
      <c r="AN249" s="101"/>
      <c r="AO249" s="101"/>
      <c r="AP249" s="101"/>
    </row>
    <row r="250" spans="1:42" ht="38.5" customHeight="1" x14ac:dyDescent="0.35">
      <c r="A250" s="871" t="s">
        <v>1</v>
      </c>
      <c r="B250" s="874" t="s">
        <v>2</v>
      </c>
      <c r="C250" s="877" t="s">
        <v>65</v>
      </c>
      <c r="D250" s="847" t="s">
        <v>66</v>
      </c>
      <c r="E250" s="848"/>
      <c r="F250" s="848"/>
      <c r="G250" s="880"/>
      <c r="H250" s="859" t="s">
        <v>194</v>
      </c>
      <c r="I250" s="860"/>
      <c r="J250" s="860"/>
      <c r="K250" s="861"/>
      <c r="L250" s="847" t="s">
        <v>67</v>
      </c>
      <c r="M250" s="848"/>
      <c r="N250" s="848"/>
      <c r="O250" s="848"/>
      <c r="P250" s="848"/>
      <c r="Q250" s="848"/>
      <c r="R250" s="848"/>
      <c r="S250" s="848"/>
      <c r="T250" s="848"/>
      <c r="U250" s="848"/>
      <c r="V250" s="848"/>
      <c r="W250" s="848"/>
      <c r="X250" s="849"/>
      <c r="Y250" s="152"/>
      <c r="Z250" s="850" t="s">
        <v>79</v>
      </c>
      <c r="AA250" s="851"/>
      <c r="AB250" s="851"/>
      <c r="AC250" s="851"/>
      <c r="AD250" s="851"/>
      <c r="AE250" s="851"/>
      <c r="AF250" s="851"/>
      <c r="AG250" s="851"/>
      <c r="AH250" s="851"/>
      <c r="AI250" s="851"/>
      <c r="AJ250" s="851"/>
      <c r="AK250" s="851"/>
      <c r="AL250" s="851"/>
      <c r="AM250" s="851"/>
      <c r="AN250" s="851"/>
      <c r="AO250" s="851"/>
      <c r="AP250" s="852"/>
    </row>
    <row r="251" spans="1:42" ht="93.65" customHeight="1" x14ac:dyDescent="0.35">
      <c r="A251" s="872"/>
      <c r="B251" s="875"/>
      <c r="C251" s="878"/>
      <c r="D251" s="853" t="s">
        <v>68</v>
      </c>
      <c r="E251" s="856" t="s">
        <v>69</v>
      </c>
      <c r="F251" s="856" t="s">
        <v>36</v>
      </c>
      <c r="G251" s="856" t="s">
        <v>37</v>
      </c>
      <c r="H251" s="853" t="s">
        <v>68</v>
      </c>
      <c r="I251" s="856" t="s">
        <v>69</v>
      </c>
      <c r="J251" s="856" t="s">
        <v>36</v>
      </c>
      <c r="K251" s="856" t="s">
        <v>37</v>
      </c>
      <c r="L251" s="865" t="s">
        <v>196</v>
      </c>
      <c r="M251" s="866"/>
      <c r="N251" s="867" t="s">
        <v>70</v>
      </c>
      <c r="O251" s="868"/>
      <c r="P251" s="865" t="s">
        <v>71</v>
      </c>
      <c r="Q251" s="869"/>
      <c r="R251" s="866"/>
      <c r="S251" s="838" t="s">
        <v>80</v>
      </c>
      <c r="T251" s="838"/>
      <c r="U251" s="838"/>
      <c r="V251" s="838"/>
      <c r="W251" s="838"/>
      <c r="X251" s="832"/>
      <c r="Y251" s="153"/>
      <c r="Z251" s="839" t="s">
        <v>81</v>
      </c>
      <c r="AA251" s="838"/>
      <c r="AB251" s="838"/>
      <c r="AC251" s="840" t="s">
        <v>195</v>
      </c>
      <c r="AD251" s="841"/>
      <c r="AE251" s="862" t="s">
        <v>82</v>
      </c>
      <c r="AF251" s="863"/>
      <c r="AG251" s="862" t="s">
        <v>83</v>
      </c>
      <c r="AH251" s="864"/>
      <c r="AI251" s="864"/>
      <c r="AJ251" s="864"/>
      <c r="AK251" s="864"/>
      <c r="AL251" s="863"/>
      <c r="AM251" s="831" t="s">
        <v>84</v>
      </c>
      <c r="AN251" s="838"/>
      <c r="AO251" s="838"/>
      <c r="AP251" s="832"/>
    </row>
    <row r="252" spans="1:42" ht="21.75" customHeight="1" x14ac:dyDescent="0.35">
      <c r="A252" s="872"/>
      <c r="B252" s="875"/>
      <c r="C252" s="878"/>
      <c r="D252" s="854"/>
      <c r="E252" s="857"/>
      <c r="F252" s="857"/>
      <c r="G252" s="857"/>
      <c r="H252" s="854"/>
      <c r="I252" s="857"/>
      <c r="J252" s="857"/>
      <c r="K252" s="857"/>
      <c r="L252" s="856" t="s">
        <v>72</v>
      </c>
      <c r="M252" s="856" t="s">
        <v>73</v>
      </c>
      <c r="N252" s="856" t="s">
        <v>74</v>
      </c>
      <c r="O252" s="856" t="s">
        <v>75</v>
      </c>
      <c r="P252" s="856" t="s">
        <v>76</v>
      </c>
      <c r="Q252" s="856" t="s">
        <v>77</v>
      </c>
      <c r="R252" s="856" t="s">
        <v>78</v>
      </c>
      <c r="S252" s="836" t="s">
        <v>85</v>
      </c>
      <c r="T252" s="842" t="s">
        <v>86</v>
      </c>
      <c r="U252" s="842" t="s">
        <v>87</v>
      </c>
      <c r="V252" s="842" t="s">
        <v>88</v>
      </c>
      <c r="W252" s="831" t="s">
        <v>89</v>
      </c>
      <c r="X252" s="832"/>
      <c r="Y252" s="153"/>
      <c r="Z252" s="844" t="s">
        <v>90</v>
      </c>
      <c r="AA252" s="834" t="s">
        <v>77</v>
      </c>
      <c r="AB252" s="834" t="s">
        <v>76</v>
      </c>
      <c r="AC252" s="834" t="s">
        <v>93</v>
      </c>
      <c r="AD252" s="834" t="s">
        <v>2</v>
      </c>
      <c r="AE252" s="834" t="s">
        <v>93</v>
      </c>
      <c r="AF252" s="834" t="s">
        <v>2</v>
      </c>
      <c r="AG252" s="834" t="s">
        <v>94</v>
      </c>
      <c r="AH252" s="834" t="s">
        <v>95</v>
      </c>
      <c r="AI252" s="834" t="s">
        <v>96</v>
      </c>
      <c r="AJ252" s="834" t="s">
        <v>97</v>
      </c>
      <c r="AK252" s="834" t="s">
        <v>98</v>
      </c>
      <c r="AL252" s="834" t="s">
        <v>99</v>
      </c>
      <c r="AM252" s="831" t="s">
        <v>91</v>
      </c>
      <c r="AN252" s="846"/>
      <c r="AO252" s="831" t="s">
        <v>7</v>
      </c>
      <c r="AP252" s="832"/>
    </row>
    <row r="253" spans="1:42" ht="24.75" customHeight="1" x14ac:dyDescent="0.35">
      <c r="A253" s="873"/>
      <c r="B253" s="876"/>
      <c r="C253" s="879"/>
      <c r="D253" s="855"/>
      <c r="E253" s="858"/>
      <c r="F253" s="858"/>
      <c r="G253" s="858"/>
      <c r="H253" s="855"/>
      <c r="I253" s="858"/>
      <c r="J253" s="858"/>
      <c r="K253" s="858"/>
      <c r="L253" s="858"/>
      <c r="M253" s="858"/>
      <c r="N253" s="858"/>
      <c r="O253" s="858"/>
      <c r="P253" s="858"/>
      <c r="Q253" s="858"/>
      <c r="R253" s="858"/>
      <c r="S253" s="837"/>
      <c r="T253" s="843"/>
      <c r="U253" s="843"/>
      <c r="V253" s="843"/>
      <c r="W253" s="162" t="s">
        <v>76</v>
      </c>
      <c r="X253" s="163" t="s">
        <v>92</v>
      </c>
      <c r="Y253" s="153"/>
      <c r="Z253" s="845"/>
      <c r="AA253" s="835"/>
      <c r="AB253" s="835"/>
      <c r="AC253" s="835"/>
      <c r="AD253" s="835"/>
      <c r="AE253" s="835"/>
      <c r="AF253" s="835"/>
      <c r="AG253" s="835"/>
      <c r="AH253" s="835"/>
      <c r="AI253" s="835"/>
      <c r="AJ253" s="835"/>
      <c r="AK253" s="835"/>
      <c r="AL253" s="835"/>
      <c r="AM253" s="162" t="s">
        <v>100</v>
      </c>
      <c r="AN253" s="162" t="s">
        <v>101</v>
      </c>
      <c r="AO253" s="162" t="s">
        <v>100</v>
      </c>
      <c r="AP253" s="163" t="s">
        <v>101</v>
      </c>
    </row>
    <row r="254" spans="1:42" ht="20.149999999999999" customHeight="1" x14ac:dyDescent="0.35">
      <c r="A254" s="164">
        <v>1</v>
      </c>
      <c r="B254" s="99" t="str">
        <f>PETUNJUK!B9</f>
        <v>Pecangaan Kulon</v>
      </c>
      <c r="C254" s="80">
        <f>'1.DATA KIA'!C247</f>
        <v>101.2</v>
      </c>
      <c r="D254" s="299">
        <f t="shared" ref="D254:D269" si="93">F219</f>
        <v>30</v>
      </c>
      <c r="E254" s="300">
        <f>'1.DATA KIA'!F247</f>
        <v>0</v>
      </c>
      <c r="F254" s="132">
        <f>D254+E254</f>
        <v>30</v>
      </c>
      <c r="G254" s="133">
        <f>F254/C254*100</f>
        <v>29.644268774703558</v>
      </c>
      <c r="H254" s="132">
        <f t="shared" ref="H254:H269" si="94">J219</f>
        <v>29</v>
      </c>
      <c r="I254" s="91">
        <f>'1.DATA KIA'!AB247+'1.DATA KIA'!AE247</f>
        <v>0</v>
      </c>
      <c r="J254" s="132">
        <f>H254+I254</f>
        <v>29</v>
      </c>
      <c r="K254" s="133">
        <f>J254/C254*100</f>
        <v>28.656126482213441</v>
      </c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54"/>
      <c r="Z254" s="168"/>
      <c r="AA254" s="134"/>
      <c r="AB254" s="134"/>
      <c r="AC254" s="134"/>
      <c r="AD254" s="134"/>
      <c r="AE254" s="134"/>
      <c r="AF254" s="134"/>
      <c r="AG254" s="134"/>
      <c r="AH254" s="134"/>
      <c r="AI254" s="134"/>
      <c r="AJ254" s="134"/>
      <c r="AK254" s="134"/>
      <c r="AL254" s="134"/>
      <c r="AM254" s="134"/>
      <c r="AN254" s="134"/>
      <c r="AO254" s="134"/>
      <c r="AP254" s="165"/>
    </row>
    <row r="255" spans="1:42" ht="20.149999999999999" customHeight="1" x14ac:dyDescent="0.35">
      <c r="A255" s="166">
        <v>2</v>
      </c>
      <c r="B255" s="100" t="str">
        <f>PETUNJUK!B10</f>
        <v>Rengging</v>
      </c>
      <c r="C255" s="83">
        <f>'1.DATA KIA'!C248</f>
        <v>111.10000000000001</v>
      </c>
      <c r="D255" s="301">
        <f t="shared" si="93"/>
        <v>54</v>
      </c>
      <c r="E255" s="301">
        <f>'1.DATA KIA'!F248</f>
        <v>0</v>
      </c>
      <c r="F255" s="84">
        <f t="shared" ref="F255:F269" si="95">D255+E255</f>
        <v>54</v>
      </c>
      <c r="G255" s="86">
        <f t="shared" ref="G255:G269" si="96">F255/C255*100</f>
        <v>48.604860486048601</v>
      </c>
      <c r="H255" s="84">
        <f t="shared" si="94"/>
        <v>34</v>
      </c>
      <c r="I255" s="84">
        <f>'1.DATA KIA'!AB248+'1.DATA KIA'!AE248</f>
        <v>0</v>
      </c>
      <c r="J255" s="84">
        <f t="shared" ref="J255:J269" si="97">H255+I255</f>
        <v>34</v>
      </c>
      <c r="K255" s="86">
        <f t="shared" ref="K255:K269" si="98">J255/C255*100</f>
        <v>30.603060306030599</v>
      </c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54"/>
      <c r="Z255" s="168"/>
      <c r="AA255" s="134"/>
      <c r="AB255" s="134"/>
      <c r="AC255" s="134"/>
      <c r="AD255" s="134"/>
      <c r="AE255" s="134"/>
      <c r="AF255" s="134"/>
      <c r="AG255" s="134"/>
      <c r="AH255" s="134"/>
      <c r="AI255" s="134"/>
      <c r="AJ255" s="134"/>
      <c r="AK255" s="134"/>
      <c r="AL255" s="134"/>
      <c r="AM255" s="134"/>
      <c r="AN255" s="134"/>
      <c r="AO255" s="134"/>
      <c r="AP255" s="165"/>
    </row>
    <row r="256" spans="1:42" ht="20.149999999999999" customHeight="1" x14ac:dyDescent="0.35">
      <c r="A256" s="166">
        <v>3</v>
      </c>
      <c r="B256" s="100" t="str">
        <f>PETUNJUK!B11</f>
        <v>Troso</v>
      </c>
      <c r="C256" s="83">
        <f>'1.DATA KIA'!C249</f>
        <v>205.70000000000002</v>
      </c>
      <c r="D256" s="301">
        <f t="shared" si="93"/>
        <v>78</v>
      </c>
      <c r="E256" s="301">
        <f>'1.DATA KIA'!F249</f>
        <v>0</v>
      </c>
      <c r="F256" s="84">
        <f t="shared" si="95"/>
        <v>78</v>
      </c>
      <c r="G256" s="86">
        <f t="shared" si="96"/>
        <v>37.919299951385511</v>
      </c>
      <c r="H256" s="84">
        <f t="shared" si="94"/>
        <v>60</v>
      </c>
      <c r="I256" s="84">
        <f>'1.DATA KIA'!AB249+'1.DATA KIA'!AE249</f>
        <v>0</v>
      </c>
      <c r="J256" s="84">
        <f t="shared" si="97"/>
        <v>60</v>
      </c>
      <c r="K256" s="86">
        <f t="shared" si="98"/>
        <v>29.168692270296546</v>
      </c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54"/>
      <c r="Z256" s="168"/>
      <c r="AA256" s="134"/>
      <c r="AB256" s="134"/>
      <c r="AC256" s="134"/>
      <c r="AD256" s="134"/>
      <c r="AE256" s="134"/>
      <c r="AF256" s="134"/>
      <c r="AG256" s="134"/>
      <c r="AH256" s="134"/>
      <c r="AI256" s="134"/>
      <c r="AJ256" s="134"/>
      <c r="AK256" s="134"/>
      <c r="AL256" s="134"/>
      <c r="AM256" s="134"/>
      <c r="AN256" s="134"/>
      <c r="AO256" s="134"/>
      <c r="AP256" s="165"/>
    </row>
    <row r="257" spans="1:42" ht="20.149999999999999" customHeight="1" x14ac:dyDescent="0.35">
      <c r="A257" s="166">
        <v>4</v>
      </c>
      <c r="B257" s="100" t="str">
        <f>PETUNJUK!B12</f>
        <v>Ngeling</v>
      </c>
      <c r="C257" s="83">
        <f>'1.DATA KIA'!C250</f>
        <v>95.7</v>
      </c>
      <c r="D257" s="301">
        <f t="shared" si="93"/>
        <v>30</v>
      </c>
      <c r="E257" s="301">
        <f>'1.DATA KIA'!F250</f>
        <v>0</v>
      </c>
      <c r="F257" s="84">
        <f t="shared" si="95"/>
        <v>30</v>
      </c>
      <c r="G257" s="86">
        <f t="shared" si="96"/>
        <v>31.347962382445139</v>
      </c>
      <c r="H257" s="84">
        <f t="shared" si="94"/>
        <v>28</v>
      </c>
      <c r="I257" s="84">
        <f>'1.DATA KIA'!AB250+'1.DATA KIA'!AE250</f>
        <v>0</v>
      </c>
      <c r="J257" s="84">
        <f t="shared" si="97"/>
        <v>28</v>
      </c>
      <c r="K257" s="86">
        <f t="shared" si="98"/>
        <v>29.258098223615463</v>
      </c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54"/>
      <c r="Z257" s="168"/>
      <c r="AA257" s="134"/>
      <c r="AB257" s="134"/>
      <c r="AC257" s="134"/>
      <c r="AD257" s="134"/>
      <c r="AE257" s="134"/>
      <c r="AF257" s="134"/>
      <c r="AG257" s="134"/>
      <c r="AH257" s="134"/>
      <c r="AI257" s="134"/>
      <c r="AJ257" s="134"/>
      <c r="AK257" s="134"/>
      <c r="AL257" s="134"/>
      <c r="AM257" s="134"/>
      <c r="AN257" s="134"/>
      <c r="AO257" s="134"/>
      <c r="AP257" s="165"/>
    </row>
    <row r="258" spans="1:42" ht="20.149999999999999" customHeight="1" x14ac:dyDescent="0.35">
      <c r="A258" s="166">
        <v>5</v>
      </c>
      <c r="B258" s="100" t="str">
        <f>PETUNJUK!B13</f>
        <v>Lebuawu</v>
      </c>
      <c r="C258" s="83">
        <f>'1.DATA KIA'!C251</f>
        <v>85.800000000000011</v>
      </c>
      <c r="D258" s="301">
        <f t="shared" si="93"/>
        <v>33</v>
      </c>
      <c r="E258" s="301">
        <f>'1.DATA KIA'!F251</f>
        <v>0</v>
      </c>
      <c r="F258" s="84">
        <f t="shared" si="95"/>
        <v>33</v>
      </c>
      <c r="G258" s="86">
        <f t="shared" si="96"/>
        <v>38.46153846153846</v>
      </c>
      <c r="H258" s="84">
        <f t="shared" si="94"/>
        <v>23</v>
      </c>
      <c r="I258" s="84">
        <f>'1.DATA KIA'!AB251+'1.DATA KIA'!AE251</f>
        <v>0</v>
      </c>
      <c r="J258" s="84">
        <f t="shared" si="97"/>
        <v>23</v>
      </c>
      <c r="K258" s="86">
        <f t="shared" si="98"/>
        <v>26.806526806526804</v>
      </c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54"/>
      <c r="Z258" s="168"/>
      <c r="AA258" s="134"/>
      <c r="AB258" s="134"/>
      <c r="AC258" s="134"/>
      <c r="AD258" s="134"/>
      <c r="AE258" s="134"/>
      <c r="AF258" s="134"/>
      <c r="AG258" s="134"/>
      <c r="AH258" s="134"/>
      <c r="AI258" s="134"/>
      <c r="AJ258" s="134"/>
      <c r="AK258" s="134"/>
      <c r="AL258" s="134"/>
      <c r="AM258" s="134"/>
      <c r="AN258" s="134"/>
      <c r="AO258" s="134"/>
      <c r="AP258" s="165"/>
    </row>
    <row r="259" spans="1:42" ht="20.149999999999999" customHeight="1" x14ac:dyDescent="0.35">
      <c r="A259" s="166">
        <v>6</v>
      </c>
      <c r="B259" s="100" t="str">
        <f>PETUNJUK!B14</f>
        <v>Pulodarat</v>
      </c>
      <c r="C259" s="83">
        <f>'1.DATA KIA'!C252</f>
        <v>82.5</v>
      </c>
      <c r="D259" s="301">
        <f t="shared" si="93"/>
        <v>18</v>
      </c>
      <c r="E259" s="301">
        <f>'1.DATA KIA'!F252</f>
        <v>0</v>
      </c>
      <c r="F259" s="84">
        <f t="shared" si="95"/>
        <v>18</v>
      </c>
      <c r="G259" s="86">
        <f t="shared" si="96"/>
        <v>21.818181818181817</v>
      </c>
      <c r="H259" s="84">
        <f t="shared" si="94"/>
        <v>17</v>
      </c>
      <c r="I259" s="84">
        <f>'1.DATA KIA'!AD252+'1.DATA KIA'!AG252</f>
        <v>0</v>
      </c>
      <c r="J259" s="84">
        <f t="shared" si="97"/>
        <v>17</v>
      </c>
      <c r="K259" s="86">
        <f t="shared" si="98"/>
        <v>20.606060606060606</v>
      </c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54"/>
      <c r="Z259" s="168"/>
      <c r="AA259" s="134"/>
      <c r="AB259" s="134"/>
      <c r="AC259" s="134"/>
      <c r="AD259" s="134"/>
      <c r="AE259" s="134"/>
      <c r="AF259" s="134"/>
      <c r="AG259" s="134"/>
      <c r="AH259" s="134"/>
      <c r="AI259" s="134"/>
      <c r="AJ259" s="134"/>
      <c r="AK259" s="134"/>
      <c r="AL259" s="134"/>
      <c r="AM259" s="134"/>
      <c r="AN259" s="134"/>
      <c r="AO259" s="134"/>
      <c r="AP259" s="165"/>
    </row>
    <row r="260" spans="1:42" ht="20.149999999999999" customHeight="1" x14ac:dyDescent="0.35">
      <c r="A260" s="166">
        <v>7</v>
      </c>
      <c r="B260" s="100" t="str">
        <f>PETUNJUK!B15</f>
        <v>Karangrandu</v>
      </c>
      <c r="C260" s="83">
        <f>'1.DATA KIA'!C253</f>
        <v>93.500000000000014</v>
      </c>
      <c r="D260" s="301">
        <f t="shared" si="93"/>
        <v>31</v>
      </c>
      <c r="E260" s="301">
        <f>'1.DATA KIA'!F253</f>
        <v>0</v>
      </c>
      <c r="F260" s="84">
        <f t="shared" si="95"/>
        <v>31</v>
      </c>
      <c r="G260" s="86">
        <f t="shared" si="96"/>
        <v>33.155080213903737</v>
      </c>
      <c r="H260" s="84">
        <f t="shared" si="94"/>
        <v>27</v>
      </c>
      <c r="I260" s="84">
        <f>'1.DATA KIA'!AB253+'1.DATA KIA'!AE253</f>
        <v>0</v>
      </c>
      <c r="J260" s="84">
        <f t="shared" si="97"/>
        <v>27</v>
      </c>
      <c r="K260" s="86">
        <f t="shared" si="98"/>
        <v>28.877005347593578</v>
      </c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54"/>
      <c r="Z260" s="168"/>
      <c r="AA260" s="134"/>
      <c r="AB260" s="134"/>
      <c r="AC260" s="134"/>
      <c r="AD260" s="134"/>
      <c r="AE260" s="134"/>
      <c r="AF260" s="134"/>
      <c r="AG260" s="134"/>
      <c r="AH260" s="134"/>
      <c r="AI260" s="134"/>
      <c r="AJ260" s="134"/>
      <c r="AK260" s="134"/>
      <c r="AL260" s="134"/>
      <c r="AM260" s="134"/>
      <c r="AN260" s="134"/>
      <c r="AO260" s="134"/>
      <c r="AP260" s="165"/>
    </row>
    <row r="261" spans="1:42" ht="20.149999999999999" customHeight="1" x14ac:dyDescent="0.35">
      <c r="A261" s="166">
        <v>8</v>
      </c>
      <c r="B261" s="100" t="str">
        <f>PETUNJUK!B16</f>
        <v>Kaliombo</v>
      </c>
      <c r="C261" s="83">
        <f>'1.DATA KIA'!C254</f>
        <v>46.2</v>
      </c>
      <c r="D261" s="301">
        <f t="shared" si="93"/>
        <v>13</v>
      </c>
      <c r="E261" s="301">
        <f>'1.DATA KIA'!F254</f>
        <v>0</v>
      </c>
      <c r="F261" s="84">
        <f t="shared" si="95"/>
        <v>13</v>
      </c>
      <c r="G261" s="86">
        <f t="shared" si="96"/>
        <v>28.138528138528134</v>
      </c>
      <c r="H261" s="84">
        <f t="shared" si="94"/>
        <v>13</v>
      </c>
      <c r="I261" s="84">
        <f>'1.DATA KIA'!AB254+'1.DATA KIA'!AE254</f>
        <v>0</v>
      </c>
      <c r="J261" s="84">
        <f t="shared" si="97"/>
        <v>13</v>
      </c>
      <c r="K261" s="86">
        <f t="shared" si="98"/>
        <v>28.138528138528134</v>
      </c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54"/>
      <c r="Z261" s="168"/>
      <c r="AA261" s="134"/>
      <c r="AB261" s="134"/>
      <c r="AC261" s="134"/>
      <c r="AD261" s="134"/>
      <c r="AE261" s="134"/>
      <c r="AF261" s="134"/>
      <c r="AG261" s="134"/>
      <c r="AH261" s="134"/>
      <c r="AI261" s="134"/>
      <c r="AJ261" s="134"/>
      <c r="AK261" s="134"/>
      <c r="AL261" s="134"/>
      <c r="AM261" s="134"/>
      <c r="AN261" s="134"/>
      <c r="AO261" s="134"/>
      <c r="AP261" s="165"/>
    </row>
    <row r="262" spans="1:42" ht="20.149999999999999" customHeight="1" x14ac:dyDescent="0.35">
      <c r="A262" s="166">
        <v>9</v>
      </c>
      <c r="B262" s="100" t="str">
        <f>PETUNJUK!B17</f>
        <v>Gemulung</v>
      </c>
      <c r="C262" s="83">
        <f>'1.DATA KIA'!C255</f>
        <v>53.900000000000006</v>
      </c>
      <c r="D262" s="301">
        <f t="shared" si="93"/>
        <v>19</v>
      </c>
      <c r="E262" s="301">
        <f>'1.DATA KIA'!F255</f>
        <v>0</v>
      </c>
      <c r="F262" s="84">
        <f t="shared" si="95"/>
        <v>19</v>
      </c>
      <c r="G262" s="86">
        <f t="shared" si="96"/>
        <v>35.250463821892389</v>
      </c>
      <c r="H262" s="84">
        <f t="shared" si="94"/>
        <v>20</v>
      </c>
      <c r="I262" s="84">
        <f>'1.DATA KIA'!AB255+'1.DATA KIA'!AE255</f>
        <v>0</v>
      </c>
      <c r="J262" s="84">
        <f t="shared" si="97"/>
        <v>20</v>
      </c>
      <c r="K262" s="86">
        <f t="shared" si="98"/>
        <v>37.105751391465674</v>
      </c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54"/>
      <c r="Z262" s="168"/>
      <c r="AA262" s="134"/>
      <c r="AB262" s="134"/>
      <c r="AC262" s="134"/>
      <c r="AD262" s="134"/>
      <c r="AE262" s="134"/>
      <c r="AF262" s="134"/>
      <c r="AG262" s="134"/>
      <c r="AH262" s="134"/>
      <c r="AI262" s="134"/>
      <c r="AJ262" s="134"/>
      <c r="AK262" s="134"/>
      <c r="AL262" s="134"/>
      <c r="AM262" s="134"/>
      <c r="AN262" s="134"/>
      <c r="AO262" s="134"/>
      <c r="AP262" s="165"/>
    </row>
    <row r="263" spans="1:42" ht="20.149999999999999" customHeight="1" x14ac:dyDescent="0.35">
      <c r="A263" s="166">
        <v>10</v>
      </c>
      <c r="B263" s="100" t="str">
        <f>PETUNJUK!B18</f>
        <v>Pecangaan Wetan</v>
      </c>
      <c r="C263" s="83">
        <f>'1.DATA KIA'!C256</f>
        <v>50.6</v>
      </c>
      <c r="D263" s="301">
        <f t="shared" si="93"/>
        <v>15</v>
      </c>
      <c r="E263" s="301">
        <f>'1.DATA KIA'!F256</f>
        <v>0</v>
      </c>
      <c r="F263" s="84">
        <f t="shared" si="95"/>
        <v>15</v>
      </c>
      <c r="G263" s="86">
        <f t="shared" si="96"/>
        <v>29.644268774703558</v>
      </c>
      <c r="H263" s="84">
        <f t="shared" si="94"/>
        <v>13</v>
      </c>
      <c r="I263" s="84">
        <f>'1.DATA KIA'!AB256+'1.DATA KIA'!AE256</f>
        <v>0</v>
      </c>
      <c r="J263" s="84">
        <f t="shared" si="97"/>
        <v>13</v>
      </c>
      <c r="K263" s="86">
        <f t="shared" si="98"/>
        <v>25.691699604743086</v>
      </c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54"/>
      <c r="Z263" s="168"/>
      <c r="AA263" s="134"/>
      <c r="AB263" s="134"/>
      <c r="AC263" s="134"/>
      <c r="AD263" s="134"/>
      <c r="AE263" s="134"/>
      <c r="AF263" s="134"/>
      <c r="AG263" s="134"/>
      <c r="AH263" s="134"/>
      <c r="AI263" s="134"/>
      <c r="AJ263" s="134"/>
      <c r="AK263" s="134"/>
      <c r="AL263" s="134"/>
      <c r="AM263" s="134"/>
      <c r="AN263" s="134"/>
      <c r="AO263" s="134"/>
      <c r="AP263" s="165"/>
    </row>
    <row r="264" spans="1:42" ht="20.149999999999999" customHeight="1" x14ac:dyDescent="0.35">
      <c r="A264" s="166">
        <v>11</v>
      </c>
      <c r="B264" s="100" t="str">
        <f>PETUNJUK!B19</f>
        <v>Krasak</v>
      </c>
      <c r="C264" s="83">
        <f>'1.DATA KIA'!C257</f>
        <v>117.7</v>
      </c>
      <c r="D264" s="301">
        <f t="shared" si="93"/>
        <v>45</v>
      </c>
      <c r="E264" s="301">
        <f>'1.DATA KIA'!F257</f>
        <v>0</v>
      </c>
      <c r="F264" s="84">
        <f t="shared" si="95"/>
        <v>45</v>
      </c>
      <c r="G264" s="86">
        <f t="shared" si="96"/>
        <v>38.232795242141037</v>
      </c>
      <c r="H264" s="84">
        <f t="shared" si="94"/>
        <v>29</v>
      </c>
      <c r="I264" s="84">
        <f>'1.DATA KIA'!AB257+'1.DATA KIA'!AE257</f>
        <v>0</v>
      </c>
      <c r="J264" s="84">
        <f t="shared" si="97"/>
        <v>29</v>
      </c>
      <c r="K264" s="86">
        <f t="shared" si="98"/>
        <v>24.638912489379777</v>
      </c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54"/>
      <c r="Z264" s="168"/>
      <c r="AA264" s="134"/>
      <c r="AB264" s="134"/>
      <c r="AC264" s="134"/>
      <c r="AD264" s="134"/>
      <c r="AE264" s="134"/>
      <c r="AF264" s="134"/>
      <c r="AG264" s="134"/>
      <c r="AH264" s="134"/>
      <c r="AI264" s="134"/>
      <c r="AJ264" s="134"/>
      <c r="AK264" s="134"/>
      <c r="AL264" s="134"/>
      <c r="AM264" s="134"/>
      <c r="AN264" s="134"/>
      <c r="AO264" s="134"/>
      <c r="AP264" s="165"/>
    </row>
    <row r="265" spans="1:42" ht="20.149999999999999" customHeight="1" x14ac:dyDescent="0.35">
      <c r="A265" s="166">
        <v>12</v>
      </c>
      <c r="B265" s="100" t="str">
        <f>PETUNJUK!B20</f>
        <v>Gerdu</v>
      </c>
      <c r="C265" s="83">
        <f>'1.DATA KIA'!C258</f>
        <v>23.1</v>
      </c>
      <c r="D265" s="301">
        <f t="shared" si="93"/>
        <v>8</v>
      </c>
      <c r="E265" s="301">
        <f>'1.DATA KIA'!F258</f>
        <v>0</v>
      </c>
      <c r="F265" s="301">
        <f t="shared" si="95"/>
        <v>8</v>
      </c>
      <c r="G265" s="86">
        <f t="shared" si="96"/>
        <v>34.632034632034632</v>
      </c>
      <c r="H265" s="84">
        <f t="shared" si="94"/>
        <v>5</v>
      </c>
      <c r="I265" s="84">
        <f>'1.DATA KIA'!AB258+'1.DATA KIA'!AE258</f>
        <v>0</v>
      </c>
      <c r="J265" s="84">
        <f t="shared" si="97"/>
        <v>5</v>
      </c>
      <c r="K265" s="86">
        <f t="shared" si="98"/>
        <v>21.645021645021643</v>
      </c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54"/>
      <c r="Z265" s="168"/>
      <c r="AA265" s="134"/>
      <c r="AB265" s="134"/>
      <c r="AC265" s="134"/>
      <c r="AD265" s="134"/>
      <c r="AE265" s="134"/>
      <c r="AF265" s="134"/>
      <c r="AG265" s="134"/>
      <c r="AH265" s="134"/>
      <c r="AI265" s="134"/>
      <c r="AJ265" s="134"/>
      <c r="AK265" s="134"/>
      <c r="AL265" s="134"/>
      <c r="AM265" s="134"/>
      <c r="AN265" s="134"/>
      <c r="AO265" s="134"/>
      <c r="AP265" s="165"/>
    </row>
    <row r="266" spans="1:42" ht="20.149999999999999" customHeight="1" x14ac:dyDescent="0.35">
      <c r="A266" s="166">
        <v>13</v>
      </c>
      <c r="B266" s="100">
        <f>PETUNJUK!B21</f>
        <v>0</v>
      </c>
      <c r="C266" s="83">
        <f>'1.DATA KIA'!C259</f>
        <v>0</v>
      </c>
      <c r="D266" s="301">
        <f t="shared" si="93"/>
        <v>0</v>
      </c>
      <c r="E266" s="301">
        <f>'1.DATA KIA'!F259</f>
        <v>0</v>
      </c>
      <c r="F266" s="84">
        <f t="shared" si="95"/>
        <v>0</v>
      </c>
      <c r="G266" s="86" t="e">
        <f t="shared" si="96"/>
        <v>#DIV/0!</v>
      </c>
      <c r="H266" s="84">
        <f t="shared" si="94"/>
        <v>0</v>
      </c>
      <c r="I266" s="84">
        <f>'1.DATA KIA'!AB259+'1.DATA KIA'!AE259</f>
        <v>0</v>
      </c>
      <c r="J266" s="84">
        <f t="shared" si="97"/>
        <v>0</v>
      </c>
      <c r="K266" s="86" t="e">
        <f t="shared" si="98"/>
        <v>#DIV/0!</v>
      </c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54"/>
      <c r="Z266" s="168"/>
      <c r="AA266" s="134"/>
      <c r="AB266" s="134"/>
      <c r="AC266" s="134"/>
      <c r="AD266" s="134"/>
      <c r="AE266" s="134"/>
      <c r="AF266" s="134"/>
      <c r="AG266" s="134"/>
      <c r="AH266" s="134"/>
      <c r="AI266" s="134"/>
      <c r="AJ266" s="134"/>
      <c r="AK266" s="134"/>
      <c r="AL266" s="134"/>
      <c r="AM266" s="134"/>
      <c r="AN266" s="134"/>
      <c r="AO266" s="134"/>
      <c r="AP266" s="165"/>
    </row>
    <row r="267" spans="1:42" ht="20.149999999999999" customHeight="1" x14ac:dyDescent="0.35">
      <c r="A267" s="166">
        <v>14</v>
      </c>
      <c r="B267" s="100">
        <f>PETUNJUK!B22</f>
        <v>0</v>
      </c>
      <c r="C267" s="83">
        <f>'1.DATA KIA'!C260</f>
        <v>0</v>
      </c>
      <c r="D267" s="301">
        <f t="shared" si="93"/>
        <v>0</v>
      </c>
      <c r="E267" s="301">
        <f>'1.DATA KIA'!F260</f>
        <v>0</v>
      </c>
      <c r="F267" s="84">
        <f t="shared" si="95"/>
        <v>0</v>
      </c>
      <c r="G267" s="86" t="e">
        <f t="shared" si="96"/>
        <v>#DIV/0!</v>
      </c>
      <c r="H267" s="84">
        <f t="shared" si="94"/>
        <v>0</v>
      </c>
      <c r="I267" s="84">
        <f>'1.DATA KIA'!AB260+'1.DATA KIA'!AE260</f>
        <v>0</v>
      </c>
      <c r="J267" s="84">
        <f t="shared" si="97"/>
        <v>0</v>
      </c>
      <c r="K267" s="86" t="e">
        <f t="shared" si="98"/>
        <v>#DIV/0!</v>
      </c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54"/>
      <c r="Z267" s="168"/>
      <c r="AA267" s="134"/>
      <c r="AB267" s="134"/>
      <c r="AC267" s="134"/>
      <c r="AD267" s="134"/>
      <c r="AE267" s="134"/>
      <c r="AF267" s="134"/>
      <c r="AG267" s="134"/>
      <c r="AH267" s="134"/>
      <c r="AI267" s="134"/>
      <c r="AJ267" s="134"/>
      <c r="AK267" s="134"/>
      <c r="AL267" s="134"/>
      <c r="AM267" s="134"/>
      <c r="AN267" s="134"/>
      <c r="AO267" s="134"/>
      <c r="AP267" s="165"/>
    </row>
    <row r="268" spans="1:42" ht="20.149999999999999" customHeight="1" x14ac:dyDescent="0.35">
      <c r="A268" s="166">
        <v>15</v>
      </c>
      <c r="B268" s="100">
        <f>PETUNJUK!B23</f>
        <v>0</v>
      </c>
      <c r="C268" s="83">
        <f>'1.DATA KIA'!C261</f>
        <v>0</v>
      </c>
      <c r="D268" s="301">
        <f t="shared" si="93"/>
        <v>0</v>
      </c>
      <c r="E268" s="301">
        <f>'1.DATA KIA'!F261</f>
        <v>0</v>
      </c>
      <c r="F268" s="84">
        <f t="shared" si="95"/>
        <v>0</v>
      </c>
      <c r="G268" s="86" t="e">
        <f t="shared" si="96"/>
        <v>#DIV/0!</v>
      </c>
      <c r="H268" s="84">
        <f t="shared" si="94"/>
        <v>0</v>
      </c>
      <c r="I268" s="84">
        <f>'1.DATA KIA'!AB261+'1.DATA KIA'!AE261</f>
        <v>0</v>
      </c>
      <c r="J268" s="84">
        <f t="shared" si="97"/>
        <v>0</v>
      </c>
      <c r="K268" s="86" t="e">
        <f t="shared" si="98"/>
        <v>#DIV/0!</v>
      </c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54"/>
      <c r="Z268" s="168"/>
      <c r="AA268" s="134"/>
      <c r="AB268" s="134"/>
      <c r="AC268" s="134"/>
      <c r="AD268" s="134"/>
      <c r="AE268" s="134"/>
      <c r="AF268" s="134"/>
      <c r="AG268" s="134"/>
      <c r="AH268" s="134"/>
      <c r="AI268" s="134"/>
      <c r="AJ268" s="134"/>
      <c r="AK268" s="134"/>
      <c r="AL268" s="134"/>
      <c r="AM268" s="134"/>
      <c r="AN268" s="134"/>
      <c r="AO268" s="134"/>
      <c r="AP268" s="165"/>
    </row>
    <row r="269" spans="1:42" ht="20.149999999999999" customHeight="1" x14ac:dyDescent="0.35">
      <c r="A269" s="166">
        <v>16</v>
      </c>
      <c r="B269" s="100">
        <f>PETUNJUK!B24</f>
        <v>0</v>
      </c>
      <c r="C269" s="83">
        <f>'1.DATA KIA'!C262</f>
        <v>0</v>
      </c>
      <c r="D269" s="301">
        <f t="shared" si="93"/>
        <v>0</v>
      </c>
      <c r="E269" s="301">
        <f>'1.DATA KIA'!F262</f>
        <v>0</v>
      </c>
      <c r="F269" s="84">
        <f t="shared" si="95"/>
        <v>0</v>
      </c>
      <c r="G269" s="86" t="e">
        <f t="shared" si="96"/>
        <v>#DIV/0!</v>
      </c>
      <c r="H269" s="84">
        <f t="shared" si="94"/>
        <v>0</v>
      </c>
      <c r="I269" s="84">
        <f>'1.DATA KIA'!AB262+'1.DATA KIA'!AE262</f>
        <v>0</v>
      </c>
      <c r="J269" s="84">
        <f t="shared" si="97"/>
        <v>0</v>
      </c>
      <c r="K269" s="86" t="e">
        <f t="shared" si="98"/>
        <v>#DIV/0!</v>
      </c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54"/>
      <c r="Z269" s="168"/>
      <c r="AA269" s="134"/>
      <c r="AB269" s="134"/>
      <c r="AC269" s="134"/>
      <c r="AD269" s="134"/>
      <c r="AE269" s="134"/>
      <c r="AF269" s="134"/>
      <c r="AG269" s="134"/>
      <c r="AH269" s="134"/>
      <c r="AI269" s="134"/>
      <c r="AJ269" s="134"/>
      <c r="AK269" s="134"/>
      <c r="AL269" s="134"/>
      <c r="AM269" s="134"/>
      <c r="AN269" s="134"/>
      <c r="AO269" s="134"/>
      <c r="AP269" s="165"/>
    </row>
    <row r="270" spans="1:42" ht="20.149999999999999" customHeight="1" x14ac:dyDescent="0.35">
      <c r="A270" s="166">
        <v>17</v>
      </c>
      <c r="B270" s="100">
        <f>PETUNJUK!B25</f>
        <v>0</v>
      </c>
      <c r="C270" s="83">
        <f>'1.DATA KIA'!C263</f>
        <v>0</v>
      </c>
      <c r="D270" s="301">
        <f t="shared" ref="D270:D275" si="99">F235</f>
        <v>0</v>
      </c>
      <c r="E270" s="301">
        <f>'1.DATA KIA'!F263</f>
        <v>0</v>
      </c>
      <c r="F270" s="84">
        <f t="shared" ref="F270:F275" si="100">D270+E270</f>
        <v>0</v>
      </c>
      <c r="G270" s="86" t="e">
        <f t="shared" ref="G270:G276" si="101">F270/C270*100</f>
        <v>#DIV/0!</v>
      </c>
      <c r="H270" s="84">
        <f t="shared" ref="H270:H275" si="102">J235</f>
        <v>0</v>
      </c>
      <c r="I270" s="84">
        <f>'1.DATA KIA'!AB263+'1.DATA KIA'!AE263</f>
        <v>0</v>
      </c>
      <c r="J270" s="84">
        <f t="shared" ref="J270:J275" si="103">H270+I270</f>
        <v>0</v>
      </c>
      <c r="K270" s="86" t="e">
        <f t="shared" ref="K270:K276" si="104">J270/C270*100</f>
        <v>#DIV/0!</v>
      </c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54"/>
      <c r="Z270" s="168"/>
      <c r="AA270" s="134"/>
      <c r="AB270" s="134"/>
      <c r="AC270" s="134"/>
      <c r="AD270" s="134"/>
      <c r="AE270" s="134"/>
      <c r="AF270" s="134"/>
      <c r="AG270" s="134"/>
      <c r="AH270" s="134"/>
      <c r="AI270" s="134"/>
      <c r="AJ270" s="134"/>
      <c r="AK270" s="134"/>
      <c r="AL270" s="134"/>
      <c r="AM270" s="134"/>
      <c r="AN270" s="134"/>
      <c r="AO270" s="134"/>
      <c r="AP270" s="165"/>
    </row>
    <row r="271" spans="1:42" ht="20.149999999999999" customHeight="1" x14ac:dyDescent="0.35">
      <c r="A271" s="166">
        <v>18</v>
      </c>
      <c r="B271" s="100">
        <f>PETUNJUK!B26</f>
        <v>0</v>
      </c>
      <c r="C271" s="83">
        <f>'1.DATA KIA'!C264</f>
        <v>0</v>
      </c>
      <c r="D271" s="301">
        <f t="shared" si="99"/>
        <v>0</v>
      </c>
      <c r="E271" s="301">
        <f>'1.DATA KIA'!F264</f>
        <v>0</v>
      </c>
      <c r="F271" s="84">
        <f t="shared" si="100"/>
        <v>0</v>
      </c>
      <c r="G271" s="86" t="e">
        <f t="shared" si="101"/>
        <v>#DIV/0!</v>
      </c>
      <c r="H271" s="84">
        <f t="shared" si="102"/>
        <v>0</v>
      </c>
      <c r="I271" s="84">
        <f>'1.DATA KIA'!AB264+'1.DATA KIA'!AE264</f>
        <v>0</v>
      </c>
      <c r="J271" s="84">
        <f t="shared" si="103"/>
        <v>0</v>
      </c>
      <c r="K271" s="86" t="e">
        <f t="shared" si="104"/>
        <v>#DIV/0!</v>
      </c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54"/>
      <c r="Z271" s="168"/>
      <c r="AA271" s="134"/>
      <c r="AB271" s="134"/>
      <c r="AC271" s="134"/>
      <c r="AD271" s="134"/>
      <c r="AE271" s="134"/>
      <c r="AF271" s="134"/>
      <c r="AG271" s="134"/>
      <c r="AH271" s="134"/>
      <c r="AI271" s="134"/>
      <c r="AJ271" s="134"/>
      <c r="AK271" s="134"/>
      <c r="AL271" s="134"/>
      <c r="AM271" s="134"/>
      <c r="AN271" s="134"/>
      <c r="AO271" s="134"/>
      <c r="AP271" s="165"/>
    </row>
    <row r="272" spans="1:42" ht="20.149999999999999" customHeight="1" x14ac:dyDescent="0.35">
      <c r="A272" s="166">
        <v>19</v>
      </c>
      <c r="B272" s="100">
        <f>PETUNJUK!B27</f>
        <v>0</v>
      </c>
      <c r="C272" s="83">
        <f>'1.DATA KIA'!C265</f>
        <v>0</v>
      </c>
      <c r="D272" s="301">
        <f t="shared" si="99"/>
        <v>0</v>
      </c>
      <c r="E272" s="301">
        <f>'1.DATA KIA'!F265</f>
        <v>0</v>
      </c>
      <c r="F272" s="84">
        <f t="shared" si="100"/>
        <v>0</v>
      </c>
      <c r="G272" s="86" t="e">
        <f t="shared" si="101"/>
        <v>#DIV/0!</v>
      </c>
      <c r="H272" s="84">
        <f t="shared" si="102"/>
        <v>0</v>
      </c>
      <c r="I272" s="84">
        <f>'1.DATA KIA'!AB265+'1.DATA KIA'!AE265</f>
        <v>0</v>
      </c>
      <c r="J272" s="84">
        <f t="shared" si="103"/>
        <v>0</v>
      </c>
      <c r="K272" s="86" t="e">
        <f t="shared" si="104"/>
        <v>#DIV/0!</v>
      </c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54"/>
      <c r="Z272" s="168"/>
      <c r="AA272" s="134"/>
      <c r="AB272" s="134"/>
      <c r="AC272" s="134"/>
      <c r="AD272" s="134"/>
      <c r="AE272" s="134"/>
      <c r="AF272" s="134"/>
      <c r="AG272" s="134"/>
      <c r="AH272" s="134"/>
      <c r="AI272" s="134"/>
      <c r="AJ272" s="134"/>
      <c r="AK272" s="134"/>
      <c r="AL272" s="134"/>
      <c r="AM272" s="134"/>
      <c r="AN272" s="134"/>
      <c r="AO272" s="134"/>
      <c r="AP272" s="165"/>
    </row>
    <row r="273" spans="1:42" ht="20.149999999999999" customHeight="1" x14ac:dyDescent="0.35">
      <c r="A273" s="166">
        <v>20</v>
      </c>
      <c r="B273" s="100">
        <f>PETUNJUK!B28</f>
        <v>0</v>
      </c>
      <c r="C273" s="83">
        <f>'1.DATA KIA'!C266</f>
        <v>0</v>
      </c>
      <c r="D273" s="301">
        <f t="shared" si="99"/>
        <v>0</v>
      </c>
      <c r="E273" s="301">
        <f>'1.DATA KIA'!F266</f>
        <v>0</v>
      </c>
      <c r="F273" s="84">
        <f t="shared" si="100"/>
        <v>0</v>
      </c>
      <c r="G273" s="86" t="e">
        <f t="shared" si="101"/>
        <v>#DIV/0!</v>
      </c>
      <c r="H273" s="84">
        <f t="shared" si="102"/>
        <v>0</v>
      </c>
      <c r="I273" s="84">
        <f>'1.DATA KIA'!AB266+'1.DATA KIA'!AE266</f>
        <v>0</v>
      </c>
      <c r="J273" s="84">
        <f t="shared" si="103"/>
        <v>0</v>
      </c>
      <c r="K273" s="86" t="e">
        <f t="shared" si="104"/>
        <v>#DIV/0!</v>
      </c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54"/>
      <c r="Z273" s="168"/>
      <c r="AA273" s="134"/>
      <c r="AB273" s="134"/>
      <c r="AC273" s="134"/>
      <c r="AD273" s="134"/>
      <c r="AE273" s="134"/>
      <c r="AF273" s="134"/>
      <c r="AG273" s="134"/>
      <c r="AH273" s="134"/>
      <c r="AI273" s="134"/>
      <c r="AJ273" s="134"/>
      <c r="AK273" s="134"/>
      <c r="AL273" s="134"/>
      <c r="AM273" s="134"/>
      <c r="AN273" s="134"/>
      <c r="AO273" s="134"/>
      <c r="AP273" s="165"/>
    </row>
    <row r="274" spans="1:42" ht="20.149999999999999" customHeight="1" x14ac:dyDescent="0.35">
      <c r="A274" s="166">
        <v>21</v>
      </c>
      <c r="B274" s="100">
        <f>PETUNJUK!B29</f>
        <v>0</v>
      </c>
      <c r="C274" s="83">
        <f>'1.DATA KIA'!C267</f>
        <v>0</v>
      </c>
      <c r="D274" s="301">
        <f t="shared" si="99"/>
        <v>0</v>
      </c>
      <c r="E274" s="301">
        <f>'1.DATA KIA'!F267</f>
        <v>0</v>
      </c>
      <c r="F274" s="84">
        <f t="shared" si="100"/>
        <v>0</v>
      </c>
      <c r="G274" s="86" t="e">
        <f t="shared" si="101"/>
        <v>#DIV/0!</v>
      </c>
      <c r="H274" s="84">
        <f t="shared" si="102"/>
        <v>0</v>
      </c>
      <c r="I274" s="84">
        <f>'1.DATA KIA'!AB267+'1.DATA KIA'!AE267</f>
        <v>0</v>
      </c>
      <c r="J274" s="84">
        <f t="shared" si="103"/>
        <v>0</v>
      </c>
      <c r="K274" s="86" t="e">
        <f t="shared" si="104"/>
        <v>#DIV/0!</v>
      </c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54"/>
      <c r="Z274" s="168"/>
      <c r="AA274" s="134"/>
      <c r="AB274" s="134"/>
      <c r="AC274" s="134"/>
      <c r="AD274" s="134"/>
      <c r="AE274" s="134"/>
      <c r="AF274" s="134"/>
      <c r="AG274" s="134"/>
      <c r="AH274" s="134"/>
      <c r="AI274" s="134"/>
      <c r="AJ274" s="134"/>
      <c r="AK274" s="134"/>
      <c r="AL274" s="134"/>
      <c r="AM274" s="134"/>
      <c r="AN274" s="134"/>
      <c r="AO274" s="134"/>
      <c r="AP274" s="165"/>
    </row>
    <row r="275" spans="1:42" ht="20.149999999999999" customHeight="1" thickBot="1" x14ac:dyDescent="0.4">
      <c r="A275" s="167">
        <v>22</v>
      </c>
      <c r="B275" s="114">
        <f>PETUNJUK!B30</f>
        <v>0</v>
      </c>
      <c r="C275" s="115">
        <f>'1.DATA KIA'!C268</f>
        <v>0</v>
      </c>
      <c r="D275" s="302">
        <f t="shared" si="99"/>
        <v>0</v>
      </c>
      <c r="E275" s="302">
        <f>'1.DATA KIA'!F268</f>
        <v>0</v>
      </c>
      <c r="F275" s="95">
        <f t="shared" si="100"/>
        <v>0</v>
      </c>
      <c r="G275" s="94" t="e">
        <f t="shared" si="101"/>
        <v>#DIV/0!</v>
      </c>
      <c r="H275" s="95">
        <f t="shared" si="102"/>
        <v>0</v>
      </c>
      <c r="I275" s="95">
        <f>'1.DATA KIA'!AB268+'1.DATA KIA'!AE268</f>
        <v>0</v>
      </c>
      <c r="J275" s="95">
        <f t="shared" si="103"/>
        <v>0</v>
      </c>
      <c r="K275" s="94" t="e">
        <f t="shared" si="104"/>
        <v>#DIV/0!</v>
      </c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54"/>
      <c r="Z275" s="168"/>
      <c r="AA275" s="134"/>
      <c r="AB275" s="134"/>
      <c r="AC275" s="134"/>
      <c r="AD275" s="134"/>
      <c r="AE275" s="134"/>
      <c r="AF275" s="134"/>
      <c r="AG275" s="134"/>
      <c r="AH275" s="134"/>
      <c r="AI275" s="134"/>
      <c r="AJ275" s="134"/>
      <c r="AK275" s="134"/>
      <c r="AL275" s="134"/>
      <c r="AM275" s="134"/>
      <c r="AN275" s="134"/>
      <c r="AO275" s="134"/>
      <c r="AP275" s="165"/>
    </row>
    <row r="276" spans="1:42" ht="24" customHeight="1" thickBot="1" x14ac:dyDescent="0.4">
      <c r="A276" s="881" t="s">
        <v>18</v>
      </c>
      <c r="B276" s="882"/>
      <c r="C276" s="121">
        <f t="shared" ref="C276:J276" si="105">SUM(C254:C275)</f>
        <v>1067</v>
      </c>
      <c r="D276" s="121">
        <f t="shared" si="105"/>
        <v>374</v>
      </c>
      <c r="E276" s="121">
        <f t="shared" si="105"/>
        <v>0</v>
      </c>
      <c r="F276" s="121">
        <f t="shared" si="105"/>
        <v>374</v>
      </c>
      <c r="G276" s="117">
        <f t="shared" si="101"/>
        <v>35.051546391752574</v>
      </c>
      <c r="H276" s="121">
        <f t="shared" si="105"/>
        <v>298</v>
      </c>
      <c r="I276" s="121">
        <f t="shared" si="105"/>
        <v>0</v>
      </c>
      <c r="J276" s="121">
        <f t="shared" si="105"/>
        <v>298</v>
      </c>
      <c r="K276" s="117">
        <f t="shared" si="104"/>
        <v>27.928772258669166</v>
      </c>
      <c r="L276" s="121">
        <f>SUM(L254:L275)</f>
        <v>0</v>
      </c>
      <c r="M276" s="121">
        <f t="shared" ref="M276:AP276" si="106">SUM(M254:M275)</f>
        <v>0</v>
      </c>
      <c r="N276" s="121">
        <f t="shared" si="106"/>
        <v>0</v>
      </c>
      <c r="O276" s="121">
        <f t="shared" si="106"/>
        <v>0</v>
      </c>
      <c r="P276" s="121">
        <f t="shared" si="106"/>
        <v>0</v>
      </c>
      <c r="Q276" s="121">
        <f t="shared" si="106"/>
        <v>0</v>
      </c>
      <c r="R276" s="121">
        <f t="shared" si="106"/>
        <v>0</v>
      </c>
      <c r="S276" s="121">
        <f t="shared" si="106"/>
        <v>0</v>
      </c>
      <c r="T276" s="121">
        <f t="shared" si="106"/>
        <v>0</v>
      </c>
      <c r="U276" s="121">
        <f t="shared" si="106"/>
        <v>0</v>
      </c>
      <c r="V276" s="121">
        <f t="shared" si="106"/>
        <v>0</v>
      </c>
      <c r="W276" s="121">
        <f t="shared" si="106"/>
        <v>0</v>
      </c>
      <c r="X276" s="122">
        <f t="shared" si="106"/>
        <v>0</v>
      </c>
      <c r="Y276" s="159"/>
      <c r="Z276" s="189">
        <f t="shared" si="106"/>
        <v>0</v>
      </c>
      <c r="AA276" s="121">
        <f t="shared" si="106"/>
        <v>0</v>
      </c>
      <c r="AB276" s="121">
        <f t="shared" si="106"/>
        <v>0</v>
      </c>
      <c r="AC276" s="121">
        <f t="shared" si="106"/>
        <v>0</v>
      </c>
      <c r="AD276" s="121">
        <f t="shared" si="106"/>
        <v>0</v>
      </c>
      <c r="AE276" s="121">
        <f t="shared" si="106"/>
        <v>0</v>
      </c>
      <c r="AF276" s="121">
        <f t="shared" si="106"/>
        <v>0</v>
      </c>
      <c r="AG276" s="121">
        <f t="shared" si="106"/>
        <v>0</v>
      </c>
      <c r="AH276" s="121">
        <f t="shared" si="106"/>
        <v>0</v>
      </c>
      <c r="AI276" s="121">
        <f t="shared" si="106"/>
        <v>0</v>
      </c>
      <c r="AJ276" s="121">
        <f t="shared" si="106"/>
        <v>0</v>
      </c>
      <c r="AK276" s="121">
        <f t="shared" si="106"/>
        <v>0</v>
      </c>
      <c r="AL276" s="121">
        <f t="shared" si="106"/>
        <v>0</v>
      </c>
      <c r="AM276" s="121">
        <f t="shared" si="106"/>
        <v>0</v>
      </c>
      <c r="AN276" s="121">
        <f t="shared" si="106"/>
        <v>0</v>
      </c>
      <c r="AO276" s="121">
        <f t="shared" si="106"/>
        <v>0</v>
      </c>
      <c r="AP276" s="122">
        <f t="shared" si="106"/>
        <v>0</v>
      </c>
    </row>
    <row r="277" spans="1:42" ht="15.5" x14ac:dyDescent="0.35">
      <c r="A277" s="140"/>
      <c r="B277" s="140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56"/>
      <c r="Z277" s="102"/>
      <c r="AA277" s="102"/>
      <c r="AB277" s="102"/>
      <c r="AC277" s="102"/>
      <c r="AD277" s="102"/>
      <c r="AE277" s="102"/>
      <c r="AF277" s="102"/>
      <c r="AG277" s="102"/>
      <c r="AH277" s="102"/>
      <c r="AI277" s="102"/>
      <c r="AJ277" s="102"/>
      <c r="AK277" s="102"/>
      <c r="AL277" s="102"/>
      <c r="AM277" s="102"/>
      <c r="AN277" s="102"/>
      <c r="AO277" s="102"/>
      <c r="AP277" s="102"/>
    </row>
    <row r="278" spans="1:42" ht="15.5" x14ac:dyDescent="0.35">
      <c r="A278" s="140"/>
      <c r="B278" s="140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56"/>
      <c r="Z278" s="102"/>
      <c r="AA278" s="102"/>
      <c r="AB278" s="102"/>
      <c r="AC278" s="102"/>
      <c r="AD278" s="102"/>
      <c r="AE278" s="102"/>
      <c r="AF278" s="102"/>
      <c r="AG278" s="102"/>
      <c r="AH278" s="102"/>
      <c r="AI278" s="102"/>
      <c r="AJ278" s="102"/>
      <c r="AK278" s="102"/>
      <c r="AL278" s="102"/>
      <c r="AM278" s="102"/>
      <c r="AN278" s="102"/>
      <c r="AO278" s="102"/>
      <c r="AP278" s="102"/>
    </row>
    <row r="279" spans="1:42" ht="15.5" x14ac:dyDescent="0.35">
      <c r="A279" s="140"/>
      <c r="B279" s="140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56"/>
      <c r="Z279" s="102"/>
      <c r="AA279" s="102"/>
      <c r="AB279" s="102"/>
      <c r="AC279" s="102"/>
      <c r="AD279" s="102"/>
      <c r="AE279" s="102"/>
      <c r="AF279" s="102"/>
      <c r="AG279" s="102"/>
      <c r="AH279" s="102"/>
      <c r="AI279" s="102"/>
      <c r="AJ279" s="102"/>
      <c r="AK279" s="102"/>
      <c r="AL279" s="102"/>
      <c r="AM279" s="102"/>
      <c r="AN279" s="102"/>
      <c r="AO279" s="102"/>
      <c r="AP279" s="102"/>
    </row>
    <row r="280" spans="1:42" ht="15.5" x14ac:dyDescent="0.35">
      <c r="A280" s="140"/>
      <c r="B280" s="140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56"/>
      <c r="Z280" s="102"/>
      <c r="AA280" s="102"/>
      <c r="AB280" s="102"/>
      <c r="AC280" s="102"/>
      <c r="AD280" s="102"/>
      <c r="AE280" s="102"/>
      <c r="AF280" s="102"/>
      <c r="AG280" s="102"/>
      <c r="AH280" s="102"/>
      <c r="AI280" s="102"/>
      <c r="AJ280" s="102"/>
      <c r="AK280" s="102"/>
      <c r="AL280" s="102"/>
      <c r="AM280" s="102"/>
      <c r="AN280" s="102"/>
      <c r="AO280" s="102"/>
      <c r="AP280" s="102"/>
    </row>
    <row r="281" spans="1:42" ht="15.5" x14ac:dyDescent="0.35">
      <c r="A281" s="137"/>
      <c r="B281" s="138"/>
      <c r="C281" s="76" t="s">
        <v>64</v>
      </c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101"/>
      <c r="T281" s="101"/>
      <c r="U281" s="101"/>
      <c r="V281" s="101"/>
      <c r="W281" s="101"/>
      <c r="X281" s="101"/>
      <c r="Y281" s="15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1"/>
      <c r="AK281" s="101"/>
      <c r="AL281" s="101"/>
      <c r="AM281" s="101"/>
      <c r="AN281" s="101"/>
      <c r="AO281" s="101"/>
      <c r="AP281" s="101"/>
    </row>
    <row r="282" spans="1:42" ht="15.5" x14ac:dyDescent="0.35">
      <c r="A282" s="137"/>
      <c r="B282" s="98"/>
      <c r="C282" s="103" t="s">
        <v>197</v>
      </c>
      <c r="D282" s="78"/>
      <c r="E282" s="79" t="str">
        <f>PETUNJUK!C5</f>
        <v>PECANGAAN</v>
      </c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101"/>
      <c r="T282" s="101"/>
      <c r="U282" s="101"/>
      <c r="V282" s="101" t="s">
        <v>199</v>
      </c>
      <c r="W282" s="101"/>
      <c r="X282" s="101"/>
      <c r="Y282" s="151"/>
      <c r="Z282" s="101"/>
      <c r="AA282" s="101"/>
      <c r="AB282" s="101"/>
      <c r="AC282" s="101"/>
      <c r="AD282" s="101"/>
      <c r="AE282" s="101"/>
      <c r="AF282" s="101"/>
      <c r="AG282" s="101"/>
      <c r="AH282" s="101"/>
      <c r="AI282" s="101"/>
      <c r="AJ282" s="101"/>
      <c r="AK282" s="101"/>
      <c r="AL282" s="101"/>
      <c r="AM282" s="101"/>
      <c r="AN282" s="101"/>
      <c r="AO282" s="101" t="s">
        <v>200</v>
      </c>
      <c r="AP282" s="101"/>
    </row>
    <row r="283" spans="1:42" ht="15.5" x14ac:dyDescent="0.35">
      <c r="A283" s="137"/>
      <c r="B283" s="139"/>
      <c r="C283" s="104" t="s">
        <v>198</v>
      </c>
      <c r="D283" s="105"/>
      <c r="E283" s="106" t="str">
        <f>'1.DATA KIA'!C276</f>
        <v xml:space="preserve">SEPTEMBER </v>
      </c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1"/>
      <c r="T283" s="101"/>
      <c r="U283" s="101"/>
      <c r="V283" s="101"/>
      <c r="W283" s="101"/>
      <c r="X283" s="101"/>
      <c r="Y283" s="151"/>
      <c r="Z283" s="101"/>
      <c r="AA283" s="101"/>
      <c r="AB283" s="101"/>
      <c r="AC283" s="101"/>
      <c r="AD283" s="101"/>
      <c r="AE283" s="101"/>
      <c r="AF283" s="101"/>
      <c r="AG283" s="101"/>
      <c r="AH283" s="101"/>
      <c r="AI283" s="101"/>
      <c r="AJ283" s="101"/>
      <c r="AK283" s="101"/>
      <c r="AL283" s="101"/>
      <c r="AM283" s="101"/>
      <c r="AN283" s="101"/>
      <c r="AO283" s="101"/>
      <c r="AP283" s="101"/>
    </row>
    <row r="284" spans="1:42" ht="16" thickBot="1" x14ac:dyDescent="0.4">
      <c r="A284" s="870"/>
      <c r="B284" s="870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1"/>
      <c r="T284" s="101"/>
      <c r="U284" s="101"/>
      <c r="V284" s="101"/>
      <c r="W284" s="101"/>
      <c r="X284" s="101"/>
      <c r="Y284" s="151"/>
      <c r="Z284" s="101"/>
      <c r="AA284" s="101"/>
      <c r="AB284" s="101"/>
      <c r="AC284" s="101"/>
      <c r="AD284" s="101"/>
      <c r="AE284" s="101"/>
      <c r="AF284" s="101"/>
      <c r="AG284" s="101"/>
      <c r="AH284" s="101"/>
      <c r="AI284" s="101"/>
      <c r="AJ284" s="101"/>
      <c r="AK284" s="101"/>
      <c r="AL284" s="101"/>
      <c r="AM284" s="101"/>
      <c r="AN284" s="101"/>
      <c r="AO284" s="101"/>
      <c r="AP284" s="101"/>
    </row>
    <row r="285" spans="1:42" ht="45.65" customHeight="1" x14ac:dyDescent="0.35">
      <c r="A285" s="871" t="s">
        <v>1</v>
      </c>
      <c r="B285" s="874" t="s">
        <v>2</v>
      </c>
      <c r="C285" s="877" t="s">
        <v>65</v>
      </c>
      <c r="D285" s="847" t="s">
        <v>66</v>
      </c>
      <c r="E285" s="848"/>
      <c r="F285" s="848"/>
      <c r="G285" s="880"/>
      <c r="H285" s="859" t="s">
        <v>194</v>
      </c>
      <c r="I285" s="860"/>
      <c r="J285" s="860"/>
      <c r="K285" s="861"/>
      <c r="L285" s="847" t="s">
        <v>67</v>
      </c>
      <c r="M285" s="848"/>
      <c r="N285" s="848"/>
      <c r="O285" s="848"/>
      <c r="P285" s="848"/>
      <c r="Q285" s="848"/>
      <c r="R285" s="848"/>
      <c r="S285" s="848"/>
      <c r="T285" s="848"/>
      <c r="U285" s="848"/>
      <c r="V285" s="848"/>
      <c r="W285" s="848"/>
      <c r="X285" s="849"/>
      <c r="Y285" s="152"/>
      <c r="Z285" s="850" t="s">
        <v>79</v>
      </c>
      <c r="AA285" s="851"/>
      <c r="AB285" s="851"/>
      <c r="AC285" s="851"/>
      <c r="AD285" s="851"/>
      <c r="AE285" s="851"/>
      <c r="AF285" s="851"/>
      <c r="AG285" s="851"/>
      <c r="AH285" s="851"/>
      <c r="AI285" s="851"/>
      <c r="AJ285" s="851"/>
      <c r="AK285" s="851"/>
      <c r="AL285" s="851"/>
      <c r="AM285" s="851"/>
      <c r="AN285" s="851"/>
      <c r="AO285" s="851"/>
      <c r="AP285" s="852"/>
    </row>
    <row r="286" spans="1:42" ht="94.5" customHeight="1" x14ac:dyDescent="0.35">
      <c r="A286" s="872"/>
      <c r="B286" s="875"/>
      <c r="C286" s="878"/>
      <c r="D286" s="853" t="s">
        <v>68</v>
      </c>
      <c r="E286" s="856" t="s">
        <v>69</v>
      </c>
      <c r="F286" s="856" t="s">
        <v>36</v>
      </c>
      <c r="G286" s="856" t="s">
        <v>37</v>
      </c>
      <c r="H286" s="853" t="s">
        <v>68</v>
      </c>
      <c r="I286" s="856" t="s">
        <v>69</v>
      </c>
      <c r="J286" s="856" t="s">
        <v>36</v>
      </c>
      <c r="K286" s="856" t="s">
        <v>37</v>
      </c>
      <c r="L286" s="865" t="s">
        <v>196</v>
      </c>
      <c r="M286" s="866"/>
      <c r="N286" s="867" t="s">
        <v>70</v>
      </c>
      <c r="O286" s="868"/>
      <c r="P286" s="865" t="s">
        <v>71</v>
      </c>
      <c r="Q286" s="869"/>
      <c r="R286" s="866"/>
      <c r="S286" s="838" t="s">
        <v>80</v>
      </c>
      <c r="T286" s="838"/>
      <c r="U286" s="838"/>
      <c r="V286" s="838"/>
      <c r="W286" s="838"/>
      <c r="X286" s="832"/>
      <c r="Y286" s="153"/>
      <c r="Z286" s="839" t="s">
        <v>81</v>
      </c>
      <c r="AA286" s="838"/>
      <c r="AB286" s="838"/>
      <c r="AC286" s="840" t="s">
        <v>195</v>
      </c>
      <c r="AD286" s="841"/>
      <c r="AE286" s="862" t="s">
        <v>82</v>
      </c>
      <c r="AF286" s="863"/>
      <c r="AG286" s="862" t="s">
        <v>83</v>
      </c>
      <c r="AH286" s="864"/>
      <c r="AI286" s="864"/>
      <c r="AJ286" s="864"/>
      <c r="AK286" s="864"/>
      <c r="AL286" s="863"/>
      <c r="AM286" s="831" t="s">
        <v>84</v>
      </c>
      <c r="AN286" s="838"/>
      <c r="AO286" s="838"/>
      <c r="AP286" s="832"/>
    </row>
    <row r="287" spans="1:42" ht="22.5" customHeight="1" x14ac:dyDescent="0.35">
      <c r="A287" s="872"/>
      <c r="B287" s="875"/>
      <c r="C287" s="878"/>
      <c r="D287" s="854"/>
      <c r="E287" s="857"/>
      <c r="F287" s="857"/>
      <c r="G287" s="857"/>
      <c r="H287" s="854"/>
      <c r="I287" s="857"/>
      <c r="J287" s="857"/>
      <c r="K287" s="857"/>
      <c r="L287" s="856" t="s">
        <v>72</v>
      </c>
      <c r="M287" s="856" t="s">
        <v>73</v>
      </c>
      <c r="N287" s="856" t="s">
        <v>74</v>
      </c>
      <c r="O287" s="856" t="s">
        <v>75</v>
      </c>
      <c r="P287" s="856" t="s">
        <v>76</v>
      </c>
      <c r="Q287" s="856" t="s">
        <v>77</v>
      </c>
      <c r="R287" s="856" t="s">
        <v>78</v>
      </c>
      <c r="S287" s="836" t="s">
        <v>85</v>
      </c>
      <c r="T287" s="842" t="s">
        <v>86</v>
      </c>
      <c r="U287" s="842" t="s">
        <v>87</v>
      </c>
      <c r="V287" s="842" t="s">
        <v>88</v>
      </c>
      <c r="W287" s="831" t="s">
        <v>89</v>
      </c>
      <c r="X287" s="832"/>
      <c r="Y287" s="153"/>
      <c r="Z287" s="844" t="s">
        <v>90</v>
      </c>
      <c r="AA287" s="834" t="s">
        <v>77</v>
      </c>
      <c r="AB287" s="834" t="s">
        <v>76</v>
      </c>
      <c r="AC287" s="834" t="s">
        <v>93</v>
      </c>
      <c r="AD287" s="834" t="s">
        <v>2</v>
      </c>
      <c r="AE287" s="834" t="s">
        <v>93</v>
      </c>
      <c r="AF287" s="834" t="s">
        <v>2</v>
      </c>
      <c r="AG287" s="834" t="s">
        <v>94</v>
      </c>
      <c r="AH287" s="834" t="s">
        <v>95</v>
      </c>
      <c r="AI287" s="834" t="s">
        <v>96</v>
      </c>
      <c r="AJ287" s="834" t="s">
        <v>97</v>
      </c>
      <c r="AK287" s="834" t="s">
        <v>98</v>
      </c>
      <c r="AL287" s="834" t="s">
        <v>99</v>
      </c>
      <c r="AM287" s="831" t="s">
        <v>91</v>
      </c>
      <c r="AN287" s="846"/>
      <c r="AO287" s="831" t="s">
        <v>7</v>
      </c>
      <c r="AP287" s="832"/>
    </row>
    <row r="288" spans="1:42" ht="45" customHeight="1" x14ac:dyDescent="0.35">
      <c r="A288" s="873"/>
      <c r="B288" s="876"/>
      <c r="C288" s="879"/>
      <c r="D288" s="855"/>
      <c r="E288" s="858"/>
      <c r="F288" s="858"/>
      <c r="G288" s="858"/>
      <c r="H288" s="855"/>
      <c r="I288" s="858"/>
      <c r="J288" s="858"/>
      <c r="K288" s="858"/>
      <c r="L288" s="858"/>
      <c r="M288" s="858"/>
      <c r="N288" s="858"/>
      <c r="O288" s="858"/>
      <c r="P288" s="858"/>
      <c r="Q288" s="858"/>
      <c r="R288" s="858"/>
      <c r="S288" s="837"/>
      <c r="T288" s="843"/>
      <c r="U288" s="843"/>
      <c r="V288" s="843"/>
      <c r="W288" s="162" t="s">
        <v>76</v>
      </c>
      <c r="X288" s="163" t="s">
        <v>92</v>
      </c>
      <c r="Y288" s="153"/>
      <c r="Z288" s="845"/>
      <c r="AA288" s="835"/>
      <c r="AB288" s="835"/>
      <c r="AC288" s="835"/>
      <c r="AD288" s="835"/>
      <c r="AE288" s="835"/>
      <c r="AF288" s="835"/>
      <c r="AG288" s="835"/>
      <c r="AH288" s="835"/>
      <c r="AI288" s="835"/>
      <c r="AJ288" s="835"/>
      <c r="AK288" s="835"/>
      <c r="AL288" s="835"/>
      <c r="AM288" s="162" t="s">
        <v>100</v>
      </c>
      <c r="AN288" s="162" t="s">
        <v>101</v>
      </c>
      <c r="AO288" s="162" t="s">
        <v>100</v>
      </c>
      <c r="AP288" s="163" t="s">
        <v>101</v>
      </c>
    </row>
    <row r="289" spans="1:42" ht="20.149999999999999" customHeight="1" x14ac:dyDescent="0.35">
      <c r="A289" s="164">
        <v>1</v>
      </c>
      <c r="B289" s="99" t="str">
        <f>PETUNJUK!B9</f>
        <v>Pecangaan Kulon</v>
      </c>
      <c r="C289" s="80">
        <f>'1.DATA KIA'!C281</f>
        <v>101.2</v>
      </c>
      <c r="D289" s="299">
        <f t="shared" ref="D289:D308" si="107">F254</f>
        <v>30</v>
      </c>
      <c r="E289" s="300">
        <f>'1.DATA KIA'!F281</f>
        <v>0</v>
      </c>
      <c r="F289" s="299">
        <f>D289+E289</f>
        <v>30</v>
      </c>
      <c r="G289" s="133">
        <f>F289/C289*100</f>
        <v>29.644268774703558</v>
      </c>
      <c r="H289" s="132">
        <f t="shared" ref="H289:H306" si="108">J254</f>
        <v>29</v>
      </c>
      <c r="I289" s="91">
        <f>'1.DATA KIA'!AB281+'1.DATA KIA'!AE281</f>
        <v>0</v>
      </c>
      <c r="J289" s="132">
        <f>H289+I289</f>
        <v>29</v>
      </c>
      <c r="K289" s="133">
        <f>J289/C289*100</f>
        <v>28.656126482213441</v>
      </c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54"/>
      <c r="Z289" s="168"/>
      <c r="AA289" s="134"/>
      <c r="AB289" s="134"/>
      <c r="AC289" s="134"/>
      <c r="AD289" s="134"/>
      <c r="AE289" s="134"/>
      <c r="AF289" s="134"/>
      <c r="AG289" s="134"/>
      <c r="AH289" s="134"/>
      <c r="AI289" s="134"/>
      <c r="AJ289" s="134"/>
      <c r="AK289" s="134"/>
      <c r="AL289" s="134"/>
      <c r="AM289" s="134"/>
      <c r="AN289" s="134"/>
      <c r="AO289" s="134"/>
      <c r="AP289" s="165"/>
    </row>
    <row r="290" spans="1:42" ht="20.149999999999999" customHeight="1" x14ac:dyDescent="0.35">
      <c r="A290" s="166">
        <v>2</v>
      </c>
      <c r="B290" s="100" t="str">
        <f>PETUNJUK!B10</f>
        <v>Rengging</v>
      </c>
      <c r="C290" s="83">
        <f>'1.DATA KIA'!C282</f>
        <v>111.10000000000001</v>
      </c>
      <c r="D290" s="301">
        <f t="shared" si="107"/>
        <v>54</v>
      </c>
      <c r="E290" s="301">
        <f>'1.DATA KIA'!F282</f>
        <v>0</v>
      </c>
      <c r="F290" s="301">
        <f t="shared" ref="F290:F306" si="109">D290+E290</f>
        <v>54</v>
      </c>
      <c r="G290" s="86">
        <f t="shared" ref="G290:G306" si="110">F290/C290*100</f>
        <v>48.604860486048601</v>
      </c>
      <c r="H290" s="84">
        <f t="shared" si="108"/>
        <v>34</v>
      </c>
      <c r="I290" s="84">
        <f>'1.DATA KIA'!AB282+'1.DATA KIA'!AE282</f>
        <v>0</v>
      </c>
      <c r="J290" s="84">
        <f t="shared" ref="J290:J306" si="111">H290+I290</f>
        <v>34</v>
      </c>
      <c r="K290" s="86">
        <f t="shared" ref="K290:K306" si="112">J290/C290*100</f>
        <v>30.603060306030599</v>
      </c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54"/>
      <c r="Z290" s="168"/>
      <c r="AA290" s="134"/>
      <c r="AB290" s="134"/>
      <c r="AC290" s="134"/>
      <c r="AD290" s="134"/>
      <c r="AE290" s="134"/>
      <c r="AF290" s="134"/>
      <c r="AG290" s="134"/>
      <c r="AH290" s="134"/>
      <c r="AI290" s="134"/>
      <c r="AJ290" s="134"/>
      <c r="AK290" s="134"/>
      <c r="AL290" s="134"/>
      <c r="AM290" s="134"/>
      <c r="AN290" s="134"/>
      <c r="AO290" s="134"/>
      <c r="AP290" s="165"/>
    </row>
    <row r="291" spans="1:42" ht="20.149999999999999" customHeight="1" x14ac:dyDescent="0.35">
      <c r="A291" s="166">
        <v>3</v>
      </c>
      <c r="B291" s="100" t="str">
        <f>PETUNJUK!B11</f>
        <v>Troso</v>
      </c>
      <c r="C291" s="83">
        <f>'1.DATA KIA'!C283</f>
        <v>205.70000000000002</v>
      </c>
      <c r="D291" s="301">
        <f t="shared" si="107"/>
        <v>78</v>
      </c>
      <c r="E291" s="301">
        <f>'1.DATA KIA'!F283</f>
        <v>0</v>
      </c>
      <c r="F291" s="301">
        <f t="shared" si="109"/>
        <v>78</v>
      </c>
      <c r="G291" s="86">
        <f t="shared" si="110"/>
        <v>37.919299951385511</v>
      </c>
      <c r="H291" s="84">
        <f t="shared" si="108"/>
        <v>60</v>
      </c>
      <c r="I291" s="84">
        <f>'1.DATA KIA'!AB283+'1.DATA KIA'!AE283</f>
        <v>0</v>
      </c>
      <c r="J291" s="84">
        <f t="shared" si="111"/>
        <v>60</v>
      </c>
      <c r="K291" s="86">
        <f t="shared" si="112"/>
        <v>29.168692270296546</v>
      </c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54"/>
      <c r="Z291" s="168"/>
      <c r="AA291" s="134"/>
      <c r="AB291" s="134"/>
      <c r="AC291" s="134"/>
      <c r="AD291" s="134"/>
      <c r="AE291" s="134"/>
      <c r="AF291" s="134"/>
      <c r="AG291" s="134"/>
      <c r="AH291" s="134"/>
      <c r="AI291" s="134"/>
      <c r="AJ291" s="134"/>
      <c r="AK291" s="134"/>
      <c r="AL291" s="134"/>
      <c r="AM291" s="134"/>
      <c r="AN291" s="134"/>
      <c r="AO291" s="134"/>
      <c r="AP291" s="165"/>
    </row>
    <row r="292" spans="1:42" ht="20.149999999999999" customHeight="1" x14ac:dyDescent="0.35">
      <c r="A292" s="166">
        <v>4</v>
      </c>
      <c r="B292" s="100" t="str">
        <f>PETUNJUK!B12</f>
        <v>Ngeling</v>
      </c>
      <c r="C292" s="83">
        <f>'1.DATA KIA'!C284</f>
        <v>95.7</v>
      </c>
      <c r="D292" s="301">
        <f t="shared" si="107"/>
        <v>30</v>
      </c>
      <c r="E292" s="301">
        <f>'1.DATA KIA'!F284</f>
        <v>0</v>
      </c>
      <c r="F292" s="301">
        <f t="shared" si="109"/>
        <v>30</v>
      </c>
      <c r="G292" s="86">
        <f t="shared" si="110"/>
        <v>31.347962382445139</v>
      </c>
      <c r="H292" s="84">
        <f t="shared" si="108"/>
        <v>28</v>
      </c>
      <c r="I292" s="84">
        <f>'1.DATA KIA'!AB284+'1.DATA KIA'!AE284</f>
        <v>0</v>
      </c>
      <c r="J292" s="84">
        <f t="shared" si="111"/>
        <v>28</v>
      </c>
      <c r="K292" s="86">
        <f t="shared" si="112"/>
        <v>29.258098223615463</v>
      </c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54"/>
      <c r="Z292" s="168"/>
      <c r="AA292" s="134"/>
      <c r="AB292" s="134"/>
      <c r="AC292" s="134"/>
      <c r="AD292" s="134"/>
      <c r="AE292" s="134"/>
      <c r="AF292" s="134"/>
      <c r="AG292" s="134"/>
      <c r="AH292" s="134"/>
      <c r="AI292" s="134"/>
      <c r="AJ292" s="134"/>
      <c r="AK292" s="134"/>
      <c r="AL292" s="134"/>
      <c r="AM292" s="134"/>
      <c r="AN292" s="134"/>
      <c r="AO292" s="134"/>
      <c r="AP292" s="165"/>
    </row>
    <row r="293" spans="1:42" ht="20.149999999999999" customHeight="1" x14ac:dyDescent="0.35">
      <c r="A293" s="166">
        <v>5</v>
      </c>
      <c r="B293" s="100" t="str">
        <f>PETUNJUK!B13</f>
        <v>Lebuawu</v>
      </c>
      <c r="C293" s="83">
        <f>'1.DATA KIA'!C285</f>
        <v>85.800000000000011</v>
      </c>
      <c r="D293" s="301">
        <f t="shared" si="107"/>
        <v>33</v>
      </c>
      <c r="E293" s="301">
        <f>'1.DATA KIA'!F285</f>
        <v>0</v>
      </c>
      <c r="F293" s="301">
        <f t="shared" si="109"/>
        <v>33</v>
      </c>
      <c r="G293" s="86">
        <f t="shared" si="110"/>
        <v>38.46153846153846</v>
      </c>
      <c r="H293" s="84">
        <f t="shared" si="108"/>
        <v>23</v>
      </c>
      <c r="I293" s="84">
        <f>'1.DATA KIA'!AB285+'1.DATA KIA'!AE285</f>
        <v>0</v>
      </c>
      <c r="J293" s="84">
        <f t="shared" si="111"/>
        <v>23</v>
      </c>
      <c r="K293" s="86">
        <f t="shared" si="112"/>
        <v>26.806526806526804</v>
      </c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54"/>
      <c r="Z293" s="168"/>
      <c r="AA293" s="134"/>
      <c r="AB293" s="134"/>
      <c r="AC293" s="134"/>
      <c r="AD293" s="134"/>
      <c r="AE293" s="134"/>
      <c r="AF293" s="134"/>
      <c r="AG293" s="134"/>
      <c r="AH293" s="134"/>
      <c r="AI293" s="134"/>
      <c r="AJ293" s="134"/>
      <c r="AK293" s="134"/>
      <c r="AL293" s="134"/>
      <c r="AM293" s="134"/>
      <c r="AN293" s="134"/>
      <c r="AO293" s="134"/>
      <c r="AP293" s="165"/>
    </row>
    <row r="294" spans="1:42" ht="20.149999999999999" customHeight="1" x14ac:dyDescent="0.35">
      <c r="A294" s="166">
        <v>6</v>
      </c>
      <c r="B294" s="100" t="str">
        <f>PETUNJUK!B14</f>
        <v>Pulodarat</v>
      </c>
      <c r="C294" s="83">
        <f>'1.DATA KIA'!C286</f>
        <v>82.5</v>
      </c>
      <c r="D294" s="301">
        <f t="shared" si="107"/>
        <v>18</v>
      </c>
      <c r="E294" s="301">
        <f>'1.DATA KIA'!F286</f>
        <v>0</v>
      </c>
      <c r="F294" s="301">
        <f t="shared" si="109"/>
        <v>18</v>
      </c>
      <c r="G294" s="86">
        <f t="shared" si="110"/>
        <v>21.818181818181817</v>
      </c>
      <c r="H294" s="84">
        <f t="shared" si="108"/>
        <v>17</v>
      </c>
      <c r="I294" s="84">
        <f>'1.DATA KIA'!AB286+'1.DATA KIA'!AE286</f>
        <v>0</v>
      </c>
      <c r="J294" s="84">
        <f t="shared" si="111"/>
        <v>17</v>
      </c>
      <c r="K294" s="86">
        <f t="shared" si="112"/>
        <v>20.606060606060606</v>
      </c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54"/>
      <c r="Z294" s="168"/>
      <c r="AA294" s="134"/>
      <c r="AB294" s="134"/>
      <c r="AC294" s="134"/>
      <c r="AD294" s="134"/>
      <c r="AE294" s="134"/>
      <c r="AF294" s="134"/>
      <c r="AG294" s="134"/>
      <c r="AH294" s="134"/>
      <c r="AI294" s="134"/>
      <c r="AJ294" s="134"/>
      <c r="AK294" s="134"/>
      <c r="AL294" s="134"/>
      <c r="AM294" s="134"/>
      <c r="AN294" s="134"/>
      <c r="AO294" s="134"/>
      <c r="AP294" s="165"/>
    </row>
    <row r="295" spans="1:42" ht="20.149999999999999" customHeight="1" x14ac:dyDescent="0.35">
      <c r="A295" s="166">
        <v>7</v>
      </c>
      <c r="B295" s="100" t="str">
        <f>PETUNJUK!B15</f>
        <v>Karangrandu</v>
      </c>
      <c r="C295" s="83">
        <f>'1.DATA KIA'!C287</f>
        <v>93.500000000000014</v>
      </c>
      <c r="D295" s="301">
        <f t="shared" si="107"/>
        <v>31</v>
      </c>
      <c r="E295" s="301">
        <f>'1.DATA KIA'!F287</f>
        <v>0</v>
      </c>
      <c r="F295" s="301">
        <f t="shared" si="109"/>
        <v>31</v>
      </c>
      <c r="G295" s="86">
        <f t="shared" si="110"/>
        <v>33.155080213903737</v>
      </c>
      <c r="H295" s="84">
        <f t="shared" si="108"/>
        <v>27</v>
      </c>
      <c r="I295" s="84">
        <f>'1.DATA KIA'!AB287+'1.DATA KIA'!AE287</f>
        <v>0</v>
      </c>
      <c r="J295" s="84">
        <f t="shared" si="111"/>
        <v>27</v>
      </c>
      <c r="K295" s="86">
        <f t="shared" si="112"/>
        <v>28.877005347593578</v>
      </c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54"/>
      <c r="Z295" s="168"/>
      <c r="AA295" s="134"/>
      <c r="AB295" s="134"/>
      <c r="AC295" s="134"/>
      <c r="AD295" s="134"/>
      <c r="AE295" s="134"/>
      <c r="AF295" s="134"/>
      <c r="AG295" s="134"/>
      <c r="AH295" s="134"/>
      <c r="AI295" s="134"/>
      <c r="AJ295" s="134"/>
      <c r="AK295" s="134"/>
      <c r="AL295" s="134"/>
      <c r="AM295" s="134"/>
      <c r="AN295" s="134"/>
      <c r="AO295" s="134"/>
      <c r="AP295" s="165"/>
    </row>
    <row r="296" spans="1:42" ht="20.149999999999999" customHeight="1" x14ac:dyDescent="0.35">
      <c r="A296" s="166">
        <v>8</v>
      </c>
      <c r="B296" s="100" t="str">
        <f>PETUNJUK!B16</f>
        <v>Kaliombo</v>
      </c>
      <c r="C296" s="83">
        <f>'1.DATA KIA'!C288</f>
        <v>46.2</v>
      </c>
      <c r="D296" s="301">
        <f t="shared" si="107"/>
        <v>13</v>
      </c>
      <c r="E296" s="301">
        <f>'1.DATA KIA'!F288</f>
        <v>0</v>
      </c>
      <c r="F296" s="301">
        <f t="shared" si="109"/>
        <v>13</v>
      </c>
      <c r="G296" s="86">
        <f t="shared" si="110"/>
        <v>28.138528138528134</v>
      </c>
      <c r="H296" s="84">
        <f t="shared" si="108"/>
        <v>13</v>
      </c>
      <c r="I296" s="84">
        <f>'1.DATA KIA'!AB288+'1.DATA KIA'!AE288</f>
        <v>0</v>
      </c>
      <c r="J296" s="84">
        <f t="shared" si="111"/>
        <v>13</v>
      </c>
      <c r="K296" s="86">
        <f t="shared" si="112"/>
        <v>28.138528138528134</v>
      </c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54"/>
      <c r="Z296" s="168"/>
      <c r="AA296" s="134"/>
      <c r="AB296" s="134"/>
      <c r="AC296" s="134"/>
      <c r="AD296" s="134"/>
      <c r="AE296" s="134"/>
      <c r="AF296" s="134"/>
      <c r="AG296" s="134"/>
      <c r="AH296" s="134"/>
      <c r="AI296" s="134"/>
      <c r="AJ296" s="134"/>
      <c r="AK296" s="134"/>
      <c r="AL296" s="134"/>
      <c r="AM296" s="134"/>
      <c r="AN296" s="134"/>
      <c r="AO296" s="134"/>
      <c r="AP296" s="165"/>
    </row>
    <row r="297" spans="1:42" ht="20.149999999999999" customHeight="1" x14ac:dyDescent="0.35">
      <c r="A297" s="166">
        <v>9</v>
      </c>
      <c r="B297" s="100" t="str">
        <f>PETUNJUK!B17</f>
        <v>Gemulung</v>
      </c>
      <c r="C297" s="83">
        <f>'1.DATA KIA'!C289</f>
        <v>53.900000000000006</v>
      </c>
      <c r="D297" s="301">
        <f t="shared" si="107"/>
        <v>19</v>
      </c>
      <c r="E297" s="301">
        <f>'1.DATA KIA'!F289</f>
        <v>0</v>
      </c>
      <c r="F297" s="301">
        <f t="shared" si="109"/>
        <v>19</v>
      </c>
      <c r="G297" s="86">
        <f t="shared" si="110"/>
        <v>35.250463821892389</v>
      </c>
      <c r="H297" s="84">
        <f t="shared" si="108"/>
        <v>20</v>
      </c>
      <c r="I297" s="84">
        <f>'1.DATA KIA'!AB289+'1.DATA KIA'!AE289</f>
        <v>0</v>
      </c>
      <c r="J297" s="84">
        <f t="shared" si="111"/>
        <v>20</v>
      </c>
      <c r="K297" s="86">
        <f t="shared" si="112"/>
        <v>37.105751391465674</v>
      </c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54"/>
      <c r="Z297" s="168"/>
      <c r="AA297" s="134"/>
      <c r="AB297" s="134"/>
      <c r="AC297" s="134"/>
      <c r="AD297" s="134"/>
      <c r="AE297" s="134"/>
      <c r="AF297" s="134"/>
      <c r="AG297" s="134"/>
      <c r="AH297" s="134"/>
      <c r="AI297" s="134"/>
      <c r="AJ297" s="134"/>
      <c r="AK297" s="134"/>
      <c r="AL297" s="134"/>
      <c r="AM297" s="134"/>
      <c r="AN297" s="134"/>
      <c r="AO297" s="134"/>
      <c r="AP297" s="165"/>
    </row>
    <row r="298" spans="1:42" ht="20.149999999999999" customHeight="1" x14ac:dyDescent="0.35">
      <c r="A298" s="166">
        <v>10</v>
      </c>
      <c r="B298" s="100" t="str">
        <f>PETUNJUK!B18</f>
        <v>Pecangaan Wetan</v>
      </c>
      <c r="C298" s="83">
        <f>'1.DATA KIA'!C290</f>
        <v>50.6</v>
      </c>
      <c r="D298" s="301">
        <f t="shared" si="107"/>
        <v>15</v>
      </c>
      <c r="E298" s="301">
        <f>'1.DATA KIA'!F290</f>
        <v>0</v>
      </c>
      <c r="F298" s="301">
        <f t="shared" si="109"/>
        <v>15</v>
      </c>
      <c r="G298" s="86">
        <f t="shared" si="110"/>
        <v>29.644268774703558</v>
      </c>
      <c r="H298" s="84">
        <f t="shared" si="108"/>
        <v>13</v>
      </c>
      <c r="I298" s="84">
        <f>'1.DATA KIA'!AB290+'1.DATA KIA'!AE290</f>
        <v>0</v>
      </c>
      <c r="J298" s="84">
        <f t="shared" si="111"/>
        <v>13</v>
      </c>
      <c r="K298" s="86">
        <f t="shared" si="112"/>
        <v>25.691699604743086</v>
      </c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54"/>
      <c r="Z298" s="168"/>
      <c r="AA298" s="134"/>
      <c r="AB298" s="134"/>
      <c r="AC298" s="134"/>
      <c r="AD298" s="134"/>
      <c r="AE298" s="134"/>
      <c r="AF298" s="134"/>
      <c r="AG298" s="134"/>
      <c r="AH298" s="134"/>
      <c r="AI298" s="134"/>
      <c r="AJ298" s="134"/>
      <c r="AK298" s="134"/>
      <c r="AL298" s="134"/>
      <c r="AM298" s="134"/>
      <c r="AN298" s="134"/>
      <c r="AO298" s="134"/>
      <c r="AP298" s="165"/>
    </row>
    <row r="299" spans="1:42" ht="20.149999999999999" customHeight="1" x14ac:dyDescent="0.35">
      <c r="A299" s="166">
        <v>11</v>
      </c>
      <c r="B299" s="100" t="str">
        <f>PETUNJUK!B19</f>
        <v>Krasak</v>
      </c>
      <c r="C299" s="83">
        <f>'1.DATA KIA'!C291</f>
        <v>117.7</v>
      </c>
      <c r="D299" s="301">
        <f t="shared" si="107"/>
        <v>45</v>
      </c>
      <c r="E299" s="301">
        <f>'1.DATA KIA'!F291</f>
        <v>0</v>
      </c>
      <c r="F299" s="301">
        <f t="shared" si="109"/>
        <v>45</v>
      </c>
      <c r="G299" s="86">
        <f t="shared" si="110"/>
        <v>38.232795242141037</v>
      </c>
      <c r="H299" s="84">
        <f t="shared" si="108"/>
        <v>29</v>
      </c>
      <c r="I299" s="84">
        <f>'1.DATA KIA'!AB291+'1.DATA KIA'!AE291</f>
        <v>0</v>
      </c>
      <c r="J299" s="84">
        <f t="shared" si="111"/>
        <v>29</v>
      </c>
      <c r="K299" s="86">
        <f t="shared" si="112"/>
        <v>24.638912489379777</v>
      </c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54"/>
      <c r="Z299" s="168"/>
      <c r="AA299" s="134"/>
      <c r="AB299" s="134"/>
      <c r="AC299" s="134"/>
      <c r="AD299" s="134"/>
      <c r="AE299" s="134"/>
      <c r="AF299" s="134"/>
      <c r="AG299" s="134"/>
      <c r="AH299" s="134"/>
      <c r="AI299" s="134"/>
      <c r="AJ299" s="134"/>
      <c r="AK299" s="134"/>
      <c r="AL299" s="134"/>
      <c r="AM299" s="134"/>
      <c r="AN299" s="134"/>
      <c r="AO299" s="134"/>
      <c r="AP299" s="165"/>
    </row>
    <row r="300" spans="1:42" ht="20.149999999999999" customHeight="1" x14ac:dyDescent="0.35">
      <c r="A300" s="166">
        <v>12</v>
      </c>
      <c r="B300" s="100" t="str">
        <f>PETUNJUK!B20</f>
        <v>Gerdu</v>
      </c>
      <c r="C300" s="83">
        <f>'1.DATA KIA'!C292</f>
        <v>23.1</v>
      </c>
      <c r="D300" s="301">
        <f t="shared" si="107"/>
        <v>8</v>
      </c>
      <c r="E300" s="301">
        <f>'1.DATA KIA'!F292</f>
        <v>0</v>
      </c>
      <c r="F300" s="301">
        <f t="shared" si="109"/>
        <v>8</v>
      </c>
      <c r="G300" s="86">
        <f t="shared" si="110"/>
        <v>34.632034632034632</v>
      </c>
      <c r="H300" s="84">
        <f t="shared" si="108"/>
        <v>5</v>
      </c>
      <c r="I300" s="84">
        <f>'1.DATA KIA'!AB292+'1.DATA KIA'!AE292</f>
        <v>0</v>
      </c>
      <c r="J300" s="84">
        <f t="shared" si="111"/>
        <v>5</v>
      </c>
      <c r="K300" s="86">
        <f t="shared" si="112"/>
        <v>21.645021645021643</v>
      </c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54"/>
      <c r="Z300" s="168"/>
      <c r="AA300" s="134"/>
      <c r="AB300" s="134"/>
      <c r="AC300" s="134"/>
      <c r="AD300" s="134"/>
      <c r="AE300" s="134"/>
      <c r="AF300" s="134"/>
      <c r="AG300" s="134"/>
      <c r="AH300" s="134"/>
      <c r="AI300" s="134"/>
      <c r="AJ300" s="134"/>
      <c r="AK300" s="134"/>
      <c r="AL300" s="134"/>
      <c r="AM300" s="134"/>
      <c r="AN300" s="134"/>
      <c r="AO300" s="134"/>
      <c r="AP300" s="165"/>
    </row>
    <row r="301" spans="1:42" ht="20.149999999999999" customHeight="1" x14ac:dyDescent="0.35">
      <c r="A301" s="166">
        <v>13</v>
      </c>
      <c r="B301" s="100">
        <f>PETUNJUK!B21</f>
        <v>0</v>
      </c>
      <c r="C301" s="83">
        <f>'1.DATA KIA'!C293</f>
        <v>0</v>
      </c>
      <c r="D301" s="301">
        <f t="shared" si="107"/>
        <v>0</v>
      </c>
      <c r="E301" s="301">
        <f>'1.DATA KIA'!F293</f>
        <v>0</v>
      </c>
      <c r="F301" s="301">
        <f t="shared" si="109"/>
        <v>0</v>
      </c>
      <c r="G301" s="86" t="e">
        <f t="shared" si="110"/>
        <v>#DIV/0!</v>
      </c>
      <c r="H301" s="84">
        <f t="shared" si="108"/>
        <v>0</v>
      </c>
      <c r="I301" s="84">
        <f>'1.DATA KIA'!AB293+'1.DATA KIA'!AE293</f>
        <v>0</v>
      </c>
      <c r="J301" s="84">
        <f t="shared" si="111"/>
        <v>0</v>
      </c>
      <c r="K301" s="86" t="e">
        <f t="shared" si="112"/>
        <v>#DIV/0!</v>
      </c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54"/>
      <c r="Z301" s="168"/>
      <c r="AA301" s="134"/>
      <c r="AB301" s="134"/>
      <c r="AC301" s="134"/>
      <c r="AD301" s="134"/>
      <c r="AE301" s="134"/>
      <c r="AF301" s="134"/>
      <c r="AG301" s="134"/>
      <c r="AH301" s="134"/>
      <c r="AI301" s="134"/>
      <c r="AJ301" s="134"/>
      <c r="AK301" s="134"/>
      <c r="AL301" s="134"/>
      <c r="AM301" s="134"/>
      <c r="AN301" s="134"/>
      <c r="AO301" s="134"/>
      <c r="AP301" s="165"/>
    </row>
    <row r="302" spans="1:42" ht="20.149999999999999" customHeight="1" x14ac:dyDescent="0.35">
      <c r="A302" s="166">
        <v>14</v>
      </c>
      <c r="B302" s="100">
        <f>PETUNJUK!B22</f>
        <v>0</v>
      </c>
      <c r="C302" s="83">
        <f>'1.DATA KIA'!C294</f>
        <v>0</v>
      </c>
      <c r="D302" s="301">
        <f t="shared" si="107"/>
        <v>0</v>
      </c>
      <c r="E302" s="301">
        <f>'1.DATA KIA'!F294</f>
        <v>0</v>
      </c>
      <c r="F302" s="301">
        <f t="shared" si="109"/>
        <v>0</v>
      </c>
      <c r="G302" s="86" t="e">
        <f t="shared" si="110"/>
        <v>#DIV/0!</v>
      </c>
      <c r="H302" s="84">
        <f t="shared" si="108"/>
        <v>0</v>
      </c>
      <c r="I302" s="84">
        <f>'1.DATA KIA'!AB294+'1.DATA KIA'!AE294</f>
        <v>0</v>
      </c>
      <c r="J302" s="84">
        <f t="shared" si="111"/>
        <v>0</v>
      </c>
      <c r="K302" s="86" t="e">
        <f t="shared" si="112"/>
        <v>#DIV/0!</v>
      </c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54"/>
      <c r="Z302" s="168"/>
      <c r="AA302" s="134"/>
      <c r="AB302" s="134"/>
      <c r="AC302" s="134"/>
      <c r="AD302" s="134"/>
      <c r="AE302" s="134"/>
      <c r="AF302" s="134"/>
      <c r="AG302" s="134"/>
      <c r="AH302" s="134"/>
      <c r="AI302" s="134"/>
      <c r="AJ302" s="134"/>
      <c r="AK302" s="134"/>
      <c r="AL302" s="134"/>
      <c r="AM302" s="134"/>
      <c r="AN302" s="134"/>
      <c r="AO302" s="134"/>
      <c r="AP302" s="165"/>
    </row>
    <row r="303" spans="1:42" ht="20.149999999999999" customHeight="1" x14ac:dyDescent="0.35">
      <c r="A303" s="166">
        <v>15</v>
      </c>
      <c r="B303" s="100">
        <f>PETUNJUK!B23</f>
        <v>0</v>
      </c>
      <c r="C303" s="83">
        <f>'1.DATA KIA'!C295</f>
        <v>0</v>
      </c>
      <c r="D303" s="301">
        <f t="shared" si="107"/>
        <v>0</v>
      </c>
      <c r="E303" s="301">
        <f>'1.DATA KIA'!F295</f>
        <v>0</v>
      </c>
      <c r="F303" s="301">
        <f t="shared" si="109"/>
        <v>0</v>
      </c>
      <c r="G303" s="86" t="e">
        <f t="shared" si="110"/>
        <v>#DIV/0!</v>
      </c>
      <c r="H303" s="84">
        <f t="shared" si="108"/>
        <v>0</v>
      </c>
      <c r="I303" s="84">
        <f>'1.DATA KIA'!AB295+'1.DATA KIA'!AE295</f>
        <v>0</v>
      </c>
      <c r="J303" s="84">
        <f t="shared" si="111"/>
        <v>0</v>
      </c>
      <c r="K303" s="86" t="e">
        <f t="shared" si="112"/>
        <v>#DIV/0!</v>
      </c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54"/>
      <c r="Z303" s="168"/>
      <c r="AA303" s="134"/>
      <c r="AB303" s="134"/>
      <c r="AC303" s="134"/>
      <c r="AD303" s="134"/>
      <c r="AE303" s="134"/>
      <c r="AF303" s="134"/>
      <c r="AG303" s="134"/>
      <c r="AH303" s="134"/>
      <c r="AI303" s="134"/>
      <c r="AJ303" s="134"/>
      <c r="AK303" s="134"/>
      <c r="AL303" s="134"/>
      <c r="AM303" s="134"/>
      <c r="AN303" s="134"/>
      <c r="AO303" s="134"/>
      <c r="AP303" s="165"/>
    </row>
    <row r="304" spans="1:42" ht="20.149999999999999" customHeight="1" x14ac:dyDescent="0.35">
      <c r="A304" s="166">
        <v>16</v>
      </c>
      <c r="B304" s="100">
        <f>PETUNJUK!B24</f>
        <v>0</v>
      </c>
      <c r="C304" s="83">
        <f>'1.DATA KIA'!C296</f>
        <v>0</v>
      </c>
      <c r="D304" s="301">
        <f t="shared" si="107"/>
        <v>0</v>
      </c>
      <c r="E304" s="301">
        <f>'1.DATA KIA'!F296</f>
        <v>0</v>
      </c>
      <c r="F304" s="301">
        <f t="shared" si="109"/>
        <v>0</v>
      </c>
      <c r="G304" s="86" t="e">
        <f t="shared" si="110"/>
        <v>#DIV/0!</v>
      </c>
      <c r="H304" s="84">
        <f t="shared" si="108"/>
        <v>0</v>
      </c>
      <c r="I304" s="84">
        <f>'1.DATA KIA'!AB296+'1.DATA KIA'!AE296</f>
        <v>0</v>
      </c>
      <c r="J304" s="84">
        <f t="shared" si="111"/>
        <v>0</v>
      </c>
      <c r="K304" s="86" t="e">
        <f t="shared" si="112"/>
        <v>#DIV/0!</v>
      </c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54"/>
      <c r="Z304" s="168"/>
      <c r="AA304" s="134"/>
      <c r="AB304" s="134"/>
      <c r="AC304" s="134"/>
      <c r="AD304" s="134"/>
      <c r="AE304" s="134"/>
      <c r="AF304" s="134"/>
      <c r="AG304" s="134"/>
      <c r="AH304" s="134"/>
      <c r="AI304" s="134"/>
      <c r="AJ304" s="134"/>
      <c r="AK304" s="134"/>
      <c r="AL304" s="134"/>
      <c r="AM304" s="134"/>
      <c r="AN304" s="134"/>
      <c r="AO304" s="134"/>
      <c r="AP304" s="165"/>
    </row>
    <row r="305" spans="1:42" ht="20.149999999999999" customHeight="1" x14ac:dyDescent="0.35">
      <c r="A305" s="166">
        <v>17</v>
      </c>
      <c r="B305" s="100">
        <f>PETUNJUK!B25</f>
        <v>0</v>
      </c>
      <c r="C305" s="83">
        <f>'1.DATA KIA'!C297</f>
        <v>0</v>
      </c>
      <c r="D305" s="301">
        <f t="shared" si="107"/>
        <v>0</v>
      </c>
      <c r="E305" s="301">
        <f>'1.DATA KIA'!F297</f>
        <v>0</v>
      </c>
      <c r="F305" s="301">
        <f t="shared" si="109"/>
        <v>0</v>
      </c>
      <c r="G305" s="86" t="e">
        <f t="shared" si="110"/>
        <v>#DIV/0!</v>
      </c>
      <c r="H305" s="84">
        <f t="shared" si="108"/>
        <v>0</v>
      </c>
      <c r="I305" s="84">
        <f>'1.DATA KIA'!AB297+'1.DATA KIA'!AE297</f>
        <v>0</v>
      </c>
      <c r="J305" s="84">
        <f t="shared" si="111"/>
        <v>0</v>
      </c>
      <c r="K305" s="86" t="e">
        <f t="shared" si="112"/>
        <v>#DIV/0!</v>
      </c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54"/>
      <c r="Z305" s="168"/>
      <c r="AA305" s="134"/>
      <c r="AB305" s="134"/>
      <c r="AC305" s="134"/>
      <c r="AD305" s="134"/>
      <c r="AE305" s="134"/>
      <c r="AF305" s="134"/>
      <c r="AG305" s="134"/>
      <c r="AH305" s="134"/>
      <c r="AI305" s="134"/>
      <c r="AJ305" s="134"/>
      <c r="AK305" s="134"/>
      <c r="AL305" s="134"/>
      <c r="AM305" s="134"/>
      <c r="AN305" s="134"/>
      <c r="AO305" s="134"/>
      <c r="AP305" s="165"/>
    </row>
    <row r="306" spans="1:42" ht="20.149999999999999" customHeight="1" x14ac:dyDescent="0.35">
      <c r="A306" s="166">
        <v>18</v>
      </c>
      <c r="B306" s="100">
        <f>PETUNJUK!B26</f>
        <v>0</v>
      </c>
      <c r="C306" s="83">
        <f>'1.DATA KIA'!C298</f>
        <v>0</v>
      </c>
      <c r="D306" s="301">
        <f t="shared" si="107"/>
        <v>0</v>
      </c>
      <c r="E306" s="301">
        <f>'1.DATA KIA'!F298</f>
        <v>0</v>
      </c>
      <c r="F306" s="301">
        <f t="shared" si="109"/>
        <v>0</v>
      </c>
      <c r="G306" s="86" t="e">
        <f t="shared" si="110"/>
        <v>#DIV/0!</v>
      </c>
      <c r="H306" s="84">
        <f t="shared" si="108"/>
        <v>0</v>
      </c>
      <c r="I306" s="84">
        <f>'1.DATA KIA'!AB298+'1.DATA KIA'!AE298</f>
        <v>0</v>
      </c>
      <c r="J306" s="84">
        <f t="shared" si="111"/>
        <v>0</v>
      </c>
      <c r="K306" s="86" t="e">
        <f t="shared" si="112"/>
        <v>#DIV/0!</v>
      </c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54"/>
      <c r="Z306" s="168"/>
      <c r="AA306" s="134"/>
      <c r="AB306" s="134"/>
      <c r="AC306" s="134"/>
      <c r="AD306" s="134"/>
      <c r="AE306" s="134"/>
      <c r="AF306" s="134"/>
      <c r="AG306" s="134"/>
      <c r="AH306" s="134"/>
      <c r="AI306" s="134"/>
      <c r="AJ306" s="134"/>
      <c r="AK306" s="134"/>
      <c r="AL306" s="134"/>
      <c r="AM306" s="134"/>
      <c r="AN306" s="134"/>
      <c r="AO306" s="134"/>
      <c r="AP306" s="165"/>
    </row>
    <row r="307" spans="1:42" ht="20.149999999999999" customHeight="1" x14ac:dyDescent="0.35">
      <c r="A307" s="166">
        <v>19</v>
      </c>
      <c r="B307" s="100">
        <f>PETUNJUK!B27</f>
        <v>0</v>
      </c>
      <c r="C307" s="83">
        <f>'1.DATA KIA'!C299</f>
        <v>0</v>
      </c>
      <c r="D307" s="301">
        <f t="shared" si="107"/>
        <v>0</v>
      </c>
      <c r="E307" s="301">
        <f>'1.DATA KIA'!F299</f>
        <v>0</v>
      </c>
      <c r="F307" s="301">
        <f t="shared" ref="F307:F310" si="113">D307+E307</f>
        <v>0</v>
      </c>
      <c r="G307" s="86" t="e">
        <f t="shared" ref="G307:G310" si="114">F307/C307*100</f>
        <v>#DIV/0!</v>
      </c>
      <c r="H307" s="84">
        <f t="shared" ref="H307:H310" si="115">J272</f>
        <v>0</v>
      </c>
      <c r="I307" s="84">
        <f>'1.DATA KIA'!AB299+'1.DATA KIA'!AE299</f>
        <v>0</v>
      </c>
      <c r="J307" s="84">
        <f t="shared" ref="J307:J310" si="116">H307+I307</f>
        <v>0</v>
      </c>
      <c r="K307" s="86" t="e">
        <f t="shared" ref="K307:K310" si="117">J307/C307*100</f>
        <v>#DIV/0!</v>
      </c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54"/>
      <c r="Z307" s="168"/>
      <c r="AA307" s="134"/>
      <c r="AB307" s="134"/>
      <c r="AC307" s="134"/>
      <c r="AD307" s="134"/>
      <c r="AE307" s="134"/>
      <c r="AF307" s="134"/>
      <c r="AG307" s="134"/>
      <c r="AH307" s="134"/>
      <c r="AI307" s="134"/>
      <c r="AJ307" s="134"/>
      <c r="AK307" s="134"/>
      <c r="AL307" s="134"/>
      <c r="AM307" s="134"/>
      <c r="AN307" s="134"/>
      <c r="AO307" s="134"/>
      <c r="AP307" s="165"/>
    </row>
    <row r="308" spans="1:42" ht="20.149999999999999" customHeight="1" x14ac:dyDescent="0.35">
      <c r="A308" s="166">
        <v>20</v>
      </c>
      <c r="B308" s="100">
        <f>PETUNJUK!B28</f>
        <v>0</v>
      </c>
      <c r="C308" s="83">
        <f>'1.DATA KIA'!C300</f>
        <v>0</v>
      </c>
      <c r="D308" s="301">
        <f t="shared" si="107"/>
        <v>0</v>
      </c>
      <c r="E308" s="301">
        <f>'1.DATA KIA'!F300</f>
        <v>0</v>
      </c>
      <c r="F308" s="301">
        <f t="shared" si="113"/>
        <v>0</v>
      </c>
      <c r="G308" s="86" t="e">
        <f t="shared" si="114"/>
        <v>#DIV/0!</v>
      </c>
      <c r="H308" s="84">
        <f t="shared" si="115"/>
        <v>0</v>
      </c>
      <c r="I308" s="84">
        <f>'1.DATA KIA'!AB300+'1.DATA KIA'!AE300</f>
        <v>0</v>
      </c>
      <c r="J308" s="84">
        <f t="shared" si="116"/>
        <v>0</v>
      </c>
      <c r="K308" s="86" t="e">
        <f t="shared" si="117"/>
        <v>#DIV/0!</v>
      </c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54"/>
      <c r="Z308" s="168"/>
      <c r="AA308" s="134"/>
      <c r="AB308" s="134"/>
      <c r="AC308" s="134"/>
      <c r="AD308" s="134"/>
      <c r="AE308" s="134"/>
      <c r="AF308" s="134"/>
      <c r="AG308" s="134"/>
      <c r="AH308" s="134"/>
      <c r="AI308" s="134"/>
      <c r="AJ308" s="134"/>
      <c r="AK308" s="134"/>
      <c r="AL308" s="134"/>
      <c r="AM308" s="134"/>
      <c r="AN308" s="134"/>
      <c r="AO308" s="134"/>
      <c r="AP308" s="165"/>
    </row>
    <row r="309" spans="1:42" ht="20.149999999999999" customHeight="1" x14ac:dyDescent="0.35">
      <c r="A309" s="166">
        <v>21</v>
      </c>
      <c r="B309" s="100">
        <f>PETUNJUK!B29</f>
        <v>0</v>
      </c>
      <c r="C309" s="83">
        <f>'1.DATA KIA'!C301</f>
        <v>0</v>
      </c>
      <c r="D309" s="301">
        <f t="shared" ref="D309:D310" si="118">F274</f>
        <v>0</v>
      </c>
      <c r="E309" s="301">
        <f>'1.DATA KIA'!F301</f>
        <v>0</v>
      </c>
      <c r="F309" s="301">
        <f t="shared" si="113"/>
        <v>0</v>
      </c>
      <c r="G309" s="86" t="e">
        <f t="shared" si="114"/>
        <v>#DIV/0!</v>
      </c>
      <c r="H309" s="84">
        <f t="shared" si="115"/>
        <v>0</v>
      </c>
      <c r="I309" s="84">
        <f>'1.DATA KIA'!AB301+'1.DATA KIA'!AE301</f>
        <v>0</v>
      </c>
      <c r="J309" s="84">
        <f t="shared" si="116"/>
        <v>0</v>
      </c>
      <c r="K309" s="86" t="e">
        <f t="shared" si="117"/>
        <v>#DIV/0!</v>
      </c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54"/>
      <c r="Z309" s="168"/>
      <c r="AA309" s="134"/>
      <c r="AB309" s="134"/>
      <c r="AC309" s="134"/>
      <c r="AD309" s="134"/>
      <c r="AE309" s="134"/>
      <c r="AF309" s="134"/>
      <c r="AG309" s="134"/>
      <c r="AH309" s="134"/>
      <c r="AI309" s="134"/>
      <c r="AJ309" s="134"/>
      <c r="AK309" s="134"/>
      <c r="AL309" s="134"/>
      <c r="AM309" s="134"/>
      <c r="AN309" s="134"/>
      <c r="AO309" s="134"/>
      <c r="AP309" s="165"/>
    </row>
    <row r="310" spans="1:42" ht="20.149999999999999" customHeight="1" thickBot="1" x14ac:dyDescent="0.4">
      <c r="A310" s="167">
        <v>22</v>
      </c>
      <c r="B310" s="114">
        <f>PETUNJUK!B30</f>
        <v>0</v>
      </c>
      <c r="C310" s="115">
        <f>'1.DATA KIA'!C302</f>
        <v>0</v>
      </c>
      <c r="D310" s="302">
        <f t="shared" si="118"/>
        <v>0</v>
      </c>
      <c r="E310" s="302">
        <f>'1.DATA KIA'!F302</f>
        <v>0</v>
      </c>
      <c r="F310" s="302">
        <f t="shared" si="113"/>
        <v>0</v>
      </c>
      <c r="G310" s="94" t="e">
        <f t="shared" si="114"/>
        <v>#DIV/0!</v>
      </c>
      <c r="H310" s="95">
        <f t="shared" si="115"/>
        <v>0</v>
      </c>
      <c r="I310" s="95">
        <f>'1.DATA KIA'!AB302+'1.DATA KIA'!AE302</f>
        <v>0</v>
      </c>
      <c r="J310" s="95">
        <f t="shared" si="116"/>
        <v>0</v>
      </c>
      <c r="K310" s="94" t="e">
        <f t="shared" si="117"/>
        <v>#DIV/0!</v>
      </c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54"/>
      <c r="Z310" s="168"/>
      <c r="AA310" s="134"/>
      <c r="AB310" s="134"/>
      <c r="AC310" s="134"/>
      <c r="AD310" s="134"/>
      <c r="AE310" s="134"/>
      <c r="AF310" s="134"/>
      <c r="AG310" s="134"/>
      <c r="AH310" s="134"/>
      <c r="AI310" s="134"/>
      <c r="AJ310" s="134"/>
      <c r="AK310" s="134"/>
      <c r="AL310" s="134"/>
      <c r="AM310" s="134"/>
      <c r="AN310" s="134"/>
      <c r="AO310" s="134"/>
      <c r="AP310" s="165"/>
    </row>
    <row r="311" spans="1:42" ht="27" customHeight="1" thickBot="1" x14ac:dyDescent="0.4">
      <c r="A311" s="881" t="s">
        <v>18</v>
      </c>
      <c r="B311" s="882"/>
      <c r="C311" s="136">
        <f>SUM(C289:C310)</f>
        <v>1067</v>
      </c>
      <c r="D311" s="118">
        <f>SUM(D289:D310)</f>
        <v>374</v>
      </c>
      <c r="E311" s="118">
        <f>SUM(E289:E310)</f>
        <v>0</v>
      </c>
      <c r="F311" s="118">
        <f>SUM(F289:F310)</f>
        <v>374</v>
      </c>
      <c r="G311" s="117">
        <f>F311/C311*100</f>
        <v>35.051546391752574</v>
      </c>
      <c r="H311" s="118">
        <f>SUM(H289:H310)</f>
        <v>298</v>
      </c>
      <c r="I311" s="118">
        <f>SUM(I289:I310)</f>
        <v>0</v>
      </c>
      <c r="J311" s="118">
        <f>SUM(J289:J310)</f>
        <v>298</v>
      </c>
      <c r="K311" s="117">
        <f>J311/C311*100</f>
        <v>27.928772258669166</v>
      </c>
      <c r="L311" s="121">
        <f t="shared" ref="L311:X311" si="119">SUM(L289:L310)</f>
        <v>0</v>
      </c>
      <c r="M311" s="121">
        <f t="shared" si="119"/>
        <v>0</v>
      </c>
      <c r="N311" s="121">
        <f>SUM(N289:N310)</f>
        <v>0</v>
      </c>
      <c r="O311" s="121">
        <f t="shared" si="119"/>
        <v>0</v>
      </c>
      <c r="P311" s="121">
        <f t="shared" si="119"/>
        <v>0</v>
      </c>
      <c r="Q311" s="121">
        <f t="shared" si="119"/>
        <v>0</v>
      </c>
      <c r="R311" s="121">
        <f t="shared" si="119"/>
        <v>0</v>
      </c>
      <c r="S311" s="121">
        <f t="shared" si="119"/>
        <v>0</v>
      </c>
      <c r="T311" s="121">
        <f t="shared" si="119"/>
        <v>0</v>
      </c>
      <c r="U311" s="121">
        <f t="shared" si="119"/>
        <v>0</v>
      </c>
      <c r="V311" s="121">
        <f t="shared" si="119"/>
        <v>0</v>
      </c>
      <c r="W311" s="121">
        <f t="shared" si="119"/>
        <v>0</v>
      </c>
      <c r="X311" s="122">
        <f t="shared" si="119"/>
        <v>0</v>
      </c>
      <c r="Y311" s="159"/>
      <c r="Z311" s="189">
        <f t="shared" ref="Z311:AP311" si="120">SUM(Z289:Z310)</f>
        <v>0</v>
      </c>
      <c r="AA311" s="121">
        <f t="shared" si="120"/>
        <v>0</v>
      </c>
      <c r="AB311" s="121">
        <f t="shared" si="120"/>
        <v>0</v>
      </c>
      <c r="AC311" s="121">
        <f t="shared" si="120"/>
        <v>0</v>
      </c>
      <c r="AD311" s="121">
        <f t="shared" si="120"/>
        <v>0</v>
      </c>
      <c r="AE311" s="121">
        <f t="shared" si="120"/>
        <v>0</v>
      </c>
      <c r="AF311" s="121">
        <f t="shared" si="120"/>
        <v>0</v>
      </c>
      <c r="AG311" s="121">
        <f t="shared" si="120"/>
        <v>0</v>
      </c>
      <c r="AH311" s="121">
        <f t="shared" si="120"/>
        <v>0</v>
      </c>
      <c r="AI311" s="121">
        <f t="shared" si="120"/>
        <v>0</v>
      </c>
      <c r="AJ311" s="121">
        <f t="shared" si="120"/>
        <v>0</v>
      </c>
      <c r="AK311" s="121">
        <f t="shared" si="120"/>
        <v>0</v>
      </c>
      <c r="AL311" s="121">
        <f t="shared" si="120"/>
        <v>0</v>
      </c>
      <c r="AM311" s="121">
        <f t="shared" si="120"/>
        <v>0</v>
      </c>
      <c r="AN311" s="121">
        <f t="shared" si="120"/>
        <v>0</v>
      </c>
      <c r="AO311" s="121">
        <f t="shared" si="120"/>
        <v>0</v>
      </c>
      <c r="AP311" s="122">
        <f t="shared" si="120"/>
        <v>0</v>
      </c>
    </row>
    <row r="312" spans="1:42" ht="15.5" x14ac:dyDescent="0.35">
      <c r="A312" s="140"/>
      <c r="B312" s="140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56"/>
      <c r="Z312" s="102"/>
      <c r="AA312" s="102"/>
      <c r="AB312" s="102"/>
      <c r="AC312" s="102"/>
      <c r="AD312" s="102"/>
      <c r="AE312" s="102"/>
      <c r="AF312" s="102"/>
      <c r="AG312" s="102"/>
      <c r="AH312" s="102"/>
      <c r="AI312" s="102"/>
      <c r="AJ312" s="102"/>
      <c r="AK312" s="102"/>
      <c r="AL312" s="102"/>
      <c r="AM312" s="102"/>
      <c r="AN312" s="102"/>
      <c r="AO312" s="102"/>
      <c r="AP312" s="102"/>
    </row>
    <row r="313" spans="1:42" ht="15.5" x14ac:dyDescent="0.35">
      <c r="A313" s="140"/>
      <c r="B313" s="140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56"/>
      <c r="Z313" s="102"/>
      <c r="AA313" s="102"/>
      <c r="AB313" s="102"/>
      <c r="AC313" s="102"/>
      <c r="AD313" s="102"/>
      <c r="AE313" s="102"/>
      <c r="AF313" s="102"/>
      <c r="AG313" s="102"/>
      <c r="AH313" s="102"/>
      <c r="AI313" s="102"/>
      <c r="AJ313" s="102"/>
      <c r="AK313" s="102"/>
      <c r="AL313" s="102"/>
      <c r="AM313" s="102"/>
      <c r="AN313" s="102"/>
      <c r="AO313" s="102"/>
      <c r="AP313" s="102"/>
    </row>
    <row r="314" spans="1:42" ht="15.5" x14ac:dyDescent="0.35">
      <c r="A314" s="140"/>
      <c r="B314" s="140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56"/>
      <c r="Z314" s="102"/>
      <c r="AA314" s="102"/>
      <c r="AB314" s="102"/>
      <c r="AC314" s="102"/>
      <c r="AD314" s="102"/>
      <c r="AE314" s="102"/>
      <c r="AF314" s="102"/>
      <c r="AG314" s="102"/>
      <c r="AH314" s="102"/>
      <c r="AI314" s="102"/>
      <c r="AJ314" s="102"/>
      <c r="AK314" s="102"/>
      <c r="AL314" s="102"/>
      <c r="AM314" s="102"/>
      <c r="AN314" s="102"/>
      <c r="AO314" s="102"/>
      <c r="AP314" s="102"/>
    </row>
    <row r="315" spans="1:42" ht="15.5" x14ac:dyDescent="0.35">
      <c r="A315" s="140"/>
      <c r="B315" s="140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56"/>
      <c r="Z315" s="102"/>
      <c r="AA315" s="102"/>
      <c r="AB315" s="102"/>
      <c r="AC315" s="102"/>
      <c r="AD315" s="102"/>
      <c r="AE315" s="102"/>
      <c r="AF315" s="102"/>
      <c r="AG315" s="102"/>
      <c r="AH315" s="102"/>
      <c r="AI315" s="102"/>
      <c r="AJ315" s="102"/>
      <c r="AK315" s="102"/>
      <c r="AL315" s="102"/>
      <c r="AM315" s="102"/>
      <c r="AN315" s="102"/>
      <c r="AO315" s="102"/>
      <c r="AP315" s="102"/>
    </row>
    <row r="316" spans="1:42" ht="15.5" x14ac:dyDescent="0.35">
      <c r="A316" s="137"/>
      <c r="B316" s="138"/>
      <c r="C316" s="76" t="s">
        <v>64</v>
      </c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101"/>
      <c r="T316" s="101"/>
      <c r="U316" s="101"/>
      <c r="V316" s="101"/>
      <c r="W316" s="101"/>
      <c r="X316" s="101"/>
      <c r="Y316" s="151"/>
      <c r="Z316" s="101"/>
      <c r="AA316" s="101"/>
      <c r="AB316" s="101"/>
      <c r="AC316" s="101"/>
      <c r="AD316" s="101"/>
      <c r="AE316" s="101"/>
      <c r="AF316" s="101"/>
      <c r="AG316" s="101"/>
      <c r="AH316" s="101"/>
      <c r="AI316" s="101"/>
      <c r="AJ316" s="101"/>
      <c r="AK316" s="101"/>
      <c r="AL316" s="101"/>
      <c r="AM316" s="101"/>
      <c r="AN316" s="101"/>
      <c r="AO316" s="101"/>
      <c r="AP316" s="101"/>
    </row>
    <row r="317" spans="1:42" ht="15.5" x14ac:dyDescent="0.35">
      <c r="A317" s="137"/>
      <c r="B317" s="98"/>
      <c r="C317" s="103" t="s">
        <v>197</v>
      </c>
      <c r="D317" s="78"/>
      <c r="E317" s="79" t="str">
        <f>PETUNJUK!C5</f>
        <v>PECANGAAN</v>
      </c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101"/>
      <c r="T317" s="101"/>
      <c r="U317" s="101"/>
      <c r="V317" s="101"/>
      <c r="W317" s="101"/>
      <c r="X317" s="101"/>
      <c r="Y317" s="151"/>
      <c r="Z317" s="101"/>
      <c r="AA317" s="101"/>
      <c r="AB317" s="101"/>
      <c r="AC317" s="101"/>
      <c r="AD317" s="101"/>
      <c r="AE317" s="101"/>
      <c r="AF317" s="101"/>
      <c r="AG317" s="101"/>
      <c r="AH317" s="101"/>
      <c r="AI317" s="101"/>
      <c r="AJ317" s="101"/>
      <c r="AK317" s="101"/>
      <c r="AL317" s="101"/>
      <c r="AM317" s="101"/>
      <c r="AN317" s="101"/>
      <c r="AO317" s="101"/>
      <c r="AP317" s="101"/>
    </row>
    <row r="318" spans="1:42" ht="15.5" x14ac:dyDescent="0.35">
      <c r="A318" s="137"/>
      <c r="B318" s="139"/>
      <c r="C318" s="104" t="s">
        <v>198</v>
      </c>
      <c r="D318" s="105"/>
      <c r="E318" s="106" t="str">
        <f>'1.DATA KIA'!C310</f>
        <v xml:space="preserve">OKTOBER </v>
      </c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1"/>
      <c r="T318" s="101"/>
      <c r="U318" s="101"/>
      <c r="V318" s="101" t="s">
        <v>199</v>
      </c>
      <c r="W318" s="101"/>
      <c r="X318" s="101"/>
      <c r="Y318" s="151"/>
      <c r="Z318" s="101"/>
      <c r="AA318" s="101"/>
      <c r="AB318" s="101"/>
      <c r="AC318" s="101"/>
      <c r="AD318" s="101"/>
      <c r="AE318" s="101"/>
      <c r="AF318" s="101"/>
      <c r="AG318" s="101"/>
      <c r="AH318" s="101"/>
      <c r="AI318" s="101"/>
      <c r="AJ318" s="101"/>
      <c r="AK318" s="101"/>
      <c r="AL318" s="101"/>
      <c r="AM318" s="101"/>
      <c r="AN318" s="101"/>
      <c r="AO318" s="101" t="s">
        <v>200</v>
      </c>
      <c r="AP318" s="101"/>
    </row>
    <row r="319" spans="1:42" ht="15.5" x14ac:dyDescent="0.35">
      <c r="A319" s="900"/>
      <c r="B319" s="900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1"/>
      <c r="T319" s="101"/>
      <c r="U319" s="101"/>
      <c r="V319" s="101"/>
      <c r="W319" s="101"/>
      <c r="X319" s="101"/>
      <c r="Y319" s="151"/>
      <c r="Z319" s="101"/>
      <c r="AA319" s="101"/>
      <c r="AB319" s="101"/>
      <c r="AC319" s="101"/>
      <c r="AD319" s="101"/>
      <c r="AE319" s="101"/>
      <c r="AF319" s="101"/>
      <c r="AG319" s="101"/>
      <c r="AH319" s="101"/>
      <c r="AI319" s="101"/>
      <c r="AJ319" s="101"/>
      <c r="AK319" s="101"/>
      <c r="AL319" s="101"/>
      <c r="AM319" s="101"/>
      <c r="AN319" s="101"/>
      <c r="AO319" s="101"/>
      <c r="AP319" s="101"/>
    </row>
    <row r="320" spans="1:42" ht="33" customHeight="1" thickBot="1" x14ac:dyDescent="0.4">
      <c r="A320" s="901" t="s">
        <v>1</v>
      </c>
      <c r="B320" s="901" t="s">
        <v>2</v>
      </c>
      <c r="C320" s="902" t="s">
        <v>65</v>
      </c>
      <c r="D320" s="903" t="s">
        <v>66</v>
      </c>
      <c r="E320" s="904"/>
      <c r="F320" s="904"/>
      <c r="G320" s="905"/>
      <c r="H320" s="906" t="s">
        <v>194</v>
      </c>
      <c r="I320" s="907"/>
      <c r="J320" s="907"/>
      <c r="K320" s="908"/>
      <c r="L320" s="903" t="s">
        <v>67</v>
      </c>
      <c r="M320" s="904"/>
      <c r="N320" s="904"/>
      <c r="O320" s="904"/>
      <c r="P320" s="904"/>
      <c r="Q320" s="904"/>
      <c r="R320" s="904"/>
      <c r="S320" s="904"/>
      <c r="T320" s="904"/>
      <c r="U320" s="904"/>
      <c r="V320" s="904"/>
      <c r="W320" s="904"/>
      <c r="X320" s="904"/>
      <c r="Y320" s="152"/>
      <c r="Z320" s="862" t="s">
        <v>79</v>
      </c>
      <c r="AA320" s="864"/>
      <c r="AB320" s="864"/>
      <c r="AC320" s="864"/>
      <c r="AD320" s="864"/>
      <c r="AE320" s="864"/>
      <c r="AF320" s="864"/>
      <c r="AG320" s="864"/>
      <c r="AH320" s="864"/>
      <c r="AI320" s="864"/>
      <c r="AJ320" s="864"/>
      <c r="AK320" s="864"/>
      <c r="AL320" s="864"/>
      <c r="AM320" s="864"/>
      <c r="AN320" s="864"/>
      <c r="AO320" s="864"/>
      <c r="AP320" s="863"/>
    </row>
    <row r="321" spans="1:42" ht="62.15" customHeight="1" x14ac:dyDescent="0.35">
      <c r="A321" s="875"/>
      <c r="B321" s="875"/>
      <c r="C321" s="878"/>
      <c r="D321" s="909" t="s">
        <v>68</v>
      </c>
      <c r="E321" s="910" t="s">
        <v>69</v>
      </c>
      <c r="F321" s="910" t="s">
        <v>36</v>
      </c>
      <c r="G321" s="910" t="s">
        <v>37</v>
      </c>
      <c r="H321" s="909" t="s">
        <v>68</v>
      </c>
      <c r="I321" s="910" t="s">
        <v>69</v>
      </c>
      <c r="J321" s="910" t="s">
        <v>36</v>
      </c>
      <c r="K321" s="910" t="s">
        <v>37</v>
      </c>
      <c r="L321" s="903" t="s">
        <v>196</v>
      </c>
      <c r="M321" s="905"/>
      <c r="N321" s="906" t="s">
        <v>70</v>
      </c>
      <c r="O321" s="908"/>
      <c r="P321" s="903" t="s">
        <v>71</v>
      </c>
      <c r="Q321" s="904"/>
      <c r="R321" s="905"/>
      <c r="S321" s="911" t="s">
        <v>80</v>
      </c>
      <c r="T321" s="911"/>
      <c r="U321" s="911"/>
      <c r="V321" s="911"/>
      <c r="W321" s="911"/>
      <c r="X321" s="912"/>
      <c r="Y321" s="153"/>
      <c r="Z321" s="850" t="s">
        <v>81</v>
      </c>
      <c r="AA321" s="851"/>
      <c r="AB321" s="851"/>
      <c r="AC321" s="913" t="s">
        <v>195</v>
      </c>
      <c r="AD321" s="914"/>
      <c r="AE321" s="915" t="s">
        <v>82</v>
      </c>
      <c r="AF321" s="916"/>
      <c r="AG321" s="915" t="s">
        <v>83</v>
      </c>
      <c r="AH321" s="917"/>
      <c r="AI321" s="917"/>
      <c r="AJ321" s="917"/>
      <c r="AK321" s="917"/>
      <c r="AL321" s="916"/>
      <c r="AM321" s="885" t="s">
        <v>84</v>
      </c>
      <c r="AN321" s="851"/>
      <c r="AO321" s="851"/>
      <c r="AP321" s="852"/>
    </row>
    <row r="322" spans="1:42" ht="23.25" customHeight="1" x14ac:dyDescent="0.35">
      <c r="A322" s="875"/>
      <c r="B322" s="875"/>
      <c r="C322" s="878"/>
      <c r="D322" s="854"/>
      <c r="E322" s="857"/>
      <c r="F322" s="857"/>
      <c r="G322" s="857"/>
      <c r="H322" s="854"/>
      <c r="I322" s="857"/>
      <c r="J322" s="857"/>
      <c r="K322" s="857"/>
      <c r="L322" s="910" t="s">
        <v>72</v>
      </c>
      <c r="M322" s="910" t="s">
        <v>73</v>
      </c>
      <c r="N322" s="910" t="s">
        <v>74</v>
      </c>
      <c r="O322" s="910" t="s">
        <v>75</v>
      </c>
      <c r="P322" s="910" t="s">
        <v>76</v>
      </c>
      <c r="Q322" s="910" t="s">
        <v>77</v>
      </c>
      <c r="R322" s="910" t="s">
        <v>78</v>
      </c>
      <c r="S322" s="836" t="s">
        <v>85</v>
      </c>
      <c r="T322" s="918" t="s">
        <v>86</v>
      </c>
      <c r="U322" s="918" t="s">
        <v>87</v>
      </c>
      <c r="V322" s="918" t="s">
        <v>88</v>
      </c>
      <c r="W322" s="919" t="s">
        <v>89</v>
      </c>
      <c r="X322" s="912"/>
      <c r="Y322" s="153"/>
      <c r="Z322" s="844" t="s">
        <v>90</v>
      </c>
      <c r="AA322" s="834" t="s">
        <v>77</v>
      </c>
      <c r="AB322" s="834" t="s">
        <v>76</v>
      </c>
      <c r="AC322" s="834" t="s">
        <v>93</v>
      </c>
      <c r="AD322" s="834" t="s">
        <v>2</v>
      </c>
      <c r="AE322" s="834" t="s">
        <v>93</v>
      </c>
      <c r="AF322" s="834" t="s">
        <v>2</v>
      </c>
      <c r="AG322" s="834" t="s">
        <v>94</v>
      </c>
      <c r="AH322" s="834" t="s">
        <v>95</v>
      </c>
      <c r="AI322" s="834" t="s">
        <v>96</v>
      </c>
      <c r="AJ322" s="834" t="s">
        <v>97</v>
      </c>
      <c r="AK322" s="834" t="s">
        <v>98</v>
      </c>
      <c r="AL322" s="834" t="s">
        <v>99</v>
      </c>
      <c r="AM322" s="831" t="s">
        <v>91</v>
      </c>
      <c r="AN322" s="846"/>
      <c r="AO322" s="831" t="s">
        <v>7</v>
      </c>
      <c r="AP322" s="832"/>
    </row>
    <row r="323" spans="1:42" ht="40" customHeight="1" x14ac:dyDescent="0.35">
      <c r="A323" s="876"/>
      <c r="B323" s="876"/>
      <c r="C323" s="879"/>
      <c r="D323" s="855"/>
      <c r="E323" s="858"/>
      <c r="F323" s="858"/>
      <c r="G323" s="858"/>
      <c r="H323" s="855"/>
      <c r="I323" s="858"/>
      <c r="J323" s="858"/>
      <c r="K323" s="858"/>
      <c r="L323" s="858"/>
      <c r="M323" s="858"/>
      <c r="N323" s="858"/>
      <c r="O323" s="858"/>
      <c r="P323" s="858"/>
      <c r="Q323" s="858"/>
      <c r="R323" s="858"/>
      <c r="S323" s="837"/>
      <c r="T323" s="843"/>
      <c r="U323" s="843"/>
      <c r="V323" s="843"/>
      <c r="W323" s="112" t="s">
        <v>76</v>
      </c>
      <c r="X323" s="127" t="s">
        <v>92</v>
      </c>
      <c r="Y323" s="153"/>
      <c r="Z323" s="845"/>
      <c r="AA323" s="835"/>
      <c r="AB323" s="835"/>
      <c r="AC323" s="835"/>
      <c r="AD323" s="835"/>
      <c r="AE323" s="835"/>
      <c r="AF323" s="835"/>
      <c r="AG323" s="835"/>
      <c r="AH323" s="835"/>
      <c r="AI323" s="835"/>
      <c r="AJ323" s="835"/>
      <c r="AK323" s="835"/>
      <c r="AL323" s="835"/>
      <c r="AM323" s="162" t="s">
        <v>100</v>
      </c>
      <c r="AN323" s="162" t="s">
        <v>101</v>
      </c>
      <c r="AO323" s="162" t="s">
        <v>100</v>
      </c>
      <c r="AP323" s="163" t="s">
        <v>101</v>
      </c>
    </row>
    <row r="324" spans="1:42" ht="20.149999999999999" customHeight="1" x14ac:dyDescent="0.35">
      <c r="A324" s="99">
        <v>1</v>
      </c>
      <c r="B324" s="99" t="str">
        <f>PETUNJUK!B9</f>
        <v>Pecangaan Kulon</v>
      </c>
      <c r="C324" s="80">
        <f>'1.DATA KIA'!C315</f>
        <v>101.2</v>
      </c>
      <c r="D324" s="81">
        <f t="shared" ref="D324" si="121">F289</f>
        <v>30</v>
      </c>
      <c r="E324" s="91">
        <f>'1.DATA KIA'!F315</f>
        <v>0</v>
      </c>
      <c r="F324" s="81">
        <f>D324+E324</f>
        <v>30</v>
      </c>
      <c r="G324" s="82">
        <f>F324/C324*100</f>
        <v>29.644268774703558</v>
      </c>
      <c r="H324" s="81">
        <f t="shared" ref="H324" si="122">J289</f>
        <v>29</v>
      </c>
      <c r="I324" s="91">
        <f>'1.DATA KIA'!AB315+'1.DATA KIA'!AE315</f>
        <v>0</v>
      </c>
      <c r="J324" s="81">
        <f>H324+I324</f>
        <v>29</v>
      </c>
      <c r="K324" s="82">
        <f>J324/C324*100</f>
        <v>28.656126482213441</v>
      </c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54"/>
      <c r="Z324" s="168"/>
      <c r="AA324" s="134"/>
      <c r="AB324" s="134"/>
      <c r="AC324" s="134"/>
      <c r="AD324" s="134"/>
      <c r="AE324" s="134"/>
      <c r="AF324" s="134"/>
      <c r="AG324" s="134"/>
      <c r="AH324" s="134"/>
      <c r="AI324" s="134"/>
      <c r="AJ324" s="134"/>
      <c r="AK324" s="134"/>
      <c r="AL324" s="134"/>
      <c r="AM324" s="134"/>
      <c r="AN324" s="134"/>
      <c r="AO324" s="134"/>
      <c r="AP324" s="165"/>
    </row>
    <row r="325" spans="1:42" ht="20.149999999999999" customHeight="1" x14ac:dyDescent="0.35">
      <c r="A325" s="100">
        <v>2</v>
      </c>
      <c r="B325" s="100" t="str">
        <f>PETUNJUK!B10</f>
        <v>Rengging</v>
      </c>
      <c r="C325" s="80">
        <f>'1.DATA KIA'!C316</f>
        <v>111.10000000000001</v>
      </c>
      <c r="D325" s="81">
        <f t="shared" ref="D325:D333" si="123">F290</f>
        <v>54</v>
      </c>
      <c r="E325" s="91">
        <f>'1.DATA KIA'!F316</f>
        <v>0</v>
      </c>
      <c r="F325" s="81">
        <f t="shared" ref="F325:F332" si="124">D325+E325</f>
        <v>54</v>
      </c>
      <c r="G325" s="82">
        <f t="shared" ref="G325:G332" si="125">F325/C325*100</f>
        <v>48.604860486048601</v>
      </c>
      <c r="H325" s="81">
        <f t="shared" ref="H325:H333" si="126">J290</f>
        <v>34</v>
      </c>
      <c r="I325" s="91">
        <f>'1.DATA KIA'!AB316+'1.DATA KIA'!AE316</f>
        <v>0</v>
      </c>
      <c r="J325" s="81">
        <f t="shared" ref="J325:J332" si="127">H325+I325</f>
        <v>34</v>
      </c>
      <c r="K325" s="82">
        <f t="shared" ref="K325:K332" si="128">J325/C325*100</f>
        <v>30.603060306030599</v>
      </c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54"/>
      <c r="Z325" s="168"/>
      <c r="AA325" s="134"/>
      <c r="AB325" s="134"/>
      <c r="AC325" s="134"/>
      <c r="AD325" s="134"/>
      <c r="AE325" s="134"/>
      <c r="AF325" s="134"/>
      <c r="AG325" s="134"/>
      <c r="AH325" s="134"/>
      <c r="AI325" s="134"/>
      <c r="AJ325" s="134"/>
      <c r="AK325" s="134"/>
      <c r="AL325" s="134"/>
      <c r="AM325" s="134"/>
      <c r="AN325" s="134"/>
      <c r="AO325" s="134"/>
      <c r="AP325" s="165"/>
    </row>
    <row r="326" spans="1:42" ht="20.149999999999999" customHeight="1" x14ac:dyDescent="0.35">
      <c r="A326" s="100">
        <v>3</v>
      </c>
      <c r="B326" s="100" t="str">
        <f>PETUNJUK!B11</f>
        <v>Troso</v>
      </c>
      <c r="C326" s="80">
        <f>'1.DATA KIA'!C317</f>
        <v>205.70000000000002</v>
      </c>
      <c r="D326" s="81">
        <f t="shared" si="123"/>
        <v>78</v>
      </c>
      <c r="E326" s="91">
        <f>'1.DATA KIA'!F317</f>
        <v>0</v>
      </c>
      <c r="F326" s="81">
        <f t="shared" si="124"/>
        <v>78</v>
      </c>
      <c r="G326" s="82">
        <f t="shared" si="125"/>
        <v>37.919299951385511</v>
      </c>
      <c r="H326" s="81">
        <f t="shared" si="126"/>
        <v>60</v>
      </c>
      <c r="I326" s="91">
        <f>'1.DATA KIA'!AB317+'1.DATA KIA'!AE317</f>
        <v>0</v>
      </c>
      <c r="J326" s="81">
        <f t="shared" si="127"/>
        <v>60</v>
      </c>
      <c r="K326" s="82">
        <f t="shared" si="128"/>
        <v>29.168692270296546</v>
      </c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54"/>
      <c r="Z326" s="168"/>
      <c r="AA326" s="134"/>
      <c r="AB326" s="134"/>
      <c r="AC326" s="134"/>
      <c r="AD326" s="134"/>
      <c r="AE326" s="134"/>
      <c r="AF326" s="134"/>
      <c r="AG326" s="134"/>
      <c r="AH326" s="134"/>
      <c r="AI326" s="134"/>
      <c r="AJ326" s="134"/>
      <c r="AK326" s="134"/>
      <c r="AL326" s="134"/>
      <c r="AM326" s="134"/>
      <c r="AN326" s="134"/>
      <c r="AO326" s="134"/>
      <c r="AP326" s="165"/>
    </row>
    <row r="327" spans="1:42" ht="20.149999999999999" customHeight="1" x14ac:dyDescent="0.35">
      <c r="A327" s="100">
        <v>4</v>
      </c>
      <c r="B327" s="100" t="str">
        <f>PETUNJUK!B12</f>
        <v>Ngeling</v>
      </c>
      <c r="C327" s="80">
        <f>'1.DATA KIA'!C318</f>
        <v>95.7</v>
      </c>
      <c r="D327" s="81">
        <f t="shared" si="123"/>
        <v>30</v>
      </c>
      <c r="E327" s="91">
        <f>'1.DATA KIA'!F318</f>
        <v>0</v>
      </c>
      <c r="F327" s="81">
        <f t="shared" si="124"/>
        <v>30</v>
      </c>
      <c r="G327" s="82">
        <f t="shared" si="125"/>
        <v>31.347962382445139</v>
      </c>
      <c r="H327" s="81">
        <f t="shared" si="126"/>
        <v>28</v>
      </c>
      <c r="I327" s="91">
        <f>'1.DATA KIA'!AB318+'1.DATA KIA'!AE318</f>
        <v>0</v>
      </c>
      <c r="J327" s="81">
        <f t="shared" si="127"/>
        <v>28</v>
      </c>
      <c r="K327" s="82">
        <f t="shared" si="128"/>
        <v>29.258098223615463</v>
      </c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54"/>
      <c r="Z327" s="168"/>
      <c r="AA327" s="134"/>
      <c r="AB327" s="134"/>
      <c r="AC327" s="134"/>
      <c r="AD327" s="134"/>
      <c r="AE327" s="134"/>
      <c r="AF327" s="134"/>
      <c r="AG327" s="134"/>
      <c r="AH327" s="134"/>
      <c r="AI327" s="134"/>
      <c r="AJ327" s="134"/>
      <c r="AK327" s="134"/>
      <c r="AL327" s="134"/>
      <c r="AM327" s="134"/>
      <c r="AN327" s="134"/>
      <c r="AO327" s="134"/>
      <c r="AP327" s="165"/>
    </row>
    <row r="328" spans="1:42" ht="20.149999999999999" customHeight="1" x14ac:dyDescent="0.35">
      <c r="A328" s="100">
        <v>5</v>
      </c>
      <c r="B328" s="100" t="str">
        <f>PETUNJUK!B13</f>
        <v>Lebuawu</v>
      </c>
      <c r="C328" s="80">
        <f>'1.DATA KIA'!C319</f>
        <v>85.800000000000011</v>
      </c>
      <c r="D328" s="81">
        <f t="shared" si="123"/>
        <v>33</v>
      </c>
      <c r="E328" s="91">
        <f>'1.DATA KIA'!F319</f>
        <v>0</v>
      </c>
      <c r="F328" s="81">
        <f t="shared" si="124"/>
        <v>33</v>
      </c>
      <c r="G328" s="82">
        <f t="shared" si="125"/>
        <v>38.46153846153846</v>
      </c>
      <c r="H328" s="81">
        <f t="shared" si="126"/>
        <v>23</v>
      </c>
      <c r="I328" s="91">
        <f>'1.DATA KIA'!AB319+'1.DATA KIA'!AE319</f>
        <v>0</v>
      </c>
      <c r="J328" s="81">
        <f t="shared" si="127"/>
        <v>23</v>
      </c>
      <c r="K328" s="82">
        <f t="shared" si="128"/>
        <v>26.806526806526804</v>
      </c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54"/>
      <c r="Z328" s="168"/>
      <c r="AA328" s="134"/>
      <c r="AB328" s="134"/>
      <c r="AC328" s="134"/>
      <c r="AD328" s="134"/>
      <c r="AE328" s="134"/>
      <c r="AF328" s="134"/>
      <c r="AG328" s="134"/>
      <c r="AH328" s="134"/>
      <c r="AI328" s="134"/>
      <c r="AJ328" s="134"/>
      <c r="AK328" s="134"/>
      <c r="AL328" s="134"/>
      <c r="AM328" s="134"/>
      <c r="AN328" s="134"/>
      <c r="AO328" s="134"/>
      <c r="AP328" s="165"/>
    </row>
    <row r="329" spans="1:42" ht="20.149999999999999" customHeight="1" x14ac:dyDescent="0.35">
      <c r="A329" s="100">
        <v>6</v>
      </c>
      <c r="B329" s="100" t="str">
        <f>PETUNJUK!B14</f>
        <v>Pulodarat</v>
      </c>
      <c r="C329" s="80">
        <f>'1.DATA KIA'!C320</f>
        <v>82.5</v>
      </c>
      <c r="D329" s="81">
        <f t="shared" si="123"/>
        <v>18</v>
      </c>
      <c r="E329" s="91">
        <f>'1.DATA KIA'!F320</f>
        <v>0</v>
      </c>
      <c r="F329" s="81">
        <f t="shared" si="124"/>
        <v>18</v>
      </c>
      <c r="G329" s="82">
        <f t="shared" si="125"/>
        <v>21.818181818181817</v>
      </c>
      <c r="H329" s="81">
        <f t="shared" si="126"/>
        <v>17</v>
      </c>
      <c r="I329" s="91">
        <f>'1.DATA KIA'!AB320+'1.DATA KIA'!AE320</f>
        <v>0</v>
      </c>
      <c r="J329" s="81">
        <f t="shared" si="127"/>
        <v>17</v>
      </c>
      <c r="K329" s="82">
        <f t="shared" si="128"/>
        <v>20.606060606060606</v>
      </c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54"/>
      <c r="Z329" s="168"/>
      <c r="AA329" s="134"/>
      <c r="AB329" s="134"/>
      <c r="AC329" s="134"/>
      <c r="AD329" s="134"/>
      <c r="AE329" s="134"/>
      <c r="AF329" s="134"/>
      <c r="AG329" s="134"/>
      <c r="AH329" s="134"/>
      <c r="AI329" s="134"/>
      <c r="AJ329" s="134"/>
      <c r="AK329" s="134"/>
      <c r="AL329" s="134"/>
      <c r="AM329" s="134"/>
      <c r="AN329" s="134"/>
      <c r="AO329" s="134"/>
      <c r="AP329" s="165"/>
    </row>
    <row r="330" spans="1:42" ht="20.149999999999999" customHeight="1" x14ac:dyDescent="0.35">
      <c r="A330" s="100">
        <v>7</v>
      </c>
      <c r="B330" s="100" t="str">
        <f>PETUNJUK!B15</f>
        <v>Karangrandu</v>
      </c>
      <c r="C330" s="80">
        <f>'1.DATA KIA'!C321</f>
        <v>93.500000000000014</v>
      </c>
      <c r="D330" s="81">
        <f t="shared" si="123"/>
        <v>31</v>
      </c>
      <c r="E330" s="91">
        <f>'1.DATA KIA'!F321</f>
        <v>0</v>
      </c>
      <c r="F330" s="81">
        <f t="shared" si="124"/>
        <v>31</v>
      </c>
      <c r="G330" s="82">
        <f t="shared" si="125"/>
        <v>33.155080213903737</v>
      </c>
      <c r="H330" s="81">
        <f t="shared" si="126"/>
        <v>27</v>
      </c>
      <c r="I330" s="91">
        <f>'1.DATA KIA'!AB321+'1.DATA KIA'!AE321</f>
        <v>0</v>
      </c>
      <c r="J330" s="81">
        <f t="shared" si="127"/>
        <v>27</v>
      </c>
      <c r="K330" s="82">
        <f t="shared" si="128"/>
        <v>28.877005347593578</v>
      </c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54"/>
      <c r="Z330" s="168"/>
      <c r="AA330" s="134"/>
      <c r="AB330" s="134"/>
      <c r="AC330" s="134"/>
      <c r="AD330" s="134"/>
      <c r="AE330" s="134"/>
      <c r="AF330" s="134"/>
      <c r="AG330" s="134"/>
      <c r="AH330" s="134"/>
      <c r="AI330" s="134"/>
      <c r="AJ330" s="134"/>
      <c r="AK330" s="134"/>
      <c r="AL330" s="134"/>
      <c r="AM330" s="134"/>
      <c r="AN330" s="134"/>
      <c r="AO330" s="134"/>
      <c r="AP330" s="165"/>
    </row>
    <row r="331" spans="1:42" ht="20.149999999999999" customHeight="1" x14ac:dyDescent="0.35">
      <c r="A331" s="100">
        <v>8</v>
      </c>
      <c r="B331" s="100" t="str">
        <f>PETUNJUK!B16</f>
        <v>Kaliombo</v>
      </c>
      <c r="C331" s="80">
        <f>'1.DATA KIA'!C322</f>
        <v>46.2</v>
      </c>
      <c r="D331" s="81">
        <f t="shared" si="123"/>
        <v>13</v>
      </c>
      <c r="E331" s="91">
        <f>'1.DATA KIA'!F322</f>
        <v>0</v>
      </c>
      <c r="F331" s="81">
        <f t="shared" si="124"/>
        <v>13</v>
      </c>
      <c r="G331" s="82">
        <f t="shared" si="125"/>
        <v>28.138528138528134</v>
      </c>
      <c r="H331" s="81">
        <f t="shared" si="126"/>
        <v>13</v>
      </c>
      <c r="I331" s="91">
        <f>'1.DATA KIA'!AB322+'1.DATA KIA'!AE322</f>
        <v>0</v>
      </c>
      <c r="J331" s="81">
        <f t="shared" si="127"/>
        <v>13</v>
      </c>
      <c r="K331" s="82">
        <f t="shared" si="128"/>
        <v>28.138528138528134</v>
      </c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54"/>
      <c r="Z331" s="168"/>
      <c r="AA331" s="134"/>
      <c r="AB331" s="134"/>
      <c r="AC331" s="134"/>
      <c r="AD331" s="134"/>
      <c r="AE331" s="134"/>
      <c r="AF331" s="134"/>
      <c r="AG331" s="134"/>
      <c r="AH331" s="134"/>
      <c r="AI331" s="134"/>
      <c r="AJ331" s="134"/>
      <c r="AK331" s="134"/>
      <c r="AL331" s="134"/>
      <c r="AM331" s="134"/>
      <c r="AN331" s="134"/>
      <c r="AO331" s="134"/>
      <c r="AP331" s="165"/>
    </row>
    <row r="332" spans="1:42" ht="20.149999999999999" customHeight="1" x14ac:dyDescent="0.35">
      <c r="A332" s="100">
        <v>9</v>
      </c>
      <c r="B332" s="100" t="str">
        <f>PETUNJUK!B17</f>
        <v>Gemulung</v>
      </c>
      <c r="C332" s="80">
        <f>'1.DATA KIA'!C323</f>
        <v>53.900000000000006</v>
      </c>
      <c r="D332" s="81">
        <f t="shared" si="123"/>
        <v>19</v>
      </c>
      <c r="E332" s="91">
        <f>'1.DATA KIA'!F323</f>
        <v>0</v>
      </c>
      <c r="F332" s="81">
        <f t="shared" si="124"/>
        <v>19</v>
      </c>
      <c r="G332" s="82">
        <f t="shared" si="125"/>
        <v>35.250463821892389</v>
      </c>
      <c r="H332" s="81">
        <f t="shared" si="126"/>
        <v>20</v>
      </c>
      <c r="I332" s="91">
        <f>'1.DATA KIA'!AB323+'1.DATA KIA'!AE323</f>
        <v>0</v>
      </c>
      <c r="J332" s="81">
        <f t="shared" si="127"/>
        <v>20</v>
      </c>
      <c r="K332" s="82">
        <f t="shared" si="128"/>
        <v>37.105751391465674</v>
      </c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54"/>
      <c r="Z332" s="168"/>
      <c r="AA332" s="134"/>
      <c r="AB332" s="134"/>
      <c r="AC332" s="134"/>
      <c r="AD332" s="134"/>
      <c r="AE332" s="134"/>
      <c r="AF332" s="134"/>
      <c r="AG332" s="134"/>
      <c r="AH332" s="134"/>
      <c r="AI332" s="134"/>
      <c r="AJ332" s="134"/>
      <c r="AK332" s="134"/>
      <c r="AL332" s="134"/>
      <c r="AM332" s="134"/>
      <c r="AN332" s="134"/>
      <c r="AO332" s="134"/>
      <c r="AP332" s="165"/>
    </row>
    <row r="333" spans="1:42" ht="20.149999999999999" customHeight="1" x14ac:dyDescent="0.35">
      <c r="A333" s="100">
        <v>10</v>
      </c>
      <c r="B333" s="100" t="str">
        <f>PETUNJUK!B18</f>
        <v>Pecangaan Wetan</v>
      </c>
      <c r="C333" s="80">
        <f>'1.DATA KIA'!C324</f>
        <v>50.6</v>
      </c>
      <c r="D333" s="81">
        <f t="shared" si="123"/>
        <v>15</v>
      </c>
      <c r="E333" s="91">
        <f>'1.DATA KIA'!F324</f>
        <v>0</v>
      </c>
      <c r="F333" s="81">
        <f>D333+E333</f>
        <v>15</v>
      </c>
      <c r="G333" s="82">
        <f>F333/C333*100</f>
        <v>29.644268774703558</v>
      </c>
      <c r="H333" s="81">
        <f t="shared" si="126"/>
        <v>13</v>
      </c>
      <c r="I333" s="91">
        <f>'1.DATA KIA'!AB324+'1.DATA KIA'!AE324</f>
        <v>0</v>
      </c>
      <c r="J333" s="81">
        <f>H333+I333</f>
        <v>13</v>
      </c>
      <c r="K333" s="82">
        <f>J333/C333*100</f>
        <v>25.691699604743086</v>
      </c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54"/>
      <c r="Z333" s="168"/>
      <c r="AA333" s="134"/>
      <c r="AB333" s="134"/>
      <c r="AC333" s="134"/>
      <c r="AD333" s="134"/>
      <c r="AE333" s="134"/>
      <c r="AF333" s="134"/>
      <c r="AG333" s="134"/>
      <c r="AH333" s="134"/>
      <c r="AI333" s="134"/>
      <c r="AJ333" s="134"/>
      <c r="AK333" s="134"/>
      <c r="AL333" s="134"/>
      <c r="AM333" s="134"/>
      <c r="AN333" s="134"/>
      <c r="AO333" s="134"/>
      <c r="AP333" s="165"/>
    </row>
    <row r="334" spans="1:42" ht="20.149999999999999" customHeight="1" x14ac:dyDescent="0.35">
      <c r="A334" s="100">
        <v>11</v>
      </c>
      <c r="B334" s="100" t="str">
        <f>PETUNJUK!B19</f>
        <v>Krasak</v>
      </c>
      <c r="C334" s="80">
        <f>'1.DATA KIA'!C325</f>
        <v>117.7</v>
      </c>
      <c r="D334" s="81">
        <f t="shared" ref="D334:D345" si="129">F299</f>
        <v>45</v>
      </c>
      <c r="E334" s="91">
        <f>'1.DATA KIA'!F325</f>
        <v>0</v>
      </c>
      <c r="F334" s="81">
        <f t="shared" ref="F334:F340" si="130">D334+E334</f>
        <v>45</v>
      </c>
      <c r="G334" s="82">
        <f t="shared" ref="G334:G340" si="131">F334/C334*100</f>
        <v>38.232795242141037</v>
      </c>
      <c r="H334" s="81">
        <f t="shared" ref="H334:H345" si="132">J299</f>
        <v>29</v>
      </c>
      <c r="I334" s="91">
        <f>'1.DATA KIA'!AB325+'1.DATA KIA'!AE325</f>
        <v>0</v>
      </c>
      <c r="J334" s="81">
        <f t="shared" ref="J334:J340" si="133">H334+I334</f>
        <v>29</v>
      </c>
      <c r="K334" s="82">
        <f t="shared" ref="K334:K340" si="134">J334/C334*100</f>
        <v>24.638912489379777</v>
      </c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54"/>
      <c r="Z334" s="168"/>
      <c r="AA334" s="134"/>
      <c r="AB334" s="134"/>
      <c r="AC334" s="134"/>
      <c r="AD334" s="134"/>
      <c r="AE334" s="134"/>
      <c r="AF334" s="134"/>
      <c r="AG334" s="134"/>
      <c r="AH334" s="134"/>
      <c r="AI334" s="134"/>
      <c r="AJ334" s="134"/>
      <c r="AK334" s="134"/>
      <c r="AL334" s="134"/>
      <c r="AM334" s="134"/>
      <c r="AN334" s="134"/>
      <c r="AO334" s="134"/>
      <c r="AP334" s="165"/>
    </row>
    <row r="335" spans="1:42" ht="20.149999999999999" customHeight="1" x14ac:dyDescent="0.35">
      <c r="A335" s="100">
        <v>12</v>
      </c>
      <c r="B335" s="100" t="str">
        <f>PETUNJUK!B20</f>
        <v>Gerdu</v>
      </c>
      <c r="C335" s="80">
        <f>'1.DATA KIA'!C326</f>
        <v>23.1</v>
      </c>
      <c r="D335" s="81">
        <f t="shared" si="129"/>
        <v>8</v>
      </c>
      <c r="E335" s="91">
        <f>'1.DATA KIA'!F326</f>
        <v>0</v>
      </c>
      <c r="F335" s="81">
        <f t="shared" si="130"/>
        <v>8</v>
      </c>
      <c r="G335" s="82">
        <f t="shared" si="131"/>
        <v>34.632034632034632</v>
      </c>
      <c r="H335" s="81">
        <f t="shared" si="132"/>
        <v>5</v>
      </c>
      <c r="I335" s="91">
        <f>'1.DATA KIA'!AB326+'1.DATA KIA'!AE326</f>
        <v>0</v>
      </c>
      <c r="J335" s="81">
        <f t="shared" si="133"/>
        <v>5</v>
      </c>
      <c r="K335" s="82">
        <f t="shared" si="134"/>
        <v>21.645021645021643</v>
      </c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54"/>
      <c r="Z335" s="168"/>
      <c r="AA335" s="134"/>
      <c r="AB335" s="134"/>
      <c r="AC335" s="134"/>
      <c r="AD335" s="134"/>
      <c r="AE335" s="134"/>
      <c r="AF335" s="134"/>
      <c r="AG335" s="134"/>
      <c r="AH335" s="134"/>
      <c r="AI335" s="134"/>
      <c r="AJ335" s="134"/>
      <c r="AK335" s="134"/>
      <c r="AL335" s="134"/>
      <c r="AM335" s="134"/>
      <c r="AN335" s="134"/>
      <c r="AO335" s="134"/>
      <c r="AP335" s="165"/>
    </row>
    <row r="336" spans="1:42" ht="20.149999999999999" customHeight="1" x14ac:dyDescent="0.35">
      <c r="A336" s="100">
        <v>13</v>
      </c>
      <c r="B336" s="100">
        <f>PETUNJUK!B21</f>
        <v>0</v>
      </c>
      <c r="C336" s="80">
        <f>'1.DATA KIA'!C327</f>
        <v>0</v>
      </c>
      <c r="D336" s="81">
        <f t="shared" si="129"/>
        <v>0</v>
      </c>
      <c r="E336" s="91">
        <f>'1.DATA KIA'!F327</f>
        <v>0</v>
      </c>
      <c r="F336" s="81">
        <f t="shared" si="130"/>
        <v>0</v>
      </c>
      <c r="G336" s="82" t="e">
        <f t="shared" si="131"/>
        <v>#DIV/0!</v>
      </c>
      <c r="H336" s="81">
        <f t="shared" si="132"/>
        <v>0</v>
      </c>
      <c r="I336" s="91">
        <f>'1.DATA KIA'!AB327+'1.DATA KIA'!AE327</f>
        <v>0</v>
      </c>
      <c r="J336" s="81">
        <f t="shared" si="133"/>
        <v>0</v>
      </c>
      <c r="K336" s="82" t="e">
        <f t="shared" si="134"/>
        <v>#DIV/0!</v>
      </c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54"/>
      <c r="Z336" s="168"/>
      <c r="AA336" s="134"/>
      <c r="AB336" s="134"/>
      <c r="AC336" s="134"/>
      <c r="AD336" s="134"/>
      <c r="AE336" s="134"/>
      <c r="AF336" s="134"/>
      <c r="AG336" s="134"/>
      <c r="AH336" s="134"/>
      <c r="AI336" s="134"/>
      <c r="AJ336" s="134"/>
      <c r="AK336" s="134"/>
      <c r="AL336" s="134"/>
      <c r="AM336" s="134"/>
      <c r="AN336" s="134"/>
      <c r="AO336" s="134"/>
      <c r="AP336" s="165"/>
    </row>
    <row r="337" spans="1:44" ht="20.149999999999999" customHeight="1" x14ac:dyDescent="0.35">
      <c r="A337" s="100">
        <v>14</v>
      </c>
      <c r="B337" s="100">
        <f>PETUNJUK!B22</f>
        <v>0</v>
      </c>
      <c r="C337" s="80">
        <f>'1.DATA KIA'!C328</f>
        <v>0</v>
      </c>
      <c r="D337" s="81">
        <f t="shared" si="129"/>
        <v>0</v>
      </c>
      <c r="E337" s="91">
        <f>'1.DATA KIA'!F328</f>
        <v>0</v>
      </c>
      <c r="F337" s="81">
        <f t="shared" si="130"/>
        <v>0</v>
      </c>
      <c r="G337" s="82" t="e">
        <f t="shared" si="131"/>
        <v>#DIV/0!</v>
      </c>
      <c r="H337" s="81">
        <f t="shared" si="132"/>
        <v>0</v>
      </c>
      <c r="I337" s="91">
        <f>'1.DATA KIA'!AB328+'1.DATA KIA'!AE328</f>
        <v>0</v>
      </c>
      <c r="J337" s="81">
        <f t="shared" si="133"/>
        <v>0</v>
      </c>
      <c r="K337" s="82" t="e">
        <f t="shared" si="134"/>
        <v>#DIV/0!</v>
      </c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54"/>
      <c r="Z337" s="168"/>
      <c r="AA337" s="134"/>
      <c r="AB337" s="134"/>
      <c r="AC337" s="134"/>
      <c r="AD337" s="134"/>
      <c r="AE337" s="134"/>
      <c r="AF337" s="134"/>
      <c r="AG337" s="134"/>
      <c r="AH337" s="134"/>
      <c r="AI337" s="134"/>
      <c r="AJ337" s="134"/>
      <c r="AK337" s="134"/>
      <c r="AL337" s="134"/>
      <c r="AM337" s="134"/>
      <c r="AN337" s="134"/>
      <c r="AO337" s="134"/>
      <c r="AP337" s="165"/>
    </row>
    <row r="338" spans="1:44" ht="20.149999999999999" customHeight="1" x14ac:dyDescent="0.35">
      <c r="A338" s="100">
        <v>15</v>
      </c>
      <c r="B338" s="100">
        <f>PETUNJUK!B23</f>
        <v>0</v>
      </c>
      <c r="C338" s="80">
        <f>'1.DATA KIA'!C329</f>
        <v>0</v>
      </c>
      <c r="D338" s="81">
        <f t="shared" si="129"/>
        <v>0</v>
      </c>
      <c r="E338" s="91">
        <f>'1.DATA KIA'!F329</f>
        <v>0</v>
      </c>
      <c r="F338" s="81">
        <f t="shared" si="130"/>
        <v>0</v>
      </c>
      <c r="G338" s="82" t="e">
        <f t="shared" si="131"/>
        <v>#DIV/0!</v>
      </c>
      <c r="H338" s="81">
        <f t="shared" si="132"/>
        <v>0</v>
      </c>
      <c r="I338" s="91">
        <f>'1.DATA KIA'!AB329+'1.DATA KIA'!AE329</f>
        <v>0</v>
      </c>
      <c r="J338" s="81">
        <f t="shared" si="133"/>
        <v>0</v>
      </c>
      <c r="K338" s="82" t="e">
        <f t="shared" si="134"/>
        <v>#DIV/0!</v>
      </c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54"/>
      <c r="Z338" s="168"/>
      <c r="AA338" s="134"/>
      <c r="AB338" s="134"/>
      <c r="AC338" s="134"/>
      <c r="AD338" s="134"/>
      <c r="AE338" s="134"/>
      <c r="AF338" s="134"/>
      <c r="AG338" s="134"/>
      <c r="AH338" s="134"/>
      <c r="AI338" s="134"/>
      <c r="AJ338" s="134"/>
      <c r="AK338" s="134"/>
      <c r="AL338" s="134"/>
      <c r="AM338" s="134"/>
      <c r="AN338" s="134"/>
      <c r="AO338" s="134"/>
      <c r="AP338" s="165"/>
      <c r="AQ338" s="161">
        <v>8</v>
      </c>
      <c r="AR338" s="161">
        <v>18</v>
      </c>
    </row>
    <row r="339" spans="1:44" ht="20.149999999999999" customHeight="1" x14ac:dyDescent="0.35">
      <c r="A339" s="100">
        <v>16</v>
      </c>
      <c r="B339" s="100">
        <f>PETUNJUK!B24</f>
        <v>0</v>
      </c>
      <c r="C339" s="80">
        <f>'1.DATA KIA'!C330</f>
        <v>0</v>
      </c>
      <c r="D339" s="81">
        <f t="shared" si="129"/>
        <v>0</v>
      </c>
      <c r="E339" s="91">
        <f>'1.DATA KIA'!F330</f>
        <v>0</v>
      </c>
      <c r="F339" s="81">
        <f t="shared" si="130"/>
        <v>0</v>
      </c>
      <c r="G339" s="82" t="e">
        <f t="shared" si="131"/>
        <v>#DIV/0!</v>
      </c>
      <c r="H339" s="81">
        <f t="shared" si="132"/>
        <v>0</v>
      </c>
      <c r="I339" s="91">
        <f>'1.DATA KIA'!AB330+'1.DATA KIA'!AE330</f>
        <v>0</v>
      </c>
      <c r="J339" s="81">
        <f t="shared" si="133"/>
        <v>0</v>
      </c>
      <c r="K339" s="82" t="e">
        <f t="shared" si="134"/>
        <v>#DIV/0!</v>
      </c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54"/>
      <c r="Z339" s="168"/>
      <c r="AA339" s="134"/>
      <c r="AB339" s="134"/>
      <c r="AC339" s="134"/>
      <c r="AD339" s="134"/>
      <c r="AE339" s="134"/>
      <c r="AF339" s="134"/>
      <c r="AG339" s="134"/>
      <c r="AH339" s="134"/>
      <c r="AI339" s="134"/>
      <c r="AJ339" s="134"/>
      <c r="AK339" s="134"/>
      <c r="AL339" s="134"/>
      <c r="AM339" s="134"/>
      <c r="AN339" s="134"/>
      <c r="AO339" s="134"/>
      <c r="AP339" s="165"/>
    </row>
    <row r="340" spans="1:44" ht="20.149999999999999" customHeight="1" x14ac:dyDescent="0.35">
      <c r="A340" s="100">
        <v>17</v>
      </c>
      <c r="B340" s="100">
        <f>PETUNJUK!B25</f>
        <v>0</v>
      </c>
      <c r="C340" s="80">
        <f>'1.DATA KIA'!C331</f>
        <v>0</v>
      </c>
      <c r="D340" s="81">
        <f t="shared" si="129"/>
        <v>0</v>
      </c>
      <c r="E340" s="91">
        <f>'1.DATA KIA'!F331</f>
        <v>0</v>
      </c>
      <c r="F340" s="81">
        <f t="shared" si="130"/>
        <v>0</v>
      </c>
      <c r="G340" s="82" t="e">
        <f t="shared" si="131"/>
        <v>#DIV/0!</v>
      </c>
      <c r="H340" s="81">
        <f t="shared" si="132"/>
        <v>0</v>
      </c>
      <c r="I340" s="91">
        <f>'1.DATA KIA'!AB331+'1.DATA KIA'!AE331</f>
        <v>0</v>
      </c>
      <c r="J340" s="81">
        <f t="shared" si="133"/>
        <v>0</v>
      </c>
      <c r="K340" s="82" t="e">
        <f t="shared" si="134"/>
        <v>#DIV/0!</v>
      </c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54"/>
      <c r="Z340" s="168"/>
      <c r="AA340" s="134"/>
      <c r="AB340" s="134"/>
      <c r="AC340" s="134"/>
      <c r="AD340" s="134"/>
      <c r="AE340" s="134"/>
      <c r="AF340" s="134"/>
      <c r="AG340" s="134"/>
      <c r="AH340" s="134"/>
      <c r="AI340" s="134"/>
      <c r="AJ340" s="134"/>
      <c r="AK340" s="134"/>
      <c r="AL340" s="134"/>
      <c r="AM340" s="134"/>
      <c r="AN340" s="134"/>
      <c r="AO340" s="134"/>
      <c r="AP340" s="165"/>
    </row>
    <row r="341" spans="1:44" ht="20.149999999999999" customHeight="1" x14ac:dyDescent="0.35">
      <c r="A341" s="100">
        <v>18</v>
      </c>
      <c r="B341" s="100">
        <f>PETUNJUK!B26</f>
        <v>0</v>
      </c>
      <c r="C341" s="80">
        <f>'1.DATA KIA'!C332</f>
        <v>0</v>
      </c>
      <c r="D341" s="81">
        <f t="shared" si="129"/>
        <v>0</v>
      </c>
      <c r="E341" s="91">
        <f>'1.DATA KIA'!F332</f>
        <v>0</v>
      </c>
      <c r="F341" s="81">
        <f>D341+E341</f>
        <v>0</v>
      </c>
      <c r="G341" s="82" t="e">
        <f>F341/C341*100</f>
        <v>#DIV/0!</v>
      </c>
      <c r="H341" s="81">
        <f t="shared" si="132"/>
        <v>0</v>
      </c>
      <c r="I341" s="91">
        <f>'1.DATA KIA'!AB332+'1.DATA KIA'!AE332</f>
        <v>0</v>
      </c>
      <c r="J341" s="81">
        <f>H341+I341</f>
        <v>0</v>
      </c>
      <c r="K341" s="82" t="e">
        <f>J341/C341*100</f>
        <v>#DIV/0!</v>
      </c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54"/>
      <c r="Z341" s="168"/>
      <c r="AA341" s="134"/>
      <c r="AB341" s="134"/>
      <c r="AC341" s="134"/>
      <c r="AD341" s="134"/>
      <c r="AE341" s="134"/>
      <c r="AF341" s="134"/>
      <c r="AG341" s="134"/>
      <c r="AH341" s="134"/>
      <c r="AI341" s="134"/>
      <c r="AJ341" s="134"/>
      <c r="AK341" s="134"/>
      <c r="AL341" s="134"/>
      <c r="AM341" s="134"/>
      <c r="AN341" s="134"/>
      <c r="AO341" s="134"/>
      <c r="AP341" s="165"/>
    </row>
    <row r="342" spans="1:44" ht="20.149999999999999" customHeight="1" x14ac:dyDescent="0.35">
      <c r="A342" s="100">
        <v>19</v>
      </c>
      <c r="B342" s="100">
        <f>PETUNJUK!B27</f>
        <v>0</v>
      </c>
      <c r="C342" s="80">
        <f>'1.DATA KIA'!C333</f>
        <v>0</v>
      </c>
      <c r="D342" s="81">
        <f t="shared" si="129"/>
        <v>0</v>
      </c>
      <c r="E342" s="91">
        <f>'1.DATA KIA'!F333</f>
        <v>0</v>
      </c>
      <c r="F342" s="81">
        <f t="shared" ref="F342:F345" si="135">D342+E342</f>
        <v>0</v>
      </c>
      <c r="G342" s="82" t="e">
        <f t="shared" ref="G342:G345" si="136">F342/C342*100</f>
        <v>#DIV/0!</v>
      </c>
      <c r="H342" s="81">
        <f t="shared" si="132"/>
        <v>0</v>
      </c>
      <c r="I342" s="91">
        <f>'1.DATA KIA'!AB333+'1.DATA KIA'!AE333</f>
        <v>0</v>
      </c>
      <c r="J342" s="81">
        <f t="shared" ref="J342:J345" si="137">H342+I342</f>
        <v>0</v>
      </c>
      <c r="K342" s="82" t="e">
        <f t="shared" ref="K342:K345" si="138">J342/C342*100</f>
        <v>#DIV/0!</v>
      </c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54"/>
      <c r="Z342" s="168"/>
      <c r="AA342" s="134"/>
      <c r="AB342" s="134"/>
      <c r="AC342" s="134"/>
      <c r="AD342" s="134"/>
      <c r="AE342" s="134"/>
      <c r="AF342" s="134"/>
      <c r="AG342" s="134"/>
      <c r="AH342" s="134"/>
      <c r="AI342" s="134"/>
      <c r="AJ342" s="134"/>
      <c r="AK342" s="134"/>
      <c r="AL342" s="134"/>
      <c r="AM342" s="134"/>
      <c r="AN342" s="134"/>
      <c r="AO342" s="134"/>
      <c r="AP342" s="165"/>
    </row>
    <row r="343" spans="1:44" ht="20.149999999999999" customHeight="1" x14ac:dyDescent="0.35">
      <c r="A343" s="100">
        <v>20</v>
      </c>
      <c r="B343" s="100">
        <f>PETUNJUK!B28</f>
        <v>0</v>
      </c>
      <c r="C343" s="80">
        <f>'1.DATA KIA'!C334</f>
        <v>0</v>
      </c>
      <c r="D343" s="81">
        <f t="shared" si="129"/>
        <v>0</v>
      </c>
      <c r="E343" s="91">
        <f>'1.DATA KIA'!F334</f>
        <v>0</v>
      </c>
      <c r="F343" s="81">
        <f t="shared" si="135"/>
        <v>0</v>
      </c>
      <c r="G343" s="82" t="e">
        <f t="shared" si="136"/>
        <v>#DIV/0!</v>
      </c>
      <c r="H343" s="81">
        <f t="shared" si="132"/>
        <v>0</v>
      </c>
      <c r="I343" s="91">
        <f>'1.DATA KIA'!AB334+'1.DATA KIA'!AE334</f>
        <v>0</v>
      </c>
      <c r="J343" s="81">
        <f t="shared" si="137"/>
        <v>0</v>
      </c>
      <c r="K343" s="82" t="e">
        <f t="shared" si="138"/>
        <v>#DIV/0!</v>
      </c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54"/>
      <c r="Z343" s="168"/>
      <c r="AA343" s="134"/>
      <c r="AB343" s="134"/>
      <c r="AC343" s="134"/>
      <c r="AD343" s="134"/>
      <c r="AE343" s="134"/>
      <c r="AF343" s="134"/>
      <c r="AG343" s="134"/>
      <c r="AH343" s="134"/>
      <c r="AI343" s="134"/>
      <c r="AJ343" s="134"/>
      <c r="AK343" s="134"/>
      <c r="AL343" s="134"/>
      <c r="AM343" s="134"/>
      <c r="AN343" s="134"/>
      <c r="AO343" s="134"/>
      <c r="AP343" s="165"/>
    </row>
    <row r="344" spans="1:44" ht="20.149999999999999" customHeight="1" x14ac:dyDescent="0.35">
      <c r="A344" s="100">
        <v>21</v>
      </c>
      <c r="B344" s="100">
        <f>PETUNJUK!B29</f>
        <v>0</v>
      </c>
      <c r="C344" s="80">
        <f>'1.DATA KIA'!C335</f>
        <v>0</v>
      </c>
      <c r="D344" s="81">
        <f t="shared" si="129"/>
        <v>0</v>
      </c>
      <c r="E344" s="91">
        <f>'1.DATA KIA'!F335</f>
        <v>0</v>
      </c>
      <c r="F344" s="81">
        <f t="shared" si="135"/>
        <v>0</v>
      </c>
      <c r="G344" s="82" t="e">
        <f t="shared" si="136"/>
        <v>#DIV/0!</v>
      </c>
      <c r="H344" s="81">
        <f t="shared" si="132"/>
        <v>0</v>
      </c>
      <c r="I344" s="91">
        <f>'1.DATA KIA'!AB335+'1.DATA KIA'!AE335</f>
        <v>0</v>
      </c>
      <c r="J344" s="81">
        <f t="shared" si="137"/>
        <v>0</v>
      </c>
      <c r="K344" s="82" t="e">
        <f t="shared" si="138"/>
        <v>#DIV/0!</v>
      </c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54"/>
      <c r="Z344" s="168"/>
      <c r="AA344" s="134"/>
      <c r="AB344" s="134"/>
      <c r="AC344" s="134"/>
      <c r="AD344" s="134"/>
      <c r="AE344" s="134"/>
      <c r="AF344" s="134"/>
      <c r="AG344" s="134"/>
      <c r="AH344" s="134"/>
      <c r="AI344" s="134"/>
      <c r="AJ344" s="134"/>
      <c r="AK344" s="134"/>
      <c r="AL344" s="134"/>
      <c r="AM344" s="134"/>
      <c r="AN344" s="134"/>
      <c r="AO344" s="134"/>
      <c r="AP344" s="165"/>
    </row>
    <row r="345" spans="1:44" ht="20.149999999999999" customHeight="1" thickBot="1" x14ac:dyDescent="0.4">
      <c r="A345" s="114">
        <v>22</v>
      </c>
      <c r="B345" s="114">
        <f>PETUNJUK!B30</f>
        <v>0</v>
      </c>
      <c r="C345" s="49">
        <f>'1.DATA KIA'!C336</f>
        <v>0</v>
      </c>
      <c r="D345" s="132">
        <f t="shared" si="129"/>
        <v>0</v>
      </c>
      <c r="E345" s="132">
        <f>'1.DATA KIA'!F336</f>
        <v>0</v>
      </c>
      <c r="F345" s="132">
        <f t="shared" si="135"/>
        <v>0</v>
      </c>
      <c r="G345" s="133" t="e">
        <f t="shared" si="136"/>
        <v>#DIV/0!</v>
      </c>
      <c r="H345" s="132">
        <f t="shared" si="132"/>
        <v>0</v>
      </c>
      <c r="I345" s="132">
        <f>'1.DATA KIA'!AB336+'1.DATA KIA'!AE336</f>
        <v>0</v>
      </c>
      <c r="J345" s="132">
        <f t="shared" si="137"/>
        <v>0</v>
      </c>
      <c r="K345" s="133" t="e">
        <f t="shared" si="138"/>
        <v>#DIV/0!</v>
      </c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54"/>
      <c r="Z345" s="168"/>
      <c r="AA345" s="134"/>
      <c r="AB345" s="134"/>
      <c r="AC345" s="134"/>
      <c r="AD345" s="134"/>
      <c r="AE345" s="134"/>
      <c r="AF345" s="134"/>
      <c r="AG345" s="134"/>
      <c r="AH345" s="134"/>
      <c r="AI345" s="134"/>
      <c r="AJ345" s="134"/>
      <c r="AK345" s="134"/>
      <c r="AL345" s="134"/>
      <c r="AM345" s="134"/>
      <c r="AN345" s="134"/>
      <c r="AO345" s="134"/>
      <c r="AP345" s="165"/>
    </row>
    <row r="346" spans="1:44" ht="26.25" customHeight="1" thickBot="1" x14ac:dyDescent="0.4">
      <c r="A346" s="881" t="s">
        <v>18</v>
      </c>
      <c r="B346" s="882"/>
      <c r="C346" s="118">
        <f>SUM(C325:C345)</f>
        <v>965.80000000000007</v>
      </c>
      <c r="D346" s="118">
        <f>SUM(D325:D345)</f>
        <v>344</v>
      </c>
      <c r="E346" s="118">
        <f t="shared" ref="E346:AO346" si="139">SUM(E325:E345)</f>
        <v>0</v>
      </c>
      <c r="F346" s="118">
        <f t="shared" si="139"/>
        <v>344</v>
      </c>
      <c r="G346" s="117">
        <f t="shared" ref="G346" si="140">F346/C346*100</f>
        <v>35.618140401739488</v>
      </c>
      <c r="H346" s="118">
        <f t="shared" si="139"/>
        <v>269</v>
      </c>
      <c r="I346" s="118">
        <f t="shared" si="139"/>
        <v>0</v>
      </c>
      <c r="J346" s="118">
        <f t="shared" si="139"/>
        <v>269</v>
      </c>
      <c r="K346" s="117">
        <f t="shared" ref="K346" si="141">J346/C346*100</f>
        <v>27.852557465313726</v>
      </c>
      <c r="L346" s="118">
        <f t="shared" si="139"/>
        <v>0</v>
      </c>
      <c r="M346" s="118">
        <f t="shared" si="139"/>
        <v>0</v>
      </c>
      <c r="N346" s="118">
        <f t="shared" si="139"/>
        <v>0</v>
      </c>
      <c r="O346" s="118">
        <f t="shared" si="139"/>
        <v>0</v>
      </c>
      <c r="P346" s="118">
        <f t="shared" si="139"/>
        <v>0</v>
      </c>
      <c r="Q346" s="118">
        <f t="shared" si="139"/>
        <v>0</v>
      </c>
      <c r="R346" s="118">
        <f t="shared" si="139"/>
        <v>0</v>
      </c>
      <c r="S346" s="118">
        <f t="shared" si="139"/>
        <v>0</v>
      </c>
      <c r="T346" s="118">
        <f t="shared" si="139"/>
        <v>0</v>
      </c>
      <c r="U346" s="118">
        <f t="shared" si="139"/>
        <v>0</v>
      </c>
      <c r="V346" s="118">
        <f t="shared" si="139"/>
        <v>0</v>
      </c>
      <c r="W346" s="118">
        <f t="shared" si="139"/>
        <v>0</v>
      </c>
      <c r="X346" s="150">
        <f t="shared" si="139"/>
        <v>0</v>
      </c>
      <c r="Y346" s="152"/>
      <c r="Z346" s="193">
        <f t="shared" si="139"/>
        <v>0</v>
      </c>
      <c r="AA346" s="118">
        <f t="shared" si="139"/>
        <v>0</v>
      </c>
      <c r="AB346" s="118">
        <f t="shared" si="139"/>
        <v>0</v>
      </c>
      <c r="AC346" s="118">
        <f t="shared" si="139"/>
        <v>0</v>
      </c>
      <c r="AD346" s="118">
        <f t="shared" si="139"/>
        <v>0</v>
      </c>
      <c r="AE346" s="118">
        <f t="shared" si="139"/>
        <v>0</v>
      </c>
      <c r="AF346" s="118">
        <f t="shared" si="139"/>
        <v>0</v>
      </c>
      <c r="AG346" s="118">
        <f t="shared" si="139"/>
        <v>0</v>
      </c>
      <c r="AH346" s="118">
        <f t="shared" si="139"/>
        <v>0</v>
      </c>
      <c r="AI346" s="118">
        <f t="shared" si="139"/>
        <v>0</v>
      </c>
      <c r="AJ346" s="118">
        <f t="shared" si="139"/>
        <v>0</v>
      </c>
      <c r="AK346" s="118">
        <f t="shared" si="139"/>
        <v>0</v>
      </c>
      <c r="AL346" s="118">
        <f t="shared" si="139"/>
        <v>0</v>
      </c>
      <c r="AM346" s="118">
        <f t="shared" si="139"/>
        <v>0</v>
      </c>
      <c r="AN346" s="118">
        <f t="shared" si="139"/>
        <v>0</v>
      </c>
      <c r="AO346" s="118">
        <f t="shared" si="139"/>
        <v>0</v>
      </c>
      <c r="AP346" s="144">
        <f>SUM(AP325:AP345)</f>
        <v>0</v>
      </c>
    </row>
    <row r="347" spans="1:44" ht="15.5" x14ac:dyDescent="0.35">
      <c r="A347" s="140"/>
      <c r="B347" s="140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56"/>
      <c r="Z347" s="102"/>
      <c r="AA347" s="102"/>
      <c r="AB347" s="102"/>
      <c r="AC347" s="102"/>
      <c r="AD347" s="102"/>
      <c r="AE347" s="102"/>
      <c r="AF347" s="102"/>
      <c r="AG347" s="102"/>
      <c r="AH347" s="102"/>
      <c r="AI347" s="102"/>
      <c r="AJ347" s="102"/>
      <c r="AK347" s="102"/>
      <c r="AL347" s="102"/>
      <c r="AM347" s="102"/>
      <c r="AN347" s="102"/>
      <c r="AO347" s="102"/>
      <c r="AP347" s="102"/>
    </row>
    <row r="348" spans="1:44" ht="15.5" x14ac:dyDescent="0.35">
      <c r="A348" s="140"/>
      <c r="B348" s="140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56"/>
      <c r="Z348" s="102"/>
      <c r="AA348" s="102"/>
      <c r="AB348" s="102"/>
      <c r="AC348" s="102"/>
      <c r="AD348" s="102"/>
      <c r="AE348" s="102"/>
      <c r="AF348" s="102"/>
      <c r="AG348" s="102"/>
      <c r="AH348" s="102"/>
      <c r="AI348" s="102"/>
      <c r="AJ348" s="102"/>
      <c r="AK348" s="102"/>
      <c r="AL348" s="102"/>
      <c r="AM348" s="102"/>
      <c r="AN348" s="102"/>
      <c r="AO348" s="102"/>
      <c r="AP348" s="102"/>
    </row>
    <row r="349" spans="1:44" ht="15.5" x14ac:dyDescent="0.35">
      <c r="A349" s="140"/>
      <c r="B349" s="140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56"/>
      <c r="Z349" s="102"/>
      <c r="AA349" s="102"/>
      <c r="AB349" s="102"/>
      <c r="AC349" s="102"/>
      <c r="AD349" s="102"/>
      <c r="AE349" s="102"/>
      <c r="AF349" s="102"/>
      <c r="AG349" s="102"/>
      <c r="AH349" s="102"/>
      <c r="AI349" s="102"/>
      <c r="AJ349" s="102"/>
      <c r="AK349" s="102"/>
      <c r="AL349" s="102"/>
      <c r="AM349" s="102"/>
      <c r="AN349" s="102"/>
      <c r="AO349" s="102"/>
      <c r="AP349" s="102"/>
    </row>
    <row r="350" spans="1:44" ht="15.5" x14ac:dyDescent="0.35">
      <c r="A350" s="140"/>
      <c r="B350" s="140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56"/>
      <c r="Z350" s="102"/>
      <c r="AA350" s="102"/>
      <c r="AB350" s="102"/>
      <c r="AC350" s="102"/>
      <c r="AD350" s="102"/>
      <c r="AE350" s="102"/>
      <c r="AF350" s="102"/>
      <c r="AG350" s="102"/>
      <c r="AH350" s="102"/>
      <c r="AI350" s="102"/>
      <c r="AJ350" s="102"/>
      <c r="AK350" s="102"/>
      <c r="AL350" s="102"/>
      <c r="AM350" s="102"/>
      <c r="AN350" s="102"/>
      <c r="AO350" s="102"/>
      <c r="AP350" s="102"/>
    </row>
    <row r="351" spans="1:44" ht="15.5" x14ac:dyDescent="0.35">
      <c r="A351" s="137"/>
      <c r="B351" s="138"/>
      <c r="C351" s="76" t="s">
        <v>64</v>
      </c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101"/>
      <c r="T351" s="101"/>
      <c r="U351" s="101"/>
      <c r="V351" s="101"/>
      <c r="W351" s="101"/>
      <c r="X351" s="101"/>
      <c r="Y351" s="151"/>
      <c r="Z351" s="101"/>
      <c r="AA351" s="101"/>
      <c r="AB351" s="101"/>
      <c r="AC351" s="101"/>
      <c r="AD351" s="101"/>
      <c r="AE351" s="101"/>
      <c r="AF351" s="101"/>
      <c r="AG351" s="101"/>
      <c r="AH351" s="101"/>
      <c r="AI351" s="101"/>
      <c r="AJ351" s="101"/>
      <c r="AK351" s="101"/>
      <c r="AL351" s="101"/>
      <c r="AM351" s="101"/>
      <c r="AN351" s="101"/>
      <c r="AO351" s="101"/>
      <c r="AP351" s="101"/>
    </row>
    <row r="352" spans="1:44" ht="15.5" x14ac:dyDescent="0.35">
      <c r="A352" s="137"/>
      <c r="B352" s="98"/>
      <c r="C352" s="103" t="s">
        <v>197</v>
      </c>
      <c r="D352" s="78"/>
      <c r="E352" s="79" t="str">
        <f>PETUNJUK!C5</f>
        <v>PECANGAAN</v>
      </c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101"/>
      <c r="T352" s="101"/>
      <c r="U352" s="101"/>
      <c r="V352" s="101" t="s">
        <v>199</v>
      </c>
      <c r="W352" s="101"/>
      <c r="X352" s="101"/>
      <c r="Y352" s="151"/>
      <c r="Z352" s="101"/>
      <c r="AA352" s="101"/>
      <c r="AB352" s="101"/>
      <c r="AC352" s="101"/>
      <c r="AD352" s="101"/>
      <c r="AE352" s="101"/>
      <c r="AF352" s="101"/>
      <c r="AG352" s="101"/>
      <c r="AH352" s="101"/>
      <c r="AI352" s="101"/>
      <c r="AJ352" s="101"/>
      <c r="AK352" s="101"/>
      <c r="AL352" s="101"/>
      <c r="AM352" s="101"/>
      <c r="AN352" s="101"/>
      <c r="AO352" s="101" t="s">
        <v>200</v>
      </c>
      <c r="AP352" s="101"/>
    </row>
    <row r="353" spans="1:152" ht="15.5" x14ac:dyDescent="0.35">
      <c r="A353" s="137"/>
      <c r="B353" s="139"/>
      <c r="C353" s="104" t="s">
        <v>198</v>
      </c>
      <c r="D353" s="105"/>
      <c r="E353" s="106" t="str">
        <f>'1.DATA KIA'!C344</f>
        <v xml:space="preserve">NOPEMBER </v>
      </c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1"/>
      <c r="T353" s="101"/>
      <c r="U353" s="101"/>
      <c r="V353" s="101"/>
      <c r="W353" s="101"/>
      <c r="X353" s="101"/>
      <c r="Y353" s="151"/>
      <c r="Z353" s="101"/>
      <c r="AA353" s="101"/>
      <c r="AB353" s="101"/>
      <c r="AC353" s="101"/>
      <c r="AD353" s="101"/>
      <c r="AE353" s="101"/>
      <c r="AF353" s="101"/>
      <c r="AG353" s="101"/>
      <c r="AH353" s="101"/>
      <c r="AI353" s="101"/>
      <c r="AJ353" s="101"/>
      <c r="AK353" s="101"/>
      <c r="AL353" s="101"/>
      <c r="AM353" s="101"/>
      <c r="AN353" s="101"/>
      <c r="AO353" s="101"/>
      <c r="AP353" s="101"/>
    </row>
    <row r="354" spans="1:152" ht="16" thickBot="1" x14ac:dyDescent="0.4">
      <c r="A354" s="870"/>
      <c r="B354" s="870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1"/>
      <c r="T354" s="101"/>
      <c r="U354" s="101"/>
      <c r="V354" s="101"/>
      <c r="W354" s="101"/>
      <c r="X354" s="101"/>
      <c r="Y354" s="151"/>
      <c r="Z354" s="101"/>
      <c r="AA354" s="101"/>
      <c r="AB354" s="101"/>
      <c r="AC354" s="101"/>
      <c r="AD354" s="101"/>
      <c r="AE354" s="101"/>
      <c r="AF354" s="101"/>
      <c r="AG354" s="101"/>
      <c r="AH354" s="101"/>
      <c r="AI354" s="101"/>
      <c r="AJ354" s="101"/>
      <c r="AK354" s="101"/>
      <c r="AL354" s="101"/>
      <c r="AM354" s="101"/>
      <c r="AN354" s="101"/>
      <c r="AO354" s="101"/>
      <c r="AP354" s="101"/>
    </row>
    <row r="355" spans="1:152" s="111" customFormat="1" ht="39.65" customHeight="1" thickBot="1" x14ac:dyDescent="0.4">
      <c r="A355" s="871" t="s">
        <v>1</v>
      </c>
      <c r="B355" s="874" t="s">
        <v>2</v>
      </c>
      <c r="C355" s="877" t="s">
        <v>65</v>
      </c>
      <c r="D355" s="847" t="s">
        <v>66</v>
      </c>
      <c r="E355" s="848"/>
      <c r="F355" s="848"/>
      <c r="G355" s="880"/>
      <c r="H355" s="859" t="s">
        <v>194</v>
      </c>
      <c r="I355" s="860"/>
      <c r="J355" s="860"/>
      <c r="K355" s="861"/>
      <c r="L355" s="847" t="s">
        <v>67</v>
      </c>
      <c r="M355" s="848"/>
      <c r="N355" s="848"/>
      <c r="O355" s="848"/>
      <c r="P355" s="848"/>
      <c r="Q355" s="848"/>
      <c r="R355" s="848"/>
      <c r="S355" s="848"/>
      <c r="T355" s="848"/>
      <c r="U355" s="848"/>
      <c r="V355" s="848"/>
      <c r="W355" s="848"/>
      <c r="X355" s="849"/>
      <c r="Y355" s="152"/>
      <c r="Z355" s="862" t="s">
        <v>79</v>
      </c>
      <c r="AA355" s="864"/>
      <c r="AB355" s="864"/>
      <c r="AC355" s="864"/>
      <c r="AD355" s="864"/>
      <c r="AE355" s="864"/>
      <c r="AF355" s="864"/>
      <c r="AG355" s="864"/>
      <c r="AH355" s="864"/>
      <c r="AI355" s="864"/>
      <c r="AJ355" s="864"/>
      <c r="AK355" s="864"/>
      <c r="AL355" s="864"/>
      <c r="AM355" s="864"/>
      <c r="AN355" s="864"/>
      <c r="AO355" s="864"/>
      <c r="AP355" s="863"/>
      <c r="AQ355" s="280"/>
      <c r="AR355" s="280"/>
      <c r="AS355" s="280"/>
      <c r="AT355" s="280"/>
      <c r="AU355" s="280"/>
      <c r="AV355" s="280"/>
      <c r="AW355" s="280"/>
      <c r="AX355" s="280"/>
      <c r="AY355" s="280"/>
      <c r="AZ355" s="280"/>
      <c r="BA355" s="280"/>
      <c r="BB355" s="280"/>
      <c r="BC355" s="280"/>
      <c r="BD355" s="280"/>
      <c r="BE355" s="280"/>
      <c r="BF355" s="280"/>
      <c r="BG355" s="280"/>
      <c r="BH355" s="280"/>
      <c r="BI355" s="280"/>
      <c r="BJ355" s="280"/>
      <c r="BK355" s="280"/>
      <c r="BL355" s="280"/>
      <c r="BM355" s="280"/>
      <c r="BN355" s="280"/>
      <c r="BO355" s="280"/>
      <c r="BP355" s="280"/>
      <c r="BQ355" s="280"/>
      <c r="BR355" s="280"/>
      <c r="BS355" s="280"/>
      <c r="BT355" s="280"/>
      <c r="BU355" s="280"/>
      <c r="BV355" s="280"/>
      <c r="BW355" s="280"/>
      <c r="BX355" s="280"/>
      <c r="BY355" s="280"/>
      <c r="BZ355" s="280"/>
      <c r="CA355" s="280"/>
      <c r="CB355" s="280"/>
      <c r="CC355" s="280"/>
      <c r="CD355" s="280"/>
      <c r="CE355" s="280"/>
      <c r="CF355" s="280"/>
      <c r="CG355" s="280"/>
      <c r="CH355" s="280"/>
      <c r="CI355" s="280"/>
      <c r="CJ355" s="280"/>
      <c r="CK355" s="280"/>
      <c r="CL355" s="280"/>
      <c r="CM355" s="280"/>
      <c r="CN355" s="280"/>
      <c r="CO355" s="280"/>
      <c r="CP355" s="280"/>
      <c r="CQ355" s="280"/>
      <c r="CR355" s="280"/>
      <c r="CS355" s="280"/>
      <c r="CT355" s="280"/>
      <c r="CU355" s="280"/>
      <c r="CV355" s="280"/>
      <c r="CW355" s="280"/>
      <c r="CX355" s="280"/>
      <c r="CY355" s="280"/>
      <c r="CZ355" s="280"/>
      <c r="DA355" s="280"/>
      <c r="DB355" s="280"/>
      <c r="DC355" s="280"/>
      <c r="DD355" s="280"/>
      <c r="DE355" s="280"/>
      <c r="DF355" s="280"/>
      <c r="DG355" s="280"/>
      <c r="DH355" s="280"/>
      <c r="DI355" s="280"/>
      <c r="DJ355" s="280"/>
      <c r="DK355" s="280"/>
      <c r="DL355" s="280"/>
      <c r="DM355" s="280"/>
      <c r="DN355" s="280"/>
      <c r="DO355" s="280"/>
      <c r="DP355" s="280"/>
      <c r="DQ355" s="280"/>
      <c r="DR355" s="280"/>
      <c r="DS355" s="280"/>
      <c r="DT355" s="280"/>
      <c r="DU355" s="280"/>
      <c r="DV355" s="280"/>
      <c r="DW355" s="280"/>
      <c r="DX355" s="280"/>
      <c r="DY355" s="280"/>
      <c r="DZ355" s="280"/>
      <c r="EA355" s="280"/>
      <c r="EB355" s="280"/>
      <c r="EC355" s="280"/>
      <c r="ED355" s="280"/>
      <c r="EE355" s="280"/>
      <c r="EF355" s="280"/>
      <c r="EG355" s="280"/>
      <c r="EH355" s="280"/>
      <c r="EI355" s="280"/>
      <c r="EJ355" s="280"/>
      <c r="EK355" s="280"/>
      <c r="EL355" s="280"/>
      <c r="EM355" s="280"/>
      <c r="EN355" s="280"/>
      <c r="EO355" s="280"/>
      <c r="EP355" s="280"/>
      <c r="EQ355" s="280"/>
      <c r="ER355" s="280"/>
      <c r="ES355" s="280"/>
      <c r="ET355" s="280"/>
      <c r="EU355" s="280"/>
      <c r="EV355" s="280"/>
    </row>
    <row r="356" spans="1:152" s="111" customFormat="1" ht="108" customHeight="1" x14ac:dyDescent="0.35">
      <c r="A356" s="872"/>
      <c r="B356" s="875"/>
      <c r="C356" s="878"/>
      <c r="D356" s="853" t="s">
        <v>68</v>
      </c>
      <c r="E356" s="856" t="s">
        <v>69</v>
      </c>
      <c r="F356" s="856" t="s">
        <v>36</v>
      </c>
      <c r="G356" s="856" t="s">
        <v>37</v>
      </c>
      <c r="H356" s="853" t="s">
        <v>68</v>
      </c>
      <c r="I356" s="856" t="s">
        <v>69</v>
      </c>
      <c r="J356" s="856" t="s">
        <v>36</v>
      </c>
      <c r="K356" s="856" t="s">
        <v>37</v>
      </c>
      <c r="L356" s="865" t="s">
        <v>196</v>
      </c>
      <c r="M356" s="866"/>
      <c r="N356" s="867" t="s">
        <v>70</v>
      </c>
      <c r="O356" s="868"/>
      <c r="P356" s="865" t="s">
        <v>71</v>
      </c>
      <c r="Q356" s="869"/>
      <c r="R356" s="866"/>
      <c r="S356" s="838" t="s">
        <v>80</v>
      </c>
      <c r="T356" s="838"/>
      <c r="U356" s="838"/>
      <c r="V356" s="838"/>
      <c r="W356" s="838"/>
      <c r="X356" s="832"/>
      <c r="Y356" s="153"/>
      <c r="Z356" s="850" t="s">
        <v>81</v>
      </c>
      <c r="AA356" s="851"/>
      <c r="AB356" s="851"/>
      <c r="AC356" s="913" t="s">
        <v>195</v>
      </c>
      <c r="AD356" s="914"/>
      <c r="AE356" s="915" t="s">
        <v>82</v>
      </c>
      <c r="AF356" s="916"/>
      <c r="AG356" s="915" t="s">
        <v>83</v>
      </c>
      <c r="AH356" s="917"/>
      <c r="AI356" s="917"/>
      <c r="AJ356" s="917"/>
      <c r="AK356" s="917"/>
      <c r="AL356" s="916"/>
      <c r="AM356" s="885" t="s">
        <v>84</v>
      </c>
      <c r="AN356" s="851"/>
      <c r="AO356" s="851"/>
      <c r="AP356" s="852"/>
      <c r="AQ356" s="280"/>
      <c r="AR356" s="280"/>
      <c r="AS356" s="280"/>
      <c r="AT356" s="280"/>
      <c r="AU356" s="280"/>
      <c r="AV356" s="280"/>
      <c r="AW356" s="280"/>
      <c r="AX356" s="280"/>
      <c r="AY356" s="280"/>
      <c r="AZ356" s="280"/>
      <c r="BA356" s="280"/>
      <c r="BB356" s="280"/>
      <c r="BC356" s="280"/>
      <c r="BD356" s="280"/>
      <c r="BE356" s="280"/>
      <c r="BF356" s="280"/>
      <c r="BG356" s="280"/>
      <c r="BH356" s="280"/>
      <c r="BI356" s="280"/>
      <c r="BJ356" s="280"/>
      <c r="BK356" s="280"/>
      <c r="BL356" s="280"/>
      <c r="BM356" s="280"/>
      <c r="BN356" s="280"/>
      <c r="BO356" s="280"/>
      <c r="BP356" s="280"/>
      <c r="BQ356" s="280"/>
      <c r="BR356" s="280"/>
      <c r="BS356" s="280"/>
      <c r="BT356" s="280"/>
      <c r="BU356" s="280"/>
      <c r="BV356" s="280"/>
      <c r="BW356" s="280"/>
      <c r="BX356" s="280"/>
      <c r="BY356" s="280"/>
      <c r="BZ356" s="280"/>
      <c r="CA356" s="280"/>
      <c r="CB356" s="280"/>
      <c r="CC356" s="280"/>
      <c r="CD356" s="280"/>
      <c r="CE356" s="280"/>
      <c r="CF356" s="280"/>
      <c r="CG356" s="280"/>
      <c r="CH356" s="280"/>
      <c r="CI356" s="280"/>
      <c r="CJ356" s="280"/>
      <c r="CK356" s="280"/>
      <c r="CL356" s="280"/>
      <c r="CM356" s="280"/>
      <c r="CN356" s="280"/>
      <c r="CO356" s="280"/>
      <c r="CP356" s="280"/>
      <c r="CQ356" s="280"/>
      <c r="CR356" s="280"/>
      <c r="CS356" s="280"/>
      <c r="CT356" s="280"/>
      <c r="CU356" s="280"/>
      <c r="CV356" s="280"/>
      <c r="CW356" s="280"/>
      <c r="CX356" s="280"/>
      <c r="CY356" s="280"/>
      <c r="CZ356" s="280"/>
      <c r="DA356" s="280"/>
      <c r="DB356" s="280"/>
      <c r="DC356" s="280"/>
      <c r="DD356" s="280"/>
      <c r="DE356" s="280"/>
      <c r="DF356" s="280"/>
      <c r="DG356" s="280"/>
      <c r="DH356" s="280"/>
      <c r="DI356" s="280"/>
      <c r="DJ356" s="280"/>
      <c r="DK356" s="280"/>
      <c r="DL356" s="280"/>
      <c r="DM356" s="280"/>
      <c r="DN356" s="280"/>
      <c r="DO356" s="280"/>
      <c r="DP356" s="280"/>
      <c r="DQ356" s="280"/>
      <c r="DR356" s="280"/>
      <c r="DS356" s="280"/>
      <c r="DT356" s="280"/>
      <c r="DU356" s="280"/>
      <c r="DV356" s="280"/>
      <c r="DW356" s="280"/>
      <c r="DX356" s="280"/>
      <c r="DY356" s="280"/>
      <c r="DZ356" s="280"/>
      <c r="EA356" s="280"/>
      <c r="EB356" s="280"/>
      <c r="EC356" s="280"/>
      <c r="ED356" s="280"/>
      <c r="EE356" s="280"/>
      <c r="EF356" s="280"/>
      <c r="EG356" s="280"/>
      <c r="EH356" s="280"/>
      <c r="EI356" s="280"/>
      <c r="EJ356" s="280"/>
      <c r="EK356" s="280"/>
      <c r="EL356" s="280"/>
      <c r="EM356" s="280"/>
      <c r="EN356" s="280"/>
      <c r="EO356" s="280"/>
      <c r="EP356" s="280"/>
      <c r="EQ356" s="280"/>
      <c r="ER356" s="280"/>
      <c r="ES356" s="280"/>
      <c r="ET356" s="280"/>
      <c r="EU356" s="280"/>
      <c r="EV356" s="280"/>
    </row>
    <row r="357" spans="1:152" s="111" customFormat="1" ht="21.75" customHeight="1" x14ac:dyDescent="0.35">
      <c r="A357" s="872"/>
      <c r="B357" s="875"/>
      <c r="C357" s="878"/>
      <c r="D357" s="854"/>
      <c r="E357" s="857"/>
      <c r="F357" s="857"/>
      <c r="G357" s="857"/>
      <c r="H357" s="854"/>
      <c r="I357" s="857"/>
      <c r="J357" s="857"/>
      <c r="K357" s="857"/>
      <c r="L357" s="856" t="s">
        <v>72</v>
      </c>
      <c r="M357" s="856" t="s">
        <v>73</v>
      </c>
      <c r="N357" s="856" t="s">
        <v>74</v>
      </c>
      <c r="O357" s="856" t="s">
        <v>75</v>
      </c>
      <c r="P357" s="856" t="s">
        <v>76</v>
      </c>
      <c r="Q357" s="856" t="s">
        <v>77</v>
      </c>
      <c r="R357" s="856" t="s">
        <v>78</v>
      </c>
      <c r="S357" s="836" t="s">
        <v>85</v>
      </c>
      <c r="T357" s="842" t="s">
        <v>86</v>
      </c>
      <c r="U357" s="842" t="s">
        <v>87</v>
      </c>
      <c r="V357" s="842" t="s">
        <v>88</v>
      </c>
      <c r="W357" s="831" t="s">
        <v>89</v>
      </c>
      <c r="X357" s="832"/>
      <c r="Y357" s="153"/>
      <c r="Z357" s="844" t="s">
        <v>90</v>
      </c>
      <c r="AA357" s="834" t="s">
        <v>77</v>
      </c>
      <c r="AB357" s="834" t="s">
        <v>76</v>
      </c>
      <c r="AC357" s="834" t="s">
        <v>93</v>
      </c>
      <c r="AD357" s="834" t="s">
        <v>2</v>
      </c>
      <c r="AE357" s="834" t="s">
        <v>93</v>
      </c>
      <c r="AF357" s="834" t="s">
        <v>2</v>
      </c>
      <c r="AG357" s="834" t="s">
        <v>94</v>
      </c>
      <c r="AH357" s="834" t="s">
        <v>95</v>
      </c>
      <c r="AI357" s="834" t="s">
        <v>96</v>
      </c>
      <c r="AJ357" s="834" t="s">
        <v>97</v>
      </c>
      <c r="AK357" s="834" t="s">
        <v>98</v>
      </c>
      <c r="AL357" s="834" t="s">
        <v>99</v>
      </c>
      <c r="AM357" s="831" t="s">
        <v>91</v>
      </c>
      <c r="AN357" s="846"/>
      <c r="AO357" s="831" t="s">
        <v>7</v>
      </c>
      <c r="AP357" s="832"/>
      <c r="AQ357" s="280"/>
      <c r="AR357" s="280"/>
      <c r="AS357" s="280"/>
      <c r="AT357" s="280"/>
      <c r="AU357" s="280"/>
      <c r="AV357" s="280"/>
      <c r="AW357" s="280"/>
      <c r="AX357" s="280"/>
      <c r="AY357" s="280"/>
      <c r="AZ357" s="280"/>
      <c r="BA357" s="280"/>
      <c r="BB357" s="280"/>
      <c r="BC357" s="280"/>
      <c r="BD357" s="280"/>
      <c r="BE357" s="280"/>
      <c r="BF357" s="280"/>
      <c r="BG357" s="280"/>
      <c r="BH357" s="280"/>
      <c r="BI357" s="280"/>
      <c r="BJ357" s="280"/>
      <c r="BK357" s="280"/>
      <c r="BL357" s="280"/>
      <c r="BM357" s="280"/>
      <c r="BN357" s="280"/>
      <c r="BO357" s="280"/>
      <c r="BP357" s="280"/>
      <c r="BQ357" s="280"/>
      <c r="BR357" s="280"/>
      <c r="BS357" s="280"/>
      <c r="BT357" s="280"/>
      <c r="BU357" s="280"/>
      <c r="BV357" s="280"/>
      <c r="BW357" s="280"/>
      <c r="BX357" s="280"/>
      <c r="BY357" s="280"/>
      <c r="BZ357" s="280"/>
      <c r="CA357" s="280"/>
      <c r="CB357" s="280"/>
      <c r="CC357" s="280"/>
      <c r="CD357" s="280"/>
      <c r="CE357" s="280"/>
      <c r="CF357" s="280"/>
      <c r="CG357" s="280"/>
      <c r="CH357" s="280"/>
      <c r="CI357" s="280"/>
      <c r="CJ357" s="280"/>
      <c r="CK357" s="280"/>
      <c r="CL357" s="280"/>
      <c r="CM357" s="280"/>
      <c r="CN357" s="280"/>
      <c r="CO357" s="280"/>
      <c r="CP357" s="280"/>
      <c r="CQ357" s="280"/>
      <c r="CR357" s="280"/>
      <c r="CS357" s="280"/>
      <c r="CT357" s="280"/>
      <c r="CU357" s="280"/>
      <c r="CV357" s="280"/>
      <c r="CW357" s="280"/>
      <c r="CX357" s="280"/>
      <c r="CY357" s="280"/>
      <c r="CZ357" s="280"/>
      <c r="DA357" s="280"/>
      <c r="DB357" s="280"/>
      <c r="DC357" s="280"/>
      <c r="DD357" s="280"/>
      <c r="DE357" s="280"/>
      <c r="DF357" s="280"/>
      <c r="DG357" s="280"/>
      <c r="DH357" s="280"/>
      <c r="DI357" s="280"/>
      <c r="DJ357" s="280"/>
      <c r="DK357" s="280"/>
      <c r="DL357" s="280"/>
      <c r="DM357" s="280"/>
      <c r="DN357" s="280"/>
      <c r="DO357" s="280"/>
      <c r="DP357" s="280"/>
      <c r="DQ357" s="280"/>
      <c r="DR357" s="280"/>
      <c r="DS357" s="280"/>
      <c r="DT357" s="280"/>
      <c r="DU357" s="280"/>
      <c r="DV357" s="280"/>
      <c r="DW357" s="280"/>
      <c r="DX357" s="280"/>
      <c r="DY357" s="280"/>
      <c r="DZ357" s="280"/>
      <c r="EA357" s="280"/>
      <c r="EB357" s="280"/>
      <c r="EC357" s="280"/>
      <c r="ED357" s="280"/>
      <c r="EE357" s="280"/>
      <c r="EF357" s="280"/>
      <c r="EG357" s="280"/>
      <c r="EH357" s="280"/>
      <c r="EI357" s="280"/>
      <c r="EJ357" s="280"/>
      <c r="EK357" s="280"/>
      <c r="EL357" s="280"/>
      <c r="EM357" s="280"/>
      <c r="EN357" s="280"/>
      <c r="EO357" s="280"/>
      <c r="EP357" s="280"/>
      <c r="EQ357" s="280"/>
      <c r="ER357" s="280"/>
      <c r="ES357" s="280"/>
      <c r="ET357" s="280"/>
      <c r="EU357" s="280"/>
      <c r="EV357" s="280"/>
    </row>
    <row r="358" spans="1:152" s="111" customFormat="1" ht="50.5" customHeight="1" x14ac:dyDescent="0.35">
      <c r="A358" s="873"/>
      <c r="B358" s="876"/>
      <c r="C358" s="879"/>
      <c r="D358" s="855"/>
      <c r="E358" s="858"/>
      <c r="F358" s="858"/>
      <c r="G358" s="858"/>
      <c r="H358" s="855"/>
      <c r="I358" s="858"/>
      <c r="J358" s="858"/>
      <c r="K358" s="858"/>
      <c r="L358" s="858"/>
      <c r="M358" s="858"/>
      <c r="N358" s="858"/>
      <c r="O358" s="858"/>
      <c r="P358" s="858"/>
      <c r="Q358" s="858"/>
      <c r="R358" s="858"/>
      <c r="S358" s="837"/>
      <c r="T358" s="843"/>
      <c r="U358" s="843"/>
      <c r="V358" s="843"/>
      <c r="W358" s="162" t="s">
        <v>76</v>
      </c>
      <c r="X358" s="163" t="s">
        <v>92</v>
      </c>
      <c r="Y358" s="153"/>
      <c r="Z358" s="845"/>
      <c r="AA358" s="835"/>
      <c r="AB358" s="835"/>
      <c r="AC358" s="835"/>
      <c r="AD358" s="835"/>
      <c r="AE358" s="835"/>
      <c r="AF358" s="835"/>
      <c r="AG358" s="835"/>
      <c r="AH358" s="835"/>
      <c r="AI358" s="835"/>
      <c r="AJ358" s="835"/>
      <c r="AK358" s="835"/>
      <c r="AL358" s="835"/>
      <c r="AM358" s="162" t="s">
        <v>100</v>
      </c>
      <c r="AN358" s="162" t="s">
        <v>101</v>
      </c>
      <c r="AO358" s="162" t="s">
        <v>100</v>
      </c>
      <c r="AP358" s="163" t="s">
        <v>101</v>
      </c>
      <c r="AQ358" s="280"/>
      <c r="AR358" s="280"/>
      <c r="AS358" s="280"/>
      <c r="AT358" s="280"/>
      <c r="AU358" s="280"/>
      <c r="AV358" s="280"/>
      <c r="AW358" s="280"/>
      <c r="AX358" s="280"/>
      <c r="AY358" s="280"/>
      <c r="AZ358" s="280"/>
      <c r="BA358" s="280"/>
      <c r="BB358" s="280"/>
      <c r="BC358" s="280"/>
      <c r="BD358" s="280"/>
      <c r="BE358" s="280"/>
      <c r="BF358" s="280"/>
      <c r="BG358" s="280"/>
      <c r="BH358" s="280"/>
      <c r="BI358" s="280"/>
      <c r="BJ358" s="280"/>
      <c r="BK358" s="280"/>
      <c r="BL358" s="280"/>
      <c r="BM358" s="280"/>
      <c r="BN358" s="280"/>
      <c r="BO358" s="280"/>
      <c r="BP358" s="280"/>
      <c r="BQ358" s="280"/>
      <c r="BR358" s="280"/>
      <c r="BS358" s="280"/>
      <c r="BT358" s="280"/>
      <c r="BU358" s="280"/>
      <c r="BV358" s="280"/>
      <c r="BW358" s="280"/>
      <c r="BX358" s="280"/>
      <c r="BY358" s="280"/>
      <c r="BZ358" s="280"/>
      <c r="CA358" s="280"/>
      <c r="CB358" s="280"/>
      <c r="CC358" s="280"/>
      <c r="CD358" s="280"/>
      <c r="CE358" s="280"/>
      <c r="CF358" s="280"/>
      <c r="CG358" s="280"/>
      <c r="CH358" s="280"/>
      <c r="CI358" s="280"/>
      <c r="CJ358" s="280"/>
      <c r="CK358" s="280"/>
      <c r="CL358" s="280"/>
      <c r="CM358" s="280"/>
      <c r="CN358" s="280"/>
      <c r="CO358" s="280"/>
      <c r="CP358" s="280"/>
      <c r="CQ358" s="280"/>
      <c r="CR358" s="280"/>
      <c r="CS358" s="280"/>
      <c r="CT358" s="280"/>
      <c r="CU358" s="280"/>
      <c r="CV358" s="280"/>
      <c r="CW358" s="280"/>
      <c r="CX358" s="280"/>
      <c r="CY358" s="280"/>
      <c r="CZ358" s="280"/>
      <c r="DA358" s="280"/>
      <c r="DB358" s="280"/>
      <c r="DC358" s="280"/>
      <c r="DD358" s="280"/>
      <c r="DE358" s="280"/>
      <c r="DF358" s="280"/>
      <c r="DG358" s="280"/>
      <c r="DH358" s="280"/>
      <c r="DI358" s="280"/>
      <c r="DJ358" s="280"/>
      <c r="DK358" s="280"/>
      <c r="DL358" s="280"/>
      <c r="DM358" s="280"/>
      <c r="DN358" s="280"/>
      <c r="DO358" s="280"/>
      <c r="DP358" s="280"/>
      <c r="DQ358" s="280"/>
      <c r="DR358" s="280"/>
      <c r="DS358" s="280"/>
      <c r="DT358" s="280"/>
      <c r="DU358" s="280"/>
      <c r="DV358" s="280"/>
      <c r="DW358" s="280"/>
      <c r="DX358" s="280"/>
      <c r="DY358" s="280"/>
      <c r="DZ358" s="280"/>
      <c r="EA358" s="280"/>
      <c r="EB358" s="280"/>
      <c r="EC358" s="280"/>
      <c r="ED358" s="280"/>
      <c r="EE358" s="280"/>
      <c r="EF358" s="280"/>
      <c r="EG358" s="280"/>
      <c r="EH358" s="280"/>
      <c r="EI358" s="280"/>
      <c r="EJ358" s="280"/>
      <c r="EK358" s="280"/>
      <c r="EL358" s="280"/>
      <c r="EM358" s="280"/>
      <c r="EN358" s="280"/>
      <c r="EO358" s="280"/>
      <c r="EP358" s="280"/>
      <c r="EQ358" s="280"/>
      <c r="ER358" s="280"/>
      <c r="ES358" s="280"/>
      <c r="ET358" s="280"/>
      <c r="EU358" s="280"/>
      <c r="EV358" s="280"/>
    </row>
    <row r="359" spans="1:152" ht="20.149999999999999" customHeight="1" x14ac:dyDescent="0.35">
      <c r="A359" s="164">
        <v>1</v>
      </c>
      <c r="B359" s="99" t="str">
        <f>PETUNJUK!B9</f>
        <v>Pecangaan Kulon</v>
      </c>
      <c r="C359" s="80">
        <f>'1.DATA KIA'!C349</f>
        <v>101.2</v>
      </c>
      <c r="D359" s="132">
        <f t="shared" ref="D359:D373" si="142">F324</f>
        <v>30</v>
      </c>
      <c r="E359" s="91">
        <f>'1.DATA KIA'!F349</f>
        <v>0</v>
      </c>
      <c r="F359" s="132">
        <f>D359+E359</f>
        <v>30</v>
      </c>
      <c r="G359" s="133">
        <f>F359/C359*100</f>
        <v>29.644268774703558</v>
      </c>
      <c r="H359" s="132">
        <f t="shared" ref="H359:H373" si="143">J324</f>
        <v>29</v>
      </c>
      <c r="I359" s="91">
        <f>'1.DATA KIA'!AB349+'1.DATA KIA'!AE349</f>
        <v>0</v>
      </c>
      <c r="J359" s="132">
        <f>H359+I359</f>
        <v>29</v>
      </c>
      <c r="K359" s="133">
        <f>J359/C359*100</f>
        <v>28.656126482213441</v>
      </c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54"/>
      <c r="Z359" s="168"/>
      <c r="AA359" s="134"/>
      <c r="AB359" s="134"/>
      <c r="AC359" s="134"/>
      <c r="AD359" s="134"/>
      <c r="AE359" s="134"/>
      <c r="AF359" s="134"/>
      <c r="AG359" s="134"/>
      <c r="AH359" s="134"/>
      <c r="AI359" s="134"/>
      <c r="AJ359" s="134"/>
      <c r="AK359" s="134"/>
      <c r="AL359" s="134"/>
      <c r="AM359" s="134"/>
      <c r="AN359" s="134"/>
      <c r="AO359" s="134"/>
      <c r="AP359" s="165"/>
    </row>
    <row r="360" spans="1:152" ht="20.149999999999999" customHeight="1" x14ac:dyDescent="0.35">
      <c r="A360" s="166">
        <v>2</v>
      </c>
      <c r="B360" s="100" t="str">
        <f>PETUNJUK!B10</f>
        <v>Rengging</v>
      </c>
      <c r="C360" s="83">
        <f>'1.DATA KIA'!C350</f>
        <v>111.10000000000001</v>
      </c>
      <c r="D360" s="84">
        <f t="shared" si="142"/>
        <v>54</v>
      </c>
      <c r="E360" s="84">
        <f>'1.DATA KIA'!F350</f>
        <v>0</v>
      </c>
      <c r="F360" s="84">
        <f t="shared" ref="F360:F373" si="144">D360+E360</f>
        <v>54</v>
      </c>
      <c r="G360" s="86">
        <f t="shared" ref="G360:G373" si="145">F360/C360*100</f>
        <v>48.604860486048601</v>
      </c>
      <c r="H360" s="84">
        <f t="shared" si="143"/>
        <v>34</v>
      </c>
      <c r="I360" s="84">
        <f>'1.DATA KIA'!AB350+'1.DATA KIA'!AE350</f>
        <v>0</v>
      </c>
      <c r="J360" s="84">
        <f t="shared" ref="J360:J373" si="146">H360+I360</f>
        <v>34</v>
      </c>
      <c r="K360" s="86">
        <f t="shared" ref="K360:K373" si="147">J360/C360*100</f>
        <v>30.603060306030599</v>
      </c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54"/>
      <c r="Z360" s="168"/>
      <c r="AA360" s="134"/>
      <c r="AB360" s="134"/>
      <c r="AC360" s="134"/>
      <c r="AD360" s="134"/>
      <c r="AE360" s="134"/>
      <c r="AF360" s="134"/>
      <c r="AG360" s="134"/>
      <c r="AH360" s="134"/>
      <c r="AI360" s="134"/>
      <c r="AJ360" s="134"/>
      <c r="AK360" s="134"/>
      <c r="AL360" s="134"/>
      <c r="AM360" s="134"/>
      <c r="AN360" s="134"/>
      <c r="AO360" s="134"/>
      <c r="AP360" s="165"/>
    </row>
    <row r="361" spans="1:152" ht="20.149999999999999" customHeight="1" x14ac:dyDescent="0.35">
      <c r="A361" s="166">
        <v>3</v>
      </c>
      <c r="B361" s="100" t="str">
        <f>PETUNJUK!B11</f>
        <v>Troso</v>
      </c>
      <c r="C361" s="83">
        <f>'1.DATA KIA'!C351</f>
        <v>205.70000000000002</v>
      </c>
      <c r="D361" s="84">
        <f t="shared" si="142"/>
        <v>78</v>
      </c>
      <c r="E361" s="84">
        <f>'1.DATA KIA'!F351</f>
        <v>0</v>
      </c>
      <c r="F361" s="84">
        <f t="shared" si="144"/>
        <v>78</v>
      </c>
      <c r="G361" s="86">
        <f t="shared" si="145"/>
        <v>37.919299951385511</v>
      </c>
      <c r="H361" s="84">
        <f t="shared" si="143"/>
        <v>60</v>
      </c>
      <c r="I361" s="84">
        <f>'1.DATA KIA'!AB351+'1.DATA KIA'!AE351</f>
        <v>0</v>
      </c>
      <c r="J361" s="84">
        <f t="shared" si="146"/>
        <v>60</v>
      </c>
      <c r="K361" s="86">
        <f t="shared" si="147"/>
        <v>29.168692270296546</v>
      </c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54"/>
      <c r="Z361" s="168"/>
      <c r="AA361" s="134"/>
      <c r="AB361" s="134"/>
      <c r="AC361" s="134"/>
      <c r="AD361" s="134"/>
      <c r="AE361" s="134"/>
      <c r="AF361" s="134"/>
      <c r="AG361" s="134"/>
      <c r="AH361" s="134"/>
      <c r="AI361" s="134"/>
      <c r="AJ361" s="134"/>
      <c r="AK361" s="134"/>
      <c r="AL361" s="134"/>
      <c r="AM361" s="134"/>
      <c r="AN361" s="134"/>
      <c r="AO361" s="134"/>
      <c r="AP361" s="165"/>
    </row>
    <row r="362" spans="1:152" ht="20.149999999999999" customHeight="1" x14ac:dyDescent="0.35">
      <c r="A362" s="166">
        <v>4</v>
      </c>
      <c r="B362" s="100" t="str">
        <f>PETUNJUK!B12</f>
        <v>Ngeling</v>
      </c>
      <c r="C362" s="83">
        <f>'1.DATA KIA'!C352</f>
        <v>95.7</v>
      </c>
      <c r="D362" s="84">
        <f t="shared" si="142"/>
        <v>30</v>
      </c>
      <c r="E362" s="84">
        <f>'1.DATA KIA'!F352</f>
        <v>0</v>
      </c>
      <c r="F362" s="84">
        <f t="shared" si="144"/>
        <v>30</v>
      </c>
      <c r="G362" s="86">
        <f t="shared" si="145"/>
        <v>31.347962382445139</v>
      </c>
      <c r="H362" s="84">
        <f t="shared" si="143"/>
        <v>28</v>
      </c>
      <c r="I362" s="84">
        <f>'1.DATA KIA'!AB352+'1.DATA KIA'!AE352</f>
        <v>0</v>
      </c>
      <c r="J362" s="84">
        <f t="shared" si="146"/>
        <v>28</v>
      </c>
      <c r="K362" s="86">
        <f t="shared" si="147"/>
        <v>29.258098223615463</v>
      </c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54"/>
      <c r="Z362" s="168"/>
      <c r="AA362" s="134"/>
      <c r="AB362" s="134"/>
      <c r="AC362" s="134"/>
      <c r="AD362" s="134"/>
      <c r="AE362" s="134"/>
      <c r="AF362" s="134"/>
      <c r="AG362" s="134"/>
      <c r="AH362" s="134"/>
      <c r="AI362" s="134"/>
      <c r="AJ362" s="134"/>
      <c r="AK362" s="134"/>
      <c r="AL362" s="134"/>
      <c r="AM362" s="134"/>
      <c r="AN362" s="134"/>
      <c r="AO362" s="134"/>
      <c r="AP362" s="165"/>
    </row>
    <row r="363" spans="1:152" ht="20.149999999999999" customHeight="1" x14ac:dyDescent="0.35">
      <c r="A363" s="166">
        <v>5</v>
      </c>
      <c r="B363" s="100" t="str">
        <f>PETUNJUK!B13</f>
        <v>Lebuawu</v>
      </c>
      <c r="C363" s="83">
        <f>'1.DATA KIA'!C353</f>
        <v>85.800000000000011</v>
      </c>
      <c r="D363" s="84">
        <f t="shared" si="142"/>
        <v>33</v>
      </c>
      <c r="E363" s="84">
        <f>'1.DATA KIA'!F353</f>
        <v>0</v>
      </c>
      <c r="F363" s="84">
        <f t="shared" si="144"/>
        <v>33</v>
      </c>
      <c r="G363" s="86">
        <f t="shared" si="145"/>
        <v>38.46153846153846</v>
      </c>
      <c r="H363" s="84">
        <f t="shared" si="143"/>
        <v>23</v>
      </c>
      <c r="I363" s="84">
        <f>'1.DATA KIA'!AB353+'1.DATA KIA'!AE353</f>
        <v>0</v>
      </c>
      <c r="J363" s="84">
        <f t="shared" si="146"/>
        <v>23</v>
      </c>
      <c r="K363" s="86">
        <f t="shared" si="147"/>
        <v>26.806526806526804</v>
      </c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54"/>
      <c r="Z363" s="168"/>
      <c r="AA363" s="134"/>
      <c r="AB363" s="134"/>
      <c r="AC363" s="134"/>
      <c r="AD363" s="134"/>
      <c r="AE363" s="134"/>
      <c r="AF363" s="134"/>
      <c r="AG363" s="134"/>
      <c r="AH363" s="134"/>
      <c r="AI363" s="134"/>
      <c r="AJ363" s="134"/>
      <c r="AK363" s="134"/>
      <c r="AL363" s="134"/>
      <c r="AM363" s="134"/>
      <c r="AN363" s="134"/>
      <c r="AO363" s="134"/>
      <c r="AP363" s="165"/>
    </row>
    <row r="364" spans="1:152" ht="20.149999999999999" customHeight="1" x14ac:dyDescent="0.35">
      <c r="A364" s="166">
        <v>6</v>
      </c>
      <c r="B364" s="100" t="str">
        <f>PETUNJUK!B14</f>
        <v>Pulodarat</v>
      </c>
      <c r="C364" s="83">
        <f>'1.DATA KIA'!C354</f>
        <v>82.5</v>
      </c>
      <c r="D364" s="84">
        <f t="shared" si="142"/>
        <v>18</v>
      </c>
      <c r="E364" s="84">
        <f>'1.DATA KIA'!F354</f>
        <v>0</v>
      </c>
      <c r="F364" s="84">
        <f t="shared" si="144"/>
        <v>18</v>
      </c>
      <c r="G364" s="86">
        <f t="shared" si="145"/>
        <v>21.818181818181817</v>
      </c>
      <c r="H364" s="84">
        <f t="shared" si="143"/>
        <v>17</v>
      </c>
      <c r="I364" s="84">
        <f>'1.DATA KIA'!AB354+'1.DATA KIA'!AE354</f>
        <v>0</v>
      </c>
      <c r="J364" s="84">
        <f t="shared" si="146"/>
        <v>17</v>
      </c>
      <c r="K364" s="86">
        <f t="shared" si="147"/>
        <v>20.606060606060606</v>
      </c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54"/>
      <c r="Z364" s="168"/>
      <c r="AA364" s="134"/>
      <c r="AB364" s="134"/>
      <c r="AC364" s="134"/>
      <c r="AD364" s="134"/>
      <c r="AE364" s="134"/>
      <c r="AF364" s="134"/>
      <c r="AG364" s="134"/>
      <c r="AH364" s="134"/>
      <c r="AI364" s="134"/>
      <c r="AJ364" s="134"/>
      <c r="AK364" s="134"/>
      <c r="AL364" s="134"/>
      <c r="AM364" s="134"/>
      <c r="AN364" s="134"/>
      <c r="AO364" s="134"/>
      <c r="AP364" s="165"/>
    </row>
    <row r="365" spans="1:152" ht="20.149999999999999" customHeight="1" x14ac:dyDescent="0.35">
      <c r="A365" s="166">
        <v>7</v>
      </c>
      <c r="B365" s="100" t="str">
        <f>PETUNJUK!B15</f>
        <v>Karangrandu</v>
      </c>
      <c r="C365" s="83">
        <f>'1.DATA KIA'!C355</f>
        <v>93.500000000000014</v>
      </c>
      <c r="D365" s="84">
        <f t="shared" si="142"/>
        <v>31</v>
      </c>
      <c r="E365" s="84">
        <f>'1.DATA KIA'!F355</f>
        <v>0</v>
      </c>
      <c r="F365" s="84">
        <f t="shared" si="144"/>
        <v>31</v>
      </c>
      <c r="G365" s="86">
        <f t="shared" si="145"/>
        <v>33.155080213903737</v>
      </c>
      <c r="H365" s="84">
        <f t="shared" si="143"/>
        <v>27</v>
      </c>
      <c r="I365" s="84">
        <f>'1.DATA KIA'!AB355+'1.DATA KIA'!AE355</f>
        <v>0</v>
      </c>
      <c r="J365" s="84">
        <f t="shared" si="146"/>
        <v>27</v>
      </c>
      <c r="K365" s="86">
        <f t="shared" si="147"/>
        <v>28.877005347593578</v>
      </c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54"/>
      <c r="Z365" s="168"/>
      <c r="AA365" s="134"/>
      <c r="AB365" s="134"/>
      <c r="AC365" s="134"/>
      <c r="AD365" s="134"/>
      <c r="AE365" s="134"/>
      <c r="AF365" s="134"/>
      <c r="AG365" s="134"/>
      <c r="AH365" s="134"/>
      <c r="AI365" s="134"/>
      <c r="AJ365" s="134"/>
      <c r="AK365" s="134"/>
      <c r="AL365" s="134"/>
      <c r="AM365" s="134"/>
      <c r="AN365" s="134"/>
      <c r="AO365" s="134"/>
      <c r="AP365" s="165"/>
    </row>
    <row r="366" spans="1:152" ht="20.149999999999999" customHeight="1" x14ac:dyDescent="0.35">
      <c r="A366" s="166">
        <v>8</v>
      </c>
      <c r="B366" s="100" t="str">
        <f>PETUNJUK!B16</f>
        <v>Kaliombo</v>
      </c>
      <c r="C366" s="83">
        <f>'1.DATA KIA'!C356</f>
        <v>46.2</v>
      </c>
      <c r="D366" s="84">
        <f t="shared" si="142"/>
        <v>13</v>
      </c>
      <c r="E366" s="84">
        <f>'1.DATA KIA'!F356</f>
        <v>0</v>
      </c>
      <c r="F366" s="84">
        <f t="shared" si="144"/>
        <v>13</v>
      </c>
      <c r="G366" s="86">
        <f t="shared" si="145"/>
        <v>28.138528138528134</v>
      </c>
      <c r="H366" s="84">
        <f t="shared" si="143"/>
        <v>13</v>
      </c>
      <c r="I366" s="84">
        <f>'1.DATA KIA'!AB356+'1.DATA KIA'!AE356</f>
        <v>0</v>
      </c>
      <c r="J366" s="84">
        <f t="shared" si="146"/>
        <v>13</v>
      </c>
      <c r="K366" s="86">
        <f t="shared" si="147"/>
        <v>28.138528138528134</v>
      </c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54"/>
      <c r="Z366" s="168"/>
      <c r="AA366" s="134"/>
      <c r="AB366" s="134"/>
      <c r="AC366" s="134"/>
      <c r="AD366" s="134"/>
      <c r="AE366" s="134"/>
      <c r="AF366" s="134"/>
      <c r="AG366" s="134"/>
      <c r="AH366" s="134"/>
      <c r="AI366" s="134"/>
      <c r="AJ366" s="134"/>
      <c r="AK366" s="134"/>
      <c r="AL366" s="134"/>
      <c r="AM366" s="134"/>
      <c r="AN366" s="134"/>
      <c r="AO366" s="134"/>
      <c r="AP366" s="165"/>
    </row>
    <row r="367" spans="1:152" ht="20.149999999999999" customHeight="1" x14ac:dyDescent="0.35">
      <c r="A367" s="166">
        <v>9</v>
      </c>
      <c r="B367" s="100" t="str">
        <f>PETUNJUK!B17</f>
        <v>Gemulung</v>
      </c>
      <c r="C367" s="83">
        <f>'1.DATA KIA'!C357</f>
        <v>53.900000000000006</v>
      </c>
      <c r="D367" s="84">
        <f t="shared" si="142"/>
        <v>19</v>
      </c>
      <c r="E367" s="84">
        <f>'1.DATA KIA'!F357</f>
        <v>0</v>
      </c>
      <c r="F367" s="84">
        <f t="shared" si="144"/>
        <v>19</v>
      </c>
      <c r="G367" s="86">
        <f t="shared" si="145"/>
        <v>35.250463821892389</v>
      </c>
      <c r="H367" s="84">
        <f t="shared" si="143"/>
        <v>20</v>
      </c>
      <c r="I367" s="84">
        <f>'1.DATA KIA'!AB357+'1.DATA KIA'!AE357</f>
        <v>0</v>
      </c>
      <c r="J367" s="84">
        <f t="shared" si="146"/>
        <v>20</v>
      </c>
      <c r="K367" s="86">
        <f t="shared" si="147"/>
        <v>37.105751391465674</v>
      </c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54"/>
      <c r="Z367" s="168"/>
      <c r="AA367" s="134"/>
      <c r="AB367" s="134"/>
      <c r="AC367" s="134"/>
      <c r="AD367" s="134"/>
      <c r="AE367" s="134"/>
      <c r="AF367" s="134"/>
      <c r="AG367" s="134"/>
      <c r="AH367" s="134"/>
      <c r="AI367" s="134"/>
      <c r="AJ367" s="134"/>
      <c r="AK367" s="134"/>
      <c r="AL367" s="134"/>
      <c r="AM367" s="134"/>
      <c r="AN367" s="134"/>
      <c r="AO367" s="134"/>
      <c r="AP367" s="165"/>
    </row>
    <row r="368" spans="1:152" ht="20.149999999999999" customHeight="1" x14ac:dyDescent="0.35">
      <c r="A368" s="166">
        <v>10</v>
      </c>
      <c r="B368" s="100" t="str">
        <f>PETUNJUK!B18</f>
        <v>Pecangaan Wetan</v>
      </c>
      <c r="C368" s="83">
        <f>'1.DATA KIA'!C358</f>
        <v>50.6</v>
      </c>
      <c r="D368" s="84">
        <f t="shared" si="142"/>
        <v>15</v>
      </c>
      <c r="E368" s="84">
        <f>'1.DATA KIA'!F358</f>
        <v>0</v>
      </c>
      <c r="F368" s="84">
        <f t="shared" si="144"/>
        <v>15</v>
      </c>
      <c r="G368" s="86">
        <f t="shared" si="145"/>
        <v>29.644268774703558</v>
      </c>
      <c r="H368" s="84">
        <f t="shared" si="143"/>
        <v>13</v>
      </c>
      <c r="I368" s="84">
        <f>'1.DATA KIA'!AB358+'1.DATA KIA'!AE358</f>
        <v>0</v>
      </c>
      <c r="J368" s="84">
        <f t="shared" si="146"/>
        <v>13</v>
      </c>
      <c r="K368" s="86">
        <f t="shared" si="147"/>
        <v>25.691699604743086</v>
      </c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54"/>
      <c r="Z368" s="168"/>
      <c r="AA368" s="134"/>
      <c r="AB368" s="134"/>
      <c r="AC368" s="134"/>
      <c r="AD368" s="134"/>
      <c r="AE368" s="134"/>
      <c r="AF368" s="134"/>
      <c r="AG368" s="134"/>
      <c r="AH368" s="134"/>
      <c r="AI368" s="134"/>
      <c r="AJ368" s="134"/>
      <c r="AK368" s="134"/>
      <c r="AL368" s="134"/>
      <c r="AM368" s="134"/>
      <c r="AN368" s="134"/>
      <c r="AO368" s="134"/>
      <c r="AP368" s="165"/>
    </row>
    <row r="369" spans="1:42" ht="20.149999999999999" customHeight="1" x14ac:dyDescent="0.35">
      <c r="A369" s="166">
        <v>11</v>
      </c>
      <c r="B369" s="100" t="str">
        <f>PETUNJUK!B19</f>
        <v>Krasak</v>
      </c>
      <c r="C369" s="83">
        <f>'1.DATA KIA'!C359</f>
        <v>117.7</v>
      </c>
      <c r="D369" s="84">
        <f t="shared" si="142"/>
        <v>45</v>
      </c>
      <c r="E369" s="84">
        <f>'1.DATA KIA'!F359</f>
        <v>0</v>
      </c>
      <c r="F369" s="84">
        <f t="shared" si="144"/>
        <v>45</v>
      </c>
      <c r="G369" s="86">
        <f t="shared" si="145"/>
        <v>38.232795242141037</v>
      </c>
      <c r="H369" s="84">
        <f t="shared" si="143"/>
        <v>29</v>
      </c>
      <c r="I369" s="84">
        <f>'1.DATA KIA'!AB359+'1.DATA KIA'!AE359</f>
        <v>0</v>
      </c>
      <c r="J369" s="84">
        <f t="shared" si="146"/>
        <v>29</v>
      </c>
      <c r="K369" s="86">
        <f t="shared" si="147"/>
        <v>24.638912489379777</v>
      </c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54"/>
      <c r="Z369" s="168"/>
      <c r="AA369" s="134"/>
      <c r="AB369" s="134"/>
      <c r="AC369" s="134"/>
      <c r="AD369" s="134"/>
      <c r="AE369" s="134"/>
      <c r="AF369" s="134"/>
      <c r="AG369" s="134"/>
      <c r="AH369" s="134"/>
      <c r="AI369" s="134"/>
      <c r="AJ369" s="134"/>
      <c r="AK369" s="134"/>
      <c r="AL369" s="134"/>
      <c r="AM369" s="134"/>
      <c r="AN369" s="134"/>
      <c r="AO369" s="134"/>
      <c r="AP369" s="165"/>
    </row>
    <row r="370" spans="1:42" ht="20.149999999999999" customHeight="1" x14ac:dyDescent="0.35">
      <c r="A370" s="166">
        <v>12</v>
      </c>
      <c r="B370" s="100" t="str">
        <f>PETUNJUK!B20</f>
        <v>Gerdu</v>
      </c>
      <c r="C370" s="83">
        <f>'1.DATA KIA'!C360</f>
        <v>23.1</v>
      </c>
      <c r="D370" s="84">
        <f t="shared" si="142"/>
        <v>8</v>
      </c>
      <c r="E370" s="84">
        <f>'1.DATA KIA'!F360</f>
        <v>0</v>
      </c>
      <c r="F370" s="84">
        <f t="shared" si="144"/>
        <v>8</v>
      </c>
      <c r="G370" s="86">
        <f t="shared" si="145"/>
        <v>34.632034632034632</v>
      </c>
      <c r="H370" s="84">
        <f t="shared" si="143"/>
        <v>5</v>
      </c>
      <c r="I370" s="84">
        <f>'1.DATA KIA'!AB360+'1.DATA KIA'!AE360</f>
        <v>0</v>
      </c>
      <c r="J370" s="84">
        <f t="shared" si="146"/>
        <v>5</v>
      </c>
      <c r="K370" s="86">
        <f t="shared" si="147"/>
        <v>21.645021645021643</v>
      </c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54"/>
      <c r="Z370" s="168"/>
      <c r="AA370" s="134"/>
      <c r="AB370" s="134"/>
      <c r="AC370" s="134"/>
      <c r="AD370" s="134"/>
      <c r="AE370" s="134"/>
      <c r="AF370" s="134"/>
      <c r="AG370" s="134"/>
      <c r="AH370" s="134"/>
      <c r="AI370" s="134"/>
      <c r="AJ370" s="134"/>
      <c r="AK370" s="134"/>
      <c r="AL370" s="134"/>
      <c r="AM370" s="134"/>
      <c r="AN370" s="134"/>
      <c r="AO370" s="134"/>
      <c r="AP370" s="165"/>
    </row>
    <row r="371" spans="1:42" ht="20.149999999999999" customHeight="1" x14ac:dyDescent="0.35">
      <c r="A371" s="166">
        <v>13</v>
      </c>
      <c r="B371" s="100">
        <f>PETUNJUK!B21</f>
        <v>0</v>
      </c>
      <c r="C371" s="83">
        <f>'1.DATA KIA'!C361</f>
        <v>0</v>
      </c>
      <c r="D371" s="84">
        <f t="shared" si="142"/>
        <v>0</v>
      </c>
      <c r="E371" s="84">
        <f>'1.DATA KIA'!F361</f>
        <v>0</v>
      </c>
      <c r="F371" s="84">
        <f t="shared" si="144"/>
        <v>0</v>
      </c>
      <c r="G371" s="86" t="e">
        <f t="shared" si="145"/>
        <v>#DIV/0!</v>
      </c>
      <c r="H371" s="84">
        <f t="shared" si="143"/>
        <v>0</v>
      </c>
      <c r="I371" s="84">
        <f>'1.DATA KIA'!AB361+'1.DATA KIA'!AE361</f>
        <v>0</v>
      </c>
      <c r="J371" s="84">
        <f t="shared" si="146"/>
        <v>0</v>
      </c>
      <c r="K371" s="86" t="e">
        <f t="shared" si="147"/>
        <v>#DIV/0!</v>
      </c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54"/>
      <c r="Z371" s="168"/>
      <c r="AA371" s="134"/>
      <c r="AB371" s="134"/>
      <c r="AC371" s="134"/>
      <c r="AD371" s="134"/>
      <c r="AE371" s="134"/>
      <c r="AF371" s="134"/>
      <c r="AG371" s="134"/>
      <c r="AH371" s="134"/>
      <c r="AI371" s="134"/>
      <c r="AJ371" s="134"/>
      <c r="AK371" s="134"/>
      <c r="AL371" s="134"/>
      <c r="AM371" s="134"/>
      <c r="AN371" s="134"/>
      <c r="AO371" s="134"/>
      <c r="AP371" s="165"/>
    </row>
    <row r="372" spans="1:42" ht="20.149999999999999" customHeight="1" x14ac:dyDescent="0.35">
      <c r="A372" s="166">
        <v>14</v>
      </c>
      <c r="B372" s="100">
        <f>PETUNJUK!B22</f>
        <v>0</v>
      </c>
      <c r="C372" s="83">
        <f>'1.DATA KIA'!C362</f>
        <v>0</v>
      </c>
      <c r="D372" s="84">
        <f t="shared" si="142"/>
        <v>0</v>
      </c>
      <c r="E372" s="84">
        <f>'1.DATA KIA'!F362</f>
        <v>0</v>
      </c>
      <c r="F372" s="84">
        <f t="shared" si="144"/>
        <v>0</v>
      </c>
      <c r="G372" s="86" t="e">
        <f t="shared" si="145"/>
        <v>#DIV/0!</v>
      </c>
      <c r="H372" s="84">
        <f t="shared" si="143"/>
        <v>0</v>
      </c>
      <c r="I372" s="84">
        <f>'1.DATA KIA'!AB362+'1.DATA KIA'!AE362</f>
        <v>0</v>
      </c>
      <c r="J372" s="84">
        <f t="shared" si="146"/>
        <v>0</v>
      </c>
      <c r="K372" s="86" t="e">
        <f t="shared" si="147"/>
        <v>#DIV/0!</v>
      </c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54"/>
      <c r="Z372" s="168"/>
      <c r="AA372" s="134"/>
      <c r="AB372" s="134"/>
      <c r="AC372" s="134"/>
      <c r="AD372" s="134"/>
      <c r="AE372" s="134"/>
      <c r="AF372" s="134"/>
      <c r="AG372" s="134"/>
      <c r="AH372" s="134"/>
      <c r="AI372" s="134"/>
      <c r="AJ372" s="134"/>
      <c r="AK372" s="134"/>
      <c r="AL372" s="134"/>
      <c r="AM372" s="134"/>
      <c r="AN372" s="134"/>
      <c r="AO372" s="134"/>
      <c r="AP372" s="165"/>
    </row>
    <row r="373" spans="1:42" ht="20.149999999999999" customHeight="1" x14ac:dyDescent="0.35">
      <c r="A373" s="166">
        <v>15</v>
      </c>
      <c r="B373" s="100">
        <f>PETUNJUK!B23</f>
        <v>0</v>
      </c>
      <c r="C373" s="83">
        <f>'1.DATA KIA'!C363</f>
        <v>0</v>
      </c>
      <c r="D373" s="84">
        <f t="shared" si="142"/>
        <v>0</v>
      </c>
      <c r="E373" s="84">
        <f>'1.DATA KIA'!F363</f>
        <v>0</v>
      </c>
      <c r="F373" s="84">
        <f t="shared" si="144"/>
        <v>0</v>
      </c>
      <c r="G373" s="86" t="e">
        <f t="shared" si="145"/>
        <v>#DIV/0!</v>
      </c>
      <c r="H373" s="84">
        <f t="shared" si="143"/>
        <v>0</v>
      </c>
      <c r="I373" s="84">
        <f>'1.DATA KIA'!AB363+'1.DATA KIA'!AE363</f>
        <v>0</v>
      </c>
      <c r="J373" s="84">
        <f t="shared" si="146"/>
        <v>0</v>
      </c>
      <c r="K373" s="86" t="e">
        <f t="shared" si="147"/>
        <v>#DIV/0!</v>
      </c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54"/>
      <c r="Z373" s="168"/>
      <c r="AA373" s="134"/>
      <c r="AB373" s="134"/>
      <c r="AC373" s="134"/>
      <c r="AD373" s="134"/>
      <c r="AE373" s="134"/>
      <c r="AF373" s="134"/>
      <c r="AG373" s="134"/>
      <c r="AH373" s="134"/>
      <c r="AI373" s="134"/>
      <c r="AJ373" s="134"/>
      <c r="AK373" s="134"/>
      <c r="AL373" s="134"/>
      <c r="AM373" s="134"/>
      <c r="AN373" s="134"/>
      <c r="AO373" s="134"/>
      <c r="AP373" s="165"/>
    </row>
    <row r="374" spans="1:42" ht="20.149999999999999" customHeight="1" x14ac:dyDescent="0.35">
      <c r="A374" s="166">
        <v>16</v>
      </c>
      <c r="B374" s="100">
        <f>PETUNJUK!B24</f>
        <v>0</v>
      </c>
      <c r="C374" s="83">
        <f>'1.DATA KIA'!C364</f>
        <v>0</v>
      </c>
      <c r="D374" s="84">
        <f t="shared" ref="D374:D380" si="148">F339</f>
        <v>0</v>
      </c>
      <c r="E374" s="84">
        <f>'1.DATA KIA'!F364</f>
        <v>0</v>
      </c>
      <c r="F374" s="84">
        <f t="shared" ref="F374:F380" si="149">D374+E374</f>
        <v>0</v>
      </c>
      <c r="G374" s="86" t="e">
        <f t="shared" ref="G374:G381" si="150">F374/C374*100</f>
        <v>#DIV/0!</v>
      </c>
      <c r="H374" s="84">
        <f t="shared" ref="H374:H380" si="151">J339</f>
        <v>0</v>
      </c>
      <c r="I374" s="84">
        <f>'1.DATA KIA'!AB364+'1.DATA KIA'!AE364</f>
        <v>0</v>
      </c>
      <c r="J374" s="84">
        <f t="shared" ref="J374:J380" si="152">H374+I374</f>
        <v>0</v>
      </c>
      <c r="K374" s="86" t="e">
        <f t="shared" ref="K374:K379" si="153">J374/C374*100</f>
        <v>#DIV/0!</v>
      </c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54"/>
      <c r="Z374" s="168"/>
      <c r="AA374" s="134"/>
      <c r="AB374" s="134"/>
      <c r="AC374" s="134"/>
      <c r="AD374" s="134"/>
      <c r="AE374" s="134"/>
      <c r="AF374" s="134"/>
      <c r="AG374" s="134"/>
      <c r="AH374" s="134"/>
      <c r="AI374" s="134"/>
      <c r="AJ374" s="134"/>
      <c r="AK374" s="134"/>
      <c r="AL374" s="134"/>
      <c r="AM374" s="134"/>
      <c r="AN374" s="134"/>
      <c r="AO374" s="134"/>
      <c r="AP374" s="165"/>
    </row>
    <row r="375" spans="1:42" ht="20.149999999999999" customHeight="1" x14ac:dyDescent="0.35">
      <c r="A375" s="166">
        <v>17</v>
      </c>
      <c r="B375" s="100">
        <f>PETUNJUK!B25</f>
        <v>0</v>
      </c>
      <c r="C375" s="83">
        <f>'1.DATA KIA'!C365</f>
        <v>0</v>
      </c>
      <c r="D375" s="84">
        <f t="shared" si="148"/>
        <v>0</v>
      </c>
      <c r="E375" s="84">
        <f>'1.DATA KIA'!F365</f>
        <v>0</v>
      </c>
      <c r="F375" s="84">
        <f t="shared" si="149"/>
        <v>0</v>
      </c>
      <c r="G375" s="86" t="e">
        <f t="shared" si="150"/>
        <v>#DIV/0!</v>
      </c>
      <c r="H375" s="84">
        <f t="shared" si="151"/>
        <v>0</v>
      </c>
      <c r="I375" s="84">
        <f>'1.DATA KIA'!AB365+'1.DATA KIA'!AE365</f>
        <v>0</v>
      </c>
      <c r="J375" s="84">
        <f t="shared" si="152"/>
        <v>0</v>
      </c>
      <c r="K375" s="86" t="e">
        <f t="shared" si="153"/>
        <v>#DIV/0!</v>
      </c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54"/>
      <c r="Z375" s="168"/>
      <c r="AA375" s="134"/>
      <c r="AB375" s="134"/>
      <c r="AC375" s="134"/>
      <c r="AD375" s="134"/>
      <c r="AE375" s="134"/>
      <c r="AF375" s="134"/>
      <c r="AG375" s="134"/>
      <c r="AH375" s="134"/>
      <c r="AI375" s="134"/>
      <c r="AJ375" s="134"/>
      <c r="AK375" s="134"/>
      <c r="AL375" s="134"/>
      <c r="AM375" s="134"/>
      <c r="AN375" s="134"/>
      <c r="AO375" s="134"/>
      <c r="AP375" s="165"/>
    </row>
    <row r="376" spans="1:42" ht="20.149999999999999" customHeight="1" x14ac:dyDescent="0.35">
      <c r="A376" s="166">
        <v>18</v>
      </c>
      <c r="B376" s="100">
        <f>PETUNJUK!B26</f>
        <v>0</v>
      </c>
      <c r="C376" s="83">
        <f>'1.DATA KIA'!C366</f>
        <v>0</v>
      </c>
      <c r="D376" s="84">
        <f t="shared" si="148"/>
        <v>0</v>
      </c>
      <c r="E376" s="84">
        <f>'1.DATA KIA'!F366</f>
        <v>0</v>
      </c>
      <c r="F376" s="84">
        <f t="shared" si="149"/>
        <v>0</v>
      </c>
      <c r="G376" s="86" t="e">
        <f t="shared" si="150"/>
        <v>#DIV/0!</v>
      </c>
      <c r="H376" s="84">
        <f t="shared" si="151"/>
        <v>0</v>
      </c>
      <c r="I376" s="84">
        <f>'1.DATA KIA'!AB366+'1.DATA KIA'!AE366</f>
        <v>0</v>
      </c>
      <c r="J376" s="84">
        <f t="shared" si="152"/>
        <v>0</v>
      </c>
      <c r="K376" s="86" t="e">
        <f t="shared" si="153"/>
        <v>#DIV/0!</v>
      </c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54"/>
      <c r="Z376" s="168"/>
      <c r="AA376" s="134"/>
      <c r="AB376" s="134"/>
      <c r="AC376" s="134"/>
      <c r="AD376" s="134"/>
      <c r="AE376" s="134"/>
      <c r="AF376" s="134"/>
      <c r="AG376" s="134"/>
      <c r="AH376" s="134"/>
      <c r="AI376" s="134"/>
      <c r="AJ376" s="134"/>
      <c r="AK376" s="134"/>
      <c r="AL376" s="134"/>
      <c r="AM376" s="134"/>
      <c r="AN376" s="134"/>
      <c r="AO376" s="134"/>
      <c r="AP376" s="165"/>
    </row>
    <row r="377" spans="1:42" ht="20.149999999999999" customHeight="1" x14ac:dyDescent="0.35">
      <c r="A377" s="166">
        <v>19</v>
      </c>
      <c r="B377" s="100">
        <f>PETUNJUK!B27</f>
        <v>0</v>
      </c>
      <c r="C377" s="83">
        <f>'1.DATA KIA'!C367</f>
        <v>0</v>
      </c>
      <c r="D377" s="84">
        <f t="shared" si="148"/>
        <v>0</v>
      </c>
      <c r="E377" s="84">
        <f>'1.DATA KIA'!F367</f>
        <v>0</v>
      </c>
      <c r="F377" s="84">
        <f t="shared" si="149"/>
        <v>0</v>
      </c>
      <c r="G377" s="86" t="e">
        <f t="shared" si="150"/>
        <v>#DIV/0!</v>
      </c>
      <c r="H377" s="84">
        <f t="shared" si="151"/>
        <v>0</v>
      </c>
      <c r="I377" s="84">
        <f>'1.DATA KIA'!AB367+'1.DATA KIA'!AE367</f>
        <v>0</v>
      </c>
      <c r="J377" s="84">
        <f t="shared" si="152"/>
        <v>0</v>
      </c>
      <c r="K377" s="86" t="e">
        <f t="shared" si="153"/>
        <v>#DIV/0!</v>
      </c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54"/>
      <c r="Z377" s="168"/>
      <c r="AA377" s="134"/>
      <c r="AB377" s="134"/>
      <c r="AC377" s="134"/>
      <c r="AD377" s="134"/>
      <c r="AE377" s="134"/>
      <c r="AF377" s="134"/>
      <c r="AG377" s="134"/>
      <c r="AH377" s="134"/>
      <c r="AI377" s="134"/>
      <c r="AJ377" s="134"/>
      <c r="AK377" s="134"/>
      <c r="AL377" s="134"/>
      <c r="AM377" s="134"/>
      <c r="AN377" s="134"/>
      <c r="AO377" s="134"/>
      <c r="AP377" s="165"/>
    </row>
    <row r="378" spans="1:42" ht="20.149999999999999" customHeight="1" x14ac:dyDescent="0.35">
      <c r="A378" s="166">
        <v>20</v>
      </c>
      <c r="B378" s="100">
        <f>PETUNJUK!B28</f>
        <v>0</v>
      </c>
      <c r="C378" s="83">
        <f>'1.DATA KIA'!C368</f>
        <v>0</v>
      </c>
      <c r="D378" s="84">
        <f t="shared" si="148"/>
        <v>0</v>
      </c>
      <c r="E378" s="84">
        <f>'1.DATA KIA'!F368</f>
        <v>0</v>
      </c>
      <c r="F378" s="84">
        <f t="shared" si="149"/>
        <v>0</v>
      </c>
      <c r="G378" s="86" t="e">
        <f t="shared" si="150"/>
        <v>#DIV/0!</v>
      </c>
      <c r="H378" s="84">
        <f t="shared" si="151"/>
        <v>0</v>
      </c>
      <c r="I378" s="84">
        <f>'1.DATA KIA'!AB368+'1.DATA KIA'!AE368</f>
        <v>0</v>
      </c>
      <c r="J378" s="84">
        <f t="shared" si="152"/>
        <v>0</v>
      </c>
      <c r="K378" s="86" t="e">
        <f t="shared" si="153"/>
        <v>#DIV/0!</v>
      </c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54"/>
      <c r="Z378" s="168"/>
      <c r="AA378" s="134"/>
      <c r="AB378" s="134"/>
      <c r="AC378" s="134"/>
      <c r="AD378" s="134"/>
      <c r="AE378" s="134"/>
      <c r="AF378" s="134"/>
      <c r="AG378" s="134"/>
      <c r="AH378" s="134"/>
      <c r="AI378" s="134"/>
      <c r="AJ378" s="134"/>
      <c r="AK378" s="134"/>
      <c r="AL378" s="134"/>
      <c r="AM378" s="134"/>
      <c r="AN378" s="134"/>
      <c r="AO378" s="134"/>
      <c r="AP378" s="165"/>
    </row>
    <row r="379" spans="1:42" ht="20.149999999999999" customHeight="1" x14ac:dyDescent="0.35">
      <c r="A379" s="166">
        <v>21</v>
      </c>
      <c r="B379" s="100">
        <f>PETUNJUK!B29</f>
        <v>0</v>
      </c>
      <c r="C379" s="83">
        <f>'1.DATA KIA'!C369</f>
        <v>0</v>
      </c>
      <c r="D379" s="84">
        <f t="shared" si="148"/>
        <v>0</v>
      </c>
      <c r="E379" s="84">
        <f>'1.DATA KIA'!F369</f>
        <v>0</v>
      </c>
      <c r="F379" s="84">
        <f t="shared" si="149"/>
        <v>0</v>
      </c>
      <c r="G379" s="86" t="e">
        <f t="shared" si="150"/>
        <v>#DIV/0!</v>
      </c>
      <c r="H379" s="84">
        <f t="shared" si="151"/>
        <v>0</v>
      </c>
      <c r="I379" s="84">
        <f>'1.DATA KIA'!AB369+'1.DATA KIA'!AE369</f>
        <v>0</v>
      </c>
      <c r="J379" s="84">
        <f t="shared" si="152"/>
        <v>0</v>
      </c>
      <c r="K379" s="86" t="e">
        <f t="shared" si="153"/>
        <v>#DIV/0!</v>
      </c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54"/>
      <c r="Z379" s="168"/>
      <c r="AA379" s="134"/>
      <c r="AB379" s="134"/>
      <c r="AC379" s="134"/>
      <c r="AD379" s="134"/>
      <c r="AE379" s="134"/>
      <c r="AF379" s="134"/>
      <c r="AG379" s="134"/>
      <c r="AH379" s="134"/>
      <c r="AI379" s="134"/>
      <c r="AJ379" s="134"/>
      <c r="AK379" s="134"/>
      <c r="AL379" s="134"/>
      <c r="AM379" s="134"/>
      <c r="AN379" s="134"/>
      <c r="AO379" s="134"/>
      <c r="AP379" s="165"/>
    </row>
    <row r="380" spans="1:42" ht="20.149999999999999" customHeight="1" thickBot="1" x14ac:dyDescent="0.4">
      <c r="A380" s="167">
        <v>22</v>
      </c>
      <c r="B380" s="114">
        <f>PETUNJUK!B30</f>
        <v>0</v>
      </c>
      <c r="C380" s="115">
        <f>'1.DATA KIA'!C370</f>
        <v>0</v>
      </c>
      <c r="D380" s="95">
        <f t="shared" si="148"/>
        <v>0</v>
      </c>
      <c r="E380" s="95">
        <f>'1.DATA KIA'!F370</f>
        <v>0</v>
      </c>
      <c r="F380" s="95">
        <f t="shared" si="149"/>
        <v>0</v>
      </c>
      <c r="G380" s="94" t="e">
        <f t="shared" si="150"/>
        <v>#DIV/0!</v>
      </c>
      <c r="H380" s="95">
        <f t="shared" si="151"/>
        <v>0</v>
      </c>
      <c r="I380" s="95">
        <f>'1.DATA KIA'!AB370+'1.DATA KIA'!AE370</f>
        <v>0</v>
      </c>
      <c r="J380" s="95">
        <f t="shared" si="152"/>
        <v>0</v>
      </c>
      <c r="K380" s="94" t="e">
        <f>J380/C380*100</f>
        <v>#DIV/0!</v>
      </c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54"/>
      <c r="Z380" s="168"/>
      <c r="AA380" s="134"/>
      <c r="AB380" s="134"/>
      <c r="AC380" s="134"/>
      <c r="AD380" s="134"/>
      <c r="AE380" s="134"/>
      <c r="AF380" s="134"/>
      <c r="AG380" s="134"/>
      <c r="AH380" s="134"/>
      <c r="AI380" s="134"/>
      <c r="AJ380" s="134"/>
      <c r="AK380" s="134"/>
      <c r="AL380" s="134"/>
      <c r="AM380" s="134"/>
      <c r="AN380" s="134"/>
      <c r="AO380" s="134"/>
      <c r="AP380" s="165"/>
    </row>
    <row r="381" spans="1:42" ht="26.25" customHeight="1" thickBot="1" x14ac:dyDescent="0.4">
      <c r="A381" s="881" t="s">
        <v>18</v>
      </c>
      <c r="B381" s="882"/>
      <c r="C381" s="116">
        <f>SUM(C359:C380)</f>
        <v>1067</v>
      </c>
      <c r="D381" s="118">
        <f>SUM(D359:D380)</f>
        <v>374</v>
      </c>
      <c r="E381" s="118">
        <f>SUM(E359:E380)</f>
        <v>0</v>
      </c>
      <c r="F381" s="118">
        <f>SUM(F359:F380)</f>
        <v>374</v>
      </c>
      <c r="G381" s="117">
        <f t="shared" si="150"/>
        <v>35.051546391752574</v>
      </c>
      <c r="H381" s="118">
        <f>SUM(H359:H380)</f>
        <v>298</v>
      </c>
      <c r="I381" s="118">
        <f>SUM(I359:I380)</f>
        <v>0</v>
      </c>
      <c r="J381" s="118">
        <f>SUM(J359:J380)</f>
        <v>298</v>
      </c>
      <c r="K381" s="117">
        <f>J381/C381*100</f>
        <v>27.928772258669166</v>
      </c>
      <c r="L381" s="121">
        <f t="shared" ref="L381:X381" si="154">SUM(L359:L380)</f>
        <v>0</v>
      </c>
      <c r="M381" s="121">
        <f t="shared" si="154"/>
        <v>0</v>
      </c>
      <c r="N381" s="121">
        <f t="shared" si="154"/>
        <v>0</v>
      </c>
      <c r="O381" s="121">
        <f t="shared" si="154"/>
        <v>0</v>
      </c>
      <c r="P381" s="121">
        <f t="shared" si="154"/>
        <v>0</v>
      </c>
      <c r="Q381" s="121">
        <f t="shared" si="154"/>
        <v>0</v>
      </c>
      <c r="R381" s="121">
        <f t="shared" si="154"/>
        <v>0</v>
      </c>
      <c r="S381" s="121">
        <f t="shared" si="154"/>
        <v>0</v>
      </c>
      <c r="T381" s="121">
        <f t="shared" si="154"/>
        <v>0</v>
      </c>
      <c r="U381" s="121">
        <f t="shared" si="154"/>
        <v>0</v>
      </c>
      <c r="V381" s="121">
        <f t="shared" si="154"/>
        <v>0</v>
      </c>
      <c r="W381" s="121">
        <f t="shared" si="154"/>
        <v>0</v>
      </c>
      <c r="X381" s="122">
        <f t="shared" si="154"/>
        <v>0</v>
      </c>
      <c r="Y381" s="159"/>
      <c r="Z381" s="189">
        <f t="shared" ref="Z381:AP381" si="155">SUM(Z359:Z380)</f>
        <v>0</v>
      </c>
      <c r="AA381" s="121">
        <f t="shared" si="155"/>
        <v>0</v>
      </c>
      <c r="AB381" s="121">
        <f t="shared" si="155"/>
        <v>0</v>
      </c>
      <c r="AC381" s="121">
        <f t="shared" si="155"/>
        <v>0</v>
      </c>
      <c r="AD381" s="121">
        <f t="shared" si="155"/>
        <v>0</v>
      </c>
      <c r="AE381" s="121">
        <f t="shared" si="155"/>
        <v>0</v>
      </c>
      <c r="AF381" s="121">
        <f t="shared" si="155"/>
        <v>0</v>
      </c>
      <c r="AG381" s="121">
        <f t="shared" si="155"/>
        <v>0</v>
      </c>
      <c r="AH381" s="121">
        <f t="shared" si="155"/>
        <v>0</v>
      </c>
      <c r="AI381" s="121">
        <f t="shared" si="155"/>
        <v>0</v>
      </c>
      <c r="AJ381" s="121">
        <f t="shared" si="155"/>
        <v>0</v>
      </c>
      <c r="AK381" s="121">
        <f t="shared" si="155"/>
        <v>0</v>
      </c>
      <c r="AL381" s="121">
        <f t="shared" si="155"/>
        <v>0</v>
      </c>
      <c r="AM381" s="121">
        <f t="shared" si="155"/>
        <v>0</v>
      </c>
      <c r="AN381" s="121">
        <f t="shared" si="155"/>
        <v>0</v>
      </c>
      <c r="AO381" s="121">
        <f t="shared" si="155"/>
        <v>0</v>
      </c>
      <c r="AP381" s="122">
        <f t="shared" si="155"/>
        <v>0</v>
      </c>
    </row>
    <row r="382" spans="1:42" ht="15.5" x14ac:dyDescent="0.35">
      <c r="A382" s="140"/>
      <c r="B382" s="140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56"/>
      <c r="Z382" s="102"/>
      <c r="AA382" s="102"/>
      <c r="AB382" s="102"/>
      <c r="AC382" s="102"/>
      <c r="AD382" s="102"/>
      <c r="AE382" s="102"/>
      <c r="AF382" s="102"/>
      <c r="AG382" s="102"/>
      <c r="AH382" s="102"/>
      <c r="AI382" s="102"/>
      <c r="AJ382" s="102"/>
      <c r="AK382" s="102"/>
      <c r="AL382" s="102"/>
      <c r="AM382" s="102"/>
      <c r="AN382" s="102"/>
      <c r="AO382" s="102"/>
      <c r="AP382" s="102"/>
    </row>
    <row r="383" spans="1:42" ht="15.5" x14ac:dyDescent="0.35">
      <c r="A383" s="140"/>
      <c r="B383" s="140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56"/>
      <c r="Z383" s="102"/>
      <c r="AA383" s="102"/>
      <c r="AB383" s="102"/>
      <c r="AC383" s="102"/>
      <c r="AD383" s="102"/>
      <c r="AE383" s="102"/>
      <c r="AF383" s="102"/>
      <c r="AG383" s="102"/>
      <c r="AH383" s="102"/>
      <c r="AI383" s="102"/>
      <c r="AJ383" s="102"/>
      <c r="AK383" s="102"/>
      <c r="AL383" s="102"/>
      <c r="AM383" s="102"/>
      <c r="AN383" s="102"/>
      <c r="AO383" s="102"/>
      <c r="AP383" s="102"/>
    </row>
    <row r="384" spans="1:42" ht="15.5" x14ac:dyDescent="0.35">
      <c r="A384" s="140"/>
      <c r="B384" s="140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56"/>
      <c r="Z384" s="102"/>
      <c r="AA384" s="102"/>
      <c r="AB384" s="102"/>
      <c r="AC384" s="102"/>
      <c r="AD384" s="102"/>
      <c r="AE384" s="102"/>
      <c r="AF384" s="102"/>
      <c r="AG384" s="102"/>
      <c r="AH384" s="102"/>
      <c r="AI384" s="102"/>
      <c r="AJ384" s="102"/>
      <c r="AK384" s="102"/>
      <c r="AL384" s="102"/>
      <c r="AM384" s="102"/>
      <c r="AN384" s="102"/>
      <c r="AO384" s="102"/>
      <c r="AP384" s="102"/>
    </row>
    <row r="385" spans="1:42" ht="15.5" x14ac:dyDescent="0.35">
      <c r="A385" s="140"/>
      <c r="B385" s="140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56"/>
      <c r="Z385" s="102"/>
      <c r="AA385" s="102"/>
      <c r="AB385" s="102"/>
      <c r="AC385" s="102"/>
      <c r="AD385" s="102"/>
      <c r="AE385" s="102"/>
      <c r="AF385" s="102"/>
      <c r="AG385" s="102"/>
      <c r="AH385" s="102"/>
      <c r="AI385" s="102"/>
      <c r="AJ385" s="102"/>
      <c r="AK385" s="102"/>
      <c r="AL385" s="102"/>
      <c r="AM385" s="102"/>
      <c r="AN385" s="102"/>
      <c r="AO385" s="102"/>
      <c r="AP385" s="102"/>
    </row>
    <row r="386" spans="1:42" ht="15.5" x14ac:dyDescent="0.35">
      <c r="A386" s="137"/>
      <c r="B386" s="138"/>
      <c r="C386" s="76" t="s">
        <v>64</v>
      </c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101"/>
      <c r="T386" s="101"/>
      <c r="U386" s="101"/>
      <c r="V386" s="101"/>
      <c r="W386" s="101"/>
      <c r="X386" s="101"/>
      <c r="Y386" s="151"/>
      <c r="Z386" s="101"/>
      <c r="AA386" s="101"/>
      <c r="AB386" s="101"/>
      <c r="AC386" s="101"/>
      <c r="AD386" s="101"/>
      <c r="AE386" s="101"/>
      <c r="AF386" s="101"/>
      <c r="AG386" s="101"/>
      <c r="AH386" s="101"/>
      <c r="AI386" s="101"/>
      <c r="AJ386" s="101"/>
      <c r="AK386" s="101"/>
      <c r="AL386" s="101"/>
      <c r="AM386" s="101"/>
      <c r="AN386" s="101"/>
      <c r="AO386" s="101"/>
      <c r="AP386" s="101"/>
    </row>
    <row r="387" spans="1:42" ht="15.5" x14ac:dyDescent="0.35">
      <c r="A387" s="137"/>
      <c r="B387" s="98"/>
      <c r="C387" s="103" t="s">
        <v>197</v>
      </c>
      <c r="D387" s="78"/>
      <c r="E387" s="79" t="str">
        <f>PETUNJUK!C5</f>
        <v>PECANGAAN</v>
      </c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101"/>
      <c r="T387" s="101"/>
      <c r="U387" s="101"/>
      <c r="V387" s="101" t="s">
        <v>199</v>
      </c>
      <c r="W387" s="101"/>
      <c r="X387" s="101"/>
      <c r="Y387" s="151"/>
      <c r="Z387" s="101"/>
      <c r="AA387" s="101"/>
      <c r="AB387" s="101"/>
      <c r="AC387" s="101"/>
      <c r="AD387" s="101"/>
      <c r="AE387" s="101"/>
      <c r="AF387" s="101"/>
      <c r="AG387" s="101"/>
      <c r="AH387" s="101"/>
      <c r="AI387" s="101"/>
      <c r="AJ387" s="101"/>
      <c r="AK387" s="101"/>
      <c r="AL387" s="101"/>
      <c r="AM387" s="101"/>
      <c r="AN387" s="101"/>
      <c r="AO387" s="101" t="s">
        <v>200</v>
      </c>
      <c r="AP387" s="101"/>
    </row>
    <row r="388" spans="1:42" ht="15.5" x14ac:dyDescent="0.35">
      <c r="A388" s="137"/>
      <c r="B388" s="139"/>
      <c r="C388" s="104" t="s">
        <v>198</v>
      </c>
      <c r="D388" s="105"/>
      <c r="E388" s="106" t="str">
        <f>'1.DATA KIA'!C378</f>
        <v xml:space="preserve">DESEMBER </v>
      </c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1"/>
      <c r="T388" s="101"/>
      <c r="U388" s="101"/>
      <c r="V388" s="101"/>
      <c r="W388" s="101"/>
      <c r="X388" s="101"/>
      <c r="Y388" s="151"/>
      <c r="Z388" s="101"/>
      <c r="AA388" s="101"/>
      <c r="AB388" s="101"/>
      <c r="AC388" s="101"/>
      <c r="AD388" s="101"/>
      <c r="AE388" s="101"/>
      <c r="AF388" s="101"/>
      <c r="AG388" s="101"/>
      <c r="AH388" s="101"/>
      <c r="AI388" s="101"/>
      <c r="AJ388" s="101"/>
      <c r="AK388" s="101"/>
      <c r="AL388" s="101"/>
      <c r="AM388" s="101"/>
      <c r="AN388" s="101"/>
      <c r="AO388" s="101"/>
      <c r="AP388" s="101"/>
    </row>
    <row r="389" spans="1:42" ht="16" thickBot="1" x14ac:dyDescent="0.4">
      <c r="A389" s="870"/>
      <c r="B389" s="870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1"/>
      <c r="T389" s="101"/>
      <c r="U389" s="101"/>
      <c r="V389" s="101"/>
      <c r="W389" s="101"/>
      <c r="X389" s="101"/>
      <c r="Y389" s="151"/>
      <c r="Z389" s="101"/>
      <c r="AA389" s="101"/>
      <c r="AB389" s="101"/>
      <c r="AC389" s="101"/>
      <c r="AD389" s="101"/>
      <c r="AE389" s="101"/>
      <c r="AF389" s="101"/>
      <c r="AG389" s="101"/>
      <c r="AH389" s="101"/>
      <c r="AI389" s="101"/>
      <c r="AJ389" s="101"/>
      <c r="AK389" s="101"/>
      <c r="AL389" s="101"/>
      <c r="AM389" s="101"/>
      <c r="AN389" s="101"/>
      <c r="AO389" s="101"/>
      <c r="AP389" s="101"/>
    </row>
    <row r="390" spans="1:42" ht="46" customHeight="1" x14ac:dyDescent="0.35">
      <c r="A390" s="871" t="s">
        <v>1</v>
      </c>
      <c r="B390" s="874" t="s">
        <v>2</v>
      </c>
      <c r="C390" s="877" t="s">
        <v>65</v>
      </c>
      <c r="D390" s="847" t="s">
        <v>66</v>
      </c>
      <c r="E390" s="848"/>
      <c r="F390" s="848"/>
      <c r="G390" s="880"/>
      <c r="H390" s="859" t="s">
        <v>194</v>
      </c>
      <c r="I390" s="860"/>
      <c r="J390" s="860"/>
      <c r="K390" s="861"/>
      <c r="L390" s="847" t="s">
        <v>67</v>
      </c>
      <c r="M390" s="848"/>
      <c r="N390" s="848"/>
      <c r="O390" s="848"/>
      <c r="P390" s="848"/>
      <c r="Q390" s="848"/>
      <c r="R390" s="848"/>
      <c r="S390" s="848"/>
      <c r="T390" s="848"/>
      <c r="U390" s="848"/>
      <c r="V390" s="848"/>
      <c r="W390" s="848"/>
      <c r="X390" s="849"/>
      <c r="Y390" s="152"/>
      <c r="Z390" s="850" t="s">
        <v>79</v>
      </c>
      <c r="AA390" s="851"/>
      <c r="AB390" s="851"/>
      <c r="AC390" s="851"/>
      <c r="AD390" s="851"/>
      <c r="AE390" s="851"/>
      <c r="AF390" s="851"/>
      <c r="AG390" s="851"/>
      <c r="AH390" s="851"/>
      <c r="AI390" s="851"/>
      <c r="AJ390" s="851"/>
      <c r="AK390" s="851"/>
      <c r="AL390" s="851"/>
      <c r="AM390" s="851"/>
      <c r="AN390" s="851"/>
      <c r="AO390" s="851"/>
      <c r="AP390" s="852"/>
    </row>
    <row r="391" spans="1:42" ht="95.15" customHeight="1" x14ac:dyDescent="0.35">
      <c r="A391" s="872"/>
      <c r="B391" s="875"/>
      <c r="C391" s="878"/>
      <c r="D391" s="853" t="s">
        <v>68</v>
      </c>
      <c r="E391" s="856" t="s">
        <v>69</v>
      </c>
      <c r="F391" s="856" t="s">
        <v>36</v>
      </c>
      <c r="G391" s="856" t="s">
        <v>37</v>
      </c>
      <c r="H391" s="853" t="s">
        <v>68</v>
      </c>
      <c r="I391" s="856" t="s">
        <v>69</v>
      </c>
      <c r="J391" s="856" t="s">
        <v>36</v>
      </c>
      <c r="K391" s="856" t="s">
        <v>37</v>
      </c>
      <c r="L391" s="865" t="s">
        <v>196</v>
      </c>
      <c r="M391" s="866"/>
      <c r="N391" s="867" t="s">
        <v>70</v>
      </c>
      <c r="O391" s="868"/>
      <c r="P391" s="865" t="s">
        <v>71</v>
      </c>
      <c r="Q391" s="869"/>
      <c r="R391" s="866"/>
      <c r="S391" s="838" t="s">
        <v>80</v>
      </c>
      <c r="T391" s="838"/>
      <c r="U391" s="838"/>
      <c r="V391" s="838"/>
      <c r="W391" s="838"/>
      <c r="X391" s="832"/>
      <c r="Y391" s="153"/>
      <c r="Z391" s="839" t="s">
        <v>81</v>
      </c>
      <c r="AA391" s="838"/>
      <c r="AB391" s="838"/>
      <c r="AC391" s="840" t="s">
        <v>195</v>
      </c>
      <c r="AD391" s="841"/>
      <c r="AE391" s="862" t="s">
        <v>82</v>
      </c>
      <c r="AF391" s="863"/>
      <c r="AG391" s="862" t="s">
        <v>83</v>
      </c>
      <c r="AH391" s="864"/>
      <c r="AI391" s="864"/>
      <c r="AJ391" s="864"/>
      <c r="AK391" s="864"/>
      <c r="AL391" s="863"/>
      <c r="AM391" s="831" t="s">
        <v>84</v>
      </c>
      <c r="AN391" s="838"/>
      <c r="AO391" s="838"/>
      <c r="AP391" s="832"/>
    </row>
    <row r="392" spans="1:42" ht="21.75" customHeight="1" x14ac:dyDescent="0.35">
      <c r="A392" s="872"/>
      <c r="B392" s="875"/>
      <c r="C392" s="878"/>
      <c r="D392" s="854"/>
      <c r="E392" s="857"/>
      <c r="F392" s="857"/>
      <c r="G392" s="857"/>
      <c r="H392" s="854"/>
      <c r="I392" s="857"/>
      <c r="J392" s="857"/>
      <c r="K392" s="857"/>
      <c r="L392" s="856" t="s">
        <v>72</v>
      </c>
      <c r="M392" s="856" t="s">
        <v>73</v>
      </c>
      <c r="N392" s="856" t="s">
        <v>74</v>
      </c>
      <c r="O392" s="856" t="s">
        <v>75</v>
      </c>
      <c r="P392" s="856" t="s">
        <v>76</v>
      </c>
      <c r="Q392" s="856" t="s">
        <v>77</v>
      </c>
      <c r="R392" s="856" t="s">
        <v>78</v>
      </c>
      <c r="S392" s="836" t="s">
        <v>85</v>
      </c>
      <c r="T392" s="842" t="s">
        <v>86</v>
      </c>
      <c r="U392" s="842" t="s">
        <v>87</v>
      </c>
      <c r="V392" s="842" t="s">
        <v>88</v>
      </c>
      <c r="W392" s="831" t="s">
        <v>89</v>
      </c>
      <c r="X392" s="832"/>
      <c r="Y392" s="153"/>
      <c r="Z392" s="844" t="s">
        <v>90</v>
      </c>
      <c r="AA392" s="834" t="s">
        <v>77</v>
      </c>
      <c r="AB392" s="834" t="s">
        <v>76</v>
      </c>
      <c r="AC392" s="834" t="s">
        <v>93</v>
      </c>
      <c r="AD392" s="834" t="s">
        <v>2</v>
      </c>
      <c r="AE392" s="834" t="s">
        <v>93</v>
      </c>
      <c r="AF392" s="834" t="s">
        <v>2</v>
      </c>
      <c r="AG392" s="834" t="s">
        <v>94</v>
      </c>
      <c r="AH392" s="834" t="s">
        <v>95</v>
      </c>
      <c r="AI392" s="834" t="s">
        <v>96</v>
      </c>
      <c r="AJ392" s="834" t="s">
        <v>97</v>
      </c>
      <c r="AK392" s="834" t="s">
        <v>98</v>
      </c>
      <c r="AL392" s="834" t="s">
        <v>99</v>
      </c>
      <c r="AM392" s="831" t="s">
        <v>91</v>
      </c>
      <c r="AN392" s="846"/>
      <c r="AO392" s="831" t="s">
        <v>7</v>
      </c>
      <c r="AP392" s="832"/>
    </row>
    <row r="393" spans="1:42" ht="44.5" customHeight="1" thickBot="1" x14ac:dyDescent="0.4">
      <c r="A393" s="891"/>
      <c r="B393" s="892"/>
      <c r="C393" s="893"/>
      <c r="D393" s="887"/>
      <c r="E393" s="888"/>
      <c r="F393" s="888"/>
      <c r="G393" s="888"/>
      <c r="H393" s="887"/>
      <c r="I393" s="888"/>
      <c r="J393" s="888"/>
      <c r="K393" s="888"/>
      <c r="L393" s="857"/>
      <c r="M393" s="857"/>
      <c r="N393" s="857"/>
      <c r="O393" s="857"/>
      <c r="P393" s="857"/>
      <c r="Q393" s="857"/>
      <c r="R393" s="857"/>
      <c r="S393" s="896"/>
      <c r="T393" s="897"/>
      <c r="U393" s="897"/>
      <c r="V393" s="897"/>
      <c r="W393" s="128" t="s">
        <v>76</v>
      </c>
      <c r="X393" s="178" t="s">
        <v>92</v>
      </c>
      <c r="Y393" s="153"/>
      <c r="Z393" s="895"/>
      <c r="AA393" s="890"/>
      <c r="AB393" s="890"/>
      <c r="AC393" s="890"/>
      <c r="AD393" s="890"/>
      <c r="AE393" s="890"/>
      <c r="AF393" s="890"/>
      <c r="AG393" s="890"/>
      <c r="AH393" s="890"/>
      <c r="AI393" s="890"/>
      <c r="AJ393" s="890"/>
      <c r="AK393" s="890"/>
      <c r="AL393" s="890"/>
      <c r="AM393" s="128" t="s">
        <v>100</v>
      </c>
      <c r="AN393" s="128" t="s">
        <v>101</v>
      </c>
      <c r="AO393" s="128" t="s">
        <v>100</v>
      </c>
      <c r="AP393" s="178" t="s">
        <v>101</v>
      </c>
    </row>
    <row r="394" spans="1:42" ht="20.149999999999999" customHeight="1" x14ac:dyDescent="0.35">
      <c r="A394" s="179">
        <v>1</v>
      </c>
      <c r="B394" s="123" t="str">
        <f>PETUNJUK!B9</f>
        <v>Pecangaan Kulon</v>
      </c>
      <c r="C394" s="93">
        <f>'1.DATA KIA'!C383</f>
        <v>101.2</v>
      </c>
      <c r="D394" s="87">
        <f t="shared" ref="D394:D410" si="156">F359</f>
        <v>30</v>
      </c>
      <c r="E394" s="125">
        <f>'1.DATA KIA'!F383</f>
        <v>0</v>
      </c>
      <c r="F394" s="87">
        <f>D394+E394</f>
        <v>30</v>
      </c>
      <c r="G394" s="88">
        <f>F394/C394*100</f>
        <v>29.644268774703558</v>
      </c>
      <c r="H394" s="87">
        <f t="shared" ref="H394:H410" si="157">J359</f>
        <v>29</v>
      </c>
      <c r="I394" s="125">
        <f>'1.DATA KIA'!AB383+'1.DATA KIA'!AE383</f>
        <v>0</v>
      </c>
      <c r="J394" s="87">
        <f>H394+I394</f>
        <v>29</v>
      </c>
      <c r="K394" s="88">
        <f>J394/C394*100</f>
        <v>28.656126482213441</v>
      </c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54"/>
      <c r="Z394" s="168"/>
      <c r="AA394" s="134"/>
      <c r="AB394" s="134"/>
      <c r="AC394" s="134"/>
      <c r="AD394" s="134"/>
      <c r="AE394" s="134"/>
      <c r="AF394" s="134"/>
      <c r="AG394" s="134"/>
      <c r="AH394" s="134"/>
      <c r="AI394" s="134"/>
      <c r="AJ394" s="134"/>
      <c r="AK394" s="134"/>
      <c r="AL394" s="134"/>
      <c r="AM394" s="134"/>
      <c r="AN394" s="134"/>
      <c r="AO394" s="134"/>
      <c r="AP394" s="165"/>
    </row>
    <row r="395" spans="1:42" ht="20.149999999999999" customHeight="1" x14ac:dyDescent="0.35">
      <c r="A395" s="166">
        <v>2</v>
      </c>
      <c r="B395" s="100" t="str">
        <f>PETUNJUK!B10</f>
        <v>Rengging</v>
      </c>
      <c r="C395" s="83">
        <f>'1.DATA KIA'!C384</f>
        <v>111.10000000000001</v>
      </c>
      <c r="D395" s="84">
        <f t="shared" si="156"/>
        <v>54</v>
      </c>
      <c r="E395" s="84">
        <f>'1.DATA KIA'!F384</f>
        <v>0</v>
      </c>
      <c r="F395" s="84">
        <f t="shared" ref="F395:F410" si="158">D395+E395</f>
        <v>54</v>
      </c>
      <c r="G395" s="86">
        <f t="shared" ref="G395:G410" si="159">F395/C395*100</f>
        <v>48.604860486048601</v>
      </c>
      <c r="H395" s="84">
        <f t="shared" si="157"/>
        <v>34</v>
      </c>
      <c r="I395" s="84">
        <f>'1.DATA KIA'!AB384+'1.DATA KIA'!AE384</f>
        <v>0</v>
      </c>
      <c r="J395" s="84">
        <f t="shared" ref="J395:J410" si="160">H395+I395</f>
        <v>34</v>
      </c>
      <c r="K395" s="86">
        <f t="shared" ref="K395:K410" si="161">J395/C395*100</f>
        <v>30.603060306030599</v>
      </c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54"/>
      <c r="Z395" s="168"/>
      <c r="AA395" s="134"/>
      <c r="AB395" s="134"/>
      <c r="AC395" s="134"/>
      <c r="AD395" s="134"/>
      <c r="AE395" s="134"/>
      <c r="AF395" s="134"/>
      <c r="AG395" s="134"/>
      <c r="AH395" s="134"/>
      <c r="AI395" s="134"/>
      <c r="AJ395" s="134"/>
      <c r="AK395" s="134"/>
      <c r="AL395" s="134"/>
      <c r="AM395" s="134"/>
      <c r="AN395" s="134"/>
      <c r="AO395" s="134"/>
      <c r="AP395" s="165"/>
    </row>
    <row r="396" spans="1:42" ht="20.149999999999999" customHeight="1" x14ac:dyDescent="0.35">
      <c r="A396" s="166">
        <v>3</v>
      </c>
      <c r="B396" s="100" t="str">
        <f>PETUNJUK!B11</f>
        <v>Troso</v>
      </c>
      <c r="C396" s="83">
        <f>'1.DATA KIA'!C385</f>
        <v>205.70000000000002</v>
      </c>
      <c r="D396" s="84">
        <f t="shared" si="156"/>
        <v>78</v>
      </c>
      <c r="E396" s="84">
        <f>'1.DATA KIA'!F385</f>
        <v>0</v>
      </c>
      <c r="F396" s="84">
        <f t="shared" si="158"/>
        <v>78</v>
      </c>
      <c r="G396" s="86">
        <f t="shared" si="159"/>
        <v>37.919299951385511</v>
      </c>
      <c r="H396" s="84">
        <f t="shared" si="157"/>
        <v>60</v>
      </c>
      <c r="I396" s="84">
        <f>'1.DATA KIA'!AB385+'1.DATA KIA'!AE385</f>
        <v>0</v>
      </c>
      <c r="J396" s="84">
        <f t="shared" si="160"/>
        <v>60</v>
      </c>
      <c r="K396" s="86">
        <f t="shared" si="161"/>
        <v>29.168692270296546</v>
      </c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54"/>
      <c r="Z396" s="168"/>
      <c r="AA396" s="134"/>
      <c r="AB396" s="134"/>
      <c r="AC396" s="134"/>
      <c r="AD396" s="134"/>
      <c r="AE396" s="134"/>
      <c r="AF396" s="134"/>
      <c r="AG396" s="134"/>
      <c r="AH396" s="134"/>
      <c r="AI396" s="134"/>
      <c r="AJ396" s="134"/>
      <c r="AK396" s="134"/>
      <c r="AL396" s="134"/>
      <c r="AM396" s="134"/>
      <c r="AN396" s="134"/>
      <c r="AO396" s="134"/>
      <c r="AP396" s="165"/>
    </row>
    <row r="397" spans="1:42" ht="20.149999999999999" customHeight="1" x14ac:dyDescent="0.35">
      <c r="A397" s="166">
        <v>4</v>
      </c>
      <c r="B397" s="100" t="str">
        <f>PETUNJUK!B12</f>
        <v>Ngeling</v>
      </c>
      <c r="C397" s="83">
        <f>'1.DATA KIA'!C386</f>
        <v>95.7</v>
      </c>
      <c r="D397" s="84">
        <f t="shared" si="156"/>
        <v>30</v>
      </c>
      <c r="E397" s="84">
        <f>'1.DATA KIA'!F386</f>
        <v>0</v>
      </c>
      <c r="F397" s="84">
        <f t="shared" si="158"/>
        <v>30</v>
      </c>
      <c r="G397" s="86">
        <f t="shared" si="159"/>
        <v>31.347962382445139</v>
      </c>
      <c r="H397" s="84">
        <f t="shared" si="157"/>
        <v>28</v>
      </c>
      <c r="I397" s="84">
        <f>'1.DATA KIA'!AB386+'1.DATA KIA'!AE386</f>
        <v>0</v>
      </c>
      <c r="J397" s="84">
        <f t="shared" si="160"/>
        <v>28</v>
      </c>
      <c r="K397" s="86">
        <f t="shared" si="161"/>
        <v>29.258098223615463</v>
      </c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54"/>
      <c r="Z397" s="168"/>
      <c r="AA397" s="134"/>
      <c r="AB397" s="134"/>
      <c r="AC397" s="134"/>
      <c r="AD397" s="134"/>
      <c r="AE397" s="134"/>
      <c r="AF397" s="134"/>
      <c r="AG397" s="134"/>
      <c r="AH397" s="134"/>
      <c r="AI397" s="134"/>
      <c r="AJ397" s="134"/>
      <c r="AK397" s="134"/>
      <c r="AL397" s="134"/>
      <c r="AM397" s="134"/>
      <c r="AN397" s="134"/>
      <c r="AO397" s="134"/>
      <c r="AP397" s="165"/>
    </row>
    <row r="398" spans="1:42" ht="20.149999999999999" customHeight="1" x14ac:dyDescent="0.35">
      <c r="A398" s="166">
        <v>5</v>
      </c>
      <c r="B398" s="100" t="str">
        <f>PETUNJUK!B13</f>
        <v>Lebuawu</v>
      </c>
      <c r="C398" s="83">
        <f>'1.DATA KIA'!C387</f>
        <v>85.800000000000011</v>
      </c>
      <c r="D398" s="84">
        <f t="shared" si="156"/>
        <v>33</v>
      </c>
      <c r="E398" s="84">
        <f>'1.DATA KIA'!F387</f>
        <v>0</v>
      </c>
      <c r="F398" s="84">
        <f t="shared" si="158"/>
        <v>33</v>
      </c>
      <c r="G398" s="86">
        <f t="shared" si="159"/>
        <v>38.46153846153846</v>
      </c>
      <c r="H398" s="84">
        <f t="shared" si="157"/>
        <v>23</v>
      </c>
      <c r="I398" s="84">
        <f>'1.DATA KIA'!AB387+'1.DATA KIA'!AE387</f>
        <v>0</v>
      </c>
      <c r="J398" s="84">
        <f t="shared" si="160"/>
        <v>23</v>
      </c>
      <c r="K398" s="86">
        <f t="shared" si="161"/>
        <v>26.806526806526804</v>
      </c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54"/>
      <c r="Z398" s="168"/>
      <c r="AA398" s="134"/>
      <c r="AB398" s="134"/>
      <c r="AC398" s="134"/>
      <c r="AD398" s="134"/>
      <c r="AE398" s="134"/>
      <c r="AF398" s="134"/>
      <c r="AG398" s="134"/>
      <c r="AH398" s="134"/>
      <c r="AI398" s="134"/>
      <c r="AJ398" s="134"/>
      <c r="AK398" s="134"/>
      <c r="AL398" s="134"/>
      <c r="AM398" s="134"/>
      <c r="AN398" s="134"/>
      <c r="AO398" s="134"/>
      <c r="AP398" s="165"/>
    </row>
    <row r="399" spans="1:42" ht="20.149999999999999" customHeight="1" x14ac:dyDescent="0.35">
      <c r="A399" s="166">
        <v>6</v>
      </c>
      <c r="B399" s="100" t="str">
        <f>PETUNJUK!B14</f>
        <v>Pulodarat</v>
      </c>
      <c r="C399" s="83">
        <f>'1.DATA KIA'!C388</f>
        <v>82.5</v>
      </c>
      <c r="D399" s="84">
        <f t="shared" si="156"/>
        <v>18</v>
      </c>
      <c r="E399" s="84">
        <f>'1.DATA KIA'!F388</f>
        <v>0</v>
      </c>
      <c r="F399" s="84">
        <f t="shared" si="158"/>
        <v>18</v>
      </c>
      <c r="G399" s="86">
        <f t="shared" si="159"/>
        <v>21.818181818181817</v>
      </c>
      <c r="H399" s="84">
        <f t="shared" si="157"/>
        <v>17</v>
      </c>
      <c r="I399" s="84">
        <f>'1.DATA KIA'!AB388+'1.DATA KIA'!AE388</f>
        <v>0</v>
      </c>
      <c r="J399" s="84">
        <f t="shared" si="160"/>
        <v>17</v>
      </c>
      <c r="K399" s="86">
        <f t="shared" si="161"/>
        <v>20.606060606060606</v>
      </c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54"/>
      <c r="Z399" s="168"/>
      <c r="AA399" s="134"/>
      <c r="AB399" s="134"/>
      <c r="AC399" s="134"/>
      <c r="AD399" s="134"/>
      <c r="AE399" s="134"/>
      <c r="AF399" s="134"/>
      <c r="AG399" s="134"/>
      <c r="AH399" s="134"/>
      <c r="AI399" s="134"/>
      <c r="AJ399" s="134"/>
      <c r="AK399" s="134"/>
      <c r="AL399" s="134"/>
      <c r="AM399" s="134"/>
      <c r="AN399" s="134"/>
      <c r="AO399" s="134"/>
      <c r="AP399" s="165"/>
    </row>
    <row r="400" spans="1:42" ht="20.149999999999999" customHeight="1" x14ac:dyDescent="0.35">
      <c r="A400" s="166">
        <v>7</v>
      </c>
      <c r="B400" s="100" t="str">
        <f>PETUNJUK!B15</f>
        <v>Karangrandu</v>
      </c>
      <c r="C400" s="83">
        <f>'1.DATA KIA'!C389</f>
        <v>93.500000000000014</v>
      </c>
      <c r="D400" s="84">
        <f t="shared" si="156"/>
        <v>31</v>
      </c>
      <c r="E400" s="84">
        <f>'1.DATA KIA'!F389</f>
        <v>0</v>
      </c>
      <c r="F400" s="84">
        <f t="shared" si="158"/>
        <v>31</v>
      </c>
      <c r="G400" s="86">
        <f t="shared" si="159"/>
        <v>33.155080213903737</v>
      </c>
      <c r="H400" s="84">
        <f t="shared" si="157"/>
        <v>27</v>
      </c>
      <c r="I400" s="84">
        <f>'1.DATA KIA'!AB389+'1.DATA KIA'!AE389</f>
        <v>0</v>
      </c>
      <c r="J400" s="84">
        <f t="shared" si="160"/>
        <v>27</v>
      </c>
      <c r="K400" s="86">
        <f t="shared" si="161"/>
        <v>28.877005347593578</v>
      </c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54"/>
      <c r="Z400" s="168"/>
      <c r="AA400" s="134"/>
      <c r="AB400" s="134"/>
      <c r="AC400" s="134"/>
      <c r="AD400" s="134"/>
      <c r="AE400" s="134"/>
      <c r="AF400" s="134"/>
      <c r="AG400" s="134"/>
      <c r="AH400" s="134"/>
      <c r="AI400" s="134"/>
      <c r="AJ400" s="134"/>
      <c r="AK400" s="134"/>
      <c r="AL400" s="134"/>
      <c r="AM400" s="134"/>
      <c r="AN400" s="134"/>
      <c r="AO400" s="134"/>
      <c r="AP400" s="165"/>
    </row>
    <row r="401" spans="1:44" ht="20.149999999999999" customHeight="1" x14ac:dyDescent="0.35">
      <c r="A401" s="166">
        <v>8</v>
      </c>
      <c r="B401" s="100" t="str">
        <f>PETUNJUK!B16</f>
        <v>Kaliombo</v>
      </c>
      <c r="C401" s="83">
        <f>'1.DATA KIA'!C390</f>
        <v>46.2</v>
      </c>
      <c r="D401" s="84">
        <f t="shared" si="156"/>
        <v>13</v>
      </c>
      <c r="E401" s="84">
        <f>'1.DATA KIA'!F390</f>
        <v>0</v>
      </c>
      <c r="F401" s="84">
        <f t="shared" si="158"/>
        <v>13</v>
      </c>
      <c r="G401" s="86">
        <f t="shared" si="159"/>
        <v>28.138528138528134</v>
      </c>
      <c r="H401" s="84">
        <f t="shared" si="157"/>
        <v>13</v>
      </c>
      <c r="I401" s="84">
        <f>'1.DATA KIA'!AB390+'1.DATA KIA'!AE390</f>
        <v>0</v>
      </c>
      <c r="J401" s="84">
        <f t="shared" si="160"/>
        <v>13</v>
      </c>
      <c r="K401" s="86">
        <f t="shared" si="161"/>
        <v>28.138528138528134</v>
      </c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54"/>
      <c r="Z401" s="168"/>
      <c r="AA401" s="134"/>
      <c r="AB401" s="134"/>
      <c r="AC401" s="134"/>
      <c r="AD401" s="134"/>
      <c r="AE401" s="134"/>
      <c r="AF401" s="134"/>
      <c r="AG401" s="134"/>
      <c r="AH401" s="134"/>
      <c r="AI401" s="134"/>
      <c r="AJ401" s="134"/>
      <c r="AK401" s="134"/>
      <c r="AL401" s="134"/>
      <c r="AM401" s="134"/>
      <c r="AN401" s="134"/>
      <c r="AO401" s="134"/>
      <c r="AP401" s="165"/>
    </row>
    <row r="402" spans="1:44" ht="20.149999999999999" customHeight="1" x14ac:dyDescent="0.35">
      <c r="A402" s="166">
        <v>9</v>
      </c>
      <c r="B402" s="100" t="str">
        <f>PETUNJUK!B17</f>
        <v>Gemulung</v>
      </c>
      <c r="C402" s="83">
        <f>'1.DATA KIA'!C391</f>
        <v>53.900000000000006</v>
      </c>
      <c r="D402" s="84">
        <f t="shared" si="156"/>
        <v>19</v>
      </c>
      <c r="E402" s="84">
        <f>'1.DATA KIA'!F391</f>
        <v>0</v>
      </c>
      <c r="F402" s="84">
        <f t="shared" si="158"/>
        <v>19</v>
      </c>
      <c r="G402" s="86">
        <f t="shared" si="159"/>
        <v>35.250463821892389</v>
      </c>
      <c r="H402" s="84">
        <f t="shared" si="157"/>
        <v>20</v>
      </c>
      <c r="I402" s="84">
        <f>'1.DATA KIA'!AB391+'1.DATA KIA'!AE391</f>
        <v>0</v>
      </c>
      <c r="J402" s="84">
        <f t="shared" si="160"/>
        <v>20</v>
      </c>
      <c r="K402" s="86">
        <f t="shared" si="161"/>
        <v>37.105751391465674</v>
      </c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54"/>
      <c r="Z402" s="168"/>
      <c r="AA402" s="134"/>
      <c r="AB402" s="134"/>
      <c r="AC402" s="134"/>
      <c r="AD402" s="134"/>
      <c r="AE402" s="134"/>
      <c r="AF402" s="134"/>
      <c r="AG402" s="134"/>
      <c r="AH402" s="134"/>
      <c r="AI402" s="134"/>
      <c r="AJ402" s="134"/>
      <c r="AK402" s="134"/>
      <c r="AL402" s="134"/>
      <c r="AM402" s="134"/>
      <c r="AN402" s="134"/>
      <c r="AO402" s="134"/>
      <c r="AP402" s="165"/>
    </row>
    <row r="403" spans="1:44" ht="20.149999999999999" customHeight="1" x14ac:dyDescent="0.35">
      <c r="A403" s="166">
        <v>10</v>
      </c>
      <c r="B403" s="100" t="str">
        <f>PETUNJUK!B18</f>
        <v>Pecangaan Wetan</v>
      </c>
      <c r="C403" s="83">
        <f>'1.DATA KIA'!C392</f>
        <v>50.6</v>
      </c>
      <c r="D403" s="84">
        <f t="shared" si="156"/>
        <v>15</v>
      </c>
      <c r="E403" s="84">
        <f>'1.DATA KIA'!F392</f>
        <v>0</v>
      </c>
      <c r="F403" s="84">
        <f t="shared" si="158"/>
        <v>15</v>
      </c>
      <c r="G403" s="86">
        <f t="shared" si="159"/>
        <v>29.644268774703558</v>
      </c>
      <c r="H403" s="84">
        <f t="shared" si="157"/>
        <v>13</v>
      </c>
      <c r="I403" s="84">
        <f>'1.DATA KIA'!AB392+'1.DATA KIA'!AE392</f>
        <v>0</v>
      </c>
      <c r="J403" s="84">
        <f t="shared" si="160"/>
        <v>13</v>
      </c>
      <c r="K403" s="86">
        <f t="shared" si="161"/>
        <v>25.691699604743086</v>
      </c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54"/>
      <c r="Z403" s="168"/>
      <c r="AA403" s="134"/>
      <c r="AB403" s="134"/>
      <c r="AC403" s="134"/>
      <c r="AD403" s="134"/>
      <c r="AE403" s="134"/>
      <c r="AF403" s="134"/>
      <c r="AG403" s="134"/>
      <c r="AH403" s="134"/>
      <c r="AI403" s="134"/>
      <c r="AJ403" s="134"/>
      <c r="AK403" s="134"/>
      <c r="AL403" s="134"/>
      <c r="AM403" s="134"/>
      <c r="AN403" s="134"/>
      <c r="AO403" s="134"/>
      <c r="AP403" s="165"/>
    </row>
    <row r="404" spans="1:44" ht="20.149999999999999" customHeight="1" x14ac:dyDescent="0.35">
      <c r="A404" s="166">
        <v>11</v>
      </c>
      <c r="B404" s="100" t="str">
        <f>PETUNJUK!B19</f>
        <v>Krasak</v>
      </c>
      <c r="C404" s="83">
        <f>'1.DATA KIA'!C393</f>
        <v>117.7</v>
      </c>
      <c r="D404" s="84">
        <f t="shared" si="156"/>
        <v>45</v>
      </c>
      <c r="E404" s="84">
        <f>'1.DATA KIA'!F393</f>
        <v>0</v>
      </c>
      <c r="F404" s="84">
        <f t="shared" si="158"/>
        <v>45</v>
      </c>
      <c r="G404" s="86">
        <f t="shared" si="159"/>
        <v>38.232795242141037</v>
      </c>
      <c r="H404" s="84">
        <f t="shared" si="157"/>
        <v>29</v>
      </c>
      <c r="I404" s="84">
        <f>'1.DATA KIA'!AB393+'1.DATA KIA'!AE393</f>
        <v>0</v>
      </c>
      <c r="J404" s="84">
        <f t="shared" si="160"/>
        <v>29</v>
      </c>
      <c r="K404" s="86">
        <f t="shared" si="161"/>
        <v>24.638912489379777</v>
      </c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54"/>
      <c r="Z404" s="168"/>
      <c r="AA404" s="134"/>
      <c r="AB404" s="134"/>
      <c r="AC404" s="134"/>
      <c r="AD404" s="134"/>
      <c r="AE404" s="134"/>
      <c r="AF404" s="134"/>
      <c r="AG404" s="134"/>
      <c r="AH404" s="134"/>
      <c r="AI404" s="134"/>
      <c r="AJ404" s="134"/>
      <c r="AK404" s="134"/>
      <c r="AL404" s="134"/>
      <c r="AM404" s="134"/>
      <c r="AN404" s="134"/>
      <c r="AO404" s="134"/>
      <c r="AP404" s="165"/>
    </row>
    <row r="405" spans="1:44" ht="20.149999999999999" customHeight="1" x14ac:dyDescent="0.35">
      <c r="A405" s="166">
        <v>12</v>
      </c>
      <c r="B405" s="100" t="str">
        <f>PETUNJUK!B20</f>
        <v>Gerdu</v>
      </c>
      <c r="C405" s="83">
        <f>'1.DATA KIA'!C394</f>
        <v>23.1</v>
      </c>
      <c r="D405" s="84">
        <f t="shared" si="156"/>
        <v>8</v>
      </c>
      <c r="E405" s="84">
        <f>'1.DATA KIA'!F394</f>
        <v>0</v>
      </c>
      <c r="F405" s="84">
        <f t="shared" si="158"/>
        <v>8</v>
      </c>
      <c r="G405" s="86">
        <f t="shared" si="159"/>
        <v>34.632034632034632</v>
      </c>
      <c r="H405" s="84">
        <f t="shared" si="157"/>
        <v>5</v>
      </c>
      <c r="I405" s="84">
        <f>'1.DATA KIA'!AB394+'1.DATA KIA'!AE394</f>
        <v>0</v>
      </c>
      <c r="J405" s="84">
        <f t="shared" si="160"/>
        <v>5</v>
      </c>
      <c r="K405" s="86">
        <f t="shared" si="161"/>
        <v>21.645021645021643</v>
      </c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54"/>
      <c r="Z405" s="168"/>
      <c r="AA405" s="134"/>
      <c r="AB405" s="134"/>
      <c r="AC405" s="134"/>
      <c r="AD405" s="134"/>
      <c r="AE405" s="134"/>
      <c r="AF405" s="134"/>
      <c r="AG405" s="134"/>
      <c r="AH405" s="134"/>
      <c r="AI405" s="134"/>
      <c r="AJ405" s="134"/>
      <c r="AK405" s="134"/>
      <c r="AL405" s="134"/>
      <c r="AM405" s="134"/>
      <c r="AN405" s="134"/>
      <c r="AO405" s="134"/>
      <c r="AP405" s="165"/>
    </row>
    <row r="406" spans="1:44" ht="20.149999999999999" customHeight="1" x14ac:dyDescent="0.35">
      <c r="A406" s="166">
        <v>13</v>
      </c>
      <c r="B406" s="100">
        <f>PETUNJUK!B21</f>
        <v>0</v>
      </c>
      <c r="C406" s="83">
        <f>'1.DATA KIA'!C395</f>
        <v>0</v>
      </c>
      <c r="D406" s="84">
        <f t="shared" si="156"/>
        <v>0</v>
      </c>
      <c r="E406" s="84">
        <f>'1.DATA KIA'!F395</f>
        <v>0</v>
      </c>
      <c r="F406" s="84">
        <f t="shared" si="158"/>
        <v>0</v>
      </c>
      <c r="G406" s="86" t="e">
        <f t="shared" si="159"/>
        <v>#DIV/0!</v>
      </c>
      <c r="H406" s="84">
        <f t="shared" si="157"/>
        <v>0</v>
      </c>
      <c r="I406" s="84">
        <f>'1.DATA KIA'!AB395+'1.DATA KIA'!AE395</f>
        <v>0</v>
      </c>
      <c r="J406" s="84">
        <f t="shared" si="160"/>
        <v>0</v>
      </c>
      <c r="K406" s="86" t="e">
        <f t="shared" si="161"/>
        <v>#DIV/0!</v>
      </c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54"/>
      <c r="Z406" s="168"/>
      <c r="AA406" s="134"/>
      <c r="AB406" s="134"/>
      <c r="AC406" s="134"/>
      <c r="AD406" s="134"/>
      <c r="AE406" s="134"/>
      <c r="AF406" s="134"/>
      <c r="AG406" s="134"/>
      <c r="AH406" s="134"/>
      <c r="AI406" s="134"/>
      <c r="AJ406" s="134"/>
      <c r="AK406" s="134"/>
      <c r="AL406" s="134"/>
      <c r="AM406" s="134"/>
      <c r="AN406" s="134"/>
      <c r="AO406" s="134"/>
      <c r="AP406" s="165"/>
    </row>
    <row r="407" spans="1:44" ht="20.149999999999999" customHeight="1" x14ac:dyDescent="0.35">
      <c r="A407" s="166">
        <v>14</v>
      </c>
      <c r="B407" s="100">
        <f>PETUNJUK!B22</f>
        <v>0</v>
      </c>
      <c r="C407" s="83">
        <f>'1.DATA KIA'!C396</f>
        <v>0</v>
      </c>
      <c r="D407" s="84">
        <f t="shared" si="156"/>
        <v>0</v>
      </c>
      <c r="E407" s="84">
        <f>'1.DATA KIA'!F396</f>
        <v>0</v>
      </c>
      <c r="F407" s="84">
        <f t="shared" si="158"/>
        <v>0</v>
      </c>
      <c r="G407" s="86" t="e">
        <f t="shared" si="159"/>
        <v>#DIV/0!</v>
      </c>
      <c r="H407" s="84">
        <f t="shared" si="157"/>
        <v>0</v>
      </c>
      <c r="I407" s="84">
        <f>'1.DATA KIA'!AB396+'1.DATA KIA'!AE396</f>
        <v>0</v>
      </c>
      <c r="J407" s="84">
        <f t="shared" si="160"/>
        <v>0</v>
      </c>
      <c r="K407" s="86" t="e">
        <f t="shared" si="161"/>
        <v>#DIV/0!</v>
      </c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54"/>
      <c r="Z407" s="168"/>
      <c r="AA407" s="134"/>
      <c r="AB407" s="134"/>
      <c r="AC407" s="134"/>
      <c r="AD407" s="134"/>
      <c r="AE407" s="134"/>
      <c r="AF407" s="134"/>
      <c r="AG407" s="134"/>
      <c r="AH407" s="134"/>
      <c r="AI407" s="134"/>
      <c r="AJ407" s="134"/>
      <c r="AK407" s="134"/>
      <c r="AL407" s="134"/>
      <c r="AM407" s="134"/>
      <c r="AN407" s="134"/>
      <c r="AO407" s="134"/>
      <c r="AP407" s="165"/>
    </row>
    <row r="408" spans="1:44" ht="20.149999999999999" customHeight="1" x14ac:dyDescent="0.35">
      <c r="A408" s="166">
        <v>15</v>
      </c>
      <c r="B408" s="100">
        <f>PETUNJUK!B23</f>
        <v>0</v>
      </c>
      <c r="C408" s="83">
        <f>'1.DATA KIA'!C397</f>
        <v>0</v>
      </c>
      <c r="D408" s="84">
        <f t="shared" si="156"/>
        <v>0</v>
      </c>
      <c r="E408" s="84">
        <f>'1.DATA KIA'!F397</f>
        <v>0</v>
      </c>
      <c r="F408" s="84">
        <f t="shared" si="158"/>
        <v>0</v>
      </c>
      <c r="G408" s="86" t="e">
        <f t="shared" si="159"/>
        <v>#DIV/0!</v>
      </c>
      <c r="H408" s="84">
        <f t="shared" si="157"/>
        <v>0</v>
      </c>
      <c r="I408" s="84">
        <f>'1.DATA KIA'!AB397+'1.DATA KIA'!AE397</f>
        <v>0</v>
      </c>
      <c r="J408" s="84">
        <f t="shared" si="160"/>
        <v>0</v>
      </c>
      <c r="K408" s="86" t="e">
        <f t="shared" si="161"/>
        <v>#DIV/0!</v>
      </c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54"/>
      <c r="Z408" s="168"/>
      <c r="AA408" s="134"/>
      <c r="AB408" s="134"/>
      <c r="AC408" s="134"/>
      <c r="AD408" s="134"/>
      <c r="AE408" s="134"/>
      <c r="AF408" s="134"/>
      <c r="AG408" s="134"/>
      <c r="AH408" s="134"/>
      <c r="AI408" s="134"/>
      <c r="AJ408" s="134"/>
      <c r="AK408" s="134"/>
      <c r="AL408" s="134"/>
      <c r="AM408" s="134"/>
      <c r="AN408" s="134"/>
      <c r="AO408" s="134"/>
      <c r="AP408" s="165"/>
      <c r="AQ408" s="161">
        <v>13</v>
      </c>
      <c r="AR408" s="161">
        <v>16</v>
      </c>
    </row>
    <row r="409" spans="1:44" ht="20.149999999999999" customHeight="1" x14ac:dyDescent="0.35">
      <c r="A409" s="166">
        <v>16</v>
      </c>
      <c r="B409" s="100">
        <f>PETUNJUK!B24</f>
        <v>0</v>
      </c>
      <c r="C409" s="83">
        <f>'1.DATA KIA'!C398</f>
        <v>0</v>
      </c>
      <c r="D409" s="84">
        <f t="shared" si="156"/>
        <v>0</v>
      </c>
      <c r="E409" s="84">
        <f>'1.DATA KIA'!F398</f>
        <v>0</v>
      </c>
      <c r="F409" s="84">
        <f t="shared" si="158"/>
        <v>0</v>
      </c>
      <c r="G409" s="86" t="e">
        <f t="shared" si="159"/>
        <v>#DIV/0!</v>
      </c>
      <c r="H409" s="84">
        <f t="shared" si="157"/>
        <v>0</v>
      </c>
      <c r="I409" s="84">
        <f>'1.DATA KIA'!AB398+'1.DATA KIA'!AE398</f>
        <v>0</v>
      </c>
      <c r="J409" s="84">
        <f t="shared" si="160"/>
        <v>0</v>
      </c>
      <c r="K409" s="86" t="e">
        <f t="shared" si="161"/>
        <v>#DIV/0!</v>
      </c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54"/>
      <c r="Z409" s="168"/>
      <c r="AA409" s="134"/>
      <c r="AB409" s="134"/>
      <c r="AC409" s="134"/>
      <c r="AD409" s="134"/>
      <c r="AE409" s="134"/>
      <c r="AF409" s="134"/>
      <c r="AG409" s="134"/>
      <c r="AH409" s="134"/>
      <c r="AI409" s="134"/>
      <c r="AJ409" s="134"/>
      <c r="AK409" s="134"/>
      <c r="AL409" s="134"/>
      <c r="AM409" s="134"/>
      <c r="AN409" s="134"/>
      <c r="AO409" s="134"/>
      <c r="AP409" s="165"/>
    </row>
    <row r="410" spans="1:44" ht="20.149999999999999" customHeight="1" x14ac:dyDescent="0.35">
      <c r="A410" s="166">
        <v>17</v>
      </c>
      <c r="B410" s="100">
        <f>PETUNJUK!B25</f>
        <v>0</v>
      </c>
      <c r="C410" s="83">
        <f>'1.DATA KIA'!C399</f>
        <v>0</v>
      </c>
      <c r="D410" s="84">
        <f t="shared" si="156"/>
        <v>0</v>
      </c>
      <c r="E410" s="84">
        <f>'1.DATA KIA'!F399</f>
        <v>0</v>
      </c>
      <c r="F410" s="84">
        <f t="shared" si="158"/>
        <v>0</v>
      </c>
      <c r="G410" s="86" t="e">
        <f t="shared" si="159"/>
        <v>#DIV/0!</v>
      </c>
      <c r="H410" s="84">
        <f t="shared" si="157"/>
        <v>0</v>
      </c>
      <c r="I410" s="84">
        <f>'1.DATA KIA'!AB399+'1.DATA KIA'!AE399</f>
        <v>0</v>
      </c>
      <c r="J410" s="84">
        <f t="shared" si="160"/>
        <v>0</v>
      </c>
      <c r="K410" s="86" t="e">
        <f t="shared" si="161"/>
        <v>#DIV/0!</v>
      </c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54"/>
      <c r="Z410" s="168"/>
      <c r="AA410" s="134"/>
      <c r="AB410" s="134"/>
      <c r="AC410" s="134"/>
      <c r="AD410" s="134"/>
      <c r="AE410" s="134"/>
      <c r="AF410" s="134"/>
      <c r="AG410" s="134"/>
      <c r="AH410" s="134"/>
      <c r="AI410" s="134"/>
      <c r="AJ410" s="134"/>
      <c r="AK410" s="134"/>
      <c r="AL410" s="134"/>
      <c r="AM410" s="134"/>
      <c r="AN410" s="134"/>
      <c r="AO410" s="134"/>
      <c r="AP410" s="165"/>
    </row>
    <row r="411" spans="1:44" ht="20.149999999999999" customHeight="1" x14ac:dyDescent="0.35">
      <c r="A411" s="166">
        <v>18</v>
      </c>
      <c r="B411" s="100">
        <f>PETUNJUK!B26</f>
        <v>0</v>
      </c>
      <c r="C411" s="83">
        <f>'1.DATA KIA'!C400</f>
        <v>0</v>
      </c>
      <c r="D411" s="84">
        <f>F376</f>
        <v>0</v>
      </c>
      <c r="E411" s="84">
        <f>'1.DATA KIA'!F400</f>
        <v>0</v>
      </c>
      <c r="F411" s="84">
        <f>D411+E411</f>
        <v>0</v>
      </c>
      <c r="G411" s="86" t="e">
        <f t="shared" ref="G411:G415" si="162">F411/C411*100</f>
        <v>#DIV/0!</v>
      </c>
      <c r="H411" s="84">
        <f>J376</f>
        <v>0</v>
      </c>
      <c r="I411" s="84">
        <f>'1.DATA KIA'!AB400+'1.DATA KIA'!AE400</f>
        <v>0</v>
      </c>
      <c r="J411" s="84">
        <f>H411+I411</f>
        <v>0</v>
      </c>
      <c r="K411" s="86" t="e">
        <f t="shared" ref="K411:K415" si="163">J411/C411*100</f>
        <v>#DIV/0!</v>
      </c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54"/>
      <c r="Z411" s="168"/>
      <c r="AA411" s="134"/>
      <c r="AB411" s="134"/>
      <c r="AC411" s="134"/>
      <c r="AD411" s="134"/>
      <c r="AE411" s="134"/>
      <c r="AF411" s="134"/>
      <c r="AG411" s="134"/>
      <c r="AH411" s="134"/>
      <c r="AI411" s="134"/>
      <c r="AJ411" s="134"/>
      <c r="AK411" s="134"/>
      <c r="AL411" s="134"/>
      <c r="AM411" s="134"/>
      <c r="AN411" s="134"/>
      <c r="AO411" s="134"/>
      <c r="AP411" s="165"/>
    </row>
    <row r="412" spans="1:44" ht="20.149999999999999" customHeight="1" x14ac:dyDescent="0.35">
      <c r="A412" s="166">
        <v>19</v>
      </c>
      <c r="B412" s="100">
        <f>PETUNJUK!B27</f>
        <v>0</v>
      </c>
      <c r="C412" s="83">
        <f>'1.DATA KIA'!C401</f>
        <v>0</v>
      </c>
      <c r="D412" s="84">
        <f>F377</f>
        <v>0</v>
      </c>
      <c r="E412" s="84">
        <f>'1.DATA KIA'!F401</f>
        <v>0</v>
      </c>
      <c r="F412" s="84">
        <f>D412+E412</f>
        <v>0</v>
      </c>
      <c r="G412" s="86" t="e">
        <f t="shared" si="162"/>
        <v>#DIV/0!</v>
      </c>
      <c r="H412" s="84">
        <f>J377</f>
        <v>0</v>
      </c>
      <c r="I412" s="84">
        <f>'1.DATA KIA'!AB401+'1.DATA KIA'!AE401</f>
        <v>0</v>
      </c>
      <c r="J412" s="84">
        <f>H412+I412</f>
        <v>0</v>
      </c>
      <c r="K412" s="86" t="e">
        <f t="shared" si="163"/>
        <v>#DIV/0!</v>
      </c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54"/>
      <c r="Z412" s="168"/>
      <c r="AA412" s="134"/>
      <c r="AB412" s="134"/>
      <c r="AC412" s="134"/>
      <c r="AD412" s="134"/>
      <c r="AE412" s="134"/>
      <c r="AF412" s="134"/>
      <c r="AG412" s="134"/>
      <c r="AH412" s="134"/>
      <c r="AI412" s="134"/>
      <c r="AJ412" s="134"/>
      <c r="AK412" s="134"/>
      <c r="AL412" s="134"/>
      <c r="AM412" s="134"/>
      <c r="AN412" s="134"/>
      <c r="AO412" s="134"/>
      <c r="AP412" s="165"/>
    </row>
    <row r="413" spans="1:44" ht="20.149999999999999" customHeight="1" x14ac:dyDescent="0.35">
      <c r="A413" s="166">
        <v>20</v>
      </c>
      <c r="B413" s="100">
        <f>PETUNJUK!B28</f>
        <v>0</v>
      </c>
      <c r="C413" s="83">
        <f>'1.DATA KIA'!C402</f>
        <v>0</v>
      </c>
      <c r="D413" s="84">
        <f>F378</f>
        <v>0</v>
      </c>
      <c r="E413" s="84">
        <f>'1.DATA KIA'!F402</f>
        <v>0</v>
      </c>
      <c r="F413" s="84">
        <f>D413+E413</f>
        <v>0</v>
      </c>
      <c r="G413" s="86" t="e">
        <f t="shared" si="162"/>
        <v>#DIV/0!</v>
      </c>
      <c r="H413" s="84">
        <f>J378</f>
        <v>0</v>
      </c>
      <c r="I413" s="84">
        <f>'1.DATA KIA'!AB402+'1.DATA KIA'!AE402</f>
        <v>0</v>
      </c>
      <c r="J413" s="84">
        <f>H413+I413</f>
        <v>0</v>
      </c>
      <c r="K413" s="86" t="e">
        <f t="shared" si="163"/>
        <v>#DIV/0!</v>
      </c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54"/>
      <c r="Z413" s="168"/>
      <c r="AA413" s="134"/>
      <c r="AB413" s="134"/>
      <c r="AC413" s="134"/>
      <c r="AD413" s="134"/>
      <c r="AE413" s="134"/>
      <c r="AF413" s="134"/>
      <c r="AG413" s="134"/>
      <c r="AH413" s="134"/>
      <c r="AI413" s="134"/>
      <c r="AJ413" s="134"/>
      <c r="AK413" s="134"/>
      <c r="AL413" s="134"/>
      <c r="AM413" s="134"/>
      <c r="AN413" s="134"/>
      <c r="AO413" s="134"/>
      <c r="AP413" s="165"/>
    </row>
    <row r="414" spans="1:44" ht="20.149999999999999" customHeight="1" x14ac:dyDescent="0.35">
      <c r="A414" s="166">
        <v>21</v>
      </c>
      <c r="B414" s="100">
        <f>PETUNJUK!B29</f>
        <v>0</v>
      </c>
      <c r="C414" s="83">
        <f>'1.DATA KIA'!C403</f>
        <v>0</v>
      </c>
      <c r="D414" s="84">
        <f>F379</f>
        <v>0</v>
      </c>
      <c r="E414" s="84">
        <f>'1.DATA KIA'!F403</f>
        <v>0</v>
      </c>
      <c r="F414" s="84">
        <f>D414+E414</f>
        <v>0</v>
      </c>
      <c r="G414" s="86" t="e">
        <f t="shared" si="162"/>
        <v>#DIV/0!</v>
      </c>
      <c r="H414" s="84">
        <f>J379</f>
        <v>0</v>
      </c>
      <c r="I414" s="84">
        <f>'1.DATA KIA'!AB403+'1.DATA KIA'!AE403</f>
        <v>0</v>
      </c>
      <c r="J414" s="84">
        <f>H414+I414</f>
        <v>0</v>
      </c>
      <c r="K414" s="86" t="e">
        <f t="shared" si="163"/>
        <v>#DIV/0!</v>
      </c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54"/>
      <c r="Z414" s="168"/>
      <c r="AA414" s="134"/>
      <c r="AB414" s="134"/>
      <c r="AC414" s="134"/>
      <c r="AD414" s="134"/>
      <c r="AE414" s="134"/>
      <c r="AF414" s="134"/>
      <c r="AG414" s="134"/>
      <c r="AH414" s="134"/>
      <c r="AI414" s="134"/>
      <c r="AJ414" s="134"/>
      <c r="AK414" s="134"/>
      <c r="AL414" s="134"/>
      <c r="AM414" s="134"/>
      <c r="AN414" s="134"/>
      <c r="AO414" s="134"/>
      <c r="AP414" s="165"/>
    </row>
    <row r="415" spans="1:44" ht="20.149999999999999" customHeight="1" thickBot="1" x14ac:dyDescent="0.4">
      <c r="A415" s="167">
        <v>22</v>
      </c>
      <c r="B415" s="114">
        <f>PETUNJUK!B30</f>
        <v>0</v>
      </c>
      <c r="C415" s="115">
        <f>'1.DATA KIA'!C404</f>
        <v>0</v>
      </c>
      <c r="D415" s="95">
        <f>F380</f>
        <v>0</v>
      </c>
      <c r="E415" s="95">
        <f>'1.DATA KIA'!F404</f>
        <v>0</v>
      </c>
      <c r="F415" s="95">
        <f>D415+E415</f>
        <v>0</v>
      </c>
      <c r="G415" s="94" t="e">
        <f t="shared" si="162"/>
        <v>#DIV/0!</v>
      </c>
      <c r="H415" s="95">
        <f>J380</f>
        <v>0</v>
      </c>
      <c r="I415" s="95">
        <f>'1.DATA KIA'!AB404+'1.DATA KIA'!AE404</f>
        <v>0</v>
      </c>
      <c r="J415" s="95">
        <f>H415+I415</f>
        <v>0</v>
      </c>
      <c r="K415" s="94" t="e">
        <f t="shared" si="163"/>
        <v>#DIV/0!</v>
      </c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54"/>
      <c r="Z415" s="168"/>
      <c r="AA415" s="134"/>
      <c r="AB415" s="134"/>
      <c r="AC415" s="134"/>
      <c r="AD415" s="134"/>
      <c r="AE415" s="134"/>
      <c r="AF415" s="134"/>
      <c r="AG415" s="134"/>
      <c r="AH415" s="134"/>
      <c r="AI415" s="134"/>
      <c r="AJ415" s="134"/>
      <c r="AK415" s="134"/>
      <c r="AL415" s="134"/>
      <c r="AM415" s="134"/>
      <c r="AN415" s="134"/>
      <c r="AO415" s="134"/>
      <c r="AP415" s="165"/>
    </row>
    <row r="416" spans="1:44" ht="24" customHeight="1" thickBot="1" x14ac:dyDescent="0.4">
      <c r="A416" s="881" t="s">
        <v>18</v>
      </c>
      <c r="B416" s="882"/>
      <c r="C416" s="121">
        <f t="shared" ref="C416:K416" si="164">SUM(C394:C415)</f>
        <v>1067</v>
      </c>
      <c r="D416" s="121">
        <f t="shared" si="164"/>
        <v>374</v>
      </c>
      <c r="E416" s="121">
        <f t="shared" si="164"/>
        <v>0</v>
      </c>
      <c r="F416" s="121">
        <f t="shared" si="164"/>
        <v>374</v>
      </c>
      <c r="G416" s="121" t="e">
        <f t="shared" si="164"/>
        <v>#DIV/0!</v>
      </c>
      <c r="H416" s="121">
        <f t="shared" si="164"/>
        <v>298</v>
      </c>
      <c r="I416" s="121">
        <f t="shared" si="164"/>
        <v>0</v>
      </c>
      <c r="J416" s="121">
        <f t="shared" si="164"/>
        <v>298</v>
      </c>
      <c r="K416" s="121" t="e">
        <f t="shared" si="164"/>
        <v>#DIV/0!</v>
      </c>
      <c r="L416" s="131">
        <f>SUM(L394:L415)</f>
        <v>0</v>
      </c>
      <c r="M416" s="131">
        <f t="shared" ref="M416:AP416" si="165">SUM(M394:M415)</f>
        <v>0</v>
      </c>
      <c r="N416" s="131">
        <f t="shared" si="165"/>
        <v>0</v>
      </c>
      <c r="O416" s="131">
        <f t="shared" si="165"/>
        <v>0</v>
      </c>
      <c r="P416" s="131">
        <f t="shared" si="165"/>
        <v>0</v>
      </c>
      <c r="Q416" s="131">
        <f t="shared" si="165"/>
        <v>0</v>
      </c>
      <c r="R416" s="131">
        <f t="shared" si="165"/>
        <v>0</v>
      </c>
      <c r="S416" s="131">
        <f t="shared" si="165"/>
        <v>0</v>
      </c>
      <c r="T416" s="131">
        <f t="shared" si="165"/>
        <v>0</v>
      </c>
      <c r="U416" s="131">
        <f t="shared" si="165"/>
        <v>0</v>
      </c>
      <c r="V416" s="131">
        <f t="shared" si="165"/>
        <v>0</v>
      </c>
      <c r="W416" s="131">
        <f t="shared" si="165"/>
        <v>0</v>
      </c>
      <c r="X416" s="180">
        <f t="shared" si="165"/>
        <v>0</v>
      </c>
      <c r="Y416" s="159"/>
      <c r="Z416" s="195">
        <f t="shared" si="165"/>
        <v>0</v>
      </c>
      <c r="AA416" s="131">
        <f t="shared" si="165"/>
        <v>0</v>
      </c>
      <c r="AB416" s="131">
        <f t="shared" si="165"/>
        <v>0</v>
      </c>
      <c r="AC416" s="131">
        <f t="shared" si="165"/>
        <v>0</v>
      </c>
      <c r="AD416" s="131">
        <f t="shared" si="165"/>
        <v>0</v>
      </c>
      <c r="AE416" s="131">
        <f t="shared" si="165"/>
        <v>0</v>
      </c>
      <c r="AF416" s="131">
        <f t="shared" si="165"/>
        <v>0</v>
      </c>
      <c r="AG416" s="131">
        <f t="shared" si="165"/>
        <v>0</v>
      </c>
      <c r="AH416" s="131">
        <f t="shared" si="165"/>
        <v>0</v>
      </c>
      <c r="AI416" s="131">
        <f t="shared" si="165"/>
        <v>0</v>
      </c>
      <c r="AJ416" s="131">
        <f t="shared" si="165"/>
        <v>0</v>
      </c>
      <c r="AK416" s="131">
        <f t="shared" si="165"/>
        <v>0</v>
      </c>
      <c r="AL416" s="131">
        <f t="shared" si="165"/>
        <v>0</v>
      </c>
      <c r="AM416" s="131">
        <f t="shared" si="165"/>
        <v>0</v>
      </c>
      <c r="AN416" s="131">
        <f t="shared" si="165"/>
        <v>0</v>
      </c>
      <c r="AO416" s="131">
        <f t="shared" si="165"/>
        <v>0</v>
      </c>
      <c r="AP416" s="180">
        <f t="shared" si="165"/>
        <v>0</v>
      </c>
    </row>
    <row r="417" spans="1:42" ht="15.5" x14ac:dyDescent="0.35">
      <c r="A417" s="140"/>
      <c r="B417" s="140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56"/>
      <c r="Z417" s="102"/>
      <c r="AA417" s="102"/>
      <c r="AB417" s="102"/>
      <c r="AC417" s="102"/>
      <c r="AD417" s="102"/>
      <c r="AE417" s="102"/>
      <c r="AF417" s="102"/>
      <c r="AG417" s="102"/>
      <c r="AH417" s="102"/>
      <c r="AI417" s="102"/>
      <c r="AJ417" s="102"/>
      <c r="AK417" s="102"/>
      <c r="AL417" s="102"/>
      <c r="AM417" s="102"/>
      <c r="AN417" s="102"/>
      <c r="AO417" s="102"/>
      <c r="AP417" s="102"/>
    </row>
    <row r="418" spans="1:42" ht="15.5" x14ac:dyDescent="0.35">
      <c r="A418" s="140"/>
      <c r="B418" s="140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56"/>
      <c r="Z418" s="102"/>
      <c r="AA418" s="102"/>
      <c r="AB418" s="102"/>
      <c r="AC418" s="102"/>
      <c r="AD418" s="102"/>
      <c r="AE418" s="102"/>
      <c r="AF418" s="102"/>
      <c r="AG418" s="102"/>
      <c r="AH418" s="102"/>
      <c r="AI418" s="102"/>
      <c r="AJ418" s="102"/>
      <c r="AK418" s="102"/>
      <c r="AL418" s="102"/>
      <c r="AM418" s="102"/>
      <c r="AN418" s="102"/>
      <c r="AO418" s="102"/>
      <c r="AP418" s="102"/>
    </row>
    <row r="419" spans="1:42" ht="15.5" x14ac:dyDescent="0.35">
      <c r="A419" s="140"/>
      <c r="B419" s="140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56"/>
      <c r="Z419" s="102"/>
      <c r="AA419" s="102"/>
      <c r="AB419" s="102"/>
      <c r="AC419" s="102"/>
      <c r="AD419" s="102"/>
      <c r="AE419" s="102"/>
      <c r="AF419" s="102"/>
      <c r="AG419" s="102"/>
      <c r="AH419" s="102"/>
      <c r="AI419" s="102"/>
      <c r="AJ419" s="102"/>
      <c r="AK419" s="102"/>
      <c r="AL419" s="102"/>
      <c r="AM419" s="102"/>
      <c r="AN419" s="102"/>
      <c r="AO419" s="102"/>
      <c r="AP419" s="102"/>
    </row>
    <row r="420" spans="1:42" ht="15.5" x14ac:dyDescent="0.35">
      <c r="A420" s="140"/>
      <c r="B420" s="140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56"/>
      <c r="Z420" s="102"/>
      <c r="AA420" s="102"/>
      <c r="AB420" s="102"/>
      <c r="AC420" s="102"/>
      <c r="AD420" s="102"/>
      <c r="AE420" s="102"/>
      <c r="AF420" s="102"/>
      <c r="AG420" s="102"/>
      <c r="AH420" s="102"/>
      <c r="AI420" s="102"/>
      <c r="AJ420" s="102"/>
      <c r="AK420" s="102"/>
      <c r="AL420" s="102"/>
      <c r="AM420" s="102"/>
      <c r="AN420" s="102"/>
      <c r="AO420" s="102"/>
      <c r="AP420" s="102"/>
    </row>
    <row r="421" spans="1:42" ht="15.5" x14ac:dyDescent="0.35">
      <c r="A421" s="137"/>
      <c r="B421" s="138"/>
      <c r="C421" s="76" t="s">
        <v>64</v>
      </c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101"/>
      <c r="T421" s="101"/>
      <c r="U421" s="101"/>
      <c r="V421" s="101"/>
      <c r="W421" s="101"/>
      <c r="X421" s="101"/>
      <c r="Y421" s="151"/>
      <c r="Z421" s="101"/>
      <c r="AA421" s="101"/>
      <c r="AB421" s="101"/>
      <c r="AC421" s="101"/>
      <c r="AD421" s="101"/>
      <c r="AE421" s="101"/>
      <c r="AF421" s="101"/>
      <c r="AG421" s="101"/>
      <c r="AH421" s="101"/>
      <c r="AI421" s="101"/>
      <c r="AJ421" s="101"/>
      <c r="AK421" s="101"/>
      <c r="AL421" s="101"/>
      <c r="AM421" s="101"/>
      <c r="AN421" s="101"/>
      <c r="AO421" s="101"/>
      <c r="AP421" s="101"/>
    </row>
    <row r="422" spans="1:42" ht="15.5" x14ac:dyDescent="0.35">
      <c r="A422" s="137"/>
      <c r="B422" s="98"/>
      <c r="C422" s="103" t="s">
        <v>197</v>
      </c>
      <c r="D422" s="78"/>
      <c r="E422" s="79" t="str">
        <f>PETUNJUK!C5</f>
        <v>PECANGAAN</v>
      </c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101"/>
      <c r="T422" s="101"/>
      <c r="U422" s="101"/>
      <c r="V422" s="101" t="s">
        <v>199</v>
      </c>
      <c r="W422" s="101"/>
      <c r="X422" s="101"/>
      <c r="Y422" s="151"/>
      <c r="Z422" s="101"/>
      <c r="AA422" s="101"/>
      <c r="AB422" s="101"/>
      <c r="AC422" s="101"/>
      <c r="AD422" s="101"/>
      <c r="AE422" s="101"/>
      <c r="AF422" s="101"/>
      <c r="AG422" s="101"/>
      <c r="AH422" s="101"/>
      <c r="AI422" s="101"/>
      <c r="AJ422" s="101"/>
      <c r="AK422" s="101"/>
      <c r="AL422" s="101"/>
      <c r="AM422" s="101"/>
      <c r="AN422" s="101"/>
      <c r="AO422" s="101" t="s">
        <v>200</v>
      </c>
      <c r="AP422" s="101"/>
    </row>
    <row r="423" spans="1:42" ht="15.5" x14ac:dyDescent="0.35">
      <c r="A423" s="137"/>
      <c r="B423" s="139"/>
      <c r="C423" s="104" t="s">
        <v>198</v>
      </c>
      <c r="D423" s="105"/>
      <c r="E423" s="105" t="s">
        <v>438</v>
      </c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1"/>
      <c r="T423" s="101"/>
      <c r="U423" s="101"/>
      <c r="V423" s="101"/>
      <c r="W423" s="101"/>
      <c r="X423" s="101"/>
      <c r="Y423" s="151"/>
      <c r="Z423" s="101"/>
      <c r="AA423" s="101"/>
      <c r="AB423" s="101"/>
      <c r="AC423" s="101"/>
      <c r="AD423" s="101"/>
      <c r="AE423" s="101"/>
      <c r="AF423" s="101"/>
      <c r="AG423" s="101"/>
      <c r="AH423" s="101"/>
      <c r="AI423" s="101"/>
      <c r="AJ423" s="101"/>
      <c r="AK423" s="101"/>
      <c r="AL423" s="101"/>
      <c r="AM423" s="101"/>
      <c r="AN423" s="101"/>
      <c r="AO423" s="101"/>
      <c r="AP423" s="101"/>
    </row>
    <row r="424" spans="1:42" ht="16" thickBot="1" x14ac:dyDescent="0.4">
      <c r="A424" s="870"/>
      <c r="B424" s="870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1"/>
      <c r="T424" s="101"/>
      <c r="U424" s="101"/>
      <c r="V424" s="101"/>
      <c r="W424" s="101"/>
      <c r="X424" s="101"/>
      <c r="Y424" s="151"/>
      <c r="Z424" s="101"/>
      <c r="AA424" s="101"/>
      <c r="AB424" s="101"/>
      <c r="AC424" s="101"/>
      <c r="AD424" s="101"/>
      <c r="AE424" s="101"/>
      <c r="AF424" s="101"/>
      <c r="AG424" s="101"/>
      <c r="AH424" s="101"/>
      <c r="AI424" s="101"/>
      <c r="AJ424" s="101"/>
      <c r="AK424" s="101"/>
      <c r="AL424" s="101"/>
      <c r="AM424" s="101"/>
      <c r="AN424" s="101"/>
      <c r="AO424" s="101"/>
      <c r="AP424" s="101"/>
    </row>
    <row r="425" spans="1:42" ht="38.5" customHeight="1" x14ac:dyDescent="0.35">
      <c r="A425" s="871" t="s">
        <v>1</v>
      </c>
      <c r="B425" s="874" t="s">
        <v>0</v>
      </c>
      <c r="C425" s="877" t="s">
        <v>65</v>
      </c>
      <c r="D425" s="847" t="s">
        <v>66</v>
      </c>
      <c r="E425" s="848"/>
      <c r="F425" s="848"/>
      <c r="G425" s="880"/>
      <c r="H425" s="859" t="s">
        <v>194</v>
      </c>
      <c r="I425" s="860"/>
      <c r="J425" s="860"/>
      <c r="K425" s="861"/>
      <c r="L425" s="847" t="s">
        <v>67</v>
      </c>
      <c r="M425" s="848"/>
      <c r="N425" s="848"/>
      <c r="O425" s="848"/>
      <c r="P425" s="848"/>
      <c r="Q425" s="848"/>
      <c r="R425" s="848"/>
      <c r="S425" s="848"/>
      <c r="T425" s="848"/>
      <c r="U425" s="848"/>
      <c r="V425" s="848"/>
      <c r="W425" s="848"/>
      <c r="X425" s="849"/>
      <c r="Y425" s="152"/>
      <c r="Z425" s="850" t="s">
        <v>79</v>
      </c>
      <c r="AA425" s="851"/>
      <c r="AB425" s="851"/>
      <c r="AC425" s="851"/>
      <c r="AD425" s="851"/>
      <c r="AE425" s="851"/>
      <c r="AF425" s="851"/>
      <c r="AG425" s="851"/>
      <c r="AH425" s="851"/>
      <c r="AI425" s="851"/>
      <c r="AJ425" s="851"/>
      <c r="AK425" s="851"/>
      <c r="AL425" s="851"/>
      <c r="AM425" s="851"/>
      <c r="AN425" s="851"/>
      <c r="AO425" s="851"/>
      <c r="AP425" s="852"/>
    </row>
    <row r="426" spans="1:42" ht="109" customHeight="1" x14ac:dyDescent="0.35">
      <c r="A426" s="872"/>
      <c r="B426" s="875"/>
      <c r="C426" s="878"/>
      <c r="D426" s="853" t="s">
        <v>68</v>
      </c>
      <c r="E426" s="856" t="s">
        <v>69</v>
      </c>
      <c r="F426" s="856" t="s">
        <v>36</v>
      </c>
      <c r="G426" s="856" t="s">
        <v>37</v>
      </c>
      <c r="H426" s="853" t="s">
        <v>68</v>
      </c>
      <c r="I426" s="856" t="s">
        <v>69</v>
      </c>
      <c r="J426" s="856" t="s">
        <v>36</v>
      </c>
      <c r="K426" s="856" t="s">
        <v>37</v>
      </c>
      <c r="L426" s="865" t="s">
        <v>196</v>
      </c>
      <c r="M426" s="866"/>
      <c r="N426" s="867" t="s">
        <v>70</v>
      </c>
      <c r="O426" s="868"/>
      <c r="P426" s="865" t="s">
        <v>71</v>
      </c>
      <c r="Q426" s="869"/>
      <c r="R426" s="866"/>
      <c r="S426" s="838" t="s">
        <v>80</v>
      </c>
      <c r="T426" s="838"/>
      <c r="U426" s="838"/>
      <c r="V426" s="838"/>
      <c r="W426" s="838"/>
      <c r="X426" s="832"/>
      <c r="Y426" s="153"/>
      <c r="Z426" s="839" t="s">
        <v>81</v>
      </c>
      <c r="AA426" s="838"/>
      <c r="AB426" s="838"/>
      <c r="AC426" s="840" t="s">
        <v>195</v>
      </c>
      <c r="AD426" s="841"/>
      <c r="AE426" s="862" t="s">
        <v>82</v>
      </c>
      <c r="AF426" s="863"/>
      <c r="AG426" s="862" t="s">
        <v>83</v>
      </c>
      <c r="AH426" s="864"/>
      <c r="AI426" s="864"/>
      <c r="AJ426" s="864"/>
      <c r="AK426" s="864"/>
      <c r="AL426" s="863"/>
      <c r="AM426" s="831" t="s">
        <v>84</v>
      </c>
      <c r="AN426" s="838"/>
      <c r="AO426" s="838"/>
      <c r="AP426" s="832"/>
    </row>
    <row r="427" spans="1:42" ht="21.75" customHeight="1" x14ac:dyDescent="0.35">
      <c r="A427" s="872"/>
      <c r="B427" s="875"/>
      <c r="C427" s="878"/>
      <c r="D427" s="854"/>
      <c r="E427" s="857"/>
      <c r="F427" s="857"/>
      <c r="G427" s="857"/>
      <c r="H427" s="854"/>
      <c r="I427" s="857"/>
      <c r="J427" s="857"/>
      <c r="K427" s="857"/>
      <c r="L427" s="856" t="s">
        <v>72</v>
      </c>
      <c r="M427" s="856" t="s">
        <v>73</v>
      </c>
      <c r="N427" s="856" t="s">
        <v>74</v>
      </c>
      <c r="O427" s="856" t="s">
        <v>75</v>
      </c>
      <c r="P427" s="856" t="s">
        <v>76</v>
      </c>
      <c r="Q427" s="856" t="s">
        <v>77</v>
      </c>
      <c r="R427" s="856" t="s">
        <v>78</v>
      </c>
      <c r="S427" s="836" t="s">
        <v>85</v>
      </c>
      <c r="T427" s="842" t="s">
        <v>86</v>
      </c>
      <c r="U427" s="842" t="s">
        <v>87</v>
      </c>
      <c r="V427" s="842" t="s">
        <v>88</v>
      </c>
      <c r="W427" s="831" t="s">
        <v>89</v>
      </c>
      <c r="X427" s="832"/>
      <c r="Y427" s="153"/>
      <c r="Z427" s="844" t="s">
        <v>90</v>
      </c>
      <c r="AA427" s="834" t="s">
        <v>77</v>
      </c>
      <c r="AB427" s="834" t="s">
        <v>76</v>
      </c>
      <c r="AC427" s="834" t="s">
        <v>93</v>
      </c>
      <c r="AD427" s="834" t="s">
        <v>2</v>
      </c>
      <c r="AE427" s="834" t="s">
        <v>93</v>
      </c>
      <c r="AF427" s="834" t="s">
        <v>2</v>
      </c>
      <c r="AG427" s="834" t="s">
        <v>94</v>
      </c>
      <c r="AH427" s="834" t="s">
        <v>95</v>
      </c>
      <c r="AI427" s="834" t="s">
        <v>96</v>
      </c>
      <c r="AJ427" s="834" t="s">
        <v>97</v>
      </c>
      <c r="AK427" s="834" t="s">
        <v>98</v>
      </c>
      <c r="AL427" s="834" t="s">
        <v>99</v>
      </c>
      <c r="AM427" s="831" t="s">
        <v>91</v>
      </c>
      <c r="AN427" s="846"/>
      <c r="AO427" s="831" t="s">
        <v>7</v>
      </c>
      <c r="AP427" s="832"/>
    </row>
    <row r="428" spans="1:42" ht="45.65" customHeight="1" thickBot="1" x14ac:dyDescent="0.4">
      <c r="A428" s="891"/>
      <c r="B428" s="892"/>
      <c r="C428" s="893"/>
      <c r="D428" s="887"/>
      <c r="E428" s="888"/>
      <c r="F428" s="888"/>
      <c r="G428" s="888"/>
      <c r="H428" s="887"/>
      <c r="I428" s="888"/>
      <c r="J428" s="888"/>
      <c r="K428" s="888"/>
      <c r="L428" s="888"/>
      <c r="M428" s="888"/>
      <c r="N428" s="888"/>
      <c r="O428" s="888"/>
      <c r="P428" s="888"/>
      <c r="Q428" s="888"/>
      <c r="R428" s="888"/>
      <c r="S428" s="921"/>
      <c r="T428" s="922"/>
      <c r="U428" s="922"/>
      <c r="V428" s="922"/>
      <c r="W428" s="129" t="s">
        <v>76</v>
      </c>
      <c r="X428" s="145" t="s">
        <v>92</v>
      </c>
      <c r="Y428" s="153"/>
      <c r="Z428" s="923"/>
      <c r="AA428" s="920"/>
      <c r="AB428" s="920"/>
      <c r="AC428" s="920"/>
      <c r="AD428" s="920"/>
      <c r="AE428" s="920"/>
      <c r="AF428" s="920"/>
      <c r="AG428" s="920"/>
      <c r="AH428" s="920"/>
      <c r="AI428" s="920"/>
      <c r="AJ428" s="920"/>
      <c r="AK428" s="920"/>
      <c r="AL428" s="920"/>
      <c r="AM428" s="129" t="s">
        <v>100</v>
      </c>
      <c r="AN428" s="129" t="s">
        <v>101</v>
      </c>
      <c r="AO428" s="129" t="s">
        <v>100</v>
      </c>
      <c r="AP428" s="145" t="s">
        <v>101</v>
      </c>
    </row>
    <row r="429" spans="1:42" ht="25" customHeight="1" x14ac:dyDescent="0.35">
      <c r="A429" s="179">
        <v>1</v>
      </c>
      <c r="B429" s="146" t="s">
        <v>137</v>
      </c>
      <c r="C429" s="124">
        <f>'1.DATA KIA'!C417</f>
        <v>1067</v>
      </c>
      <c r="D429" s="125">
        <f>F428</f>
        <v>0</v>
      </c>
      <c r="E429" s="87">
        <f>E31</f>
        <v>101</v>
      </c>
      <c r="F429" s="87">
        <f>D429+E429</f>
        <v>101</v>
      </c>
      <c r="G429" s="147">
        <f t="shared" ref="G429:G440" si="166">F429/C429*100</f>
        <v>9.4657919400187449</v>
      </c>
      <c r="H429" s="87"/>
      <c r="I429" s="87">
        <f>I31</f>
        <v>90</v>
      </c>
      <c r="J429" s="87">
        <f>H429+I429</f>
        <v>90</v>
      </c>
      <c r="K429" s="88">
        <f>J429/C429*100</f>
        <v>8.4348641049671969</v>
      </c>
      <c r="L429" s="96">
        <f t="shared" ref="L429:X429" si="167">L31</f>
        <v>90</v>
      </c>
      <c r="M429" s="96">
        <f t="shared" si="167"/>
        <v>0</v>
      </c>
      <c r="N429" s="96">
        <f t="shared" si="167"/>
        <v>90</v>
      </c>
      <c r="O429" s="96">
        <f t="shared" si="167"/>
        <v>0</v>
      </c>
      <c r="P429" s="96">
        <f t="shared" si="167"/>
        <v>56</v>
      </c>
      <c r="Q429" s="96">
        <f t="shared" si="167"/>
        <v>0</v>
      </c>
      <c r="R429" s="96">
        <f t="shared" si="167"/>
        <v>34</v>
      </c>
      <c r="S429" s="96">
        <f t="shared" si="167"/>
        <v>10</v>
      </c>
      <c r="T429" s="96">
        <f t="shared" si="167"/>
        <v>0</v>
      </c>
      <c r="U429" s="96">
        <f t="shared" si="167"/>
        <v>37</v>
      </c>
      <c r="V429" s="96">
        <f t="shared" si="167"/>
        <v>0</v>
      </c>
      <c r="W429" s="96">
        <f t="shared" si="167"/>
        <v>43</v>
      </c>
      <c r="X429" s="186">
        <f t="shared" si="167"/>
        <v>0</v>
      </c>
      <c r="Y429" s="158"/>
      <c r="Z429" s="190">
        <f t="shared" ref="Z429:AP429" si="168">Z31</f>
        <v>53</v>
      </c>
      <c r="AA429" s="96">
        <f t="shared" si="168"/>
        <v>0</v>
      </c>
      <c r="AB429" s="96">
        <f t="shared" si="168"/>
        <v>37</v>
      </c>
      <c r="AC429" s="96">
        <f t="shared" si="168"/>
        <v>90</v>
      </c>
      <c r="AD429" s="96">
        <f t="shared" si="168"/>
        <v>0</v>
      </c>
      <c r="AE429" s="96">
        <f t="shared" si="168"/>
        <v>90</v>
      </c>
      <c r="AF429" s="96">
        <f t="shared" si="168"/>
        <v>0</v>
      </c>
      <c r="AG429" s="96">
        <f t="shared" si="168"/>
        <v>3</v>
      </c>
      <c r="AH429" s="96">
        <f t="shared" si="168"/>
        <v>0</v>
      </c>
      <c r="AI429" s="96">
        <f t="shared" si="168"/>
        <v>73</v>
      </c>
      <c r="AJ429" s="96">
        <f t="shared" si="168"/>
        <v>1</v>
      </c>
      <c r="AK429" s="96">
        <f t="shared" si="168"/>
        <v>6</v>
      </c>
      <c r="AL429" s="96">
        <f t="shared" si="168"/>
        <v>7</v>
      </c>
      <c r="AM429" s="96">
        <f t="shared" si="168"/>
        <v>90</v>
      </c>
      <c r="AN429" s="96">
        <f t="shared" si="168"/>
        <v>0</v>
      </c>
      <c r="AO429" s="96">
        <f t="shared" si="168"/>
        <v>90</v>
      </c>
      <c r="AP429" s="186">
        <f t="shared" si="168"/>
        <v>0</v>
      </c>
    </row>
    <row r="430" spans="1:42" ht="25" customHeight="1" x14ac:dyDescent="0.35">
      <c r="A430" s="166">
        <v>2</v>
      </c>
      <c r="B430" s="142" t="s">
        <v>172</v>
      </c>
      <c r="C430" s="83">
        <f>'1.DATA KIA'!C418</f>
        <v>1067</v>
      </c>
      <c r="D430" s="84">
        <f>F429</f>
        <v>101</v>
      </c>
      <c r="E430" s="84">
        <f>E66</f>
        <v>85</v>
      </c>
      <c r="F430" s="84">
        <f t="shared" ref="F430:F440" si="169">D430+E430</f>
        <v>186</v>
      </c>
      <c r="G430" s="86">
        <f t="shared" si="166"/>
        <v>17.432052483598877</v>
      </c>
      <c r="H430" s="84">
        <f>J429</f>
        <v>90</v>
      </c>
      <c r="I430" s="84">
        <f>I66</f>
        <v>68</v>
      </c>
      <c r="J430" s="84">
        <f t="shared" ref="J430:J440" si="170">H430+I430</f>
        <v>158</v>
      </c>
      <c r="K430" s="86">
        <f t="shared" ref="K430:K440" si="171">J430/C430*100</f>
        <v>14.807872539831301</v>
      </c>
      <c r="L430" s="97">
        <f t="shared" ref="L430:X430" si="172">L66</f>
        <v>68</v>
      </c>
      <c r="M430" s="97">
        <f t="shared" si="172"/>
        <v>0</v>
      </c>
      <c r="N430" s="97">
        <f t="shared" si="172"/>
        <v>68</v>
      </c>
      <c r="O430" s="97">
        <f t="shared" si="172"/>
        <v>0</v>
      </c>
      <c r="P430" s="97">
        <f t="shared" si="172"/>
        <v>37</v>
      </c>
      <c r="Q430" s="97">
        <f t="shared" si="172"/>
        <v>0</v>
      </c>
      <c r="R430" s="97">
        <f t="shared" si="172"/>
        <v>31</v>
      </c>
      <c r="S430" s="97">
        <f t="shared" si="172"/>
        <v>6</v>
      </c>
      <c r="T430" s="97">
        <f t="shared" si="172"/>
        <v>0</v>
      </c>
      <c r="U430" s="97">
        <f t="shared" si="172"/>
        <v>22</v>
      </c>
      <c r="V430" s="97">
        <f t="shared" si="172"/>
        <v>0</v>
      </c>
      <c r="W430" s="97">
        <f t="shared" si="172"/>
        <v>40</v>
      </c>
      <c r="X430" s="187">
        <f t="shared" si="172"/>
        <v>0</v>
      </c>
      <c r="Y430" s="158"/>
      <c r="Z430" s="191">
        <f t="shared" ref="Z430:AP430" si="173">Z66</f>
        <v>46</v>
      </c>
      <c r="AA430" s="97">
        <f t="shared" si="173"/>
        <v>0</v>
      </c>
      <c r="AB430" s="97">
        <f t="shared" si="173"/>
        <v>22</v>
      </c>
      <c r="AC430" s="97">
        <f t="shared" si="173"/>
        <v>68</v>
      </c>
      <c r="AD430" s="97">
        <f t="shared" si="173"/>
        <v>0</v>
      </c>
      <c r="AE430" s="97">
        <f t="shared" si="173"/>
        <v>68</v>
      </c>
      <c r="AF430" s="97">
        <f t="shared" si="173"/>
        <v>0</v>
      </c>
      <c r="AG430" s="97">
        <f t="shared" si="173"/>
        <v>0</v>
      </c>
      <c r="AH430" s="97">
        <f t="shared" si="173"/>
        <v>0</v>
      </c>
      <c r="AI430" s="97">
        <f t="shared" si="173"/>
        <v>59</v>
      </c>
      <c r="AJ430" s="97">
        <f t="shared" si="173"/>
        <v>2</v>
      </c>
      <c r="AK430" s="97">
        <f t="shared" si="173"/>
        <v>2</v>
      </c>
      <c r="AL430" s="97">
        <f t="shared" si="173"/>
        <v>5</v>
      </c>
      <c r="AM430" s="97">
        <f t="shared" si="173"/>
        <v>68</v>
      </c>
      <c r="AN430" s="97">
        <f t="shared" si="173"/>
        <v>0</v>
      </c>
      <c r="AO430" s="97">
        <f t="shared" si="173"/>
        <v>67</v>
      </c>
      <c r="AP430" s="187">
        <f t="shared" si="173"/>
        <v>0</v>
      </c>
    </row>
    <row r="431" spans="1:42" ht="25" customHeight="1" x14ac:dyDescent="0.35">
      <c r="A431" s="166">
        <v>3</v>
      </c>
      <c r="B431" s="142" t="s">
        <v>138</v>
      </c>
      <c r="C431" s="83">
        <f>'1.DATA KIA'!C419</f>
        <v>1067</v>
      </c>
      <c r="D431" s="84">
        <f>F430</f>
        <v>186</v>
      </c>
      <c r="E431" s="84">
        <f>E101</f>
        <v>78</v>
      </c>
      <c r="F431" s="84">
        <f t="shared" si="169"/>
        <v>264</v>
      </c>
      <c r="G431" s="86">
        <f t="shared" si="166"/>
        <v>24.742268041237114</v>
      </c>
      <c r="H431" s="84">
        <f>J430</f>
        <v>158</v>
      </c>
      <c r="I431" s="84">
        <f>I101</f>
        <v>58</v>
      </c>
      <c r="J431" s="84">
        <f t="shared" si="170"/>
        <v>216</v>
      </c>
      <c r="K431" s="86">
        <f t="shared" si="171"/>
        <v>20.243673851921272</v>
      </c>
      <c r="L431" s="97">
        <f t="shared" ref="L431:X431" si="174">L101</f>
        <v>58</v>
      </c>
      <c r="M431" s="97">
        <f t="shared" si="174"/>
        <v>0</v>
      </c>
      <c r="N431" s="97">
        <f t="shared" si="174"/>
        <v>58</v>
      </c>
      <c r="O431" s="97">
        <f t="shared" si="174"/>
        <v>0</v>
      </c>
      <c r="P431" s="97">
        <f t="shared" si="174"/>
        <v>37</v>
      </c>
      <c r="Q431" s="97">
        <f t="shared" si="174"/>
        <v>0</v>
      </c>
      <c r="R431" s="97">
        <f t="shared" si="174"/>
        <v>21</v>
      </c>
      <c r="S431" s="97">
        <f t="shared" si="174"/>
        <v>8</v>
      </c>
      <c r="T431" s="97">
        <f t="shared" si="174"/>
        <v>0</v>
      </c>
      <c r="U431" s="97">
        <f t="shared" si="174"/>
        <v>26</v>
      </c>
      <c r="V431" s="97">
        <f t="shared" si="174"/>
        <v>0</v>
      </c>
      <c r="W431" s="97">
        <f t="shared" si="174"/>
        <v>24</v>
      </c>
      <c r="X431" s="187">
        <f t="shared" si="174"/>
        <v>0</v>
      </c>
      <c r="Y431" s="158"/>
      <c r="Z431" s="191">
        <f t="shared" ref="Z431:AP431" si="175">Z101</f>
        <v>32</v>
      </c>
      <c r="AA431" s="97">
        <f t="shared" si="175"/>
        <v>0</v>
      </c>
      <c r="AB431" s="97">
        <f t="shared" si="175"/>
        <v>26</v>
      </c>
      <c r="AC431" s="97">
        <f t="shared" si="175"/>
        <v>58</v>
      </c>
      <c r="AD431" s="97">
        <f t="shared" si="175"/>
        <v>0</v>
      </c>
      <c r="AE431" s="97">
        <f t="shared" si="175"/>
        <v>58</v>
      </c>
      <c r="AF431" s="97">
        <f t="shared" si="175"/>
        <v>0</v>
      </c>
      <c r="AG431" s="97">
        <f t="shared" si="175"/>
        <v>0</v>
      </c>
      <c r="AH431" s="97">
        <f t="shared" si="175"/>
        <v>0</v>
      </c>
      <c r="AI431" s="97">
        <f t="shared" si="175"/>
        <v>49</v>
      </c>
      <c r="AJ431" s="97">
        <f t="shared" si="175"/>
        <v>0</v>
      </c>
      <c r="AK431" s="97">
        <f t="shared" si="175"/>
        <v>3</v>
      </c>
      <c r="AL431" s="97">
        <f t="shared" si="175"/>
        <v>6</v>
      </c>
      <c r="AM431" s="97">
        <f t="shared" si="175"/>
        <v>58</v>
      </c>
      <c r="AN431" s="97">
        <f t="shared" si="175"/>
        <v>0</v>
      </c>
      <c r="AO431" s="97">
        <f t="shared" si="175"/>
        <v>59</v>
      </c>
      <c r="AP431" s="187">
        <f t="shared" si="175"/>
        <v>0</v>
      </c>
    </row>
    <row r="432" spans="1:42" ht="25" customHeight="1" x14ac:dyDescent="0.35">
      <c r="A432" s="166">
        <v>4</v>
      </c>
      <c r="B432" s="142" t="s">
        <v>139</v>
      </c>
      <c r="C432" s="83">
        <f>'1.DATA KIA'!C420</f>
        <v>1067</v>
      </c>
      <c r="D432" s="84">
        <f t="shared" ref="D432:D440" si="176">F431</f>
        <v>264</v>
      </c>
      <c r="E432" s="84">
        <f>E136</f>
        <v>110</v>
      </c>
      <c r="F432" s="84">
        <f t="shared" si="169"/>
        <v>374</v>
      </c>
      <c r="G432" s="86">
        <f t="shared" si="166"/>
        <v>35.051546391752574</v>
      </c>
      <c r="H432" s="84">
        <f t="shared" ref="H432:H440" si="177">J431</f>
        <v>216</v>
      </c>
      <c r="I432" s="84">
        <f>I136</f>
        <v>82</v>
      </c>
      <c r="J432" s="84">
        <f t="shared" si="170"/>
        <v>298</v>
      </c>
      <c r="K432" s="86">
        <f t="shared" si="171"/>
        <v>27.928772258669166</v>
      </c>
      <c r="L432" s="97">
        <f t="shared" ref="L432:X432" si="178">L136</f>
        <v>82</v>
      </c>
      <c r="M432" s="97">
        <f t="shared" si="178"/>
        <v>0</v>
      </c>
      <c r="N432" s="97">
        <f t="shared" si="178"/>
        <v>82</v>
      </c>
      <c r="O432" s="97">
        <f t="shared" si="178"/>
        <v>0</v>
      </c>
      <c r="P432" s="97">
        <f t="shared" si="178"/>
        <v>43</v>
      </c>
      <c r="Q432" s="97">
        <f t="shared" si="178"/>
        <v>0</v>
      </c>
      <c r="R432" s="97">
        <f t="shared" si="178"/>
        <v>39</v>
      </c>
      <c r="S432" s="97">
        <f t="shared" si="178"/>
        <v>14</v>
      </c>
      <c r="T432" s="97">
        <f t="shared" si="178"/>
        <v>0</v>
      </c>
      <c r="U432" s="97">
        <f t="shared" si="178"/>
        <v>45</v>
      </c>
      <c r="V432" s="97">
        <f t="shared" si="178"/>
        <v>0</v>
      </c>
      <c r="W432" s="97">
        <f t="shared" si="178"/>
        <v>23</v>
      </c>
      <c r="X432" s="187">
        <f t="shared" si="178"/>
        <v>0</v>
      </c>
      <c r="Y432" s="158"/>
      <c r="Z432" s="191">
        <f t="shared" ref="Z432:AP432" si="179">Z136</f>
        <v>37</v>
      </c>
      <c r="AA432" s="97">
        <f t="shared" si="179"/>
        <v>0</v>
      </c>
      <c r="AB432" s="97">
        <f t="shared" si="179"/>
        <v>45</v>
      </c>
      <c r="AC432" s="97">
        <f t="shared" si="179"/>
        <v>82</v>
      </c>
      <c r="AD432" s="97">
        <f t="shared" si="179"/>
        <v>0</v>
      </c>
      <c r="AE432" s="97">
        <f t="shared" si="179"/>
        <v>82</v>
      </c>
      <c r="AF432" s="97">
        <f t="shared" si="179"/>
        <v>0</v>
      </c>
      <c r="AG432" s="97">
        <f t="shared" si="179"/>
        <v>0</v>
      </c>
      <c r="AH432" s="97">
        <f t="shared" si="179"/>
        <v>0</v>
      </c>
      <c r="AI432" s="97">
        <f t="shared" si="179"/>
        <v>69</v>
      </c>
      <c r="AJ432" s="97">
        <f t="shared" si="179"/>
        <v>0</v>
      </c>
      <c r="AK432" s="97">
        <f t="shared" si="179"/>
        <v>2</v>
      </c>
      <c r="AL432" s="97">
        <f t="shared" si="179"/>
        <v>11</v>
      </c>
      <c r="AM432" s="97">
        <f t="shared" si="179"/>
        <v>82</v>
      </c>
      <c r="AN432" s="97">
        <f t="shared" si="179"/>
        <v>0</v>
      </c>
      <c r="AO432" s="97">
        <f t="shared" si="179"/>
        <v>82</v>
      </c>
      <c r="AP432" s="187">
        <f t="shared" si="179"/>
        <v>0</v>
      </c>
    </row>
    <row r="433" spans="1:42" ht="25" customHeight="1" x14ac:dyDescent="0.35">
      <c r="A433" s="166">
        <v>5</v>
      </c>
      <c r="B433" s="142" t="s">
        <v>140</v>
      </c>
      <c r="C433" s="83">
        <f>'1.DATA KIA'!C421</f>
        <v>1067</v>
      </c>
      <c r="D433" s="84">
        <f t="shared" si="176"/>
        <v>374</v>
      </c>
      <c r="E433" s="84">
        <f>E171</f>
        <v>0</v>
      </c>
      <c r="F433" s="84">
        <f t="shared" si="169"/>
        <v>374</v>
      </c>
      <c r="G433" s="86">
        <f t="shared" si="166"/>
        <v>35.051546391752574</v>
      </c>
      <c r="H433" s="84">
        <f t="shared" si="177"/>
        <v>298</v>
      </c>
      <c r="I433" s="84">
        <f>I171</f>
        <v>0</v>
      </c>
      <c r="J433" s="84">
        <f t="shared" si="170"/>
        <v>298</v>
      </c>
      <c r="K433" s="86">
        <f t="shared" si="171"/>
        <v>27.928772258669166</v>
      </c>
      <c r="L433" s="97">
        <f t="shared" ref="L433:X433" si="180">L171</f>
        <v>0</v>
      </c>
      <c r="M433" s="97">
        <f t="shared" si="180"/>
        <v>0</v>
      </c>
      <c r="N433" s="97">
        <f t="shared" si="180"/>
        <v>0</v>
      </c>
      <c r="O433" s="97">
        <f t="shared" si="180"/>
        <v>0</v>
      </c>
      <c r="P433" s="97">
        <f t="shared" si="180"/>
        <v>0</v>
      </c>
      <c r="Q433" s="97">
        <f t="shared" si="180"/>
        <v>0</v>
      </c>
      <c r="R433" s="97">
        <f t="shared" si="180"/>
        <v>0</v>
      </c>
      <c r="S433" s="97">
        <f t="shared" si="180"/>
        <v>0</v>
      </c>
      <c r="T433" s="97">
        <f t="shared" si="180"/>
        <v>0</v>
      </c>
      <c r="U433" s="97">
        <f t="shared" si="180"/>
        <v>0</v>
      </c>
      <c r="V433" s="97">
        <f t="shared" si="180"/>
        <v>0</v>
      </c>
      <c r="W433" s="97">
        <f t="shared" si="180"/>
        <v>0</v>
      </c>
      <c r="X433" s="187">
        <f t="shared" si="180"/>
        <v>0</v>
      </c>
      <c r="Y433" s="158"/>
      <c r="Z433" s="191">
        <f t="shared" ref="Z433:AP433" si="181">Z171</f>
        <v>0</v>
      </c>
      <c r="AA433" s="97">
        <f t="shared" si="181"/>
        <v>0</v>
      </c>
      <c r="AB433" s="97">
        <f t="shared" si="181"/>
        <v>0</v>
      </c>
      <c r="AC433" s="97">
        <f t="shared" si="181"/>
        <v>0</v>
      </c>
      <c r="AD433" s="97">
        <f t="shared" si="181"/>
        <v>0</v>
      </c>
      <c r="AE433" s="97">
        <f t="shared" si="181"/>
        <v>0</v>
      </c>
      <c r="AF433" s="97">
        <f t="shared" si="181"/>
        <v>0</v>
      </c>
      <c r="AG433" s="97">
        <f t="shared" si="181"/>
        <v>0</v>
      </c>
      <c r="AH433" s="97">
        <f t="shared" si="181"/>
        <v>0</v>
      </c>
      <c r="AI433" s="97">
        <f t="shared" si="181"/>
        <v>0</v>
      </c>
      <c r="AJ433" s="97">
        <f t="shared" si="181"/>
        <v>0</v>
      </c>
      <c r="AK433" s="97">
        <f t="shared" si="181"/>
        <v>0</v>
      </c>
      <c r="AL433" s="97">
        <f t="shared" si="181"/>
        <v>0</v>
      </c>
      <c r="AM433" s="97">
        <f t="shared" si="181"/>
        <v>0</v>
      </c>
      <c r="AN433" s="97">
        <f t="shared" si="181"/>
        <v>0</v>
      </c>
      <c r="AO433" s="97">
        <f t="shared" si="181"/>
        <v>0</v>
      </c>
      <c r="AP433" s="187">
        <f t="shared" si="181"/>
        <v>0</v>
      </c>
    </row>
    <row r="434" spans="1:42" ht="25" customHeight="1" x14ac:dyDescent="0.35">
      <c r="A434" s="166">
        <v>6</v>
      </c>
      <c r="B434" s="142" t="s">
        <v>141</v>
      </c>
      <c r="C434" s="83">
        <f>'1.DATA KIA'!C422</f>
        <v>1067</v>
      </c>
      <c r="D434" s="84">
        <f t="shared" si="176"/>
        <v>374</v>
      </c>
      <c r="E434" s="84">
        <f>E206</f>
        <v>0</v>
      </c>
      <c r="F434" s="84">
        <f t="shared" si="169"/>
        <v>374</v>
      </c>
      <c r="G434" s="86">
        <f t="shared" si="166"/>
        <v>35.051546391752574</v>
      </c>
      <c r="H434" s="84">
        <f t="shared" si="177"/>
        <v>298</v>
      </c>
      <c r="I434" s="84">
        <f>I206</f>
        <v>0</v>
      </c>
      <c r="J434" s="84">
        <f t="shared" si="170"/>
        <v>298</v>
      </c>
      <c r="K434" s="86">
        <f t="shared" si="171"/>
        <v>27.928772258669166</v>
      </c>
      <c r="L434" s="97">
        <f t="shared" ref="L434:X434" si="182">L206</f>
        <v>0</v>
      </c>
      <c r="M434" s="97">
        <f t="shared" si="182"/>
        <v>0</v>
      </c>
      <c r="N434" s="97">
        <f t="shared" si="182"/>
        <v>0</v>
      </c>
      <c r="O434" s="97">
        <f t="shared" si="182"/>
        <v>0</v>
      </c>
      <c r="P434" s="97">
        <f t="shared" si="182"/>
        <v>0</v>
      </c>
      <c r="Q434" s="97">
        <f t="shared" si="182"/>
        <v>0</v>
      </c>
      <c r="R434" s="97">
        <f t="shared" si="182"/>
        <v>0</v>
      </c>
      <c r="S434" s="97">
        <f t="shared" si="182"/>
        <v>0</v>
      </c>
      <c r="T434" s="97">
        <f t="shared" si="182"/>
        <v>0</v>
      </c>
      <c r="U434" s="97">
        <f t="shared" si="182"/>
        <v>0</v>
      </c>
      <c r="V434" s="97">
        <f t="shared" si="182"/>
        <v>0</v>
      </c>
      <c r="W434" s="97">
        <f t="shared" si="182"/>
        <v>0</v>
      </c>
      <c r="X434" s="187">
        <f t="shared" si="182"/>
        <v>0</v>
      </c>
      <c r="Y434" s="158"/>
      <c r="Z434" s="191">
        <f t="shared" ref="Z434:AP434" si="183">Z206</f>
        <v>0</v>
      </c>
      <c r="AA434" s="97">
        <f t="shared" si="183"/>
        <v>0</v>
      </c>
      <c r="AB434" s="97">
        <f t="shared" si="183"/>
        <v>0</v>
      </c>
      <c r="AC434" s="97">
        <f t="shared" si="183"/>
        <v>0</v>
      </c>
      <c r="AD434" s="97">
        <f t="shared" si="183"/>
        <v>0</v>
      </c>
      <c r="AE434" s="97">
        <f t="shared" si="183"/>
        <v>0</v>
      </c>
      <c r="AF434" s="97">
        <f t="shared" si="183"/>
        <v>0</v>
      </c>
      <c r="AG434" s="97">
        <f t="shared" si="183"/>
        <v>0</v>
      </c>
      <c r="AH434" s="97">
        <f t="shared" si="183"/>
        <v>0</v>
      </c>
      <c r="AI434" s="97">
        <f t="shared" si="183"/>
        <v>0</v>
      </c>
      <c r="AJ434" s="97">
        <f t="shared" si="183"/>
        <v>0</v>
      </c>
      <c r="AK434" s="97">
        <f t="shared" si="183"/>
        <v>0</v>
      </c>
      <c r="AL434" s="97">
        <f t="shared" si="183"/>
        <v>0</v>
      </c>
      <c r="AM434" s="97">
        <f t="shared" si="183"/>
        <v>0</v>
      </c>
      <c r="AN434" s="97">
        <f t="shared" si="183"/>
        <v>0</v>
      </c>
      <c r="AO434" s="97">
        <f t="shared" si="183"/>
        <v>0</v>
      </c>
      <c r="AP434" s="187">
        <f t="shared" si="183"/>
        <v>0</v>
      </c>
    </row>
    <row r="435" spans="1:42" ht="25" customHeight="1" x14ac:dyDescent="0.35">
      <c r="A435" s="166">
        <v>7</v>
      </c>
      <c r="B435" s="142" t="s">
        <v>142</v>
      </c>
      <c r="C435" s="83">
        <f>'1.DATA KIA'!C423</f>
        <v>1067</v>
      </c>
      <c r="D435" s="84">
        <f t="shared" si="176"/>
        <v>374</v>
      </c>
      <c r="E435" s="84">
        <f>E241</f>
        <v>0</v>
      </c>
      <c r="F435" s="84">
        <f t="shared" si="169"/>
        <v>374</v>
      </c>
      <c r="G435" s="86">
        <f t="shared" si="166"/>
        <v>35.051546391752574</v>
      </c>
      <c r="H435" s="84">
        <f t="shared" si="177"/>
        <v>298</v>
      </c>
      <c r="I435" s="84">
        <f>I241</f>
        <v>0</v>
      </c>
      <c r="J435" s="84">
        <f t="shared" si="170"/>
        <v>298</v>
      </c>
      <c r="K435" s="86">
        <f t="shared" si="171"/>
        <v>27.928772258669166</v>
      </c>
      <c r="L435" s="97">
        <f t="shared" ref="L435:X435" si="184">L241</f>
        <v>0</v>
      </c>
      <c r="M435" s="97">
        <f t="shared" si="184"/>
        <v>0</v>
      </c>
      <c r="N435" s="97">
        <f t="shared" si="184"/>
        <v>0</v>
      </c>
      <c r="O435" s="97">
        <f t="shared" si="184"/>
        <v>0</v>
      </c>
      <c r="P435" s="97">
        <f t="shared" si="184"/>
        <v>0</v>
      </c>
      <c r="Q435" s="97">
        <f t="shared" si="184"/>
        <v>0</v>
      </c>
      <c r="R435" s="97">
        <f t="shared" si="184"/>
        <v>0</v>
      </c>
      <c r="S435" s="97">
        <f t="shared" si="184"/>
        <v>0</v>
      </c>
      <c r="T435" s="97">
        <f t="shared" si="184"/>
        <v>0</v>
      </c>
      <c r="U435" s="97">
        <f t="shared" si="184"/>
        <v>0</v>
      </c>
      <c r="V435" s="97">
        <f t="shared" si="184"/>
        <v>0</v>
      </c>
      <c r="W435" s="97">
        <f t="shared" si="184"/>
        <v>0</v>
      </c>
      <c r="X435" s="187">
        <f t="shared" si="184"/>
        <v>0</v>
      </c>
      <c r="Y435" s="158"/>
      <c r="Z435" s="191">
        <f t="shared" ref="Z435:AP435" si="185">Z241</f>
        <v>0</v>
      </c>
      <c r="AA435" s="97">
        <f t="shared" si="185"/>
        <v>0</v>
      </c>
      <c r="AB435" s="97">
        <f t="shared" si="185"/>
        <v>0</v>
      </c>
      <c r="AC435" s="97">
        <f t="shared" si="185"/>
        <v>0</v>
      </c>
      <c r="AD435" s="97">
        <f t="shared" si="185"/>
        <v>0</v>
      </c>
      <c r="AE435" s="97">
        <f t="shared" si="185"/>
        <v>0</v>
      </c>
      <c r="AF435" s="97">
        <f t="shared" si="185"/>
        <v>0</v>
      </c>
      <c r="AG435" s="97">
        <f t="shared" si="185"/>
        <v>0</v>
      </c>
      <c r="AH435" s="97">
        <f t="shared" si="185"/>
        <v>0</v>
      </c>
      <c r="AI435" s="97">
        <f t="shared" si="185"/>
        <v>0</v>
      </c>
      <c r="AJ435" s="97">
        <f t="shared" si="185"/>
        <v>0</v>
      </c>
      <c r="AK435" s="97">
        <f t="shared" si="185"/>
        <v>0</v>
      </c>
      <c r="AL435" s="97">
        <f t="shared" si="185"/>
        <v>0</v>
      </c>
      <c r="AM435" s="97">
        <f t="shared" si="185"/>
        <v>0</v>
      </c>
      <c r="AN435" s="97">
        <f t="shared" si="185"/>
        <v>0</v>
      </c>
      <c r="AO435" s="97">
        <f t="shared" si="185"/>
        <v>0</v>
      </c>
      <c r="AP435" s="187">
        <f t="shared" si="185"/>
        <v>0</v>
      </c>
    </row>
    <row r="436" spans="1:42" ht="25" customHeight="1" x14ac:dyDescent="0.35">
      <c r="A436" s="166">
        <v>8</v>
      </c>
      <c r="B436" s="142" t="s">
        <v>143</v>
      </c>
      <c r="C436" s="83">
        <f>'1.DATA KIA'!C424</f>
        <v>1067</v>
      </c>
      <c r="D436" s="84">
        <f t="shared" si="176"/>
        <v>374</v>
      </c>
      <c r="E436" s="84">
        <f>E276</f>
        <v>0</v>
      </c>
      <c r="F436" s="84">
        <f t="shared" si="169"/>
        <v>374</v>
      </c>
      <c r="G436" s="86">
        <f t="shared" si="166"/>
        <v>35.051546391752574</v>
      </c>
      <c r="H436" s="84">
        <f t="shared" si="177"/>
        <v>298</v>
      </c>
      <c r="I436" s="84">
        <f>I276</f>
        <v>0</v>
      </c>
      <c r="J436" s="84">
        <f t="shared" si="170"/>
        <v>298</v>
      </c>
      <c r="K436" s="86">
        <f t="shared" si="171"/>
        <v>27.928772258669166</v>
      </c>
      <c r="L436" s="97">
        <f t="shared" ref="L436:X436" si="186">L276</f>
        <v>0</v>
      </c>
      <c r="M436" s="97">
        <f t="shared" si="186"/>
        <v>0</v>
      </c>
      <c r="N436" s="97">
        <f t="shared" si="186"/>
        <v>0</v>
      </c>
      <c r="O436" s="97">
        <f t="shared" si="186"/>
        <v>0</v>
      </c>
      <c r="P436" s="97">
        <f t="shared" si="186"/>
        <v>0</v>
      </c>
      <c r="Q436" s="97">
        <f t="shared" si="186"/>
        <v>0</v>
      </c>
      <c r="R436" s="97">
        <f t="shared" si="186"/>
        <v>0</v>
      </c>
      <c r="S436" s="97">
        <f t="shared" si="186"/>
        <v>0</v>
      </c>
      <c r="T436" s="97">
        <f t="shared" si="186"/>
        <v>0</v>
      </c>
      <c r="U436" s="97">
        <f t="shared" si="186"/>
        <v>0</v>
      </c>
      <c r="V436" s="97">
        <f t="shared" si="186"/>
        <v>0</v>
      </c>
      <c r="W436" s="97">
        <f t="shared" si="186"/>
        <v>0</v>
      </c>
      <c r="X436" s="187">
        <f t="shared" si="186"/>
        <v>0</v>
      </c>
      <c r="Y436" s="158"/>
      <c r="Z436" s="191">
        <f t="shared" ref="Z436:AP436" si="187">Z276</f>
        <v>0</v>
      </c>
      <c r="AA436" s="97">
        <f t="shared" si="187"/>
        <v>0</v>
      </c>
      <c r="AB436" s="97">
        <f t="shared" si="187"/>
        <v>0</v>
      </c>
      <c r="AC436" s="97">
        <f t="shared" si="187"/>
        <v>0</v>
      </c>
      <c r="AD436" s="97">
        <f t="shared" si="187"/>
        <v>0</v>
      </c>
      <c r="AE436" s="97">
        <f t="shared" si="187"/>
        <v>0</v>
      </c>
      <c r="AF436" s="97">
        <f t="shared" si="187"/>
        <v>0</v>
      </c>
      <c r="AG436" s="97">
        <f t="shared" si="187"/>
        <v>0</v>
      </c>
      <c r="AH436" s="97">
        <f t="shared" si="187"/>
        <v>0</v>
      </c>
      <c r="AI436" s="97">
        <f t="shared" si="187"/>
        <v>0</v>
      </c>
      <c r="AJ436" s="97">
        <f t="shared" si="187"/>
        <v>0</v>
      </c>
      <c r="AK436" s="97">
        <f t="shared" si="187"/>
        <v>0</v>
      </c>
      <c r="AL436" s="97">
        <f t="shared" si="187"/>
        <v>0</v>
      </c>
      <c r="AM436" s="97">
        <f t="shared" si="187"/>
        <v>0</v>
      </c>
      <c r="AN436" s="97">
        <f t="shared" si="187"/>
        <v>0</v>
      </c>
      <c r="AO436" s="97">
        <f t="shared" si="187"/>
        <v>0</v>
      </c>
      <c r="AP436" s="187">
        <f t="shared" si="187"/>
        <v>0</v>
      </c>
    </row>
    <row r="437" spans="1:42" ht="25" customHeight="1" x14ac:dyDescent="0.35">
      <c r="A437" s="166">
        <v>9</v>
      </c>
      <c r="B437" s="142" t="s">
        <v>144</v>
      </c>
      <c r="C437" s="83">
        <f>'1.DATA KIA'!C425</f>
        <v>1067</v>
      </c>
      <c r="D437" s="84">
        <f t="shared" si="176"/>
        <v>374</v>
      </c>
      <c r="E437" s="84">
        <f>E311</f>
        <v>0</v>
      </c>
      <c r="F437" s="84">
        <f t="shared" si="169"/>
        <v>374</v>
      </c>
      <c r="G437" s="86">
        <f t="shared" si="166"/>
        <v>35.051546391752574</v>
      </c>
      <c r="H437" s="84">
        <f t="shared" si="177"/>
        <v>298</v>
      </c>
      <c r="I437" s="84">
        <f>I311</f>
        <v>0</v>
      </c>
      <c r="J437" s="84">
        <f t="shared" si="170"/>
        <v>298</v>
      </c>
      <c r="K437" s="86">
        <f t="shared" si="171"/>
        <v>27.928772258669166</v>
      </c>
      <c r="L437" s="97">
        <f t="shared" ref="L437:X437" si="188">L311</f>
        <v>0</v>
      </c>
      <c r="M437" s="97">
        <f t="shared" si="188"/>
        <v>0</v>
      </c>
      <c r="N437" s="97">
        <f t="shared" si="188"/>
        <v>0</v>
      </c>
      <c r="O437" s="97">
        <f t="shared" si="188"/>
        <v>0</v>
      </c>
      <c r="P437" s="97">
        <f t="shared" si="188"/>
        <v>0</v>
      </c>
      <c r="Q437" s="97">
        <f t="shared" si="188"/>
        <v>0</v>
      </c>
      <c r="R437" s="97">
        <f t="shared" si="188"/>
        <v>0</v>
      </c>
      <c r="S437" s="97">
        <f t="shared" si="188"/>
        <v>0</v>
      </c>
      <c r="T437" s="97">
        <f t="shared" si="188"/>
        <v>0</v>
      </c>
      <c r="U437" s="97">
        <f t="shared" si="188"/>
        <v>0</v>
      </c>
      <c r="V437" s="97">
        <f t="shared" si="188"/>
        <v>0</v>
      </c>
      <c r="W437" s="97">
        <f t="shared" si="188"/>
        <v>0</v>
      </c>
      <c r="X437" s="187">
        <f t="shared" si="188"/>
        <v>0</v>
      </c>
      <c r="Y437" s="158"/>
      <c r="Z437" s="191">
        <f t="shared" ref="Z437:AP437" si="189">Z311</f>
        <v>0</v>
      </c>
      <c r="AA437" s="97">
        <f t="shared" si="189"/>
        <v>0</v>
      </c>
      <c r="AB437" s="97">
        <f t="shared" si="189"/>
        <v>0</v>
      </c>
      <c r="AC437" s="97">
        <f t="shared" si="189"/>
        <v>0</v>
      </c>
      <c r="AD437" s="97">
        <f t="shared" si="189"/>
        <v>0</v>
      </c>
      <c r="AE437" s="97">
        <f t="shared" si="189"/>
        <v>0</v>
      </c>
      <c r="AF437" s="97">
        <f t="shared" si="189"/>
        <v>0</v>
      </c>
      <c r="AG437" s="97">
        <f t="shared" si="189"/>
        <v>0</v>
      </c>
      <c r="AH437" s="97">
        <f t="shared" si="189"/>
        <v>0</v>
      </c>
      <c r="AI437" s="97">
        <f t="shared" si="189"/>
        <v>0</v>
      </c>
      <c r="AJ437" s="97">
        <f t="shared" si="189"/>
        <v>0</v>
      </c>
      <c r="AK437" s="97">
        <f t="shared" si="189"/>
        <v>0</v>
      </c>
      <c r="AL437" s="97">
        <f t="shared" si="189"/>
        <v>0</v>
      </c>
      <c r="AM437" s="97">
        <f t="shared" si="189"/>
        <v>0</v>
      </c>
      <c r="AN437" s="97">
        <f t="shared" si="189"/>
        <v>0</v>
      </c>
      <c r="AO437" s="97">
        <f t="shared" si="189"/>
        <v>0</v>
      </c>
      <c r="AP437" s="187">
        <f t="shared" si="189"/>
        <v>0</v>
      </c>
    </row>
    <row r="438" spans="1:42" ht="25" customHeight="1" x14ac:dyDescent="0.35">
      <c r="A438" s="166">
        <v>10</v>
      </c>
      <c r="B438" s="142" t="s">
        <v>146</v>
      </c>
      <c r="C438" s="83">
        <f>'1.DATA KIA'!C426</f>
        <v>1067</v>
      </c>
      <c r="D438" s="84">
        <f t="shared" si="176"/>
        <v>374</v>
      </c>
      <c r="E438" s="84">
        <f>E346</f>
        <v>0</v>
      </c>
      <c r="F438" s="84">
        <f t="shared" si="169"/>
        <v>374</v>
      </c>
      <c r="G438" s="86">
        <f t="shared" si="166"/>
        <v>35.051546391752574</v>
      </c>
      <c r="H438" s="84">
        <f t="shared" si="177"/>
        <v>298</v>
      </c>
      <c r="I438" s="84">
        <f>I346</f>
        <v>0</v>
      </c>
      <c r="J438" s="84">
        <f t="shared" si="170"/>
        <v>298</v>
      </c>
      <c r="K438" s="86">
        <f t="shared" si="171"/>
        <v>27.928772258669166</v>
      </c>
      <c r="L438" s="97">
        <f t="shared" ref="L438:X438" si="190">L346</f>
        <v>0</v>
      </c>
      <c r="M438" s="97">
        <f t="shared" si="190"/>
        <v>0</v>
      </c>
      <c r="N438" s="97">
        <f t="shared" si="190"/>
        <v>0</v>
      </c>
      <c r="O438" s="97">
        <f t="shared" si="190"/>
        <v>0</v>
      </c>
      <c r="P438" s="97">
        <f t="shared" si="190"/>
        <v>0</v>
      </c>
      <c r="Q438" s="97">
        <f t="shared" si="190"/>
        <v>0</v>
      </c>
      <c r="R438" s="97">
        <f t="shared" si="190"/>
        <v>0</v>
      </c>
      <c r="S438" s="97">
        <f t="shared" si="190"/>
        <v>0</v>
      </c>
      <c r="T438" s="97">
        <f t="shared" si="190"/>
        <v>0</v>
      </c>
      <c r="U438" s="97">
        <f t="shared" si="190"/>
        <v>0</v>
      </c>
      <c r="V438" s="97">
        <f t="shared" si="190"/>
        <v>0</v>
      </c>
      <c r="W438" s="97">
        <f t="shared" si="190"/>
        <v>0</v>
      </c>
      <c r="X438" s="187">
        <f t="shared" si="190"/>
        <v>0</v>
      </c>
      <c r="Y438" s="158"/>
      <c r="Z438" s="191">
        <f t="shared" ref="Z438:AP438" si="191">Z346</f>
        <v>0</v>
      </c>
      <c r="AA438" s="97">
        <f t="shared" si="191"/>
        <v>0</v>
      </c>
      <c r="AB438" s="97">
        <f t="shared" si="191"/>
        <v>0</v>
      </c>
      <c r="AC438" s="97">
        <f t="shared" si="191"/>
        <v>0</v>
      </c>
      <c r="AD438" s="97">
        <f t="shared" si="191"/>
        <v>0</v>
      </c>
      <c r="AE438" s="97">
        <f t="shared" si="191"/>
        <v>0</v>
      </c>
      <c r="AF438" s="97">
        <f t="shared" si="191"/>
        <v>0</v>
      </c>
      <c r="AG438" s="97">
        <f t="shared" si="191"/>
        <v>0</v>
      </c>
      <c r="AH438" s="97">
        <f t="shared" si="191"/>
        <v>0</v>
      </c>
      <c r="AI438" s="97">
        <f t="shared" si="191"/>
        <v>0</v>
      </c>
      <c r="AJ438" s="97">
        <f t="shared" si="191"/>
        <v>0</v>
      </c>
      <c r="AK438" s="97">
        <f t="shared" si="191"/>
        <v>0</v>
      </c>
      <c r="AL438" s="97">
        <f t="shared" si="191"/>
        <v>0</v>
      </c>
      <c r="AM438" s="97">
        <f t="shared" si="191"/>
        <v>0</v>
      </c>
      <c r="AN438" s="97">
        <f t="shared" si="191"/>
        <v>0</v>
      </c>
      <c r="AO438" s="97">
        <f t="shared" si="191"/>
        <v>0</v>
      </c>
      <c r="AP438" s="187">
        <f t="shared" si="191"/>
        <v>0</v>
      </c>
    </row>
    <row r="439" spans="1:42" ht="25" customHeight="1" x14ac:dyDescent="0.35">
      <c r="A439" s="166">
        <v>11</v>
      </c>
      <c r="B439" s="142" t="s">
        <v>173</v>
      </c>
      <c r="C439" s="83">
        <f>'1.DATA KIA'!C427</f>
        <v>1067</v>
      </c>
      <c r="D439" s="84">
        <f t="shared" si="176"/>
        <v>374</v>
      </c>
      <c r="E439" s="84">
        <f>E381</f>
        <v>0</v>
      </c>
      <c r="F439" s="84">
        <f t="shared" si="169"/>
        <v>374</v>
      </c>
      <c r="G439" s="86">
        <f t="shared" si="166"/>
        <v>35.051546391752574</v>
      </c>
      <c r="H439" s="84">
        <f t="shared" si="177"/>
        <v>298</v>
      </c>
      <c r="I439" s="84">
        <f>I381</f>
        <v>0</v>
      </c>
      <c r="J439" s="84">
        <f t="shared" si="170"/>
        <v>298</v>
      </c>
      <c r="K439" s="86">
        <f t="shared" si="171"/>
        <v>27.928772258669166</v>
      </c>
      <c r="L439" s="97">
        <f>L381</f>
        <v>0</v>
      </c>
      <c r="M439" s="97">
        <f t="shared" ref="M439:AP439" si="192">M381</f>
        <v>0</v>
      </c>
      <c r="N439" s="97">
        <f t="shared" si="192"/>
        <v>0</v>
      </c>
      <c r="O439" s="97">
        <f t="shared" si="192"/>
        <v>0</v>
      </c>
      <c r="P439" s="97">
        <f t="shared" si="192"/>
        <v>0</v>
      </c>
      <c r="Q439" s="97">
        <f t="shared" si="192"/>
        <v>0</v>
      </c>
      <c r="R439" s="97">
        <f t="shared" si="192"/>
        <v>0</v>
      </c>
      <c r="S439" s="97">
        <f t="shared" si="192"/>
        <v>0</v>
      </c>
      <c r="T439" s="97">
        <f t="shared" si="192"/>
        <v>0</v>
      </c>
      <c r="U439" s="97">
        <f t="shared" si="192"/>
        <v>0</v>
      </c>
      <c r="V439" s="97">
        <f t="shared" si="192"/>
        <v>0</v>
      </c>
      <c r="W439" s="97">
        <f t="shared" si="192"/>
        <v>0</v>
      </c>
      <c r="X439" s="187">
        <f t="shared" si="192"/>
        <v>0</v>
      </c>
      <c r="Y439" s="158"/>
      <c r="Z439" s="191">
        <f t="shared" si="192"/>
        <v>0</v>
      </c>
      <c r="AA439" s="97">
        <f t="shared" si="192"/>
        <v>0</v>
      </c>
      <c r="AB439" s="97">
        <f t="shared" si="192"/>
        <v>0</v>
      </c>
      <c r="AC439" s="97">
        <f t="shared" si="192"/>
        <v>0</v>
      </c>
      <c r="AD439" s="97">
        <f t="shared" si="192"/>
        <v>0</v>
      </c>
      <c r="AE439" s="97">
        <f t="shared" si="192"/>
        <v>0</v>
      </c>
      <c r="AF439" s="97">
        <f t="shared" si="192"/>
        <v>0</v>
      </c>
      <c r="AG439" s="97">
        <f t="shared" si="192"/>
        <v>0</v>
      </c>
      <c r="AH439" s="97">
        <f t="shared" si="192"/>
        <v>0</v>
      </c>
      <c r="AI439" s="97">
        <f t="shared" si="192"/>
        <v>0</v>
      </c>
      <c r="AJ439" s="97">
        <f t="shared" si="192"/>
        <v>0</v>
      </c>
      <c r="AK439" s="97">
        <f t="shared" si="192"/>
        <v>0</v>
      </c>
      <c r="AL439" s="97">
        <f t="shared" si="192"/>
        <v>0</v>
      </c>
      <c r="AM439" s="97">
        <f t="shared" si="192"/>
        <v>0</v>
      </c>
      <c r="AN439" s="97">
        <f t="shared" si="192"/>
        <v>0</v>
      </c>
      <c r="AO439" s="97">
        <f t="shared" si="192"/>
        <v>0</v>
      </c>
      <c r="AP439" s="187">
        <f t="shared" si="192"/>
        <v>0</v>
      </c>
    </row>
    <row r="440" spans="1:42" ht="25" customHeight="1" thickBot="1" x14ac:dyDescent="0.4">
      <c r="A440" s="167">
        <v>12</v>
      </c>
      <c r="B440" s="148" t="s">
        <v>145</v>
      </c>
      <c r="C440" s="124">
        <f>'1.DATA KIA'!C428</f>
        <v>1067</v>
      </c>
      <c r="D440" s="95">
        <f t="shared" si="176"/>
        <v>374</v>
      </c>
      <c r="E440" s="95">
        <f>E416</f>
        <v>0</v>
      </c>
      <c r="F440" s="95">
        <f t="shared" si="169"/>
        <v>374</v>
      </c>
      <c r="G440" s="94">
        <f t="shared" si="166"/>
        <v>35.051546391752574</v>
      </c>
      <c r="H440" s="95">
        <f t="shared" si="177"/>
        <v>298</v>
      </c>
      <c r="I440" s="95">
        <f>I416</f>
        <v>0</v>
      </c>
      <c r="J440" s="95">
        <f t="shared" si="170"/>
        <v>298</v>
      </c>
      <c r="K440" s="94">
        <f t="shared" si="171"/>
        <v>27.928772258669166</v>
      </c>
      <c r="L440" s="149">
        <f>L416</f>
        <v>0</v>
      </c>
      <c r="M440" s="149">
        <f t="shared" ref="M440:AP440" si="193">M416</f>
        <v>0</v>
      </c>
      <c r="N440" s="149">
        <f t="shared" si="193"/>
        <v>0</v>
      </c>
      <c r="O440" s="149">
        <f t="shared" si="193"/>
        <v>0</v>
      </c>
      <c r="P440" s="149">
        <f t="shared" si="193"/>
        <v>0</v>
      </c>
      <c r="Q440" s="149">
        <f t="shared" si="193"/>
        <v>0</v>
      </c>
      <c r="R440" s="149">
        <f t="shared" si="193"/>
        <v>0</v>
      </c>
      <c r="S440" s="149">
        <f t="shared" si="193"/>
        <v>0</v>
      </c>
      <c r="T440" s="149">
        <f t="shared" si="193"/>
        <v>0</v>
      </c>
      <c r="U440" s="149">
        <f t="shared" si="193"/>
        <v>0</v>
      </c>
      <c r="V440" s="149">
        <f t="shared" si="193"/>
        <v>0</v>
      </c>
      <c r="W440" s="149">
        <f t="shared" si="193"/>
        <v>0</v>
      </c>
      <c r="X440" s="188">
        <f t="shared" si="193"/>
        <v>0</v>
      </c>
      <c r="Y440" s="158"/>
      <c r="Z440" s="192">
        <f t="shared" si="193"/>
        <v>0</v>
      </c>
      <c r="AA440" s="149">
        <f t="shared" si="193"/>
        <v>0</v>
      </c>
      <c r="AB440" s="149">
        <f t="shared" si="193"/>
        <v>0</v>
      </c>
      <c r="AC440" s="149">
        <f t="shared" si="193"/>
        <v>0</v>
      </c>
      <c r="AD440" s="149">
        <f t="shared" si="193"/>
        <v>0</v>
      </c>
      <c r="AE440" s="149">
        <f t="shared" si="193"/>
        <v>0</v>
      </c>
      <c r="AF440" s="149">
        <f t="shared" si="193"/>
        <v>0</v>
      </c>
      <c r="AG440" s="149">
        <f t="shared" si="193"/>
        <v>0</v>
      </c>
      <c r="AH440" s="149">
        <f t="shared" si="193"/>
        <v>0</v>
      </c>
      <c r="AI440" s="149">
        <f t="shared" si="193"/>
        <v>0</v>
      </c>
      <c r="AJ440" s="149">
        <f t="shared" si="193"/>
        <v>0</v>
      </c>
      <c r="AK440" s="149">
        <f t="shared" si="193"/>
        <v>0</v>
      </c>
      <c r="AL440" s="149">
        <f t="shared" si="193"/>
        <v>0</v>
      </c>
      <c r="AM440" s="149">
        <f t="shared" si="193"/>
        <v>0</v>
      </c>
      <c r="AN440" s="149">
        <f t="shared" si="193"/>
        <v>0</v>
      </c>
      <c r="AO440" s="149">
        <f t="shared" si="193"/>
        <v>0</v>
      </c>
      <c r="AP440" s="188">
        <f t="shared" si="193"/>
        <v>0</v>
      </c>
    </row>
    <row r="441" spans="1:42" ht="25" customHeight="1" thickBot="1" x14ac:dyDescent="0.4">
      <c r="A441" s="881" t="s">
        <v>18</v>
      </c>
      <c r="B441" s="882"/>
      <c r="C441" s="116">
        <f>C440</f>
        <v>1067</v>
      </c>
      <c r="D441" s="118">
        <f>D440</f>
        <v>374</v>
      </c>
      <c r="E441" s="118">
        <f>E440</f>
        <v>0</v>
      </c>
      <c r="F441" s="118">
        <f>F440</f>
        <v>374</v>
      </c>
      <c r="G441" s="117">
        <f>F441/C441*100</f>
        <v>35.051546391752574</v>
      </c>
      <c r="H441" s="118">
        <f>H440</f>
        <v>298</v>
      </c>
      <c r="I441" s="118">
        <f>I440</f>
        <v>0</v>
      </c>
      <c r="J441" s="118">
        <f>J440</f>
        <v>298</v>
      </c>
      <c r="K441" s="117">
        <f>J441/C441*100</f>
        <v>27.928772258669166</v>
      </c>
      <c r="L441" s="121">
        <f>SUM(L429:L440)</f>
        <v>298</v>
      </c>
      <c r="M441" s="121">
        <f t="shared" ref="M441:X441" si="194">SUM(M429:M440)</f>
        <v>0</v>
      </c>
      <c r="N441" s="121">
        <f t="shared" si="194"/>
        <v>298</v>
      </c>
      <c r="O441" s="121">
        <f t="shared" si="194"/>
        <v>0</v>
      </c>
      <c r="P441" s="121">
        <f t="shared" si="194"/>
        <v>173</v>
      </c>
      <c r="Q441" s="121">
        <f t="shared" si="194"/>
        <v>0</v>
      </c>
      <c r="R441" s="121">
        <f t="shared" si="194"/>
        <v>125</v>
      </c>
      <c r="S441" s="121">
        <f t="shared" si="194"/>
        <v>38</v>
      </c>
      <c r="T441" s="121">
        <f t="shared" si="194"/>
        <v>0</v>
      </c>
      <c r="U441" s="121">
        <f t="shared" si="194"/>
        <v>130</v>
      </c>
      <c r="V441" s="121">
        <f t="shared" si="194"/>
        <v>0</v>
      </c>
      <c r="W441" s="121">
        <f t="shared" si="194"/>
        <v>130</v>
      </c>
      <c r="X441" s="122">
        <f t="shared" si="194"/>
        <v>0</v>
      </c>
      <c r="Y441" s="159"/>
      <c r="Z441" s="189">
        <f t="shared" ref="Z441:AP441" si="195">SUM(Z429:Z440)</f>
        <v>168</v>
      </c>
      <c r="AA441" s="121">
        <f t="shared" si="195"/>
        <v>0</v>
      </c>
      <c r="AB441" s="121">
        <f t="shared" si="195"/>
        <v>130</v>
      </c>
      <c r="AC441" s="121">
        <f t="shared" si="195"/>
        <v>298</v>
      </c>
      <c r="AD441" s="121">
        <f t="shared" si="195"/>
        <v>0</v>
      </c>
      <c r="AE441" s="121">
        <f t="shared" si="195"/>
        <v>298</v>
      </c>
      <c r="AF441" s="121">
        <f t="shared" si="195"/>
        <v>0</v>
      </c>
      <c r="AG441" s="121">
        <f t="shared" si="195"/>
        <v>3</v>
      </c>
      <c r="AH441" s="121">
        <f t="shared" si="195"/>
        <v>0</v>
      </c>
      <c r="AI441" s="121">
        <f t="shared" si="195"/>
        <v>250</v>
      </c>
      <c r="AJ441" s="121">
        <f t="shared" si="195"/>
        <v>3</v>
      </c>
      <c r="AK441" s="121">
        <f t="shared" si="195"/>
        <v>13</v>
      </c>
      <c r="AL441" s="121">
        <f t="shared" si="195"/>
        <v>29</v>
      </c>
      <c r="AM441" s="121">
        <f t="shared" si="195"/>
        <v>298</v>
      </c>
      <c r="AN441" s="121">
        <f t="shared" si="195"/>
        <v>0</v>
      </c>
      <c r="AO441" s="121">
        <f t="shared" si="195"/>
        <v>298</v>
      </c>
      <c r="AP441" s="122">
        <f t="shared" si="195"/>
        <v>0</v>
      </c>
    </row>
    <row r="442" spans="1:42" ht="15.5" x14ac:dyDescent="0.35">
      <c r="A442" s="140"/>
      <c r="B442" s="140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56"/>
      <c r="Z442" s="102"/>
      <c r="AA442" s="102"/>
      <c r="AB442" s="102"/>
      <c r="AC442" s="102"/>
      <c r="AD442" s="102"/>
      <c r="AE442" s="102"/>
      <c r="AF442" s="102"/>
      <c r="AG442" s="102"/>
      <c r="AH442" s="102"/>
      <c r="AI442" s="102"/>
      <c r="AJ442" s="102"/>
      <c r="AK442" s="102"/>
      <c r="AL442" s="102"/>
      <c r="AM442" s="102"/>
      <c r="AN442" s="102"/>
      <c r="AO442" s="102"/>
      <c r="AP442" s="102"/>
    </row>
    <row r="443" spans="1:42" ht="15.5" x14ac:dyDescent="0.35">
      <c r="A443" s="140"/>
      <c r="B443" s="140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56"/>
      <c r="Z443" s="102"/>
      <c r="AA443" s="102"/>
      <c r="AB443" s="102"/>
      <c r="AC443" s="102"/>
      <c r="AD443" s="102"/>
      <c r="AE443" s="102"/>
      <c r="AF443" s="102"/>
      <c r="AG443" s="102"/>
      <c r="AH443" s="102"/>
      <c r="AI443" s="102"/>
      <c r="AJ443" s="102"/>
      <c r="AK443" s="102"/>
      <c r="AL443" s="102"/>
      <c r="AM443" s="102"/>
      <c r="AN443" s="102"/>
      <c r="AO443" s="102"/>
      <c r="AP443" s="102"/>
    </row>
    <row r="444" spans="1:42" ht="15.5" x14ac:dyDescent="0.35">
      <c r="A444" s="140"/>
      <c r="B444" s="140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56"/>
      <c r="Z444" s="102"/>
      <c r="AA444" s="102"/>
      <c r="AB444" s="102"/>
      <c r="AC444" s="102"/>
      <c r="AD444" s="102"/>
      <c r="AE444" s="102"/>
      <c r="AF444" s="102"/>
      <c r="AG444" s="102"/>
      <c r="AH444" s="102"/>
      <c r="AI444" s="102"/>
      <c r="AJ444" s="102"/>
      <c r="AK444" s="102"/>
      <c r="AL444" s="102"/>
      <c r="AM444" s="102"/>
      <c r="AN444" s="102"/>
      <c r="AO444" s="102"/>
      <c r="AP444" s="102"/>
    </row>
    <row r="445" spans="1:42" ht="15.5" x14ac:dyDescent="0.35">
      <c r="A445" s="140"/>
      <c r="B445" s="140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56"/>
      <c r="Z445" s="102"/>
      <c r="AA445" s="102"/>
      <c r="AB445" s="102"/>
      <c r="AC445" s="102"/>
      <c r="AD445" s="102"/>
      <c r="AE445" s="102"/>
      <c r="AF445" s="102"/>
      <c r="AG445" s="102"/>
      <c r="AH445" s="102"/>
      <c r="AI445" s="102"/>
      <c r="AJ445" s="102"/>
      <c r="AK445" s="102"/>
      <c r="AL445" s="102"/>
      <c r="AM445" s="102"/>
      <c r="AN445" s="102"/>
      <c r="AO445" s="102"/>
      <c r="AP445" s="102"/>
    </row>
    <row r="446" spans="1:42" ht="15.5" x14ac:dyDescent="0.35">
      <c r="A446" s="137"/>
      <c r="B446" s="138"/>
      <c r="C446" s="76" t="s">
        <v>64</v>
      </c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101"/>
      <c r="T446" s="101"/>
      <c r="U446" s="101"/>
      <c r="V446" s="101"/>
      <c r="W446" s="101"/>
      <c r="X446" s="101"/>
      <c r="Y446" s="151"/>
      <c r="Z446" s="101"/>
      <c r="AA446" s="101"/>
      <c r="AB446" s="101"/>
      <c r="AC446" s="101"/>
      <c r="AD446" s="101"/>
      <c r="AE446" s="101"/>
      <c r="AF446" s="101"/>
      <c r="AG446" s="101"/>
      <c r="AH446" s="101"/>
      <c r="AI446" s="101"/>
      <c r="AJ446" s="101"/>
      <c r="AK446" s="101"/>
      <c r="AL446" s="101"/>
      <c r="AM446" s="101"/>
      <c r="AN446" s="101"/>
      <c r="AO446" s="101"/>
      <c r="AP446" s="101"/>
    </row>
    <row r="447" spans="1:42" ht="15.5" x14ac:dyDescent="0.35">
      <c r="A447" s="137"/>
      <c r="B447" s="98"/>
      <c r="C447" s="103" t="s">
        <v>197</v>
      </c>
      <c r="D447" s="78"/>
      <c r="E447" s="79">
        <f>PETUNJUK!C61</f>
        <v>0</v>
      </c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101"/>
      <c r="T447" s="101"/>
      <c r="U447" s="101"/>
      <c r="V447" s="101" t="s">
        <v>199</v>
      </c>
      <c r="W447" s="101"/>
      <c r="X447" s="101"/>
      <c r="Y447" s="151"/>
      <c r="Z447" s="101"/>
      <c r="AA447" s="101"/>
      <c r="AB447" s="101"/>
      <c r="AC447" s="101"/>
      <c r="AD447" s="101"/>
      <c r="AE447" s="101"/>
      <c r="AF447" s="101"/>
      <c r="AG447" s="101"/>
      <c r="AH447" s="101"/>
      <c r="AI447" s="101"/>
      <c r="AJ447" s="101"/>
      <c r="AK447" s="101"/>
      <c r="AL447" s="101"/>
      <c r="AM447" s="101"/>
      <c r="AN447" s="101"/>
      <c r="AO447" s="101" t="s">
        <v>200</v>
      </c>
      <c r="AP447" s="101"/>
    </row>
    <row r="448" spans="1:42" ht="15.5" x14ac:dyDescent="0.35">
      <c r="A448" s="137"/>
      <c r="B448" s="139"/>
      <c r="C448" s="104" t="s">
        <v>198</v>
      </c>
      <c r="D448" s="105"/>
      <c r="E448" s="110" t="s">
        <v>404</v>
      </c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1"/>
      <c r="T448" s="101"/>
      <c r="U448" s="101"/>
      <c r="V448" s="101"/>
      <c r="W448" s="101"/>
      <c r="X448" s="101"/>
      <c r="Y448" s="151"/>
      <c r="Z448" s="101"/>
      <c r="AA448" s="101"/>
      <c r="AB448" s="101"/>
      <c r="AC448" s="101"/>
      <c r="AD448" s="101"/>
      <c r="AE448" s="101"/>
      <c r="AF448" s="101"/>
      <c r="AG448" s="101"/>
      <c r="AH448" s="101"/>
      <c r="AI448" s="101"/>
      <c r="AJ448" s="101"/>
      <c r="AK448" s="101"/>
      <c r="AL448" s="101"/>
      <c r="AM448" s="101"/>
      <c r="AN448" s="101"/>
      <c r="AO448" s="101"/>
      <c r="AP448" s="101"/>
    </row>
    <row r="449" spans="1:152" ht="16" thickBot="1" x14ac:dyDescent="0.4">
      <c r="A449" s="870"/>
      <c r="B449" s="870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1"/>
      <c r="T449" s="101"/>
      <c r="U449" s="101"/>
      <c r="V449" s="101"/>
      <c r="W449" s="101"/>
      <c r="X449" s="101"/>
      <c r="Y449" s="151"/>
      <c r="Z449" s="101"/>
      <c r="AA449" s="101"/>
      <c r="AB449" s="101"/>
      <c r="AC449" s="101"/>
      <c r="AD449" s="101"/>
      <c r="AE449" s="101"/>
      <c r="AF449" s="101"/>
      <c r="AG449" s="101"/>
      <c r="AH449" s="101"/>
      <c r="AI449" s="101"/>
      <c r="AJ449" s="101"/>
      <c r="AK449" s="101"/>
      <c r="AL449" s="101"/>
      <c r="AM449" s="101"/>
      <c r="AN449" s="101"/>
      <c r="AO449" s="101"/>
      <c r="AP449" s="101"/>
    </row>
    <row r="450" spans="1:152" s="111" customFormat="1" ht="41.5" customHeight="1" x14ac:dyDescent="0.35">
      <c r="A450" s="871" t="s">
        <v>1</v>
      </c>
      <c r="B450" s="874" t="s">
        <v>2</v>
      </c>
      <c r="C450" s="877" t="s">
        <v>65</v>
      </c>
      <c r="D450" s="847" t="s">
        <v>66</v>
      </c>
      <c r="E450" s="848"/>
      <c r="F450" s="848"/>
      <c r="G450" s="880"/>
      <c r="H450" s="859" t="s">
        <v>194</v>
      </c>
      <c r="I450" s="860"/>
      <c r="J450" s="860"/>
      <c r="K450" s="861"/>
      <c r="L450" s="847" t="s">
        <v>67</v>
      </c>
      <c r="M450" s="848"/>
      <c r="N450" s="848"/>
      <c r="O450" s="848"/>
      <c r="P450" s="848"/>
      <c r="Q450" s="848"/>
      <c r="R450" s="848"/>
      <c r="S450" s="848"/>
      <c r="T450" s="848"/>
      <c r="U450" s="848"/>
      <c r="V450" s="848"/>
      <c r="W450" s="848"/>
      <c r="X450" s="849"/>
      <c r="Y450" s="152"/>
      <c r="Z450" s="850" t="s">
        <v>79</v>
      </c>
      <c r="AA450" s="851"/>
      <c r="AB450" s="851"/>
      <c r="AC450" s="851"/>
      <c r="AD450" s="851"/>
      <c r="AE450" s="851"/>
      <c r="AF450" s="851"/>
      <c r="AG450" s="851"/>
      <c r="AH450" s="851"/>
      <c r="AI450" s="851"/>
      <c r="AJ450" s="851"/>
      <c r="AK450" s="851"/>
      <c r="AL450" s="851"/>
      <c r="AM450" s="851"/>
      <c r="AN450" s="851"/>
      <c r="AO450" s="851"/>
      <c r="AP450" s="852"/>
      <c r="AQ450" s="280"/>
      <c r="AR450" s="280"/>
      <c r="AS450" s="280"/>
      <c r="AT450" s="280"/>
      <c r="AU450" s="280"/>
      <c r="AV450" s="280"/>
      <c r="AW450" s="280"/>
      <c r="AX450" s="280"/>
      <c r="AY450" s="280"/>
      <c r="AZ450" s="280"/>
      <c r="BA450" s="280"/>
      <c r="BB450" s="280"/>
      <c r="BC450" s="280"/>
      <c r="BD450" s="280"/>
      <c r="BE450" s="280"/>
      <c r="BF450" s="280"/>
      <c r="BG450" s="280"/>
      <c r="BH450" s="280"/>
      <c r="BI450" s="280"/>
      <c r="BJ450" s="280"/>
      <c r="BK450" s="280"/>
      <c r="BL450" s="280"/>
      <c r="BM450" s="280"/>
      <c r="BN450" s="280"/>
      <c r="BO450" s="280"/>
      <c r="BP450" s="280"/>
      <c r="BQ450" s="280"/>
      <c r="BR450" s="280"/>
      <c r="BS450" s="280"/>
      <c r="BT450" s="280"/>
      <c r="BU450" s="280"/>
      <c r="BV450" s="280"/>
      <c r="BW450" s="280"/>
      <c r="BX450" s="280"/>
      <c r="BY450" s="280"/>
      <c r="BZ450" s="280"/>
      <c r="CA450" s="280"/>
      <c r="CB450" s="280"/>
      <c r="CC450" s="280"/>
      <c r="CD450" s="280"/>
      <c r="CE450" s="280"/>
      <c r="CF450" s="280"/>
      <c r="CG450" s="280"/>
      <c r="CH450" s="280"/>
      <c r="CI450" s="280"/>
      <c r="CJ450" s="280"/>
      <c r="CK450" s="280"/>
      <c r="CL450" s="280"/>
      <c r="CM450" s="280"/>
      <c r="CN450" s="280"/>
      <c r="CO450" s="280"/>
      <c r="CP450" s="280"/>
      <c r="CQ450" s="280"/>
      <c r="CR450" s="280"/>
      <c r="CS450" s="280"/>
      <c r="CT450" s="280"/>
      <c r="CU450" s="280"/>
      <c r="CV450" s="280"/>
      <c r="CW450" s="280"/>
      <c r="CX450" s="280"/>
      <c r="CY450" s="280"/>
      <c r="CZ450" s="280"/>
      <c r="DA450" s="280"/>
      <c r="DB450" s="280"/>
      <c r="DC450" s="280"/>
      <c r="DD450" s="280"/>
      <c r="DE450" s="280"/>
      <c r="DF450" s="280"/>
      <c r="DG450" s="280"/>
      <c r="DH450" s="280"/>
      <c r="DI450" s="280"/>
      <c r="DJ450" s="280"/>
      <c r="DK450" s="280"/>
      <c r="DL450" s="280"/>
      <c r="DM450" s="280"/>
      <c r="DN450" s="280"/>
      <c r="DO450" s="280"/>
      <c r="DP450" s="280"/>
      <c r="DQ450" s="280"/>
      <c r="DR450" s="280"/>
      <c r="DS450" s="280"/>
      <c r="DT450" s="280"/>
      <c r="DU450" s="280"/>
      <c r="DV450" s="280"/>
      <c r="DW450" s="280"/>
      <c r="DX450" s="280"/>
      <c r="DY450" s="280"/>
      <c r="DZ450" s="280"/>
      <c r="EA450" s="280"/>
      <c r="EB450" s="280"/>
      <c r="EC450" s="280"/>
      <c r="ED450" s="280"/>
      <c r="EE450" s="280"/>
      <c r="EF450" s="280"/>
      <c r="EG450" s="280"/>
      <c r="EH450" s="280"/>
      <c r="EI450" s="280"/>
      <c r="EJ450" s="280"/>
      <c r="EK450" s="280"/>
      <c r="EL450" s="280"/>
      <c r="EM450" s="280"/>
      <c r="EN450" s="280"/>
      <c r="EO450" s="280"/>
      <c r="EP450" s="280"/>
      <c r="EQ450" s="280"/>
      <c r="ER450" s="280"/>
      <c r="ES450" s="280"/>
      <c r="ET450" s="280"/>
      <c r="EU450" s="280"/>
      <c r="EV450" s="280"/>
    </row>
    <row r="451" spans="1:152" s="111" customFormat="1" ht="99" customHeight="1" x14ac:dyDescent="0.35">
      <c r="A451" s="872"/>
      <c r="B451" s="875"/>
      <c r="C451" s="878"/>
      <c r="D451" s="853" t="s">
        <v>68</v>
      </c>
      <c r="E451" s="856" t="s">
        <v>69</v>
      </c>
      <c r="F451" s="856" t="s">
        <v>36</v>
      </c>
      <c r="G451" s="856" t="s">
        <v>37</v>
      </c>
      <c r="H451" s="853" t="s">
        <v>68</v>
      </c>
      <c r="I451" s="856" t="s">
        <v>69</v>
      </c>
      <c r="J451" s="856" t="s">
        <v>36</v>
      </c>
      <c r="K451" s="856" t="s">
        <v>37</v>
      </c>
      <c r="L451" s="865" t="s">
        <v>196</v>
      </c>
      <c r="M451" s="866"/>
      <c r="N451" s="867" t="s">
        <v>70</v>
      </c>
      <c r="O451" s="868"/>
      <c r="P451" s="865" t="s">
        <v>71</v>
      </c>
      <c r="Q451" s="869"/>
      <c r="R451" s="866"/>
      <c r="S451" s="838" t="s">
        <v>80</v>
      </c>
      <c r="T451" s="838"/>
      <c r="U451" s="838"/>
      <c r="V451" s="838"/>
      <c r="W451" s="838"/>
      <c r="X451" s="832"/>
      <c r="Y451" s="153"/>
      <c r="Z451" s="839" t="s">
        <v>81</v>
      </c>
      <c r="AA451" s="838"/>
      <c r="AB451" s="838"/>
      <c r="AC451" s="840" t="s">
        <v>195</v>
      </c>
      <c r="AD451" s="841"/>
      <c r="AE451" s="862" t="s">
        <v>82</v>
      </c>
      <c r="AF451" s="863"/>
      <c r="AG451" s="862" t="s">
        <v>83</v>
      </c>
      <c r="AH451" s="864"/>
      <c r="AI451" s="864"/>
      <c r="AJ451" s="864"/>
      <c r="AK451" s="864"/>
      <c r="AL451" s="863"/>
      <c r="AM451" s="831" t="s">
        <v>84</v>
      </c>
      <c r="AN451" s="838"/>
      <c r="AO451" s="838"/>
      <c r="AP451" s="832"/>
      <c r="AQ451" s="280"/>
      <c r="AR451" s="280"/>
      <c r="AS451" s="280"/>
      <c r="AT451" s="280"/>
      <c r="AU451" s="280"/>
      <c r="AV451" s="280"/>
      <c r="AW451" s="280"/>
      <c r="AX451" s="280"/>
      <c r="AY451" s="280"/>
      <c r="AZ451" s="280"/>
      <c r="BA451" s="280"/>
      <c r="BB451" s="280"/>
      <c r="BC451" s="280"/>
      <c r="BD451" s="280"/>
      <c r="BE451" s="280"/>
      <c r="BF451" s="280"/>
      <c r="BG451" s="280"/>
      <c r="BH451" s="280"/>
      <c r="BI451" s="280"/>
      <c r="BJ451" s="280"/>
      <c r="BK451" s="280"/>
      <c r="BL451" s="280"/>
      <c r="BM451" s="280"/>
      <c r="BN451" s="280"/>
      <c r="BO451" s="280"/>
      <c r="BP451" s="280"/>
      <c r="BQ451" s="280"/>
      <c r="BR451" s="280"/>
      <c r="BS451" s="280"/>
      <c r="BT451" s="280"/>
      <c r="BU451" s="280"/>
      <c r="BV451" s="280"/>
      <c r="BW451" s="280"/>
      <c r="BX451" s="280"/>
      <c r="BY451" s="280"/>
      <c r="BZ451" s="280"/>
      <c r="CA451" s="280"/>
      <c r="CB451" s="280"/>
      <c r="CC451" s="280"/>
      <c r="CD451" s="280"/>
      <c r="CE451" s="280"/>
      <c r="CF451" s="280"/>
      <c r="CG451" s="280"/>
      <c r="CH451" s="280"/>
      <c r="CI451" s="280"/>
      <c r="CJ451" s="280"/>
      <c r="CK451" s="280"/>
      <c r="CL451" s="280"/>
      <c r="CM451" s="280"/>
      <c r="CN451" s="280"/>
      <c r="CO451" s="280"/>
      <c r="CP451" s="280"/>
      <c r="CQ451" s="280"/>
      <c r="CR451" s="280"/>
      <c r="CS451" s="280"/>
      <c r="CT451" s="280"/>
      <c r="CU451" s="280"/>
      <c r="CV451" s="280"/>
      <c r="CW451" s="280"/>
      <c r="CX451" s="280"/>
      <c r="CY451" s="280"/>
      <c r="CZ451" s="280"/>
      <c r="DA451" s="280"/>
      <c r="DB451" s="280"/>
      <c r="DC451" s="280"/>
      <c r="DD451" s="280"/>
      <c r="DE451" s="280"/>
      <c r="DF451" s="280"/>
      <c r="DG451" s="280"/>
      <c r="DH451" s="280"/>
      <c r="DI451" s="280"/>
      <c r="DJ451" s="280"/>
      <c r="DK451" s="280"/>
      <c r="DL451" s="280"/>
      <c r="DM451" s="280"/>
      <c r="DN451" s="280"/>
      <c r="DO451" s="280"/>
      <c r="DP451" s="280"/>
      <c r="DQ451" s="280"/>
      <c r="DR451" s="280"/>
      <c r="DS451" s="280"/>
      <c r="DT451" s="280"/>
      <c r="DU451" s="280"/>
      <c r="DV451" s="280"/>
      <c r="DW451" s="280"/>
      <c r="DX451" s="280"/>
      <c r="DY451" s="280"/>
      <c r="DZ451" s="280"/>
      <c r="EA451" s="280"/>
      <c r="EB451" s="280"/>
      <c r="EC451" s="280"/>
      <c r="ED451" s="280"/>
      <c r="EE451" s="280"/>
      <c r="EF451" s="280"/>
      <c r="EG451" s="280"/>
      <c r="EH451" s="280"/>
      <c r="EI451" s="280"/>
      <c r="EJ451" s="280"/>
      <c r="EK451" s="280"/>
      <c r="EL451" s="280"/>
      <c r="EM451" s="280"/>
      <c r="EN451" s="280"/>
      <c r="EO451" s="280"/>
      <c r="EP451" s="280"/>
      <c r="EQ451" s="280"/>
      <c r="ER451" s="280"/>
      <c r="ES451" s="280"/>
      <c r="ET451" s="280"/>
      <c r="EU451" s="280"/>
      <c r="EV451" s="280"/>
    </row>
    <row r="452" spans="1:152" s="111" customFormat="1" ht="21.75" customHeight="1" x14ac:dyDescent="0.35">
      <c r="A452" s="872"/>
      <c r="B452" s="875"/>
      <c r="C452" s="878"/>
      <c r="D452" s="854"/>
      <c r="E452" s="857"/>
      <c r="F452" s="857"/>
      <c r="G452" s="857"/>
      <c r="H452" s="854"/>
      <c r="I452" s="857"/>
      <c r="J452" s="857"/>
      <c r="K452" s="857"/>
      <c r="L452" s="856" t="s">
        <v>72</v>
      </c>
      <c r="M452" s="856" t="s">
        <v>73</v>
      </c>
      <c r="N452" s="856" t="s">
        <v>74</v>
      </c>
      <c r="O452" s="856" t="s">
        <v>75</v>
      </c>
      <c r="P452" s="856" t="s">
        <v>76</v>
      </c>
      <c r="Q452" s="856" t="s">
        <v>77</v>
      </c>
      <c r="R452" s="856" t="s">
        <v>78</v>
      </c>
      <c r="S452" s="836" t="s">
        <v>85</v>
      </c>
      <c r="T452" s="842" t="s">
        <v>86</v>
      </c>
      <c r="U452" s="842" t="s">
        <v>87</v>
      </c>
      <c r="V452" s="842" t="s">
        <v>88</v>
      </c>
      <c r="W452" s="831" t="s">
        <v>89</v>
      </c>
      <c r="X452" s="832"/>
      <c r="Y452" s="153"/>
      <c r="Z452" s="844" t="s">
        <v>90</v>
      </c>
      <c r="AA452" s="834" t="s">
        <v>77</v>
      </c>
      <c r="AB452" s="834" t="s">
        <v>76</v>
      </c>
      <c r="AC452" s="834" t="s">
        <v>93</v>
      </c>
      <c r="AD452" s="834" t="s">
        <v>2</v>
      </c>
      <c r="AE452" s="834" t="s">
        <v>93</v>
      </c>
      <c r="AF452" s="834" t="s">
        <v>2</v>
      </c>
      <c r="AG452" s="834" t="s">
        <v>94</v>
      </c>
      <c r="AH452" s="834" t="s">
        <v>95</v>
      </c>
      <c r="AI452" s="834" t="s">
        <v>96</v>
      </c>
      <c r="AJ452" s="834" t="s">
        <v>97</v>
      </c>
      <c r="AK452" s="834" t="s">
        <v>98</v>
      </c>
      <c r="AL452" s="834" t="s">
        <v>99</v>
      </c>
      <c r="AM452" s="831" t="s">
        <v>91</v>
      </c>
      <c r="AN452" s="846"/>
      <c r="AO452" s="831" t="s">
        <v>7</v>
      </c>
      <c r="AP452" s="832"/>
      <c r="AQ452" s="280"/>
      <c r="AR452" s="280"/>
      <c r="AS452" s="280"/>
      <c r="AT452" s="280"/>
      <c r="AU452" s="280"/>
      <c r="AV452" s="280"/>
      <c r="AW452" s="280"/>
      <c r="AX452" s="280"/>
      <c r="AY452" s="280"/>
      <c r="AZ452" s="280"/>
      <c r="BA452" s="280"/>
      <c r="BB452" s="280"/>
      <c r="BC452" s="280"/>
      <c r="BD452" s="280"/>
      <c r="BE452" s="280"/>
      <c r="BF452" s="280"/>
      <c r="BG452" s="280"/>
      <c r="BH452" s="280"/>
      <c r="BI452" s="280"/>
      <c r="BJ452" s="280"/>
      <c r="BK452" s="280"/>
      <c r="BL452" s="280"/>
      <c r="BM452" s="280"/>
      <c r="BN452" s="280"/>
      <c r="BO452" s="280"/>
      <c r="BP452" s="280"/>
      <c r="BQ452" s="280"/>
      <c r="BR452" s="280"/>
      <c r="BS452" s="280"/>
      <c r="BT452" s="280"/>
      <c r="BU452" s="280"/>
      <c r="BV452" s="280"/>
      <c r="BW452" s="280"/>
      <c r="BX452" s="280"/>
      <c r="BY452" s="280"/>
      <c r="BZ452" s="280"/>
      <c r="CA452" s="280"/>
      <c r="CB452" s="280"/>
      <c r="CC452" s="280"/>
      <c r="CD452" s="280"/>
      <c r="CE452" s="280"/>
      <c r="CF452" s="280"/>
      <c r="CG452" s="280"/>
      <c r="CH452" s="280"/>
      <c r="CI452" s="280"/>
      <c r="CJ452" s="280"/>
      <c r="CK452" s="280"/>
      <c r="CL452" s="280"/>
      <c r="CM452" s="280"/>
      <c r="CN452" s="280"/>
      <c r="CO452" s="280"/>
      <c r="CP452" s="280"/>
      <c r="CQ452" s="280"/>
      <c r="CR452" s="280"/>
      <c r="CS452" s="280"/>
      <c r="CT452" s="280"/>
      <c r="CU452" s="280"/>
      <c r="CV452" s="280"/>
      <c r="CW452" s="280"/>
      <c r="CX452" s="280"/>
      <c r="CY452" s="280"/>
      <c r="CZ452" s="280"/>
      <c r="DA452" s="280"/>
      <c r="DB452" s="280"/>
      <c r="DC452" s="280"/>
      <c r="DD452" s="280"/>
      <c r="DE452" s="280"/>
      <c r="DF452" s="280"/>
      <c r="DG452" s="280"/>
      <c r="DH452" s="280"/>
      <c r="DI452" s="280"/>
      <c r="DJ452" s="280"/>
      <c r="DK452" s="280"/>
      <c r="DL452" s="280"/>
      <c r="DM452" s="280"/>
      <c r="DN452" s="280"/>
      <c r="DO452" s="280"/>
      <c r="DP452" s="280"/>
      <c r="DQ452" s="280"/>
      <c r="DR452" s="280"/>
      <c r="DS452" s="280"/>
      <c r="DT452" s="280"/>
      <c r="DU452" s="280"/>
      <c r="DV452" s="280"/>
      <c r="DW452" s="280"/>
      <c r="DX452" s="280"/>
      <c r="DY452" s="280"/>
      <c r="DZ452" s="280"/>
      <c r="EA452" s="280"/>
      <c r="EB452" s="280"/>
      <c r="EC452" s="280"/>
      <c r="ED452" s="280"/>
      <c r="EE452" s="280"/>
      <c r="EF452" s="280"/>
      <c r="EG452" s="280"/>
      <c r="EH452" s="280"/>
      <c r="EI452" s="280"/>
      <c r="EJ452" s="280"/>
      <c r="EK452" s="280"/>
      <c r="EL452" s="280"/>
      <c r="EM452" s="280"/>
      <c r="EN452" s="280"/>
      <c r="EO452" s="280"/>
      <c r="EP452" s="280"/>
      <c r="EQ452" s="280"/>
      <c r="ER452" s="280"/>
      <c r="ES452" s="280"/>
      <c r="ET452" s="280"/>
      <c r="EU452" s="280"/>
      <c r="EV452" s="280"/>
    </row>
    <row r="453" spans="1:152" s="111" customFormat="1" ht="22.5" customHeight="1" x14ac:dyDescent="0.35">
      <c r="A453" s="873"/>
      <c r="B453" s="875"/>
      <c r="C453" s="878"/>
      <c r="D453" s="854"/>
      <c r="E453" s="857"/>
      <c r="F453" s="857"/>
      <c r="G453" s="857"/>
      <c r="H453" s="854"/>
      <c r="I453" s="857"/>
      <c r="J453" s="857"/>
      <c r="K453" s="857"/>
      <c r="L453" s="857"/>
      <c r="M453" s="857"/>
      <c r="N453" s="857"/>
      <c r="O453" s="857"/>
      <c r="P453" s="857"/>
      <c r="Q453" s="857"/>
      <c r="R453" s="857"/>
      <c r="S453" s="896"/>
      <c r="T453" s="897"/>
      <c r="U453" s="897"/>
      <c r="V453" s="897"/>
      <c r="W453" s="128" t="s">
        <v>76</v>
      </c>
      <c r="X453" s="178" t="s">
        <v>92</v>
      </c>
      <c r="Y453" s="153"/>
      <c r="Z453" s="895"/>
      <c r="AA453" s="890"/>
      <c r="AB453" s="890"/>
      <c r="AC453" s="890"/>
      <c r="AD453" s="890"/>
      <c r="AE453" s="890"/>
      <c r="AF453" s="890"/>
      <c r="AG453" s="890"/>
      <c r="AH453" s="890"/>
      <c r="AI453" s="890"/>
      <c r="AJ453" s="890"/>
      <c r="AK453" s="890"/>
      <c r="AL453" s="890"/>
      <c r="AM453" s="128" t="s">
        <v>100</v>
      </c>
      <c r="AN453" s="128" t="s">
        <v>101</v>
      </c>
      <c r="AO453" s="128" t="s">
        <v>100</v>
      </c>
      <c r="AP453" s="178" t="s">
        <v>101</v>
      </c>
      <c r="AQ453" s="280"/>
      <c r="AR453" s="280"/>
      <c r="AS453" s="280"/>
      <c r="AT453" s="280"/>
      <c r="AU453" s="280"/>
      <c r="AV453" s="280"/>
      <c r="AW453" s="280"/>
      <c r="AX453" s="280"/>
      <c r="AY453" s="280"/>
      <c r="AZ453" s="280"/>
      <c r="BA453" s="280"/>
      <c r="BB453" s="280"/>
      <c r="BC453" s="280"/>
      <c r="BD453" s="280"/>
      <c r="BE453" s="280"/>
      <c r="BF453" s="280"/>
      <c r="BG453" s="280"/>
      <c r="BH453" s="280"/>
      <c r="BI453" s="280"/>
      <c r="BJ453" s="280"/>
      <c r="BK453" s="280"/>
      <c r="BL453" s="280"/>
      <c r="BM453" s="280"/>
      <c r="BN453" s="280"/>
      <c r="BO453" s="280"/>
      <c r="BP453" s="280"/>
      <c r="BQ453" s="280"/>
      <c r="BR453" s="280"/>
      <c r="BS453" s="280"/>
      <c r="BT453" s="280"/>
      <c r="BU453" s="280"/>
      <c r="BV453" s="280"/>
      <c r="BW453" s="280"/>
      <c r="BX453" s="280"/>
      <c r="BY453" s="280"/>
      <c r="BZ453" s="280"/>
      <c r="CA453" s="280"/>
      <c r="CB453" s="280"/>
      <c r="CC453" s="280"/>
      <c r="CD453" s="280"/>
      <c r="CE453" s="280"/>
      <c r="CF453" s="280"/>
      <c r="CG453" s="280"/>
      <c r="CH453" s="280"/>
      <c r="CI453" s="280"/>
      <c r="CJ453" s="280"/>
      <c r="CK453" s="280"/>
      <c r="CL453" s="280"/>
      <c r="CM453" s="280"/>
      <c r="CN453" s="280"/>
      <c r="CO453" s="280"/>
      <c r="CP453" s="280"/>
      <c r="CQ453" s="280"/>
      <c r="CR453" s="280"/>
      <c r="CS453" s="280"/>
      <c r="CT453" s="280"/>
      <c r="CU453" s="280"/>
      <c r="CV453" s="280"/>
      <c r="CW453" s="280"/>
      <c r="CX453" s="280"/>
      <c r="CY453" s="280"/>
      <c r="CZ453" s="280"/>
      <c r="DA453" s="280"/>
      <c r="DB453" s="280"/>
      <c r="DC453" s="280"/>
      <c r="DD453" s="280"/>
      <c r="DE453" s="280"/>
      <c r="DF453" s="280"/>
      <c r="DG453" s="280"/>
      <c r="DH453" s="280"/>
      <c r="DI453" s="280"/>
      <c r="DJ453" s="280"/>
      <c r="DK453" s="280"/>
      <c r="DL453" s="280"/>
      <c r="DM453" s="280"/>
      <c r="DN453" s="280"/>
      <c r="DO453" s="280"/>
      <c r="DP453" s="280"/>
      <c r="DQ453" s="280"/>
      <c r="DR453" s="280"/>
      <c r="DS453" s="280"/>
      <c r="DT453" s="280"/>
      <c r="DU453" s="280"/>
      <c r="DV453" s="280"/>
      <c r="DW453" s="280"/>
      <c r="DX453" s="280"/>
      <c r="DY453" s="280"/>
      <c r="DZ453" s="280"/>
      <c r="EA453" s="280"/>
      <c r="EB453" s="280"/>
      <c r="EC453" s="280"/>
      <c r="ED453" s="280"/>
      <c r="EE453" s="280"/>
      <c r="EF453" s="280"/>
      <c r="EG453" s="280"/>
      <c r="EH453" s="280"/>
      <c r="EI453" s="280"/>
      <c r="EJ453" s="280"/>
      <c r="EK453" s="280"/>
      <c r="EL453" s="280"/>
      <c r="EM453" s="280"/>
      <c r="EN453" s="280"/>
      <c r="EO453" s="280"/>
      <c r="EP453" s="280"/>
      <c r="EQ453" s="280"/>
      <c r="ER453" s="280"/>
      <c r="ES453" s="280"/>
      <c r="ET453" s="280"/>
      <c r="EU453" s="280"/>
      <c r="EV453" s="280"/>
    </row>
    <row r="454" spans="1:152" ht="20.149999999999999" customHeight="1" x14ac:dyDescent="0.35">
      <c r="A454" s="164">
        <v>1</v>
      </c>
      <c r="B454" s="99" t="str">
        <f>PETUNJUK!B9</f>
        <v>Pecangaan Kulon</v>
      </c>
      <c r="C454" s="80">
        <f>C394</f>
        <v>101.2</v>
      </c>
      <c r="D454" s="300">
        <f t="shared" ref="D454:F470" si="196">D9+D44+D79+D114+D149+D184+D219+D254+D289+D324+D359+D394</f>
        <v>284</v>
      </c>
      <c r="E454" s="300">
        <f t="shared" si="196"/>
        <v>30</v>
      </c>
      <c r="F454" s="300">
        <f t="shared" si="196"/>
        <v>314</v>
      </c>
      <c r="G454" s="300">
        <f>F454/C454*100</f>
        <v>310.27667984189719</v>
      </c>
      <c r="H454" s="300">
        <f t="shared" ref="H454:J470" si="197">H9+H44+H79+H114+H149+H184+H219+H254+H289+H324+H359+H394</f>
        <v>282</v>
      </c>
      <c r="I454" s="300">
        <f t="shared" si="197"/>
        <v>29</v>
      </c>
      <c r="J454" s="300">
        <f t="shared" si="197"/>
        <v>311</v>
      </c>
      <c r="K454" s="300">
        <f>J454/C454*100</f>
        <v>307.31225296442688</v>
      </c>
      <c r="L454" s="300">
        <f t="shared" ref="L454:X454" si="198">L9+L44+L79+L114+L149+L184+L219+L254+L289+L324+L359+L394</f>
        <v>29</v>
      </c>
      <c r="M454" s="300">
        <f t="shared" si="198"/>
        <v>0</v>
      </c>
      <c r="N454" s="300">
        <f t="shared" si="198"/>
        <v>29</v>
      </c>
      <c r="O454" s="300">
        <f t="shared" si="198"/>
        <v>0</v>
      </c>
      <c r="P454" s="300">
        <f t="shared" si="198"/>
        <v>16</v>
      </c>
      <c r="Q454" s="300">
        <f t="shared" si="198"/>
        <v>0</v>
      </c>
      <c r="R454" s="300">
        <f t="shared" si="198"/>
        <v>13</v>
      </c>
      <c r="S454" s="300">
        <f t="shared" si="198"/>
        <v>1</v>
      </c>
      <c r="T454" s="300">
        <f t="shared" si="198"/>
        <v>0</v>
      </c>
      <c r="U454" s="300">
        <f t="shared" si="198"/>
        <v>13</v>
      </c>
      <c r="V454" s="300">
        <f t="shared" si="198"/>
        <v>0</v>
      </c>
      <c r="W454" s="300">
        <f t="shared" si="198"/>
        <v>15</v>
      </c>
      <c r="X454" s="303">
        <f t="shared" si="198"/>
        <v>0</v>
      </c>
      <c r="Y454" s="304"/>
      <c r="Z454" s="305">
        <f t="shared" ref="Z454:AP454" si="199">Z9+Z44+Z79+Z114+Z149+Z184+Z219+Z254+Z289+Z324+Z359+Z394</f>
        <v>16</v>
      </c>
      <c r="AA454" s="300">
        <f t="shared" si="199"/>
        <v>0</v>
      </c>
      <c r="AB454" s="300">
        <f t="shared" si="199"/>
        <v>13</v>
      </c>
      <c r="AC454" s="300">
        <f t="shared" si="199"/>
        <v>29</v>
      </c>
      <c r="AD454" s="300">
        <f t="shared" si="199"/>
        <v>0</v>
      </c>
      <c r="AE454" s="300">
        <f t="shared" si="199"/>
        <v>29</v>
      </c>
      <c r="AF454" s="300">
        <f t="shared" si="199"/>
        <v>0</v>
      </c>
      <c r="AG454" s="300">
        <f t="shared" si="199"/>
        <v>3</v>
      </c>
      <c r="AH454" s="300">
        <f t="shared" si="199"/>
        <v>0</v>
      </c>
      <c r="AI454" s="300">
        <f t="shared" si="199"/>
        <v>12</v>
      </c>
      <c r="AJ454" s="300">
        <f t="shared" si="199"/>
        <v>1</v>
      </c>
      <c r="AK454" s="300">
        <f t="shared" si="199"/>
        <v>1</v>
      </c>
      <c r="AL454" s="300">
        <f t="shared" si="199"/>
        <v>12</v>
      </c>
      <c r="AM454" s="300">
        <f t="shared" si="199"/>
        <v>29</v>
      </c>
      <c r="AN454" s="300">
        <f t="shared" si="199"/>
        <v>0</v>
      </c>
      <c r="AO454" s="300">
        <f t="shared" si="199"/>
        <v>29</v>
      </c>
      <c r="AP454" s="303">
        <f t="shared" si="199"/>
        <v>0</v>
      </c>
    </row>
    <row r="455" spans="1:152" ht="20.149999999999999" customHeight="1" x14ac:dyDescent="0.35">
      <c r="A455" s="166">
        <v>2</v>
      </c>
      <c r="B455" s="100" t="str">
        <f>PETUNJUK!B10</f>
        <v>Rengging</v>
      </c>
      <c r="C455" s="80">
        <f t="shared" ref="C455:C475" si="200">C395</f>
        <v>111.10000000000001</v>
      </c>
      <c r="D455" s="301">
        <f t="shared" si="196"/>
        <v>519</v>
      </c>
      <c r="E455" s="301">
        <f t="shared" si="196"/>
        <v>54</v>
      </c>
      <c r="F455" s="301">
        <f t="shared" si="196"/>
        <v>573</v>
      </c>
      <c r="G455" s="301">
        <f t="shared" ref="G455:G476" si="201">F455/C455*100</f>
        <v>515.75157515751573</v>
      </c>
      <c r="H455" s="301">
        <f t="shared" si="197"/>
        <v>329</v>
      </c>
      <c r="I455" s="301">
        <f t="shared" si="197"/>
        <v>34</v>
      </c>
      <c r="J455" s="301">
        <f t="shared" si="197"/>
        <v>363</v>
      </c>
      <c r="K455" s="301">
        <f t="shared" ref="K455:K476" si="202">J455/C455*100</f>
        <v>326.73267326732673</v>
      </c>
      <c r="L455" s="301">
        <f t="shared" ref="L455:X455" si="203">L10+L45+L80+L115+L150+L185+L220+L255+L290+L325+L360+L395</f>
        <v>34</v>
      </c>
      <c r="M455" s="301">
        <f t="shared" si="203"/>
        <v>0</v>
      </c>
      <c r="N455" s="301">
        <f t="shared" si="203"/>
        <v>34</v>
      </c>
      <c r="O455" s="301">
        <f t="shared" si="203"/>
        <v>0</v>
      </c>
      <c r="P455" s="301">
        <f t="shared" si="203"/>
        <v>18</v>
      </c>
      <c r="Q455" s="301">
        <f t="shared" si="203"/>
        <v>0</v>
      </c>
      <c r="R455" s="301">
        <f t="shared" si="203"/>
        <v>16</v>
      </c>
      <c r="S455" s="301">
        <f t="shared" si="203"/>
        <v>6</v>
      </c>
      <c r="T455" s="301">
        <f t="shared" si="203"/>
        <v>0</v>
      </c>
      <c r="U455" s="301">
        <f t="shared" si="203"/>
        <v>21</v>
      </c>
      <c r="V455" s="301">
        <f t="shared" si="203"/>
        <v>0</v>
      </c>
      <c r="W455" s="301">
        <f t="shared" si="203"/>
        <v>7</v>
      </c>
      <c r="X455" s="306">
        <f t="shared" si="203"/>
        <v>0</v>
      </c>
      <c r="Y455" s="304"/>
      <c r="Z455" s="307">
        <f t="shared" ref="Z455:AP455" si="204">Z10+Z45+Z80+Z115+Z150+Z185+Z220+Z255+Z290+Z325+Z360+Z395</f>
        <v>13</v>
      </c>
      <c r="AA455" s="301">
        <f t="shared" si="204"/>
        <v>0</v>
      </c>
      <c r="AB455" s="301">
        <f t="shared" si="204"/>
        <v>21</v>
      </c>
      <c r="AC455" s="301">
        <f t="shared" si="204"/>
        <v>34</v>
      </c>
      <c r="AD455" s="301">
        <f t="shared" si="204"/>
        <v>0</v>
      </c>
      <c r="AE455" s="301">
        <f t="shared" si="204"/>
        <v>34</v>
      </c>
      <c r="AF455" s="301">
        <f t="shared" si="204"/>
        <v>0</v>
      </c>
      <c r="AG455" s="301">
        <f t="shared" si="204"/>
        <v>0</v>
      </c>
      <c r="AH455" s="301">
        <f t="shared" si="204"/>
        <v>0</v>
      </c>
      <c r="AI455" s="301">
        <f t="shared" si="204"/>
        <v>33</v>
      </c>
      <c r="AJ455" s="301">
        <f t="shared" si="204"/>
        <v>0</v>
      </c>
      <c r="AK455" s="301">
        <f t="shared" si="204"/>
        <v>0</v>
      </c>
      <c r="AL455" s="301">
        <f t="shared" si="204"/>
        <v>1</v>
      </c>
      <c r="AM455" s="301">
        <f t="shared" si="204"/>
        <v>34</v>
      </c>
      <c r="AN455" s="301">
        <f t="shared" si="204"/>
        <v>0</v>
      </c>
      <c r="AO455" s="301">
        <f t="shared" si="204"/>
        <v>35</v>
      </c>
      <c r="AP455" s="306">
        <f t="shared" si="204"/>
        <v>0</v>
      </c>
    </row>
    <row r="456" spans="1:152" ht="20.149999999999999" customHeight="1" x14ac:dyDescent="0.35">
      <c r="A456" s="166">
        <v>3</v>
      </c>
      <c r="B456" s="100" t="str">
        <f>PETUNJUK!B11</f>
        <v>Troso</v>
      </c>
      <c r="C456" s="80">
        <f t="shared" si="200"/>
        <v>205.70000000000002</v>
      </c>
      <c r="D456" s="301">
        <f t="shared" si="196"/>
        <v>729</v>
      </c>
      <c r="E456" s="301">
        <f t="shared" si="196"/>
        <v>78</v>
      </c>
      <c r="F456" s="301">
        <f t="shared" si="196"/>
        <v>807</v>
      </c>
      <c r="G456" s="301">
        <f t="shared" si="201"/>
        <v>392.31891103548855</v>
      </c>
      <c r="H456" s="301">
        <f t="shared" si="197"/>
        <v>577</v>
      </c>
      <c r="I456" s="301">
        <f t="shared" si="197"/>
        <v>60</v>
      </c>
      <c r="J456" s="301">
        <f t="shared" si="197"/>
        <v>637</v>
      </c>
      <c r="K456" s="301">
        <f t="shared" si="202"/>
        <v>309.67428293631502</v>
      </c>
      <c r="L456" s="301">
        <f t="shared" ref="L456:X456" si="205">L11+L46+L81+L116+L151+L186+L221+L256+L291+L326+L361+L396</f>
        <v>60</v>
      </c>
      <c r="M456" s="301">
        <f t="shared" si="205"/>
        <v>0</v>
      </c>
      <c r="N456" s="301">
        <f t="shared" si="205"/>
        <v>60</v>
      </c>
      <c r="O456" s="301">
        <f t="shared" si="205"/>
        <v>0</v>
      </c>
      <c r="P456" s="301">
        <f t="shared" si="205"/>
        <v>34</v>
      </c>
      <c r="Q456" s="301">
        <f t="shared" si="205"/>
        <v>0</v>
      </c>
      <c r="R456" s="301">
        <f t="shared" si="205"/>
        <v>26</v>
      </c>
      <c r="S456" s="301">
        <f t="shared" si="205"/>
        <v>10</v>
      </c>
      <c r="T456" s="301">
        <f t="shared" si="205"/>
        <v>0</v>
      </c>
      <c r="U456" s="301">
        <f t="shared" si="205"/>
        <v>22</v>
      </c>
      <c r="V456" s="301">
        <f t="shared" si="205"/>
        <v>0</v>
      </c>
      <c r="W456" s="301">
        <f t="shared" si="205"/>
        <v>28</v>
      </c>
      <c r="X456" s="306">
        <f t="shared" si="205"/>
        <v>0</v>
      </c>
      <c r="Y456" s="304"/>
      <c r="Z456" s="307">
        <f t="shared" ref="Z456:AP456" si="206">Z11+Z46+Z81+Z116+Z151+Z186+Z221+Z256+Z291+Z326+Z361+Z396</f>
        <v>38</v>
      </c>
      <c r="AA456" s="301">
        <f t="shared" si="206"/>
        <v>0</v>
      </c>
      <c r="AB456" s="301">
        <f t="shared" si="206"/>
        <v>22</v>
      </c>
      <c r="AC456" s="301">
        <f t="shared" si="206"/>
        <v>60</v>
      </c>
      <c r="AD456" s="301">
        <f t="shared" si="206"/>
        <v>0</v>
      </c>
      <c r="AE456" s="301">
        <f t="shared" si="206"/>
        <v>60</v>
      </c>
      <c r="AF456" s="301">
        <f t="shared" si="206"/>
        <v>0</v>
      </c>
      <c r="AG456" s="301">
        <f t="shared" si="206"/>
        <v>0</v>
      </c>
      <c r="AH456" s="301">
        <f t="shared" si="206"/>
        <v>0</v>
      </c>
      <c r="AI456" s="301">
        <f t="shared" si="206"/>
        <v>51</v>
      </c>
      <c r="AJ456" s="301">
        <f t="shared" si="206"/>
        <v>2</v>
      </c>
      <c r="AK456" s="301">
        <f t="shared" si="206"/>
        <v>0</v>
      </c>
      <c r="AL456" s="301">
        <f t="shared" si="206"/>
        <v>7</v>
      </c>
      <c r="AM456" s="301">
        <f t="shared" si="206"/>
        <v>60</v>
      </c>
      <c r="AN456" s="301">
        <f t="shared" si="206"/>
        <v>0</v>
      </c>
      <c r="AO456" s="301">
        <f t="shared" si="206"/>
        <v>60</v>
      </c>
      <c r="AP456" s="306">
        <f t="shared" si="206"/>
        <v>0</v>
      </c>
    </row>
    <row r="457" spans="1:152" ht="20.149999999999999" customHeight="1" x14ac:dyDescent="0.35">
      <c r="A457" s="166">
        <v>4</v>
      </c>
      <c r="B457" s="100" t="str">
        <f>PETUNJUK!B12</f>
        <v>Ngeling</v>
      </c>
      <c r="C457" s="80">
        <f t="shared" si="200"/>
        <v>95.7</v>
      </c>
      <c r="D457" s="301">
        <f t="shared" si="196"/>
        <v>279</v>
      </c>
      <c r="E457" s="301">
        <f t="shared" si="196"/>
        <v>30</v>
      </c>
      <c r="F457" s="301">
        <f t="shared" si="196"/>
        <v>309</v>
      </c>
      <c r="G457" s="301">
        <f t="shared" si="201"/>
        <v>322.88401253918494</v>
      </c>
      <c r="H457" s="301">
        <f t="shared" si="197"/>
        <v>266</v>
      </c>
      <c r="I457" s="301">
        <f t="shared" si="197"/>
        <v>28</v>
      </c>
      <c r="J457" s="301">
        <f t="shared" si="197"/>
        <v>294</v>
      </c>
      <c r="K457" s="301">
        <f t="shared" si="202"/>
        <v>307.2100313479624</v>
      </c>
      <c r="L457" s="301">
        <f t="shared" ref="L457:X457" si="207">L12+L47+L82+L117+L152+L187+L222+L257+L292+L327+L362+L397</f>
        <v>28</v>
      </c>
      <c r="M457" s="301">
        <f t="shared" si="207"/>
        <v>0</v>
      </c>
      <c r="N457" s="301">
        <f t="shared" si="207"/>
        <v>28</v>
      </c>
      <c r="O457" s="301">
        <f t="shared" si="207"/>
        <v>0</v>
      </c>
      <c r="P457" s="301">
        <f t="shared" si="207"/>
        <v>12</v>
      </c>
      <c r="Q457" s="301">
        <f t="shared" si="207"/>
        <v>0</v>
      </c>
      <c r="R457" s="301">
        <f t="shared" si="207"/>
        <v>16</v>
      </c>
      <c r="S457" s="301">
        <f t="shared" si="207"/>
        <v>2</v>
      </c>
      <c r="T457" s="301">
        <f t="shared" si="207"/>
        <v>0</v>
      </c>
      <c r="U457" s="301">
        <f t="shared" si="207"/>
        <v>11</v>
      </c>
      <c r="V457" s="301">
        <f t="shared" si="207"/>
        <v>0</v>
      </c>
      <c r="W457" s="301">
        <f t="shared" si="207"/>
        <v>15</v>
      </c>
      <c r="X457" s="306">
        <f t="shared" si="207"/>
        <v>0</v>
      </c>
      <c r="Y457" s="304"/>
      <c r="Z457" s="307">
        <f t="shared" ref="Z457:AP457" si="208">Z12+Z47+Z82+Z117+Z152+Z187+Z222+Z257+Z292+Z327+Z362+Z397</f>
        <v>17</v>
      </c>
      <c r="AA457" s="301">
        <f t="shared" si="208"/>
        <v>0</v>
      </c>
      <c r="AB457" s="301">
        <f t="shared" si="208"/>
        <v>11</v>
      </c>
      <c r="AC457" s="301">
        <f t="shared" si="208"/>
        <v>28</v>
      </c>
      <c r="AD457" s="301">
        <f t="shared" si="208"/>
        <v>0</v>
      </c>
      <c r="AE457" s="301">
        <f t="shared" si="208"/>
        <v>28</v>
      </c>
      <c r="AF457" s="301">
        <f t="shared" si="208"/>
        <v>0</v>
      </c>
      <c r="AG457" s="301">
        <f t="shared" si="208"/>
        <v>0</v>
      </c>
      <c r="AH457" s="301">
        <f t="shared" si="208"/>
        <v>0</v>
      </c>
      <c r="AI457" s="301">
        <f t="shared" si="208"/>
        <v>27</v>
      </c>
      <c r="AJ457" s="301">
        <f t="shared" si="208"/>
        <v>0</v>
      </c>
      <c r="AK457" s="301">
        <f t="shared" si="208"/>
        <v>0</v>
      </c>
      <c r="AL457" s="301">
        <f t="shared" si="208"/>
        <v>1</v>
      </c>
      <c r="AM457" s="301">
        <f t="shared" si="208"/>
        <v>28</v>
      </c>
      <c r="AN457" s="301">
        <f t="shared" si="208"/>
        <v>0</v>
      </c>
      <c r="AO457" s="301">
        <f t="shared" si="208"/>
        <v>28</v>
      </c>
      <c r="AP457" s="306">
        <f t="shared" si="208"/>
        <v>0</v>
      </c>
    </row>
    <row r="458" spans="1:152" ht="20.149999999999999" customHeight="1" x14ac:dyDescent="0.35">
      <c r="A458" s="166">
        <v>5</v>
      </c>
      <c r="B458" s="100" t="str">
        <f>PETUNJUK!B13</f>
        <v>Lebuawu</v>
      </c>
      <c r="C458" s="80">
        <f t="shared" si="200"/>
        <v>85.800000000000011</v>
      </c>
      <c r="D458" s="301">
        <f t="shared" si="196"/>
        <v>318</v>
      </c>
      <c r="E458" s="301">
        <f t="shared" si="196"/>
        <v>33</v>
      </c>
      <c r="F458" s="301">
        <f t="shared" si="196"/>
        <v>351</v>
      </c>
      <c r="G458" s="301">
        <f t="shared" si="201"/>
        <v>409.09090909090901</v>
      </c>
      <c r="H458" s="301">
        <f t="shared" si="197"/>
        <v>217</v>
      </c>
      <c r="I458" s="301">
        <f t="shared" si="197"/>
        <v>23</v>
      </c>
      <c r="J458" s="301">
        <f t="shared" si="197"/>
        <v>240</v>
      </c>
      <c r="K458" s="301">
        <f t="shared" si="202"/>
        <v>279.72027972027968</v>
      </c>
      <c r="L458" s="301">
        <f t="shared" ref="L458:X458" si="209">L13+L48+L83+L118+L153+L188+L223+L258+L293+L328+L363+L398</f>
        <v>23</v>
      </c>
      <c r="M458" s="301">
        <f t="shared" si="209"/>
        <v>0</v>
      </c>
      <c r="N458" s="301">
        <f t="shared" si="209"/>
        <v>23</v>
      </c>
      <c r="O458" s="301">
        <f t="shared" si="209"/>
        <v>0</v>
      </c>
      <c r="P458" s="301">
        <f t="shared" si="209"/>
        <v>18</v>
      </c>
      <c r="Q458" s="301">
        <f t="shared" si="209"/>
        <v>0</v>
      </c>
      <c r="R458" s="301">
        <f t="shared" si="209"/>
        <v>5</v>
      </c>
      <c r="S458" s="301">
        <f t="shared" si="209"/>
        <v>11</v>
      </c>
      <c r="T458" s="301">
        <f t="shared" si="209"/>
        <v>0</v>
      </c>
      <c r="U458" s="301">
        <f t="shared" si="209"/>
        <v>9</v>
      </c>
      <c r="V458" s="301">
        <f t="shared" si="209"/>
        <v>0</v>
      </c>
      <c r="W458" s="301">
        <f t="shared" si="209"/>
        <v>3</v>
      </c>
      <c r="X458" s="306">
        <f t="shared" si="209"/>
        <v>0</v>
      </c>
      <c r="Y458" s="304"/>
      <c r="Z458" s="307">
        <f t="shared" ref="Z458:AP458" si="210">Z13+Z48+Z83+Z118+Z153+Z188+Z223+Z258+Z293+Z328+Z363+Z398</f>
        <v>14</v>
      </c>
      <c r="AA458" s="301">
        <f t="shared" si="210"/>
        <v>0</v>
      </c>
      <c r="AB458" s="301">
        <f t="shared" si="210"/>
        <v>9</v>
      </c>
      <c r="AC458" s="301">
        <f t="shared" si="210"/>
        <v>23</v>
      </c>
      <c r="AD458" s="301">
        <f t="shared" si="210"/>
        <v>0</v>
      </c>
      <c r="AE458" s="301">
        <f t="shared" si="210"/>
        <v>23</v>
      </c>
      <c r="AF458" s="301">
        <f t="shared" si="210"/>
        <v>0</v>
      </c>
      <c r="AG458" s="301">
        <f t="shared" si="210"/>
        <v>0</v>
      </c>
      <c r="AH458" s="301">
        <f t="shared" si="210"/>
        <v>0</v>
      </c>
      <c r="AI458" s="301">
        <f t="shared" si="210"/>
        <v>19</v>
      </c>
      <c r="AJ458" s="301">
        <f t="shared" si="210"/>
        <v>0</v>
      </c>
      <c r="AK458" s="301">
        <f t="shared" si="210"/>
        <v>2</v>
      </c>
      <c r="AL458" s="301">
        <f t="shared" si="210"/>
        <v>2</v>
      </c>
      <c r="AM458" s="301">
        <f t="shared" si="210"/>
        <v>23</v>
      </c>
      <c r="AN458" s="301">
        <f t="shared" si="210"/>
        <v>0</v>
      </c>
      <c r="AO458" s="301">
        <f t="shared" si="210"/>
        <v>23</v>
      </c>
      <c r="AP458" s="306">
        <f t="shared" si="210"/>
        <v>0</v>
      </c>
    </row>
    <row r="459" spans="1:152" ht="20.149999999999999" customHeight="1" x14ac:dyDescent="0.35">
      <c r="A459" s="166">
        <v>6</v>
      </c>
      <c r="B459" s="100" t="str">
        <f>PETUNJUK!B14</f>
        <v>Pulodarat</v>
      </c>
      <c r="C459" s="80">
        <f t="shared" si="200"/>
        <v>82.5</v>
      </c>
      <c r="D459" s="301">
        <f t="shared" si="196"/>
        <v>172</v>
      </c>
      <c r="E459" s="301">
        <f t="shared" si="196"/>
        <v>18</v>
      </c>
      <c r="F459" s="301">
        <f t="shared" si="196"/>
        <v>190</v>
      </c>
      <c r="G459" s="301">
        <f t="shared" si="201"/>
        <v>230.30303030303031</v>
      </c>
      <c r="H459" s="301">
        <f t="shared" si="197"/>
        <v>167</v>
      </c>
      <c r="I459" s="301">
        <f t="shared" si="197"/>
        <v>17</v>
      </c>
      <c r="J459" s="301">
        <f t="shared" si="197"/>
        <v>184</v>
      </c>
      <c r="K459" s="301">
        <f t="shared" si="202"/>
        <v>223.03030303030306</v>
      </c>
      <c r="L459" s="301">
        <f t="shared" ref="L459:X459" si="211">L14+L49+L84+L119+L154+L189+L224+L259+L294+L329+L364+L399</f>
        <v>17</v>
      </c>
      <c r="M459" s="301">
        <f t="shared" si="211"/>
        <v>0</v>
      </c>
      <c r="N459" s="301">
        <f t="shared" si="211"/>
        <v>17</v>
      </c>
      <c r="O459" s="301">
        <f t="shared" si="211"/>
        <v>0</v>
      </c>
      <c r="P459" s="301">
        <f t="shared" si="211"/>
        <v>11</v>
      </c>
      <c r="Q459" s="301">
        <f t="shared" si="211"/>
        <v>0</v>
      </c>
      <c r="R459" s="301">
        <f t="shared" si="211"/>
        <v>6</v>
      </c>
      <c r="S459" s="301">
        <f t="shared" si="211"/>
        <v>1</v>
      </c>
      <c r="T459" s="301">
        <f t="shared" si="211"/>
        <v>0</v>
      </c>
      <c r="U459" s="301">
        <f t="shared" si="211"/>
        <v>5</v>
      </c>
      <c r="V459" s="301">
        <f t="shared" si="211"/>
        <v>0</v>
      </c>
      <c r="W459" s="301">
        <f t="shared" si="211"/>
        <v>11</v>
      </c>
      <c r="X459" s="306">
        <f t="shared" si="211"/>
        <v>0</v>
      </c>
      <c r="Y459" s="304"/>
      <c r="Z459" s="307">
        <f t="shared" ref="Z459:AP459" si="212">Z14+Z49+Z84+Z119+Z154+Z189+Z224+Z259+Z294+Z329+Z364+Z399</f>
        <v>12</v>
      </c>
      <c r="AA459" s="301">
        <f t="shared" si="212"/>
        <v>0</v>
      </c>
      <c r="AB459" s="301">
        <f t="shared" si="212"/>
        <v>5</v>
      </c>
      <c r="AC459" s="301">
        <f t="shared" si="212"/>
        <v>17</v>
      </c>
      <c r="AD459" s="301">
        <f t="shared" si="212"/>
        <v>0</v>
      </c>
      <c r="AE459" s="301">
        <f t="shared" si="212"/>
        <v>17</v>
      </c>
      <c r="AF459" s="301">
        <f t="shared" si="212"/>
        <v>0</v>
      </c>
      <c r="AG459" s="301">
        <f t="shared" si="212"/>
        <v>0</v>
      </c>
      <c r="AH459" s="301">
        <f t="shared" si="212"/>
        <v>0</v>
      </c>
      <c r="AI459" s="301">
        <f t="shared" si="212"/>
        <v>14</v>
      </c>
      <c r="AJ459" s="301">
        <f t="shared" si="212"/>
        <v>0</v>
      </c>
      <c r="AK459" s="301">
        <f t="shared" si="212"/>
        <v>3</v>
      </c>
      <c r="AL459" s="301">
        <f t="shared" si="212"/>
        <v>0</v>
      </c>
      <c r="AM459" s="301">
        <f t="shared" si="212"/>
        <v>17</v>
      </c>
      <c r="AN459" s="301">
        <f t="shared" si="212"/>
        <v>0</v>
      </c>
      <c r="AO459" s="301">
        <f t="shared" si="212"/>
        <v>17</v>
      </c>
      <c r="AP459" s="306">
        <f t="shared" si="212"/>
        <v>0</v>
      </c>
    </row>
    <row r="460" spans="1:152" ht="20.149999999999999" customHeight="1" x14ac:dyDescent="0.35">
      <c r="A460" s="166">
        <v>7</v>
      </c>
      <c r="B460" s="100" t="str">
        <f>PETUNJUK!B15</f>
        <v>Karangrandu</v>
      </c>
      <c r="C460" s="80">
        <f t="shared" si="200"/>
        <v>93.500000000000014</v>
      </c>
      <c r="D460" s="301">
        <f t="shared" si="196"/>
        <v>292</v>
      </c>
      <c r="E460" s="301">
        <f t="shared" si="196"/>
        <v>31</v>
      </c>
      <c r="F460" s="301">
        <f t="shared" si="196"/>
        <v>323</v>
      </c>
      <c r="G460" s="301">
        <f t="shared" si="201"/>
        <v>345.45454545454544</v>
      </c>
      <c r="H460" s="301">
        <f t="shared" si="197"/>
        <v>250</v>
      </c>
      <c r="I460" s="301">
        <f t="shared" si="197"/>
        <v>27</v>
      </c>
      <c r="J460" s="301">
        <f t="shared" si="197"/>
        <v>277</v>
      </c>
      <c r="K460" s="301">
        <f t="shared" si="202"/>
        <v>296.25668449197855</v>
      </c>
      <c r="L460" s="301">
        <f t="shared" ref="L460:X460" si="213">L15+L50+L85+L120+L155+L190+L225+L260+L295+L330+L365+L400</f>
        <v>27</v>
      </c>
      <c r="M460" s="301">
        <f t="shared" si="213"/>
        <v>0</v>
      </c>
      <c r="N460" s="301">
        <f t="shared" si="213"/>
        <v>27</v>
      </c>
      <c r="O460" s="301">
        <f t="shared" si="213"/>
        <v>0</v>
      </c>
      <c r="P460" s="301">
        <f t="shared" si="213"/>
        <v>20</v>
      </c>
      <c r="Q460" s="301">
        <f t="shared" si="213"/>
        <v>0</v>
      </c>
      <c r="R460" s="301">
        <f t="shared" si="213"/>
        <v>7</v>
      </c>
      <c r="S460" s="301">
        <f t="shared" si="213"/>
        <v>3</v>
      </c>
      <c r="T460" s="301">
        <f t="shared" si="213"/>
        <v>0</v>
      </c>
      <c r="U460" s="301">
        <f t="shared" si="213"/>
        <v>9</v>
      </c>
      <c r="V460" s="301">
        <f t="shared" si="213"/>
        <v>0</v>
      </c>
      <c r="W460" s="301">
        <f t="shared" si="213"/>
        <v>15</v>
      </c>
      <c r="X460" s="306">
        <f t="shared" si="213"/>
        <v>0</v>
      </c>
      <c r="Y460" s="304"/>
      <c r="Z460" s="307">
        <f t="shared" ref="Z460:AP460" si="214">Z15+Z50+Z85+Z120+Z155+Z190+Z225+Z260+Z295+Z330+Z365+Z400</f>
        <v>18</v>
      </c>
      <c r="AA460" s="301">
        <f t="shared" si="214"/>
        <v>0</v>
      </c>
      <c r="AB460" s="301">
        <f t="shared" si="214"/>
        <v>9</v>
      </c>
      <c r="AC460" s="301">
        <f t="shared" si="214"/>
        <v>27</v>
      </c>
      <c r="AD460" s="301">
        <f t="shared" si="214"/>
        <v>0</v>
      </c>
      <c r="AE460" s="301">
        <f t="shared" si="214"/>
        <v>27</v>
      </c>
      <c r="AF460" s="301">
        <f t="shared" si="214"/>
        <v>0</v>
      </c>
      <c r="AG460" s="301">
        <f t="shared" si="214"/>
        <v>0</v>
      </c>
      <c r="AH460" s="301">
        <f t="shared" si="214"/>
        <v>0</v>
      </c>
      <c r="AI460" s="301">
        <f t="shared" si="214"/>
        <v>26</v>
      </c>
      <c r="AJ460" s="301">
        <f t="shared" si="214"/>
        <v>0</v>
      </c>
      <c r="AK460" s="301">
        <f t="shared" si="214"/>
        <v>1</v>
      </c>
      <c r="AL460" s="301">
        <f t="shared" si="214"/>
        <v>0</v>
      </c>
      <c r="AM460" s="301">
        <f t="shared" si="214"/>
        <v>27</v>
      </c>
      <c r="AN460" s="301">
        <f t="shared" si="214"/>
        <v>0</v>
      </c>
      <c r="AO460" s="301">
        <f t="shared" si="214"/>
        <v>26</v>
      </c>
      <c r="AP460" s="306">
        <f t="shared" si="214"/>
        <v>0</v>
      </c>
    </row>
    <row r="461" spans="1:152" ht="20.149999999999999" customHeight="1" x14ac:dyDescent="0.35">
      <c r="A461" s="166">
        <v>8</v>
      </c>
      <c r="B461" s="100" t="str">
        <f>PETUNJUK!B16</f>
        <v>Kaliombo</v>
      </c>
      <c r="C461" s="80">
        <f t="shared" si="200"/>
        <v>46.2</v>
      </c>
      <c r="D461" s="301">
        <f t="shared" si="196"/>
        <v>119</v>
      </c>
      <c r="E461" s="301">
        <f t="shared" si="196"/>
        <v>13</v>
      </c>
      <c r="F461" s="301">
        <f t="shared" si="196"/>
        <v>132</v>
      </c>
      <c r="G461" s="301">
        <f t="shared" si="201"/>
        <v>285.71428571428567</v>
      </c>
      <c r="H461" s="301">
        <f t="shared" si="197"/>
        <v>119</v>
      </c>
      <c r="I461" s="301">
        <f t="shared" si="197"/>
        <v>13</v>
      </c>
      <c r="J461" s="301">
        <f t="shared" si="197"/>
        <v>132</v>
      </c>
      <c r="K461" s="301">
        <f t="shared" si="202"/>
        <v>285.71428571428567</v>
      </c>
      <c r="L461" s="301">
        <f t="shared" ref="L461:X461" si="215">L16+L51+L86+L121+L156+L191+L226+L261+L296+L331+L366+L401</f>
        <v>13</v>
      </c>
      <c r="M461" s="301">
        <f t="shared" si="215"/>
        <v>0</v>
      </c>
      <c r="N461" s="301">
        <f t="shared" si="215"/>
        <v>13</v>
      </c>
      <c r="O461" s="301">
        <f t="shared" si="215"/>
        <v>0</v>
      </c>
      <c r="P461" s="301">
        <f t="shared" si="215"/>
        <v>7</v>
      </c>
      <c r="Q461" s="301">
        <f t="shared" si="215"/>
        <v>0</v>
      </c>
      <c r="R461" s="301">
        <f t="shared" si="215"/>
        <v>6</v>
      </c>
      <c r="S461" s="301">
        <f t="shared" si="215"/>
        <v>2</v>
      </c>
      <c r="T461" s="301">
        <f t="shared" si="215"/>
        <v>0</v>
      </c>
      <c r="U461" s="301">
        <f t="shared" si="215"/>
        <v>5</v>
      </c>
      <c r="V461" s="301">
        <f t="shared" si="215"/>
        <v>0</v>
      </c>
      <c r="W461" s="301">
        <f t="shared" si="215"/>
        <v>6</v>
      </c>
      <c r="X461" s="306">
        <f t="shared" si="215"/>
        <v>0</v>
      </c>
      <c r="Y461" s="304"/>
      <c r="Z461" s="307">
        <f t="shared" ref="Z461:AP461" si="216">Z16+Z51+Z86+Z121+Z156+Z191+Z226+Z261+Z296+Z331+Z366+Z401</f>
        <v>8</v>
      </c>
      <c r="AA461" s="301">
        <f t="shared" si="216"/>
        <v>0</v>
      </c>
      <c r="AB461" s="301">
        <f t="shared" si="216"/>
        <v>5</v>
      </c>
      <c r="AC461" s="301">
        <f t="shared" si="216"/>
        <v>13</v>
      </c>
      <c r="AD461" s="301">
        <f t="shared" si="216"/>
        <v>0</v>
      </c>
      <c r="AE461" s="301">
        <f t="shared" si="216"/>
        <v>13</v>
      </c>
      <c r="AF461" s="301">
        <f t="shared" si="216"/>
        <v>0</v>
      </c>
      <c r="AG461" s="301">
        <f t="shared" si="216"/>
        <v>0</v>
      </c>
      <c r="AH461" s="301">
        <f t="shared" si="216"/>
        <v>0</v>
      </c>
      <c r="AI461" s="301">
        <f t="shared" si="216"/>
        <v>11</v>
      </c>
      <c r="AJ461" s="301">
        <f t="shared" si="216"/>
        <v>0</v>
      </c>
      <c r="AK461" s="301">
        <f t="shared" si="216"/>
        <v>2</v>
      </c>
      <c r="AL461" s="301">
        <f t="shared" si="216"/>
        <v>0</v>
      </c>
      <c r="AM461" s="301">
        <f t="shared" si="216"/>
        <v>13</v>
      </c>
      <c r="AN461" s="301">
        <f t="shared" si="216"/>
        <v>0</v>
      </c>
      <c r="AO461" s="301">
        <f t="shared" si="216"/>
        <v>13</v>
      </c>
      <c r="AP461" s="306">
        <f t="shared" si="216"/>
        <v>0</v>
      </c>
    </row>
    <row r="462" spans="1:152" ht="20.149999999999999" customHeight="1" x14ac:dyDescent="0.35">
      <c r="A462" s="166">
        <v>9</v>
      </c>
      <c r="B462" s="100" t="str">
        <f>PETUNJUK!B17</f>
        <v>Gemulung</v>
      </c>
      <c r="C462" s="80">
        <f t="shared" si="200"/>
        <v>53.900000000000006</v>
      </c>
      <c r="D462" s="301">
        <f t="shared" si="196"/>
        <v>179</v>
      </c>
      <c r="E462" s="301">
        <f t="shared" si="196"/>
        <v>19</v>
      </c>
      <c r="F462" s="301">
        <f t="shared" si="196"/>
        <v>198</v>
      </c>
      <c r="G462" s="301">
        <f t="shared" si="201"/>
        <v>367.34693877551018</v>
      </c>
      <c r="H462" s="301">
        <f t="shared" si="197"/>
        <v>187</v>
      </c>
      <c r="I462" s="301">
        <f t="shared" si="197"/>
        <v>20</v>
      </c>
      <c r="J462" s="301">
        <f t="shared" si="197"/>
        <v>207</v>
      </c>
      <c r="K462" s="301">
        <f t="shared" si="202"/>
        <v>384.04452690166971</v>
      </c>
      <c r="L462" s="301">
        <f t="shared" ref="L462:X462" si="217">L17+L52+L87+L122+L157+L192+L227+L262+L297+L332+L367+L402</f>
        <v>20</v>
      </c>
      <c r="M462" s="301">
        <f t="shared" si="217"/>
        <v>0</v>
      </c>
      <c r="N462" s="301">
        <f t="shared" si="217"/>
        <v>20</v>
      </c>
      <c r="O462" s="301">
        <f t="shared" si="217"/>
        <v>0</v>
      </c>
      <c r="P462" s="301">
        <f t="shared" si="217"/>
        <v>8</v>
      </c>
      <c r="Q462" s="301">
        <f t="shared" si="217"/>
        <v>0</v>
      </c>
      <c r="R462" s="301">
        <f t="shared" si="217"/>
        <v>12</v>
      </c>
      <c r="S462" s="301">
        <f t="shared" si="217"/>
        <v>2</v>
      </c>
      <c r="T462" s="301">
        <f t="shared" si="217"/>
        <v>0</v>
      </c>
      <c r="U462" s="301">
        <f t="shared" si="217"/>
        <v>11</v>
      </c>
      <c r="V462" s="301">
        <f t="shared" si="217"/>
        <v>0</v>
      </c>
      <c r="W462" s="301">
        <f t="shared" si="217"/>
        <v>7</v>
      </c>
      <c r="X462" s="306">
        <f t="shared" si="217"/>
        <v>0</v>
      </c>
      <c r="Y462" s="304"/>
      <c r="Z462" s="307">
        <f t="shared" ref="Z462:AP462" si="218">Z17+Z52+Z87+Z122+Z157+Z192+Z227+Z262+Z297+Z332+Z367+Z402</f>
        <v>9</v>
      </c>
      <c r="AA462" s="301">
        <f t="shared" si="218"/>
        <v>0</v>
      </c>
      <c r="AB462" s="301">
        <f t="shared" si="218"/>
        <v>11</v>
      </c>
      <c r="AC462" s="301">
        <f t="shared" si="218"/>
        <v>20</v>
      </c>
      <c r="AD462" s="301">
        <f t="shared" si="218"/>
        <v>0</v>
      </c>
      <c r="AE462" s="301">
        <f t="shared" si="218"/>
        <v>20</v>
      </c>
      <c r="AF462" s="301">
        <f t="shared" si="218"/>
        <v>0</v>
      </c>
      <c r="AG462" s="301">
        <f t="shared" si="218"/>
        <v>0</v>
      </c>
      <c r="AH462" s="301">
        <f t="shared" si="218"/>
        <v>0</v>
      </c>
      <c r="AI462" s="301">
        <f t="shared" si="218"/>
        <v>16</v>
      </c>
      <c r="AJ462" s="301">
        <f t="shared" si="218"/>
        <v>0</v>
      </c>
      <c r="AK462" s="301">
        <f t="shared" si="218"/>
        <v>3</v>
      </c>
      <c r="AL462" s="301">
        <f t="shared" si="218"/>
        <v>1</v>
      </c>
      <c r="AM462" s="301">
        <f t="shared" si="218"/>
        <v>20</v>
      </c>
      <c r="AN462" s="301">
        <f t="shared" si="218"/>
        <v>0</v>
      </c>
      <c r="AO462" s="301">
        <f t="shared" si="218"/>
        <v>20</v>
      </c>
      <c r="AP462" s="306">
        <f t="shared" si="218"/>
        <v>0</v>
      </c>
    </row>
    <row r="463" spans="1:152" ht="20.149999999999999" customHeight="1" x14ac:dyDescent="0.35">
      <c r="A463" s="166">
        <v>10</v>
      </c>
      <c r="B463" s="100" t="str">
        <f>PETUNJUK!B18</f>
        <v>Pecangaan Wetan</v>
      </c>
      <c r="C463" s="80">
        <f t="shared" si="200"/>
        <v>50.6</v>
      </c>
      <c r="D463" s="301">
        <f t="shared" si="196"/>
        <v>146</v>
      </c>
      <c r="E463" s="301">
        <f t="shared" si="196"/>
        <v>15</v>
      </c>
      <c r="F463" s="301">
        <f t="shared" si="196"/>
        <v>161</v>
      </c>
      <c r="G463" s="301">
        <f t="shared" si="201"/>
        <v>318.18181818181819</v>
      </c>
      <c r="H463" s="301">
        <f t="shared" si="197"/>
        <v>132</v>
      </c>
      <c r="I463" s="301">
        <f t="shared" si="197"/>
        <v>13</v>
      </c>
      <c r="J463" s="301">
        <f t="shared" si="197"/>
        <v>145</v>
      </c>
      <c r="K463" s="301">
        <f t="shared" si="202"/>
        <v>286.56126482213438</v>
      </c>
      <c r="L463" s="301">
        <f t="shared" ref="L463:X463" si="219">L18+L53+L88+L123+L158+L193+L228+L263+L298+L333+L368+L403</f>
        <v>13</v>
      </c>
      <c r="M463" s="301">
        <f t="shared" si="219"/>
        <v>0</v>
      </c>
      <c r="N463" s="301">
        <f t="shared" si="219"/>
        <v>13</v>
      </c>
      <c r="O463" s="301">
        <f t="shared" si="219"/>
        <v>0</v>
      </c>
      <c r="P463" s="301">
        <f t="shared" si="219"/>
        <v>9</v>
      </c>
      <c r="Q463" s="301">
        <f t="shared" si="219"/>
        <v>0</v>
      </c>
      <c r="R463" s="301">
        <f t="shared" si="219"/>
        <v>4</v>
      </c>
      <c r="S463" s="301">
        <f t="shared" si="219"/>
        <v>0</v>
      </c>
      <c r="T463" s="301">
        <f t="shared" si="219"/>
        <v>0</v>
      </c>
      <c r="U463" s="301">
        <f t="shared" si="219"/>
        <v>5</v>
      </c>
      <c r="V463" s="301">
        <f t="shared" si="219"/>
        <v>0</v>
      </c>
      <c r="W463" s="301">
        <f t="shared" si="219"/>
        <v>8</v>
      </c>
      <c r="X463" s="306">
        <f t="shared" si="219"/>
        <v>0</v>
      </c>
      <c r="Y463" s="304"/>
      <c r="Z463" s="307">
        <f t="shared" ref="Z463:AP463" si="220">Z18+Z53+Z88+Z123+Z158+Z193+Z228+Z263+Z298+Z333+Z368+Z403</f>
        <v>8</v>
      </c>
      <c r="AA463" s="301">
        <f t="shared" si="220"/>
        <v>0</v>
      </c>
      <c r="AB463" s="301">
        <f t="shared" si="220"/>
        <v>5</v>
      </c>
      <c r="AC463" s="301">
        <f t="shared" si="220"/>
        <v>13</v>
      </c>
      <c r="AD463" s="301">
        <f t="shared" si="220"/>
        <v>0</v>
      </c>
      <c r="AE463" s="301">
        <f t="shared" si="220"/>
        <v>13</v>
      </c>
      <c r="AF463" s="301">
        <f t="shared" si="220"/>
        <v>0</v>
      </c>
      <c r="AG463" s="301">
        <f t="shared" si="220"/>
        <v>0</v>
      </c>
      <c r="AH463" s="301">
        <f t="shared" si="220"/>
        <v>0</v>
      </c>
      <c r="AI463" s="301">
        <f t="shared" si="220"/>
        <v>9</v>
      </c>
      <c r="AJ463" s="301">
        <f t="shared" si="220"/>
        <v>0</v>
      </c>
      <c r="AK463" s="301">
        <f t="shared" si="220"/>
        <v>0</v>
      </c>
      <c r="AL463" s="301">
        <f t="shared" si="220"/>
        <v>4</v>
      </c>
      <c r="AM463" s="301">
        <f t="shared" si="220"/>
        <v>13</v>
      </c>
      <c r="AN463" s="301">
        <f t="shared" si="220"/>
        <v>0</v>
      </c>
      <c r="AO463" s="301">
        <f t="shared" si="220"/>
        <v>13</v>
      </c>
      <c r="AP463" s="306">
        <f t="shared" si="220"/>
        <v>0</v>
      </c>
    </row>
    <row r="464" spans="1:152" ht="20.149999999999999" customHeight="1" x14ac:dyDescent="0.35">
      <c r="A464" s="166">
        <v>11</v>
      </c>
      <c r="B464" s="100" t="str">
        <f>PETUNJUK!B19</f>
        <v>Krasak</v>
      </c>
      <c r="C464" s="80">
        <f t="shared" si="200"/>
        <v>117.7</v>
      </c>
      <c r="D464" s="301">
        <f t="shared" si="196"/>
        <v>434</v>
      </c>
      <c r="E464" s="301">
        <f t="shared" si="196"/>
        <v>45</v>
      </c>
      <c r="F464" s="301">
        <f t="shared" si="196"/>
        <v>479</v>
      </c>
      <c r="G464" s="301">
        <f t="shared" si="201"/>
        <v>406.96686491079015</v>
      </c>
      <c r="H464" s="301">
        <f t="shared" si="197"/>
        <v>274</v>
      </c>
      <c r="I464" s="301">
        <f t="shared" si="197"/>
        <v>29</v>
      </c>
      <c r="J464" s="301">
        <f t="shared" si="197"/>
        <v>303</v>
      </c>
      <c r="K464" s="301">
        <f t="shared" si="202"/>
        <v>257.43415463041634</v>
      </c>
      <c r="L464" s="301">
        <f t="shared" ref="L464:X464" si="221">L19+L54+L89+L124+L159+L194+L229+L264+L299+L334+L369+L404</f>
        <v>29</v>
      </c>
      <c r="M464" s="301">
        <f t="shared" si="221"/>
        <v>0</v>
      </c>
      <c r="N464" s="301">
        <f t="shared" si="221"/>
        <v>29</v>
      </c>
      <c r="O464" s="301">
        <f t="shared" si="221"/>
        <v>0</v>
      </c>
      <c r="P464" s="301">
        <f t="shared" si="221"/>
        <v>18</v>
      </c>
      <c r="Q464" s="301">
        <f t="shared" si="221"/>
        <v>0</v>
      </c>
      <c r="R464" s="301">
        <f t="shared" si="221"/>
        <v>11</v>
      </c>
      <c r="S464" s="301">
        <f t="shared" si="221"/>
        <v>0</v>
      </c>
      <c r="T464" s="301">
        <f t="shared" si="221"/>
        <v>0</v>
      </c>
      <c r="U464" s="301">
        <f t="shared" si="221"/>
        <v>14</v>
      </c>
      <c r="V464" s="301">
        <f t="shared" si="221"/>
        <v>0</v>
      </c>
      <c r="W464" s="301">
        <f t="shared" si="221"/>
        <v>15</v>
      </c>
      <c r="X464" s="306">
        <f t="shared" si="221"/>
        <v>0</v>
      </c>
      <c r="Y464" s="304"/>
      <c r="Z464" s="307">
        <f t="shared" ref="Z464:AP464" si="222">Z19+Z54+Z89+Z124+Z159+Z194+Z229+Z264+Z299+Z334+Z369+Z404</f>
        <v>15</v>
      </c>
      <c r="AA464" s="301">
        <f t="shared" si="222"/>
        <v>0</v>
      </c>
      <c r="AB464" s="301">
        <f t="shared" si="222"/>
        <v>14</v>
      </c>
      <c r="AC464" s="301">
        <f t="shared" si="222"/>
        <v>29</v>
      </c>
      <c r="AD464" s="301">
        <f t="shared" si="222"/>
        <v>0</v>
      </c>
      <c r="AE464" s="301">
        <f t="shared" si="222"/>
        <v>29</v>
      </c>
      <c r="AF464" s="301">
        <f t="shared" si="222"/>
        <v>0</v>
      </c>
      <c r="AG464" s="301">
        <f t="shared" si="222"/>
        <v>0</v>
      </c>
      <c r="AH464" s="301">
        <f t="shared" si="222"/>
        <v>0</v>
      </c>
      <c r="AI464" s="301">
        <f t="shared" si="222"/>
        <v>27</v>
      </c>
      <c r="AJ464" s="301">
        <f t="shared" si="222"/>
        <v>0</v>
      </c>
      <c r="AK464" s="301">
        <f t="shared" si="222"/>
        <v>1</v>
      </c>
      <c r="AL464" s="301">
        <f t="shared" si="222"/>
        <v>1</v>
      </c>
      <c r="AM464" s="301">
        <f t="shared" si="222"/>
        <v>29</v>
      </c>
      <c r="AN464" s="301">
        <f t="shared" si="222"/>
        <v>0</v>
      </c>
      <c r="AO464" s="301">
        <f t="shared" si="222"/>
        <v>29</v>
      </c>
      <c r="AP464" s="306">
        <f t="shared" si="222"/>
        <v>0</v>
      </c>
    </row>
    <row r="465" spans="1:42" ht="20.149999999999999" customHeight="1" x14ac:dyDescent="0.35">
      <c r="A465" s="166">
        <v>12</v>
      </c>
      <c r="B465" s="100" t="str">
        <f>PETUNJUK!B20</f>
        <v>Gerdu</v>
      </c>
      <c r="C465" s="80">
        <f t="shared" si="200"/>
        <v>23.1</v>
      </c>
      <c r="D465" s="301">
        <f t="shared" si="196"/>
        <v>72</v>
      </c>
      <c r="E465" s="301">
        <f t="shared" si="196"/>
        <v>8</v>
      </c>
      <c r="F465" s="301">
        <f t="shared" si="196"/>
        <v>80</v>
      </c>
      <c r="G465" s="301">
        <f t="shared" si="201"/>
        <v>346.32034632034629</v>
      </c>
      <c r="H465" s="301">
        <f t="shared" si="197"/>
        <v>48</v>
      </c>
      <c r="I465" s="301">
        <f t="shared" si="197"/>
        <v>5</v>
      </c>
      <c r="J465" s="301">
        <f t="shared" si="197"/>
        <v>53</v>
      </c>
      <c r="K465" s="301">
        <f t="shared" si="202"/>
        <v>229.4372294372294</v>
      </c>
      <c r="L465" s="301">
        <f t="shared" ref="L465:X465" si="223">L20+L55+L90+L125+L160+L195+L230+L265+L300+L335+L370+L405</f>
        <v>5</v>
      </c>
      <c r="M465" s="301">
        <f t="shared" si="223"/>
        <v>0</v>
      </c>
      <c r="N465" s="301">
        <f t="shared" si="223"/>
        <v>5</v>
      </c>
      <c r="O465" s="301">
        <f t="shared" si="223"/>
        <v>0</v>
      </c>
      <c r="P465" s="301">
        <f t="shared" si="223"/>
        <v>2</v>
      </c>
      <c r="Q465" s="301">
        <f t="shared" si="223"/>
        <v>0</v>
      </c>
      <c r="R465" s="301">
        <f t="shared" si="223"/>
        <v>3</v>
      </c>
      <c r="S465" s="301">
        <f t="shared" si="223"/>
        <v>0</v>
      </c>
      <c r="T465" s="301">
        <f t="shared" si="223"/>
        <v>0</v>
      </c>
      <c r="U465" s="301">
        <f t="shared" si="223"/>
        <v>5</v>
      </c>
      <c r="V465" s="301">
        <f t="shared" si="223"/>
        <v>0</v>
      </c>
      <c r="W465" s="301">
        <f t="shared" si="223"/>
        <v>0</v>
      </c>
      <c r="X465" s="306">
        <f t="shared" si="223"/>
        <v>0</v>
      </c>
      <c r="Y465" s="304"/>
      <c r="Z465" s="307">
        <f t="shared" ref="Z465:AP465" si="224">Z20+Z55+Z90+Z125+Z160+Z195+Z230+Z265+Z300+Z335+Z370+Z405</f>
        <v>0</v>
      </c>
      <c r="AA465" s="301">
        <f t="shared" si="224"/>
        <v>0</v>
      </c>
      <c r="AB465" s="301">
        <f t="shared" si="224"/>
        <v>5</v>
      </c>
      <c r="AC465" s="301">
        <f t="shared" si="224"/>
        <v>5</v>
      </c>
      <c r="AD465" s="301">
        <f t="shared" si="224"/>
        <v>0</v>
      </c>
      <c r="AE465" s="301">
        <f t="shared" si="224"/>
        <v>5</v>
      </c>
      <c r="AF465" s="301">
        <f t="shared" si="224"/>
        <v>0</v>
      </c>
      <c r="AG465" s="301">
        <f t="shared" si="224"/>
        <v>0</v>
      </c>
      <c r="AH465" s="301">
        <f t="shared" si="224"/>
        <v>0</v>
      </c>
      <c r="AI465" s="301">
        <f t="shared" si="224"/>
        <v>5</v>
      </c>
      <c r="AJ465" s="301">
        <f t="shared" si="224"/>
        <v>0</v>
      </c>
      <c r="AK465" s="301">
        <f t="shared" si="224"/>
        <v>0</v>
      </c>
      <c r="AL465" s="301">
        <f t="shared" si="224"/>
        <v>0</v>
      </c>
      <c r="AM465" s="301">
        <f t="shared" si="224"/>
        <v>5</v>
      </c>
      <c r="AN465" s="301">
        <f t="shared" si="224"/>
        <v>0</v>
      </c>
      <c r="AO465" s="301">
        <f t="shared" si="224"/>
        <v>5</v>
      </c>
      <c r="AP465" s="306">
        <f t="shared" si="224"/>
        <v>0</v>
      </c>
    </row>
    <row r="466" spans="1:42" ht="20.149999999999999" customHeight="1" x14ac:dyDescent="0.35">
      <c r="A466" s="166">
        <v>13</v>
      </c>
      <c r="B466" s="100">
        <f>PETUNJUK!B21</f>
        <v>0</v>
      </c>
      <c r="C466" s="80">
        <f t="shared" si="200"/>
        <v>0</v>
      </c>
      <c r="D466" s="301">
        <f t="shared" si="196"/>
        <v>0</v>
      </c>
      <c r="E466" s="301">
        <f t="shared" si="196"/>
        <v>0</v>
      </c>
      <c r="F466" s="301">
        <f t="shared" si="196"/>
        <v>0</v>
      </c>
      <c r="G466" s="301" t="e">
        <f t="shared" si="201"/>
        <v>#DIV/0!</v>
      </c>
      <c r="H466" s="301">
        <f t="shared" si="197"/>
        <v>0</v>
      </c>
      <c r="I466" s="301">
        <f t="shared" si="197"/>
        <v>0</v>
      </c>
      <c r="J466" s="301">
        <f t="shared" si="197"/>
        <v>0</v>
      </c>
      <c r="K466" s="301" t="e">
        <f t="shared" si="202"/>
        <v>#DIV/0!</v>
      </c>
      <c r="L466" s="301">
        <f t="shared" ref="L466:X466" si="225">L21+L56+L91+L126+L161+L196+L231+L266+L301+L336+L371+L406</f>
        <v>0</v>
      </c>
      <c r="M466" s="301">
        <f t="shared" si="225"/>
        <v>0</v>
      </c>
      <c r="N466" s="301">
        <f t="shared" si="225"/>
        <v>0</v>
      </c>
      <c r="O466" s="301">
        <f t="shared" si="225"/>
        <v>0</v>
      </c>
      <c r="P466" s="301">
        <f t="shared" si="225"/>
        <v>0</v>
      </c>
      <c r="Q466" s="301">
        <f t="shared" si="225"/>
        <v>0</v>
      </c>
      <c r="R466" s="301">
        <f t="shared" si="225"/>
        <v>0</v>
      </c>
      <c r="S466" s="301">
        <f t="shared" si="225"/>
        <v>0</v>
      </c>
      <c r="T466" s="301">
        <f t="shared" si="225"/>
        <v>0</v>
      </c>
      <c r="U466" s="301">
        <f t="shared" si="225"/>
        <v>0</v>
      </c>
      <c r="V466" s="301">
        <f t="shared" si="225"/>
        <v>0</v>
      </c>
      <c r="W466" s="301">
        <f t="shared" si="225"/>
        <v>0</v>
      </c>
      <c r="X466" s="306">
        <f t="shared" si="225"/>
        <v>0</v>
      </c>
      <c r="Y466" s="304"/>
      <c r="Z466" s="307">
        <f t="shared" ref="Z466:AP466" si="226">Z21+Z56+Z91+Z126+Z161+Z196+Z231+Z266+Z301+Z336+Z371+Z406</f>
        <v>0</v>
      </c>
      <c r="AA466" s="301">
        <f t="shared" si="226"/>
        <v>0</v>
      </c>
      <c r="AB466" s="301">
        <f t="shared" si="226"/>
        <v>0</v>
      </c>
      <c r="AC466" s="301">
        <f t="shared" si="226"/>
        <v>0</v>
      </c>
      <c r="AD466" s="301">
        <f t="shared" si="226"/>
        <v>0</v>
      </c>
      <c r="AE466" s="301">
        <f t="shared" si="226"/>
        <v>0</v>
      </c>
      <c r="AF466" s="301">
        <f t="shared" si="226"/>
        <v>0</v>
      </c>
      <c r="AG466" s="301">
        <f t="shared" si="226"/>
        <v>0</v>
      </c>
      <c r="AH466" s="301">
        <f t="shared" si="226"/>
        <v>0</v>
      </c>
      <c r="AI466" s="301">
        <f t="shared" si="226"/>
        <v>0</v>
      </c>
      <c r="AJ466" s="301">
        <f t="shared" si="226"/>
        <v>0</v>
      </c>
      <c r="AK466" s="301">
        <f t="shared" si="226"/>
        <v>0</v>
      </c>
      <c r="AL466" s="301">
        <f t="shared" si="226"/>
        <v>0</v>
      </c>
      <c r="AM466" s="301">
        <f t="shared" si="226"/>
        <v>0</v>
      </c>
      <c r="AN466" s="301">
        <f t="shared" si="226"/>
        <v>0</v>
      </c>
      <c r="AO466" s="301">
        <f t="shared" si="226"/>
        <v>0</v>
      </c>
      <c r="AP466" s="306">
        <f t="shared" si="226"/>
        <v>0</v>
      </c>
    </row>
    <row r="467" spans="1:42" ht="20.149999999999999" customHeight="1" x14ac:dyDescent="0.35">
      <c r="A467" s="166">
        <v>14</v>
      </c>
      <c r="B467" s="100">
        <f>PETUNJUK!B22</f>
        <v>0</v>
      </c>
      <c r="C467" s="80">
        <f t="shared" si="200"/>
        <v>0</v>
      </c>
      <c r="D467" s="301">
        <f t="shared" si="196"/>
        <v>0</v>
      </c>
      <c r="E467" s="301">
        <f t="shared" si="196"/>
        <v>0</v>
      </c>
      <c r="F467" s="301">
        <f t="shared" si="196"/>
        <v>0</v>
      </c>
      <c r="G467" s="301" t="e">
        <f t="shared" si="201"/>
        <v>#DIV/0!</v>
      </c>
      <c r="H467" s="301">
        <f t="shared" si="197"/>
        <v>0</v>
      </c>
      <c r="I467" s="301">
        <f t="shared" si="197"/>
        <v>0</v>
      </c>
      <c r="J467" s="301">
        <f t="shared" si="197"/>
        <v>0</v>
      </c>
      <c r="K467" s="301" t="e">
        <f t="shared" si="202"/>
        <v>#DIV/0!</v>
      </c>
      <c r="L467" s="301">
        <f t="shared" ref="L467:X467" si="227">L22+L57+L92+L127+L162+L197+L232+L267+L302+L337+L372+L407</f>
        <v>0</v>
      </c>
      <c r="M467" s="301">
        <f t="shared" si="227"/>
        <v>0</v>
      </c>
      <c r="N467" s="301">
        <f t="shared" si="227"/>
        <v>0</v>
      </c>
      <c r="O467" s="301">
        <f t="shared" si="227"/>
        <v>0</v>
      </c>
      <c r="P467" s="301">
        <f t="shared" si="227"/>
        <v>0</v>
      </c>
      <c r="Q467" s="301">
        <f t="shared" si="227"/>
        <v>0</v>
      </c>
      <c r="R467" s="301">
        <f t="shared" si="227"/>
        <v>0</v>
      </c>
      <c r="S467" s="301">
        <f t="shared" si="227"/>
        <v>0</v>
      </c>
      <c r="T467" s="301">
        <f t="shared" si="227"/>
        <v>0</v>
      </c>
      <c r="U467" s="301">
        <f t="shared" si="227"/>
        <v>0</v>
      </c>
      <c r="V467" s="301">
        <f t="shared" si="227"/>
        <v>0</v>
      </c>
      <c r="W467" s="301">
        <f t="shared" si="227"/>
        <v>0</v>
      </c>
      <c r="X467" s="306">
        <f t="shared" si="227"/>
        <v>0</v>
      </c>
      <c r="Y467" s="304"/>
      <c r="Z467" s="307">
        <f t="shared" ref="Z467:AP467" si="228">Z22+Z57+Z92+Z127+Z162+Z197+Z232+Z267+Z302+Z337+Z372+Z407</f>
        <v>0</v>
      </c>
      <c r="AA467" s="301">
        <f t="shared" si="228"/>
        <v>0</v>
      </c>
      <c r="AB467" s="301">
        <f t="shared" si="228"/>
        <v>0</v>
      </c>
      <c r="AC467" s="301">
        <f t="shared" si="228"/>
        <v>0</v>
      </c>
      <c r="AD467" s="301">
        <f t="shared" si="228"/>
        <v>0</v>
      </c>
      <c r="AE467" s="301">
        <f t="shared" si="228"/>
        <v>0</v>
      </c>
      <c r="AF467" s="301">
        <f t="shared" si="228"/>
        <v>0</v>
      </c>
      <c r="AG467" s="301">
        <f t="shared" si="228"/>
        <v>0</v>
      </c>
      <c r="AH467" s="301">
        <f t="shared" si="228"/>
        <v>0</v>
      </c>
      <c r="AI467" s="301">
        <f t="shared" si="228"/>
        <v>0</v>
      </c>
      <c r="AJ467" s="301">
        <f t="shared" si="228"/>
        <v>0</v>
      </c>
      <c r="AK467" s="301">
        <f t="shared" si="228"/>
        <v>0</v>
      </c>
      <c r="AL467" s="301">
        <f t="shared" si="228"/>
        <v>0</v>
      </c>
      <c r="AM467" s="301">
        <f t="shared" si="228"/>
        <v>0</v>
      </c>
      <c r="AN467" s="301">
        <f t="shared" si="228"/>
        <v>0</v>
      </c>
      <c r="AO467" s="301">
        <f t="shared" si="228"/>
        <v>0</v>
      </c>
      <c r="AP467" s="306">
        <f t="shared" si="228"/>
        <v>0</v>
      </c>
    </row>
    <row r="468" spans="1:42" ht="20.149999999999999" customHeight="1" x14ac:dyDescent="0.35">
      <c r="A468" s="166">
        <v>15</v>
      </c>
      <c r="B468" s="100">
        <f>PETUNJUK!B23</f>
        <v>0</v>
      </c>
      <c r="C468" s="80">
        <f t="shared" si="200"/>
        <v>0</v>
      </c>
      <c r="D468" s="301">
        <f t="shared" si="196"/>
        <v>0</v>
      </c>
      <c r="E468" s="301">
        <f t="shared" si="196"/>
        <v>0</v>
      </c>
      <c r="F468" s="301">
        <f t="shared" si="196"/>
        <v>0</v>
      </c>
      <c r="G468" s="301" t="e">
        <f t="shared" si="201"/>
        <v>#DIV/0!</v>
      </c>
      <c r="H468" s="301">
        <f t="shared" si="197"/>
        <v>0</v>
      </c>
      <c r="I468" s="301">
        <f t="shared" si="197"/>
        <v>0</v>
      </c>
      <c r="J468" s="301">
        <f t="shared" si="197"/>
        <v>0</v>
      </c>
      <c r="K468" s="301" t="e">
        <f t="shared" si="202"/>
        <v>#DIV/0!</v>
      </c>
      <c r="L468" s="301">
        <f t="shared" ref="L468:X468" si="229">L23+L58+L93+L128+L163+L198+L233+L268+L303+L338+L373+L408</f>
        <v>0</v>
      </c>
      <c r="M468" s="301">
        <f t="shared" si="229"/>
        <v>0</v>
      </c>
      <c r="N468" s="301">
        <f t="shared" si="229"/>
        <v>0</v>
      </c>
      <c r="O468" s="301">
        <f t="shared" si="229"/>
        <v>0</v>
      </c>
      <c r="P468" s="301">
        <f t="shared" si="229"/>
        <v>0</v>
      </c>
      <c r="Q468" s="301">
        <f t="shared" si="229"/>
        <v>0</v>
      </c>
      <c r="R468" s="301">
        <f t="shared" si="229"/>
        <v>0</v>
      </c>
      <c r="S468" s="301">
        <f t="shared" si="229"/>
        <v>0</v>
      </c>
      <c r="T468" s="301">
        <f t="shared" si="229"/>
        <v>0</v>
      </c>
      <c r="U468" s="301">
        <f t="shared" si="229"/>
        <v>0</v>
      </c>
      <c r="V468" s="301">
        <f t="shared" si="229"/>
        <v>0</v>
      </c>
      <c r="W468" s="301">
        <f t="shared" si="229"/>
        <v>0</v>
      </c>
      <c r="X468" s="306">
        <f t="shared" si="229"/>
        <v>0</v>
      </c>
      <c r="Y468" s="304"/>
      <c r="Z468" s="307">
        <f t="shared" ref="Z468:AP468" si="230">Z23+Z58+Z93+Z128+Z163+Z198+Z233+Z268+Z303+Z338+Z373+Z408</f>
        <v>0</v>
      </c>
      <c r="AA468" s="301">
        <f t="shared" si="230"/>
        <v>0</v>
      </c>
      <c r="AB468" s="301">
        <f t="shared" si="230"/>
        <v>0</v>
      </c>
      <c r="AC468" s="301">
        <f t="shared" si="230"/>
        <v>0</v>
      </c>
      <c r="AD468" s="301">
        <f t="shared" si="230"/>
        <v>0</v>
      </c>
      <c r="AE468" s="301">
        <f t="shared" si="230"/>
        <v>0</v>
      </c>
      <c r="AF468" s="301">
        <f t="shared" si="230"/>
        <v>0</v>
      </c>
      <c r="AG468" s="301">
        <f t="shared" si="230"/>
        <v>0</v>
      </c>
      <c r="AH468" s="301">
        <f t="shared" si="230"/>
        <v>0</v>
      </c>
      <c r="AI468" s="301">
        <f t="shared" si="230"/>
        <v>0</v>
      </c>
      <c r="AJ468" s="301">
        <f t="shared" si="230"/>
        <v>0</v>
      </c>
      <c r="AK468" s="301">
        <f t="shared" si="230"/>
        <v>0</v>
      </c>
      <c r="AL468" s="301">
        <f t="shared" si="230"/>
        <v>0</v>
      </c>
      <c r="AM468" s="301">
        <f t="shared" si="230"/>
        <v>0</v>
      </c>
      <c r="AN468" s="301">
        <f t="shared" si="230"/>
        <v>0</v>
      </c>
      <c r="AO468" s="301">
        <f t="shared" si="230"/>
        <v>0</v>
      </c>
      <c r="AP468" s="306">
        <f t="shared" si="230"/>
        <v>0</v>
      </c>
    </row>
    <row r="469" spans="1:42" ht="20.149999999999999" customHeight="1" x14ac:dyDescent="0.35">
      <c r="A469" s="166">
        <v>16</v>
      </c>
      <c r="B469" s="100">
        <f>PETUNJUK!B24</f>
        <v>0</v>
      </c>
      <c r="C469" s="80">
        <f t="shared" si="200"/>
        <v>0</v>
      </c>
      <c r="D469" s="301">
        <f t="shared" si="196"/>
        <v>0</v>
      </c>
      <c r="E469" s="301">
        <f t="shared" si="196"/>
        <v>0</v>
      </c>
      <c r="F469" s="301">
        <f t="shared" si="196"/>
        <v>0</v>
      </c>
      <c r="G469" s="301" t="e">
        <f t="shared" si="201"/>
        <v>#DIV/0!</v>
      </c>
      <c r="H469" s="301">
        <f t="shared" si="197"/>
        <v>0</v>
      </c>
      <c r="I469" s="301">
        <f t="shared" si="197"/>
        <v>0</v>
      </c>
      <c r="J469" s="301">
        <f t="shared" si="197"/>
        <v>0</v>
      </c>
      <c r="K469" s="301" t="e">
        <f t="shared" si="202"/>
        <v>#DIV/0!</v>
      </c>
      <c r="L469" s="301">
        <f t="shared" ref="L469:X469" si="231">L24+L59+L94+L129+L164+L199+L234+L269+L304+L339+L374+L409</f>
        <v>0</v>
      </c>
      <c r="M469" s="301">
        <f t="shared" si="231"/>
        <v>0</v>
      </c>
      <c r="N469" s="301">
        <f t="shared" si="231"/>
        <v>0</v>
      </c>
      <c r="O469" s="301">
        <f t="shared" si="231"/>
        <v>0</v>
      </c>
      <c r="P469" s="301">
        <f t="shared" si="231"/>
        <v>0</v>
      </c>
      <c r="Q469" s="301">
        <f t="shared" si="231"/>
        <v>0</v>
      </c>
      <c r="R469" s="301">
        <f t="shared" si="231"/>
        <v>0</v>
      </c>
      <c r="S469" s="301">
        <f t="shared" si="231"/>
        <v>0</v>
      </c>
      <c r="T469" s="301">
        <f t="shared" si="231"/>
        <v>0</v>
      </c>
      <c r="U469" s="301">
        <f t="shared" si="231"/>
        <v>0</v>
      </c>
      <c r="V469" s="301">
        <f t="shared" si="231"/>
        <v>0</v>
      </c>
      <c r="W469" s="301">
        <f t="shared" si="231"/>
        <v>0</v>
      </c>
      <c r="X469" s="306">
        <f t="shared" si="231"/>
        <v>0</v>
      </c>
      <c r="Y469" s="304"/>
      <c r="Z469" s="307">
        <f t="shared" ref="Z469:AP469" si="232">Z24+Z59+Z94+Z129+Z164+Z199+Z234+Z269+Z304+Z339+Z374+Z409</f>
        <v>0</v>
      </c>
      <c r="AA469" s="301">
        <f t="shared" si="232"/>
        <v>0</v>
      </c>
      <c r="AB469" s="301">
        <f t="shared" si="232"/>
        <v>0</v>
      </c>
      <c r="AC469" s="301">
        <f t="shared" si="232"/>
        <v>0</v>
      </c>
      <c r="AD469" s="301">
        <f t="shared" si="232"/>
        <v>0</v>
      </c>
      <c r="AE469" s="301">
        <f t="shared" si="232"/>
        <v>0</v>
      </c>
      <c r="AF469" s="301">
        <f t="shared" si="232"/>
        <v>0</v>
      </c>
      <c r="AG469" s="301">
        <f t="shared" si="232"/>
        <v>0</v>
      </c>
      <c r="AH469" s="301">
        <f t="shared" si="232"/>
        <v>0</v>
      </c>
      <c r="AI469" s="301">
        <f t="shared" si="232"/>
        <v>0</v>
      </c>
      <c r="AJ469" s="301">
        <f t="shared" si="232"/>
        <v>0</v>
      </c>
      <c r="AK469" s="301">
        <f t="shared" si="232"/>
        <v>0</v>
      </c>
      <c r="AL469" s="301">
        <f t="shared" si="232"/>
        <v>0</v>
      </c>
      <c r="AM469" s="301">
        <f t="shared" si="232"/>
        <v>0</v>
      </c>
      <c r="AN469" s="301">
        <f t="shared" si="232"/>
        <v>0</v>
      </c>
      <c r="AO469" s="301">
        <f t="shared" si="232"/>
        <v>0</v>
      </c>
      <c r="AP469" s="306">
        <f t="shared" si="232"/>
        <v>0</v>
      </c>
    </row>
    <row r="470" spans="1:42" ht="20.149999999999999" customHeight="1" x14ac:dyDescent="0.35">
      <c r="A470" s="166">
        <v>17</v>
      </c>
      <c r="B470" s="100">
        <f>PETUNJUK!B25</f>
        <v>0</v>
      </c>
      <c r="C470" s="80">
        <f t="shared" si="200"/>
        <v>0</v>
      </c>
      <c r="D470" s="301">
        <f t="shared" si="196"/>
        <v>0</v>
      </c>
      <c r="E470" s="301">
        <f t="shared" si="196"/>
        <v>0</v>
      </c>
      <c r="F470" s="301">
        <f t="shared" si="196"/>
        <v>0</v>
      </c>
      <c r="G470" s="301" t="e">
        <f t="shared" si="201"/>
        <v>#DIV/0!</v>
      </c>
      <c r="H470" s="301">
        <f t="shared" si="197"/>
        <v>0</v>
      </c>
      <c r="I470" s="301">
        <f t="shared" si="197"/>
        <v>0</v>
      </c>
      <c r="J470" s="301">
        <f t="shared" si="197"/>
        <v>0</v>
      </c>
      <c r="K470" s="301" t="e">
        <f t="shared" si="202"/>
        <v>#DIV/0!</v>
      </c>
      <c r="L470" s="301">
        <f t="shared" ref="L470:X470" si="233">L25+L60+L95+L130+L165+L200+L235+L270+L305+L340+L375+L410</f>
        <v>0</v>
      </c>
      <c r="M470" s="301">
        <f t="shared" si="233"/>
        <v>0</v>
      </c>
      <c r="N470" s="301">
        <f t="shared" si="233"/>
        <v>0</v>
      </c>
      <c r="O470" s="301">
        <f t="shared" si="233"/>
        <v>0</v>
      </c>
      <c r="P470" s="301">
        <f t="shared" si="233"/>
        <v>0</v>
      </c>
      <c r="Q470" s="301">
        <f t="shared" si="233"/>
        <v>0</v>
      </c>
      <c r="R470" s="301">
        <f t="shared" si="233"/>
        <v>0</v>
      </c>
      <c r="S470" s="301">
        <f t="shared" si="233"/>
        <v>0</v>
      </c>
      <c r="T470" s="301">
        <f t="shared" si="233"/>
        <v>0</v>
      </c>
      <c r="U470" s="301">
        <f t="shared" si="233"/>
        <v>0</v>
      </c>
      <c r="V470" s="301">
        <f t="shared" si="233"/>
        <v>0</v>
      </c>
      <c r="W470" s="301">
        <f t="shared" si="233"/>
        <v>0</v>
      </c>
      <c r="X470" s="306">
        <f t="shared" si="233"/>
        <v>0</v>
      </c>
      <c r="Y470" s="304"/>
      <c r="Z470" s="307">
        <f t="shared" ref="Z470:AP470" si="234">Z25+Z60+Z95+Z130+Z165+Z200+Z235+Z270+Z305+Z340+Z375+Z410</f>
        <v>0</v>
      </c>
      <c r="AA470" s="301">
        <f t="shared" si="234"/>
        <v>0</v>
      </c>
      <c r="AB470" s="301">
        <f t="shared" si="234"/>
        <v>0</v>
      </c>
      <c r="AC470" s="301">
        <f t="shared" si="234"/>
        <v>0</v>
      </c>
      <c r="AD470" s="301">
        <f t="shared" si="234"/>
        <v>0</v>
      </c>
      <c r="AE470" s="301">
        <f t="shared" si="234"/>
        <v>0</v>
      </c>
      <c r="AF470" s="301">
        <f t="shared" si="234"/>
        <v>0</v>
      </c>
      <c r="AG470" s="301">
        <f t="shared" si="234"/>
        <v>0</v>
      </c>
      <c r="AH470" s="301">
        <f t="shared" si="234"/>
        <v>0</v>
      </c>
      <c r="AI470" s="301">
        <f t="shared" si="234"/>
        <v>0</v>
      </c>
      <c r="AJ470" s="301">
        <f t="shared" si="234"/>
        <v>0</v>
      </c>
      <c r="AK470" s="301">
        <f t="shared" si="234"/>
        <v>0</v>
      </c>
      <c r="AL470" s="301">
        <f t="shared" si="234"/>
        <v>0</v>
      </c>
      <c r="AM470" s="301">
        <f t="shared" si="234"/>
        <v>0</v>
      </c>
      <c r="AN470" s="301">
        <f t="shared" si="234"/>
        <v>0</v>
      </c>
      <c r="AO470" s="301">
        <f t="shared" si="234"/>
        <v>0</v>
      </c>
      <c r="AP470" s="306">
        <f t="shared" si="234"/>
        <v>0</v>
      </c>
    </row>
    <row r="471" spans="1:42" ht="20.149999999999999" customHeight="1" x14ac:dyDescent="0.35">
      <c r="A471" s="166">
        <v>18</v>
      </c>
      <c r="B471" s="100">
        <f>PETUNJUK!B26</f>
        <v>0</v>
      </c>
      <c r="C471" s="80">
        <f t="shared" si="200"/>
        <v>0</v>
      </c>
      <c r="D471" s="301">
        <f t="shared" ref="D471:F475" si="235">D26+D61+D96+D131+D166+D201+D236+D271+D306+D341+D376+D411</f>
        <v>0</v>
      </c>
      <c r="E471" s="301">
        <f t="shared" si="235"/>
        <v>0</v>
      </c>
      <c r="F471" s="301">
        <f t="shared" si="235"/>
        <v>0</v>
      </c>
      <c r="G471" s="301" t="e">
        <f>F471/C471*100</f>
        <v>#DIV/0!</v>
      </c>
      <c r="H471" s="301">
        <f t="shared" ref="H471:J475" si="236">H26+H61+H96+H131+H166+H201+H236+H271+H306+H341+H376+H411</f>
        <v>0</v>
      </c>
      <c r="I471" s="301">
        <f t="shared" si="236"/>
        <v>0</v>
      </c>
      <c r="J471" s="301">
        <f t="shared" si="236"/>
        <v>0</v>
      </c>
      <c r="K471" s="301" t="e">
        <f>J471/C471*100</f>
        <v>#DIV/0!</v>
      </c>
      <c r="L471" s="301">
        <f t="shared" ref="L471:X471" si="237">L26+L61+L96+L131+L166+L201+L236+L271+L306+L341+L376+L411</f>
        <v>0</v>
      </c>
      <c r="M471" s="301">
        <f t="shared" si="237"/>
        <v>0</v>
      </c>
      <c r="N471" s="301">
        <f t="shared" si="237"/>
        <v>0</v>
      </c>
      <c r="O471" s="301">
        <f t="shared" si="237"/>
        <v>0</v>
      </c>
      <c r="P471" s="301">
        <f t="shared" si="237"/>
        <v>0</v>
      </c>
      <c r="Q471" s="301">
        <f t="shared" si="237"/>
        <v>0</v>
      </c>
      <c r="R471" s="301">
        <f t="shared" si="237"/>
        <v>0</v>
      </c>
      <c r="S471" s="301">
        <f t="shared" si="237"/>
        <v>0</v>
      </c>
      <c r="T471" s="301">
        <f t="shared" si="237"/>
        <v>0</v>
      </c>
      <c r="U471" s="301">
        <f t="shared" si="237"/>
        <v>0</v>
      </c>
      <c r="V471" s="301">
        <f t="shared" si="237"/>
        <v>0</v>
      </c>
      <c r="W471" s="301">
        <f t="shared" si="237"/>
        <v>0</v>
      </c>
      <c r="X471" s="306">
        <f t="shared" si="237"/>
        <v>0</v>
      </c>
      <c r="Y471" s="304"/>
      <c r="Z471" s="307">
        <f t="shared" ref="Z471:AP471" si="238">Z26+Z61+Z96+Z131+Z166+Z201+Z236+Z271+Z306+Z341+Z376+Z411</f>
        <v>0</v>
      </c>
      <c r="AA471" s="301">
        <f t="shared" si="238"/>
        <v>0</v>
      </c>
      <c r="AB471" s="301">
        <f t="shared" si="238"/>
        <v>0</v>
      </c>
      <c r="AC471" s="301">
        <f t="shared" si="238"/>
        <v>0</v>
      </c>
      <c r="AD471" s="301">
        <f t="shared" si="238"/>
        <v>0</v>
      </c>
      <c r="AE471" s="301">
        <f t="shared" si="238"/>
        <v>0</v>
      </c>
      <c r="AF471" s="301">
        <f t="shared" si="238"/>
        <v>0</v>
      </c>
      <c r="AG471" s="301">
        <f t="shared" si="238"/>
        <v>0</v>
      </c>
      <c r="AH471" s="301">
        <f t="shared" si="238"/>
        <v>0</v>
      </c>
      <c r="AI471" s="301">
        <f t="shared" si="238"/>
        <v>0</v>
      </c>
      <c r="AJ471" s="301">
        <f t="shared" si="238"/>
        <v>0</v>
      </c>
      <c r="AK471" s="301">
        <f t="shared" si="238"/>
        <v>0</v>
      </c>
      <c r="AL471" s="301">
        <f t="shared" si="238"/>
        <v>0</v>
      </c>
      <c r="AM471" s="301">
        <f t="shared" si="238"/>
        <v>0</v>
      </c>
      <c r="AN471" s="301">
        <f t="shared" si="238"/>
        <v>0</v>
      </c>
      <c r="AO471" s="301">
        <f t="shared" si="238"/>
        <v>0</v>
      </c>
      <c r="AP471" s="306">
        <f t="shared" si="238"/>
        <v>0</v>
      </c>
    </row>
    <row r="472" spans="1:42" ht="20.149999999999999" customHeight="1" x14ac:dyDescent="0.35">
      <c r="A472" s="166">
        <v>19</v>
      </c>
      <c r="B472" s="100">
        <f>PETUNJUK!B27</f>
        <v>0</v>
      </c>
      <c r="C472" s="80">
        <f t="shared" si="200"/>
        <v>0</v>
      </c>
      <c r="D472" s="301">
        <f t="shared" si="235"/>
        <v>0</v>
      </c>
      <c r="E472" s="301">
        <f t="shared" si="235"/>
        <v>0</v>
      </c>
      <c r="F472" s="301">
        <f t="shared" si="235"/>
        <v>0</v>
      </c>
      <c r="G472" s="301" t="e">
        <f>F472/C472*100</f>
        <v>#DIV/0!</v>
      </c>
      <c r="H472" s="301">
        <f t="shared" si="236"/>
        <v>0</v>
      </c>
      <c r="I472" s="301">
        <f t="shared" si="236"/>
        <v>0</v>
      </c>
      <c r="J472" s="301">
        <f t="shared" si="236"/>
        <v>0</v>
      </c>
      <c r="K472" s="301" t="e">
        <f>J472/C472*100</f>
        <v>#DIV/0!</v>
      </c>
      <c r="L472" s="301">
        <f t="shared" ref="L472:X472" si="239">L27+L62+L97+L132+L167+L202+L237+L272+L307+L342+L377+L412</f>
        <v>0</v>
      </c>
      <c r="M472" s="301">
        <f t="shared" si="239"/>
        <v>0</v>
      </c>
      <c r="N472" s="301">
        <f t="shared" si="239"/>
        <v>0</v>
      </c>
      <c r="O472" s="301">
        <f t="shared" si="239"/>
        <v>0</v>
      </c>
      <c r="P472" s="301">
        <f t="shared" si="239"/>
        <v>0</v>
      </c>
      <c r="Q472" s="301">
        <f t="shared" si="239"/>
        <v>0</v>
      </c>
      <c r="R472" s="301">
        <f t="shared" si="239"/>
        <v>0</v>
      </c>
      <c r="S472" s="301">
        <f t="shared" si="239"/>
        <v>0</v>
      </c>
      <c r="T472" s="301">
        <f t="shared" si="239"/>
        <v>0</v>
      </c>
      <c r="U472" s="301">
        <f t="shared" si="239"/>
        <v>0</v>
      </c>
      <c r="V472" s="301">
        <f t="shared" si="239"/>
        <v>0</v>
      </c>
      <c r="W472" s="301">
        <f t="shared" si="239"/>
        <v>0</v>
      </c>
      <c r="X472" s="306">
        <f t="shared" si="239"/>
        <v>0</v>
      </c>
      <c r="Y472" s="304"/>
      <c r="Z472" s="307">
        <f t="shared" ref="Z472:AP472" si="240">Z27+Z62+Z97+Z132+Z167+Z202+Z237+Z272+Z307+Z342+Z377+Z412</f>
        <v>0</v>
      </c>
      <c r="AA472" s="301">
        <f t="shared" si="240"/>
        <v>0</v>
      </c>
      <c r="AB472" s="301">
        <f t="shared" si="240"/>
        <v>0</v>
      </c>
      <c r="AC472" s="301">
        <f t="shared" si="240"/>
        <v>0</v>
      </c>
      <c r="AD472" s="301">
        <f t="shared" si="240"/>
        <v>0</v>
      </c>
      <c r="AE472" s="301">
        <f t="shared" si="240"/>
        <v>0</v>
      </c>
      <c r="AF472" s="301">
        <f t="shared" si="240"/>
        <v>0</v>
      </c>
      <c r="AG472" s="301">
        <f t="shared" si="240"/>
        <v>0</v>
      </c>
      <c r="AH472" s="301">
        <f t="shared" si="240"/>
        <v>0</v>
      </c>
      <c r="AI472" s="301">
        <f t="shared" si="240"/>
        <v>0</v>
      </c>
      <c r="AJ472" s="301">
        <f t="shared" si="240"/>
        <v>0</v>
      </c>
      <c r="AK472" s="301">
        <f t="shared" si="240"/>
        <v>0</v>
      </c>
      <c r="AL472" s="301">
        <f t="shared" si="240"/>
        <v>0</v>
      </c>
      <c r="AM472" s="301">
        <f t="shared" si="240"/>
        <v>0</v>
      </c>
      <c r="AN472" s="301">
        <f t="shared" si="240"/>
        <v>0</v>
      </c>
      <c r="AO472" s="301">
        <f t="shared" si="240"/>
        <v>0</v>
      </c>
      <c r="AP472" s="306">
        <f t="shared" si="240"/>
        <v>0</v>
      </c>
    </row>
    <row r="473" spans="1:42" ht="20.149999999999999" customHeight="1" x14ac:dyDescent="0.35">
      <c r="A473" s="166">
        <v>20</v>
      </c>
      <c r="B473" s="100">
        <f>PETUNJUK!B28</f>
        <v>0</v>
      </c>
      <c r="C473" s="80">
        <f t="shared" si="200"/>
        <v>0</v>
      </c>
      <c r="D473" s="301">
        <f t="shared" si="235"/>
        <v>0</v>
      </c>
      <c r="E473" s="301">
        <f t="shared" si="235"/>
        <v>0</v>
      </c>
      <c r="F473" s="301">
        <f t="shared" si="235"/>
        <v>0</v>
      </c>
      <c r="G473" s="301" t="e">
        <f>F473/C473*100</f>
        <v>#DIV/0!</v>
      </c>
      <c r="H473" s="301">
        <f t="shared" si="236"/>
        <v>0</v>
      </c>
      <c r="I473" s="301">
        <f t="shared" si="236"/>
        <v>0</v>
      </c>
      <c r="J473" s="301">
        <f t="shared" si="236"/>
        <v>0</v>
      </c>
      <c r="K473" s="301" t="e">
        <f>J473/C473*100</f>
        <v>#DIV/0!</v>
      </c>
      <c r="L473" s="301">
        <f t="shared" ref="L473:X473" si="241">L28+L63+L98+L133+L168+L203+L238+L273+L308+L343+L378+L413</f>
        <v>0</v>
      </c>
      <c r="M473" s="301">
        <f t="shared" si="241"/>
        <v>0</v>
      </c>
      <c r="N473" s="301">
        <f t="shared" si="241"/>
        <v>0</v>
      </c>
      <c r="O473" s="301">
        <f t="shared" si="241"/>
        <v>0</v>
      </c>
      <c r="P473" s="301">
        <f t="shared" si="241"/>
        <v>0</v>
      </c>
      <c r="Q473" s="301">
        <f t="shared" si="241"/>
        <v>0</v>
      </c>
      <c r="R473" s="301">
        <f t="shared" si="241"/>
        <v>0</v>
      </c>
      <c r="S473" s="301">
        <f t="shared" si="241"/>
        <v>0</v>
      </c>
      <c r="T473" s="301">
        <f t="shared" si="241"/>
        <v>0</v>
      </c>
      <c r="U473" s="301">
        <f t="shared" si="241"/>
        <v>0</v>
      </c>
      <c r="V473" s="301">
        <f t="shared" si="241"/>
        <v>0</v>
      </c>
      <c r="W473" s="301">
        <f t="shared" si="241"/>
        <v>0</v>
      </c>
      <c r="X473" s="306">
        <f t="shared" si="241"/>
        <v>0</v>
      </c>
      <c r="Y473" s="304"/>
      <c r="Z473" s="307">
        <f t="shared" ref="Z473:AP473" si="242">Z28+Z63+Z98+Z133+Z168+Z203+Z238+Z273+Z308+Z343+Z378+Z413</f>
        <v>0</v>
      </c>
      <c r="AA473" s="301">
        <f t="shared" si="242"/>
        <v>0</v>
      </c>
      <c r="AB473" s="301">
        <f t="shared" si="242"/>
        <v>0</v>
      </c>
      <c r="AC473" s="301">
        <f t="shared" si="242"/>
        <v>0</v>
      </c>
      <c r="AD473" s="301">
        <f t="shared" si="242"/>
        <v>0</v>
      </c>
      <c r="AE473" s="301">
        <f t="shared" si="242"/>
        <v>0</v>
      </c>
      <c r="AF473" s="301">
        <f t="shared" si="242"/>
        <v>0</v>
      </c>
      <c r="AG473" s="301">
        <f t="shared" si="242"/>
        <v>0</v>
      </c>
      <c r="AH473" s="301">
        <f t="shared" si="242"/>
        <v>0</v>
      </c>
      <c r="AI473" s="301">
        <f t="shared" si="242"/>
        <v>0</v>
      </c>
      <c r="AJ473" s="301">
        <f t="shared" si="242"/>
        <v>0</v>
      </c>
      <c r="AK473" s="301">
        <f t="shared" si="242"/>
        <v>0</v>
      </c>
      <c r="AL473" s="301">
        <f t="shared" si="242"/>
        <v>0</v>
      </c>
      <c r="AM473" s="301">
        <f t="shared" si="242"/>
        <v>0</v>
      </c>
      <c r="AN473" s="301">
        <f t="shared" si="242"/>
        <v>0</v>
      </c>
      <c r="AO473" s="301">
        <f t="shared" si="242"/>
        <v>0</v>
      </c>
      <c r="AP473" s="306">
        <f t="shared" si="242"/>
        <v>0</v>
      </c>
    </row>
    <row r="474" spans="1:42" ht="20.149999999999999" customHeight="1" x14ac:dyDescent="0.35">
      <c r="A474" s="166">
        <v>21</v>
      </c>
      <c r="B474" s="100">
        <f>PETUNJUK!B29</f>
        <v>0</v>
      </c>
      <c r="C474" s="80">
        <f t="shared" si="200"/>
        <v>0</v>
      </c>
      <c r="D474" s="301">
        <f t="shared" si="235"/>
        <v>0</v>
      </c>
      <c r="E474" s="301">
        <f t="shared" si="235"/>
        <v>0</v>
      </c>
      <c r="F474" s="301">
        <f t="shared" si="235"/>
        <v>0</v>
      </c>
      <c r="G474" s="301" t="e">
        <f>F474/C474*100</f>
        <v>#DIV/0!</v>
      </c>
      <c r="H474" s="301">
        <f t="shared" si="236"/>
        <v>0</v>
      </c>
      <c r="I474" s="301">
        <f t="shared" si="236"/>
        <v>0</v>
      </c>
      <c r="J474" s="301">
        <f t="shared" si="236"/>
        <v>0</v>
      </c>
      <c r="K474" s="301" t="e">
        <f>J474/C474*100</f>
        <v>#DIV/0!</v>
      </c>
      <c r="L474" s="301">
        <f t="shared" ref="L474:X474" si="243">L29+L64+L99+L134+L169+L204+L239+L274+L309+L344+L379+L414</f>
        <v>0</v>
      </c>
      <c r="M474" s="301">
        <f t="shared" si="243"/>
        <v>0</v>
      </c>
      <c r="N474" s="301">
        <f t="shared" si="243"/>
        <v>0</v>
      </c>
      <c r="O474" s="301">
        <f t="shared" si="243"/>
        <v>0</v>
      </c>
      <c r="P474" s="301">
        <f t="shared" si="243"/>
        <v>0</v>
      </c>
      <c r="Q474" s="301">
        <f t="shared" si="243"/>
        <v>0</v>
      </c>
      <c r="R474" s="301">
        <f t="shared" si="243"/>
        <v>0</v>
      </c>
      <c r="S474" s="301">
        <f t="shared" si="243"/>
        <v>0</v>
      </c>
      <c r="T474" s="301">
        <f t="shared" si="243"/>
        <v>0</v>
      </c>
      <c r="U474" s="301">
        <f t="shared" si="243"/>
        <v>0</v>
      </c>
      <c r="V474" s="301">
        <f t="shared" si="243"/>
        <v>0</v>
      </c>
      <c r="W474" s="301">
        <f t="shared" si="243"/>
        <v>0</v>
      </c>
      <c r="X474" s="306">
        <f t="shared" si="243"/>
        <v>0</v>
      </c>
      <c r="Y474" s="304"/>
      <c r="Z474" s="307">
        <f t="shared" ref="Z474:AP474" si="244">Z29+Z64+Z99+Z134+Z169+Z204+Z239+Z274+Z309+Z344+Z379+Z414</f>
        <v>0</v>
      </c>
      <c r="AA474" s="301">
        <f t="shared" si="244"/>
        <v>0</v>
      </c>
      <c r="AB474" s="301">
        <f t="shared" si="244"/>
        <v>0</v>
      </c>
      <c r="AC474" s="301">
        <f t="shared" si="244"/>
        <v>0</v>
      </c>
      <c r="AD474" s="301">
        <f t="shared" si="244"/>
        <v>0</v>
      </c>
      <c r="AE474" s="301">
        <f t="shared" si="244"/>
        <v>0</v>
      </c>
      <c r="AF474" s="301">
        <f t="shared" si="244"/>
        <v>0</v>
      </c>
      <c r="AG474" s="301">
        <f t="shared" si="244"/>
        <v>0</v>
      </c>
      <c r="AH474" s="301">
        <f t="shared" si="244"/>
        <v>0</v>
      </c>
      <c r="AI474" s="301">
        <f t="shared" si="244"/>
        <v>0</v>
      </c>
      <c r="AJ474" s="301">
        <f t="shared" si="244"/>
        <v>0</v>
      </c>
      <c r="AK474" s="301">
        <f t="shared" si="244"/>
        <v>0</v>
      </c>
      <c r="AL474" s="301">
        <f t="shared" si="244"/>
        <v>0</v>
      </c>
      <c r="AM474" s="301">
        <f t="shared" si="244"/>
        <v>0</v>
      </c>
      <c r="AN474" s="301">
        <f t="shared" si="244"/>
        <v>0</v>
      </c>
      <c r="AO474" s="301">
        <f t="shared" si="244"/>
        <v>0</v>
      </c>
      <c r="AP474" s="306">
        <f t="shared" si="244"/>
        <v>0</v>
      </c>
    </row>
    <row r="475" spans="1:42" ht="20.149999999999999" customHeight="1" thickBot="1" x14ac:dyDescent="0.4">
      <c r="A475" s="167">
        <v>22</v>
      </c>
      <c r="B475" s="114">
        <f>PETUNJUK!B30</f>
        <v>0</v>
      </c>
      <c r="C475" s="80">
        <f t="shared" si="200"/>
        <v>0</v>
      </c>
      <c r="D475" s="302">
        <f t="shared" si="235"/>
        <v>0</v>
      </c>
      <c r="E475" s="302">
        <f t="shared" si="235"/>
        <v>0</v>
      </c>
      <c r="F475" s="302">
        <f t="shared" si="235"/>
        <v>0</v>
      </c>
      <c r="G475" s="302" t="e">
        <f>F475/C475*100</f>
        <v>#DIV/0!</v>
      </c>
      <c r="H475" s="302">
        <f t="shared" si="236"/>
        <v>0</v>
      </c>
      <c r="I475" s="302">
        <f t="shared" si="236"/>
        <v>0</v>
      </c>
      <c r="J475" s="302">
        <f t="shared" si="236"/>
        <v>0</v>
      </c>
      <c r="K475" s="302" t="e">
        <f>J475/C475*100</f>
        <v>#DIV/0!</v>
      </c>
      <c r="L475" s="302">
        <f t="shared" ref="L475:X475" si="245">L30+L65+L100+L135+L170+L205+L240+L275+L310+L345+L380+L415</f>
        <v>0</v>
      </c>
      <c r="M475" s="302">
        <f t="shared" si="245"/>
        <v>0</v>
      </c>
      <c r="N475" s="302">
        <f t="shared" si="245"/>
        <v>0</v>
      </c>
      <c r="O475" s="302">
        <f t="shared" si="245"/>
        <v>0</v>
      </c>
      <c r="P475" s="302">
        <f t="shared" si="245"/>
        <v>0</v>
      </c>
      <c r="Q475" s="302">
        <f t="shared" si="245"/>
        <v>0</v>
      </c>
      <c r="R475" s="302">
        <f t="shared" si="245"/>
        <v>0</v>
      </c>
      <c r="S475" s="302">
        <f t="shared" si="245"/>
        <v>0</v>
      </c>
      <c r="T475" s="302">
        <f t="shared" si="245"/>
        <v>0</v>
      </c>
      <c r="U475" s="302">
        <f t="shared" si="245"/>
        <v>0</v>
      </c>
      <c r="V475" s="302">
        <f t="shared" si="245"/>
        <v>0</v>
      </c>
      <c r="W475" s="302">
        <f t="shared" si="245"/>
        <v>0</v>
      </c>
      <c r="X475" s="308">
        <f t="shared" si="245"/>
        <v>0</v>
      </c>
      <c r="Y475" s="304"/>
      <c r="Z475" s="309">
        <f t="shared" ref="Z475:AP475" si="246">Z30+Z65+Z100+Z135+Z170+Z205+Z240+Z275+Z310+Z345+Z380+Z415</f>
        <v>0</v>
      </c>
      <c r="AA475" s="302">
        <f t="shared" si="246"/>
        <v>0</v>
      </c>
      <c r="AB475" s="302">
        <f t="shared" si="246"/>
        <v>0</v>
      </c>
      <c r="AC475" s="302">
        <f t="shared" si="246"/>
        <v>0</v>
      </c>
      <c r="AD475" s="302">
        <f t="shared" si="246"/>
        <v>0</v>
      </c>
      <c r="AE475" s="302">
        <f t="shared" si="246"/>
        <v>0</v>
      </c>
      <c r="AF475" s="302">
        <f t="shared" si="246"/>
        <v>0</v>
      </c>
      <c r="AG475" s="302">
        <f t="shared" si="246"/>
        <v>0</v>
      </c>
      <c r="AH475" s="301">
        <f t="shared" si="246"/>
        <v>0</v>
      </c>
      <c r="AI475" s="302">
        <f t="shared" si="246"/>
        <v>0</v>
      </c>
      <c r="AJ475" s="302">
        <f t="shared" si="246"/>
        <v>0</v>
      </c>
      <c r="AK475" s="302">
        <f t="shared" si="246"/>
        <v>0</v>
      </c>
      <c r="AL475" s="302">
        <f t="shared" si="246"/>
        <v>0</v>
      </c>
      <c r="AM475" s="302">
        <f t="shared" si="246"/>
        <v>0</v>
      </c>
      <c r="AN475" s="302">
        <f t="shared" si="246"/>
        <v>0</v>
      </c>
      <c r="AO475" s="302">
        <f t="shared" si="246"/>
        <v>0</v>
      </c>
      <c r="AP475" s="308">
        <f t="shared" si="246"/>
        <v>0</v>
      </c>
    </row>
    <row r="476" spans="1:42" ht="24" customHeight="1" thickBot="1" x14ac:dyDescent="0.4">
      <c r="A476" s="881" t="s">
        <v>18</v>
      </c>
      <c r="B476" s="882"/>
      <c r="C476" s="310">
        <f>SUM(C454:C475)</f>
        <v>1067</v>
      </c>
      <c r="D476" s="311">
        <f>SUM(D454:D471)</f>
        <v>3543</v>
      </c>
      <c r="E476" s="311">
        <f>SUM(E454:E471)</f>
        <v>374</v>
      </c>
      <c r="F476" s="311">
        <f>SUM(F454:F471)</f>
        <v>3917</v>
      </c>
      <c r="G476" s="310">
        <f t="shared" si="201"/>
        <v>367.10402999062796</v>
      </c>
      <c r="H476" s="311">
        <f>SUM(H454:H471)</f>
        <v>2848</v>
      </c>
      <c r="I476" s="311">
        <f>SUM(I454:I471)</f>
        <v>298</v>
      </c>
      <c r="J476" s="311">
        <f>SUM(J454:J471)</f>
        <v>3146</v>
      </c>
      <c r="K476" s="310">
        <f t="shared" si="202"/>
        <v>294.84536082474227</v>
      </c>
      <c r="L476" s="310">
        <f>SUM(L454:L471)</f>
        <v>298</v>
      </c>
      <c r="M476" s="310">
        <f t="shared" ref="M476:X476" si="247">SUM(M454:M471)</f>
        <v>0</v>
      </c>
      <c r="N476" s="310">
        <f t="shared" si="247"/>
        <v>298</v>
      </c>
      <c r="O476" s="310">
        <f t="shared" si="247"/>
        <v>0</v>
      </c>
      <c r="P476" s="310">
        <f t="shared" si="247"/>
        <v>173</v>
      </c>
      <c r="Q476" s="310">
        <f t="shared" si="247"/>
        <v>0</v>
      </c>
      <c r="R476" s="310">
        <f t="shared" si="247"/>
        <v>125</v>
      </c>
      <c r="S476" s="310">
        <f t="shared" si="247"/>
        <v>38</v>
      </c>
      <c r="T476" s="310">
        <f t="shared" si="247"/>
        <v>0</v>
      </c>
      <c r="U476" s="310">
        <f t="shared" si="247"/>
        <v>130</v>
      </c>
      <c r="V476" s="310">
        <f t="shared" si="247"/>
        <v>0</v>
      </c>
      <c r="W476" s="310">
        <f t="shared" si="247"/>
        <v>130</v>
      </c>
      <c r="X476" s="312">
        <f t="shared" si="247"/>
        <v>0</v>
      </c>
      <c r="Y476" s="313"/>
      <c r="Z476" s="314">
        <f t="shared" ref="Z476:AP476" si="248">SUM(Z454:Z471)</f>
        <v>168</v>
      </c>
      <c r="AA476" s="310">
        <f t="shared" si="248"/>
        <v>0</v>
      </c>
      <c r="AB476" s="310">
        <f t="shared" si="248"/>
        <v>130</v>
      </c>
      <c r="AC476" s="310">
        <f t="shared" si="248"/>
        <v>298</v>
      </c>
      <c r="AD476" s="310">
        <f t="shared" si="248"/>
        <v>0</v>
      </c>
      <c r="AE476" s="310">
        <f t="shared" si="248"/>
        <v>298</v>
      </c>
      <c r="AF476" s="310">
        <f t="shared" si="248"/>
        <v>0</v>
      </c>
      <c r="AG476" s="310">
        <f t="shared" si="248"/>
        <v>3</v>
      </c>
      <c r="AH476" s="310">
        <f t="shared" si="248"/>
        <v>0</v>
      </c>
      <c r="AI476" s="310">
        <f t="shared" si="248"/>
        <v>250</v>
      </c>
      <c r="AJ476" s="310">
        <f t="shared" si="248"/>
        <v>3</v>
      </c>
      <c r="AK476" s="310">
        <f t="shared" si="248"/>
        <v>13</v>
      </c>
      <c r="AL476" s="310">
        <f t="shared" si="248"/>
        <v>29</v>
      </c>
      <c r="AM476" s="310">
        <f t="shared" si="248"/>
        <v>298</v>
      </c>
      <c r="AN476" s="310">
        <f t="shared" si="248"/>
        <v>0</v>
      </c>
      <c r="AO476" s="310">
        <f t="shared" si="248"/>
        <v>298</v>
      </c>
      <c r="AP476" s="312">
        <f t="shared" si="248"/>
        <v>0</v>
      </c>
    </row>
    <row r="477" spans="1:42" ht="15.5" x14ac:dyDescent="0.35">
      <c r="A477" s="140"/>
      <c r="B477" s="140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56"/>
      <c r="Z477" s="102"/>
      <c r="AA477" s="102"/>
      <c r="AB477" s="102"/>
      <c r="AC477" s="102"/>
      <c r="AD477" s="102"/>
      <c r="AE477" s="102"/>
      <c r="AF477" s="102"/>
      <c r="AG477" s="102"/>
      <c r="AH477" s="102"/>
      <c r="AI477" s="102"/>
      <c r="AJ477" s="102"/>
      <c r="AK477" s="102"/>
      <c r="AL477" s="102"/>
      <c r="AM477" s="102"/>
      <c r="AN477" s="102"/>
      <c r="AO477" s="102"/>
      <c r="AP477" s="102"/>
    </row>
    <row r="478" spans="1:42" ht="15.5" x14ac:dyDescent="0.35"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160"/>
      <c r="Z478" s="77"/>
      <c r="AA478" s="77"/>
      <c r="AB478" s="77"/>
      <c r="AC478" s="77"/>
      <c r="AD478" s="77"/>
      <c r="AE478" s="77"/>
      <c r="AF478" s="77"/>
      <c r="AG478" s="77"/>
      <c r="AH478" s="77"/>
      <c r="AI478" s="77"/>
      <c r="AJ478" s="77"/>
      <c r="AK478" s="77"/>
      <c r="AL478" s="77"/>
      <c r="AM478" s="77"/>
      <c r="AN478" s="77"/>
      <c r="AO478" s="77"/>
      <c r="AP478" s="77"/>
    </row>
  </sheetData>
  <mergeCells count="742">
    <mergeCell ref="AK452:AK453"/>
    <mergeCell ref="AL452:AL453"/>
    <mergeCell ref="AM452:AN452"/>
    <mergeCell ref="AO452:AP452"/>
    <mergeCell ref="A476:B476"/>
    <mergeCell ref="AM451:AP451"/>
    <mergeCell ref="L452:L453"/>
    <mergeCell ref="M452:M453"/>
    <mergeCell ref="N452:N453"/>
    <mergeCell ref="O452:O453"/>
    <mergeCell ref="P452:P453"/>
    <mergeCell ref="Q452:Q453"/>
    <mergeCell ref="R452:R453"/>
    <mergeCell ref="S452:S453"/>
    <mergeCell ref="T452:T453"/>
    <mergeCell ref="U452:U453"/>
    <mergeCell ref="V452:V453"/>
    <mergeCell ref="W452:X452"/>
    <mergeCell ref="Z452:Z453"/>
    <mergeCell ref="AA452:AA453"/>
    <mergeCell ref="AB452:AB453"/>
    <mergeCell ref="AC452:AC453"/>
    <mergeCell ref="AD452:AD453"/>
    <mergeCell ref="AE452:AE453"/>
    <mergeCell ref="AF452:AF453"/>
    <mergeCell ref="AG452:AG453"/>
    <mergeCell ref="AH452:AH453"/>
    <mergeCell ref="AI452:AI453"/>
    <mergeCell ref="AJ452:AJ453"/>
    <mergeCell ref="A449:B449"/>
    <mergeCell ref="A450:A453"/>
    <mergeCell ref="B450:B453"/>
    <mergeCell ref="C450:C453"/>
    <mergeCell ref="D450:G450"/>
    <mergeCell ref="H450:K450"/>
    <mergeCell ref="L450:X450"/>
    <mergeCell ref="Z450:AP450"/>
    <mergeCell ref="D451:D453"/>
    <mergeCell ref="E451:E453"/>
    <mergeCell ref="F451:F453"/>
    <mergeCell ref="G451:G453"/>
    <mergeCell ref="H451:H453"/>
    <mergeCell ref="I451:I453"/>
    <mergeCell ref="J451:J453"/>
    <mergeCell ref="K451:K453"/>
    <mergeCell ref="L451:M451"/>
    <mergeCell ref="N451:O451"/>
    <mergeCell ref="P451:R451"/>
    <mergeCell ref="S451:X451"/>
    <mergeCell ref="Z451:AB451"/>
    <mergeCell ref="AC451:AD451"/>
    <mergeCell ref="AE451:AF451"/>
    <mergeCell ref="AG451:AL451"/>
    <mergeCell ref="Z427:Z428"/>
    <mergeCell ref="AK427:AK428"/>
    <mergeCell ref="AL427:AL428"/>
    <mergeCell ref="AM427:AN427"/>
    <mergeCell ref="AO427:AP427"/>
    <mergeCell ref="A441:B441"/>
    <mergeCell ref="AF427:AF428"/>
    <mergeCell ref="AG427:AG428"/>
    <mergeCell ref="AH427:AH428"/>
    <mergeCell ref="AI427:AI428"/>
    <mergeCell ref="AJ427:AJ428"/>
    <mergeCell ref="AA427:AA428"/>
    <mergeCell ref="AB427:AB428"/>
    <mergeCell ref="AC427:AC428"/>
    <mergeCell ref="AD427:AD428"/>
    <mergeCell ref="AE427:AE428"/>
    <mergeCell ref="A425:A428"/>
    <mergeCell ref="B425:B428"/>
    <mergeCell ref="C425:C428"/>
    <mergeCell ref="O427:O428"/>
    <mergeCell ref="P427:P428"/>
    <mergeCell ref="Q427:Q428"/>
    <mergeCell ref="R427:R428"/>
    <mergeCell ref="S427:S428"/>
    <mergeCell ref="T427:T428"/>
    <mergeCell ref="U427:U428"/>
    <mergeCell ref="V427:V428"/>
    <mergeCell ref="W427:X427"/>
    <mergeCell ref="L425:X425"/>
    <mergeCell ref="Z425:AP425"/>
    <mergeCell ref="D426:D428"/>
    <mergeCell ref="E426:E428"/>
    <mergeCell ref="F426:F428"/>
    <mergeCell ref="G426:G428"/>
    <mergeCell ref="H426:H428"/>
    <mergeCell ref="I426:I428"/>
    <mergeCell ref="J426:J428"/>
    <mergeCell ref="K426:K428"/>
    <mergeCell ref="L426:M426"/>
    <mergeCell ref="N426:O426"/>
    <mergeCell ref="P426:R426"/>
    <mergeCell ref="S426:X426"/>
    <mergeCell ref="Z426:AB426"/>
    <mergeCell ref="AC426:AD426"/>
    <mergeCell ref="D425:G425"/>
    <mergeCell ref="H425:K425"/>
    <mergeCell ref="AE426:AF426"/>
    <mergeCell ref="AG426:AL426"/>
    <mergeCell ref="AM426:AP426"/>
    <mergeCell ref="L427:L428"/>
    <mergeCell ref="M427:M428"/>
    <mergeCell ref="N427:N428"/>
    <mergeCell ref="AO392:AP392"/>
    <mergeCell ref="A416:B416"/>
    <mergeCell ref="A424:B424"/>
    <mergeCell ref="AG392:AG393"/>
    <mergeCell ref="AH392:AH393"/>
    <mergeCell ref="AI392:AI393"/>
    <mergeCell ref="AJ392:AJ393"/>
    <mergeCell ref="AK392:AK393"/>
    <mergeCell ref="AB392:AB393"/>
    <mergeCell ref="AC392:AC393"/>
    <mergeCell ref="AD392:AD393"/>
    <mergeCell ref="AE392:AE393"/>
    <mergeCell ref="AF392:AF393"/>
    <mergeCell ref="I391:I393"/>
    <mergeCell ref="J391:J393"/>
    <mergeCell ref="K391:K393"/>
    <mergeCell ref="AG391:AL391"/>
    <mergeCell ref="AM391:AP391"/>
    <mergeCell ref="L392:L393"/>
    <mergeCell ref="M392:M393"/>
    <mergeCell ref="N392:N393"/>
    <mergeCell ref="O392:O393"/>
    <mergeCell ref="P392:P393"/>
    <mergeCell ref="AC391:AD391"/>
    <mergeCell ref="AE391:AF391"/>
    <mergeCell ref="L391:M391"/>
    <mergeCell ref="N391:O391"/>
    <mergeCell ref="AL392:AL393"/>
    <mergeCell ref="AM357:AN357"/>
    <mergeCell ref="Q392:Q393"/>
    <mergeCell ref="R392:R393"/>
    <mergeCell ref="S392:S393"/>
    <mergeCell ref="T392:T393"/>
    <mergeCell ref="U392:U393"/>
    <mergeCell ref="V392:V393"/>
    <mergeCell ref="W392:X392"/>
    <mergeCell ref="Z392:Z393"/>
    <mergeCell ref="AA392:AA393"/>
    <mergeCell ref="AM392:AN392"/>
    <mergeCell ref="AO357:AP357"/>
    <mergeCell ref="A381:B381"/>
    <mergeCell ref="A389:B389"/>
    <mergeCell ref="A390:A393"/>
    <mergeCell ref="B390:B393"/>
    <mergeCell ref="C390:C393"/>
    <mergeCell ref="D390:G390"/>
    <mergeCell ref="H390:K390"/>
    <mergeCell ref="L390:X390"/>
    <mergeCell ref="Z390:AP390"/>
    <mergeCell ref="D391:D393"/>
    <mergeCell ref="E391:E393"/>
    <mergeCell ref="F391:F393"/>
    <mergeCell ref="G391:G393"/>
    <mergeCell ref="H391:H393"/>
    <mergeCell ref="AH357:AH358"/>
    <mergeCell ref="AI357:AI358"/>
    <mergeCell ref="AJ357:AJ358"/>
    <mergeCell ref="AK357:AK358"/>
    <mergeCell ref="AL357:AL358"/>
    <mergeCell ref="AE357:AE358"/>
    <mergeCell ref="P391:R391"/>
    <mergeCell ref="S391:X391"/>
    <mergeCell ref="Z391:AB391"/>
    <mergeCell ref="AE356:AF356"/>
    <mergeCell ref="AG356:AL356"/>
    <mergeCell ref="AF357:AF358"/>
    <mergeCell ref="AG357:AG358"/>
    <mergeCell ref="V357:V358"/>
    <mergeCell ref="W357:X357"/>
    <mergeCell ref="Z357:Z358"/>
    <mergeCell ref="AA357:AA358"/>
    <mergeCell ref="AB357:AB358"/>
    <mergeCell ref="AJ322:AJ323"/>
    <mergeCell ref="AK322:AK323"/>
    <mergeCell ref="AL322:AL323"/>
    <mergeCell ref="AM322:AN322"/>
    <mergeCell ref="AM356:AP356"/>
    <mergeCell ref="D355:G355"/>
    <mergeCell ref="H355:K355"/>
    <mergeCell ref="L355:X355"/>
    <mergeCell ref="Z355:AP355"/>
    <mergeCell ref="D356:D358"/>
    <mergeCell ref="E356:E358"/>
    <mergeCell ref="F356:F358"/>
    <mergeCell ref="G356:G358"/>
    <mergeCell ref="H356:H358"/>
    <mergeCell ref="I356:I358"/>
    <mergeCell ref="J356:J358"/>
    <mergeCell ref="K356:K358"/>
    <mergeCell ref="L356:M356"/>
    <mergeCell ref="N356:O356"/>
    <mergeCell ref="P356:R356"/>
    <mergeCell ref="S356:X356"/>
    <mergeCell ref="L357:L358"/>
    <mergeCell ref="M357:M358"/>
    <mergeCell ref="N357:N358"/>
    <mergeCell ref="AA322:AA323"/>
    <mergeCell ref="AB322:AB323"/>
    <mergeCell ref="AC322:AC323"/>
    <mergeCell ref="AD322:AD323"/>
    <mergeCell ref="A346:B346"/>
    <mergeCell ref="A354:B354"/>
    <mergeCell ref="A355:A358"/>
    <mergeCell ref="B355:B358"/>
    <mergeCell ref="C355:C358"/>
    <mergeCell ref="O357:O358"/>
    <mergeCell ref="P357:P358"/>
    <mergeCell ref="Z356:AB356"/>
    <mergeCell ref="AC356:AD356"/>
    <mergeCell ref="Q357:Q358"/>
    <mergeCell ref="R357:R358"/>
    <mergeCell ref="S357:S358"/>
    <mergeCell ref="T357:T358"/>
    <mergeCell ref="U357:U358"/>
    <mergeCell ref="AC357:AC358"/>
    <mergeCell ref="AD357:AD358"/>
    <mergeCell ref="Z321:AB321"/>
    <mergeCell ref="AC321:AD321"/>
    <mergeCell ref="AE321:AF321"/>
    <mergeCell ref="AG321:AL321"/>
    <mergeCell ref="AM321:AP321"/>
    <mergeCell ref="L322:L323"/>
    <mergeCell ref="M322:M323"/>
    <mergeCell ref="N322:N323"/>
    <mergeCell ref="O322:O323"/>
    <mergeCell ref="P322:P323"/>
    <mergeCell ref="Q322:Q323"/>
    <mergeCell ref="R322:R323"/>
    <mergeCell ref="S322:S323"/>
    <mergeCell ref="T322:T323"/>
    <mergeCell ref="U322:U323"/>
    <mergeCell ref="V322:V323"/>
    <mergeCell ref="W322:X322"/>
    <mergeCell ref="AO322:AP322"/>
    <mergeCell ref="AE322:AE323"/>
    <mergeCell ref="AF322:AF323"/>
    <mergeCell ref="AG322:AG323"/>
    <mergeCell ref="AH322:AH323"/>
    <mergeCell ref="AI322:AI323"/>
    <mergeCell ref="Z322:Z323"/>
    <mergeCell ref="AO287:AP287"/>
    <mergeCell ref="A311:B311"/>
    <mergeCell ref="AF287:AF288"/>
    <mergeCell ref="AG287:AG288"/>
    <mergeCell ref="AH287:AH288"/>
    <mergeCell ref="AI287:AI288"/>
    <mergeCell ref="AJ287:AJ288"/>
    <mergeCell ref="AA287:AA288"/>
    <mergeCell ref="AB287:AB288"/>
    <mergeCell ref="AC287:AC288"/>
    <mergeCell ref="AD287:AD288"/>
    <mergeCell ref="AE287:AE288"/>
    <mergeCell ref="A285:A288"/>
    <mergeCell ref="B285:B288"/>
    <mergeCell ref="C285:C288"/>
    <mergeCell ref="Z287:Z288"/>
    <mergeCell ref="P287:P288"/>
    <mergeCell ref="Q287:Q288"/>
    <mergeCell ref="R287:R288"/>
    <mergeCell ref="S287:S288"/>
    <mergeCell ref="T287:T288"/>
    <mergeCell ref="U287:U288"/>
    <mergeCell ref="V287:V288"/>
    <mergeCell ref="W287:X287"/>
    <mergeCell ref="A319:B319"/>
    <mergeCell ref="A320:A323"/>
    <mergeCell ref="B320:B323"/>
    <mergeCell ref="C320:C323"/>
    <mergeCell ref="D320:G320"/>
    <mergeCell ref="AK287:AK288"/>
    <mergeCell ref="AL287:AL288"/>
    <mergeCell ref="AM287:AN287"/>
    <mergeCell ref="H320:K320"/>
    <mergeCell ref="L320:X320"/>
    <mergeCell ref="Z320:AP320"/>
    <mergeCell ref="D321:D323"/>
    <mergeCell ref="E321:E323"/>
    <mergeCell ref="F321:F323"/>
    <mergeCell ref="G321:G323"/>
    <mergeCell ref="H321:H323"/>
    <mergeCell ref="I321:I323"/>
    <mergeCell ref="J321:J323"/>
    <mergeCell ref="K321:K323"/>
    <mergeCell ref="L321:M321"/>
    <mergeCell ref="N321:O321"/>
    <mergeCell ref="P321:R321"/>
    <mergeCell ref="S321:X321"/>
    <mergeCell ref="O287:O288"/>
    <mergeCell ref="L285:X285"/>
    <mergeCell ref="Z285:AP285"/>
    <mergeCell ref="D286:D288"/>
    <mergeCell ref="E286:E288"/>
    <mergeCell ref="F286:F288"/>
    <mergeCell ref="G286:G288"/>
    <mergeCell ref="H286:H288"/>
    <mergeCell ref="I286:I288"/>
    <mergeCell ref="J286:J288"/>
    <mergeCell ref="K286:K288"/>
    <mergeCell ref="L286:M286"/>
    <mergeCell ref="N286:O286"/>
    <mergeCell ref="P286:R286"/>
    <mergeCell ref="S286:X286"/>
    <mergeCell ref="Z286:AB286"/>
    <mergeCell ref="AC286:AD286"/>
    <mergeCell ref="D285:G285"/>
    <mergeCell ref="H285:K285"/>
    <mergeCell ref="AE286:AF286"/>
    <mergeCell ref="AG286:AL286"/>
    <mergeCell ref="AM286:AP286"/>
    <mergeCell ref="L287:L288"/>
    <mergeCell ref="M287:M288"/>
    <mergeCell ref="N287:N288"/>
    <mergeCell ref="AO252:AP252"/>
    <mergeCell ref="A276:B276"/>
    <mergeCell ref="A284:B284"/>
    <mergeCell ref="AG252:AG253"/>
    <mergeCell ref="AH252:AH253"/>
    <mergeCell ref="AI252:AI253"/>
    <mergeCell ref="AJ252:AJ253"/>
    <mergeCell ref="AK252:AK253"/>
    <mergeCell ref="AB252:AB253"/>
    <mergeCell ref="AC252:AC253"/>
    <mergeCell ref="AD252:AD253"/>
    <mergeCell ref="AE252:AE253"/>
    <mergeCell ref="AF252:AF253"/>
    <mergeCell ref="I251:I253"/>
    <mergeCell ref="J251:J253"/>
    <mergeCell ref="K251:K253"/>
    <mergeCell ref="AG251:AL251"/>
    <mergeCell ref="AM251:AP251"/>
    <mergeCell ref="L252:L253"/>
    <mergeCell ref="M252:M253"/>
    <mergeCell ref="N252:N253"/>
    <mergeCell ref="O252:O253"/>
    <mergeCell ref="P252:P253"/>
    <mergeCell ref="S251:X251"/>
    <mergeCell ref="Z251:AB251"/>
    <mergeCell ref="AC251:AD251"/>
    <mergeCell ref="AE251:AF251"/>
    <mergeCell ref="L251:M251"/>
    <mergeCell ref="N251:O251"/>
    <mergeCell ref="AL252:AL253"/>
    <mergeCell ref="AM217:AN217"/>
    <mergeCell ref="Q252:Q253"/>
    <mergeCell ref="R252:R253"/>
    <mergeCell ref="S252:S253"/>
    <mergeCell ref="T252:T253"/>
    <mergeCell ref="U252:U253"/>
    <mergeCell ref="V252:V253"/>
    <mergeCell ref="W252:X252"/>
    <mergeCell ref="Z252:Z253"/>
    <mergeCell ref="AA252:AA253"/>
    <mergeCell ref="AM252:AN252"/>
    <mergeCell ref="AO217:AP217"/>
    <mergeCell ref="A241:B241"/>
    <mergeCell ref="A249:B249"/>
    <mergeCell ref="A250:A253"/>
    <mergeCell ref="B250:B253"/>
    <mergeCell ref="C250:C253"/>
    <mergeCell ref="D250:G250"/>
    <mergeCell ref="H250:K250"/>
    <mergeCell ref="L250:X250"/>
    <mergeCell ref="Z250:AP250"/>
    <mergeCell ref="D251:D253"/>
    <mergeCell ref="E251:E253"/>
    <mergeCell ref="F251:F253"/>
    <mergeCell ref="G251:G253"/>
    <mergeCell ref="H251:H253"/>
    <mergeCell ref="AH217:AH218"/>
    <mergeCell ref="AI217:AI218"/>
    <mergeCell ref="AJ217:AJ218"/>
    <mergeCell ref="AK217:AK218"/>
    <mergeCell ref="AL217:AL218"/>
    <mergeCell ref="AC217:AC218"/>
    <mergeCell ref="AD217:AD218"/>
    <mergeCell ref="AE217:AE218"/>
    <mergeCell ref="P251:R251"/>
    <mergeCell ref="AE216:AF216"/>
    <mergeCell ref="AG216:AL216"/>
    <mergeCell ref="AF217:AF218"/>
    <mergeCell ref="AG217:AG218"/>
    <mergeCell ref="V217:V218"/>
    <mergeCell ref="W217:X217"/>
    <mergeCell ref="Z217:Z218"/>
    <mergeCell ref="AA217:AA218"/>
    <mergeCell ref="AB217:AB218"/>
    <mergeCell ref="AJ182:AJ183"/>
    <mergeCell ref="AK182:AK183"/>
    <mergeCell ref="AL182:AL183"/>
    <mergeCell ref="AM182:AN182"/>
    <mergeCell ref="AM216:AP216"/>
    <mergeCell ref="D215:G215"/>
    <mergeCell ref="H215:K215"/>
    <mergeCell ref="L215:X215"/>
    <mergeCell ref="Z215:AP215"/>
    <mergeCell ref="D216:D218"/>
    <mergeCell ref="E216:E218"/>
    <mergeCell ref="F216:F218"/>
    <mergeCell ref="G216:G218"/>
    <mergeCell ref="H216:H218"/>
    <mergeCell ref="I216:I218"/>
    <mergeCell ref="J216:J218"/>
    <mergeCell ref="K216:K218"/>
    <mergeCell ref="L216:M216"/>
    <mergeCell ref="N216:O216"/>
    <mergeCell ref="P216:R216"/>
    <mergeCell ref="S216:X216"/>
    <mergeCell ref="L217:L218"/>
    <mergeCell ref="M217:M218"/>
    <mergeCell ref="N217:N218"/>
    <mergeCell ref="AA182:AA183"/>
    <mergeCell ref="AB182:AB183"/>
    <mergeCell ref="AC182:AC183"/>
    <mergeCell ref="AD182:AD183"/>
    <mergeCell ref="A206:B206"/>
    <mergeCell ref="A214:B214"/>
    <mergeCell ref="A215:A218"/>
    <mergeCell ref="B215:B218"/>
    <mergeCell ref="C215:C218"/>
    <mergeCell ref="O217:O218"/>
    <mergeCell ref="P217:P218"/>
    <mergeCell ref="Z216:AB216"/>
    <mergeCell ref="AC216:AD216"/>
    <mergeCell ref="Q217:Q218"/>
    <mergeCell ref="R217:R218"/>
    <mergeCell ref="S217:S218"/>
    <mergeCell ref="T217:T218"/>
    <mergeCell ref="U217:U218"/>
    <mergeCell ref="Z181:AB181"/>
    <mergeCell ref="AC181:AD181"/>
    <mergeCell ref="AE181:AF181"/>
    <mergeCell ref="AG181:AL181"/>
    <mergeCell ref="AM181:AP181"/>
    <mergeCell ref="L182:L183"/>
    <mergeCell ref="M182:M183"/>
    <mergeCell ref="N182:N183"/>
    <mergeCell ref="O182:O183"/>
    <mergeCell ref="P182:P183"/>
    <mergeCell ref="Q182:Q183"/>
    <mergeCell ref="R182:R183"/>
    <mergeCell ref="S182:S183"/>
    <mergeCell ref="T182:T183"/>
    <mergeCell ref="U182:U183"/>
    <mergeCell ref="V182:V183"/>
    <mergeCell ref="W182:X182"/>
    <mergeCell ref="AO182:AP182"/>
    <mergeCell ref="AE182:AE183"/>
    <mergeCell ref="AF182:AF183"/>
    <mergeCell ref="AG182:AG183"/>
    <mergeCell ref="AH182:AH183"/>
    <mergeCell ref="AI182:AI183"/>
    <mergeCell ref="Z182:Z183"/>
    <mergeCell ref="AO147:AP147"/>
    <mergeCell ref="A171:B171"/>
    <mergeCell ref="AF147:AF148"/>
    <mergeCell ref="AG147:AG148"/>
    <mergeCell ref="AH147:AH148"/>
    <mergeCell ref="AI147:AI148"/>
    <mergeCell ref="AJ147:AJ148"/>
    <mergeCell ref="AA147:AA148"/>
    <mergeCell ref="AB147:AB148"/>
    <mergeCell ref="AC147:AC148"/>
    <mergeCell ref="AD147:AD148"/>
    <mergeCell ref="AE147:AE148"/>
    <mergeCell ref="A145:A148"/>
    <mergeCell ref="B145:B148"/>
    <mergeCell ref="C145:C148"/>
    <mergeCell ref="Z147:Z148"/>
    <mergeCell ref="P147:P148"/>
    <mergeCell ref="Q147:Q148"/>
    <mergeCell ref="R147:R148"/>
    <mergeCell ref="S147:S148"/>
    <mergeCell ref="T147:T148"/>
    <mergeCell ref="U147:U148"/>
    <mergeCell ref="V147:V148"/>
    <mergeCell ref="W147:X147"/>
    <mergeCell ref="A179:B179"/>
    <mergeCell ref="A180:A183"/>
    <mergeCell ref="B180:B183"/>
    <mergeCell ref="C180:C183"/>
    <mergeCell ref="D180:G180"/>
    <mergeCell ref="AK147:AK148"/>
    <mergeCell ref="AL147:AL148"/>
    <mergeCell ref="AM147:AN147"/>
    <mergeCell ref="H180:K180"/>
    <mergeCell ref="L180:X180"/>
    <mergeCell ref="Z180:AP180"/>
    <mergeCell ref="D181:D183"/>
    <mergeCell ref="E181:E183"/>
    <mergeCell ref="F181:F183"/>
    <mergeCell ref="G181:G183"/>
    <mergeCell ref="H181:H183"/>
    <mergeCell ref="I181:I183"/>
    <mergeCell ref="J181:J183"/>
    <mergeCell ref="K181:K183"/>
    <mergeCell ref="L181:M181"/>
    <mergeCell ref="N181:O181"/>
    <mergeCell ref="P181:R181"/>
    <mergeCell ref="S181:X181"/>
    <mergeCell ref="O147:O148"/>
    <mergeCell ref="L145:X145"/>
    <mergeCell ref="Z145:AP145"/>
    <mergeCell ref="D146:D148"/>
    <mergeCell ref="E146:E148"/>
    <mergeCell ref="F146:F148"/>
    <mergeCell ref="G146:G148"/>
    <mergeCell ref="H146:H148"/>
    <mergeCell ref="I146:I148"/>
    <mergeCell ref="J146:J148"/>
    <mergeCell ref="K146:K148"/>
    <mergeCell ref="L146:M146"/>
    <mergeCell ref="N146:O146"/>
    <mergeCell ref="P146:R146"/>
    <mergeCell ref="S146:X146"/>
    <mergeCell ref="Z146:AB146"/>
    <mergeCell ref="AC146:AD146"/>
    <mergeCell ref="D145:G145"/>
    <mergeCell ref="H145:K145"/>
    <mergeCell ref="AE146:AF146"/>
    <mergeCell ref="AG146:AL146"/>
    <mergeCell ref="AM146:AP146"/>
    <mergeCell ref="L147:L148"/>
    <mergeCell ref="M147:M148"/>
    <mergeCell ref="N147:N148"/>
    <mergeCell ref="AO112:AP112"/>
    <mergeCell ref="A136:B136"/>
    <mergeCell ref="A144:B144"/>
    <mergeCell ref="AG112:AG113"/>
    <mergeCell ref="AH112:AH113"/>
    <mergeCell ref="AI112:AI113"/>
    <mergeCell ref="AJ112:AJ113"/>
    <mergeCell ref="AK112:AK113"/>
    <mergeCell ref="AB112:AB113"/>
    <mergeCell ref="AC112:AC113"/>
    <mergeCell ref="AD112:AD113"/>
    <mergeCell ref="AE112:AE113"/>
    <mergeCell ref="AF112:AF113"/>
    <mergeCell ref="I111:I113"/>
    <mergeCell ref="J111:J113"/>
    <mergeCell ref="K111:K113"/>
    <mergeCell ref="AG111:AL111"/>
    <mergeCell ref="AM111:AP111"/>
    <mergeCell ref="L112:L113"/>
    <mergeCell ref="M112:M113"/>
    <mergeCell ref="N112:N113"/>
    <mergeCell ref="O112:O113"/>
    <mergeCell ref="P112:P113"/>
    <mergeCell ref="S111:X111"/>
    <mergeCell ref="Z111:AB111"/>
    <mergeCell ref="AC111:AD111"/>
    <mergeCell ref="AE111:AF111"/>
    <mergeCell ref="L111:M111"/>
    <mergeCell ref="N111:O111"/>
    <mergeCell ref="AL112:AL113"/>
    <mergeCell ref="AM77:AN77"/>
    <mergeCell ref="Q112:Q113"/>
    <mergeCell ref="R112:R113"/>
    <mergeCell ref="S112:S113"/>
    <mergeCell ref="T112:T113"/>
    <mergeCell ref="U112:U113"/>
    <mergeCell ref="V112:V113"/>
    <mergeCell ref="W112:X112"/>
    <mergeCell ref="Z112:Z113"/>
    <mergeCell ref="AA112:AA113"/>
    <mergeCell ref="AM112:AN112"/>
    <mergeCell ref="AO77:AP77"/>
    <mergeCell ref="A101:B101"/>
    <mergeCell ref="A109:B109"/>
    <mergeCell ref="A110:A113"/>
    <mergeCell ref="B110:B113"/>
    <mergeCell ref="C110:C113"/>
    <mergeCell ref="D110:G110"/>
    <mergeCell ref="H110:K110"/>
    <mergeCell ref="L110:X110"/>
    <mergeCell ref="Z110:AP110"/>
    <mergeCell ref="D111:D113"/>
    <mergeCell ref="E111:E113"/>
    <mergeCell ref="F111:F113"/>
    <mergeCell ref="G111:G113"/>
    <mergeCell ref="H111:H113"/>
    <mergeCell ref="AH77:AH78"/>
    <mergeCell ref="AI77:AI78"/>
    <mergeCell ref="AJ77:AJ78"/>
    <mergeCell ref="AK77:AK78"/>
    <mergeCell ref="AL77:AL78"/>
    <mergeCell ref="AC77:AC78"/>
    <mergeCell ref="AD77:AD78"/>
    <mergeCell ref="AE77:AE78"/>
    <mergeCell ref="P111:R111"/>
    <mergeCell ref="AE76:AF76"/>
    <mergeCell ref="AG76:AL76"/>
    <mergeCell ref="AF77:AF78"/>
    <mergeCell ref="AG77:AG78"/>
    <mergeCell ref="V77:V78"/>
    <mergeCell ref="W77:X77"/>
    <mergeCell ref="Z77:Z78"/>
    <mergeCell ref="AA77:AA78"/>
    <mergeCell ref="AB77:AB78"/>
    <mergeCell ref="P76:R76"/>
    <mergeCell ref="S76:X76"/>
    <mergeCell ref="L77:L78"/>
    <mergeCell ref="M77:M78"/>
    <mergeCell ref="N77:N78"/>
    <mergeCell ref="O77:O78"/>
    <mergeCell ref="P77:P78"/>
    <mergeCell ref="Z76:AB76"/>
    <mergeCell ref="AC76:AD76"/>
    <mergeCell ref="Q77:Q78"/>
    <mergeCell ref="R77:R78"/>
    <mergeCell ref="S77:S78"/>
    <mergeCell ref="T77:T78"/>
    <mergeCell ref="U77:U78"/>
    <mergeCell ref="A66:B66"/>
    <mergeCell ref="A74:B74"/>
    <mergeCell ref="A75:A78"/>
    <mergeCell ref="B75:B78"/>
    <mergeCell ref="C75:C78"/>
    <mergeCell ref="AJ42:AJ43"/>
    <mergeCell ref="AK42:AK43"/>
    <mergeCell ref="AL42:AL43"/>
    <mergeCell ref="AM42:AN42"/>
    <mergeCell ref="AM76:AP76"/>
    <mergeCell ref="D75:G75"/>
    <mergeCell ref="H75:K75"/>
    <mergeCell ref="L75:X75"/>
    <mergeCell ref="Z75:AP75"/>
    <mergeCell ref="D76:D78"/>
    <mergeCell ref="E76:E78"/>
    <mergeCell ref="F76:F78"/>
    <mergeCell ref="G76:G78"/>
    <mergeCell ref="H76:H78"/>
    <mergeCell ref="I76:I78"/>
    <mergeCell ref="J76:J78"/>
    <mergeCell ref="K76:K78"/>
    <mergeCell ref="L76:M76"/>
    <mergeCell ref="N76:O76"/>
    <mergeCell ref="P42:P43"/>
    <mergeCell ref="Q42:Q43"/>
    <mergeCell ref="R42:R43"/>
    <mergeCell ref="S42:S43"/>
    <mergeCell ref="T42:T43"/>
    <mergeCell ref="U42:U43"/>
    <mergeCell ref="V42:V43"/>
    <mergeCell ref="W42:X42"/>
    <mergeCell ref="AO42:AP42"/>
    <mergeCell ref="AE42:AE43"/>
    <mergeCell ref="AF42:AF43"/>
    <mergeCell ref="AG42:AG43"/>
    <mergeCell ref="AH42:AH43"/>
    <mergeCell ref="AI42:AI43"/>
    <mergeCell ref="Z42:Z43"/>
    <mergeCell ref="AA42:AA43"/>
    <mergeCell ref="AB42:AB43"/>
    <mergeCell ref="AC42:AC43"/>
    <mergeCell ref="AD42:AD43"/>
    <mergeCell ref="H40:K40"/>
    <mergeCell ref="L40:X40"/>
    <mergeCell ref="Z40:AP40"/>
    <mergeCell ref="D41:D43"/>
    <mergeCell ref="E41:E43"/>
    <mergeCell ref="F41:F43"/>
    <mergeCell ref="G41:G43"/>
    <mergeCell ref="H41:H43"/>
    <mergeCell ref="I41:I43"/>
    <mergeCell ref="J41:J43"/>
    <mergeCell ref="K41:K43"/>
    <mergeCell ref="L41:M41"/>
    <mergeCell ref="N41:O41"/>
    <mergeCell ref="P41:R41"/>
    <mergeCell ref="S41:X41"/>
    <mergeCell ref="Z41:AB41"/>
    <mergeCell ref="AC41:AD41"/>
    <mergeCell ref="AE41:AF41"/>
    <mergeCell ref="AG41:AL41"/>
    <mergeCell ref="AM41:AP41"/>
    <mergeCell ref="L42:L43"/>
    <mergeCell ref="M42:M43"/>
    <mergeCell ref="N42:N43"/>
    <mergeCell ref="O42:O43"/>
    <mergeCell ref="A39:B39"/>
    <mergeCell ref="A40:A43"/>
    <mergeCell ref="B40:B43"/>
    <mergeCell ref="C40:C43"/>
    <mergeCell ref="D40:G40"/>
    <mergeCell ref="A4:B4"/>
    <mergeCell ref="A5:A8"/>
    <mergeCell ref="B5:B8"/>
    <mergeCell ref="C5:C8"/>
    <mergeCell ref="D5:G5"/>
    <mergeCell ref="L5:X5"/>
    <mergeCell ref="Z5:AP5"/>
    <mergeCell ref="D6:D8"/>
    <mergeCell ref="E6:E8"/>
    <mergeCell ref="F6:F8"/>
    <mergeCell ref="G6:G8"/>
    <mergeCell ref="H6:H8"/>
    <mergeCell ref="I6:I8"/>
    <mergeCell ref="J6:J8"/>
    <mergeCell ref="K6:K8"/>
    <mergeCell ref="H5:K5"/>
    <mergeCell ref="AE6:AF6"/>
    <mergeCell ref="AG6:AL6"/>
    <mergeCell ref="AM6:AP6"/>
    <mergeCell ref="L7:L8"/>
    <mergeCell ref="M7:M8"/>
    <mergeCell ref="N7:N8"/>
    <mergeCell ref="O7:O8"/>
    <mergeCell ref="P7:P8"/>
    <mergeCell ref="Q7:Q8"/>
    <mergeCell ref="R7:R8"/>
    <mergeCell ref="L6:M6"/>
    <mergeCell ref="N6:O6"/>
    <mergeCell ref="P6:R6"/>
    <mergeCell ref="S6:X6"/>
    <mergeCell ref="Z6:AB6"/>
    <mergeCell ref="AC6:AD6"/>
    <mergeCell ref="T7:T8"/>
    <mergeCell ref="U7:U8"/>
    <mergeCell ref="V7:V8"/>
    <mergeCell ref="W7:X7"/>
    <mergeCell ref="Z7:Z8"/>
    <mergeCell ref="AM7:AN7"/>
    <mergeCell ref="AO7:AP7"/>
    <mergeCell ref="A31:B31"/>
    <mergeCell ref="AG7:AG8"/>
    <mergeCell ref="AH7:AH8"/>
    <mergeCell ref="AI7:AI8"/>
    <mergeCell ref="AJ7:AJ8"/>
    <mergeCell ref="AK7:AK8"/>
    <mergeCell ref="AL7:AL8"/>
    <mergeCell ref="AA7:AA8"/>
    <mergeCell ref="AB7:AB8"/>
    <mergeCell ref="AC7:AC8"/>
    <mergeCell ref="AD7:AD8"/>
    <mergeCell ref="AE7:AE8"/>
    <mergeCell ref="AF7:AF8"/>
    <mergeCell ref="S7:S8"/>
  </mergeCells>
  <printOptions horizontalCentered="1"/>
  <pageMargins left="0.25" right="0.25" top="0.5" bottom="0.5" header="0.3" footer="0.3"/>
  <pageSetup paperSize="14" scale="72" fitToWidth="0" pageOrder="overThenDown" orientation="landscape" horizontalDpi="300" verticalDpi="300" r:id="rId1"/>
  <headerFooter>
    <oddFooter>&amp;C&amp;"-,Bold"&amp;16P4K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4" tint="0.39997558519241921"/>
  </sheetPr>
  <dimension ref="A1:T455"/>
  <sheetViews>
    <sheetView topLeftCell="A103" zoomScale="80" zoomScaleNormal="80" workbookViewId="0">
      <selection activeCell="G111" sqref="G111"/>
    </sheetView>
  </sheetViews>
  <sheetFormatPr defaultColWidth="9.1796875" defaultRowHeight="14.5" x14ac:dyDescent="0.35"/>
  <cols>
    <col min="1" max="1" width="5.81640625" style="5" customWidth="1"/>
    <col min="2" max="2" width="16.453125" style="5" customWidth="1"/>
    <col min="3" max="18" width="6.7265625" style="240" customWidth="1"/>
    <col min="19" max="19" width="15.453125" style="240" customWidth="1"/>
    <col min="20" max="20" width="5" style="5" customWidth="1"/>
    <col min="21" max="16384" width="9.1796875" style="5"/>
  </cols>
  <sheetData>
    <row r="1" spans="1:19" ht="15.5" x14ac:dyDescent="0.35">
      <c r="A1" s="937" t="s">
        <v>102</v>
      </c>
      <c r="B1" s="937"/>
      <c r="C1" s="937"/>
      <c r="D1" s="937"/>
      <c r="E1" s="937"/>
      <c r="F1" s="937"/>
      <c r="G1" s="937"/>
      <c r="H1" s="937"/>
      <c r="I1" s="937"/>
      <c r="J1" s="937"/>
      <c r="K1" s="937"/>
      <c r="L1" s="937"/>
      <c r="M1" s="937"/>
      <c r="N1" s="937"/>
      <c r="O1" s="937"/>
      <c r="P1" s="937"/>
      <c r="Q1" s="937"/>
      <c r="R1" s="937"/>
      <c r="S1" s="937"/>
    </row>
    <row r="2" spans="1:19" ht="15.5" x14ac:dyDescent="0.35">
      <c r="A2" s="213"/>
      <c r="B2" s="213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226"/>
    </row>
    <row r="3" spans="1:19" ht="15.5" x14ac:dyDescent="0.35">
      <c r="A3" s="214" t="s">
        <v>370</v>
      </c>
      <c r="B3" s="227"/>
      <c r="C3" s="215" t="str">
        <f>PETUNJUK!C5</f>
        <v>PECANGAAN</v>
      </c>
      <c r="D3" s="216"/>
      <c r="E3" s="229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226"/>
    </row>
    <row r="4" spans="1:19" ht="15.5" x14ac:dyDescent="0.35">
      <c r="A4" s="244" t="s">
        <v>369</v>
      </c>
      <c r="B4" s="244"/>
      <c r="C4" s="245" t="s">
        <v>393</v>
      </c>
      <c r="D4" s="198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226"/>
    </row>
    <row r="5" spans="1:19" ht="15.5" x14ac:dyDescent="0.35">
      <c r="A5" s="217"/>
      <c r="B5" s="217"/>
      <c r="C5" s="231"/>
      <c r="D5" s="231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6"/>
    </row>
    <row r="6" spans="1:19" ht="20.149999999999999" customHeight="1" x14ac:dyDescent="0.35">
      <c r="A6" s="931" t="s">
        <v>1</v>
      </c>
      <c r="B6" s="931" t="s">
        <v>2</v>
      </c>
      <c r="C6" s="933" t="s">
        <v>45</v>
      </c>
      <c r="D6" s="934"/>
      <c r="E6" s="933" t="s">
        <v>103</v>
      </c>
      <c r="F6" s="934"/>
      <c r="G6" s="933" t="s">
        <v>104</v>
      </c>
      <c r="H6" s="934"/>
      <c r="I6" s="933" t="s">
        <v>105</v>
      </c>
      <c r="J6" s="934"/>
      <c r="K6" s="933" t="s">
        <v>106</v>
      </c>
      <c r="L6" s="934"/>
      <c r="M6" s="933" t="s">
        <v>107</v>
      </c>
      <c r="N6" s="934"/>
      <c r="O6" s="933" t="s">
        <v>108</v>
      </c>
      <c r="P6" s="934"/>
      <c r="Q6" s="933" t="s">
        <v>109</v>
      </c>
      <c r="R6" s="934"/>
      <c r="S6" s="935" t="s">
        <v>25</v>
      </c>
    </row>
    <row r="7" spans="1:19" ht="20.149999999999999" customHeight="1" x14ac:dyDescent="0.35">
      <c r="A7" s="932"/>
      <c r="B7" s="932"/>
      <c r="C7" s="246" t="s">
        <v>110</v>
      </c>
      <c r="D7" s="246" t="s">
        <v>111</v>
      </c>
      <c r="E7" s="246" t="s">
        <v>110</v>
      </c>
      <c r="F7" s="246" t="s">
        <v>111</v>
      </c>
      <c r="G7" s="246" t="s">
        <v>110</v>
      </c>
      <c r="H7" s="246" t="s">
        <v>111</v>
      </c>
      <c r="I7" s="246" t="s">
        <v>110</v>
      </c>
      <c r="J7" s="246" t="s">
        <v>111</v>
      </c>
      <c r="K7" s="246" t="s">
        <v>110</v>
      </c>
      <c r="L7" s="246" t="s">
        <v>111</v>
      </c>
      <c r="M7" s="246" t="s">
        <v>110</v>
      </c>
      <c r="N7" s="246" t="s">
        <v>111</v>
      </c>
      <c r="O7" s="246" t="s">
        <v>110</v>
      </c>
      <c r="P7" s="246" t="s">
        <v>111</v>
      </c>
      <c r="Q7" s="246" t="s">
        <v>110</v>
      </c>
      <c r="R7" s="246" t="s">
        <v>111</v>
      </c>
      <c r="S7" s="936"/>
    </row>
    <row r="8" spans="1:19" ht="17.25" customHeight="1" x14ac:dyDescent="0.35">
      <c r="A8" s="218">
        <v>1</v>
      </c>
      <c r="B8" s="219" t="str">
        <f>PETUNJUK!B9</f>
        <v>Pecangaan Kulon</v>
      </c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>
        <v>1</v>
      </c>
      <c r="R8" s="201">
        <v>1</v>
      </c>
      <c r="S8" s="201"/>
    </row>
    <row r="9" spans="1:19" ht="18" customHeight="1" x14ac:dyDescent="0.35">
      <c r="A9" s="218">
        <v>2</v>
      </c>
      <c r="B9" s="219" t="str">
        <f>PETUNJUK!B10</f>
        <v>Rengging</v>
      </c>
      <c r="C9" s="201"/>
      <c r="D9" s="201"/>
      <c r="E9" s="201"/>
      <c r="F9" s="201"/>
      <c r="G9" s="201"/>
      <c r="H9" s="201"/>
      <c r="I9" s="201"/>
      <c r="J9" s="201"/>
      <c r="K9" s="201"/>
      <c r="L9" s="201"/>
      <c r="M9" s="201"/>
      <c r="N9" s="201"/>
      <c r="O9" s="201"/>
      <c r="P9" s="201"/>
      <c r="Q9" s="201">
        <v>6</v>
      </c>
      <c r="R9" s="201">
        <v>1</v>
      </c>
      <c r="S9" s="201"/>
    </row>
    <row r="10" spans="1:19" ht="18" customHeight="1" x14ac:dyDescent="0.35">
      <c r="A10" s="218">
        <v>3</v>
      </c>
      <c r="B10" s="219" t="str">
        <f>PETUNJUK!B11</f>
        <v>Troso</v>
      </c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>
        <v>1</v>
      </c>
      <c r="P10" s="201"/>
      <c r="Q10" s="201">
        <v>3</v>
      </c>
      <c r="R10" s="201">
        <v>2</v>
      </c>
      <c r="S10" s="201"/>
    </row>
    <row r="11" spans="1:19" ht="18" customHeight="1" x14ac:dyDescent="0.35">
      <c r="A11" s="218">
        <v>4</v>
      </c>
      <c r="B11" s="219" t="str">
        <f>PETUNJUK!B12</f>
        <v>Ngeling</v>
      </c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  <c r="Q11" s="201">
        <v>2</v>
      </c>
      <c r="R11" s="201">
        <v>3</v>
      </c>
      <c r="S11" s="201"/>
    </row>
    <row r="12" spans="1:19" ht="18" customHeight="1" x14ac:dyDescent="0.35">
      <c r="A12" s="218">
        <v>5</v>
      </c>
      <c r="B12" s="219" t="str">
        <f>PETUNJUK!B13</f>
        <v>Lebuawu</v>
      </c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>
        <v>3</v>
      </c>
      <c r="R12" s="201">
        <v>4</v>
      </c>
      <c r="S12" s="201"/>
    </row>
    <row r="13" spans="1:19" ht="18" customHeight="1" x14ac:dyDescent="0.35">
      <c r="A13" s="218">
        <v>6</v>
      </c>
      <c r="B13" s="219" t="str">
        <f>PETUNJUK!B14</f>
        <v>Pulodarat</v>
      </c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>
        <v>0</v>
      </c>
      <c r="R13" s="201">
        <v>1</v>
      </c>
      <c r="S13" s="201"/>
    </row>
    <row r="14" spans="1:19" ht="18" customHeight="1" x14ac:dyDescent="0.35">
      <c r="A14" s="218">
        <v>7</v>
      </c>
      <c r="B14" s="219" t="str">
        <f>PETUNJUK!B15</f>
        <v>Karangrandu</v>
      </c>
      <c r="C14" s="201"/>
      <c r="D14" s="201"/>
      <c r="E14" s="201"/>
      <c r="F14" s="201"/>
      <c r="G14" s="201"/>
      <c r="H14" s="201"/>
      <c r="I14" s="201"/>
      <c r="J14" s="201"/>
      <c r="K14" s="201"/>
      <c r="L14" s="201"/>
      <c r="M14" s="201"/>
      <c r="N14" s="201"/>
      <c r="O14" s="201"/>
      <c r="P14" s="201"/>
      <c r="Q14" s="201">
        <v>2</v>
      </c>
      <c r="R14" s="201">
        <v>2</v>
      </c>
      <c r="S14" s="201"/>
    </row>
    <row r="15" spans="1:19" ht="18" customHeight="1" x14ac:dyDescent="0.35">
      <c r="A15" s="218">
        <v>8</v>
      </c>
      <c r="B15" s="219" t="str">
        <f>PETUNJUK!B16</f>
        <v>Kaliombo</v>
      </c>
      <c r="C15" s="201"/>
      <c r="D15" s="201"/>
      <c r="E15" s="201"/>
      <c r="F15" s="201"/>
      <c r="G15" s="201"/>
      <c r="H15" s="201"/>
      <c r="I15" s="201"/>
      <c r="J15" s="201"/>
      <c r="K15" s="201"/>
      <c r="L15" s="201"/>
      <c r="M15" s="201"/>
      <c r="N15" s="201"/>
      <c r="O15" s="201"/>
      <c r="P15" s="201"/>
      <c r="Q15" s="201">
        <v>2</v>
      </c>
      <c r="R15" s="201">
        <v>0</v>
      </c>
      <c r="S15" s="201"/>
    </row>
    <row r="16" spans="1:19" ht="18" customHeight="1" x14ac:dyDescent="0.35">
      <c r="A16" s="218">
        <v>9</v>
      </c>
      <c r="B16" s="219" t="str">
        <f>PETUNJUK!B17</f>
        <v>Gemulung</v>
      </c>
      <c r="C16" s="201"/>
      <c r="D16" s="201"/>
      <c r="E16" s="201"/>
      <c r="F16" s="201"/>
      <c r="G16" s="201"/>
      <c r="H16" s="201"/>
      <c r="I16" s="201"/>
      <c r="J16" s="201"/>
      <c r="K16" s="201"/>
      <c r="L16" s="201"/>
      <c r="M16" s="201"/>
      <c r="N16" s="201"/>
      <c r="O16" s="201"/>
      <c r="P16" s="201"/>
      <c r="Q16" s="201">
        <v>1</v>
      </c>
      <c r="R16" s="201">
        <v>0</v>
      </c>
      <c r="S16" s="201"/>
    </row>
    <row r="17" spans="1:19" ht="18" customHeight="1" x14ac:dyDescent="0.35">
      <c r="A17" s="218">
        <v>10</v>
      </c>
      <c r="B17" s="219" t="str">
        <f>PETUNJUK!B18</f>
        <v>Pecangaan Wetan</v>
      </c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>
        <v>1</v>
      </c>
      <c r="P17" s="201"/>
      <c r="Q17" s="201">
        <v>2</v>
      </c>
      <c r="R17" s="201">
        <v>1</v>
      </c>
      <c r="S17" s="201"/>
    </row>
    <row r="18" spans="1:19" ht="18" customHeight="1" x14ac:dyDescent="0.35">
      <c r="A18" s="218">
        <v>11</v>
      </c>
      <c r="B18" s="219" t="str">
        <f>PETUNJUK!B19</f>
        <v>Krasak</v>
      </c>
      <c r="C18" s="201"/>
      <c r="D18" s="201"/>
      <c r="E18" s="201"/>
      <c r="F18" s="201"/>
      <c r="G18" s="201"/>
      <c r="H18" s="201"/>
      <c r="I18" s="201"/>
      <c r="J18" s="201"/>
      <c r="K18" s="201"/>
      <c r="L18" s="201"/>
      <c r="M18" s="201"/>
      <c r="N18" s="201"/>
      <c r="O18" s="201"/>
      <c r="P18" s="201"/>
      <c r="Q18" s="201">
        <v>2</v>
      </c>
      <c r="R18" s="201">
        <v>2</v>
      </c>
      <c r="S18" s="201"/>
    </row>
    <row r="19" spans="1:19" ht="18" customHeight="1" x14ac:dyDescent="0.35">
      <c r="A19" s="218">
        <v>12</v>
      </c>
      <c r="B19" s="219" t="str">
        <f>PETUNJUK!B20</f>
        <v>Gerdu</v>
      </c>
      <c r="C19" s="201"/>
      <c r="D19" s="201"/>
      <c r="E19" s="201"/>
      <c r="F19" s="201"/>
      <c r="G19" s="201"/>
      <c r="H19" s="201"/>
      <c r="I19" s="201"/>
      <c r="J19" s="201"/>
      <c r="K19" s="201"/>
      <c r="L19" s="201"/>
      <c r="M19" s="201"/>
      <c r="N19" s="201"/>
      <c r="O19" s="201"/>
      <c r="P19" s="201"/>
      <c r="Q19" s="201">
        <v>0</v>
      </c>
      <c r="R19" s="201">
        <v>1</v>
      </c>
      <c r="S19" s="201"/>
    </row>
    <row r="20" spans="1:19" ht="18" customHeight="1" x14ac:dyDescent="0.35">
      <c r="A20" s="218">
        <v>13</v>
      </c>
      <c r="B20" s="219">
        <f>PETUNJUK!B21</f>
        <v>0</v>
      </c>
      <c r="C20" s="201"/>
      <c r="D20" s="201"/>
      <c r="E20" s="201"/>
      <c r="F20" s="201"/>
      <c r="G20" s="201"/>
      <c r="H20" s="201"/>
      <c r="I20" s="201"/>
      <c r="J20" s="201"/>
      <c r="K20" s="201"/>
      <c r="L20" s="201"/>
      <c r="M20" s="201"/>
      <c r="N20" s="201"/>
      <c r="O20" s="201"/>
      <c r="P20" s="201"/>
      <c r="Q20" s="201"/>
      <c r="R20" s="201"/>
      <c r="S20" s="201"/>
    </row>
    <row r="21" spans="1:19" ht="18" customHeight="1" x14ac:dyDescent="0.35">
      <c r="A21" s="218">
        <v>14</v>
      </c>
      <c r="B21" s="219">
        <f>PETUNJUK!B22</f>
        <v>0</v>
      </c>
      <c r="C21" s="201"/>
      <c r="D21" s="201"/>
      <c r="E21" s="201"/>
      <c r="F21" s="201"/>
      <c r="G21" s="201"/>
      <c r="H21" s="201"/>
      <c r="I21" s="201"/>
      <c r="J21" s="201"/>
      <c r="K21" s="201"/>
      <c r="L21" s="201"/>
      <c r="M21" s="201"/>
      <c r="N21" s="201"/>
      <c r="O21" s="201"/>
      <c r="P21" s="201"/>
      <c r="Q21" s="201"/>
      <c r="R21" s="201"/>
      <c r="S21" s="201"/>
    </row>
    <row r="22" spans="1:19" ht="18" customHeight="1" x14ac:dyDescent="0.35">
      <c r="A22" s="218">
        <v>15</v>
      </c>
      <c r="B22" s="219">
        <f>PETUNJUK!B23</f>
        <v>0</v>
      </c>
      <c r="C22" s="201"/>
      <c r="D22" s="201"/>
      <c r="E22" s="201"/>
      <c r="F22" s="201"/>
      <c r="G22" s="201"/>
      <c r="H22" s="201"/>
      <c r="I22" s="201"/>
      <c r="J22" s="201"/>
      <c r="K22" s="201"/>
      <c r="L22" s="201"/>
      <c r="M22" s="201"/>
      <c r="N22" s="201"/>
      <c r="O22" s="201"/>
      <c r="P22" s="201"/>
      <c r="Q22" s="201"/>
      <c r="R22" s="201"/>
      <c r="S22" s="201"/>
    </row>
    <row r="23" spans="1:19" ht="18" customHeight="1" x14ac:dyDescent="0.35">
      <c r="A23" s="218">
        <v>16</v>
      </c>
      <c r="B23" s="219">
        <f>PETUNJUK!B24</f>
        <v>0</v>
      </c>
      <c r="C23" s="201"/>
      <c r="D23" s="201"/>
      <c r="E23" s="201"/>
      <c r="F23" s="201"/>
      <c r="G23" s="201"/>
      <c r="H23" s="201"/>
      <c r="I23" s="201"/>
      <c r="J23" s="201"/>
      <c r="K23" s="201"/>
      <c r="L23" s="201"/>
      <c r="M23" s="201"/>
      <c r="N23" s="201"/>
      <c r="O23" s="201"/>
      <c r="P23" s="201"/>
      <c r="Q23" s="201"/>
      <c r="R23" s="201"/>
      <c r="S23" s="201"/>
    </row>
    <row r="24" spans="1:19" ht="18" customHeight="1" x14ac:dyDescent="0.35">
      <c r="A24" s="218">
        <v>17</v>
      </c>
      <c r="B24" s="219">
        <f>PETUNJUK!B25</f>
        <v>0</v>
      </c>
      <c r="C24" s="201"/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Q24" s="201"/>
      <c r="R24" s="201"/>
      <c r="S24" s="201"/>
    </row>
    <row r="25" spans="1:19" ht="18" customHeight="1" x14ac:dyDescent="0.35">
      <c r="A25" s="218">
        <v>18</v>
      </c>
      <c r="B25" s="219">
        <f>PETUNJUK!B26</f>
        <v>0</v>
      </c>
      <c r="C25" s="201"/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201"/>
      <c r="R25" s="201"/>
      <c r="S25" s="201"/>
    </row>
    <row r="26" spans="1:19" ht="18" customHeight="1" x14ac:dyDescent="0.35">
      <c r="A26" s="218">
        <v>19</v>
      </c>
      <c r="B26" s="219">
        <f>PETUNJUK!B27</f>
        <v>0</v>
      </c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  <c r="R26" s="201"/>
      <c r="S26" s="201"/>
    </row>
    <row r="27" spans="1:19" ht="18" customHeight="1" x14ac:dyDescent="0.35">
      <c r="A27" s="218">
        <v>20</v>
      </c>
      <c r="B27" s="219">
        <f>PETUNJUK!B28</f>
        <v>0</v>
      </c>
      <c r="C27" s="201"/>
      <c r="D27" s="201"/>
      <c r="E27" s="201"/>
      <c r="F27" s="201"/>
      <c r="G27" s="201"/>
      <c r="H27" s="201"/>
      <c r="I27" s="201"/>
      <c r="J27" s="201"/>
      <c r="K27" s="201"/>
      <c r="L27" s="201"/>
      <c r="M27" s="201"/>
      <c r="N27" s="201"/>
      <c r="O27" s="201"/>
      <c r="P27" s="201"/>
      <c r="Q27" s="201"/>
      <c r="R27" s="201"/>
      <c r="S27" s="201"/>
    </row>
    <row r="28" spans="1:19" ht="18" customHeight="1" x14ac:dyDescent="0.35">
      <c r="A28" s="218">
        <v>21</v>
      </c>
      <c r="B28" s="219">
        <f>PETUNJUK!B29</f>
        <v>0</v>
      </c>
      <c r="C28" s="201"/>
      <c r="D28" s="201"/>
      <c r="E28" s="201"/>
      <c r="F28" s="201"/>
      <c r="G28" s="201"/>
      <c r="H28" s="201"/>
      <c r="I28" s="201"/>
      <c r="J28" s="201"/>
      <c r="K28" s="201"/>
      <c r="L28" s="201"/>
      <c r="M28" s="201"/>
      <c r="N28" s="201"/>
      <c r="O28" s="201"/>
      <c r="P28" s="201"/>
      <c r="Q28" s="201"/>
      <c r="R28" s="201"/>
      <c r="S28" s="201"/>
    </row>
    <row r="29" spans="1:19" ht="18" customHeight="1" thickBot="1" x14ac:dyDescent="0.4">
      <c r="A29" s="247">
        <v>22</v>
      </c>
      <c r="B29" s="248">
        <f>PETUNJUK!B30</f>
        <v>0</v>
      </c>
      <c r="C29" s="249"/>
      <c r="D29" s="249"/>
      <c r="E29" s="249"/>
      <c r="F29" s="249"/>
      <c r="G29" s="249"/>
      <c r="H29" s="249"/>
      <c r="I29" s="249"/>
      <c r="J29" s="249"/>
      <c r="K29" s="249"/>
      <c r="L29" s="249"/>
      <c r="M29" s="249"/>
      <c r="N29" s="249"/>
      <c r="O29" s="249"/>
      <c r="P29" s="249"/>
      <c r="Q29" s="249"/>
      <c r="R29" s="249"/>
      <c r="S29" s="249"/>
    </row>
    <row r="30" spans="1:19" ht="21.75" customHeight="1" thickBot="1" x14ac:dyDescent="0.4">
      <c r="A30" s="928" t="s">
        <v>18</v>
      </c>
      <c r="B30" s="929"/>
      <c r="C30" s="250">
        <f>SUM(C8:C29)</f>
        <v>0</v>
      </c>
      <c r="D30" s="250">
        <f>SUM(D8:D29)</f>
        <v>0</v>
      </c>
      <c r="E30" s="250">
        <f t="shared" ref="E30:R30" si="0">SUM(E8:E29)</f>
        <v>0</v>
      </c>
      <c r="F30" s="250">
        <f t="shared" si="0"/>
        <v>0</v>
      </c>
      <c r="G30" s="250">
        <f t="shared" si="0"/>
        <v>0</v>
      </c>
      <c r="H30" s="250">
        <f t="shared" si="0"/>
        <v>0</v>
      </c>
      <c r="I30" s="250">
        <f t="shared" si="0"/>
        <v>0</v>
      </c>
      <c r="J30" s="250">
        <f t="shared" si="0"/>
        <v>0</v>
      </c>
      <c r="K30" s="250">
        <f t="shared" si="0"/>
        <v>0</v>
      </c>
      <c r="L30" s="250">
        <f t="shared" si="0"/>
        <v>0</v>
      </c>
      <c r="M30" s="250">
        <f t="shared" si="0"/>
        <v>0</v>
      </c>
      <c r="N30" s="250">
        <f t="shared" si="0"/>
        <v>0</v>
      </c>
      <c r="O30" s="250">
        <f t="shared" si="0"/>
        <v>2</v>
      </c>
      <c r="P30" s="250">
        <f t="shared" si="0"/>
        <v>0</v>
      </c>
      <c r="Q30" s="250">
        <f t="shared" si="0"/>
        <v>24</v>
      </c>
      <c r="R30" s="250">
        <f t="shared" si="0"/>
        <v>18</v>
      </c>
      <c r="S30" s="251"/>
    </row>
    <row r="31" spans="1:19" ht="15.5" x14ac:dyDescent="0.35">
      <c r="A31" s="220"/>
      <c r="B31" s="220"/>
      <c r="C31" s="232"/>
      <c r="D31" s="232"/>
      <c r="E31" s="232"/>
      <c r="F31" s="232"/>
      <c r="G31" s="232"/>
      <c r="H31" s="232"/>
      <c r="I31" s="232"/>
      <c r="J31" s="232"/>
      <c r="K31" s="232"/>
      <c r="L31" s="232"/>
      <c r="M31" s="232"/>
      <c r="N31" s="232"/>
      <c r="O31" s="232"/>
      <c r="P31" s="232"/>
      <c r="Q31" s="232"/>
      <c r="R31" s="232"/>
      <c r="S31" s="232"/>
    </row>
    <row r="32" spans="1:19" ht="15.5" x14ac:dyDescent="0.35">
      <c r="A32" s="220"/>
      <c r="B32" s="220"/>
      <c r="C32" s="232"/>
      <c r="D32" s="232"/>
      <c r="E32" s="232"/>
      <c r="F32" s="232"/>
      <c r="G32" s="232"/>
      <c r="H32" s="232"/>
      <c r="I32" s="232"/>
      <c r="J32" s="232"/>
      <c r="K32" s="232"/>
      <c r="L32" s="232"/>
      <c r="M32" s="232"/>
      <c r="N32" s="232"/>
      <c r="O32" s="232"/>
      <c r="P32" s="232"/>
      <c r="Q32" s="232"/>
      <c r="R32" s="232"/>
      <c r="S32" s="232"/>
    </row>
    <row r="33" spans="1:20" ht="15.5" x14ac:dyDescent="0.35">
      <c r="A33" s="220"/>
      <c r="B33" s="221"/>
      <c r="C33" s="232"/>
      <c r="D33" s="232"/>
      <c r="E33" s="203"/>
      <c r="F33" s="203"/>
      <c r="G33" s="203"/>
      <c r="H33" s="203"/>
      <c r="I33" s="203"/>
      <c r="J33" s="203"/>
      <c r="K33" s="232"/>
      <c r="L33" s="232"/>
      <c r="M33" s="232"/>
      <c r="N33" s="232"/>
      <c r="O33" s="232"/>
      <c r="P33" s="232"/>
      <c r="Q33" s="203"/>
      <c r="R33" s="203"/>
      <c r="S33" s="233"/>
      <c r="T33" s="9"/>
    </row>
    <row r="34" spans="1:20" ht="15.5" x14ac:dyDescent="0.35">
      <c r="A34" s="930" t="s">
        <v>102</v>
      </c>
      <c r="B34" s="930"/>
      <c r="C34" s="930"/>
      <c r="D34" s="930"/>
      <c r="E34" s="930"/>
      <c r="F34" s="930"/>
      <c r="G34" s="930"/>
      <c r="H34" s="930"/>
      <c r="I34" s="930"/>
      <c r="J34" s="930"/>
      <c r="K34" s="930"/>
      <c r="L34" s="930"/>
      <c r="M34" s="930"/>
      <c r="N34" s="930"/>
      <c r="O34" s="930"/>
      <c r="P34" s="930"/>
      <c r="Q34" s="930"/>
      <c r="R34" s="930"/>
      <c r="S34" s="930"/>
    </row>
    <row r="35" spans="1:20" ht="15.5" x14ac:dyDescent="0.35">
      <c r="A35" s="213"/>
      <c r="B35" s="213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226"/>
    </row>
    <row r="36" spans="1:20" ht="15.5" x14ac:dyDescent="0.35">
      <c r="A36" s="214" t="s">
        <v>370</v>
      </c>
      <c r="B36" s="214"/>
      <c r="C36" s="197" t="str">
        <f>PETUNJUK!C5</f>
        <v>PECANGAAN</v>
      </c>
      <c r="D36" s="229"/>
      <c r="E36" s="229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226"/>
    </row>
    <row r="37" spans="1:20" ht="15.5" x14ac:dyDescent="0.35">
      <c r="A37" s="214" t="s">
        <v>369</v>
      </c>
      <c r="B37" s="214"/>
      <c r="C37" s="245" t="s">
        <v>394</v>
      </c>
      <c r="D37" s="229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226"/>
    </row>
    <row r="38" spans="1:20" ht="15.5" x14ac:dyDescent="0.35">
      <c r="A38" s="217"/>
      <c r="B38" s="217"/>
      <c r="C38" s="231"/>
      <c r="D38" s="231"/>
      <c r="E38" s="229"/>
      <c r="F38" s="229"/>
      <c r="G38" s="229"/>
      <c r="H38" s="229"/>
      <c r="I38" s="229"/>
      <c r="J38" s="229"/>
      <c r="K38" s="229"/>
      <c r="L38" s="229"/>
      <c r="M38" s="229"/>
      <c r="N38" s="229"/>
      <c r="O38" s="229"/>
      <c r="P38" s="229"/>
      <c r="Q38" s="229"/>
      <c r="R38" s="229"/>
      <c r="S38" s="226"/>
    </row>
    <row r="39" spans="1:20" ht="18" customHeight="1" x14ac:dyDescent="0.35">
      <c r="A39" s="931" t="s">
        <v>1</v>
      </c>
      <c r="B39" s="931" t="s">
        <v>2</v>
      </c>
      <c r="C39" s="933" t="s">
        <v>45</v>
      </c>
      <c r="D39" s="934"/>
      <c r="E39" s="933" t="s">
        <v>103</v>
      </c>
      <c r="F39" s="934"/>
      <c r="G39" s="933" t="s">
        <v>104</v>
      </c>
      <c r="H39" s="934"/>
      <c r="I39" s="933" t="s">
        <v>105</v>
      </c>
      <c r="J39" s="934"/>
      <c r="K39" s="933" t="s">
        <v>106</v>
      </c>
      <c r="L39" s="934"/>
      <c r="M39" s="933" t="s">
        <v>107</v>
      </c>
      <c r="N39" s="934"/>
      <c r="O39" s="933" t="s">
        <v>108</v>
      </c>
      <c r="P39" s="934"/>
      <c r="Q39" s="933" t="s">
        <v>109</v>
      </c>
      <c r="R39" s="934"/>
      <c r="S39" s="935" t="s">
        <v>25</v>
      </c>
    </row>
    <row r="40" spans="1:20" ht="18" customHeight="1" x14ac:dyDescent="0.35">
      <c r="A40" s="932"/>
      <c r="B40" s="932"/>
      <c r="C40" s="246" t="s">
        <v>110</v>
      </c>
      <c r="D40" s="246" t="s">
        <v>111</v>
      </c>
      <c r="E40" s="246" t="s">
        <v>110</v>
      </c>
      <c r="F40" s="246" t="s">
        <v>111</v>
      </c>
      <c r="G40" s="246" t="s">
        <v>110</v>
      </c>
      <c r="H40" s="246" t="s">
        <v>111</v>
      </c>
      <c r="I40" s="246" t="s">
        <v>110</v>
      </c>
      <c r="J40" s="246" t="s">
        <v>111</v>
      </c>
      <c r="K40" s="246" t="s">
        <v>110</v>
      </c>
      <c r="L40" s="246" t="s">
        <v>111</v>
      </c>
      <c r="M40" s="246" t="s">
        <v>110</v>
      </c>
      <c r="N40" s="246" t="s">
        <v>111</v>
      </c>
      <c r="O40" s="246" t="s">
        <v>110</v>
      </c>
      <c r="P40" s="246" t="s">
        <v>111</v>
      </c>
      <c r="Q40" s="246" t="s">
        <v>110</v>
      </c>
      <c r="R40" s="246" t="s">
        <v>111</v>
      </c>
      <c r="S40" s="936"/>
    </row>
    <row r="41" spans="1:20" ht="18" customHeight="1" x14ac:dyDescent="0.35">
      <c r="A41" s="218">
        <v>1</v>
      </c>
      <c r="B41" s="219" t="str">
        <f>PETUNJUK!B9</f>
        <v>Pecangaan Kulon</v>
      </c>
      <c r="C41" s="201"/>
      <c r="D41" s="201"/>
      <c r="E41" s="201"/>
      <c r="F41" s="201"/>
      <c r="G41" s="201"/>
      <c r="H41" s="201"/>
      <c r="I41" s="201"/>
      <c r="J41" s="201"/>
      <c r="K41" s="201"/>
      <c r="L41" s="201"/>
      <c r="M41" s="201"/>
      <c r="N41" s="201"/>
      <c r="O41" s="201"/>
      <c r="P41" s="201"/>
      <c r="Q41" s="201">
        <v>0</v>
      </c>
      <c r="R41" s="201">
        <v>2</v>
      </c>
      <c r="S41" s="201"/>
    </row>
    <row r="42" spans="1:20" ht="18" customHeight="1" x14ac:dyDescent="0.35">
      <c r="A42" s="218">
        <v>2</v>
      </c>
      <c r="B42" s="219" t="str">
        <f>PETUNJUK!B10</f>
        <v>Rengging</v>
      </c>
      <c r="C42" s="201"/>
      <c r="D42" s="201"/>
      <c r="E42" s="201"/>
      <c r="F42" s="201"/>
      <c r="G42" s="201"/>
      <c r="H42" s="201"/>
      <c r="I42" s="201"/>
      <c r="J42" s="201"/>
      <c r="K42" s="201"/>
      <c r="L42" s="201"/>
      <c r="M42" s="201"/>
      <c r="N42" s="201"/>
      <c r="O42" s="201"/>
      <c r="P42" s="201"/>
      <c r="Q42" s="201">
        <v>4</v>
      </c>
      <c r="R42" s="201">
        <v>5</v>
      </c>
      <c r="S42" s="201"/>
    </row>
    <row r="43" spans="1:20" ht="18" customHeight="1" x14ac:dyDescent="0.35">
      <c r="A43" s="218">
        <v>3</v>
      </c>
      <c r="B43" s="219" t="str">
        <f>PETUNJUK!B11</f>
        <v>Troso</v>
      </c>
      <c r="C43" s="201"/>
      <c r="D43" s="201"/>
      <c r="E43" s="201"/>
      <c r="F43" s="201"/>
      <c r="G43" s="201"/>
      <c r="H43" s="201"/>
      <c r="I43" s="201"/>
      <c r="J43" s="201"/>
      <c r="K43" s="201"/>
      <c r="L43" s="201"/>
      <c r="M43" s="201"/>
      <c r="N43" s="201"/>
      <c r="O43" s="201"/>
      <c r="P43" s="201"/>
      <c r="Q43" s="201">
        <v>1</v>
      </c>
      <c r="R43" s="201">
        <v>2</v>
      </c>
      <c r="S43" s="201"/>
    </row>
    <row r="44" spans="1:20" ht="18" customHeight="1" x14ac:dyDescent="0.35">
      <c r="A44" s="218">
        <v>4</v>
      </c>
      <c r="B44" s="219" t="str">
        <f>PETUNJUK!B12</f>
        <v>Ngeling</v>
      </c>
      <c r="C44" s="201"/>
      <c r="D44" s="201"/>
      <c r="E44" s="201"/>
      <c r="F44" s="201"/>
      <c r="G44" s="201"/>
      <c r="H44" s="201"/>
      <c r="I44" s="201"/>
      <c r="J44" s="201"/>
      <c r="K44" s="201"/>
      <c r="L44" s="201"/>
      <c r="M44" s="201"/>
      <c r="N44" s="201"/>
      <c r="O44" s="201"/>
      <c r="P44" s="201"/>
      <c r="Q44" s="201">
        <v>4</v>
      </c>
      <c r="R44" s="201">
        <v>1</v>
      </c>
      <c r="S44" s="201"/>
    </row>
    <row r="45" spans="1:20" ht="18" customHeight="1" x14ac:dyDescent="0.35">
      <c r="A45" s="218">
        <v>5</v>
      </c>
      <c r="B45" s="219" t="str">
        <f>PETUNJUK!B13</f>
        <v>Lebuawu</v>
      </c>
      <c r="C45" s="201"/>
      <c r="D45" s="201"/>
      <c r="E45" s="201"/>
      <c r="F45" s="201"/>
      <c r="G45" s="201"/>
      <c r="H45" s="201"/>
      <c r="I45" s="201"/>
      <c r="J45" s="201"/>
      <c r="K45" s="201"/>
      <c r="L45" s="201"/>
      <c r="M45" s="201"/>
      <c r="N45" s="201"/>
      <c r="O45" s="201"/>
      <c r="P45" s="201"/>
      <c r="Q45" s="201">
        <v>2</v>
      </c>
      <c r="R45" s="201">
        <v>2</v>
      </c>
      <c r="S45" s="201"/>
    </row>
    <row r="46" spans="1:20" ht="18" customHeight="1" x14ac:dyDescent="0.35">
      <c r="A46" s="218">
        <v>6</v>
      </c>
      <c r="B46" s="219" t="str">
        <f>PETUNJUK!B14</f>
        <v>Pulodarat</v>
      </c>
      <c r="C46" s="201"/>
      <c r="D46" s="201"/>
      <c r="E46" s="201"/>
      <c r="F46" s="201"/>
      <c r="G46" s="201"/>
      <c r="H46" s="201"/>
      <c r="I46" s="201"/>
      <c r="J46" s="201"/>
      <c r="K46" s="201"/>
      <c r="L46" s="201"/>
      <c r="M46" s="201"/>
      <c r="N46" s="201"/>
      <c r="O46" s="201"/>
      <c r="P46" s="201"/>
      <c r="Q46" s="201">
        <v>0</v>
      </c>
      <c r="R46" s="201">
        <v>2</v>
      </c>
      <c r="S46" s="201"/>
    </row>
    <row r="47" spans="1:20" ht="18" customHeight="1" x14ac:dyDescent="0.35">
      <c r="A47" s="218">
        <v>7</v>
      </c>
      <c r="B47" s="219" t="str">
        <f>PETUNJUK!B15</f>
        <v>Karangrandu</v>
      </c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>
        <v>3</v>
      </c>
      <c r="R47" s="201">
        <v>2</v>
      </c>
      <c r="S47" s="201"/>
    </row>
    <row r="48" spans="1:20" ht="18" customHeight="1" x14ac:dyDescent="0.35">
      <c r="A48" s="218">
        <v>8</v>
      </c>
      <c r="B48" s="219" t="str">
        <f>PETUNJUK!B16</f>
        <v>Kaliombo</v>
      </c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>
        <v>2</v>
      </c>
      <c r="R48" s="201">
        <v>0</v>
      </c>
      <c r="S48" s="201"/>
    </row>
    <row r="49" spans="1:19" ht="18" customHeight="1" x14ac:dyDescent="0.35">
      <c r="A49" s="218">
        <v>9</v>
      </c>
      <c r="B49" s="219" t="str">
        <f>PETUNJUK!B17</f>
        <v>Gemulung</v>
      </c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>
        <v>1</v>
      </c>
      <c r="R49" s="201">
        <v>1</v>
      </c>
      <c r="S49" s="201"/>
    </row>
    <row r="50" spans="1:19" ht="18" customHeight="1" x14ac:dyDescent="0.35">
      <c r="A50" s="218">
        <v>10</v>
      </c>
      <c r="B50" s="219" t="str">
        <f>PETUNJUK!B18</f>
        <v>Pecangaan Wetan</v>
      </c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>
        <v>1</v>
      </c>
      <c r="R50" s="201">
        <v>1</v>
      </c>
      <c r="S50" s="201"/>
    </row>
    <row r="51" spans="1:19" ht="18" customHeight="1" x14ac:dyDescent="0.35">
      <c r="A51" s="218">
        <v>11</v>
      </c>
      <c r="B51" s="219" t="str">
        <f>PETUNJUK!B19</f>
        <v>Krasak</v>
      </c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>
        <v>1</v>
      </c>
      <c r="P51" s="201"/>
      <c r="Q51" s="201">
        <v>2</v>
      </c>
      <c r="R51" s="201">
        <v>2</v>
      </c>
      <c r="S51" s="201"/>
    </row>
    <row r="52" spans="1:19" ht="18" customHeight="1" x14ac:dyDescent="0.35">
      <c r="A52" s="218">
        <v>12</v>
      </c>
      <c r="B52" s="219" t="str">
        <f>PETUNJUK!B20</f>
        <v>Gerdu</v>
      </c>
      <c r="C52" s="201"/>
      <c r="D52" s="201"/>
      <c r="E52" s="201"/>
      <c r="F52" s="201"/>
      <c r="G52" s="201"/>
      <c r="H52" s="201"/>
      <c r="I52" s="201"/>
      <c r="J52" s="201"/>
      <c r="K52" s="201"/>
      <c r="L52" s="201"/>
      <c r="M52" s="201"/>
      <c r="N52" s="201"/>
      <c r="O52" s="201"/>
      <c r="P52" s="201"/>
      <c r="Q52" s="201">
        <v>1</v>
      </c>
      <c r="R52" s="201">
        <v>0</v>
      </c>
      <c r="S52" s="201"/>
    </row>
    <row r="53" spans="1:19" ht="18" customHeight="1" x14ac:dyDescent="0.35">
      <c r="A53" s="218">
        <v>13</v>
      </c>
      <c r="B53" s="219">
        <f>PETUNJUK!B21</f>
        <v>0</v>
      </c>
      <c r="C53" s="201"/>
      <c r="D53" s="201"/>
      <c r="E53" s="201"/>
      <c r="F53" s="201"/>
      <c r="G53" s="201"/>
      <c r="H53" s="201"/>
      <c r="I53" s="201"/>
      <c r="J53" s="201"/>
      <c r="K53" s="201"/>
      <c r="L53" s="201"/>
      <c r="M53" s="201"/>
      <c r="N53" s="201"/>
      <c r="O53" s="201"/>
      <c r="P53" s="201"/>
      <c r="Q53" s="201"/>
      <c r="R53" s="201"/>
      <c r="S53" s="201"/>
    </row>
    <row r="54" spans="1:19" ht="18" customHeight="1" x14ac:dyDescent="0.35">
      <c r="A54" s="218">
        <v>14</v>
      </c>
      <c r="B54" s="219">
        <f>PETUNJUK!B22</f>
        <v>0</v>
      </c>
      <c r="C54" s="201"/>
      <c r="D54" s="201"/>
      <c r="E54" s="201"/>
      <c r="F54" s="201"/>
      <c r="G54" s="201"/>
      <c r="H54" s="201"/>
      <c r="I54" s="201"/>
      <c r="J54" s="201"/>
      <c r="K54" s="201"/>
      <c r="L54" s="201"/>
      <c r="M54" s="201"/>
      <c r="N54" s="201"/>
      <c r="O54" s="201"/>
      <c r="P54" s="201"/>
      <c r="Q54" s="201"/>
      <c r="R54" s="201"/>
      <c r="S54" s="201"/>
    </row>
    <row r="55" spans="1:19" ht="18" customHeight="1" x14ac:dyDescent="0.35">
      <c r="A55" s="218">
        <v>15</v>
      </c>
      <c r="B55" s="219">
        <f>PETUNJUK!B23</f>
        <v>0</v>
      </c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</row>
    <row r="56" spans="1:19" ht="18" customHeight="1" x14ac:dyDescent="0.35">
      <c r="A56" s="218">
        <v>16</v>
      </c>
      <c r="B56" s="219">
        <f>PETUNJUK!B24</f>
        <v>0</v>
      </c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</row>
    <row r="57" spans="1:19" ht="18" customHeight="1" x14ac:dyDescent="0.35">
      <c r="A57" s="218">
        <v>17</v>
      </c>
      <c r="B57" s="219">
        <f>PETUNJUK!B25</f>
        <v>0</v>
      </c>
      <c r="C57" s="201"/>
      <c r="D57" s="201"/>
      <c r="E57" s="201"/>
      <c r="F57" s="201"/>
      <c r="G57" s="201"/>
      <c r="H57" s="201"/>
      <c r="I57" s="201"/>
      <c r="J57" s="201"/>
      <c r="K57" s="201"/>
      <c r="L57" s="201"/>
      <c r="M57" s="201"/>
      <c r="N57" s="201"/>
      <c r="O57" s="201"/>
      <c r="P57" s="201"/>
      <c r="Q57" s="201"/>
      <c r="R57" s="201"/>
      <c r="S57" s="201"/>
    </row>
    <row r="58" spans="1:19" ht="18" customHeight="1" x14ac:dyDescent="0.35">
      <c r="A58" s="218">
        <v>18</v>
      </c>
      <c r="B58" s="219">
        <f>PETUNJUK!B26</f>
        <v>0</v>
      </c>
      <c r="C58" s="201"/>
      <c r="D58" s="201"/>
      <c r="E58" s="201"/>
      <c r="F58" s="201"/>
      <c r="G58" s="201"/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201"/>
      <c r="S58" s="201"/>
    </row>
    <row r="59" spans="1:19" ht="18" customHeight="1" x14ac:dyDescent="0.35">
      <c r="A59" s="218">
        <v>19</v>
      </c>
      <c r="B59" s="219">
        <f>PETUNJUK!B27</f>
        <v>0</v>
      </c>
      <c r="C59" s="201"/>
      <c r="D59" s="201"/>
      <c r="E59" s="201"/>
      <c r="F59" s="201"/>
      <c r="G59" s="201"/>
      <c r="H59" s="201"/>
      <c r="I59" s="201"/>
      <c r="J59" s="201"/>
      <c r="K59" s="201"/>
      <c r="L59" s="201"/>
      <c r="M59" s="201"/>
      <c r="N59" s="201"/>
      <c r="O59" s="201"/>
      <c r="P59" s="201"/>
      <c r="Q59" s="201"/>
      <c r="R59" s="201"/>
      <c r="S59" s="201"/>
    </row>
    <row r="60" spans="1:19" ht="18" customHeight="1" x14ac:dyDescent="0.35">
      <c r="A60" s="218">
        <v>20</v>
      </c>
      <c r="B60" s="219">
        <f>PETUNJUK!B28</f>
        <v>0</v>
      </c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</row>
    <row r="61" spans="1:19" ht="18" customHeight="1" x14ac:dyDescent="0.35">
      <c r="A61" s="218">
        <v>21</v>
      </c>
      <c r="B61" s="219">
        <f>PETUNJUK!B29</f>
        <v>0</v>
      </c>
      <c r="C61" s="201"/>
      <c r="D61" s="201"/>
      <c r="E61" s="201"/>
      <c r="F61" s="201"/>
      <c r="G61" s="201"/>
      <c r="H61" s="201"/>
      <c r="I61" s="201"/>
      <c r="J61" s="201"/>
      <c r="K61" s="201"/>
      <c r="L61" s="201"/>
      <c r="M61" s="201"/>
      <c r="N61" s="201"/>
      <c r="O61" s="201"/>
      <c r="P61" s="201"/>
      <c r="Q61" s="201"/>
      <c r="R61" s="201"/>
      <c r="S61" s="201"/>
    </row>
    <row r="62" spans="1:19" ht="18" customHeight="1" thickBot="1" x14ac:dyDescent="0.4">
      <c r="A62" s="247">
        <v>22</v>
      </c>
      <c r="B62" s="248">
        <f>PETUNJUK!B30</f>
        <v>0</v>
      </c>
      <c r="C62" s="249"/>
      <c r="D62" s="249"/>
      <c r="E62" s="249"/>
      <c r="F62" s="249"/>
      <c r="G62" s="249"/>
      <c r="H62" s="249"/>
      <c r="I62" s="249"/>
      <c r="J62" s="249"/>
      <c r="K62" s="249"/>
      <c r="L62" s="249"/>
      <c r="M62" s="249"/>
      <c r="N62" s="249"/>
      <c r="O62" s="249"/>
      <c r="P62" s="249"/>
      <c r="Q62" s="249"/>
      <c r="R62" s="249"/>
      <c r="S62" s="249"/>
    </row>
    <row r="63" spans="1:19" ht="18" customHeight="1" thickBot="1" x14ac:dyDescent="0.4">
      <c r="A63" s="928" t="s">
        <v>18</v>
      </c>
      <c r="B63" s="929"/>
      <c r="C63" s="252">
        <f>SUM(C41:C62)</f>
        <v>0</v>
      </c>
      <c r="D63" s="252">
        <f t="shared" ref="D63:R63" si="1">SUM(D41:D62)</f>
        <v>0</v>
      </c>
      <c r="E63" s="252">
        <f t="shared" si="1"/>
        <v>0</v>
      </c>
      <c r="F63" s="252">
        <f t="shared" si="1"/>
        <v>0</v>
      </c>
      <c r="G63" s="252">
        <f t="shared" si="1"/>
        <v>0</v>
      </c>
      <c r="H63" s="252">
        <f t="shared" si="1"/>
        <v>0</v>
      </c>
      <c r="I63" s="252">
        <f t="shared" si="1"/>
        <v>0</v>
      </c>
      <c r="J63" s="252">
        <f t="shared" si="1"/>
        <v>0</v>
      </c>
      <c r="K63" s="252">
        <f t="shared" si="1"/>
        <v>0</v>
      </c>
      <c r="L63" s="252">
        <f t="shared" si="1"/>
        <v>0</v>
      </c>
      <c r="M63" s="252">
        <f t="shared" si="1"/>
        <v>0</v>
      </c>
      <c r="N63" s="252">
        <f t="shared" si="1"/>
        <v>0</v>
      </c>
      <c r="O63" s="252">
        <f t="shared" si="1"/>
        <v>1</v>
      </c>
      <c r="P63" s="252">
        <f t="shared" si="1"/>
        <v>0</v>
      </c>
      <c r="Q63" s="252">
        <f t="shared" si="1"/>
        <v>21</v>
      </c>
      <c r="R63" s="252">
        <f t="shared" si="1"/>
        <v>20</v>
      </c>
      <c r="S63" s="251"/>
    </row>
    <row r="64" spans="1:19" ht="15.5" x14ac:dyDescent="0.35">
      <c r="A64" s="220"/>
      <c r="B64" s="221"/>
      <c r="C64" s="202"/>
      <c r="D64" s="202"/>
      <c r="E64" s="202"/>
      <c r="F64" s="204"/>
      <c r="G64" s="204"/>
      <c r="H64" s="204"/>
      <c r="I64" s="204"/>
      <c r="J64" s="234"/>
      <c r="K64" s="234"/>
      <c r="L64" s="234"/>
      <c r="M64" s="234"/>
      <c r="N64" s="234"/>
      <c r="O64" s="234"/>
      <c r="P64" s="232"/>
      <c r="Q64" s="232"/>
      <c r="R64" s="232"/>
      <c r="S64" s="232"/>
    </row>
    <row r="65" spans="1:19" ht="15.5" x14ac:dyDescent="0.35">
      <c r="A65" s="220"/>
      <c r="B65" s="924"/>
      <c r="C65" s="924"/>
      <c r="D65" s="924"/>
      <c r="E65" s="924"/>
      <c r="F65" s="232"/>
      <c r="G65" s="232"/>
      <c r="H65" s="232"/>
      <c r="I65" s="232"/>
      <c r="J65" s="232"/>
      <c r="K65" s="232"/>
      <c r="L65" s="232"/>
      <c r="M65" s="232"/>
      <c r="N65" s="232"/>
      <c r="O65" s="925"/>
      <c r="P65" s="925"/>
      <c r="Q65" s="925"/>
      <c r="R65" s="925"/>
      <c r="S65" s="232"/>
    </row>
    <row r="66" spans="1:19" ht="15.5" x14ac:dyDescent="0.35">
      <c r="A66" s="220"/>
      <c r="B66" s="926"/>
      <c r="C66" s="926"/>
      <c r="D66" s="926"/>
      <c r="E66" s="926"/>
      <c r="F66" s="202"/>
      <c r="G66" s="202"/>
      <c r="H66" s="202"/>
      <c r="I66" s="202"/>
      <c r="J66" s="202"/>
      <c r="K66" s="232"/>
      <c r="L66" s="232"/>
      <c r="M66" s="232"/>
      <c r="N66" s="232"/>
      <c r="O66" s="927"/>
      <c r="P66" s="927"/>
      <c r="Q66" s="927"/>
      <c r="R66" s="927"/>
      <c r="S66" s="233"/>
    </row>
    <row r="67" spans="1:19" ht="15.5" x14ac:dyDescent="0.35">
      <c r="A67" s="930" t="s">
        <v>102</v>
      </c>
      <c r="B67" s="930"/>
      <c r="C67" s="930"/>
      <c r="D67" s="930"/>
      <c r="E67" s="930"/>
      <c r="F67" s="930"/>
      <c r="G67" s="930"/>
      <c r="H67" s="930"/>
      <c r="I67" s="930"/>
      <c r="J67" s="930"/>
      <c r="K67" s="930"/>
      <c r="L67" s="930"/>
      <c r="M67" s="930"/>
      <c r="N67" s="930"/>
      <c r="O67" s="930"/>
      <c r="P67" s="930"/>
      <c r="Q67" s="930"/>
      <c r="R67" s="930"/>
      <c r="S67" s="930"/>
    </row>
    <row r="68" spans="1:19" ht="15.5" x14ac:dyDescent="0.35">
      <c r="A68" s="213"/>
      <c r="B68" s="213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226"/>
    </row>
    <row r="69" spans="1:19" ht="15.5" x14ac:dyDescent="0.35">
      <c r="A69" s="214" t="s">
        <v>189</v>
      </c>
      <c r="B69" s="214"/>
      <c r="C69" s="197" t="str">
        <f>PETUNJUK!C5</f>
        <v>PECANGAAN</v>
      </c>
      <c r="D69" s="229"/>
      <c r="E69" s="229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226"/>
    </row>
    <row r="70" spans="1:19" ht="15.5" x14ac:dyDescent="0.35">
      <c r="A70" s="214" t="s">
        <v>369</v>
      </c>
      <c r="B70" s="214"/>
      <c r="C70" s="245" t="s">
        <v>395</v>
      </c>
      <c r="D70" s="229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226"/>
    </row>
    <row r="71" spans="1:19" ht="15.5" x14ac:dyDescent="0.35">
      <c r="A71" s="217"/>
      <c r="B71" s="217"/>
      <c r="C71" s="231"/>
      <c r="D71" s="231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29"/>
      <c r="Q71" s="229"/>
      <c r="R71" s="229"/>
      <c r="S71" s="226"/>
    </row>
    <row r="72" spans="1:19" ht="18" customHeight="1" x14ac:dyDescent="0.35">
      <c r="A72" s="931" t="s">
        <v>1</v>
      </c>
      <c r="B72" s="931" t="s">
        <v>2</v>
      </c>
      <c r="C72" s="933" t="s">
        <v>45</v>
      </c>
      <c r="D72" s="934"/>
      <c r="E72" s="933" t="s">
        <v>103</v>
      </c>
      <c r="F72" s="934"/>
      <c r="G72" s="933" t="s">
        <v>104</v>
      </c>
      <c r="H72" s="934"/>
      <c r="I72" s="933" t="s">
        <v>105</v>
      </c>
      <c r="J72" s="934"/>
      <c r="K72" s="933" t="s">
        <v>106</v>
      </c>
      <c r="L72" s="934"/>
      <c r="M72" s="933" t="s">
        <v>107</v>
      </c>
      <c r="N72" s="934"/>
      <c r="O72" s="933" t="s">
        <v>108</v>
      </c>
      <c r="P72" s="934"/>
      <c r="Q72" s="933" t="s">
        <v>109</v>
      </c>
      <c r="R72" s="934"/>
      <c r="S72" s="935" t="s">
        <v>25</v>
      </c>
    </row>
    <row r="73" spans="1:19" ht="18" customHeight="1" x14ac:dyDescent="0.35">
      <c r="A73" s="932"/>
      <c r="B73" s="932"/>
      <c r="C73" s="246" t="s">
        <v>110</v>
      </c>
      <c r="D73" s="246" t="s">
        <v>111</v>
      </c>
      <c r="E73" s="246" t="s">
        <v>110</v>
      </c>
      <c r="F73" s="246" t="s">
        <v>111</v>
      </c>
      <c r="G73" s="246" t="s">
        <v>110</v>
      </c>
      <c r="H73" s="246" t="s">
        <v>111</v>
      </c>
      <c r="I73" s="246" t="s">
        <v>110</v>
      </c>
      <c r="J73" s="246" t="s">
        <v>111</v>
      </c>
      <c r="K73" s="246" t="s">
        <v>110</v>
      </c>
      <c r="L73" s="246" t="s">
        <v>111</v>
      </c>
      <c r="M73" s="246" t="s">
        <v>110</v>
      </c>
      <c r="N73" s="246" t="s">
        <v>111</v>
      </c>
      <c r="O73" s="246" t="s">
        <v>110</v>
      </c>
      <c r="P73" s="246" t="s">
        <v>111</v>
      </c>
      <c r="Q73" s="246" t="s">
        <v>110</v>
      </c>
      <c r="R73" s="246" t="s">
        <v>111</v>
      </c>
      <c r="S73" s="936"/>
    </row>
    <row r="74" spans="1:19" ht="18" customHeight="1" x14ac:dyDescent="0.35">
      <c r="A74" s="218">
        <v>1</v>
      </c>
      <c r="B74" s="219" t="str">
        <f>PETUNJUK!B9</f>
        <v>Pecangaan Kulon</v>
      </c>
      <c r="C74" s="201"/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>
        <v>2</v>
      </c>
      <c r="R74" s="201">
        <v>1</v>
      </c>
      <c r="S74" s="201"/>
    </row>
    <row r="75" spans="1:19" ht="18" customHeight="1" x14ac:dyDescent="0.35">
      <c r="A75" s="218">
        <v>2</v>
      </c>
      <c r="B75" s="219" t="str">
        <f>PETUNJUK!B10</f>
        <v>Rengging</v>
      </c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>
        <v>1</v>
      </c>
      <c r="R75" s="201">
        <v>2</v>
      </c>
      <c r="S75" s="201"/>
    </row>
    <row r="76" spans="1:19" ht="18" customHeight="1" x14ac:dyDescent="0.35">
      <c r="A76" s="218">
        <v>3</v>
      </c>
      <c r="B76" s="219" t="str">
        <f>PETUNJUK!B11</f>
        <v>Troso</v>
      </c>
      <c r="C76" s="201"/>
      <c r="D76" s="201"/>
      <c r="E76" s="201"/>
      <c r="F76" s="201"/>
      <c r="G76" s="201"/>
      <c r="H76" s="201"/>
      <c r="I76" s="201"/>
      <c r="J76" s="201"/>
      <c r="K76" s="201"/>
      <c r="L76" s="201"/>
      <c r="M76" s="201"/>
      <c r="N76" s="201"/>
      <c r="O76" s="201"/>
      <c r="P76" s="201"/>
      <c r="Q76" s="201">
        <v>2</v>
      </c>
      <c r="R76" s="201">
        <v>1</v>
      </c>
      <c r="S76" s="201"/>
    </row>
    <row r="77" spans="1:19" ht="18" customHeight="1" x14ac:dyDescent="0.35">
      <c r="A77" s="218">
        <v>4</v>
      </c>
      <c r="B77" s="219" t="str">
        <f>PETUNJUK!B12</f>
        <v>Ngeling</v>
      </c>
      <c r="C77" s="201"/>
      <c r="D77" s="201"/>
      <c r="E77" s="201"/>
      <c r="F77" s="201"/>
      <c r="G77" s="201"/>
      <c r="H77" s="201"/>
      <c r="I77" s="201"/>
      <c r="J77" s="201"/>
      <c r="K77" s="201"/>
      <c r="L77" s="201"/>
      <c r="M77" s="201"/>
      <c r="N77" s="201"/>
      <c r="O77" s="201"/>
      <c r="P77" s="201"/>
      <c r="Q77" s="201">
        <v>2</v>
      </c>
      <c r="R77" s="201">
        <v>2</v>
      </c>
      <c r="S77" s="201"/>
    </row>
    <row r="78" spans="1:19" ht="18" customHeight="1" x14ac:dyDescent="0.35">
      <c r="A78" s="218">
        <v>5</v>
      </c>
      <c r="B78" s="219" t="str">
        <f>PETUNJUK!B13</f>
        <v>Lebuawu</v>
      </c>
      <c r="C78" s="201"/>
      <c r="D78" s="201"/>
      <c r="E78" s="201"/>
      <c r="F78" s="201"/>
      <c r="G78" s="201"/>
      <c r="H78" s="201"/>
      <c r="I78" s="201"/>
      <c r="J78" s="201"/>
      <c r="K78" s="201"/>
      <c r="L78" s="201"/>
      <c r="M78" s="201"/>
      <c r="N78" s="201"/>
      <c r="O78" s="201"/>
      <c r="P78" s="201"/>
      <c r="Q78" s="201">
        <v>1</v>
      </c>
      <c r="R78" s="201">
        <v>2</v>
      </c>
      <c r="S78" s="201"/>
    </row>
    <row r="79" spans="1:19" ht="18" customHeight="1" x14ac:dyDescent="0.35">
      <c r="A79" s="218">
        <v>6</v>
      </c>
      <c r="B79" s="219" t="str">
        <f>PETUNJUK!B14</f>
        <v>Pulodarat</v>
      </c>
      <c r="C79" s="201"/>
      <c r="D79" s="201"/>
      <c r="E79" s="201"/>
      <c r="F79" s="201"/>
      <c r="G79" s="201"/>
      <c r="H79" s="201"/>
      <c r="I79" s="201"/>
      <c r="J79" s="201"/>
      <c r="K79" s="201"/>
      <c r="L79" s="201"/>
      <c r="M79" s="201"/>
      <c r="N79" s="201"/>
      <c r="O79" s="201"/>
      <c r="P79" s="201"/>
      <c r="Q79" s="201">
        <v>1</v>
      </c>
      <c r="R79" s="201">
        <v>1</v>
      </c>
      <c r="S79" s="201"/>
    </row>
    <row r="80" spans="1:19" ht="18" customHeight="1" x14ac:dyDescent="0.35">
      <c r="A80" s="218">
        <v>7</v>
      </c>
      <c r="B80" s="219" t="str">
        <f>PETUNJUK!B15</f>
        <v>Karangrandu</v>
      </c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>
        <v>1</v>
      </c>
      <c r="R80" s="201">
        <v>4</v>
      </c>
      <c r="S80" s="201"/>
    </row>
    <row r="81" spans="1:19" ht="18" customHeight="1" x14ac:dyDescent="0.35">
      <c r="A81" s="218">
        <v>8</v>
      </c>
      <c r="B81" s="219" t="str">
        <f>PETUNJUK!B16</f>
        <v>Kaliombo</v>
      </c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>
        <v>3</v>
      </c>
      <c r="R81" s="201">
        <v>1</v>
      </c>
      <c r="S81" s="201"/>
    </row>
    <row r="82" spans="1:19" ht="18" customHeight="1" x14ac:dyDescent="0.35">
      <c r="A82" s="218">
        <v>9</v>
      </c>
      <c r="B82" s="219" t="str">
        <f>PETUNJUK!B17</f>
        <v>Gemulung</v>
      </c>
      <c r="C82" s="201"/>
      <c r="D82" s="201"/>
      <c r="E82" s="201"/>
      <c r="F82" s="201"/>
      <c r="G82" s="201"/>
      <c r="H82" s="201"/>
      <c r="I82" s="201"/>
      <c r="J82" s="201"/>
      <c r="K82" s="201"/>
      <c r="L82" s="201"/>
      <c r="M82" s="201"/>
      <c r="N82" s="201"/>
      <c r="O82" s="201"/>
      <c r="P82" s="201"/>
      <c r="Q82" s="201">
        <v>1</v>
      </c>
      <c r="R82" s="201">
        <v>1</v>
      </c>
      <c r="S82" s="201"/>
    </row>
    <row r="83" spans="1:19" ht="18" customHeight="1" x14ac:dyDescent="0.35">
      <c r="A83" s="218">
        <v>10</v>
      </c>
      <c r="B83" s="219" t="str">
        <f>PETUNJUK!B18</f>
        <v>Pecangaan Wetan</v>
      </c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>
        <v>2</v>
      </c>
      <c r="R83" s="201">
        <v>2</v>
      </c>
      <c r="S83" s="201"/>
    </row>
    <row r="84" spans="1:19" ht="18" customHeight="1" x14ac:dyDescent="0.35">
      <c r="A84" s="218">
        <v>11</v>
      </c>
      <c r="B84" s="219" t="str">
        <f>PETUNJUK!B19</f>
        <v>Krasak</v>
      </c>
      <c r="C84" s="201"/>
      <c r="D84" s="201"/>
      <c r="E84" s="201"/>
      <c r="F84" s="201"/>
      <c r="G84" s="201"/>
      <c r="H84" s="201"/>
      <c r="I84" s="201"/>
      <c r="J84" s="201"/>
      <c r="K84" s="201"/>
      <c r="L84" s="201"/>
      <c r="M84" s="201"/>
      <c r="N84" s="201"/>
      <c r="O84" s="201"/>
      <c r="P84" s="201"/>
      <c r="Q84" s="201">
        <v>2</v>
      </c>
      <c r="R84" s="201">
        <v>1</v>
      </c>
      <c r="S84" s="201"/>
    </row>
    <row r="85" spans="1:19" ht="18" customHeight="1" x14ac:dyDescent="0.35">
      <c r="A85" s="218">
        <v>12</v>
      </c>
      <c r="B85" s="219" t="str">
        <f>PETUNJUK!B20</f>
        <v>Gerdu</v>
      </c>
      <c r="C85" s="201"/>
      <c r="D85" s="201"/>
      <c r="E85" s="201"/>
      <c r="F85" s="201"/>
      <c r="G85" s="201"/>
      <c r="H85" s="201"/>
      <c r="I85" s="201"/>
      <c r="J85" s="201"/>
      <c r="K85" s="201"/>
      <c r="L85" s="201"/>
      <c r="M85" s="201"/>
      <c r="N85" s="201"/>
      <c r="O85" s="201"/>
      <c r="P85" s="201"/>
      <c r="Q85" s="201">
        <v>1</v>
      </c>
      <c r="R85" s="201">
        <v>0</v>
      </c>
      <c r="S85" s="201"/>
    </row>
    <row r="86" spans="1:19" ht="18" customHeight="1" x14ac:dyDescent="0.35">
      <c r="A86" s="218">
        <v>13</v>
      </c>
      <c r="B86" s="219">
        <f>PETUNJUK!B21</f>
        <v>0</v>
      </c>
      <c r="C86" s="201"/>
      <c r="D86" s="201"/>
      <c r="E86" s="201"/>
      <c r="F86" s="201"/>
      <c r="G86" s="201"/>
      <c r="H86" s="201"/>
      <c r="I86" s="201"/>
      <c r="J86" s="201"/>
      <c r="K86" s="201"/>
      <c r="L86" s="201"/>
      <c r="M86" s="201"/>
      <c r="N86" s="201"/>
      <c r="O86" s="201"/>
      <c r="P86" s="201"/>
      <c r="Q86" s="201"/>
      <c r="R86" s="201"/>
      <c r="S86" s="201"/>
    </row>
    <row r="87" spans="1:19" ht="18" customHeight="1" x14ac:dyDescent="0.35">
      <c r="A87" s="218">
        <v>14</v>
      </c>
      <c r="B87" s="219">
        <f>PETUNJUK!B22</f>
        <v>0</v>
      </c>
      <c r="C87" s="201"/>
      <c r="D87" s="201"/>
      <c r="E87" s="201"/>
      <c r="F87" s="201"/>
      <c r="G87" s="201"/>
      <c r="H87" s="201"/>
      <c r="I87" s="201"/>
      <c r="J87" s="201"/>
      <c r="K87" s="201"/>
      <c r="L87" s="201"/>
      <c r="M87" s="201"/>
      <c r="N87" s="201"/>
      <c r="O87" s="201"/>
      <c r="P87" s="201"/>
      <c r="Q87" s="201"/>
      <c r="R87" s="201"/>
      <c r="S87" s="201"/>
    </row>
    <row r="88" spans="1:19" ht="18" customHeight="1" x14ac:dyDescent="0.35">
      <c r="A88" s="218">
        <v>15</v>
      </c>
      <c r="B88" s="219">
        <f>PETUNJUK!B23</f>
        <v>0</v>
      </c>
      <c r="C88" s="201"/>
      <c r="D88" s="201"/>
      <c r="E88" s="201"/>
      <c r="F88" s="201"/>
      <c r="G88" s="201"/>
      <c r="H88" s="201"/>
      <c r="I88" s="201"/>
      <c r="J88" s="201"/>
      <c r="K88" s="201"/>
      <c r="L88" s="201"/>
      <c r="M88" s="201"/>
      <c r="N88" s="201"/>
      <c r="O88" s="201"/>
      <c r="P88" s="201"/>
      <c r="Q88" s="201"/>
      <c r="R88" s="201"/>
      <c r="S88" s="201"/>
    </row>
    <row r="89" spans="1:19" ht="18" customHeight="1" x14ac:dyDescent="0.35">
      <c r="A89" s="218">
        <v>16</v>
      </c>
      <c r="B89" s="219">
        <f>PETUNJUK!B24</f>
        <v>0</v>
      </c>
      <c r="C89" s="201"/>
      <c r="D89" s="201"/>
      <c r="E89" s="201"/>
      <c r="F89" s="201"/>
      <c r="G89" s="201"/>
      <c r="H89" s="201"/>
      <c r="I89" s="201"/>
      <c r="J89" s="201"/>
      <c r="K89" s="201"/>
      <c r="L89" s="201"/>
      <c r="M89" s="201"/>
      <c r="N89" s="201"/>
      <c r="O89" s="201"/>
      <c r="P89" s="201"/>
      <c r="Q89" s="201"/>
      <c r="R89" s="201"/>
      <c r="S89" s="201"/>
    </row>
    <row r="90" spans="1:19" ht="18" customHeight="1" x14ac:dyDescent="0.35">
      <c r="A90" s="218">
        <v>17</v>
      </c>
      <c r="B90" s="219">
        <f>PETUNJUK!B25</f>
        <v>0</v>
      </c>
      <c r="C90" s="201"/>
      <c r="D90" s="201"/>
      <c r="E90" s="201"/>
      <c r="F90" s="201"/>
      <c r="G90" s="201"/>
      <c r="H90" s="201"/>
      <c r="I90" s="201"/>
      <c r="J90" s="201"/>
      <c r="K90" s="201"/>
      <c r="L90" s="201"/>
      <c r="M90" s="201"/>
      <c r="N90" s="201"/>
      <c r="O90" s="201"/>
      <c r="P90" s="201"/>
      <c r="Q90" s="201"/>
      <c r="R90" s="201"/>
      <c r="S90" s="201"/>
    </row>
    <row r="91" spans="1:19" ht="18" customHeight="1" x14ac:dyDescent="0.35">
      <c r="A91" s="218">
        <v>18</v>
      </c>
      <c r="B91" s="219">
        <f>PETUNJUK!B26</f>
        <v>0</v>
      </c>
      <c r="C91" s="201"/>
      <c r="D91" s="201"/>
      <c r="E91" s="201"/>
      <c r="F91" s="201"/>
      <c r="G91" s="201"/>
      <c r="H91" s="201"/>
      <c r="I91" s="201"/>
      <c r="J91" s="201"/>
      <c r="K91" s="201"/>
      <c r="L91" s="201"/>
      <c r="M91" s="201"/>
      <c r="N91" s="201"/>
      <c r="O91" s="201"/>
      <c r="P91" s="201"/>
      <c r="Q91" s="201"/>
      <c r="R91" s="201"/>
      <c r="S91" s="201"/>
    </row>
    <row r="92" spans="1:19" ht="18" customHeight="1" x14ac:dyDescent="0.35">
      <c r="A92" s="218">
        <v>19</v>
      </c>
      <c r="B92" s="219">
        <f>PETUNJUK!B27</f>
        <v>0</v>
      </c>
      <c r="C92" s="201"/>
      <c r="D92" s="201"/>
      <c r="E92" s="201"/>
      <c r="F92" s="201"/>
      <c r="G92" s="201"/>
      <c r="H92" s="201"/>
      <c r="I92" s="201"/>
      <c r="J92" s="201"/>
      <c r="K92" s="201"/>
      <c r="L92" s="201"/>
      <c r="M92" s="201"/>
      <c r="N92" s="201"/>
      <c r="O92" s="201"/>
      <c r="P92" s="201"/>
      <c r="Q92" s="201"/>
      <c r="R92" s="201"/>
      <c r="S92" s="201"/>
    </row>
    <row r="93" spans="1:19" ht="18" customHeight="1" x14ac:dyDescent="0.35">
      <c r="A93" s="218">
        <v>20</v>
      </c>
      <c r="B93" s="219">
        <f>PETUNJUK!B28</f>
        <v>0</v>
      </c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</row>
    <row r="94" spans="1:19" ht="18" customHeight="1" x14ac:dyDescent="0.35">
      <c r="A94" s="218">
        <v>21</v>
      </c>
      <c r="B94" s="219">
        <f>PETUNJUK!B29</f>
        <v>0</v>
      </c>
      <c r="C94" s="201"/>
      <c r="D94" s="201"/>
      <c r="E94" s="201"/>
      <c r="F94" s="201"/>
      <c r="G94" s="201"/>
      <c r="H94" s="201"/>
      <c r="I94" s="201"/>
      <c r="J94" s="201"/>
      <c r="K94" s="201"/>
      <c r="L94" s="201"/>
      <c r="M94" s="201"/>
      <c r="N94" s="201"/>
      <c r="O94" s="201"/>
      <c r="P94" s="201"/>
      <c r="Q94" s="201"/>
      <c r="R94" s="201"/>
      <c r="S94" s="201"/>
    </row>
    <row r="95" spans="1:19" ht="18" customHeight="1" thickBot="1" x14ac:dyDescent="0.4">
      <c r="A95" s="247">
        <v>22</v>
      </c>
      <c r="B95" s="248">
        <f>PETUNJUK!B30</f>
        <v>0</v>
      </c>
      <c r="C95" s="249"/>
      <c r="D95" s="249"/>
      <c r="E95" s="249"/>
      <c r="F95" s="249"/>
      <c r="G95" s="249"/>
      <c r="H95" s="249"/>
      <c r="I95" s="249"/>
      <c r="J95" s="249"/>
      <c r="K95" s="249"/>
      <c r="L95" s="249"/>
      <c r="M95" s="249"/>
      <c r="N95" s="249"/>
      <c r="O95" s="249"/>
      <c r="P95" s="249"/>
      <c r="Q95" s="249"/>
      <c r="R95" s="249"/>
      <c r="S95" s="249"/>
    </row>
    <row r="96" spans="1:19" ht="18" customHeight="1" thickBot="1" x14ac:dyDescent="0.4">
      <c r="A96" s="928" t="s">
        <v>18</v>
      </c>
      <c r="B96" s="929"/>
      <c r="C96" s="252">
        <f>SUM(C74:C95)</f>
        <v>0</v>
      </c>
      <c r="D96" s="252">
        <f t="shared" ref="D96:R96" si="2">SUM(D74:D95)</f>
        <v>0</v>
      </c>
      <c r="E96" s="252">
        <f t="shared" si="2"/>
        <v>0</v>
      </c>
      <c r="F96" s="252">
        <f t="shared" si="2"/>
        <v>0</v>
      </c>
      <c r="G96" s="252">
        <f t="shared" si="2"/>
        <v>0</v>
      </c>
      <c r="H96" s="252">
        <f t="shared" si="2"/>
        <v>0</v>
      </c>
      <c r="I96" s="252">
        <f t="shared" si="2"/>
        <v>0</v>
      </c>
      <c r="J96" s="252">
        <f t="shared" si="2"/>
        <v>0</v>
      </c>
      <c r="K96" s="252">
        <f t="shared" si="2"/>
        <v>0</v>
      </c>
      <c r="L96" s="252">
        <f t="shared" si="2"/>
        <v>0</v>
      </c>
      <c r="M96" s="252">
        <f t="shared" si="2"/>
        <v>0</v>
      </c>
      <c r="N96" s="252">
        <f t="shared" si="2"/>
        <v>0</v>
      </c>
      <c r="O96" s="252">
        <f t="shared" si="2"/>
        <v>0</v>
      </c>
      <c r="P96" s="252">
        <f t="shared" si="2"/>
        <v>0</v>
      </c>
      <c r="Q96" s="252">
        <f t="shared" si="2"/>
        <v>19</v>
      </c>
      <c r="R96" s="252">
        <f t="shared" si="2"/>
        <v>18</v>
      </c>
      <c r="S96" s="251"/>
    </row>
    <row r="97" spans="1:19" ht="15.5" x14ac:dyDescent="0.35">
      <c r="A97" s="222"/>
      <c r="B97" s="221"/>
      <c r="C97" s="203"/>
      <c r="D97" s="203"/>
      <c r="E97" s="203"/>
      <c r="F97" s="204"/>
      <c r="G97" s="204"/>
      <c r="H97" s="204"/>
      <c r="I97" s="204"/>
      <c r="J97" s="235"/>
      <c r="K97" s="235"/>
      <c r="L97" s="235"/>
      <c r="M97" s="235"/>
      <c r="N97" s="235"/>
      <c r="O97" s="235"/>
      <c r="P97" s="232"/>
      <c r="Q97" s="232"/>
      <c r="R97" s="232"/>
      <c r="S97" s="232"/>
    </row>
    <row r="98" spans="1:19" ht="15.5" x14ac:dyDescent="0.35">
      <c r="A98" s="220"/>
      <c r="B98" s="221"/>
      <c r="C98" s="202"/>
      <c r="D98" s="202"/>
      <c r="E98" s="202"/>
      <c r="F98" s="204"/>
      <c r="G98" s="204"/>
      <c r="H98" s="204"/>
      <c r="I98" s="204"/>
      <c r="J98" s="234"/>
      <c r="K98" s="234"/>
      <c r="L98" s="234"/>
      <c r="M98" s="234"/>
      <c r="N98" s="234"/>
      <c r="O98" s="234"/>
      <c r="P98" s="232"/>
      <c r="Q98" s="232"/>
      <c r="R98" s="232"/>
      <c r="S98" s="232"/>
    </row>
    <row r="99" spans="1:19" ht="15.5" x14ac:dyDescent="0.35">
      <c r="A99" s="220"/>
      <c r="B99" s="924"/>
      <c r="C99" s="924"/>
      <c r="D99" s="924"/>
      <c r="E99" s="924"/>
      <c r="F99" s="232"/>
      <c r="G99" s="232"/>
      <c r="H99" s="232"/>
      <c r="I99" s="232"/>
      <c r="J99" s="232"/>
      <c r="K99" s="232"/>
      <c r="L99" s="232"/>
      <c r="M99" s="232"/>
      <c r="N99" s="232"/>
      <c r="O99" s="925"/>
      <c r="P99" s="925"/>
      <c r="Q99" s="925"/>
      <c r="R99" s="925"/>
      <c r="S99" s="232"/>
    </row>
    <row r="100" spans="1:19" ht="15.5" x14ac:dyDescent="0.35">
      <c r="A100" s="930" t="s">
        <v>102</v>
      </c>
      <c r="B100" s="930"/>
      <c r="C100" s="930"/>
      <c r="D100" s="930"/>
      <c r="E100" s="930"/>
      <c r="F100" s="930"/>
      <c r="G100" s="930"/>
      <c r="H100" s="930"/>
      <c r="I100" s="930"/>
      <c r="J100" s="930"/>
      <c r="K100" s="930"/>
      <c r="L100" s="930"/>
      <c r="M100" s="930"/>
      <c r="N100" s="930"/>
      <c r="O100" s="930"/>
      <c r="P100" s="930"/>
      <c r="Q100" s="930"/>
      <c r="R100" s="930"/>
      <c r="S100" s="930"/>
    </row>
    <row r="101" spans="1:19" ht="15.5" x14ac:dyDescent="0.35">
      <c r="A101" s="213"/>
      <c r="B101" s="213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226"/>
    </row>
    <row r="102" spans="1:19" ht="15.5" x14ac:dyDescent="0.35">
      <c r="A102" s="214" t="s">
        <v>189</v>
      </c>
      <c r="B102" s="244"/>
      <c r="C102" s="197" t="str">
        <f>PETUNJUK!C5</f>
        <v>PECANGAAN</v>
      </c>
      <c r="D102" s="198"/>
      <c r="E102" s="198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226"/>
    </row>
    <row r="103" spans="1:19" ht="15.5" x14ac:dyDescent="0.35">
      <c r="A103" s="214" t="s">
        <v>369</v>
      </c>
      <c r="B103" s="244"/>
      <c r="C103" s="245" t="s">
        <v>401</v>
      </c>
      <c r="D103" s="198"/>
      <c r="E103" s="199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226"/>
    </row>
    <row r="104" spans="1:19" ht="15.5" x14ac:dyDescent="0.35">
      <c r="A104" s="217"/>
      <c r="B104" s="200"/>
      <c r="C104" s="200"/>
      <c r="D104" s="200"/>
      <c r="E104" s="198"/>
      <c r="F104" s="229"/>
      <c r="G104" s="229"/>
      <c r="H104" s="229"/>
      <c r="I104" s="229"/>
      <c r="J104" s="229"/>
      <c r="K104" s="229"/>
      <c r="L104" s="229"/>
      <c r="M104" s="229"/>
      <c r="N104" s="229"/>
      <c r="O104" s="229"/>
      <c r="P104" s="229"/>
      <c r="Q104" s="229"/>
      <c r="R104" s="229"/>
      <c r="S104" s="226"/>
    </row>
    <row r="105" spans="1:19" ht="18" customHeight="1" x14ac:dyDescent="0.35">
      <c r="A105" s="956" t="s">
        <v>1</v>
      </c>
      <c r="B105" s="956" t="s">
        <v>2</v>
      </c>
      <c r="C105" s="933" t="s">
        <v>45</v>
      </c>
      <c r="D105" s="934"/>
      <c r="E105" s="933" t="s">
        <v>103</v>
      </c>
      <c r="F105" s="934"/>
      <c r="G105" s="933" t="s">
        <v>104</v>
      </c>
      <c r="H105" s="934"/>
      <c r="I105" s="933" t="s">
        <v>105</v>
      </c>
      <c r="J105" s="934"/>
      <c r="K105" s="933" t="s">
        <v>106</v>
      </c>
      <c r="L105" s="934"/>
      <c r="M105" s="933" t="s">
        <v>107</v>
      </c>
      <c r="N105" s="934"/>
      <c r="O105" s="933" t="s">
        <v>108</v>
      </c>
      <c r="P105" s="934"/>
      <c r="Q105" s="933" t="s">
        <v>109</v>
      </c>
      <c r="R105" s="934"/>
      <c r="S105" s="935" t="s">
        <v>25</v>
      </c>
    </row>
    <row r="106" spans="1:19" ht="18" customHeight="1" x14ac:dyDescent="0.35">
      <c r="A106" s="957"/>
      <c r="B106" s="957"/>
      <c r="C106" s="246" t="s">
        <v>110</v>
      </c>
      <c r="D106" s="246" t="s">
        <v>111</v>
      </c>
      <c r="E106" s="246" t="s">
        <v>110</v>
      </c>
      <c r="F106" s="246" t="s">
        <v>111</v>
      </c>
      <c r="G106" s="246" t="s">
        <v>110</v>
      </c>
      <c r="H106" s="246" t="s">
        <v>111</v>
      </c>
      <c r="I106" s="246" t="s">
        <v>110</v>
      </c>
      <c r="J106" s="246" t="s">
        <v>111</v>
      </c>
      <c r="K106" s="246" t="s">
        <v>110</v>
      </c>
      <c r="L106" s="246" t="s">
        <v>111</v>
      </c>
      <c r="M106" s="246" t="s">
        <v>110</v>
      </c>
      <c r="N106" s="246" t="s">
        <v>111</v>
      </c>
      <c r="O106" s="246" t="s">
        <v>110</v>
      </c>
      <c r="P106" s="246" t="s">
        <v>111</v>
      </c>
      <c r="Q106" s="246" t="s">
        <v>110</v>
      </c>
      <c r="R106" s="246" t="s">
        <v>111</v>
      </c>
      <c r="S106" s="936"/>
    </row>
    <row r="107" spans="1:19" ht="18" customHeight="1" x14ac:dyDescent="0.35">
      <c r="A107" s="218">
        <v>1</v>
      </c>
      <c r="B107" s="219" t="str">
        <f>PETUNJUK!B9</f>
        <v>Pecangaan Kulon</v>
      </c>
      <c r="C107" s="201"/>
      <c r="D107" s="201"/>
      <c r="E107" s="201"/>
      <c r="F107" s="201"/>
      <c r="G107" s="201"/>
      <c r="H107" s="201"/>
      <c r="I107" s="201"/>
      <c r="J107" s="201"/>
      <c r="K107" s="201"/>
      <c r="L107" s="201"/>
      <c r="M107" s="201"/>
      <c r="N107" s="201"/>
      <c r="O107" s="201"/>
      <c r="P107" s="201"/>
      <c r="Q107" s="201">
        <v>2</v>
      </c>
      <c r="R107" s="201">
        <v>2</v>
      </c>
      <c r="S107" s="201"/>
    </row>
    <row r="108" spans="1:19" ht="18" customHeight="1" x14ac:dyDescent="0.35">
      <c r="A108" s="218">
        <v>2</v>
      </c>
      <c r="B108" s="219" t="str">
        <f>PETUNJUK!B10</f>
        <v>Rengging</v>
      </c>
      <c r="C108" s="201"/>
      <c r="D108" s="201"/>
      <c r="E108" s="201"/>
      <c r="F108" s="201"/>
      <c r="G108" s="201"/>
      <c r="H108" s="201"/>
      <c r="I108" s="201"/>
      <c r="J108" s="201"/>
      <c r="K108" s="201"/>
      <c r="L108" s="201"/>
      <c r="M108" s="201"/>
      <c r="N108" s="201"/>
      <c r="O108" s="201"/>
      <c r="P108" s="201"/>
      <c r="Q108" s="201">
        <v>3</v>
      </c>
      <c r="R108" s="201">
        <v>5</v>
      </c>
      <c r="S108" s="201"/>
    </row>
    <row r="109" spans="1:19" ht="18" customHeight="1" x14ac:dyDescent="0.35">
      <c r="A109" s="218">
        <v>3</v>
      </c>
      <c r="B109" s="219" t="str">
        <f>PETUNJUK!B11</f>
        <v>Troso</v>
      </c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>
        <v>2</v>
      </c>
      <c r="R109" s="201">
        <v>2</v>
      </c>
      <c r="S109" s="201"/>
    </row>
    <row r="110" spans="1:19" ht="18" customHeight="1" x14ac:dyDescent="0.35">
      <c r="A110" s="218">
        <v>4</v>
      </c>
      <c r="B110" s="219" t="str">
        <f>PETUNJUK!B12</f>
        <v>Ngeling</v>
      </c>
      <c r="C110" s="201"/>
      <c r="D110" s="201"/>
      <c r="E110" s="201"/>
      <c r="F110" s="201"/>
      <c r="G110" s="201">
        <v>1</v>
      </c>
      <c r="H110" s="201"/>
      <c r="I110" s="201"/>
      <c r="J110" s="201"/>
      <c r="K110" s="201"/>
      <c r="L110" s="201"/>
      <c r="M110" s="201"/>
      <c r="N110" s="201"/>
      <c r="O110" s="201"/>
      <c r="P110" s="201"/>
      <c r="Q110" s="201">
        <v>4</v>
      </c>
      <c r="R110" s="201">
        <v>1</v>
      </c>
      <c r="S110" s="201"/>
    </row>
    <row r="111" spans="1:19" ht="18" customHeight="1" x14ac:dyDescent="0.35">
      <c r="A111" s="218">
        <v>5</v>
      </c>
      <c r="B111" s="219" t="str">
        <f>PETUNJUK!B13</f>
        <v>Lebuawu</v>
      </c>
      <c r="C111" s="201"/>
      <c r="D111" s="201"/>
      <c r="E111" s="201"/>
      <c r="F111" s="201"/>
      <c r="G111" s="201"/>
      <c r="H111" s="201"/>
      <c r="I111" s="201"/>
      <c r="J111" s="201"/>
      <c r="K111" s="201"/>
      <c r="L111" s="201"/>
      <c r="M111" s="201"/>
      <c r="N111" s="201"/>
      <c r="O111" s="201"/>
      <c r="P111" s="201"/>
      <c r="Q111" s="201">
        <v>2</v>
      </c>
      <c r="R111" s="201">
        <v>1</v>
      </c>
      <c r="S111" s="201"/>
    </row>
    <row r="112" spans="1:19" ht="18" customHeight="1" x14ac:dyDescent="0.35">
      <c r="A112" s="218">
        <v>6</v>
      </c>
      <c r="B112" s="219" t="str">
        <f>PETUNJUK!B14</f>
        <v>Pulodarat</v>
      </c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>
        <v>1</v>
      </c>
      <c r="R112" s="201">
        <v>4</v>
      </c>
      <c r="S112" s="201"/>
    </row>
    <row r="113" spans="1:19" ht="18" customHeight="1" x14ac:dyDescent="0.35">
      <c r="A113" s="218">
        <v>7</v>
      </c>
      <c r="B113" s="219" t="str">
        <f>PETUNJUK!B15</f>
        <v>Karangrandu</v>
      </c>
      <c r="C113" s="201"/>
      <c r="D113" s="201"/>
      <c r="E113" s="201"/>
      <c r="F113" s="201"/>
      <c r="G113" s="201"/>
      <c r="H113" s="201"/>
      <c r="I113" s="201"/>
      <c r="J113" s="201"/>
      <c r="K113" s="201"/>
      <c r="L113" s="201"/>
      <c r="M113" s="201"/>
      <c r="N113" s="201"/>
      <c r="O113" s="201"/>
      <c r="P113" s="201"/>
      <c r="Q113" s="201">
        <v>2</v>
      </c>
      <c r="R113" s="201">
        <v>2</v>
      </c>
      <c r="S113" s="201"/>
    </row>
    <row r="114" spans="1:19" ht="18" customHeight="1" x14ac:dyDescent="0.35">
      <c r="A114" s="218">
        <v>8</v>
      </c>
      <c r="B114" s="219" t="str">
        <f>PETUNJUK!B16</f>
        <v>Kaliombo</v>
      </c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>
        <v>0</v>
      </c>
      <c r="R114" s="201">
        <v>0</v>
      </c>
      <c r="S114" s="201"/>
    </row>
    <row r="115" spans="1:19" ht="18" customHeight="1" x14ac:dyDescent="0.35">
      <c r="A115" s="218">
        <v>9</v>
      </c>
      <c r="B115" s="219" t="str">
        <f>PETUNJUK!B17</f>
        <v>Gemulung</v>
      </c>
      <c r="C115" s="201"/>
      <c r="D115" s="201"/>
      <c r="E115" s="201"/>
      <c r="F115" s="201"/>
      <c r="G115" s="201"/>
      <c r="H115" s="201"/>
      <c r="I115" s="201"/>
      <c r="J115" s="201"/>
      <c r="K115" s="201"/>
      <c r="L115" s="201"/>
      <c r="M115" s="201"/>
      <c r="N115" s="201"/>
      <c r="O115" s="201"/>
      <c r="P115" s="201"/>
      <c r="Q115" s="201">
        <v>1</v>
      </c>
      <c r="R115" s="201">
        <v>1</v>
      </c>
      <c r="S115" s="201"/>
    </row>
    <row r="116" spans="1:19" ht="18" customHeight="1" x14ac:dyDescent="0.35">
      <c r="A116" s="218">
        <v>10</v>
      </c>
      <c r="B116" s="219" t="str">
        <f>PETUNJUK!B18</f>
        <v>Pecangaan Wetan</v>
      </c>
      <c r="C116" s="201"/>
      <c r="D116" s="201"/>
      <c r="E116" s="201"/>
      <c r="F116" s="201"/>
      <c r="G116" s="201"/>
      <c r="H116" s="201"/>
      <c r="I116" s="201"/>
      <c r="J116" s="201"/>
      <c r="K116" s="201"/>
      <c r="L116" s="201"/>
      <c r="M116" s="201"/>
      <c r="N116" s="201"/>
      <c r="O116" s="201"/>
      <c r="P116" s="201"/>
      <c r="Q116" s="201">
        <v>2</v>
      </c>
      <c r="R116" s="201">
        <v>1</v>
      </c>
      <c r="S116" s="201"/>
    </row>
    <row r="117" spans="1:19" ht="18" customHeight="1" x14ac:dyDescent="0.35">
      <c r="A117" s="218">
        <v>11</v>
      </c>
      <c r="B117" s="219" t="str">
        <f>PETUNJUK!B19</f>
        <v>Krasak</v>
      </c>
      <c r="C117" s="201"/>
      <c r="D117" s="201"/>
      <c r="E117" s="201"/>
      <c r="F117" s="201"/>
      <c r="G117" s="201"/>
      <c r="H117" s="201"/>
      <c r="I117" s="201"/>
      <c r="J117" s="201"/>
      <c r="K117" s="201"/>
      <c r="L117" s="201"/>
      <c r="M117" s="201"/>
      <c r="N117" s="201"/>
      <c r="O117" s="201"/>
      <c r="P117" s="201"/>
      <c r="Q117" s="201">
        <v>5</v>
      </c>
      <c r="R117" s="201">
        <v>1</v>
      </c>
      <c r="S117" s="201"/>
    </row>
    <row r="118" spans="1:19" ht="18" customHeight="1" x14ac:dyDescent="0.35">
      <c r="A118" s="218">
        <v>12</v>
      </c>
      <c r="B118" s="219" t="str">
        <f>PETUNJUK!B20</f>
        <v>Gerdu</v>
      </c>
      <c r="C118" s="201"/>
      <c r="D118" s="201"/>
      <c r="E118" s="201"/>
      <c r="F118" s="201"/>
      <c r="G118" s="201"/>
      <c r="H118" s="201"/>
      <c r="I118" s="201"/>
      <c r="J118" s="201"/>
      <c r="K118" s="201"/>
      <c r="L118" s="201"/>
      <c r="M118" s="201"/>
      <c r="N118" s="201"/>
      <c r="O118" s="201"/>
      <c r="P118" s="201"/>
      <c r="Q118" s="201">
        <v>0</v>
      </c>
      <c r="R118" s="201">
        <v>0</v>
      </c>
      <c r="S118" s="201"/>
    </row>
    <row r="119" spans="1:19" ht="18" customHeight="1" x14ac:dyDescent="0.35">
      <c r="A119" s="218">
        <v>13</v>
      </c>
      <c r="B119" s="219">
        <f>PETUNJUK!B21</f>
        <v>0</v>
      </c>
      <c r="C119" s="201"/>
      <c r="D119" s="201"/>
      <c r="E119" s="201"/>
      <c r="F119" s="201"/>
      <c r="G119" s="201"/>
      <c r="H119" s="201"/>
      <c r="I119" s="201"/>
      <c r="J119" s="201"/>
      <c r="K119" s="201"/>
      <c r="L119" s="201"/>
      <c r="M119" s="201"/>
      <c r="N119" s="201"/>
      <c r="O119" s="201"/>
      <c r="P119" s="201"/>
      <c r="Q119" s="201"/>
      <c r="R119" s="201"/>
      <c r="S119" s="201"/>
    </row>
    <row r="120" spans="1:19" ht="18" customHeight="1" x14ac:dyDescent="0.35">
      <c r="A120" s="218">
        <v>14</v>
      </c>
      <c r="B120" s="219">
        <f>PETUNJUK!B22</f>
        <v>0</v>
      </c>
      <c r="C120" s="201"/>
      <c r="D120" s="201"/>
      <c r="E120" s="201"/>
      <c r="F120" s="201"/>
      <c r="G120" s="201"/>
      <c r="H120" s="201"/>
      <c r="I120" s="201"/>
      <c r="J120" s="201"/>
      <c r="K120" s="201"/>
      <c r="L120" s="201"/>
      <c r="M120" s="201"/>
      <c r="N120" s="201"/>
      <c r="O120" s="201"/>
      <c r="P120" s="201"/>
      <c r="Q120" s="201"/>
      <c r="R120" s="201"/>
      <c r="S120" s="201"/>
    </row>
    <row r="121" spans="1:19" ht="18" customHeight="1" x14ac:dyDescent="0.35">
      <c r="A121" s="218">
        <v>15</v>
      </c>
      <c r="B121" s="219">
        <f>PETUNJUK!B23</f>
        <v>0</v>
      </c>
      <c r="C121" s="201"/>
      <c r="D121" s="201"/>
      <c r="E121" s="201"/>
      <c r="F121" s="201"/>
      <c r="G121" s="201"/>
      <c r="H121" s="201"/>
      <c r="I121" s="201"/>
      <c r="J121" s="201"/>
      <c r="K121" s="201"/>
      <c r="L121" s="201"/>
      <c r="M121" s="201"/>
      <c r="N121" s="201"/>
      <c r="O121" s="201"/>
      <c r="P121" s="201"/>
      <c r="Q121" s="201"/>
      <c r="R121" s="201"/>
      <c r="S121" s="201"/>
    </row>
    <row r="122" spans="1:19" ht="18" customHeight="1" x14ac:dyDescent="0.35">
      <c r="A122" s="218">
        <v>16</v>
      </c>
      <c r="B122" s="219">
        <f>PETUNJUK!B24</f>
        <v>0</v>
      </c>
      <c r="C122" s="201"/>
      <c r="D122" s="201"/>
      <c r="E122" s="201"/>
      <c r="F122" s="201"/>
      <c r="G122" s="201"/>
      <c r="H122" s="201"/>
      <c r="I122" s="201"/>
      <c r="J122" s="201"/>
      <c r="K122" s="201"/>
      <c r="L122" s="201"/>
      <c r="M122" s="201"/>
      <c r="N122" s="201"/>
      <c r="O122" s="201"/>
      <c r="P122" s="201"/>
      <c r="Q122" s="201"/>
      <c r="R122" s="201"/>
      <c r="S122" s="201"/>
    </row>
    <row r="123" spans="1:19" ht="18" customHeight="1" x14ac:dyDescent="0.35">
      <c r="A123" s="218">
        <v>17</v>
      </c>
      <c r="B123" s="219">
        <f>PETUNJUK!B25</f>
        <v>0</v>
      </c>
      <c r="C123" s="201"/>
      <c r="D123" s="201"/>
      <c r="E123" s="201"/>
      <c r="F123" s="201"/>
      <c r="G123" s="201"/>
      <c r="H123" s="201"/>
      <c r="I123" s="201"/>
      <c r="J123" s="201"/>
      <c r="K123" s="201"/>
      <c r="L123" s="201"/>
      <c r="M123" s="201"/>
      <c r="N123" s="201"/>
      <c r="O123" s="201"/>
      <c r="P123" s="201"/>
      <c r="Q123" s="201"/>
      <c r="R123" s="201"/>
      <c r="S123" s="201"/>
    </row>
    <row r="124" spans="1:19" ht="18" customHeight="1" x14ac:dyDescent="0.35">
      <c r="A124" s="218">
        <v>18</v>
      </c>
      <c r="B124" s="219">
        <f>PETUNJUK!B26</f>
        <v>0</v>
      </c>
      <c r="C124" s="201"/>
      <c r="D124" s="201"/>
      <c r="E124" s="201"/>
      <c r="F124" s="201"/>
      <c r="G124" s="201"/>
      <c r="H124" s="201"/>
      <c r="I124" s="201"/>
      <c r="J124" s="201"/>
      <c r="K124" s="201"/>
      <c r="L124" s="201"/>
      <c r="M124" s="201"/>
      <c r="N124" s="201"/>
      <c r="O124" s="201"/>
      <c r="P124" s="201"/>
      <c r="Q124" s="201"/>
      <c r="R124" s="201"/>
      <c r="S124" s="201"/>
    </row>
    <row r="125" spans="1:19" ht="18" customHeight="1" x14ac:dyDescent="0.35">
      <c r="A125" s="218">
        <v>19</v>
      </c>
      <c r="B125" s="219">
        <f>PETUNJUK!B27</f>
        <v>0</v>
      </c>
      <c r="C125" s="201"/>
      <c r="D125" s="201"/>
      <c r="E125" s="201"/>
      <c r="F125" s="201"/>
      <c r="G125" s="201"/>
      <c r="H125" s="201"/>
      <c r="I125" s="201"/>
      <c r="J125" s="201"/>
      <c r="K125" s="201"/>
      <c r="L125" s="201"/>
      <c r="M125" s="201"/>
      <c r="N125" s="201"/>
      <c r="O125" s="201"/>
      <c r="P125" s="201"/>
      <c r="Q125" s="201"/>
      <c r="R125" s="201"/>
      <c r="S125" s="201"/>
    </row>
    <row r="126" spans="1:19" ht="18" customHeight="1" x14ac:dyDescent="0.35">
      <c r="A126" s="218">
        <v>20</v>
      </c>
      <c r="B126" s="219">
        <f>PETUNJUK!B28</f>
        <v>0</v>
      </c>
      <c r="C126" s="201"/>
      <c r="D126" s="201"/>
      <c r="E126" s="201"/>
      <c r="F126" s="201"/>
      <c r="G126" s="201"/>
      <c r="H126" s="201"/>
      <c r="I126" s="201"/>
      <c r="J126" s="201"/>
      <c r="K126" s="201"/>
      <c r="L126" s="201"/>
      <c r="M126" s="201"/>
      <c r="N126" s="201"/>
      <c r="O126" s="201"/>
      <c r="P126" s="201"/>
      <c r="Q126" s="201"/>
      <c r="R126" s="201"/>
      <c r="S126" s="201"/>
    </row>
    <row r="127" spans="1:19" ht="18" customHeight="1" x14ac:dyDescent="0.35">
      <c r="A127" s="218">
        <v>21</v>
      </c>
      <c r="B127" s="219">
        <f>PETUNJUK!B29</f>
        <v>0</v>
      </c>
      <c r="C127" s="201"/>
      <c r="D127" s="201"/>
      <c r="E127" s="201"/>
      <c r="F127" s="201"/>
      <c r="G127" s="201"/>
      <c r="H127" s="201"/>
      <c r="I127" s="201"/>
      <c r="J127" s="201"/>
      <c r="K127" s="201"/>
      <c r="L127" s="201"/>
      <c r="M127" s="201"/>
      <c r="N127" s="201"/>
      <c r="O127" s="201"/>
      <c r="P127" s="201"/>
      <c r="Q127" s="201"/>
      <c r="R127" s="201"/>
      <c r="S127" s="201"/>
    </row>
    <row r="128" spans="1:19" ht="18" customHeight="1" thickBot="1" x14ac:dyDescent="0.4">
      <c r="A128" s="247">
        <v>22</v>
      </c>
      <c r="B128" s="248">
        <f>PETUNJUK!B30</f>
        <v>0</v>
      </c>
      <c r="C128" s="249"/>
      <c r="D128" s="249"/>
      <c r="E128" s="249"/>
      <c r="F128" s="249"/>
      <c r="G128" s="249"/>
      <c r="H128" s="249"/>
      <c r="I128" s="249"/>
      <c r="J128" s="249"/>
      <c r="K128" s="249"/>
      <c r="L128" s="249"/>
      <c r="M128" s="249"/>
      <c r="N128" s="249"/>
      <c r="O128" s="249"/>
      <c r="P128" s="249"/>
      <c r="Q128" s="249"/>
      <c r="R128" s="249"/>
      <c r="S128" s="249"/>
    </row>
    <row r="129" spans="1:19" ht="18" customHeight="1" thickBot="1" x14ac:dyDescent="0.4">
      <c r="A129" s="928" t="s">
        <v>18</v>
      </c>
      <c r="B129" s="929"/>
      <c r="C129" s="252">
        <f>SUM(C107:C128)</f>
        <v>0</v>
      </c>
      <c r="D129" s="252">
        <f t="shared" ref="D129:R129" si="3">SUM(D107:D128)</f>
        <v>0</v>
      </c>
      <c r="E129" s="252">
        <f t="shared" si="3"/>
        <v>0</v>
      </c>
      <c r="F129" s="252">
        <f t="shared" si="3"/>
        <v>0</v>
      </c>
      <c r="G129" s="252">
        <f t="shared" si="3"/>
        <v>1</v>
      </c>
      <c r="H129" s="252">
        <f t="shared" si="3"/>
        <v>0</v>
      </c>
      <c r="I129" s="252">
        <f t="shared" si="3"/>
        <v>0</v>
      </c>
      <c r="J129" s="252">
        <f t="shared" si="3"/>
        <v>0</v>
      </c>
      <c r="K129" s="252">
        <f t="shared" si="3"/>
        <v>0</v>
      </c>
      <c r="L129" s="252">
        <f t="shared" si="3"/>
        <v>0</v>
      </c>
      <c r="M129" s="252">
        <f t="shared" si="3"/>
        <v>0</v>
      </c>
      <c r="N129" s="252">
        <f t="shared" si="3"/>
        <v>0</v>
      </c>
      <c r="O129" s="252">
        <f t="shared" si="3"/>
        <v>0</v>
      </c>
      <c r="P129" s="252">
        <f t="shared" si="3"/>
        <v>0</v>
      </c>
      <c r="Q129" s="252">
        <f t="shared" si="3"/>
        <v>24</v>
      </c>
      <c r="R129" s="252">
        <f t="shared" si="3"/>
        <v>20</v>
      </c>
      <c r="S129" s="251"/>
    </row>
    <row r="130" spans="1:19" ht="15.5" x14ac:dyDescent="0.35">
      <c r="A130" s="223"/>
      <c r="B130" s="224"/>
      <c r="C130" s="236"/>
      <c r="D130" s="236"/>
      <c r="E130" s="236"/>
      <c r="F130" s="204"/>
      <c r="G130" s="204"/>
      <c r="H130" s="204"/>
      <c r="I130" s="204"/>
      <c r="J130" s="235"/>
      <c r="K130" s="235"/>
      <c r="L130" s="235"/>
      <c r="M130" s="235"/>
      <c r="N130" s="235"/>
      <c r="O130" s="235"/>
      <c r="P130" s="232"/>
      <c r="Q130" s="232"/>
      <c r="R130" s="232"/>
      <c r="S130" s="232"/>
    </row>
    <row r="131" spans="1:19" ht="15.5" x14ac:dyDescent="0.35">
      <c r="A131" s="222"/>
      <c r="B131" s="221"/>
      <c r="C131" s="203"/>
      <c r="D131" s="203"/>
      <c r="E131" s="203"/>
      <c r="F131" s="204"/>
      <c r="G131" s="204"/>
      <c r="H131" s="204"/>
      <c r="I131" s="204"/>
      <c r="J131" s="235"/>
      <c r="K131" s="235"/>
      <c r="L131" s="235"/>
      <c r="M131" s="235"/>
      <c r="N131" s="235"/>
      <c r="O131" s="235"/>
      <c r="P131" s="232"/>
      <c r="Q131" s="232"/>
      <c r="R131" s="232"/>
      <c r="S131" s="232"/>
    </row>
    <row r="132" spans="1:19" ht="15.5" x14ac:dyDescent="0.35">
      <c r="A132" s="220"/>
      <c r="B132" s="221"/>
      <c r="C132" s="202"/>
      <c r="D132" s="202"/>
      <c r="E132" s="202"/>
      <c r="F132" s="204"/>
      <c r="G132" s="204"/>
      <c r="H132" s="204"/>
      <c r="I132" s="204"/>
      <c r="J132" s="234"/>
      <c r="K132" s="234"/>
      <c r="L132" s="234"/>
      <c r="M132" s="234"/>
      <c r="N132" s="234"/>
      <c r="O132" s="234"/>
      <c r="P132" s="232"/>
      <c r="Q132" s="232"/>
      <c r="R132" s="232"/>
      <c r="S132" s="232"/>
    </row>
    <row r="133" spans="1:19" ht="15.5" x14ac:dyDescent="0.35">
      <c r="A133" s="930" t="s">
        <v>102</v>
      </c>
      <c r="B133" s="930"/>
      <c r="C133" s="930"/>
      <c r="D133" s="930"/>
      <c r="E133" s="930"/>
      <c r="F133" s="930"/>
      <c r="G133" s="930"/>
      <c r="H133" s="930"/>
      <c r="I133" s="930"/>
      <c r="J133" s="930"/>
      <c r="K133" s="930"/>
      <c r="L133" s="930"/>
      <c r="M133" s="930"/>
      <c r="N133" s="930"/>
      <c r="O133" s="930"/>
      <c r="P133" s="930"/>
      <c r="Q133" s="930"/>
      <c r="R133" s="930"/>
      <c r="S133" s="930"/>
    </row>
    <row r="134" spans="1:19" ht="15.5" x14ac:dyDescent="0.35">
      <c r="A134" s="213"/>
      <c r="B134" s="213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226"/>
    </row>
    <row r="135" spans="1:19" ht="15.5" x14ac:dyDescent="0.35">
      <c r="A135" s="244" t="s">
        <v>189</v>
      </c>
      <c r="B135" s="244"/>
      <c r="C135" s="197" t="str">
        <f>PETUNJUK!C5</f>
        <v>PECANGAAN</v>
      </c>
      <c r="D135" s="198"/>
      <c r="E135" s="229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226"/>
    </row>
    <row r="136" spans="1:19" ht="15.5" x14ac:dyDescent="0.35">
      <c r="A136" s="244" t="s">
        <v>369</v>
      </c>
      <c r="B136" s="244"/>
      <c r="C136" s="245" t="s">
        <v>385</v>
      </c>
      <c r="D136" s="198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226"/>
    </row>
    <row r="137" spans="1:19" ht="15.5" x14ac:dyDescent="0.35">
      <c r="A137" s="217"/>
      <c r="B137" s="217"/>
      <c r="C137" s="231"/>
      <c r="D137" s="231"/>
      <c r="E137" s="229"/>
      <c r="F137" s="229"/>
      <c r="G137" s="229"/>
      <c r="H137" s="229"/>
      <c r="I137" s="229"/>
      <c r="J137" s="229"/>
      <c r="K137" s="229"/>
      <c r="L137" s="229"/>
      <c r="M137" s="229"/>
      <c r="N137" s="229"/>
      <c r="O137" s="229"/>
      <c r="P137" s="229"/>
      <c r="Q137" s="229"/>
      <c r="R137" s="229"/>
      <c r="S137" s="226"/>
    </row>
    <row r="138" spans="1:19" ht="18" customHeight="1" x14ac:dyDescent="0.35">
      <c r="A138" s="931" t="s">
        <v>1</v>
      </c>
      <c r="B138" s="931" t="s">
        <v>2</v>
      </c>
      <c r="C138" s="933" t="s">
        <v>45</v>
      </c>
      <c r="D138" s="934"/>
      <c r="E138" s="933" t="s">
        <v>103</v>
      </c>
      <c r="F138" s="934"/>
      <c r="G138" s="933" t="s">
        <v>104</v>
      </c>
      <c r="H138" s="934"/>
      <c r="I138" s="933" t="s">
        <v>105</v>
      </c>
      <c r="J138" s="934"/>
      <c r="K138" s="933" t="s">
        <v>106</v>
      </c>
      <c r="L138" s="934"/>
      <c r="M138" s="933" t="s">
        <v>107</v>
      </c>
      <c r="N138" s="934"/>
      <c r="O138" s="933" t="s">
        <v>108</v>
      </c>
      <c r="P138" s="934"/>
      <c r="Q138" s="933" t="s">
        <v>109</v>
      </c>
      <c r="R138" s="934"/>
      <c r="S138" s="935" t="s">
        <v>25</v>
      </c>
    </row>
    <row r="139" spans="1:19" ht="18" customHeight="1" x14ac:dyDescent="0.35">
      <c r="A139" s="932"/>
      <c r="B139" s="932"/>
      <c r="C139" s="246" t="s">
        <v>110</v>
      </c>
      <c r="D139" s="246" t="s">
        <v>111</v>
      </c>
      <c r="E139" s="246" t="s">
        <v>110</v>
      </c>
      <c r="F139" s="246" t="s">
        <v>111</v>
      </c>
      <c r="G139" s="246" t="s">
        <v>110</v>
      </c>
      <c r="H139" s="246" t="s">
        <v>111</v>
      </c>
      <c r="I139" s="246" t="s">
        <v>110</v>
      </c>
      <c r="J139" s="246" t="s">
        <v>111</v>
      </c>
      <c r="K139" s="246" t="s">
        <v>110</v>
      </c>
      <c r="L139" s="246" t="s">
        <v>111</v>
      </c>
      <c r="M139" s="246" t="s">
        <v>110</v>
      </c>
      <c r="N139" s="246" t="s">
        <v>111</v>
      </c>
      <c r="O139" s="246" t="s">
        <v>110</v>
      </c>
      <c r="P139" s="246" t="s">
        <v>111</v>
      </c>
      <c r="Q139" s="246" t="s">
        <v>110</v>
      </c>
      <c r="R139" s="246" t="s">
        <v>111</v>
      </c>
      <c r="S139" s="936"/>
    </row>
    <row r="140" spans="1:19" ht="18" customHeight="1" x14ac:dyDescent="0.35">
      <c r="A140" s="218">
        <v>1</v>
      </c>
      <c r="B140" s="219" t="str">
        <f>PETUNJUK!B9</f>
        <v>Pecangaan Kulon</v>
      </c>
      <c r="C140" s="201"/>
      <c r="D140" s="201"/>
      <c r="E140" s="201"/>
      <c r="F140" s="201"/>
      <c r="G140" s="201"/>
      <c r="H140" s="201"/>
      <c r="I140" s="201"/>
      <c r="J140" s="201"/>
      <c r="K140" s="201"/>
      <c r="L140" s="201"/>
      <c r="M140" s="201"/>
      <c r="N140" s="201"/>
      <c r="O140" s="201"/>
      <c r="P140" s="201"/>
      <c r="Q140" s="201"/>
      <c r="R140" s="201"/>
      <c r="S140" s="201"/>
    </row>
    <row r="141" spans="1:19" ht="18" customHeight="1" x14ac:dyDescent="0.35">
      <c r="A141" s="218">
        <v>2</v>
      </c>
      <c r="B141" s="219" t="str">
        <f>PETUNJUK!B10</f>
        <v>Rengging</v>
      </c>
      <c r="C141" s="201"/>
      <c r="D141" s="201"/>
      <c r="E141" s="201"/>
      <c r="F141" s="201"/>
      <c r="G141" s="201"/>
      <c r="H141" s="201"/>
      <c r="I141" s="201"/>
      <c r="J141" s="201"/>
      <c r="K141" s="201"/>
      <c r="L141" s="201"/>
      <c r="M141" s="201"/>
      <c r="N141" s="201"/>
      <c r="O141" s="201"/>
      <c r="P141" s="201"/>
      <c r="Q141" s="201"/>
      <c r="R141" s="201"/>
      <c r="S141" s="201"/>
    </row>
    <row r="142" spans="1:19" ht="18" customHeight="1" x14ac:dyDescent="0.35">
      <c r="A142" s="218">
        <v>3</v>
      </c>
      <c r="B142" s="219" t="str">
        <f>PETUNJUK!B11</f>
        <v>Troso</v>
      </c>
      <c r="C142" s="201"/>
      <c r="D142" s="201"/>
      <c r="E142" s="201"/>
      <c r="F142" s="201"/>
      <c r="G142" s="201"/>
      <c r="H142" s="201"/>
      <c r="I142" s="201"/>
      <c r="J142" s="201"/>
      <c r="K142" s="201"/>
      <c r="L142" s="201"/>
      <c r="M142" s="201"/>
      <c r="N142" s="201"/>
      <c r="O142" s="201"/>
      <c r="P142" s="201"/>
      <c r="Q142" s="201"/>
      <c r="R142" s="201"/>
      <c r="S142" s="201"/>
    </row>
    <row r="143" spans="1:19" ht="18" customHeight="1" x14ac:dyDescent="0.35">
      <c r="A143" s="218">
        <v>4</v>
      </c>
      <c r="B143" s="219" t="str">
        <f>PETUNJUK!B12</f>
        <v>Ngeling</v>
      </c>
      <c r="C143" s="201"/>
      <c r="D143" s="201"/>
      <c r="E143" s="201"/>
      <c r="F143" s="201"/>
      <c r="G143" s="201"/>
      <c r="H143" s="201"/>
      <c r="I143" s="201"/>
      <c r="J143" s="201"/>
      <c r="K143" s="201"/>
      <c r="L143" s="201"/>
      <c r="M143" s="201"/>
      <c r="N143" s="201"/>
      <c r="O143" s="201"/>
      <c r="P143" s="201"/>
      <c r="Q143" s="201"/>
      <c r="R143" s="201"/>
      <c r="S143" s="201"/>
    </row>
    <row r="144" spans="1:19" ht="18" customHeight="1" x14ac:dyDescent="0.35">
      <c r="A144" s="218">
        <v>5</v>
      </c>
      <c r="B144" s="219" t="str">
        <f>PETUNJUK!B13</f>
        <v>Lebuawu</v>
      </c>
      <c r="C144" s="201"/>
      <c r="D144" s="201"/>
      <c r="E144" s="201"/>
      <c r="F144" s="201"/>
      <c r="G144" s="201"/>
      <c r="H144" s="201"/>
      <c r="I144" s="201"/>
      <c r="J144" s="201"/>
      <c r="K144" s="201"/>
      <c r="L144" s="201"/>
      <c r="M144" s="201"/>
      <c r="N144" s="201"/>
      <c r="O144" s="201"/>
      <c r="P144" s="201"/>
      <c r="Q144" s="201"/>
      <c r="R144" s="201"/>
      <c r="S144" s="201"/>
    </row>
    <row r="145" spans="1:19" ht="18" customHeight="1" x14ac:dyDescent="0.35">
      <c r="A145" s="218">
        <v>6</v>
      </c>
      <c r="B145" s="219" t="str">
        <f>PETUNJUK!B14</f>
        <v>Pulodarat</v>
      </c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</row>
    <row r="146" spans="1:19" ht="18" customHeight="1" x14ac:dyDescent="0.35">
      <c r="A146" s="218">
        <v>7</v>
      </c>
      <c r="B146" s="219" t="str">
        <f>PETUNJUK!B15</f>
        <v>Karangrandu</v>
      </c>
      <c r="C146" s="201"/>
      <c r="D146" s="201"/>
      <c r="E146" s="201"/>
      <c r="F146" s="201"/>
      <c r="G146" s="201"/>
      <c r="H146" s="201"/>
      <c r="I146" s="201"/>
      <c r="J146" s="201"/>
      <c r="K146" s="201"/>
      <c r="L146" s="201"/>
      <c r="M146" s="201"/>
      <c r="N146" s="201"/>
      <c r="O146" s="201"/>
      <c r="P146" s="201"/>
      <c r="Q146" s="201"/>
      <c r="R146" s="201"/>
      <c r="S146" s="201"/>
    </row>
    <row r="147" spans="1:19" ht="18" customHeight="1" x14ac:dyDescent="0.35">
      <c r="A147" s="218">
        <v>8</v>
      </c>
      <c r="B147" s="219" t="str">
        <f>PETUNJUK!B16</f>
        <v>Kaliombo</v>
      </c>
      <c r="C147" s="201"/>
      <c r="D147" s="201"/>
      <c r="E147" s="201"/>
      <c r="F147" s="201"/>
      <c r="G147" s="201"/>
      <c r="H147" s="201"/>
      <c r="I147" s="201"/>
      <c r="J147" s="201"/>
      <c r="K147" s="201"/>
      <c r="L147" s="201"/>
      <c r="M147" s="201"/>
      <c r="N147" s="201"/>
      <c r="O147" s="201"/>
      <c r="P147" s="201"/>
      <c r="Q147" s="201"/>
      <c r="R147" s="201"/>
      <c r="S147" s="201"/>
    </row>
    <row r="148" spans="1:19" ht="18" customHeight="1" x14ac:dyDescent="0.35">
      <c r="A148" s="218">
        <v>9</v>
      </c>
      <c r="B148" s="219" t="str">
        <f>PETUNJUK!B17</f>
        <v>Gemulung</v>
      </c>
      <c r="C148" s="201"/>
      <c r="D148" s="201"/>
      <c r="E148" s="201"/>
      <c r="F148" s="201"/>
      <c r="G148" s="201"/>
      <c r="H148" s="201"/>
      <c r="I148" s="201"/>
      <c r="J148" s="201"/>
      <c r="K148" s="201"/>
      <c r="L148" s="201"/>
      <c r="M148" s="201"/>
      <c r="N148" s="201"/>
      <c r="O148" s="201"/>
      <c r="P148" s="201"/>
      <c r="Q148" s="201"/>
      <c r="R148" s="201"/>
      <c r="S148" s="201"/>
    </row>
    <row r="149" spans="1:19" ht="18" customHeight="1" x14ac:dyDescent="0.35">
      <c r="A149" s="218">
        <v>10</v>
      </c>
      <c r="B149" s="219" t="str">
        <f>PETUNJUK!B18</f>
        <v>Pecangaan Wetan</v>
      </c>
      <c r="C149" s="201"/>
      <c r="D149" s="201"/>
      <c r="E149" s="201"/>
      <c r="F149" s="201"/>
      <c r="G149" s="201"/>
      <c r="H149" s="201"/>
      <c r="I149" s="201"/>
      <c r="J149" s="201"/>
      <c r="K149" s="201"/>
      <c r="L149" s="201"/>
      <c r="M149" s="201"/>
      <c r="N149" s="201"/>
      <c r="O149" s="201"/>
      <c r="P149" s="201"/>
      <c r="Q149" s="201"/>
      <c r="R149" s="201"/>
      <c r="S149" s="201"/>
    </row>
    <row r="150" spans="1:19" ht="18" customHeight="1" x14ac:dyDescent="0.35">
      <c r="A150" s="218">
        <v>11</v>
      </c>
      <c r="B150" s="219" t="str">
        <f>PETUNJUK!B19</f>
        <v>Krasak</v>
      </c>
      <c r="C150" s="201"/>
      <c r="D150" s="201"/>
      <c r="E150" s="201"/>
      <c r="F150" s="201"/>
      <c r="G150" s="201"/>
      <c r="H150" s="201"/>
      <c r="I150" s="201"/>
      <c r="J150" s="201"/>
      <c r="K150" s="201"/>
      <c r="L150" s="201"/>
      <c r="M150" s="201"/>
      <c r="N150" s="201"/>
      <c r="O150" s="201"/>
      <c r="P150" s="201"/>
      <c r="Q150" s="201"/>
      <c r="R150" s="201"/>
      <c r="S150" s="201"/>
    </row>
    <row r="151" spans="1:19" ht="18" customHeight="1" x14ac:dyDescent="0.35">
      <c r="A151" s="218">
        <v>12</v>
      </c>
      <c r="B151" s="219" t="str">
        <f>PETUNJUK!B20</f>
        <v>Gerdu</v>
      </c>
      <c r="C151" s="201"/>
      <c r="D151" s="201"/>
      <c r="E151" s="201"/>
      <c r="F151" s="201"/>
      <c r="G151" s="201"/>
      <c r="H151" s="201"/>
      <c r="I151" s="201"/>
      <c r="J151" s="201"/>
      <c r="K151" s="201"/>
      <c r="L151" s="201"/>
      <c r="M151" s="201"/>
      <c r="N151" s="201"/>
      <c r="O151" s="201"/>
      <c r="P151" s="201"/>
      <c r="Q151" s="201"/>
      <c r="R151" s="201"/>
      <c r="S151" s="201"/>
    </row>
    <row r="152" spans="1:19" ht="18" customHeight="1" x14ac:dyDescent="0.35">
      <c r="A152" s="218">
        <v>13</v>
      </c>
      <c r="B152" s="219">
        <f>PETUNJUK!B21</f>
        <v>0</v>
      </c>
      <c r="C152" s="201"/>
      <c r="D152" s="201"/>
      <c r="E152" s="201"/>
      <c r="F152" s="201"/>
      <c r="G152" s="201"/>
      <c r="H152" s="201"/>
      <c r="I152" s="201"/>
      <c r="J152" s="201"/>
      <c r="K152" s="201"/>
      <c r="L152" s="201"/>
      <c r="M152" s="201"/>
      <c r="N152" s="201"/>
      <c r="O152" s="201"/>
      <c r="P152" s="201"/>
      <c r="Q152" s="201"/>
      <c r="R152" s="201"/>
      <c r="S152" s="201"/>
    </row>
    <row r="153" spans="1:19" ht="18" customHeight="1" x14ac:dyDescent="0.35">
      <c r="A153" s="218">
        <v>14</v>
      </c>
      <c r="B153" s="219">
        <f>PETUNJUK!B22</f>
        <v>0</v>
      </c>
      <c r="C153" s="201"/>
      <c r="D153" s="201"/>
      <c r="E153" s="201"/>
      <c r="F153" s="201"/>
      <c r="G153" s="201"/>
      <c r="H153" s="201"/>
      <c r="I153" s="201"/>
      <c r="J153" s="201"/>
      <c r="K153" s="201"/>
      <c r="L153" s="201"/>
      <c r="M153" s="201"/>
      <c r="N153" s="201"/>
      <c r="O153" s="201"/>
      <c r="P153" s="201"/>
      <c r="Q153" s="201"/>
      <c r="R153" s="201"/>
      <c r="S153" s="201"/>
    </row>
    <row r="154" spans="1:19" ht="18" customHeight="1" x14ac:dyDescent="0.35">
      <c r="A154" s="218">
        <v>15</v>
      </c>
      <c r="B154" s="219">
        <f>PETUNJUK!B23</f>
        <v>0</v>
      </c>
      <c r="C154" s="201"/>
      <c r="D154" s="201"/>
      <c r="E154" s="201"/>
      <c r="F154" s="201"/>
      <c r="G154" s="201"/>
      <c r="H154" s="201"/>
      <c r="I154" s="201"/>
      <c r="J154" s="201"/>
      <c r="K154" s="201"/>
      <c r="L154" s="201"/>
      <c r="M154" s="201"/>
      <c r="N154" s="201"/>
      <c r="O154" s="201"/>
      <c r="P154" s="201"/>
      <c r="Q154" s="201"/>
      <c r="R154" s="201"/>
      <c r="S154" s="201"/>
    </row>
    <row r="155" spans="1:19" ht="18" customHeight="1" x14ac:dyDescent="0.35">
      <c r="A155" s="218">
        <v>16</v>
      </c>
      <c r="B155" s="219">
        <f>PETUNJUK!B24</f>
        <v>0</v>
      </c>
      <c r="C155" s="201"/>
      <c r="D155" s="201"/>
      <c r="E155" s="201"/>
      <c r="F155" s="201"/>
      <c r="G155" s="201"/>
      <c r="H155" s="201"/>
      <c r="I155" s="201"/>
      <c r="J155" s="201"/>
      <c r="K155" s="201"/>
      <c r="L155" s="201"/>
      <c r="M155" s="201"/>
      <c r="N155" s="201"/>
      <c r="O155" s="201"/>
      <c r="P155" s="201"/>
      <c r="Q155" s="201"/>
      <c r="R155" s="201"/>
      <c r="S155" s="201"/>
    </row>
    <row r="156" spans="1:19" ht="18" customHeight="1" x14ac:dyDescent="0.35">
      <c r="A156" s="218">
        <v>17</v>
      </c>
      <c r="B156" s="219">
        <f>PETUNJUK!B25</f>
        <v>0</v>
      </c>
      <c r="C156" s="201"/>
      <c r="D156" s="201"/>
      <c r="E156" s="201"/>
      <c r="F156" s="201"/>
      <c r="G156" s="201"/>
      <c r="H156" s="201"/>
      <c r="I156" s="201"/>
      <c r="J156" s="201"/>
      <c r="K156" s="201"/>
      <c r="L156" s="201"/>
      <c r="M156" s="201"/>
      <c r="N156" s="201"/>
      <c r="O156" s="201"/>
      <c r="P156" s="201"/>
      <c r="Q156" s="201"/>
      <c r="R156" s="201"/>
      <c r="S156" s="201"/>
    </row>
    <row r="157" spans="1:19" ht="18" customHeight="1" x14ac:dyDescent="0.35">
      <c r="A157" s="218">
        <v>18</v>
      </c>
      <c r="B157" s="219">
        <f>PETUNJUK!B26</f>
        <v>0</v>
      </c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</row>
    <row r="158" spans="1:19" ht="18" customHeight="1" x14ac:dyDescent="0.35">
      <c r="A158" s="218">
        <v>19</v>
      </c>
      <c r="B158" s="219">
        <f>PETUNJUK!B27</f>
        <v>0</v>
      </c>
      <c r="C158" s="201"/>
      <c r="D158" s="201"/>
      <c r="E158" s="201"/>
      <c r="F158" s="201"/>
      <c r="G158" s="201"/>
      <c r="H158" s="201"/>
      <c r="I158" s="201"/>
      <c r="J158" s="201"/>
      <c r="K158" s="201"/>
      <c r="L158" s="201"/>
      <c r="M158" s="201"/>
      <c r="N158" s="201"/>
      <c r="O158" s="201"/>
      <c r="P158" s="201"/>
      <c r="Q158" s="201"/>
      <c r="R158" s="201"/>
      <c r="S158" s="201"/>
    </row>
    <row r="159" spans="1:19" ht="18" customHeight="1" x14ac:dyDescent="0.35">
      <c r="A159" s="218">
        <v>20</v>
      </c>
      <c r="B159" s="219">
        <f>PETUNJUK!B28</f>
        <v>0</v>
      </c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</row>
    <row r="160" spans="1:19" ht="18" customHeight="1" x14ac:dyDescent="0.35">
      <c r="A160" s="218">
        <v>21</v>
      </c>
      <c r="B160" s="219">
        <f>PETUNJUK!B29</f>
        <v>0</v>
      </c>
      <c r="C160" s="201"/>
      <c r="D160" s="201"/>
      <c r="E160" s="201"/>
      <c r="F160" s="201"/>
      <c r="G160" s="201"/>
      <c r="H160" s="201"/>
      <c r="I160" s="201"/>
      <c r="J160" s="201"/>
      <c r="K160" s="201"/>
      <c r="L160" s="201"/>
      <c r="M160" s="201"/>
      <c r="N160" s="201"/>
      <c r="O160" s="201"/>
      <c r="P160" s="201"/>
      <c r="Q160" s="201"/>
      <c r="R160" s="201"/>
      <c r="S160" s="201"/>
    </row>
    <row r="161" spans="1:19" ht="18" customHeight="1" thickBot="1" x14ac:dyDescent="0.4">
      <c r="A161" s="247">
        <v>22</v>
      </c>
      <c r="B161" s="248">
        <f>PETUNJUK!B30</f>
        <v>0</v>
      </c>
      <c r="C161" s="249"/>
      <c r="D161" s="249"/>
      <c r="E161" s="249"/>
      <c r="F161" s="249"/>
      <c r="G161" s="249"/>
      <c r="H161" s="249"/>
      <c r="I161" s="249"/>
      <c r="J161" s="249"/>
      <c r="K161" s="249"/>
      <c r="L161" s="249"/>
      <c r="M161" s="249"/>
      <c r="N161" s="249"/>
      <c r="O161" s="249"/>
      <c r="P161" s="249"/>
      <c r="Q161" s="249"/>
      <c r="R161" s="249"/>
      <c r="S161" s="249"/>
    </row>
    <row r="162" spans="1:19" ht="18" customHeight="1" thickBot="1" x14ac:dyDescent="0.4">
      <c r="A162" s="928" t="s">
        <v>18</v>
      </c>
      <c r="B162" s="929"/>
      <c r="C162" s="252">
        <f>SUM(C140:C161)</f>
        <v>0</v>
      </c>
      <c r="D162" s="252">
        <f t="shared" ref="D162:R162" si="4">SUM(D140:D161)</f>
        <v>0</v>
      </c>
      <c r="E162" s="252">
        <f t="shared" si="4"/>
        <v>0</v>
      </c>
      <c r="F162" s="252">
        <f t="shared" si="4"/>
        <v>0</v>
      </c>
      <c r="G162" s="252">
        <f t="shared" si="4"/>
        <v>0</v>
      </c>
      <c r="H162" s="252">
        <f t="shared" si="4"/>
        <v>0</v>
      </c>
      <c r="I162" s="252">
        <f t="shared" si="4"/>
        <v>0</v>
      </c>
      <c r="J162" s="252">
        <f t="shared" si="4"/>
        <v>0</v>
      </c>
      <c r="K162" s="252">
        <f t="shared" si="4"/>
        <v>0</v>
      </c>
      <c r="L162" s="252">
        <f t="shared" si="4"/>
        <v>0</v>
      </c>
      <c r="M162" s="252">
        <f t="shared" si="4"/>
        <v>0</v>
      </c>
      <c r="N162" s="252">
        <f t="shared" si="4"/>
        <v>0</v>
      </c>
      <c r="O162" s="252">
        <f t="shared" si="4"/>
        <v>0</v>
      </c>
      <c r="P162" s="252">
        <f t="shared" si="4"/>
        <v>0</v>
      </c>
      <c r="Q162" s="252">
        <f t="shared" si="4"/>
        <v>0</v>
      </c>
      <c r="R162" s="252">
        <f t="shared" si="4"/>
        <v>0</v>
      </c>
      <c r="S162" s="251"/>
    </row>
    <row r="163" spans="1:19" ht="15.5" x14ac:dyDescent="0.35">
      <c r="A163" s="222"/>
      <c r="B163" s="945"/>
      <c r="C163" s="945"/>
      <c r="D163" s="945"/>
      <c r="E163" s="945"/>
      <c r="F163" s="232"/>
      <c r="G163" s="232"/>
      <c r="H163" s="204"/>
      <c r="I163" s="204"/>
      <c r="J163" s="235"/>
      <c r="K163" s="235"/>
      <c r="L163" s="235"/>
      <c r="M163" s="235"/>
      <c r="N163" s="235"/>
      <c r="O163" s="938"/>
      <c r="P163" s="938"/>
      <c r="Q163" s="938"/>
      <c r="R163" s="938"/>
      <c r="S163" s="232"/>
    </row>
    <row r="164" spans="1:19" ht="15.5" x14ac:dyDescent="0.35">
      <c r="A164" s="223"/>
      <c r="B164" s="224"/>
      <c r="C164" s="236"/>
      <c r="D164" s="236"/>
      <c r="E164" s="236"/>
      <c r="F164" s="204"/>
      <c r="G164" s="204"/>
      <c r="H164" s="204"/>
      <c r="I164" s="204"/>
      <c r="J164" s="235"/>
      <c r="K164" s="235"/>
      <c r="L164" s="235"/>
      <c r="M164" s="235"/>
      <c r="N164" s="235"/>
      <c r="O164" s="235"/>
      <c r="P164" s="232"/>
      <c r="Q164" s="232"/>
      <c r="R164" s="232"/>
      <c r="S164" s="232"/>
    </row>
    <row r="165" spans="1:19" ht="15.5" x14ac:dyDescent="0.35">
      <c r="A165" s="222"/>
      <c r="B165" s="221"/>
      <c r="C165" s="203"/>
      <c r="D165" s="203"/>
      <c r="E165" s="203"/>
      <c r="F165" s="204"/>
      <c r="G165" s="204"/>
      <c r="H165" s="204"/>
      <c r="I165" s="204"/>
      <c r="J165" s="235"/>
      <c r="K165" s="235"/>
      <c r="L165" s="235"/>
      <c r="M165" s="235"/>
      <c r="N165" s="235"/>
      <c r="O165" s="235"/>
      <c r="P165" s="232"/>
      <c r="Q165" s="232"/>
      <c r="R165" s="232"/>
      <c r="S165" s="232"/>
    </row>
    <row r="166" spans="1:19" ht="15.5" x14ac:dyDescent="0.35">
      <c r="A166" s="930" t="s">
        <v>102</v>
      </c>
      <c r="B166" s="930"/>
      <c r="C166" s="930"/>
      <c r="D166" s="930"/>
      <c r="E166" s="930"/>
      <c r="F166" s="930"/>
      <c r="G166" s="930"/>
      <c r="H166" s="930"/>
      <c r="I166" s="930"/>
      <c r="J166" s="930"/>
      <c r="K166" s="930"/>
      <c r="L166" s="930"/>
      <c r="M166" s="930"/>
      <c r="N166" s="930"/>
      <c r="O166" s="930"/>
      <c r="P166" s="930"/>
      <c r="Q166" s="930"/>
      <c r="R166" s="930"/>
      <c r="S166" s="930"/>
    </row>
    <row r="167" spans="1:19" ht="15.5" x14ac:dyDescent="0.35">
      <c r="A167" s="213"/>
      <c r="B167" s="213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226"/>
    </row>
    <row r="168" spans="1:19" ht="15.5" x14ac:dyDescent="0.35">
      <c r="A168" s="244" t="s">
        <v>189</v>
      </c>
      <c r="B168" s="244"/>
      <c r="C168" s="197" t="str">
        <f>PETUNJUK!C5</f>
        <v>PECANGAAN</v>
      </c>
      <c r="D168" s="198"/>
      <c r="E168" s="229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226"/>
    </row>
    <row r="169" spans="1:19" ht="15.5" x14ac:dyDescent="0.35">
      <c r="A169" s="244" t="s">
        <v>369</v>
      </c>
      <c r="B169" s="244"/>
      <c r="C169" s="245" t="s">
        <v>396</v>
      </c>
      <c r="D169" s="198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226"/>
    </row>
    <row r="170" spans="1:19" ht="16" thickBot="1" x14ac:dyDescent="0.4">
      <c r="A170" s="216"/>
      <c r="B170" s="216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6"/>
    </row>
    <row r="171" spans="1:19" ht="18" customHeight="1" x14ac:dyDescent="0.35">
      <c r="A171" s="939" t="s">
        <v>1</v>
      </c>
      <c r="B171" s="941" t="s">
        <v>2</v>
      </c>
      <c r="C171" s="943" t="s">
        <v>45</v>
      </c>
      <c r="D171" s="944"/>
      <c r="E171" s="943" t="s">
        <v>103</v>
      </c>
      <c r="F171" s="944"/>
      <c r="G171" s="943" t="s">
        <v>104</v>
      </c>
      <c r="H171" s="944"/>
      <c r="I171" s="943" t="s">
        <v>105</v>
      </c>
      <c r="J171" s="944"/>
      <c r="K171" s="943" t="s">
        <v>106</v>
      </c>
      <c r="L171" s="944"/>
      <c r="M171" s="943" t="s">
        <v>107</v>
      </c>
      <c r="N171" s="944"/>
      <c r="O171" s="943" t="s">
        <v>108</v>
      </c>
      <c r="P171" s="944"/>
      <c r="Q171" s="943" t="s">
        <v>109</v>
      </c>
      <c r="R171" s="944"/>
      <c r="S171" s="950" t="s">
        <v>25</v>
      </c>
    </row>
    <row r="172" spans="1:19" ht="18" customHeight="1" thickBot="1" x14ac:dyDescent="0.4">
      <c r="A172" s="940"/>
      <c r="B172" s="942"/>
      <c r="C172" s="254" t="s">
        <v>110</v>
      </c>
      <c r="D172" s="254" t="s">
        <v>111</v>
      </c>
      <c r="E172" s="254" t="s">
        <v>110</v>
      </c>
      <c r="F172" s="254" t="s">
        <v>111</v>
      </c>
      <c r="G172" s="254" t="s">
        <v>110</v>
      </c>
      <c r="H172" s="254" t="s">
        <v>111</v>
      </c>
      <c r="I172" s="254" t="s">
        <v>110</v>
      </c>
      <c r="J172" s="254" t="s">
        <v>111</v>
      </c>
      <c r="K172" s="254" t="s">
        <v>110</v>
      </c>
      <c r="L172" s="254" t="s">
        <v>111</v>
      </c>
      <c r="M172" s="254" t="s">
        <v>110</v>
      </c>
      <c r="N172" s="254" t="s">
        <v>111</v>
      </c>
      <c r="O172" s="254" t="s">
        <v>110</v>
      </c>
      <c r="P172" s="254" t="s">
        <v>111</v>
      </c>
      <c r="Q172" s="254" t="s">
        <v>110</v>
      </c>
      <c r="R172" s="254" t="s">
        <v>111</v>
      </c>
      <c r="S172" s="951"/>
    </row>
    <row r="173" spans="1:19" ht="18" customHeight="1" x14ac:dyDescent="0.35">
      <c r="A173" s="211">
        <v>1</v>
      </c>
      <c r="B173" s="253" t="str">
        <f>PETUNJUK!B9</f>
        <v>Pecangaan Kulon</v>
      </c>
      <c r="C173" s="201"/>
      <c r="D173" s="201"/>
      <c r="E173" s="201"/>
      <c r="F173" s="201"/>
      <c r="G173" s="201"/>
      <c r="H173" s="201"/>
      <c r="I173" s="201"/>
      <c r="J173" s="201"/>
      <c r="K173" s="201"/>
      <c r="L173" s="201"/>
      <c r="M173" s="201"/>
      <c r="N173" s="201"/>
      <c r="O173" s="201"/>
      <c r="P173" s="201"/>
      <c r="Q173" s="201"/>
      <c r="R173" s="201"/>
      <c r="S173" s="212"/>
    </row>
    <row r="174" spans="1:19" ht="18" customHeight="1" x14ac:dyDescent="0.35">
      <c r="A174" s="218">
        <v>2</v>
      </c>
      <c r="B174" s="219" t="str">
        <f>PETUNJUK!B10</f>
        <v>Rengging</v>
      </c>
      <c r="C174" s="201"/>
      <c r="D174" s="201"/>
      <c r="E174" s="201"/>
      <c r="F174" s="201"/>
      <c r="G174" s="201"/>
      <c r="H174" s="201"/>
      <c r="I174" s="201"/>
      <c r="J174" s="201"/>
      <c r="K174" s="201"/>
      <c r="L174" s="201"/>
      <c r="M174" s="201"/>
      <c r="N174" s="201"/>
      <c r="O174" s="201"/>
      <c r="P174" s="201"/>
      <c r="Q174" s="201"/>
      <c r="R174" s="201"/>
      <c r="S174" s="201"/>
    </row>
    <row r="175" spans="1:19" ht="18" customHeight="1" x14ac:dyDescent="0.35">
      <c r="A175" s="218">
        <v>3</v>
      </c>
      <c r="B175" s="219" t="str">
        <f>PETUNJUK!B11</f>
        <v>Troso</v>
      </c>
      <c r="C175" s="201"/>
      <c r="D175" s="201"/>
      <c r="E175" s="201"/>
      <c r="F175" s="201"/>
      <c r="G175" s="201"/>
      <c r="H175" s="201"/>
      <c r="I175" s="201"/>
      <c r="J175" s="201"/>
      <c r="K175" s="201"/>
      <c r="L175" s="201"/>
      <c r="M175" s="201"/>
      <c r="N175" s="201"/>
      <c r="O175" s="201"/>
      <c r="P175" s="201"/>
      <c r="Q175" s="201"/>
      <c r="R175" s="201"/>
      <c r="S175" s="201"/>
    </row>
    <row r="176" spans="1:19" ht="18" customHeight="1" x14ac:dyDescent="0.35">
      <c r="A176" s="218">
        <v>4</v>
      </c>
      <c r="B176" s="219" t="str">
        <f>PETUNJUK!B12</f>
        <v>Ngeling</v>
      </c>
      <c r="C176" s="201"/>
      <c r="D176" s="201"/>
      <c r="E176" s="201"/>
      <c r="F176" s="201"/>
      <c r="G176" s="201"/>
      <c r="H176" s="201"/>
      <c r="I176" s="201"/>
      <c r="J176" s="201"/>
      <c r="K176" s="201"/>
      <c r="L176" s="201"/>
      <c r="M176" s="201"/>
      <c r="N176" s="201"/>
      <c r="O176" s="201"/>
      <c r="P176" s="201"/>
      <c r="Q176" s="201"/>
      <c r="R176" s="201"/>
      <c r="S176" s="201"/>
    </row>
    <row r="177" spans="1:19" ht="18" customHeight="1" x14ac:dyDescent="0.35">
      <c r="A177" s="218">
        <v>5</v>
      </c>
      <c r="B177" s="219" t="str">
        <f>PETUNJUK!B13</f>
        <v>Lebuawu</v>
      </c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</row>
    <row r="178" spans="1:19" ht="18" customHeight="1" x14ac:dyDescent="0.35">
      <c r="A178" s="218">
        <v>6</v>
      </c>
      <c r="B178" s="219" t="str">
        <f>PETUNJUK!B14</f>
        <v>Pulodarat</v>
      </c>
      <c r="C178" s="201"/>
      <c r="D178" s="201"/>
      <c r="E178" s="201"/>
      <c r="F178" s="201"/>
      <c r="G178" s="201"/>
      <c r="H178" s="201"/>
      <c r="I178" s="201"/>
      <c r="J178" s="201"/>
      <c r="K178" s="201"/>
      <c r="L178" s="201"/>
      <c r="M178" s="201"/>
      <c r="N178" s="201"/>
      <c r="O178" s="201"/>
      <c r="P178" s="201"/>
      <c r="Q178" s="201"/>
      <c r="R178" s="201"/>
      <c r="S178" s="201"/>
    </row>
    <row r="179" spans="1:19" ht="18" customHeight="1" x14ac:dyDescent="0.35">
      <c r="A179" s="218">
        <v>7</v>
      </c>
      <c r="B179" s="219" t="str">
        <f>PETUNJUK!B15</f>
        <v>Karangrandu</v>
      </c>
      <c r="C179" s="201"/>
      <c r="D179" s="201"/>
      <c r="E179" s="201"/>
      <c r="F179" s="201"/>
      <c r="G179" s="201"/>
      <c r="H179" s="201"/>
      <c r="I179" s="201"/>
      <c r="J179" s="201"/>
      <c r="K179" s="201"/>
      <c r="L179" s="201"/>
      <c r="M179" s="201"/>
      <c r="N179" s="201"/>
      <c r="O179" s="201"/>
      <c r="P179" s="201"/>
      <c r="Q179" s="201"/>
      <c r="R179" s="201"/>
      <c r="S179" s="201"/>
    </row>
    <row r="180" spans="1:19" ht="18" customHeight="1" x14ac:dyDescent="0.35">
      <c r="A180" s="218">
        <v>8</v>
      </c>
      <c r="B180" s="219" t="str">
        <f>PETUNJUK!B16</f>
        <v>Kaliombo</v>
      </c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</row>
    <row r="181" spans="1:19" ht="18" customHeight="1" x14ac:dyDescent="0.35">
      <c r="A181" s="218">
        <v>9</v>
      </c>
      <c r="B181" s="219" t="str">
        <f>PETUNJUK!B17</f>
        <v>Gemulung</v>
      </c>
      <c r="C181" s="201"/>
      <c r="D181" s="201"/>
      <c r="E181" s="201"/>
      <c r="F181" s="201"/>
      <c r="G181" s="201"/>
      <c r="H181" s="201"/>
      <c r="I181" s="201"/>
      <c r="J181" s="201"/>
      <c r="K181" s="201"/>
      <c r="L181" s="201"/>
      <c r="M181" s="201"/>
      <c r="N181" s="201"/>
      <c r="O181" s="201"/>
      <c r="P181" s="201"/>
      <c r="Q181" s="201"/>
      <c r="R181" s="201"/>
      <c r="S181" s="201"/>
    </row>
    <row r="182" spans="1:19" ht="18" customHeight="1" x14ac:dyDescent="0.35">
      <c r="A182" s="218">
        <v>10</v>
      </c>
      <c r="B182" s="219" t="str">
        <f>PETUNJUK!B18</f>
        <v>Pecangaan Wetan</v>
      </c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</row>
    <row r="183" spans="1:19" ht="18" customHeight="1" x14ac:dyDescent="0.35">
      <c r="A183" s="218">
        <v>11</v>
      </c>
      <c r="B183" s="219" t="str">
        <f>PETUNJUK!B19</f>
        <v>Krasak</v>
      </c>
      <c r="C183" s="201"/>
      <c r="D183" s="201"/>
      <c r="E183" s="201"/>
      <c r="F183" s="201"/>
      <c r="G183" s="201"/>
      <c r="H183" s="201"/>
      <c r="I183" s="201"/>
      <c r="J183" s="201"/>
      <c r="K183" s="201"/>
      <c r="L183" s="201"/>
      <c r="M183" s="201"/>
      <c r="N183" s="201"/>
      <c r="O183" s="201"/>
      <c r="P183" s="201"/>
      <c r="Q183" s="201"/>
      <c r="R183" s="201"/>
      <c r="S183" s="201"/>
    </row>
    <row r="184" spans="1:19" ht="18" customHeight="1" x14ac:dyDescent="0.35">
      <c r="A184" s="218">
        <v>12</v>
      </c>
      <c r="B184" s="219" t="str">
        <f>PETUNJUK!B20</f>
        <v>Gerdu</v>
      </c>
      <c r="C184" s="201"/>
      <c r="D184" s="201"/>
      <c r="E184" s="201"/>
      <c r="F184" s="201"/>
      <c r="G184" s="201"/>
      <c r="H184" s="201"/>
      <c r="I184" s="201"/>
      <c r="J184" s="201"/>
      <c r="K184" s="201"/>
      <c r="L184" s="201"/>
      <c r="M184" s="201"/>
      <c r="N184" s="201"/>
      <c r="O184" s="201"/>
      <c r="P184" s="201"/>
      <c r="Q184" s="201"/>
      <c r="R184" s="201"/>
      <c r="S184" s="201"/>
    </row>
    <row r="185" spans="1:19" ht="18" customHeight="1" x14ac:dyDescent="0.35">
      <c r="A185" s="218">
        <v>13</v>
      </c>
      <c r="B185" s="219">
        <f>PETUNJUK!B21</f>
        <v>0</v>
      </c>
      <c r="C185" s="201"/>
      <c r="D185" s="201"/>
      <c r="E185" s="201"/>
      <c r="F185" s="201"/>
      <c r="G185" s="201"/>
      <c r="H185" s="201"/>
      <c r="I185" s="201"/>
      <c r="J185" s="201"/>
      <c r="K185" s="201"/>
      <c r="L185" s="201"/>
      <c r="M185" s="201"/>
      <c r="N185" s="201"/>
      <c r="O185" s="201"/>
      <c r="P185" s="201"/>
      <c r="Q185" s="201"/>
      <c r="R185" s="201"/>
      <c r="S185" s="201"/>
    </row>
    <row r="186" spans="1:19" ht="18" customHeight="1" x14ac:dyDescent="0.35">
      <c r="A186" s="218">
        <v>14</v>
      </c>
      <c r="B186" s="219">
        <f>PETUNJUK!B22</f>
        <v>0</v>
      </c>
      <c r="C186" s="201"/>
      <c r="D186" s="201"/>
      <c r="E186" s="201"/>
      <c r="F186" s="201"/>
      <c r="G186" s="201"/>
      <c r="H186" s="201"/>
      <c r="I186" s="201"/>
      <c r="J186" s="201"/>
      <c r="K186" s="201"/>
      <c r="L186" s="201"/>
      <c r="M186" s="201"/>
      <c r="N186" s="201"/>
      <c r="O186" s="201"/>
      <c r="P186" s="201"/>
      <c r="Q186" s="201"/>
      <c r="R186" s="201"/>
      <c r="S186" s="201"/>
    </row>
    <row r="187" spans="1:19" ht="18" customHeight="1" x14ac:dyDescent="0.35">
      <c r="A187" s="218">
        <v>15</v>
      </c>
      <c r="B187" s="219">
        <f>PETUNJUK!B23</f>
        <v>0</v>
      </c>
      <c r="C187" s="201"/>
      <c r="D187" s="201"/>
      <c r="E187" s="201"/>
      <c r="F187" s="201"/>
      <c r="G187" s="201"/>
      <c r="H187" s="201"/>
      <c r="I187" s="201"/>
      <c r="J187" s="201"/>
      <c r="K187" s="201"/>
      <c r="L187" s="201"/>
      <c r="M187" s="201"/>
      <c r="N187" s="201"/>
      <c r="O187" s="201"/>
      <c r="P187" s="201"/>
      <c r="Q187" s="201"/>
      <c r="R187" s="201"/>
      <c r="S187" s="201"/>
    </row>
    <row r="188" spans="1:19" ht="18" customHeight="1" x14ac:dyDescent="0.35">
      <c r="A188" s="218">
        <v>16</v>
      </c>
      <c r="B188" s="219">
        <f>PETUNJUK!B24</f>
        <v>0</v>
      </c>
      <c r="C188" s="201"/>
      <c r="D188" s="201"/>
      <c r="E188" s="201"/>
      <c r="F188" s="201"/>
      <c r="G188" s="201"/>
      <c r="H188" s="201"/>
      <c r="I188" s="201"/>
      <c r="J188" s="201"/>
      <c r="K188" s="201"/>
      <c r="L188" s="201"/>
      <c r="M188" s="201"/>
      <c r="N188" s="201"/>
      <c r="O188" s="201"/>
      <c r="P188" s="201"/>
      <c r="Q188" s="201"/>
      <c r="R188" s="201"/>
      <c r="S188" s="201"/>
    </row>
    <row r="189" spans="1:19" ht="18" customHeight="1" x14ac:dyDescent="0.35">
      <c r="A189" s="218">
        <v>17</v>
      </c>
      <c r="B189" s="219">
        <f>PETUNJUK!B25</f>
        <v>0</v>
      </c>
      <c r="C189" s="201"/>
      <c r="D189" s="201"/>
      <c r="E189" s="201"/>
      <c r="F189" s="201"/>
      <c r="G189" s="201"/>
      <c r="H189" s="201"/>
      <c r="I189" s="201"/>
      <c r="J189" s="201"/>
      <c r="K189" s="201"/>
      <c r="L189" s="201"/>
      <c r="M189" s="201"/>
      <c r="N189" s="201"/>
      <c r="O189" s="201"/>
      <c r="P189" s="201"/>
      <c r="Q189" s="201"/>
      <c r="R189" s="201"/>
      <c r="S189" s="201"/>
    </row>
    <row r="190" spans="1:19" ht="18" customHeight="1" x14ac:dyDescent="0.35">
      <c r="A190" s="218">
        <v>18</v>
      </c>
      <c r="B190" s="219">
        <f>PETUNJUK!B26</f>
        <v>0</v>
      </c>
      <c r="C190" s="201"/>
      <c r="D190" s="201"/>
      <c r="E190" s="201"/>
      <c r="F190" s="201"/>
      <c r="G190" s="201"/>
      <c r="H190" s="201"/>
      <c r="I190" s="201"/>
      <c r="J190" s="201"/>
      <c r="K190" s="201"/>
      <c r="L190" s="201"/>
      <c r="M190" s="201"/>
      <c r="N190" s="201"/>
      <c r="O190" s="201"/>
      <c r="P190" s="201"/>
      <c r="Q190" s="201"/>
      <c r="R190" s="201"/>
      <c r="S190" s="201"/>
    </row>
    <row r="191" spans="1:19" ht="18" customHeight="1" x14ac:dyDescent="0.35">
      <c r="A191" s="218">
        <v>19</v>
      </c>
      <c r="B191" s="219">
        <f>PETUNJUK!B27</f>
        <v>0</v>
      </c>
      <c r="C191" s="201"/>
      <c r="D191" s="201"/>
      <c r="E191" s="201"/>
      <c r="F191" s="201"/>
      <c r="G191" s="201"/>
      <c r="H191" s="201"/>
      <c r="I191" s="201"/>
      <c r="J191" s="201"/>
      <c r="K191" s="201"/>
      <c r="L191" s="201"/>
      <c r="M191" s="201"/>
      <c r="N191" s="201"/>
      <c r="O191" s="201"/>
      <c r="P191" s="201"/>
      <c r="Q191" s="201"/>
      <c r="R191" s="201"/>
      <c r="S191" s="201"/>
    </row>
    <row r="192" spans="1:19" ht="18" customHeight="1" x14ac:dyDescent="0.35">
      <c r="A192" s="218">
        <v>20</v>
      </c>
      <c r="B192" s="219">
        <f>PETUNJUK!B28</f>
        <v>0</v>
      </c>
      <c r="C192" s="201"/>
      <c r="D192" s="201"/>
      <c r="E192" s="201"/>
      <c r="F192" s="201"/>
      <c r="G192" s="201"/>
      <c r="H192" s="201"/>
      <c r="I192" s="201"/>
      <c r="J192" s="201"/>
      <c r="K192" s="201"/>
      <c r="L192" s="201"/>
      <c r="M192" s="201"/>
      <c r="N192" s="201"/>
      <c r="O192" s="201"/>
      <c r="P192" s="201"/>
      <c r="Q192" s="201"/>
      <c r="R192" s="201"/>
      <c r="S192" s="201"/>
    </row>
    <row r="193" spans="1:19" ht="18" customHeight="1" x14ac:dyDescent="0.35">
      <c r="A193" s="218">
        <v>21</v>
      </c>
      <c r="B193" s="219">
        <f>PETUNJUK!B29</f>
        <v>0</v>
      </c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</row>
    <row r="194" spans="1:19" ht="18" customHeight="1" thickBot="1" x14ac:dyDescent="0.4">
      <c r="A194" s="247">
        <v>22</v>
      </c>
      <c r="B194" s="248">
        <f>PETUNJUK!B30</f>
        <v>0</v>
      </c>
      <c r="C194" s="249"/>
      <c r="D194" s="249"/>
      <c r="E194" s="249"/>
      <c r="F194" s="249"/>
      <c r="G194" s="249"/>
      <c r="H194" s="249"/>
      <c r="I194" s="249"/>
      <c r="J194" s="249"/>
      <c r="K194" s="249"/>
      <c r="L194" s="249"/>
      <c r="M194" s="249"/>
      <c r="N194" s="249"/>
      <c r="O194" s="249"/>
      <c r="P194" s="249"/>
      <c r="Q194" s="249"/>
      <c r="R194" s="249"/>
      <c r="S194" s="249"/>
    </row>
    <row r="195" spans="1:19" ht="18" customHeight="1" thickBot="1" x14ac:dyDescent="0.4">
      <c r="A195" s="928" t="s">
        <v>18</v>
      </c>
      <c r="B195" s="929"/>
      <c r="C195" s="252">
        <f>SUM(C173:C194)</f>
        <v>0</v>
      </c>
      <c r="D195" s="252">
        <f t="shared" ref="D195:R195" si="5">SUM(D173:D194)</f>
        <v>0</v>
      </c>
      <c r="E195" s="252">
        <f t="shared" si="5"/>
        <v>0</v>
      </c>
      <c r="F195" s="252">
        <f t="shared" si="5"/>
        <v>0</v>
      </c>
      <c r="G195" s="252">
        <f t="shared" si="5"/>
        <v>0</v>
      </c>
      <c r="H195" s="252">
        <f t="shared" si="5"/>
        <v>0</v>
      </c>
      <c r="I195" s="252">
        <f t="shared" si="5"/>
        <v>0</v>
      </c>
      <c r="J195" s="252">
        <f t="shared" si="5"/>
        <v>0</v>
      </c>
      <c r="K195" s="252">
        <f t="shared" si="5"/>
        <v>0</v>
      </c>
      <c r="L195" s="252">
        <f t="shared" si="5"/>
        <v>0</v>
      </c>
      <c r="M195" s="252">
        <f t="shared" si="5"/>
        <v>0</v>
      </c>
      <c r="N195" s="252">
        <f t="shared" si="5"/>
        <v>0</v>
      </c>
      <c r="O195" s="252">
        <f t="shared" si="5"/>
        <v>0</v>
      </c>
      <c r="P195" s="252">
        <f t="shared" si="5"/>
        <v>0</v>
      </c>
      <c r="Q195" s="252">
        <f t="shared" si="5"/>
        <v>0</v>
      </c>
      <c r="R195" s="252">
        <f t="shared" si="5"/>
        <v>0</v>
      </c>
      <c r="S195" s="251"/>
    </row>
    <row r="196" spans="1:19" ht="15.5" x14ac:dyDescent="0.35">
      <c r="A196" s="222"/>
      <c r="B196" s="945"/>
      <c r="C196" s="945"/>
      <c r="D196" s="945"/>
      <c r="E196" s="945"/>
      <c r="F196" s="204"/>
      <c r="G196" s="204"/>
      <c r="H196" s="204"/>
      <c r="I196" s="204"/>
      <c r="J196" s="235"/>
      <c r="K196" s="235"/>
      <c r="L196" s="235"/>
      <c r="M196" s="235"/>
      <c r="N196" s="235"/>
      <c r="O196" s="235"/>
      <c r="P196" s="235"/>
      <c r="Q196" s="232"/>
      <c r="R196" s="232"/>
      <c r="S196" s="232"/>
    </row>
    <row r="197" spans="1:19" ht="15.5" x14ac:dyDescent="0.35">
      <c r="A197" s="222"/>
      <c r="B197" s="945"/>
      <c r="C197" s="945"/>
      <c r="D197" s="945"/>
      <c r="E197" s="945"/>
      <c r="F197" s="232"/>
      <c r="G197" s="232"/>
      <c r="H197" s="204"/>
      <c r="I197" s="204"/>
      <c r="J197" s="235"/>
      <c r="K197" s="235"/>
      <c r="L197" s="235"/>
      <c r="M197" s="235"/>
      <c r="N197" s="235"/>
      <c r="O197" s="938"/>
      <c r="P197" s="938"/>
      <c r="Q197" s="938"/>
      <c r="R197" s="938"/>
      <c r="S197" s="232"/>
    </row>
    <row r="198" spans="1:19" ht="15.5" x14ac:dyDescent="0.35">
      <c r="A198" s="223"/>
      <c r="B198" s="224"/>
      <c r="C198" s="236"/>
      <c r="D198" s="236"/>
      <c r="E198" s="236"/>
      <c r="F198" s="204"/>
      <c r="G198" s="204"/>
      <c r="H198" s="204"/>
      <c r="I198" s="204"/>
      <c r="J198" s="235"/>
      <c r="K198" s="235"/>
      <c r="L198" s="235"/>
      <c r="M198" s="235"/>
      <c r="N198" s="235"/>
      <c r="O198" s="235"/>
      <c r="P198" s="232"/>
      <c r="Q198" s="232"/>
      <c r="R198" s="232"/>
      <c r="S198" s="232"/>
    </row>
    <row r="199" spans="1:19" ht="15.5" x14ac:dyDescent="0.35">
      <c r="A199" s="930" t="s">
        <v>102</v>
      </c>
      <c r="B199" s="930"/>
      <c r="C199" s="930"/>
      <c r="D199" s="930"/>
      <c r="E199" s="930"/>
      <c r="F199" s="930"/>
      <c r="G199" s="930"/>
      <c r="H199" s="930"/>
      <c r="I199" s="930"/>
      <c r="J199" s="930"/>
      <c r="K199" s="930"/>
      <c r="L199" s="930"/>
      <c r="M199" s="930"/>
      <c r="N199" s="930"/>
      <c r="O199" s="930"/>
      <c r="P199" s="930"/>
      <c r="Q199" s="930"/>
      <c r="R199" s="930"/>
      <c r="S199" s="930"/>
    </row>
    <row r="200" spans="1:19" ht="15.5" x14ac:dyDescent="0.35">
      <c r="A200" s="213"/>
      <c r="B200" s="213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226"/>
    </row>
    <row r="201" spans="1:19" ht="15.5" x14ac:dyDescent="0.35">
      <c r="A201" s="214" t="s">
        <v>189</v>
      </c>
      <c r="B201" s="214"/>
      <c r="C201" s="228" t="str">
        <f>PETUNJUK!C5</f>
        <v>PECANGAAN</v>
      </c>
      <c r="D201" s="229"/>
      <c r="E201" s="229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226"/>
    </row>
    <row r="202" spans="1:19" ht="15.5" x14ac:dyDescent="0.35">
      <c r="A202" s="214" t="s">
        <v>201</v>
      </c>
      <c r="B202" s="214"/>
      <c r="C202" s="230" t="s">
        <v>142</v>
      </c>
      <c r="D202" s="229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226"/>
    </row>
    <row r="203" spans="1:19" ht="15.5" x14ac:dyDescent="0.35">
      <c r="A203" s="217"/>
      <c r="B203" s="217"/>
      <c r="C203" s="231"/>
      <c r="D203" s="231"/>
      <c r="E203" s="229"/>
      <c r="F203" s="229"/>
      <c r="G203" s="229"/>
      <c r="H203" s="229"/>
      <c r="I203" s="229"/>
      <c r="J203" s="229"/>
      <c r="K203" s="229"/>
      <c r="L203" s="229"/>
      <c r="M203" s="229"/>
      <c r="N203" s="229"/>
      <c r="O203" s="229"/>
      <c r="P203" s="229"/>
      <c r="Q203" s="229"/>
      <c r="R203" s="229"/>
      <c r="S203" s="226"/>
    </row>
    <row r="204" spans="1:19" ht="18" customHeight="1" x14ac:dyDescent="0.35">
      <c r="A204" s="931" t="s">
        <v>1</v>
      </c>
      <c r="B204" s="931" t="s">
        <v>2</v>
      </c>
      <c r="C204" s="933" t="s">
        <v>45</v>
      </c>
      <c r="D204" s="934"/>
      <c r="E204" s="933" t="s">
        <v>103</v>
      </c>
      <c r="F204" s="934"/>
      <c r="G204" s="933" t="s">
        <v>104</v>
      </c>
      <c r="H204" s="934"/>
      <c r="I204" s="933" t="s">
        <v>105</v>
      </c>
      <c r="J204" s="934"/>
      <c r="K204" s="933" t="s">
        <v>106</v>
      </c>
      <c r="L204" s="934"/>
      <c r="M204" s="933" t="s">
        <v>107</v>
      </c>
      <c r="N204" s="934"/>
      <c r="O204" s="933" t="s">
        <v>108</v>
      </c>
      <c r="P204" s="934"/>
      <c r="Q204" s="933" t="s">
        <v>109</v>
      </c>
      <c r="R204" s="934"/>
      <c r="S204" s="935" t="s">
        <v>25</v>
      </c>
    </row>
    <row r="205" spans="1:19" ht="18" customHeight="1" x14ac:dyDescent="0.35">
      <c r="A205" s="932"/>
      <c r="B205" s="932"/>
      <c r="C205" s="246" t="s">
        <v>110</v>
      </c>
      <c r="D205" s="246" t="s">
        <v>111</v>
      </c>
      <c r="E205" s="246" t="s">
        <v>110</v>
      </c>
      <c r="F205" s="246" t="s">
        <v>111</v>
      </c>
      <c r="G205" s="246" t="s">
        <v>110</v>
      </c>
      <c r="H205" s="246" t="s">
        <v>111</v>
      </c>
      <c r="I205" s="246" t="s">
        <v>110</v>
      </c>
      <c r="J205" s="246" t="s">
        <v>111</v>
      </c>
      <c r="K205" s="246" t="s">
        <v>110</v>
      </c>
      <c r="L205" s="246" t="s">
        <v>111</v>
      </c>
      <c r="M205" s="246" t="s">
        <v>110</v>
      </c>
      <c r="N205" s="246" t="s">
        <v>111</v>
      </c>
      <c r="O205" s="246" t="s">
        <v>110</v>
      </c>
      <c r="P205" s="246" t="s">
        <v>111</v>
      </c>
      <c r="Q205" s="246" t="s">
        <v>110</v>
      </c>
      <c r="R205" s="246" t="s">
        <v>111</v>
      </c>
      <c r="S205" s="936"/>
    </row>
    <row r="206" spans="1:19" ht="18" customHeight="1" x14ac:dyDescent="0.35">
      <c r="A206" s="218">
        <v>1</v>
      </c>
      <c r="B206" s="219" t="str">
        <f>PETUNJUK!B9</f>
        <v>Pecangaan Kulon</v>
      </c>
      <c r="C206" s="201"/>
      <c r="D206" s="201"/>
      <c r="E206" s="201"/>
      <c r="F206" s="201"/>
      <c r="G206" s="201"/>
      <c r="H206" s="201"/>
      <c r="I206" s="201"/>
      <c r="J206" s="201"/>
      <c r="K206" s="201"/>
      <c r="L206" s="201"/>
      <c r="M206" s="201"/>
      <c r="N206" s="201"/>
      <c r="O206" s="201"/>
      <c r="P206" s="201"/>
      <c r="Q206" s="201"/>
      <c r="R206" s="201"/>
      <c r="S206" s="201"/>
    </row>
    <row r="207" spans="1:19" ht="18" customHeight="1" x14ac:dyDescent="0.35">
      <c r="A207" s="218">
        <v>2</v>
      </c>
      <c r="B207" s="219" t="str">
        <f>PETUNJUK!B10</f>
        <v>Rengging</v>
      </c>
      <c r="C207" s="201"/>
      <c r="D207" s="201"/>
      <c r="E207" s="201"/>
      <c r="F207" s="201"/>
      <c r="G207" s="201"/>
      <c r="H207" s="201"/>
      <c r="I207" s="201"/>
      <c r="J207" s="201"/>
      <c r="K207" s="201"/>
      <c r="L207" s="201"/>
      <c r="M207" s="201"/>
      <c r="N207" s="201"/>
      <c r="O207" s="201"/>
      <c r="P207" s="201"/>
      <c r="Q207" s="201"/>
      <c r="R207" s="201"/>
      <c r="S207" s="201"/>
    </row>
    <row r="208" spans="1:19" ht="18" customHeight="1" x14ac:dyDescent="0.35">
      <c r="A208" s="218">
        <v>3</v>
      </c>
      <c r="B208" s="219" t="str">
        <f>PETUNJUK!B11</f>
        <v>Troso</v>
      </c>
      <c r="C208" s="201"/>
      <c r="D208" s="201"/>
      <c r="E208" s="201"/>
      <c r="F208" s="201"/>
      <c r="G208" s="201"/>
      <c r="H208" s="201"/>
      <c r="I208" s="201"/>
      <c r="J208" s="201"/>
      <c r="K208" s="201"/>
      <c r="L208" s="201"/>
      <c r="M208" s="201"/>
      <c r="N208" s="201"/>
      <c r="O208" s="201"/>
      <c r="P208" s="201"/>
      <c r="Q208" s="201"/>
      <c r="R208" s="201"/>
      <c r="S208" s="201"/>
    </row>
    <row r="209" spans="1:19" ht="18" customHeight="1" x14ac:dyDescent="0.35">
      <c r="A209" s="218">
        <v>4</v>
      </c>
      <c r="B209" s="219" t="str">
        <f>PETUNJUK!B12</f>
        <v>Ngeling</v>
      </c>
      <c r="C209" s="201"/>
      <c r="D209" s="201"/>
      <c r="E209" s="201"/>
      <c r="F209" s="201"/>
      <c r="G209" s="201"/>
      <c r="H209" s="201"/>
      <c r="I209" s="201"/>
      <c r="J209" s="201"/>
      <c r="K209" s="201"/>
      <c r="L209" s="201"/>
      <c r="M209" s="201"/>
      <c r="N209" s="201"/>
      <c r="O209" s="201"/>
      <c r="P209" s="201"/>
      <c r="Q209" s="201"/>
      <c r="R209" s="201"/>
      <c r="S209" s="201"/>
    </row>
    <row r="210" spans="1:19" ht="18" customHeight="1" x14ac:dyDescent="0.35">
      <c r="A210" s="218">
        <v>5</v>
      </c>
      <c r="B210" s="219" t="str">
        <f>PETUNJUK!B13</f>
        <v>Lebuawu</v>
      </c>
      <c r="C210" s="201"/>
      <c r="D210" s="201"/>
      <c r="E210" s="201"/>
      <c r="F210" s="201"/>
      <c r="G210" s="201"/>
      <c r="H210" s="201"/>
      <c r="I210" s="201"/>
      <c r="J210" s="201"/>
      <c r="K210" s="201"/>
      <c r="L210" s="201"/>
      <c r="M210" s="201"/>
      <c r="N210" s="201"/>
      <c r="O210" s="201"/>
      <c r="P210" s="201"/>
      <c r="Q210" s="201"/>
      <c r="R210" s="201"/>
      <c r="S210" s="201"/>
    </row>
    <row r="211" spans="1:19" ht="18" customHeight="1" x14ac:dyDescent="0.35">
      <c r="A211" s="218">
        <v>6</v>
      </c>
      <c r="B211" s="219" t="str">
        <f>PETUNJUK!B14</f>
        <v>Pulodarat</v>
      </c>
      <c r="C211" s="201"/>
      <c r="D211" s="201"/>
      <c r="E211" s="201"/>
      <c r="F211" s="201"/>
      <c r="G211" s="201"/>
      <c r="H211" s="201"/>
      <c r="I211" s="201"/>
      <c r="J211" s="201"/>
      <c r="K211" s="201"/>
      <c r="L211" s="201"/>
      <c r="M211" s="201"/>
      <c r="N211" s="201"/>
      <c r="O211" s="201"/>
      <c r="P211" s="201"/>
      <c r="Q211" s="201"/>
      <c r="R211" s="201"/>
      <c r="S211" s="201"/>
    </row>
    <row r="212" spans="1:19" ht="18" customHeight="1" x14ac:dyDescent="0.35">
      <c r="A212" s="218">
        <v>7</v>
      </c>
      <c r="B212" s="219" t="str">
        <f>PETUNJUK!B15</f>
        <v>Karangrandu</v>
      </c>
      <c r="C212" s="201"/>
      <c r="D212" s="201"/>
      <c r="E212" s="201"/>
      <c r="F212" s="201"/>
      <c r="G212" s="201"/>
      <c r="H212" s="201"/>
      <c r="I212" s="201"/>
      <c r="J212" s="201"/>
      <c r="K212" s="201"/>
      <c r="L212" s="201"/>
      <c r="M212" s="201"/>
      <c r="N212" s="201"/>
      <c r="O212" s="201"/>
      <c r="P212" s="201"/>
      <c r="Q212" s="201"/>
      <c r="R212" s="201"/>
      <c r="S212" s="201"/>
    </row>
    <row r="213" spans="1:19" ht="18" customHeight="1" x14ac:dyDescent="0.35">
      <c r="A213" s="218">
        <v>8</v>
      </c>
      <c r="B213" s="219" t="str">
        <f>PETUNJUK!B16</f>
        <v>Kaliombo</v>
      </c>
      <c r="C213" s="201"/>
      <c r="D213" s="201"/>
      <c r="E213" s="201"/>
      <c r="F213" s="201"/>
      <c r="G213" s="201"/>
      <c r="H213" s="201"/>
      <c r="I213" s="201"/>
      <c r="J213" s="201"/>
      <c r="K213" s="201"/>
      <c r="L213" s="201"/>
      <c r="M213" s="201"/>
      <c r="N213" s="201"/>
      <c r="O213" s="201"/>
      <c r="P213" s="201"/>
      <c r="Q213" s="201"/>
      <c r="R213" s="201"/>
      <c r="S213" s="201"/>
    </row>
    <row r="214" spans="1:19" ht="18" customHeight="1" x14ac:dyDescent="0.35">
      <c r="A214" s="218">
        <v>9</v>
      </c>
      <c r="B214" s="219" t="str">
        <f>PETUNJUK!B17</f>
        <v>Gemulung</v>
      </c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</row>
    <row r="215" spans="1:19" ht="18" customHeight="1" x14ac:dyDescent="0.35">
      <c r="A215" s="218">
        <v>10</v>
      </c>
      <c r="B215" s="219" t="str">
        <f>PETUNJUK!B18</f>
        <v>Pecangaan Wetan</v>
      </c>
      <c r="C215" s="201"/>
      <c r="D215" s="201"/>
      <c r="E215" s="201"/>
      <c r="F215" s="201"/>
      <c r="G215" s="201"/>
      <c r="H215" s="201"/>
      <c r="I215" s="201"/>
      <c r="J215" s="201"/>
      <c r="K215" s="201"/>
      <c r="L215" s="201"/>
      <c r="M215" s="201"/>
      <c r="N215" s="201"/>
      <c r="O215" s="201"/>
      <c r="P215" s="201"/>
      <c r="Q215" s="201"/>
      <c r="R215" s="201"/>
      <c r="S215" s="201"/>
    </row>
    <row r="216" spans="1:19" ht="18" customHeight="1" x14ac:dyDescent="0.35">
      <c r="A216" s="218">
        <v>11</v>
      </c>
      <c r="B216" s="219" t="str">
        <f>PETUNJUK!B19</f>
        <v>Krasak</v>
      </c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</row>
    <row r="217" spans="1:19" ht="18" customHeight="1" x14ac:dyDescent="0.35">
      <c r="A217" s="218">
        <v>12</v>
      </c>
      <c r="B217" s="219" t="str">
        <f>PETUNJUK!B20</f>
        <v>Gerdu</v>
      </c>
      <c r="C217" s="201"/>
      <c r="D217" s="201"/>
      <c r="E217" s="201"/>
      <c r="F217" s="201"/>
      <c r="G217" s="201"/>
      <c r="H217" s="201"/>
      <c r="I217" s="201"/>
      <c r="J217" s="201"/>
      <c r="K217" s="201"/>
      <c r="L217" s="201"/>
      <c r="M217" s="201"/>
      <c r="N217" s="201"/>
      <c r="O217" s="201"/>
      <c r="P217" s="201"/>
      <c r="Q217" s="201"/>
      <c r="R217" s="201"/>
      <c r="S217" s="201"/>
    </row>
    <row r="218" spans="1:19" ht="18" customHeight="1" x14ac:dyDescent="0.35">
      <c r="A218" s="218">
        <v>13</v>
      </c>
      <c r="B218" s="219">
        <f>PETUNJUK!B21</f>
        <v>0</v>
      </c>
      <c r="C218" s="201"/>
      <c r="D218" s="201"/>
      <c r="E218" s="201"/>
      <c r="F218" s="201"/>
      <c r="G218" s="201"/>
      <c r="H218" s="201"/>
      <c r="I218" s="201"/>
      <c r="J218" s="201"/>
      <c r="K218" s="201"/>
      <c r="L218" s="201"/>
      <c r="M218" s="201"/>
      <c r="N218" s="201"/>
      <c r="O218" s="201"/>
      <c r="P218" s="201"/>
      <c r="Q218" s="201"/>
      <c r="R218" s="201"/>
      <c r="S218" s="201"/>
    </row>
    <row r="219" spans="1:19" ht="18" customHeight="1" x14ac:dyDescent="0.35">
      <c r="A219" s="218">
        <v>14</v>
      </c>
      <c r="B219" s="219">
        <f>PETUNJUK!B22</f>
        <v>0</v>
      </c>
      <c r="C219" s="201"/>
      <c r="D219" s="201"/>
      <c r="E219" s="201"/>
      <c r="F219" s="201"/>
      <c r="G219" s="201"/>
      <c r="H219" s="201"/>
      <c r="I219" s="201"/>
      <c r="J219" s="201"/>
      <c r="K219" s="201"/>
      <c r="L219" s="201"/>
      <c r="M219" s="201"/>
      <c r="N219" s="201"/>
      <c r="O219" s="201"/>
      <c r="P219" s="201"/>
      <c r="Q219" s="201"/>
      <c r="R219" s="201"/>
      <c r="S219" s="201"/>
    </row>
    <row r="220" spans="1:19" ht="18" customHeight="1" x14ac:dyDescent="0.35">
      <c r="A220" s="218">
        <v>15</v>
      </c>
      <c r="B220" s="219">
        <f>PETUNJUK!B23</f>
        <v>0</v>
      </c>
      <c r="C220" s="201"/>
      <c r="D220" s="201"/>
      <c r="E220" s="201"/>
      <c r="F220" s="201"/>
      <c r="G220" s="201"/>
      <c r="H220" s="201"/>
      <c r="I220" s="201"/>
      <c r="J220" s="201"/>
      <c r="K220" s="201"/>
      <c r="L220" s="201"/>
      <c r="M220" s="201"/>
      <c r="N220" s="201"/>
      <c r="O220" s="201"/>
      <c r="P220" s="201"/>
      <c r="Q220" s="201"/>
      <c r="R220" s="201"/>
      <c r="S220" s="201"/>
    </row>
    <row r="221" spans="1:19" ht="18" customHeight="1" x14ac:dyDescent="0.35">
      <c r="A221" s="218">
        <v>16</v>
      </c>
      <c r="B221" s="219">
        <f>PETUNJUK!B24</f>
        <v>0</v>
      </c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</row>
    <row r="222" spans="1:19" ht="18" customHeight="1" x14ac:dyDescent="0.35">
      <c r="A222" s="218">
        <v>17</v>
      </c>
      <c r="B222" s="219">
        <f>PETUNJUK!B25</f>
        <v>0</v>
      </c>
      <c r="C222" s="201"/>
      <c r="D222" s="201"/>
      <c r="E222" s="201"/>
      <c r="F222" s="201"/>
      <c r="G222" s="201"/>
      <c r="H222" s="201"/>
      <c r="I222" s="201"/>
      <c r="J222" s="201"/>
      <c r="K222" s="201"/>
      <c r="L222" s="201"/>
      <c r="M222" s="201"/>
      <c r="N222" s="201"/>
      <c r="O222" s="201"/>
      <c r="P222" s="201"/>
      <c r="Q222" s="201"/>
      <c r="R222" s="201"/>
      <c r="S222" s="201"/>
    </row>
    <row r="223" spans="1:19" ht="18" customHeight="1" x14ac:dyDescent="0.35">
      <c r="A223" s="218">
        <v>18</v>
      </c>
      <c r="B223" s="219">
        <f>PETUNJUK!B26</f>
        <v>0</v>
      </c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</row>
    <row r="224" spans="1:19" ht="18" customHeight="1" x14ac:dyDescent="0.35">
      <c r="A224" s="218">
        <v>19</v>
      </c>
      <c r="B224" s="219">
        <f>PETUNJUK!B27</f>
        <v>0</v>
      </c>
      <c r="C224" s="201"/>
      <c r="D224" s="201"/>
      <c r="E224" s="201"/>
      <c r="F224" s="201"/>
      <c r="G224" s="201"/>
      <c r="H224" s="201"/>
      <c r="I224" s="201"/>
      <c r="J224" s="201"/>
      <c r="K224" s="201"/>
      <c r="L224" s="201"/>
      <c r="M224" s="201"/>
      <c r="N224" s="201"/>
      <c r="O224" s="201"/>
      <c r="P224" s="201"/>
      <c r="Q224" s="201"/>
      <c r="R224" s="201"/>
      <c r="S224" s="201"/>
    </row>
    <row r="225" spans="1:19" ht="18" customHeight="1" x14ac:dyDescent="0.35">
      <c r="A225" s="218">
        <v>20</v>
      </c>
      <c r="B225" s="219">
        <f>PETUNJUK!B28</f>
        <v>0</v>
      </c>
      <c r="C225" s="201"/>
      <c r="D225" s="201"/>
      <c r="E225" s="201"/>
      <c r="F225" s="201"/>
      <c r="G225" s="201"/>
      <c r="H225" s="201"/>
      <c r="I225" s="201"/>
      <c r="J225" s="201"/>
      <c r="K225" s="201"/>
      <c r="L225" s="201"/>
      <c r="M225" s="201"/>
      <c r="N225" s="201"/>
      <c r="O225" s="201"/>
      <c r="P225" s="201"/>
      <c r="Q225" s="201"/>
      <c r="R225" s="201"/>
      <c r="S225" s="201"/>
    </row>
    <row r="226" spans="1:19" ht="18" customHeight="1" x14ac:dyDescent="0.35">
      <c r="A226" s="218">
        <v>21</v>
      </c>
      <c r="B226" s="219">
        <f>PETUNJUK!B29</f>
        <v>0</v>
      </c>
      <c r="C226" s="201"/>
      <c r="D226" s="201"/>
      <c r="E226" s="201"/>
      <c r="F226" s="201"/>
      <c r="G226" s="201"/>
      <c r="H226" s="201"/>
      <c r="I226" s="201"/>
      <c r="J226" s="201"/>
      <c r="K226" s="201"/>
      <c r="L226" s="201"/>
      <c r="M226" s="201"/>
      <c r="N226" s="201"/>
      <c r="O226" s="201"/>
      <c r="P226" s="201"/>
      <c r="Q226" s="201"/>
      <c r="R226" s="201"/>
      <c r="S226" s="201"/>
    </row>
    <row r="227" spans="1:19" ht="18" customHeight="1" thickBot="1" x14ac:dyDescent="0.4">
      <c r="A227" s="247">
        <v>22</v>
      </c>
      <c r="B227" s="248">
        <f>PETUNJUK!B30</f>
        <v>0</v>
      </c>
      <c r="C227" s="249"/>
      <c r="D227" s="249"/>
      <c r="E227" s="249"/>
      <c r="F227" s="249"/>
      <c r="G227" s="249"/>
      <c r="H227" s="249"/>
      <c r="I227" s="249"/>
      <c r="J227" s="249"/>
      <c r="K227" s="249"/>
      <c r="L227" s="249"/>
      <c r="M227" s="249"/>
      <c r="N227" s="249"/>
      <c r="O227" s="249"/>
      <c r="P227" s="249"/>
      <c r="Q227" s="249"/>
      <c r="R227" s="249"/>
      <c r="S227" s="249"/>
    </row>
    <row r="228" spans="1:19" ht="18" customHeight="1" thickBot="1" x14ac:dyDescent="0.4">
      <c r="A228" s="928" t="s">
        <v>18</v>
      </c>
      <c r="B228" s="929"/>
      <c r="C228" s="252">
        <f>SUM(C206:C227)</f>
        <v>0</v>
      </c>
      <c r="D228" s="252">
        <f t="shared" ref="D228:R228" si="6">SUM(D206:D227)</f>
        <v>0</v>
      </c>
      <c r="E228" s="252">
        <f t="shared" si="6"/>
        <v>0</v>
      </c>
      <c r="F228" s="252">
        <f t="shared" si="6"/>
        <v>0</v>
      </c>
      <c r="G228" s="252">
        <f t="shared" si="6"/>
        <v>0</v>
      </c>
      <c r="H228" s="252">
        <f t="shared" si="6"/>
        <v>0</v>
      </c>
      <c r="I228" s="252">
        <f t="shared" si="6"/>
        <v>0</v>
      </c>
      <c r="J228" s="252">
        <f t="shared" si="6"/>
        <v>0</v>
      </c>
      <c r="K228" s="252">
        <f t="shared" si="6"/>
        <v>0</v>
      </c>
      <c r="L228" s="252">
        <f t="shared" si="6"/>
        <v>0</v>
      </c>
      <c r="M228" s="252">
        <f t="shared" si="6"/>
        <v>0</v>
      </c>
      <c r="N228" s="252">
        <f t="shared" si="6"/>
        <v>0</v>
      </c>
      <c r="O228" s="252">
        <f t="shared" si="6"/>
        <v>0</v>
      </c>
      <c r="P228" s="252">
        <f t="shared" si="6"/>
        <v>0</v>
      </c>
      <c r="Q228" s="252">
        <f t="shared" si="6"/>
        <v>0</v>
      </c>
      <c r="R228" s="252">
        <f t="shared" si="6"/>
        <v>0</v>
      </c>
      <c r="S228" s="251"/>
    </row>
    <row r="229" spans="1:19" ht="15.5" x14ac:dyDescent="0.35">
      <c r="A229" s="222"/>
      <c r="B229" s="222"/>
      <c r="C229" s="204"/>
      <c r="D229" s="204"/>
      <c r="E229" s="204"/>
      <c r="F229" s="204"/>
      <c r="G229" s="204"/>
      <c r="H229" s="204"/>
      <c r="I229" s="232"/>
      <c r="J229" s="232"/>
      <c r="K229" s="204"/>
      <c r="L229" s="204"/>
      <c r="M229" s="204"/>
      <c r="N229" s="204"/>
      <c r="O229" s="204"/>
      <c r="P229" s="232"/>
      <c r="Q229" s="232"/>
      <c r="R229" s="232"/>
      <c r="S229" s="232"/>
    </row>
    <row r="230" spans="1:19" ht="15.5" x14ac:dyDescent="0.35">
      <c r="A230" s="222"/>
      <c r="B230" s="945"/>
      <c r="C230" s="945"/>
      <c r="D230" s="945"/>
      <c r="E230" s="945"/>
      <c r="F230" s="204"/>
      <c r="G230" s="204"/>
      <c r="H230" s="204"/>
      <c r="I230" s="204"/>
      <c r="J230" s="235"/>
      <c r="K230" s="235"/>
      <c r="L230" s="235"/>
      <c r="M230" s="235"/>
      <c r="N230" s="235"/>
      <c r="O230" s="235"/>
      <c r="P230" s="235"/>
      <c r="Q230" s="232"/>
      <c r="R230" s="232"/>
      <c r="S230" s="232"/>
    </row>
    <row r="231" spans="1:19" ht="15.5" x14ac:dyDescent="0.35">
      <c r="A231" s="222"/>
      <c r="B231" s="945"/>
      <c r="C231" s="945"/>
      <c r="D231" s="945"/>
      <c r="E231" s="945"/>
      <c r="F231" s="232"/>
      <c r="G231" s="232"/>
      <c r="H231" s="204"/>
      <c r="I231" s="204"/>
      <c r="J231" s="235"/>
      <c r="K231" s="235"/>
      <c r="L231" s="235"/>
      <c r="M231" s="235"/>
      <c r="N231" s="235"/>
      <c r="O231" s="938"/>
      <c r="P231" s="938"/>
      <c r="Q231" s="938"/>
      <c r="R231" s="938"/>
      <c r="S231" s="232"/>
    </row>
    <row r="232" spans="1:19" ht="15.5" x14ac:dyDescent="0.35">
      <c r="A232" s="930" t="s">
        <v>102</v>
      </c>
      <c r="B232" s="930"/>
      <c r="C232" s="930"/>
      <c r="D232" s="930"/>
      <c r="E232" s="930"/>
      <c r="F232" s="930"/>
      <c r="G232" s="930"/>
      <c r="H232" s="930"/>
      <c r="I232" s="930"/>
      <c r="J232" s="930"/>
      <c r="K232" s="930"/>
      <c r="L232" s="930"/>
      <c r="M232" s="930"/>
      <c r="N232" s="930"/>
      <c r="O232" s="930"/>
      <c r="P232" s="930"/>
      <c r="Q232" s="930"/>
      <c r="R232" s="930"/>
      <c r="S232" s="930"/>
    </row>
    <row r="233" spans="1:19" ht="15.5" x14ac:dyDescent="0.35">
      <c r="A233" s="213"/>
      <c r="B233" s="213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226"/>
    </row>
    <row r="234" spans="1:19" ht="15.5" x14ac:dyDescent="0.35">
      <c r="A234" s="244" t="s">
        <v>189</v>
      </c>
      <c r="B234" s="244"/>
      <c r="C234" s="197" t="str">
        <f>PETUNJUK!C5</f>
        <v>PECANGAAN</v>
      </c>
      <c r="D234" s="198"/>
      <c r="E234" s="229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226"/>
    </row>
    <row r="235" spans="1:19" ht="15.5" x14ac:dyDescent="0.35">
      <c r="A235" s="244" t="s">
        <v>369</v>
      </c>
      <c r="B235" s="244"/>
      <c r="C235" s="245" t="s">
        <v>386</v>
      </c>
      <c r="D235" s="198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226"/>
    </row>
    <row r="236" spans="1:19" ht="15.5" x14ac:dyDescent="0.35">
      <c r="A236" s="216"/>
      <c r="B236" s="216"/>
      <c r="C236" s="229"/>
      <c r="D236" s="229"/>
      <c r="E236" s="229"/>
      <c r="F236" s="229"/>
      <c r="G236" s="229"/>
      <c r="H236" s="229"/>
      <c r="I236" s="229"/>
      <c r="J236" s="229"/>
      <c r="K236" s="229"/>
      <c r="L236" s="229"/>
      <c r="M236" s="229"/>
      <c r="N236" s="229"/>
      <c r="O236" s="229"/>
      <c r="P236" s="229"/>
      <c r="Q236" s="229"/>
      <c r="R236" s="229"/>
      <c r="S236" s="226"/>
    </row>
    <row r="237" spans="1:19" ht="18" customHeight="1" x14ac:dyDescent="0.35">
      <c r="A237" s="948" t="s">
        <v>1</v>
      </c>
      <c r="B237" s="948" t="s">
        <v>2</v>
      </c>
      <c r="C237" s="946" t="s">
        <v>45</v>
      </c>
      <c r="D237" s="947"/>
      <c r="E237" s="946" t="s">
        <v>103</v>
      </c>
      <c r="F237" s="947"/>
      <c r="G237" s="946" t="s">
        <v>104</v>
      </c>
      <c r="H237" s="947"/>
      <c r="I237" s="946" t="s">
        <v>105</v>
      </c>
      <c r="J237" s="947"/>
      <c r="K237" s="946" t="s">
        <v>106</v>
      </c>
      <c r="L237" s="947"/>
      <c r="M237" s="946" t="s">
        <v>107</v>
      </c>
      <c r="N237" s="947"/>
      <c r="O237" s="946" t="s">
        <v>108</v>
      </c>
      <c r="P237" s="947"/>
      <c r="Q237" s="946" t="s">
        <v>109</v>
      </c>
      <c r="R237" s="947"/>
      <c r="S237" s="958" t="s">
        <v>25</v>
      </c>
    </row>
    <row r="238" spans="1:19" ht="18" customHeight="1" x14ac:dyDescent="0.35">
      <c r="A238" s="932"/>
      <c r="B238" s="932"/>
      <c r="C238" s="255" t="s">
        <v>110</v>
      </c>
      <c r="D238" s="255" t="s">
        <v>111</v>
      </c>
      <c r="E238" s="255" t="s">
        <v>110</v>
      </c>
      <c r="F238" s="255" t="s">
        <v>111</v>
      </c>
      <c r="G238" s="255" t="s">
        <v>110</v>
      </c>
      <c r="H238" s="255" t="s">
        <v>111</v>
      </c>
      <c r="I238" s="255" t="s">
        <v>110</v>
      </c>
      <c r="J238" s="255" t="s">
        <v>111</v>
      </c>
      <c r="K238" s="255" t="s">
        <v>110</v>
      </c>
      <c r="L238" s="255" t="s">
        <v>111</v>
      </c>
      <c r="M238" s="255" t="s">
        <v>110</v>
      </c>
      <c r="N238" s="255" t="s">
        <v>111</v>
      </c>
      <c r="O238" s="255" t="s">
        <v>110</v>
      </c>
      <c r="P238" s="255" t="s">
        <v>111</v>
      </c>
      <c r="Q238" s="255" t="s">
        <v>110</v>
      </c>
      <c r="R238" s="255" t="s">
        <v>111</v>
      </c>
      <c r="S238" s="936"/>
    </row>
    <row r="239" spans="1:19" ht="18" customHeight="1" x14ac:dyDescent="0.35">
      <c r="A239" s="211">
        <v>1</v>
      </c>
      <c r="B239" s="253" t="str">
        <f>PETUNJUK!B9</f>
        <v>Pecangaan Kulon</v>
      </c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12"/>
    </row>
    <row r="240" spans="1:19" ht="18" customHeight="1" x14ac:dyDescent="0.35">
      <c r="A240" s="218">
        <v>2</v>
      </c>
      <c r="B240" s="219" t="str">
        <f>PETUNJUK!B10</f>
        <v>Rengging</v>
      </c>
      <c r="C240" s="201"/>
      <c r="D240" s="201"/>
      <c r="E240" s="201"/>
      <c r="F240" s="201"/>
      <c r="G240" s="201"/>
      <c r="H240" s="201"/>
      <c r="I240" s="201"/>
      <c r="J240" s="201"/>
      <c r="K240" s="201"/>
      <c r="L240" s="201"/>
      <c r="M240" s="201"/>
      <c r="N240" s="201"/>
      <c r="O240" s="201"/>
      <c r="P240" s="201"/>
      <c r="Q240" s="201"/>
      <c r="R240" s="201"/>
      <c r="S240" s="201"/>
    </row>
    <row r="241" spans="1:19" ht="18" customHeight="1" x14ac:dyDescent="0.35">
      <c r="A241" s="218">
        <v>3</v>
      </c>
      <c r="B241" s="219" t="str">
        <f>PETUNJUK!B11</f>
        <v>Troso</v>
      </c>
      <c r="C241" s="201"/>
      <c r="D241" s="201"/>
      <c r="E241" s="201"/>
      <c r="F241" s="201"/>
      <c r="G241" s="201"/>
      <c r="H241" s="201"/>
      <c r="I241" s="201"/>
      <c r="J241" s="201"/>
      <c r="K241" s="201"/>
      <c r="L241" s="201"/>
      <c r="M241" s="201"/>
      <c r="N241" s="201"/>
      <c r="O241" s="201"/>
      <c r="P241" s="201"/>
      <c r="Q241" s="201"/>
      <c r="R241" s="201"/>
      <c r="S241" s="201"/>
    </row>
    <row r="242" spans="1:19" ht="18" customHeight="1" x14ac:dyDescent="0.35">
      <c r="A242" s="218">
        <v>4</v>
      </c>
      <c r="B242" s="219" t="str">
        <f>PETUNJUK!B12</f>
        <v>Ngeling</v>
      </c>
      <c r="C242" s="201"/>
      <c r="D242" s="201"/>
      <c r="E242" s="201"/>
      <c r="F242" s="201"/>
      <c r="G242" s="201"/>
      <c r="H242" s="201"/>
      <c r="I242" s="201"/>
      <c r="J242" s="201"/>
      <c r="K242" s="201"/>
      <c r="L242" s="201"/>
      <c r="M242" s="201"/>
      <c r="N242" s="201"/>
      <c r="O242" s="201"/>
      <c r="P242" s="201"/>
      <c r="Q242" s="201"/>
      <c r="R242" s="201"/>
      <c r="S242" s="201"/>
    </row>
    <row r="243" spans="1:19" ht="18" customHeight="1" x14ac:dyDescent="0.35">
      <c r="A243" s="218">
        <v>5</v>
      </c>
      <c r="B243" s="219" t="str">
        <f>PETUNJUK!B13</f>
        <v>Lebuawu</v>
      </c>
      <c r="C243" s="201"/>
      <c r="D243" s="201"/>
      <c r="E243" s="201"/>
      <c r="F243" s="201"/>
      <c r="G243" s="201"/>
      <c r="H243" s="201"/>
      <c r="I243" s="201"/>
      <c r="J243" s="201"/>
      <c r="K243" s="201"/>
      <c r="L243" s="201"/>
      <c r="M243" s="201"/>
      <c r="N243" s="201"/>
      <c r="O243" s="201"/>
      <c r="P243" s="201"/>
      <c r="Q243" s="201"/>
      <c r="R243" s="201"/>
      <c r="S243" s="201"/>
    </row>
    <row r="244" spans="1:19" ht="18" customHeight="1" x14ac:dyDescent="0.35">
      <c r="A244" s="218">
        <v>6</v>
      </c>
      <c r="B244" s="219" t="str">
        <f>PETUNJUK!B14</f>
        <v>Pulodarat</v>
      </c>
      <c r="C244" s="201"/>
      <c r="D244" s="201"/>
      <c r="E244" s="201"/>
      <c r="F244" s="201"/>
      <c r="G244" s="201"/>
      <c r="H244" s="201"/>
      <c r="I244" s="201"/>
      <c r="J244" s="201"/>
      <c r="K244" s="201"/>
      <c r="L244" s="201"/>
      <c r="M244" s="201"/>
      <c r="N244" s="201"/>
      <c r="O244" s="201"/>
      <c r="P244" s="201"/>
      <c r="Q244" s="201"/>
      <c r="R244" s="201"/>
      <c r="S244" s="201"/>
    </row>
    <row r="245" spans="1:19" ht="18" customHeight="1" x14ac:dyDescent="0.35">
      <c r="A245" s="218">
        <v>7</v>
      </c>
      <c r="B245" s="219" t="str">
        <f>PETUNJUK!B15</f>
        <v>Karangrandu</v>
      </c>
      <c r="C245" s="201"/>
      <c r="D245" s="201"/>
      <c r="E245" s="201"/>
      <c r="F245" s="201"/>
      <c r="G245" s="201"/>
      <c r="H245" s="201"/>
      <c r="I245" s="201"/>
      <c r="J245" s="201"/>
      <c r="K245" s="201"/>
      <c r="L245" s="201"/>
      <c r="M245" s="201"/>
      <c r="N245" s="201"/>
      <c r="O245" s="201"/>
      <c r="P245" s="201"/>
      <c r="Q245" s="201"/>
      <c r="R245" s="201"/>
      <c r="S245" s="201"/>
    </row>
    <row r="246" spans="1:19" ht="18" customHeight="1" x14ac:dyDescent="0.35">
      <c r="A246" s="218">
        <v>8</v>
      </c>
      <c r="B246" s="219" t="str">
        <f>PETUNJUK!B16</f>
        <v>Kaliombo</v>
      </c>
      <c r="C246" s="201"/>
      <c r="D246" s="201"/>
      <c r="E246" s="201"/>
      <c r="F246" s="201"/>
      <c r="G246" s="201"/>
      <c r="H246" s="201"/>
      <c r="I246" s="201"/>
      <c r="J246" s="201"/>
      <c r="K246" s="201"/>
      <c r="L246" s="201"/>
      <c r="M246" s="201"/>
      <c r="N246" s="201"/>
      <c r="O246" s="201"/>
      <c r="P246" s="201"/>
      <c r="Q246" s="201"/>
      <c r="R246" s="201"/>
      <c r="S246" s="201"/>
    </row>
    <row r="247" spans="1:19" ht="18" customHeight="1" x14ac:dyDescent="0.35">
      <c r="A247" s="218">
        <v>9</v>
      </c>
      <c r="B247" s="219" t="str">
        <f>PETUNJUK!B17</f>
        <v>Gemulung</v>
      </c>
      <c r="C247" s="201"/>
      <c r="D247" s="201"/>
      <c r="E247" s="201"/>
      <c r="F247" s="201"/>
      <c r="G247" s="201"/>
      <c r="H247" s="201"/>
      <c r="I247" s="201"/>
      <c r="J247" s="201"/>
      <c r="K247" s="201"/>
      <c r="L247" s="201"/>
      <c r="M247" s="201"/>
      <c r="N247" s="201"/>
      <c r="O247" s="201"/>
      <c r="P247" s="201"/>
      <c r="Q247" s="201"/>
      <c r="R247" s="201"/>
      <c r="S247" s="201"/>
    </row>
    <row r="248" spans="1:19" ht="18" customHeight="1" x14ac:dyDescent="0.35">
      <c r="A248" s="218">
        <v>10</v>
      </c>
      <c r="B248" s="219" t="str">
        <f>PETUNJUK!B18</f>
        <v>Pecangaan Wetan</v>
      </c>
      <c r="C248" s="201"/>
      <c r="D248" s="201"/>
      <c r="E248" s="201"/>
      <c r="F248" s="201"/>
      <c r="G248" s="201"/>
      <c r="H248" s="201"/>
      <c r="I248" s="201"/>
      <c r="J248" s="201"/>
      <c r="K248" s="201"/>
      <c r="L248" s="201"/>
      <c r="M248" s="201"/>
      <c r="N248" s="201"/>
      <c r="O248" s="201"/>
      <c r="P248" s="201"/>
      <c r="Q248" s="201"/>
      <c r="R248" s="201"/>
      <c r="S248" s="201"/>
    </row>
    <row r="249" spans="1:19" ht="18" customHeight="1" x14ac:dyDescent="0.35">
      <c r="A249" s="218">
        <v>11</v>
      </c>
      <c r="B249" s="219" t="str">
        <f>PETUNJUK!B19</f>
        <v>Krasak</v>
      </c>
      <c r="C249" s="201"/>
      <c r="D249" s="201"/>
      <c r="E249" s="201"/>
      <c r="F249" s="201"/>
      <c r="G249" s="201"/>
      <c r="H249" s="201"/>
      <c r="I249" s="201"/>
      <c r="J249" s="201"/>
      <c r="K249" s="201"/>
      <c r="L249" s="201"/>
      <c r="M249" s="201"/>
      <c r="N249" s="201"/>
      <c r="O249" s="201"/>
      <c r="P249" s="201"/>
      <c r="Q249" s="201"/>
      <c r="R249" s="201"/>
      <c r="S249" s="201"/>
    </row>
    <row r="250" spans="1:19" ht="18" customHeight="1" x14ac:dyDescent="0.35">
      <c r="A250" s="218">
        <v>12</v>
      </c>
      <c r="B250" s="219" t="str">
        <f>PETUNJUK!B20</f>
        <v>Gerdu</v>
      </c>
      <c r="C250" s="201"/>
      <c r="D250" s="201"/>
      <c r="E250" s="201"/>
      <c r="F250" s="201"/>
      <c r="G250" s="201"/>
      <c r="H250" s="201"/>
      <c r="I250" s="201"/>
      <c r="J250" s="201"/>
      <c r="K250" s="201"/>
      <c r="L250" s="201"/>
      <c r="M250" s="201"/>
      <c r="N250" s="201"/>
      <c r="O250" s="201"/>
      <c r="P250" s="201"/>
      <c r="Q250" s="201"/>
      <c r="R250" s="201"/>
      <c r="S250" s="201"/>
    </row>
    <row r="251" spans="1:19" ht="18" customHeight="1" x14ac:dyDescent="0.35">
      <c r="A251" s="218">
        <v>13</v>
      </c>
      <c r="B251" s="219">
        <f>PETUNJUK!B21</f>
        <v>0</v>
      </c>
      <c r="C251" s="201"/>
      <c r="D251" s="201"/>
      <c r="E251" s="201"/>
      <c r="F251" s="201"/>
      <c r="G251" s="201"/>
      <c r="H251" s="201"/>
      <c r="I251" s="201"/>
      <c r="J251" s="201"/>
      <c r="K251" s="201"/>
      <c r="L251" s="201"/>
      <c r="M251" s="201"/>
      <c r="N251" s="201"/>
      <c r="O251" s="201"/>
      <c r="P251" s="201"/>
      <c r="Q251" s="201"/>
      <c r="R251" s="201"/>
      <c r="S251" s="201"/>
    </row>
    <row r="252" spans="1:19" ht="18" customHeight="1" x14ac:dyDescent="0.35">
      <c r="A252" s="218">
        <v>14</v>
      </c>
      <c r="B252" s="219">
        <f>PETUNJUK!B22</f>
        <v>0</v>
      </c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</row>
    <row r="253" spans="1:19" ht="18" customHeight="1" x14ac:dyDescent="0.35">
      <c r="A253" s="218">
        <v>15</v>
      </c>
      <c r="B253" s="219">
        <f>PETUNJUK!B23</f>
        <v>0</v>
      </c>
      <c r="C253" s="201"/>
      <c r="D253" s="201"/>
      <c r="E253" s="201"/>
      <c r="F253" s="201"/>
      <c r="G253" s="201"/>
      <c r="H253" s="201"/>
      <c r="I253" s="201"/>
      <c r="J253" s="201"/>
      <c r="K253" s="201"/>
      <c r="L253" s="201"/>
      <c r="M253" s="201"/>
      <c r="N253" s="201"/>
      <c r="O253" s="201"/>
      <c r="P253" s="201"/>
      <c r="Q253" s="201"/>
      <c r="R253" s="201"/>
      <c r="S253" s="201"/>
    </row>
    <row r="254" spans="1:19" ht="18" customHeight="1" x14ac:dyDescent="0.35">
      <c r="A254" s="218">
        <v>16</v>
      </c>
      <c r="B254" s="219">
        <f>PETUNJUK!B24</f>
        <v>0</v>
      </c>
      <c r="C254" s="201"/>
      <c r="D254" s="201"/>
      <c r="E254" s="201"/>
      <c r="F254" s="201"/>
      <c r="G254" s="201"/>
      <c r="H254" s="201"/>
      <c r="I254" s="201"/>
      <c r="J254" s="201"/>
      <c r="K254" s="201"/>
      <c r="L254" s="201"/>
      <c r="M254" s="201"/>
      <c r="N254" s="201"/>
      <c r="O254" s="201"/>
      <c r="P254" s="201"/>
      <c r="Q254" s="201"/>
      <c r="R254" s="201"/>
      <c r="S254" s="201"/>
    </row>
    <row r="255" spans="1:19" ht="18" customHeight="1" x14ac:dyDescent="0.35">
      <c r="A255" s="218">
        <v>17</v>
      </c>
      <c r="B255" s="219">
        <f>PETUNJUK!B25</f>
        <v>0</v>
      </c>
      <c r="C255" s="201"/>
      <c r="D255" s="201"/>
      <c r="E255" s="201"/>
      <c r="F255" s="201"/>
      <c r="G255" s="201"/>
      <c r="H255" s="201"/>
      <c r="I255" s="201"/>
      <c r="J255" s="201"/>
      <c r="K255" s="201"/>
      <c r="L255" s="201"/>
      <c r="M255" s="201"/>
      <c r="N255" s="201"/>
      <c r="O255" s="201"/>
      <c r="P255" s="201"/>
      <c r="Q255" s="201"/>
      <c r="R255" s="201"/>
      <c r="S255" s="201"/>
    </row>
    <row r="256" spans="1:19" ht="18" customHeight="1" x14ac:dyDescent="0.35">
      <c r="A256" s="218">
        <v>18</v>
      </c>
      <c r="B256" s="219">
        <f>PETUNJUK!B26</f>
        <v>0</v>
      </c>
      <c r="C256" s="201"/>
      <c r="D256" s="201"/>
      <c r="E256" s="201"/>
      <c r="F256" s="201"/>
      <c r="G256" s="201"/>
      <c r="H256" s="201"/>
      <c r="I256" s="201"/>
      <c r="J256" s="201"/>
      <c r="K256" s="201"/>
      <c r="L256" s="201"/>
      <c r="M256" s="201"/>
      <c r="N256" s="201"/>
      <c r="O256" s="201"/>
      <c r="P256" s="201"/>
      <c r="Q256" s="201"/>
      <c r="R256" s="201"/>
      <c r="S256" s="201"/>
    </row>
    <row r="257" spans="1:19" ht="18" customHeight="1" x14ac:dyDescent="0.35">
      <c r="A257" s="218">
        <v>19</v>
      </c>
      <c r="B257" s="219">
        <f>PETUNJUK!B27</f>
        <v>0</v>
      </c>
      <c r="C257" s="201"/>
      <c r="D257" s="201"/>
      <c r="E257" s="201"/>
      <c r="F257" s="201"/>
      <c r="G257" s="201"/>
      <c r="H257" s="201"/>
      <c r="I257" s="201"/>
      <c r="J257" s="201"/>
      <c r="K257" s="201"/>
      <c r="L257" s="201"/>
      <c r="M257" s="201"/>
      <c r="N257" s="201"/>
      <c r="O257" s="201"/>
      <c r="P257" s="201"/>
      <c r="Q257" s="201"/>
      <c r="R257" s="201"/>
      <c r="S257" s="201"/>
    </row>
    <row r="258" spans="1:19" ht="18" customHeight="1" x14ac:dyDescent="0.35">
      <c r="A258" s="218">
        <v>20</v>
      </c>
      <c r="B258" s="219">
        <f>PETUNJUK!B28</f>
        <v>0</v>
      </c>
      <c r="C258" s="201"/>
      <c r="D258" s="201"/>
      <c r="E258" s="201"/>
      <c r="F258" s="201"/>
      <c r="G258" s="201"/>
      <c r="H258" s="201"/>
      <c r="I258" s="201"/>
      <c r="J258" s="201"/>
      <c r="K258" s="201"/>
      <c r="L258" s="201"/>
      <c r="M258" s="201"/>
      <c r="N258" s="201"/>
      <c r="O258" s="201"/>
      <c r="P258" s="201"/>
      <c r="Q258" s="201"/>
      <c r="R258" s="201"/>
      <c r="S258" s="201"/>
    </row>
    <row r="259" spans="1:19" ht="18" customHeight="1" x14ac:dyDescent="0.35">
      <c r="A259" s="218">
        <v>21</v>
      </c>
      <c r="B259" s="219">
        <f>PETUNJUK!B29</f>
        <v>0</v>
      </c>
      <c r="C259" s="201"/>
      <c r="D259" s="201"/>
      <c r="E259" s="201"/>
      <c r="F259" s="201"/>
      <c r="G259" s="201"/>
      <c r="H259" s="201"/>
      <c r="I259" s="201"/>
      <c r="J259" s="201"/>
      <c r="K259" s="201"/>
      <c r="L259" s="201"/>
      <c r="M259" s="201"/>
      <c r="N259" s="201"/>
      <c r="O259" s="201"/>
      <c r="P259" s="201"/>
      <c r="Q259" s="201"/>
      <c r="R259" s="201"/>
      <c r="S259" s="201"/>
    </row>
    <row r="260" spans="1:19" ht="18" customHeight="1" thickBot="1" x14ac:dyDescent="0.4">
      <c r="A260" s="247">
        <v>22</v>
      </c>
      <c r="B260" s="248">
        <f>PETUNJUK!B30</f>
        <v>0</v>
      </c>
      <c r="C260" s="249"/>
      <c r="D260" s="249"/>
      <c r="E260" s="249"/>
      <c r="F260" s="249"/>
      <c r="G260" s="249"/>
      <c r="H260" s="249"/>
      <c r="I260" s="249"/>
      <c r="J260" s="249"/>
      <c r="K260" s="249"/>
      <c r="L260" s="249"/>
      <c r="M260" s="249"/>
      <c r="N260" s="249"/>
      <c r="O260" s="249"/>
      <c r="P260" s="249"/>
      <c r="Q260" s="249"/>
      <c r="R260" s="249"/>
      <c r="S260" s="249"/>
    </row>
    <row r="261" spans="1:19" ht="18" customHeight="1" thickBot="1" x14ac:dyDescent="0.4">
      <c r="A261" s="928" t="s">
        <v>18</v>
      </c>
      <c r="B261" s="929"/>
      <c r="C261" s="252">
        <f>SUM(C239:C260)</f>
        <v>0</v>
      </c>
      <c r="D261" s="252">
        <f t="shared" ref="D261:R261" si="7">SUM(D239:D260)</f>
        <v>0</v>
      </c>
      <c r="E261" s="252">
        <f t="shared" si="7"/>
        <v>0</v>
      </c>
      <c r="F261" s="252">
        <f t="shared" si="7"/>
        <v>0</v>
      </c>
      <c r="G261" s="252">
        <f t="shared" si="7"/>
        <v>0</v>
      </c>
      <c r="H261" s="252">
        <f t="shared" si="7"/>
        <v>0</v>
      </c>
      <c r="I261" s="252">
        <f t="shared" si="7"/>
        <v>0</v>
      </c>
      <c r="J261" s="252">
        <f t="shared" si="7"/>
        <v>0</v>
      </c>
      <c r="K261" s="252">
        <f t="shared" si="7"/>
        <v>0</v>
      </c>
      <c r="L261" s="252">
        <f t="shared" si="7"/>
        <v>0</v>
      </c>
      <c r="M261" s="252">
        <f t="shared" si="7"/>
        <v>0</v>
      </c>
      <c r="N261" s="252">
        <f t="shared" si="7"/>
        <v>0</v>
      </c>
      <c r="O261" s="252">
        <f t="shared" si="7"/>
        <v>0</v>
      </c>
      <c r="P261" s="252">
        <f t="shared" si="7"/>
        <v>0</v>
      </c>
      <c r="Q261" s="252">
        <f t="shared" si="7"/>
        <v>0</v>
      </c>
      <c r="R261" s="252">
        <f t="shared" si="7"/>
        <v>0</v>
      </c>
      <c r="S261" s="251"/>
    </row>
    <row r="262" spans="1:19" ht="15.5" x14ac:dyDescent="0.35">
      <c r="A262" s="220"/>
      <c r="B262" s="220"/>
      <c r="C262" s="232"/>
      <c r="D262" s="232"/>
      <c r="E262" s="232"/>
      <c r="F262" s="232"/>
      <c r="G262" s="232"/>
      <c r="H262" s="232"/>
      <c r="I262" s="232"/>
      <c r="J262" s="232"/>
      <c r="K262" s="232"/>
      <c r="L262" s="232"/>
      <c r="M262" s="232"/>
      <c r="N262" s="232"/>
      <c r="O262" s="232"/>
      <c r="P262" s="232"/>
      <c r="Q262" s="232"/>
      <c r="R262" s="232"/>
      <c r="S262" s="232"/>
    </row>
    <row r="263" spans="1:19" ht="15.5" x14ac:dyDescent="0.35">
      <c r="A263" s="222"/>
      <c r="B263" s="222"/>
      <c r="C263" s="204"/>
      <c r="D263" s="204"/>
      <c r="E263" s="204"/>
      <c r="F263" s="204"/>
      <c r="G263" s="204"/>
      <c r="H263" s="204"/>
      <c r="I263" s="232"/>
      <c r="J263" s="232"/>
      <c r="K263" s="204"/>
      <c r="L263" s="204"/>
      <c r="M263" s="204"/>
      <c r="N263" s="204"/>
      <c r="O263" s="204"/>
      <c r="P263" s="232"/>
      <c r="Q263" s="232"/>
      <c r="R263" s="232"/>
      <c r="S263" s="232"/>
    </row>
    <row r="264" spans="1:19" ht="15.5" x14ac:dyDescent="0.35">
      <c r="A264" s="222"/>
      <c r="B264" s="945"/>
      <c r="C264" s="945"/>
      <c r="D264" s="945"/>
      <c r="E264" s="945"/>
      <c r="F264" s="204"/>
      <c r="G264" s="204"/>
      <c r="H264" s="204"/>
      <c r="I264" s="204"/>
      <c r="J264" s="235"/>
      <c r="K264" s="235"/>
      <c r="L264" s="235"/>
      <c r="M264" s="235"/>
      <c r="N264" s="235"/>
      <c r="O264" s="235"/>
      <c r="P264" s="235"/>
      <c r="Q264" s="232"/>
      <c r="R264" s="232"/>
      <c r="S264" s="232"/>
    </row>
    <row r="265" spans="1:19" ht="15.5" x14ac:dyDescent="0.35">
      <c r="A265" s="930" t="s">
        <v>102</v>
      </c>
      <c r="B265" s="930"/>
      <c r="C265" s="930"/>
      <c r="D265" s="930"/>
      <c r="E265" s="930"/>
      <c r="F265" s="930"/>
      <c r="G265" s="930"/>
      <c r="H265" s="930"/>
      <c r="I265" s="930"/>
      <c r="J265" s="930"/>
      <c r="K265" s="930"/>
      <c r="L265" s="930"/>
      <c r="M265" s="930"/>
      <c r="N265" s="930"/>
      <c r="O265" s="930"/>
      <c r="P265" s="930"/>
      <c r="Q265" s="930"/>
      <c r="R265" s="930"/>
      <c r="S265" s="930"/>
    </row>
    <row r="266" spans="1:19" ht="15.5" x14ac:dyDescent="0.35">
      <c r="A266" s="213"/>
      <c r="B266" s="213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226"/>
    </row>
    <row r="267" spans="1:19" ht="15.5" x14ac:dyDescent="0.35">
      <c r="A267" s="244" t="s">
        <v>189</v>
      </c>
      <c r="B267" s="244"/>
      <c r="C267" s="197" t="str">
        <f>PETUNJUK!C5</f>
        <v>PECANGAAN</v>
      </c>
      <c r="D267" s="198"/>
      <c r="E267" s="229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226"/>
    </row>
    <row r="268" spans="1:19" ht="15.5" x14ac:dyDescent="0.35">
      <c r="A268" s="244" t="s">
        <v>369</v>
      </c>
      <c r="B268" s="244"/>
      <c r="C268" s="245" t="s">
        <v>387</v>
      </c>
      <c r="D268" s="198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226"/>
    </row>
    <row r="269" spans="1:19" ht="15.5" x14ac:dyDescent="0.35">
      <c r="A269" s="217"/>
      <c r="B269" s="217"/>
      <c r="C269" s="231"/>
      <c r="D269" s="231"/>
      <c r="E269" s="229"/>
      <c r="F269" s="229"/>
      <c r="G269" s="229"/>
      <c r="H269" s="229"/>
      <c r="I269" s="229"/>
      <c r="J269" s="229"/>
      <c r="K269" s="229"/>
      <c r="L269" s="229"/>
      <c r="M269" s="229"/>
      <c r="N269" s="229"/>
      <c r="O269" s="229"/>
      <c r="P269" s="229"/>
      <c r="Q269" s="229"/>
      <c r="R269" s="229"/>
      <c r="S269" s="226"/>
    </row>
    <row r="270" spans="1:19" ht="18" customHeight="1" x14ac:dyDescent="0.35">
      <c r="A270" s="931" t="s">
        <v>1</v>
      </c>
      <c r="B270" s="931" t="s">
        <v>2</v>
      </c>
      <c r="C270" s="933" t="s">
        <v>45</v>
      </c>
      <c r="D270" s="934"/>
      <c r="E270" s="933" t="s">
        <v>103</v>
      </c>
      <c r="F270" s="934"/>
      <c r="G270" s="933" t="s">
        <v>104</v>
      </c>
      <c r="H270" s="934"/>
      <c r="I270" s="933" t="s">
        <v>105</v>
      </c>
      <c r="J270" s="934"/>
      <c r="K270" s="933" t="s">
        <v>106</v>
      </c>
      <c r="L270" s="934"/>
      <c r="M270" s="933" t="s">
        <v>107</v>
      </c>
      <c r="N270" s="934"/>
      <c r="O270" s="933" t="s">
        <v>108</v>
      </c>
      <c r="P270" s="934"/>
      <c r="Q270" s="933" t="s">
        <v>109</v>
      </c>
      <c r="R270" s="934"/>
      <c r="S270" s="935" t="s">
        <v>25</v>
      </c>
    </row>
    <row r="271" spans="1:19" ht="18" customHeight="1" x14ac:dyDescent="0.35">
      <c r="A271" s="932"/>
      <c r="B271" s="932"/>
      <c r="C271" s="246" t="s">
        <v>110</v>
      </c>
      <c r="D271" s="246" t="s">
        <v>111</v>
      </c>
      <c r="E271" s="246" t="s">
        <v>110</v>
      </c>
      <c r="F271" s="246" t="s">
        <v>111</v>
      </c>
      <c r="G271" s="246" t="s">
        <v>110</v>
      </c>
      <c r="H271" s="246" t="s">
        <v>111</v>
      </c>
      <c r="I271" s="246" t="s">
        <v>110</v>
      </c>
      <c r="J271" s="246" t="s">
        <v>111</v>
      </c>
      <c r="K271" s="246" t="s">
        <v>110</v>
      </c>
      <c r="L271" s="246" t="s">
        <v>111</v>
      </c>
      <c r="M271" s="246" t="s">
        <v>110</v>
      </c>
      <c r="N271" s="246" t="s">
        <v>111</v>
      </c>
      <c r="O271" s="246" t="s">
        <v>110</v>
      </c>
      <c r="P271" s="246" t="s">
        <v>111</v>
      </c>
      <c r="Q271" s="246" t="s">
        <v>110</v>
      </c>
      <c r="R271" s="246" t="s">
        <v>111</v>
      </c>
      <c r="S271" s="936"/>
    </row>
    <row r="272" spans="1:19" ht="18" customHeight="1" x14ac:dyDescent="0.35">
      <c r="A272" s="218">
        <v>1</v>
      </c>
      <c r="B272" s="219" t="str">
        <f>PETUNJUK!B9</f>
        <v>Pecangaan Kulon</v>
      </c>
      <c r="C272" s="201"/>
      <c r="D272" s="201"/>
      <c r="E272" s="201"/>
      <c r="F272" s="201"/>
      <c r="G272" s="201"/>
      <c r="H272" s="201"/>
      <c r="I272" s="201"/>
      <c r="J272" s="201"/>
      <c r="K272" s="201"/>
      <c r="L272" s="201"/>
      <c r="M272" s="201"/>
      <c r="N272" s="201"/>
      <c r="O272" s="201"/>
      <c r="P272" s="201"/>
      <c r="Q272" s="201"/>
      <c r="R272" s="201"/>
      <c r="S272" s="201"/>
    </row>
    <row r="273" spans="1:19" ht="18" customHeight="1" x14ac:dyDescent="0.35">
      <c r="A273" s="218">
        <v>2</v>
      </c>
      <c r="B273" s="219" t="str">
        <f>PETUNJUK!B10</f>
        <v>Rengging</v>
      </c>
      <c r="C273" s="201"/>
      <c r="D273" s="201"/>
      <c r="E273" s="201"/>
      <c r="F273" s="201"/>
      <c r="G273" s="201"/>
      <c r="H273" s="201"/>
      <c r="I273" s="201"/>
      <c r="J273" s="201"/>
      <c r="K273" s="201"/>
      <c r="L273" s="201"/>
      <c r="M273" s="201"/>
      <c r="N273" s="201"/>
      <c r="O273" s="201"/>
      <c r="P273" s="201"/>
      <c r="Q273" s="201"/>
      <c r="R273" s="201"/>
      <c r="S273" s="201"/>
    </row>
    <row r="274" spans="1:19" ht="18" customHeight="1" x14ac:dyDescent="0.35">
      <c r="A274" s="218">
        <v>3</v>
      </c>
      <c r="B274" s="219" t="str">
        <f>PETUNJUK!B11</f>
        <v>Troso</v>
      </c>
      <c r="C274" s="201"/>
      <c r="D274" s="201"/>
      <c r="E274" s="201"/>
      <c r="F274" s="201"/>
      <c r="G274" s="201"/>
      <c r="H274" s="201"/>
      <c r="I274" s="201"/>
      <c r="J274" s="201"/>
      <c r="K274" s="201"/>
      <c r="L274" s="201"/>
      <c r="M274" s="201"/>
      <c r="N274" s="201"/>
      <c r="O274" s="201"/>
      <c r="P274" s="201"/>
      <c r="Q274" s="201"/>
      <c r="R274" s="201"/>
      <c r="S274" s="201"/>
    </row>
    <row r="275" spans="1:19" ht="18" customHeight="1" x14ac:dyDescent="0.35">
      <c r="A275" s="218">
        <v>4</v>
      </c>
      <c r="B275" s="219" t="str">
        <f>PETUNJUK!B12</f>
        <v>Ngeling</v>
      </c>
      <c r="C275" s="201"/>
      <c r="D275" s="201"/>
      <c r="E275" s="201"/>
      <c r="F275" s="201"/>
      <c r="G275" s="201"/>
      <c r="H275" s="201"/>
      <c r="I275" s="201"/>
      <c r="J275" s="201"/>
      <c r="K275" s="201"/>
      <c r="L275" s="201"/>
      <c r="M275" s="201"/>
      <c r="N275" s="201"/>
      <c r="O275" s="201"/>
      <c r="P275" s="201"/>
      <c r="Q275" s="201"/>
      <c r="R275" s="201"/>
      <c r="S275" s="201"/>
    </row>
    <row r="276" spans="1:19" ht="18" customHeight="1" x14ac:dyDescent="0.35">
      <c r="A276" s="218">
        <v>5</v>
      </c>
      <c r="B276" s="219" t="str">
        <f>PETUNJUK!B13</f>
        <v>Lebuawu</v>
      </c>
      <c r="C276" s="201"/>
      <c r="D276" s="201"/>
      <c r="E276" s="201"/>
      <c r="F276" s="201"/>
      <c r="G276" s="201"/>
      <c r="H276" s="201"/>
      <c r="I276" s="201"/>
      <c r="J276" s="201"/>
      <c r="K276" s="201"/>
      <c r="L276" s="201"/>
      <c r="M276" s="201"/>
      <c r="N276" s="201"/>
      <c r="O276" s="201"/>
      <c r="P276" s="201"/>
      <c r="Q276" s="201"/>
      <c r="R276" s="201"/>
      <c r="S276" s="201"/>
    </row>
    <row r="277" spans="1:19" ht="18" customHeight="1" x14ac:dyDescent="0.35">
      <c r="A277" s="218">
        <v>6</v>
      </c>
      <c r="B277" s="219" t="str">
        <f>PETUNJUK!B14</f>
        <v>Pulodarat</v>
      </c>
      <c r="C277" s="201"/>
      <c r="D277" s="201"/>
      <c r="E277" s="201"/>
      <c r="F277" s="201"/>
      <c r="G277" s="201"/>
      <c r="H277" s="201"/>
      <c r="I277" s="201"/>
      <c r="J277" s="201"/>
      <c r="K277" s="201"/>
      <c r="L277" s="201"/>
      <c r="M277" s="201"/>
      <c r="N277" s="201"/>
      <c r="O277" s="201"/>
      <c r="P277" s="201"/>
      <c r="Q277" s="201"/>
      <c r="R277" s="201"/>
      <c r="S277" s="201"/>
    </row>
    <row r="278" spans="1:19" ht="18" customHeight="1" x14ac:dyDescent="0.35">
      <c r="A278" s="218">
        <v>7</v>
      </c>
      <c r="B278" s="219" t="str">
        <f>PETUNJUK!B15</f>
        <v>Karangrandu</v>
      </c>
      <c r="C278" s="201"/>
      <c r="D278" s="201"/>
      <c r="E278" s="201"/>
      <c r="F278" s="201"/>
      <c r="G278" s="201"/>
      <c r="H278" s="201"/>
      <c r="I278" s="201"/>
      <c r="J278" s="201"/>
      <c r="K278" s="201"/>
      <c r="L278" s="201"/>
      <c r="M278" s="201"/>
      <c r="N278" s="201"/>
      <c r="O278" s="201"/>
      <c r="P278" s="201"/>
      <c r="Q278" s="201"/>
      <c r="R278" s="201"/>
      <c r="S278" s="201"/>
    </row>
    <row r="279" spans="1:19" ht="18" customHeight="1" x14ac:dyDescent="0.35">
      <c r="A279" s="218">
        <v>8</v>
      </c>
      <c r="B279" s="219" t="str">
        <f>PETUNJUK!B16</f>
        <v>Kaliombo</v>
      </c>
      <c r="C279" s="201"/>
      <c r="D279" s="201"/>
      <c r="E279" s="201"/>
      <c r="F279" s="201"/>
      <c r="G279" s="201"/>
      <c r="H279" s="201"/>
      <c r="I279" s="201"/>
      <c r="J279" s="201"/>
      <c r="K279" s="201"/>
      <c r="L279" s="201"/>
      <c r="M279" s="201"/>
      <c r="N279" s="201"/>
      <c r="O279" s="201"/>
      <c r="P279" s="201"/>
      <c r="Q279" s="201"/>
      <c r="R279" s="201"/>
      <c r="S279" s="201"/>
    </row>
    <row r="280" spans="1:19" ht="18" customHeight="1" x14ac:dyDescent="0.35">
      <c r="A280" s="218">
        <v>9</v>
      </c>
      <c r="B280" s="219" t="str">
        <f>PETUNJUK!B17</f>
        <v>Gemulung</v>
      </c>
      <c r="C280" s="201"/>
      <c r="D280" s="201"/>
      <c r="E280" s="201"/>
      <c r="F280" s="201"/>
      <c r="G280" s="201"/>
      <c r="H280" s="201"/>
      <c r="I280" s="201"/>
      <c r="J280" s="201"/>
      <c r="K280" s="201"/>
      <c r="L280" s="201"/>
      <c r="M280" s="201"/>
      <c r="N280" s="201"/>
      <c r="O280" s="201"/>
      <c r="P280" s="201"/>
      <c r="Q280" s="201"/>
      <c r="R280" s="201"/>
      <c r="S280" s="201"/>
    </row>
    <row r="281" spans="1:19" ht="18" customHeight="1" x14ac:dyDescent="0.35">
      <c r="A281" s="218">
        <v>10</v>
      </c>
      <c r="B281" s="219" t="str">
        <f>PETUNJUK!B18</f>
        <v>Pecangaan Wetan</v>
      </c>
      <c r="C281" s="201"/>
      <c r="D281" s="201"/>
      <c r="E281" s="201"/>
      <c r="F281" s="201"/>
      <c r="G281" s="201"/>
      <c r="H281" s="201"/>
      <c r="I281" s="201"/>
      <c r="J281" s="201"/>
      <c r="K281" s="201"/>
      <c r="L281" s="201"/>
      <c r="M281" s="201"/>
      <c r="N281" s="201"/>
      <c r="O281" s="201"/>
      <c r="P281" s="201"/>
      <c r="Q281" s="201"/>
      <c r="R281" s="201"/>
      <c r="S281" s="201"/>
    </row>
    <row r="282" spans="1:19" ht="18" customHeight="1" x14ac:dyDescent="0.35">
      <c r="A282" s="218">
        <v>11</v>
      </c>
      <c r="B282" s="219" t="str">
        <f>PETUNJUK!B19</f>
        <v>Krasak</v>
      </c>
      <c r="C282" s="201"/>
      <c r="D282" s="201"/>
      <c r="E282" s="201"/>
      <c r="F282" s="201"/>
      <c r="G282" s="201"/>
      <c r="H282" s="201"/>
      <c r="I282" s="201"/>
      <c r="J282" s="201"/>
      <c r="K282" s="201"/>
      <c r="L282" s="201"/>
      <c r="M282" s="201"/>
      <c r="N282" s="201"/>
      <c r="O282" s="201"/>
      <c r="P282" s="201"/>
      <c r="Q282" s="201"/>
      <c r="R282" s="201"/>
      <c r="S282" s="201"/>
    </row>
    <row r="283" spans="1:19" ht="18" customHeight="1" x14ac:dyDescent="0.35">
      <c r="A283" s="218">
        <v>12</v>
      </c>
      <c r="B283" s="219" t="str">
        <f>PETUNJUK!B20</f>
        <v>Gerdu</v>
      </c>
      <c r="C283" s="201"/>
      <c r="D283" s="201"/>
      <c r="E283" s="201"/>
      <c r="F283" s="201"/>
      <c r="G283" s="201"/>
      <c r="H283" s="201"/>
      <c r="I283" s="201"/>
      <c r="J283" s="201"/>
      <c r="K283" s="201"/>
      <c r="L283" s="201"/>
      <c r="M283" s="201"/>
      <c r="N283" s="201"/>
      <c r="O283" s="201"/>
      <c r="P283" s="201"/>
      <c r="Q283" s="201"/>
      <c r="R283" s="201"/>
      <c r="S283" s="201"/>
    </row>
    <row r="284" spans="1:19" ht="18" customHeight="1" x14ac:dyDescent="0.35">
      <c r="A284" s="218">
        <v>13</v>
      </c>
      <c r="B284" s="219">
        <f>PETUNJUK!B21</f>
        <v>0</v>
      </c>
      <c r="C284" s="201"/>
      <c r="D284" s="201"/>
      <c r="E284" s="201"/>
      <c r="F284" s="201"/>
      <c r="G284" s="201"/>
      <c r="H284" s="201"/>
      <c r="I284" s="201"/>
      <c r="J284" s="201"/>
      <c r="K284" s="201"/>
      <c r="L284" s="201"/>
      <c r="M284" s="201"/>
      <c r="N284" s="201"/>
      <c r="O284" s="201"/>
      <c r="P284" s="201"/>
      <c r="Q284" s="201"/>
      <c r="R284" s="201"/>
      <c r="S284" s="201"/>
    </row>
    <row r="285" spans="1:19" ht="18" customHeight="1" x14ac:dyDescent="0.35">
      <c r="A285" s="218">
        <v>14</v>
      </c>
      <c r="B285" s="219">
        <f>PETUNJUK!B22</f>
        <v>0</v>
      </c>
      <c r="C285" s="201"/>
      <c r="D285" s="201"/>
      <c r="E285" s="201"/>
      <c r="F285" s="201"/>
      <c r="G285" s="201"/>
      <c r="H285" s="201"/>
      <c r="I285" s="201"/>
      <c r="J285" s="201"/>
      <c r="K285" s="201"/>
      <c r="L285" s="201"/>
      <c r="M285" s="201"/>
      <c r="N285" s="201"/>
      <c r="O285" s="201"/>
      <c r="P285" s="201"/>
      <c r="Q285" s="201"/>
      <c r="R285" s="201"/>
      <c r="S285" s="201"/>
    </row>
    <row r="286" spans="1:19" ht="18" customHeight="1" x14ac:dyDescent="0.35">
      <c r="A286" s="218">
        <v>15</v>
      </c>
      <c r="B286" s="219">
        <f>PETUNJUK!B23</f>
        <v>0</v>
      </c>
      <c r="C286" s="201"/>
      <c r="D286" s="201"/>
      <c r="E286" s="201"/>
      <c r="F286" s="201"/>
      <c r="G286" s="201"/>
      <c r="H286" s="201"/>
      <c r="I286" s="201"/>
      <c r="J286" s="201"/>
      <c r="K286" s="201"/>
      <c r="L286" s="201"/>
      <c r="M286" s="201"/>
      <c r="N286" s="201"/>
      <c r="O286" s="201"/>
      <c r="P286" s="201"/>
      <c r="Q286" s="201"/>
      <c r="R286" s="201"/>
      <c r="S286" s="201"/>
    </row>
    <row r="287" spans="1:19" ht="18" customHeight="1" x14ac:dyDescent="0.35">
      <c r="A287" s="218">
        <v>16</v>
      </c>
      <c r="B287" s="219">
        <f>PETUNJUK!B24</f>
        <v>0</v>
      </c>
      <c r="C287" s="201"/>
      <c r="D287" s="201"/>
      <c r="E287" s="201"/>
      <c r="F287" s="201"/>
      <c r="G287" s="201"/>
      <c r="H287" s="201"/>
      <c r="I287" s="201"/>
      <c r="J287" s="201"/>
      <c r="K287" s="201"/>
      <c r="L287" s="201"/>
      <c r="M287" s="201"/>
      <c r="N287" s="201"/>
      <c r="O287" s="201"/>
      <c r="P287" s="201"/>
      <c r="Q287" s="201"/>
      <c r="R287" s="201"/>
      <c r="S287" s="201"/>
    </row>
    <row r="288" spans="1:19" ht="18" customHeight="1" x14ac:dyDescent="0.35">
      <c r="A288" s="218">
        <v>17</v>
      </c>
      <c r="B288" s="219">
        <f>PETUNJUK!B25</f>
        <v>0</v>
      </c>
      <c r="C288" s="201"/>
      <c r="D288" s="201"/>
      <c r="E288" s="201"/>
      <c r="F288" s="201"/>
      <c r="G288" s="201"/>
      <c r="H288" s="201"/>
      <c r="I288" s="201"/>
      <c r="J288" s="201"/>
      <c r="K288" s="201"/>
      <c r="L288" s="201"/>
      <c r="M288" s="201"/>
      <c r="N288" s="201"/>
      <c r="O288" s="201"/>
      <c r="P288" s="201"/>
      <c r="Q288" s="201"/>
      <c r="R288" s="201"/>
      <c r="S288" s="201"/>
    </row>
    <row r="289" spans="1:19" ht="18" customHeight="1" x14ac:dyDescent="0.35">
      <c r="A289" s="218">
        <v>18</v>
      </c>
      <c r="B289" s="219">
        <f>PETUNJUK!B26</f>
        <v>0</v>
      </c>
      <c r="C289" s="201"/>
      <c r="D289" s="201"/>
      <c r="E289" s="201"/>
      <c r="F289" s="201"/>
      <c r="G289" s="201"/>
      <c r="H289" s="201"/>
      <c r="I289" s="201"/>
      <c r="J289" s="201"/>
      <c r="K289" s="201"/>
      <c r="L289" s="201"/>
      <c r="M289" s="201"/>
      <c r="N289" s="201"/>
      <c r="O289" s="201"/>
      <c r="P289" s="201"/>
      <c r="Q289" s="201"/>
      <c r="R289" s="201"/>
      <c r="S289" s="201"/>
    </row>
    <row r="290" spans="1:19" ht="18" customHeight="1" x14ac:dyDescent="0.35">
      <c r="A290" s="218">
        <v>19</v>
      </c>
      <c r="B290" s="219">
        <f>PETUNJUK!B27</f>
        <v>0</v>
      </c>
      <c r="C290" s="201"/>
      <c r="D290" s="201"/>
      <c r="E290" s="201"/>
      <c r="F290" s="201"/>
      <c r="G290" s="201"/>
      <c r="H290" s="201"/>
      <c r="I290" s="201"/>
      <c r="J290" s="201"/>
      <c r="K290" s="201"/>
      <c r="L290" s="201"/>
      <c r="M290" s="201"/>
      <c r="N290" s="201"/>
      <c r="O290" s="201"/>
      <c r="P290" s="201"/>
      <c r="Q290" s="201"/>
      <c r="R290" s="201"/>
      <c r="S290" s="201"/>
    </row>
    <row r="291" spans="1:19" ht="18" customHeight="1" x14ac:dyDescent="0.35">
      <c r="A291" s="218">
        <v>20</v>
      </c>
      <c r="B291" s="219">
        <f>PETUNJUK!B28</f>
        <v>0</v>
      </c>
      <c r="C291" s="201"/>
      <c r="D291" s="201"/>
      <c r="E291" s="201"/>
      <c r="F291" s="201"/>
      <c r="G291" s="201"/>
      <c r="H291" s="201"/>
      <c r="I291" s="201"/>
      <c r="J291" s="201"/>
      <c r="K291" s="201"/>
      <c r="L291" s="201"/>
      <c r="M291" s="201"/>
      <c r="N291" s="201"/>
      <c r="O291" s="201"/>
      <c r="P291" s="201"/>
      <c r="Q291" s="201"/>
      <c r="R291" s="201"/>
      <c r="S291" s="201"/>
    </row>
    <row r="292" spans="1:19" ht="18" customHeight="1" x14ac:dyDescent="0.35">
      <c r="A292" s="218">
        <v>21</v>
      </c>
      <c r="B292" s="219">
        <f>PETUNJUK!B29</f>
        <v>0</v>
      </c>
      <c r="C292" s="201"/>
      <c r="D292" s="201"/>
      <c r="E292" s="201"/>
      <c r="F292" s="201"/>
      <c r="G292" s="201"/>
      <c r="H292" s="201"/>
      <c r="I292" s="201"/>
      <c r="J292" s="201"/>
      <c r="K292" s="201"/>
      <c r="L292" s="201"/>
      <c r="M292" s="201"/>
      <c r="N292" s="201"/>
      <c r="O292" s="201"/>
      <c r="P292" s="201"/>
      <c r="Q292" s="201"/>
      <c r="R292" s="201"/>
      <c r="S292" s="201"/>
    </row>
    <row r="293" spans="1:19" ht="18" customHeight="1" thickBot="1" x14ac:dyDescent="0.4">
      <c r="A293" s="247">
        <v>22</v>
      </c>
      <c r="B293" s="248">
        <f>PETUNJUK!B30</f>
        <v>0</v>
      </c>
      <c r="C293" s="249"/>
      <c r="D293" s="249"/>
      <c r="E293" s="249"/>
      <c r="F293" s="249"/>
      <c r="G293" s="249"/>
      <c r="H293" s="249"/>
      <c r="I293" s="249"/>
      <c r="J293" s="249"/>
      <c r="K293" s="249"/>
      <c r="L293" s="249"/>
      <c r="M293" s="249"/>
      <c r="N293" s="249"/>
      <c r="O293" s="249"/>
      <c r="P293" s="249"/>
      <c r="Q293" s="249"/>
      <c r="R293" s="249"/>
      <c r="S293" s="249"/>
    </row>
    <row r="294" spans="1:19" ht="18" customHeight="1" thickBot="1" x14ac:dyDescent="0.4">
      <c r="A294" s="928" t="s">
        <v>18</v>
      </c>
      <c r="B294" s="929"/>
      <c r="C294" s="252">
        <f t="shared" ref="C294:R294" si="8">SUM(C272:C293)</f>
        <v>0</v>
      </c>
      <c r="D294" s="252">
        <f t="shared" si="8"/>
        <v>0</v>
      </c>
      <c r="E294" s="252">
        <f t="shared" si="8"/>
        <v>0</v>
      </c>
      <c r="F294" s="252">
        <f t="shared" si="8"/>
        <v>0</v>
      </c>
      <c r="G294" s="252">
        <f t="shared" si="8"/>
        <v>0</v>
      </c>
      <c r="H294" s="252">
        <f t="shared" si="8"/>
        <v>0</v>
      </c>
      <c r="I294" s="252">
        <f t="shared" si="8"/>
        <v>0</v>
      </c>
      <c r="J294" s="252">
        <f t="shared" si="8"/>
        <v>0</v>
      </c>
      <c r="K294" s="252">
        <f t="shared" si="8"/>
        <v>0</v>
      </c>
      <c r="L294" s="252">
        <f t="shared" si="8"/>
        <v>0</v>
      </c>
      <c r="M294" s="252">
        <f t="shared" si="8"/>
        <v>0</v>
      </c>
      <c r="N294" s="252">
        <f t="shared" si="8"/>
        <v>0</v>
      </c>
      <c r="O294" s="252">
        <f t="shared" si="8"/>
        <v>0</v>
      </c>
      <c r="P294" s="252">
        <f t="shared" si="8"/>
        <v>0</v>
      </c>
      <c r="Q294" s="252">
        <f t="shared" si="8"/>
        <v>0</v>
      </c>
      <c r="R294" s="252">
        <f t="shared" si="8"/>
        <v>0</v>
      </c>
      <c r="S294" s="251"/>
    </row>
    <row r="295" spans="1:19" ht="15.5" x14ac:dyDescent="0.35">
      <c r="A295" s="220"/>
      <c r="B295" s="220"/>
      <c r="C295" s="232"/>
      <c r="D295" s="232"/>
      <c r="E295" s="232"/>
      <c r="F295" s="232"/>
      <c r="G295" s="232"/>
      <c r="H295" s="232"/>
      <c r="I295" s="232"/>
      <c r="J295" s="232"/>
      <c r="K295" s="232"/>
      <c r="L295" s="232"/>
      <c r="M295" s="232"/>
      <c r="N295" s="232"/>
      <c r="O295" s="232"/>
      <c r="P295" s="232"/>
      <c r="Q295" s="232"/>
      <c r="R295" s="232"/>
      <c r="S295" s="232"/>
    </row>
    <row r="296" spans="1:19" ht="15.5" x14ac:dyDescent="0.35">
      <c r="A296" s="222"/>
      <c r="B296" s="222"/>
      <c r="C296" s="204"/>
      <c r="D296" s="204"/>
      <c r="E296" s="204"/>
      <c r="F296" s="204"/>
      <c r="G296" s="204"/>
      <c r="H296" s="204"/>
      <c r="I296" s="232"/>
      <c r="J296" s="232"/>
      <c r="K296" s="204"/>
      <c r="L296" s="204"/>
      <c r="M296" s="204"/>
      <c r="N296" s="204"/>
      <c r="O296" s="204"/>
      <c r="P296" s="232"/>
      <c r="Q296" s="232"/>
      <c r="R296" s="232"/>
      <c r="S296" s="232"/>
    </row>
    <row r="297" spans="1:19" ht="15.5" x14ac:dyDescent="0.35">
      <c r="A297" s="216"/>
      <c r="B297" s="949"/>
      <c r="C297" s="949"/>
      <c r="D297" s="949"/>
      <c r="E297" s="949"/>
      <c r="F297" s="229"/>
      <c r="G297" s="229"/>
      <c r="H297" s="229"/>
      <c r="I297" s="229"/>
      <c r="J297" s="237"/>
      <c r="K297" s="237"/>
      <c r="L297" s="237"/>
      <c r="M297" s="237"/>
      <c r="N297" s="237"/>
      <c r="O297" s="237"/>
      <c r="P297" s="237"/>
      <c r="Q297" s="226"/>
      <c r="R297" s="226"/>
      <c r="S297" s="226"/>
    </row>
    <row r="298" spans="1:19" ht="15.5" x14ac:dyDescent="0.35">
      <c r="A298" s="930" t="s">
        <v>102</v>
      </c>
      <c r="B298" s="930"/>
      <c r="C298" s="930"/>
      <c r="D298" s="930"/>
      <c r="E298" s="930"/>
      <c r="F298" s="930"/>
      <c r="G298" s="930"/>
      <c r="H298" s="930"/>
      <c r="I298" s="930"/>
      <c r="J298" s="930"/>
      <c r="K298" s="930"/>
      <c r="L298" s="930"/>
      <c r="M298" s="930"/>
      <c r="N298" s="930"/>
      <c r="O298" s="930"/>
      <c r="P298" s="930"/>
      <c r="Q298" s="930"/>
      <c r="R298" s="930"/>
      <c r="S298" s="930"/>
    </row>
    <row r="299" spans="1:19" ht="15.5" x14ac:dyDescent="0.35">
      <c r="A299" s="213"/>
      <c r="B299" s="213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226"/>
    </row>
    <row r="300" spans="1:19" ht="15.5" x14ac:dyDescent="0.35">
      <c r="A300" s="244" t="s">
        <v>189</v>
      </c>
      <c r="B300" s="244"/>
      <c r="C300" s="197" t="str">
        <f>PETUNJUK!C5</f>
        <v>PECANGAAN</v>
      </c>
      <c r="D300" s="198"/>
      <c r="E300" s="229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226"/>
    </row>
    <row r="301" spans="1:19" ht="15.5" x14ac:dyDescent="0.35">
      <c r="A301" s="244" t="s">
        <v>369</v>
      </c>
      <c r="B301" s="244"/>
      <c r="C301" s="245" t="s">
        <v>398</v>
      </c>
      <c r="D301" s="198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226"/>
    </row>
    <row r="302" spans="1:19" ht="15.5" x14ac:dyDescent="0.35">
      <c r="A302" s="217"/>
      <c r="B302" s="217"/>
      <c r="C302" s="231"/>
      <c r="D302" s="231"/>
      <c r="E302" s="229"/>
      <c r="F302" s="229"/>
      <c r="G302" s="229"/>
      <c r="H302" s="229"/>
      <c r="I302" s="229"/>
      <c r="J302" s="229"/>
      <c r="K302" s="229"/>
      <c r="L302" s="229"/>
      <c r="M302" s="229"/>
      <c r="N302" s="229"/>
      <c r="O302" s="229"/>
      <c r="P302" s="229"/>
      <c r="Q302" s="229"/>
      <c r="R302" s="229"/>
      <c r="S302" s="226"/>
    </row>
    <row r="303" spans="1:19" ht="18" customHeight="1" x14ac:dyDescent="0.35">
      <c r="A303" s="931" t="s">
        <v>1</v>
      </c>
      <c r="B303" s="931" t="s">
        <v>2</v>
      </c>
      <c r="C303" s="933" t="s">
        <v>45</v>
      </c>
      <c r="D303" s="934"/>
      <c r="E303" s="933" t="s">
        <v>103</v>
      </c>
      <c r="F303" s="934"/>
      <c r="G303" s="933" t="s">
        <v>104</v>
      </c>
      <c r="H303" s="934"/>
      <c r="I303" s="933" t="s">
        <v>105</v>
      </c>
      <c r="J303" s="934"/>
      <c r="K303" s="933" t="s">
        <v>106</v>
      </c>
      <c r="L303" s="934"/>
      <c r="M303" s="933" t="s">
        <v>107</v>
      </c>
      <c r="N303" s="934"/>
      <c r="O303" s="933" t="s">
        <v>108</v>
      </c>
      <c r="P303" s="934"/>
      <c r="Q303" s="933" t="s">
        <v>109</v>
      </c>
      <c r="R303" s="934"/>
      <c r="S303" s="935" t="s">
        <v>25</v>
      </c>
    </row>
    <row r="304" spans="1:19" ht="18" customHeight="1" x14ac:dyDescent="0.35">
      <c r="A304" s="932"/>
      <c r="B304" s="932"/>
      <c r="C304" s="246" t="s">
        <v>110</v>
      </c>
      <c r="D304" s="246" t="s">
        <v>111</v>
      </c>
      <c r="E304" s="246" t="s">
        <v>110</v>
      </c>
      <c r="F304" s="246" t="s">
        <v>111</v>
      </c>
      <c r="G304" s="246" t="s">
        <v>110</v>
      </c>
      <c r="H304" s="246" t="s">
        <v>111</v>
      </c>
      <c r="I304" s="246" t="s">
        <v>110</v>
      </c>
      <c r="J304" s="246" t="s">
        <v>111</v>
      </c>
      <c r="K304" s="246" t="s">
        <v>110</v>
      </c>
      <c r="L304" s="246" t="s">
        <v>111</v>
      </c>
      <c r="M304" s="246" t="s">
        <v>110</v>
      </c>
      <c r="N304" s="246" t="s">
        <v>111</v>
      </c>
      <c r="O304" s="246" t="s">
        <v>110</v>
      </c>
      <c r="P304" s="246" t="s">
        <v>111</v>
      </c>
      <c r="Q304" s="246" t="s">
        <v>110</v>
      </c>
      <c r="R304" s="246" t="s">
        <v>111</v>
      </c>
      <c r="S304" s="936"/>
    </row>
    <row r="305" spans="1:19" ht="18" customHeight="1" x14ac:dyDescent="0.35">
      <c r="A305" s="218">
        <v>1</v>
      </c>
      <c r="B305" s="219" t="str">
        <f>PETUNJUK!B9</f>
        <v>Pecangaan Kulon</v>
      </c>
      <c r="C305" s="201"/>
      <c r="D305" s="201"/>
      <c r="E305" s="201"/>
      <c r="F305" s="201"/>
      <c r="G305" s="201"/>
      <c r="H305" s="201"/>
      <c r="I305" s="201"/>
      <c r="J305" s="201"/>
      <c r="K305" s="201"/>
      <c r="L305" s="201"/>
      <c r="M305" s="201"/>
      <c r="N305" s="201"/>
      <c r="O305" s="201"/>
      <c r="P305" s="201"/>
      <c r="Q305" s="201"/>
      <c r="R305" s="201"/>
      <c r="S305" s="201"/>
    </row>
    <row r="306" spans="1:19" ht="18" customHeight="1" x14ac:dyDescent="0.35">
      <c r="A306" s="218">
        <v>2</v>
      </c>
      <c r="B306" s="219" t="str">
        <f>PETUNJUK!B10</f>
        <v>Rengging</v>
      </c>
      <c r="C306" s="201"/>
      <c r="D306" s="201"/>
      <c r="E306" s="201"/>
      <c r="F306" s="201"/>
      <c r="G306" s="201"/>
      <c r="H306" s="201"/>
      <c r="I306" s="201"/>
      <c r="J306" s="201"/>
      <c r="K306" s="201"/>
      <c r="L306" s="201"/>
      <c r="M306" s="201"/>
      <c r="N306" s="201"/>
      <c r="O306" s="201"/>
      <c r="P306" s="201"/>
      <c r="Q306" s="201"/>
      <c r="R306" s="201"/>
      <c r="S306" s="201"/>
    </row>
    <row r="307" spans="1:19" ht="18" customHeight="1" x14ac:dyDescent="0.35">
      <c r="A307" s="218">
        <v>3</v>
      </c>
      <c r="B307" s="219" t="str">
        <f>PETUNJUK!B11</f>
        <v>Troso</v>
      </c>
      <c r="C307" s="201"/>
      <c r="D307" s="201"/>
      <c r="E307" s="201"/>
      <c r="F307" s="201"/>
      <c r="G307" s="201"/>
      <c r="H307" s="201"/>
      <c r="I307" s="201"/>
      <c r="J307" s="201"/>
      <c r="K307" s="201"/>
      <c r="L307" s="201"/>
      <c r="M307" s="201"/>
      <c r="N307" s="201"/>
      <c r="O307" s="201"/>
      <c r="P307" s="201"/>
      <c r="Q307" s="201"/>
      <c r="R307" s="201"/>
      <c r="S307" s="201"/>
    </row>
    <row r="308" spans="1:19" ht="18" customHeight="1" x14ac:dyDescent="0.35">
      <c r="A308" s="218">
        <v>4</v>
      </c>
      <c r="B308" s="219" t="str">
        <f>PETUNJUK!B12</f>
        <v>Ngeling</v>
      </c>
      <c r="C308" s="201"/>
      <c r="D308" s="201"/>
      <c r="E308" s="201"/>
      <c r="F308" s="201"/>
      <c r="G308" s="201"/>
      <c r="H308" s="201"/>
      <c r="I308" s="201"/>
      <c r="J308" s="201"/>
      <c r="K308" s="201"/>
      <c r="L308" s="201"/>
      <c r="M308" s="201"/>
      <c r="N308" s="201"/>
      <c r="O308" s="201"/>
      <c r="P308" s="201"/>
      <c r="Q308" s="201"/>
      <c r="R308" s="201"/>
      <c r="S308" s="201"/>
    </row>
    <row r="309" spans="1:19" ht="18" customHeight="1" x14ac:dyDescent="0.35">
      <c r="A309" s="218">
        <v>5</v>
      </c>
      <c r="B309" s="219" t="str">
        <f>PETUNJUK!B13</f>
        <v>Lebuawu</v>
      </c>
      <c r="C309" s="201"/>
      <c r="D309" s="201"/>
      <c r="E309" s="201"/>
      <c r="F309" s="201"/>
      <c r="G309" s="201"/>
      <c r="H309" s="201"/>
      <c r="I309" s="201"/>
      <c r="J309" s="201"/>
      <c r="K309" s="201"/>
      <c r="L309" s="201"/>
      <c r="M309" s="201"/>
      <c r="N309" s="201"/>
      <c r="O309" s="201"/>
      <c r="P309" s="201"/>
      <c r="Q309" s="201"/>
      <c r="R309" s="201"/>
      <c r="S309" s="201"/>
    </row>
    <row r="310" spans="1:19" ht="18" customHeight="1" x14ac:dyDescent="0.35">
      <c r="A310" s="218">
        <v>6</v>
      </c>
      <c r="B310" s="219" t="str">
        <f>PETUNJUK!B14</f>
        <v>Pulodarat</v>
      </c>
      <c r="C310" s="201"/>
      <c r="D310" s="201"/>
      <c r="E310" s="201"/>
      <c r="F310" s="201"/>
      <c r="G310" s="201"/>
      <c r="H310" s="201"/>
      <c r="I310" s="201"/>
      <c r="J310" s="201"/>
      <c r="K310" s="201"/>
      <c r="L310" s="201"/>
      <c r="M310" s="201"/>
      <c r="N310" s="201"/>
      <c r="O310" s="201"/>
      <c r="P310" s="201"/>
      <c r="Q310" s="201"/>
      <c r="R310" s="201"/>
      <c r="S310" s="201"/>
    </row>
    <row r="311" spans="1:19" ht="18" customHeight="1" x14ac:dyDescent="0.35">
      <c r="A311" s="218">
        <v>7</v>
      </c>
      <c r="B311" s="219" t="str">
        <f>PETUNJUK!B15</f>
        <v>Karangrandu</v>
      </c>
      <c r="C311" s="201"/>
      <c r="D311" s="201"/>
      <c r="E311" s="201"/>
      <c r="F311" s="201"/>
      <c r="G311" s="201"/>
      <c r="H311" s="201"/>
      <c r="I311" s="201"/>
      <c r="J311" s="201"/>
      <c r="K311" s="201"/>
      <c r="L311" s="201"/>
      <c r="M311" s="201"/>
      <c r="N311" s="201"/>
      <c r="O311" s="201"/>
      <c r="P311" s="201"/>
      <c r="Q311" s="201"/>
      <c r="R311" s="201"/>
      <c r="S311" s="201"/>
    </row>
    <row r="312" spans="1:19" ht="18" customHeight="1" x14ac:dyDescent="0.35">
      <c r="A312" s="218">
        <v>8</v>
      </c>
      <c r="B312" s="219" t="str">
        <f>PETUNJUK!B16</f>
        <v>Kaliombo</v>
      </c>
      <c r="C312" s="201"/>
      <c r="D312" s="201"/>
      <c r="E312" s="201"/>
      <c r="F312" s="201"/>
      <c r="G312" s="201"/>
      <c r="H312" s="201"/>
      <c r="I312" s="201"/>
      <c r="J312" s="201"/>
      <c r="K312" s="201"/>
      <c r="L312" s="201"/>
      <c r="M312" s="201"/>
      <c r="N312" s="201"/>
      <c r="O312" s="201"/>
      <c r="P312" s="201"/>
      <c r="Q312" s="201"/>
      <c r="R312" s="201"/>
      <c r="S312" s="201"/>
    </row>
    <row r="313" spans="1:19" ht="18" customHeight="1" x14ac:dyDescent="0.35">
      <c r="A313" s="218">
        <v>9</v>
      </c>
      <c r="B313" s="219" t="str">
        <f>PETUNJUK!B17</f>
        <v>Gemulung</v>
      </c>
      <c r="C313" s="201"/>
      <c r="D313" s="201"/>
      <c r="E313" s="201"/>
      <c r="F313" s="201"/>
      <c r="G313" s="201"/>
      <c r="H313" s="201"/>
      <c r="I313" s="201"/>
      <c r="J313" s="201"/>
      <c r="K313" s="201"/>
      <c r="L313" s="201"/>
      <c r="M313" s="201"/>
      <c r="N313" s="201"/>
      <c r="O313" s="201"/>
      <c r="P313" s="201"/>
      <c r="Q313" s="201"/>
      <c r="R313" s="201"/>
      <c r="S313" s="201"/>
    </row>
    <row r="314" spans="1:19" ht="18" customHeight="1" x14ac:dyDescent="0.35">
      <c r="A314" s="218">
        <v>10</v>
      </c>
      <c r="B314" s="219" t="str">
        <f>PETUNJUK!B18</f>
        <v>Pecangaan Wetan</v>
      </c>
      <c r="C314" s="201"/>
      <c r="D314" s="201"/>
      <c r="E314" s="201"/>
      <c r="F314" s="201"/>
      <c r="G314" s="201"/>
      <c r="H314" s="201"/>
      <c r="I314" s="201"/>
      <c r="J314" s="201"/>
      <c r="K314" s="201"/>
      <c r="L314" s="201"/>
      <c r="M314" s="201"/>
      <c r="N314" s="201"/>
      <c r="O314" s="201"/>
      <c r="P314" s="201"/>
      <c r="Q314" s="201"/>
      <c r="R314" s="201"/>
      <c r="S314" s="201"/>
    </row>
    <row r="315" spans="1:19" ht="18" customHeight="1" x14ac:dyDescent="0.35">
      <c r="A315" s="218">
        <v>11</v>
      </c>
      <c r="B315" s="219" t="str">
        <f>PETUNJUK!B19</f>
        <v>Krasak</v>
      </c>
      <c r="C315" s="201"/>
      <c r="D315" s="201"/>
      <c r="E315" s="201"/>
      <c r="F315" s="201"/>
      <c r="G315" s="201"/>
      <c r="H315" s="201"/>
      <c r="I315" s="201"/>
      <c r="J315" s="201"/>
      <c r="K315" s="201"/>
      <c r="L315" s="201"/>
      <c r="M315" s="201"/>
      <c r="N315" s="201"/>
      <c r="O315" s="201"/>
      <c r="P315" s="201"/>
      <c r="Q315" s="201"/>
      <c r="R315" s="201"/>
      <c r="S315" s="201"/>
    </row>
    <row r="316" spans="1:19" ht="18" customHeight="1" x14ac:dyDescent="0.35">
      <c r="A316" s="218">
        <v>12</v>
      </c>
      <c r="B316" s="219" t="str">
        <f>PETUNJUK!B20</f>
        <v>Gerdu</v>
      </c>
      <c r="C316" s="201"/>
      <c r="D316" s="201"/>
      <c r="E316" s="201"/>
      <c r="F316" s="201"/>
      <c r="G316" s="201"/>
      <c r="H316" s="201"/>
      <c r="I316" s="201"/>
      <c r="J316" s="201"/>
      <c r="K316" s="201"/>
      <c r="L316" s="201"/>
      <c r="M316" s="201"/>
      <c r="N316" s="201"/>
      <c r="O316" s="201"/>
      <c r="P316" s="201"/>
      <c r="Q316" s="201"/>
      <c r="R316" s="201"/>
      <c r="S316" s="201"/>
    </row>
    <row r="317" spans="1:19" ht="18" customHeight="1" x14ac:dyDescent="0.35">
      <c r="A317" s="218">
        <v>13</v>
      </c>
      <c r="B317" s="219">
        <f>PETUNJUK!B21</f>
        <v>0</v>
      </c>
      <c r="C317" s="201"/>
      <c r="D317" s="201"/>
      <c r="E317" s="201"/>
      <c r="F317" s="201"/>
      <c r="G317" s="201"/>
      <c r="H317" s="201"/>
      <c r="I317" s="201"/>
      <c r="J317" s="201"/>
      <c r="K317" s="201"/>
      <c r="L317" s="201"/>
      <c r="M317" s="201"/>
      <c r="N317" s="201"/>
      <c r="O317" s="201"/>
      <c r="P317" s="201"/>
      <c r="Q317" s="201"/>
      <c r="R317" s="201"/>
      <c r="S317" s="201"/>
    </row>
    <row r="318" spans="1:19" ht="18" customHeight="1" x14ac:dyDescent="0.35">
      <c r="A318" s="218">
        <v>14</v>
      </c>
      <c r="B318" s="219">
        <f>PETUNJUK!B22</f>
        <v>0</v>
      </c>
      <c r="C318" s="201"/>
      <c r="D318" s="201"/>
      <c r="E318" s="201"/>
      <c r="F318" s="201"/>
      <c r="G318" s="201"/>
      <c r="H318" s="201"/>
      <c r="I318" s="201"/>
      <c r="J318" s="201"/>
      <c r="K318" s="201"/>
      <c r="L318" s="201"/>
      <c r="M318" s="201"/>
      <c r="N318" s="201"/>
      <c r="O318" s="201"/>
      <c r="P318" s="201"/>
      <c r="Q318" s="201"/>
      <c r="R318" s="201"/>
      <c r="S318" s="201"/>
    </row>
    <row r="319" spans="1:19" ht="18" customHeight="1" x14ac:dyDescent="0.35">
      <c r="A319" s="218">
        <v>15</v>
      </c>
      <c r="B319" s="219">
        <f>PETUNJUK!B23</f>
        <v>0</v>
      </c>
      <c r="C319" s="201"/>
      <c r="D319" s="201"/>
      <c r="E319" s="201"/>
      <c r="F319" s="201"/>
      <c r="G319" s="201"/>
      <c r="H319" s="201"/>
      <c r="I319" s="201"/>
      <c r="J319" s="201"/>
      <c r="K319" s="201"/>
      <c r="L319" s="201"/>
      <c r="M319" s="201"/>
      <c r="N319" s="201"/>
      <c r="O319" s="201"/>
      <c r="P319" s="201"/>
      <c r="Q319" s="201"/>
      <c r="R319" s="201"/>
      <c r="S319" s="201"/>
    </row>
    <row r="320" spans="1:19" ht="18" customHeight="1" x14ac:dyDescent="0.35">
      <c r="A320" s="218">
        <v>16</v>
      </c>
      <c r="B320" s="219">
        <f>PETUNJUK!B24</f>
        <v>0</v>
      </c>
      <c r="C320" s="201"/>
      <c r="D320" s="201"/>
      <c r="E320" s="201"/>
      <c r="F320" s="201"/>
      <c r="G320" s="201"/>
      <c r="H320" s="201"/>
      <c r="I320" s="201"/>
      <c r="J320" s="201"/>
      <c r="K320" s="201"/>
      <c r="L320" s="201"/>
      <c r="M320" s="201"/>
      <c r="N320" s="201"/>
      <c r="O320" s="201"/>
      <c r="P320" s="201"/>
      <c r="Q320" s="201"/>
      <c r="R320" s="201"/>
      <c r="S320" s="201"/>
    </row>
    <row r="321" spans="1:19" ht="18" customHeight="1" x14ac:dyDescent="0.35">
      <c r="A321" s="218">
        <v>17</v>
      </c>
      <c r="B321" s="219">
        <f>PETUNJUK!B25</f>
        <v>0</v>
      </c>
      <c r="C321" s="201"/>
      <c r="D321" s="201"/>
      <c r="E321" s="201"/>
      <c r="F321" s="201"/>
      <c r="G321" s="201"/>
      <c r="H321" s="201"/>
      <c r="I321" s="201"/>
      <c r="J321" s="201"/>
      <c r="K321" s="201"/>
      <c r="L321" s="201"/>
      <c r="M321" s="201"/>
      <c r="N321" s="201"/>
      <c r="O321" s="201"/>
      <c r="P321" s="201"/>
      <c r="Q321" s="201"/>
      <c r="R321" s="201"/>
      <c r="S321" s="201"/>
    </row>
    <row r="322" spans="1:19" ht="18" customHeight="1" x14ac:dyDescent="0.35">
      <c r="A322" s="218">
        <v>18</v>
      </c>
      <c r="B322" s="219">
        <f>PETUNJUK!B26</f>
        <v>0</v>
      </c>
      <c r="C322" s="201"/>
      <c r="D322" s="201"/>
      <c r="E322" s="201"/>
      <c r="F322" s="201"/>
      <c r="G322" s="201"/>
      <c r="H322" s="201"/>
      <c r="I322" s="201"/>
      <c r="J322" s="201"/>
      <c r="K322" s="201"/>
      <c r="L322" s="201"/>
      <c r="M322" s="201"/>
      <c r="N322" s="201"/>
      <c r="O322" s="201"/>
      <c r="P322" s="201"/>
      <c r="Q322" s="201"/>
      <c r="R322" s="201"/>
      <c r="S322" s="201"/>
    </row>
    <row r="323" spans="1:19" ht="18" customHeight="1" x14ac:dyDescent="0.35">
      <c r="A323" s="218">
        <v>19</v>
      </c>
      <c r="B323" s="219">
        <f>PETUNJUK!B27</f>
        <v>0</v>
      </c>
      <c r="C323" s="201"/>
      <c r="D323" s="201"/>
      <c r="E323" s="201"/>
      <c r="F323" s="201"/>
      <c r="G323" s="201"/>
      <c r="H323" s="201"/>
      <c r="I323" s="201"/>
      <c r="J323" s="201"/>
      <c r="K323" s="201"/>
      <c r="L323" s="201"/>
      <c r="M323" s="201"/>
      <c r="N323" s="201"/>
      <c r="O323" s="201"/>
      <c r="P323" s="201"/>
      <c r="Q323" s="201"/>
      <c r="R323" s="201"/>
      <c r="S323" s="201"/>
    </row>
    <row r="324" spans="1:19" ht="18" customHeight="1" x14ac:dyDescent="0.35">
      <c r="A324" s="218">
        <v>20</v>
      </c>
      <c r="B324" s="219">
        <f>PETUNJUK!B28</f>
        <v>0</v>
      </c>
      <c r="C324" s="201"/>
      <c r="D324" s="201"/>
      <c r="E324" s="201"/>
      <c r="F324" s="201"/>
      <c r="G324" s="201"/>
      <c r="H324" s="201"/>
      <c r="I324" s="201"/>
      <c r="J324" s="201"/>
      <c r="K324" s="201"/>
      <c r="L324" s="201"/>
      <c r="M324" s="201"/>
      <c r="N324" s="201"/>
      <c r="O324" s="201"/>
      <c r="P324" s="201"/>
      <c r="Q324" s="201"/>
      <c r="R324" s="201"/>
      <c r="S324" s="201"/>
    </row>
    <row r="325" spans="1:19" ht="18" customHeight="1" x14ac:dyDescent="0.35">
      <c r="A325" s="218">
        <v>21</v>
      </c>
      <c r="B325" s="219">
        <f>PETUNJUK!B29</f>
        <v>0</v>
      </c>
      <c r="C325" s="201"/>
      <c r="D325" s="201"/>
      <c r="E325" s="201"/>
      <c r="F325" s="201"/>
      <c r="G325" s="201"/>
      <c r="H325" s="201"/>
      <c r="I325" s="201"/>
      <c r="J325" s="201"/>
      <c r="K325" s="201"/>
      <c r="L325" s="201"/>
      <c r="M325" s="201"/>
      <c r="N325" s="201"/>
      <c r="O325" s="201"/>
      <c r="P325" s="201"/>
      <c r="Q325" s="201"/>
      <c r="R325" s="201"/>
      <c r="S325" s="201"/>
    </row>
    <row r="326" spans="1:19" ht="18" customHeight="1" thickBot="1" x14ac:dyDescent="0.4">
      <c r="A326" s="247">
        <v>22</v>
      </c>
      <c r="B326" s="248">
        <f>PETUNJUK!B30</f>
        <v>0</v>
      </c>
      <c r="C326" s="249"/>
      <c r="D326" s="249"/>
      <c r="E326" s="249"/>
      <c r="F326" s="249"/>
      <c r="G326" s="249"/>
      <c r="H326" s="249"/>
      <c r="I326" s="249"/>
      <c r="J326" s="249"/>
      <c r="K326" s="249"/>
      <c r="L326" s="249"/>
      <c r="M326" s="249"/>
      <c r="N326" s="249"/>
      <c r="O326" s="249"/>
      <c r="P326" s="249"/>
      <c r="Q326" s="249"/>
      <c r="R326" s="249"/>
      <c r="S326" s="249"/>
    </row>
    <row r="327" spans="1:19" ht="18" customHeight="1" thickBot="1" x14ac:dyDescent="0.4">
      <c r="A327" s="928" t="s">
        <v>18</v>
      </c>
      <c r="B327" s="929"/>
      <c r="C327" s="252">
        <f>SUM(C305:C326)</f>
        <v>0</v>
      </c>
      <c r="D327" s="252">
        <f t="shared" ref="D327:R327" si="9">SUM(D305:D326)</f>
        <v>0</v>
      </c>
      <c r="E327" s="252">
        <f t="shared" si="9"/>
        <v>0</v>
      </c>
      <c r="F327" s="252">
        <f t="shared" si="9"/>
        <v>0</v>
      </c>
      <c r="G327" s="252">
        <f t="shared" si="9"/>
        <v>0</v>
      </c>
      <c r="H327" s="252">
        <f t="shared" si="9"/>
        <v>0</v>
      </c>
      <c r="I327" s="252">
        <f t="shared" si="9"/>
        <v>0</v>
      </c>
      <c r="J327" s="252">
        <f t="shared" si="9"/>
        <v>0</v>
      </c>
      <c r="K327" s="252">
        <f t="shared" si="9"/>
        <v>0</v>
      </c>
      <c r="L327" s="252">
        <f t="shared" si="9"/>
        <v>0</v>
      </c>
      <c r="M327" s="252">
        <f t="shared" si="9"/>
        <v>0</v>
      </c>
      <c r="N327" s="252">
        <f t="shared" si="9"/>
        <v>0</v>
      </c>
      <c r="O327" s="252">
        <f t="shared" si="9"/>
        <v>0</v>
      </c>
      <c r="P327" s="252">
        <f t="shared" si="9"/>
        <v>0</v>
      </c>
      <c r="Q327" s="252">
        <f t="shared" si="9"/>
        <v>0</v>
      </c>
      <c r="R327" s="252">
        <f t="shared" si="9"/>
        <v>0</v>
      </c>
      <c r="S327" s="251"/>
    </row>
    <row r="328" spans="1:19" ht="15.5" x14ac:dyDescent="0.35">
      <c r="A328" s="220"/>
      <c r="B328" s="220"/>
      <c r="C328" s="232"/>
      <c r="D328" s="232"/>
      <c r="E328" s="232"/>
      <c r="F328" s="232"/>
      <c r="G328" s="232"/>
      <c r="H328" s="232"/>
      <c r="I328" s="232"/>
      <c r="J328" s="232"/>
      <c r="K328" s="232"/>
      <c r="L328" s="232"/>
      <c r="M328" s="232"/>
      <c r="N328" s="232"/>
      <c r="O328" s="232"/>
      <c r="P328" s="232"/>
      <c r="Q328" s="232"/>
      <c r="R328" s="232"/>
      <c r="S328" s="232"/>
    </row>
    <row r="329" spans="1:19" ht="15.5" x14ac:dyDescent="0.35">
      <c r="A329" s="222"/>
      <c r="B329" s="222"/>
      <c r="C329" s="204"/>
      <c r="D329" s="204"/>
      <c r="E329" s="204"/>
      <c r="F329" s="204"/>
      <c r="G329" s="204"/>
      <c r="H329" s="204"/>
      <c r="I329" s="232"/>
      <c r="J329" s="232"/>
      <c r="K329" s="204"/>
      <c r="L329" s="204"/>
      <c r="M329" s="204"/>
      <c r="N329" s="204"/>
      <c r="O329" s="204"/>
      <c r="P329" s="232"/>
      <c r="Q329" s="232"/>
      <c r="R329" s="232"/>
      <c r="S329" s="232"/>
    </row>
    <row r="330" spans="1:19" ht="15.5" x14ac:dyDescent="0.35">
      <c r="A330" s="222"/>
      <c r="B330" s="945"/>
      <c r="C330" s="945"/>
      <c r="D330" s="945"/>
      <c r="E330" s="945"/>
      <c r="F330" s="204"/>
      <c r="G330" s="204"/>
      <c r="H330" s="204"/>
      <c r="I330" s="204"/>
      <c r="J330" s="235"/>
      <c r="K330" s="235"/>
      <c r="L330" s="235"/>
      <c r="M330" s="235"/>
      <c r="N330" s="235"/>
      <c r="O330" s="235"/>
      <c r="P330" s="235"/>
      <c r="Q330" s="232"/>
      <c r="R330" s="232"/>
      <c r="S330" s="232"/>
    </row>
    <row r="331" spans="1:19" ht="15.5" x14ac:dyDescent="0.35">
      <c r="A331" s="930" t="s">
        <v>102</v>
      </c>
      <c r="B331" s="930"/>
      <c r="C331" s="930"/>
      <c r="D331" s="930"/>
      <c r="E331" s="930"/>
      <c r="F331" s="930"/>
      <c r="G331" s="930"/>
      <c r="H331" s="930"/>
      <c r="I331" s="930"/>
      <c r="J331" s="930"/>
      <c r="K331" s="930"/>
      <c r="L331" s="930"/>
      <c r="M331" s="930"/>
      <c r="N331" s="930"/>
      <c r="O331" s="930"/>
      <c r="P331" s="930"/>
      <c r="Q331" s="930"/>
      <c r="R331" s="930"/>
      <c r="S331" s="930"/>
    </row>
    <row r="332" spans="1:19" ht="15.5" x14ac:dyDescent="0.35">
      <c r="A332" s="213"/>
      <c r="B332" s="213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226"/>
    </row>
    <row r="333" spans="1:19" ht="15.5" x14ac:dyDescent="0.35">
      <c r="A333" s="214" t="s">
        <v>189</v>
      </c>
      <c r="B333" s="214"/>
      <c r="C333" s="228" t="str">
        <f>PETUNJUK!C5</f>
        <v>PECANGAAN</v>
      </c>
      <c r="D333" s="229"/>
      <c r="E333" s="229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226"/>
    </row>
    <row r="334" spans="1:19" ht="15.5" x14ac:dyDescent="0.35">
      <c r="A334" s="214" t="s">
        <v>201</v>
      </c>
      <c r="B334" s="214"/>
      <c r="C334" s="959" t="s">
        <v>399</v>
      </c>
      <c r="D334" s="959"/>
      <c r="E334" s="959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226"/>
    </row>
    <row r="335" spans="1:19" ht="16" thickBot="1" x14ac:dyDescent="0.4">
      <c r="A335" s="216"/>
      <c r="B335" s="216"/>
      <c r="C335" s="229"/>
      <c r="D335" s="229"/>
      <c r="E335" s="229"/>
      <c r="F335" s="229"/>
      <c r="G335" s="229"/>
      <c r="H335" s="229"/>
      <c r="I335" s="229"/>
      <c r="J335" s="229"/>
      <c r="K335" s="229"/>
      <c r="L335" s="229"/>
      <c r="M335" s="229"/>
      <c r="N335" s="229"/>
      <c r="O335" s="229"/>
      <c r="P335" s="229"/>
      <c r="Q335" s="229"/>
      <c r="R335" s="229"/>
      <c r="S335" s="226"/>
    </row>
    <row r="336" spans="1:19" ht="18" customHeight="1" x14ac:dyDescent="0.35">
      <c r="A336" s="939" t="s">
        <v>1</v>
      </c>
      <c r="B336" s="941" t="s">
        <v>2</v>
      </c>
      <c r="C336" s="943" t="s">
        <v>45</v>
      </c>
      <c r="D336" s="944"/>
      <c r="E336" s="943" t="s">
        <v>103</v>
      </c>
      <c r="F336" s="944"/>
      <c r="G336" s="943" t="s">
        <v>104</v>
      </c>
      <c r="H336" s="944"/>
      <c r="I336" s="943" t="s">
        <v>105</v>
      </c>
      <c r="J336" s="944"/>
      <c r="K336" s="943" t="s">
        <v>106</v>
      </c>
      <c r="L336" s="944"/>
      <c r="M336" s="943" t="s">
        <v>107</v>
      </c>
      <c r="N336" s="944"/>
      <c r="O336" s="943" t="s">
        <v>108</v>
      </c>
      <c r="P336" s="944"/>
      <c r="Q336" s="943" t="s">
        <v>109</v>
      </c>
      <c r="R336" s="944"/>
      <c r="S336" s="950" t="s">
        <v>25</v>
      </c>
    </row>
    <row r="337" spans="1:19" ht="18" customHeight="1" thickBot="1" x14ac:dyDescent="0.4">
      <c r="A337" s="940"/>
      <c r="B337" s="942"/>
      <c r="C337" s="254" t="s">
        <v>110</v>
      </c>
      <c r="D337" s="254" t="s">
        <v>111</v>
      </c>
      <c r="E337" s="254" t="s">
        <v>110</v>
      </c>
      <c r="F337" s="254" t="s">
        <v>111</v>
      </c>
      <c r="G337" s="254" t="s">
        <v>110</v>
      </c>
      <c r="H337" s="254" t="s">
        <v>111</v>
      </c>
      <c r="I337" s="254" t="s">
        <v>110</v>
      </c>
      <c r="J337" s="254" t="s">
        <v>111</v>
      </c>
      <c r="K337" s="254" t="s">
        <v>110</v>
      </c>
      <c r="L337" s="254" t="s">
        <v>111</v>
      </c>
      <c r="M337" s="254" t="s">
        <v>110</v>
      </c>
      <c r="N337" s="254" t="s">
        <v>111</v>
      </c>
      <c r="O337" s="254" t="s">
        <v>110</v>
      </c>
      <c r="P337" s="254" t="s">
        <v>111</v>
      </c>
      <c r="Q337" s="254" t="s">
        <v>110</v>
      </c>
      <c r="R337" s="254" t="s">
        <v>111</v>
      </c>
      <c r="S337" s="951"/>
    </row>
    <row r="338" spans="1:19" ht="18" customHeight="1" x14ac:dyDescent="0.35">
      <c r="A338" s="211">
        <v>1</v>
      </c>
      <c r="B338" s="253" t="str">
        <f>PETUNJUK!B9</f>
        <v>Pecangaan Kulon</v>
      </c>
      <c r="C338" s="201"/>
      <c r="D338" s="201"/>
      <c r="E338" s="201"/>
      <c r="F338" s="201"/>
      <c r="G338" s="201"/>
      <c r="H338" s="201"/>
      <c r="I338" s="201"/>
      <c r="J338" s="201"/>
      <c r="K338" s="201"/>
      <c r="L338" s="201"/>
      <c r="M338" s="201"/>
      <c r="N338" s="201"/>
      <c r="O338" s="201"/>
      <c r="P338" s="201"/>
      <c r="Q338" s="201"/>
      <c r="R338" s="201"/>
      <c r="S338" s="212"/>
    </row>
    <row r="339" spans="1:19" ht="18" customHeight="1" x14ac:dyDescent="0.35">
      <c r="A339" s="218">
        <v>2</v>
      </c>
      <c r="B339" s="219" t="str">
        <f>PETUNJUK!B10</f>
        <v>Rengging</v>
      </c>
      <c r="C339" s="201"/>
      <c r="D339" s="201"/>
      <c r="E339" s="201"/>
      <c r="F339" s="201"/>
      <c r="G339" s="201"/>
      <c r="H339" s="201"/>
      <c r="I339" s="201"/>
      <c r="J339" s="201"/>
      <c r="K339" s="201"/>
      <c r="L339" s="201"/>
      <c r="M339" s="201"/>
      <c r="N339" s="201"/>
      <c r="O339" s="201"/>
      <c r="P339" s="201"/>
      <c r="Q339" s="201"/>
      <c r="R339" s="201"/>
      <c r="S339" s="201"/>
    </row>
    <row r="340" spans="1:19" ht="18" customHeight="1" x14ac:dyDescent="0.35">
      <c r="A340" s="218">
        <v>3</v>
      </c>
      <c r="B340" s="219" t="str">
        <f>PETUNJUK!B11</f>
        <v>Troso</v>
      </c>
      <c r="C340" s="201"/>
      <c r="D340" s="201"/>
      <c r="E340" s="201"/>
      <c r="F340" s="201"/>
      <c r="G340" s="201"/>
      <c r="H340" s="201"/>
      <c r="I340" s="201"/>
      <c r="J340" s="201"/>
      <c r="K340" s="201"/>
      <c r="L340" s="201"/>
      <c r="M340" s="201"/>
      <c r="N340" s="201"/>
      <c r="O340" s="201"/>
      <c r="P340" s="201"/>
      <c r="Q340" s="201"/>
      <c r="R340" s="201"/>
      <c r="S340" s="201"/>
    </row>
    <row r="341" spans="1:19" ht="18" customHeight="1" x14ac:dyDescent="0.35">
      <c r="A341" s="218">
        <v>4</v>
      </c>
      <c r="B341" s="219" t="str">
        <f>PETUNJUK!B12</f>
        <v>Ngeling</v>
      </c>
      <c r="C341" s="201"/>
      <c r="D341" s="201"/>
      <c r="E341" s="201"/>
      <c r="F341" s="201"/>
      <c r="G341" s="201"/>
      <c r="H341" s="201"/>
      <c r="I341" s="201"/>
      <c r="J341" s="201"/>
      <c r="K341" s="201"/>
      <c r="L341" s="201"/>
      <c r="M341" s="201"/>
      <c r="N341" s="201"/>
      <c r="O341" s="201"/>
      <c r="P341" s="201"/>
      <c r="Q341" s="201"/>
      <c r="R341" s="201"/>
      <c r="S341" s="201"/>
    </row>
    <row r="342" spans="1:19" ht="18" customHeight="1" x14ac:dyDescent="0.35">
      <c r="A342" s="218">
        <v>5</v>
      </c>
      <c r="B342" s="219" t="str">
        <f>PETUNJUK!B13</f>
        <v>Lebuawu</v>
      </c>
      <c r="C342" s="201"/>
      <c r="D342" s="201"/>
      <c r="E342" s="201"/>
      <c r="F342" s="201"/>
      <c r="G342" s="201"/>
      <c r="H342" s="201"/>
      <c r="I342" s="201"/>
      <c r="J342" s="201"/>
      <c r="K342" s="201"/>
      <c r="L342" s="201"/>
      <c r="M342" s="201"/>
      <c r="N342" s="201"/>
      <c r="O342" s="201"/>
      <c r="P342" s="201"/>
      <c r="Q342" s="201"/>
      <c r="R342" s="201"/>
      <c r="S342" s="201"/>
    </row>
    <row r="343" spans="1:19" ht="18" customHeight="1" x14ac:dyDescent="0.35">
      <c r="A343" s="218">
        <v>6</v>
      </c>
      <c r="B343" s="219" t="str">
        <f>PETUNJUK!B14</f>
        <v>Pulodarat</v>
      </c>
      <c r="C343" s="201"/>
      <c r="D343" s="201"/>
      <c r="E343" s="201"/>
      <c r="F343" s="201"/>
      <c r="G343" s="201"/>
      <c r="H343" s="201"/>
      <c r="I343" s="201"/>
      <c r="J343" s="201"/>
      <c r="K343" s="201"/>
      <c r="L343" s="201"/>
      <c r="M343" s="201"/>
      <c r="N343" s="201"/>
      <c r="O343" s="201"/>
      <c r="P343" s="201"/>
      <c r="Q343" s="201"/>
      <c r="R343" s="201"/>
      <c r="S343" s="201"/>
    </row>
    <row r="344" spans="1:19" ht="18" customHeight="1" x14ac:dyDescent="0.35">
      <c r="A344" s="218">
        <v>7</v>
      </c>
      <c r="B344" s="219" t="str">
        <f>PETUNJUK!B15</f>
        <v>Karangrandu</v>
      </c>
      <c r="C344" s="201"/>
      <c r="D344" s="201"/>
      <c r="E344" s="201"/>
      <c r="F344" s="201"/>
      <c r="G344" s="201"/>
      <c r="H344" s="201"/>
      <c r="I344" s="201"/>
      <c r="J344" s="201"/>
      <c r="K344" s="201"/>
      <c r="L344" s="201"/>
      <c r="M344" s="201"/>
      <c r="N344" s="201"/>
      <c r="O344" s="201"/>
      <c r="P344" s="201"/>
      <c r="Q344" s="201"/>
      <c r="R344" s="201"/>
      <c r="S344" s="201"/>
    </row>
    <row r="345" spans="1:19" ht="18" customHeight="1" x14ac:dyDescent="0.35">
      <c r="A345" s="218">
        <v>8</v>
      </c>
      <c r="B345" s="219" t="str">
        <f>PETUNJUK!B16</f>
        <v>Kaliombo</v>
      </c>
      <c r="C345" s="201"/>
      <c r="D345" s="201"/>
      <c r="E345" s="201"/>
      <c r="F345" s="201"/>
      <c r="G345" s="201"/>
      <c r="H345" s="201"/>
      <c r="I345" s="201"/>
      <c r="J345" s="201"/>
      <c r="K345" s="201"/>
      <c r="L345" s="201"/>
      <c r="M345" s="201"/>
      <c r="N345" s="201"/>
      <c r="O345" s="201"/>
      <c r="P345" s="201"/>
      <c r="Q345" s="201"/>
      <c r="R345" s="201"/>
      <c r="S345" s="201"/>
    </row>
    <row r="346" spans="1:19" ht="18" customHeight="1" x14ac:dyDescent="0.35">
      <c r="A346" s="218">
        <v>9</v>
      </c>
      <c r="B346" s="219" t="str">
        <f>PETUNJUK!B17</f>
        <v>Gemulung</v>
      </c>
      <c r="C346" s="201"/>
      <c r="D346" s="201"/>
      <c r="E346" s="201"/>
      <c r="F346" s="201"/>
      <c r="G346" s="201"/>
      <c r="H346" s="201"/>
      <c r="I346" s="201"/>
      <c r="J346" s="201"/>
      <c r="K346" s="201"/>
      <c r="L346" s="201"/>
      <c r="M346" s="201"/>
      <c r="N346" s="201"/>
      <c r="O346" s="201"/>
      <c r="P346" s="201"/>
      <c r="Q346" s="201"/>
      <c r="R346" s="201"/>
      <c r="S346" s="201"/>
    </row>
    <row r="347" spans="1:19" ht="18" customHeight="1" x14ac:dyDescent="0.35">
      <c r="A347" s="218">
        <v>10</v>
      </c>
      <c r="B347" s="219" t="str">
        <f>PETUNJUK!B18</f>
        <v>Pecangaan Wetan</v>
      </c>
      <c r="C347" s="201"/>
      <c r="D347" s="201"/>
      <c r="E347" s="201"/>
      <c r="F347" s="201"/>
      <c r="G347" s="201"/>
      <c r="H347" s="201"/>
      <c r="I347" s="201"/>
      <c r="J347" s="201"/>
      <c r="K347" s="201"/>
      <c r="L347" s="201"/>
      <c r="M347" s="201"/>
      <c r="N347" s="201"/>
      <c r="O347" s="201"/>
      <c r="P347" s="201"/>
      <c r="Q347" s="201"/>
      <c r="R347" s="201"/>
      <c r="S347" s="201"/>
    </row>
    <row r="348" spans="1:19" ht="18" customHeight="1" x14ac:dyDescent="0.35">
      <c r="A348" s="218">
        <v>11</v>
      </c>
      <c r="B348" s="219" t="str">
        <f>PETUNJUK!B19</f>
        <v>Krasak</v>
      </c>
      <c r="C348" s="201"/>
      <c r="D348" s="201"/>
      <c r="E348" s="201"/>
      <c r="F348" s="201"/>
      <c r="G348" s="201"/>
      <c r="H348" s="201"/>
      <c r="I348" s="201"/>
      <c r="J348" s="201"/>
      <c r="K348" s="201"/>
      <c r="L348" s="201"/>
      <c r="M348" s="201"/>
      <c r="N348" s="201"/>
      <c r="O348" s="201"/>
      <c r="P348" s="201"/>
      <c r="Q348" s="201"/>
      <c r="R348" s="201"/>
      <c r="S348" s="201"/>
    </row>
    <row r="349" spans="1:19" ht="18" customHeight="1" x14ac:dyDescent="0.35">
      <c r="A349" s="218">
        <v>12</v>
      </c>
      <c r="B349" s="219" t="str">
        <f>PETUNJUK!B20</f>
        <v>Gerdu</v>
      </c>
      <c r="C349" s="201"/>
      <c r="D349" s="201"/>
      <c r="E349" s="201"/>
      <c r="F349" s="201"/>
      <c r="G349" s="201"/>
      <c r="H349" s="201"/>
      <c r="I349" s="201"/>
      <c r="J349" s="201"/>
      <c r="K349" s="201"/>
      <c r="L349" s="201"/>
      <c r="M349" s="201"/>
      <c r="N349" s="201"/>
      <c r="O349" s="201"/>
      <c r="P349" s="201"/>
      <c r="Q349" s="201"/>
      <c r="R349" s="201"/>
      <c r="S349" s="201"/>
    </row>
    <row r="350" spans="1:19" ht="18" customHeight="1" x14ac:dyDescent="0.35">
      <c r="A350" s="218">
        <v>13</v>
      </c>
      <c r="B350" s="219">
        <f>PETUNJUK!B21</f>
        <v>0</v>
      </c>
      <c r="C350" s="201"/>
      <c r="D350" s="201"/>
      <c r="E350" s="201"/>
      <c r="F350" s="201"/>
      <c r="G350" s="201"/>
      <c r="H350" s="201"/>
      <c r="I350" s="201"/>
      <c r="J350" s="201"/>
      <c r="K350" s="201"/>
      <c r="L350" s="201"/>
      <c r="M350" s="201"/>
      <c r="N350" s="201"/>
      <c r="O350" s="201"/>
      <c r="P350" s="201"/>
      <c r="Q350" s="201"/>
      <c r="R350" s="201"/>
      <c r="S350" s="201"/>
    </row>
    <row r="351" spans="1:19" ht="18" customHeight="1" x14ac:dyDescent="0.35">
      <c r="A351" s="218">
        <v>14</v>
      </c>
      <c r="B351" s="219">
        <f>PETUNJUK!B22</f>
        <v>0</v>
      </c>
      <c r="C351" s="201"/>
      <c r="D351" s="201"/>
      <c r="E351" s="201"/>
      <c r="F351" s="201"/>
      <c r="G351" s="201"/>
      <c r="H351" s="201"/>
      <c r="I351" s="201"/>
      <c r="J351" s="201"/>
      <c r="K351" s="201"/>
      <c r="L351" s="201"/>
      <c r="M351" s="201"/>
      <c r="N351" s="201"/>
      <c r="O351" s="201"/>
      <c r="P351" s="201"/>
      <c r="Q351" s="201"/>
      <c r="R351" s="201"/>
      <c r="S351" s="201"/>
    </row>
    <row r="352" spans="1:19" ht="18" customHeight="1" x14ac:dyDescent="0.35">
      <c r="A352" s="218">
        <v>15</v>
      </c>
      <c r="B352" s="219">
        <f>PETUNJUK!B23</f>
        <v>0</v>
      </c>
      <c r="C352" s="201"/>
      <c r="D352" s="201"/>
      <c r="E352" s="201"/>
      <c r="F352" s="201"/>
      <c r="G352" s="201"/>
      <c r="H352" s="201"/>
      <c r="I352" s="201"/>
      <c r="J352" s="201"/>
      <c r="K352" s="201"/>
      <c r="L352" s="201"/>
      <c r="M352" s="201"/>
      <c r="N352" s="201"/>
      <c r="O352" s="201"/>
      <c r="P352" s="201"/>
      <c r="Q352" s="201"/>
      <c r="R352" s="201"/>
      <c r="S352" s="201"/>
    </row>
    <row r="353" spans="1:19" ht="18" customHeight="1" x14ac:dyDescent="0.35">
      <c r="A353" s="218">
        <v>16</v>
      </c>
      <c r="B353" s="219">
        <f>PETUNJUK!B24</f>
        <v>0</v>
      </c>
      <c r="C353" s="201"/>
      <c r="D353" s="201"/>
      <c r="E353" s="201"/>
      <c r="F353" s="201"/>
      <c r="G353" s="201"/>
      <c r="H353" s="201"/>
      <c r="I353" s="201"/>
      <c r="J353" s="201"/>
      <c r="K353" s="201"/>
      <c r="L353" s="201"/>
      <c r="M353" s="201"/>
      <c r="N353" s="201"/>
      <c r="O353" s="201"/>
      <c r="P353" s="201"/>
      <c r="Q353" s="201"/>
      <c r="R353" s="201"/>
      <c r="S353" s="201"/>
    </row>
    <row r="354" spans="1:19" ht="18" customHeight="1" x14ac:dyDescent="0.35">
      <c r="A354" s="218">
        <v>17</v>
      </c>
      <c r="B354" s="219">
        <f>PETUNJUK!B25</f>
        <v>0</v>
      </c>
      <c r="C354" s="201"/>
      <c r="D354" s="201"/>
      <c r="E354" s="201"/>
      <c r="F354" s="201"/>
      <c r="G354" s="201"/>
      <c r="H354" s="201"/>
      <c r="I354" s="201"/>
      <c r="J354" s="201"/>
      <c r="K354" s="201"/>
      <c r="L354" s="201"/>
      <c r="M354" s="201"/>
      <c r="N354" s="201"/>
      <c r="O354" s="201"/>
      <c r="P354" s="201"/>
      <c r="Q354" s="201"/>
      <c r="R354" s="201"/>
      <c r="S354" s="201"/>
    </row>
    <row r="355" spans="1:19" ht="18" customHeight="1" x14ac:dyDescent="0.35">
      <c r="A355" s="218">
        <v>18</v>
      </c>
      <c r="B355" s="219">
        <f>PETUNJUK!B26</f>
        <v>0</v>
      </c>
      <c r="C355" s="201"/>
      <c r="D355" s="201"/>
      <c r="E355" s="201"/>
      <c r="F355" s="201"/>
      <c r="G355" s="201"/>
      <c r="H355" s="201"/>
      <c r="I355" s="201"/>
      <c r="J355" s="201"/>
      <c r="K355" s="201"/>
      <c r="L355" s="201"/>
      <c r="M355" s="201"/>
      <c r="N355" s="201"/>
      <c r="O355" s="201"/>
      <c r="P355" s="201"/>
      <c r="Q355" s="201"/>
      <c r="R355" s="201"/>
      <c r="S355" s="201"/>
    </row>
    <row r="356" spans="1:19" ht="18" customHeight="1" x14ac:dyDescent="0.35">
      <c r="A356" s="218">
        <v>19</v>
      </c>
      <c r="B356" s="219">
        <f>PETUNJUK!B27</f>
        <v>0</v>
      </c>
      <c r="C356" s="201"/>
      <c r="D356" s="201"/>
      <c r="E356" s="201"/>
      <c r="F356" s="201"/>
      <c r="G356" s="201"/>
      <c r="H356" s="201"/>
      <c r="I356" s="201"/>
      <c r="J356" s="201"/>
      <c r="K356" s="201"/>
      <c r="L356" s="201"/>
      <c r="M356" s="201"/>
      <c r="N356" s="201"/>
      <c r="O356" s="201"/>
      <c r="P356" s="201"/>
      <c r="Q356" s="201"/>
      <c r="R356" s="201"/>
      <c r="S356" s="201"/>
    </row>
    <row r="357" spans="1:19" ht="18" customHeight="1" x14ac:dyDescent="0.35">
      <c r="A357" s="218">
        <v>20</v>
      </c>
      <c r="B357" s="219">
        <f>PETUNJUK!B28</f>
        <v>0</v>
      </c>
      <c r="C357" s="201"/>
      <c r="D357" s="201"/>
      <c r="E357" s="201"/>
      <c r="F357" s="201"/>
      <c r="G357" s="201"/>
      <c r="H357" s="201"/>
      <c r="I357" s="201"/>
      <c r="J357" s="201"/>
      <c r="K357" s="201"/>
      <c r="L357" s="201"/>
      <c r="M357" s="201"/>
      <c r="N357" s="201"/>
      <c r="O357" s="201"/>
      <c r="P357" s="201"/>
      <c r="Q357" s="201"/>
      <c r="R357" s="201"/>
      <c r="S357" s="201"/>
    </row>
    <row r="358" spans="1:19" ht="18" customHeight="1" x14ac:dyDescent="0.35">
      <c r="A358" s="218">
        <v>21</v>
      </c>
      <c r="B358" s="219">
        <f>PETUNJUK!B29</f>
        <v>0</v>
      </c>
      <c r="C358" s="201"/>
      <c r="D358" s="201"/>
      <c r="E358" s="201"/>
      <c r="F358" s="201"/>
      <c r="G358" s="201"/>
      <c r="H358" s="201"/>
      <c r="I358" s="201"/>
      <c r="J358" s="201"/>
      <c r="K358" s="201"/>
      <c r="L358" s="201"/>
      <c r="M358" s="201"/>
      <c r="N358" s="201"/>
      <c r="O358" s="201"/>
      <c r="P358" s="201"/>
      <c r="Q358" s="201"/>
      <c r="R358" s="201"/>
      <c r="S358" s="201"/>
    </row>
    <row r="359" spans="1:19" ht="18" customHeight="1" thickBot="1" x14ac:dyDescent="0.4">
      <c r="A359" s="247">
        <v>22</v>
      </c>
      <c r="B359" s="248">
        <f>PETUNJUK!B30</f>
        <v>0</v>
      </c>
      <c r="C359" s="249"/>
      <c r="D359" s="249"/>
      <c r="E359" s="249"/>
      <c r="F359" s="249"/>
      <c r="G359" s="249"/>
      <c r="H359" s="249"/>
      <c r="I359" s="249"/>
      <c r="J359" s="249"/>
      <c r="K359" s="249"/>
      <c r="L359" s="249"/>
      <c r="M359" s="249"/>
      <c r="N359" s="249"/>
      <c r="O359" s="249"/>
      <c r="P359" s="249"/>
      <c r="Q359" s="249"/>
      <c r="R359" s="249"/>
      <c r="S359" s="249"/>
    </row>
    <row r="360" spans="1:19" ht="18" customHeight="1" thickBot="1" x14ac:dyDescent="0.4">
      <c r="A360" s="928" t="s">
        <v>18</v>
      </c>
      <c r="B360" s="929"/>
      <c r="C360" s="252">
        <f t="shared" ref="C360:R360" si="10">SUM(C338:C359)</f>
        <v>0</v>
      </c>
      <c r="D360" s="252">
        <f t="shared" si="10"/>
        <v>0</v>
      </c>
      <c r="E360" s="252">
        <f t="shared" si="10"/>
        <v>0</v>
      </c>
      <c r="F360" s="252">
        <f t="shared" si="10"/>
        <v>0</v>
      </c>
      <c r="G360" s="252">
        <f t="shared" si="10"/>
        <v>0</v>
      </c>
      <c r="H360" s="252">
        <f t="shared" si="10"/>
        <v>0</v>
      </c>
      <c r="I360" s="252">
        <f t="shared" si="10"/>
        <v>0</v>
      </c>
      <c r="J360" s="252">
        <f t="shared" si="10"/>
        <v>0</v>
      </c>
      <c r="K360" s="252">
        <f t="shared" si="10"/>
        <v>0</v>
      </c>
      <c r="L360" s="252">
        <f t="shared" si="10"/>
        <v>0</v>
      </c>
      <c r="M360" s="252">
        <f t="shared" si="10"/>
        <v>0</v>
      </c>
      <c r="N360" s="252">
        <f t="shared" si="10"/>
        <v>0</v>
      </c>
      <c r="O360" s="252">
        <f t="shared" si="10"/>
        <v>0</v>
      </c>
      <c r="P360" s="252">
        <f t="shared" si="10"/>
        <v>0</v>
      </c>
      <c r="Q360" s="252">
        <f t="shared" si="10"/>
        <v>0</v>
      </c>
      <c r="R360" s="252">
        <f t="shared" si="10"/>
        <v>0</v>
      </c>
      <c r="S360" s="251"/>
    </row>
    <row r="361" spans="1:19" ht="15.5" x14ac:dyDescent="0.35">
      <c r="A361" s="220"/>
      <c r="B361" s="220"/>
      <c r="C361" s="232"/>
      <c r="D361" s="232"/>
      <c r="E361" s="232"/>
      <c r="F361" s="232"/>
      <c r="G361" s="232"/>
      <c r="H361" s="232"/>
      <c r="I361" s="232"/>
      <c r="J361" s="232"/>
      <c r="K361" s="232"/>
      <c r="L361" s="232"/>
      <c r="M361" s="232"/>
      <c r="N361" s="232"/>
      <c r="O361" s="232"/>
      <c r="P361" s="232"/>
      <c r="Q361" s="232"/>
      <c r="R361" s="232"/>
      <c r="S361" s="232"/>
    </row>
    <row r="362" spans="1:19" ht="15.5" x14ac:dyDescent="0.35">
      <c r="A362" s="222"/>
      <c r="B362" s="222"/>
      <c r="C362" s="204"/>
      <c r="D362" s="204"/>
      <c r="E362" s="204"/>
      <c r="F362" s="204"/>
      <c r="G362" s="204"/>
      <c r="H362" s="204"/>
      <c r="I362" s="232"/>
      <c r="J362" s="232"/>
      <c r="K362" s="204"/>
      <c r="L362" s="204"/>
      <c r="M362" s="204"/>
      <c r="N362" s="204"/>
      <c r="O362" s="204"/>
      <c r="P362" s="232"/>
      <c r="Q362" s="232"/>
      <c r="R362" s="232"/>
      <c r="S362" s="232"/>
    </row>
    <row r="363" spans="1:19" ht="15.5" x14ac:dyDescent="0.35">
      <c r="A363" s="222"/>
      <c r="B363" s="945"/>
      <c r="C363" s="945"/>
      <c r="D363" s="945"/>
      <c r="E363" s="945"/>
      <c r="F363" s="204"/>
      <c r="G363" s="204"/>
      <c r="H363" s="204"/>
      <c r="I363" s="204"/>
      <c r="J363" s="235"/>
      <c r="K363" s="235"/>
      <c r="L363" s="235"/>
      <c r="M363" s="235"/>
      <c r="N363" s="235"/>
      <c r="O363" s="235"/>
      <c r="P363" s="235"/>
      <c r="Q363" s="232"/>
      <c r="R363" s="232"/>
      <c r="S363" s="232"/>
    </row>
    <row r="364" spans="1:19" ht="15.5" x14ac:dyDescent="0.35">
      <c r="A364" s="930" t="s">
        <v>102</v>
      </c>
      <c r="B364" s="930"/>
      <c r="C364" s="930"/>
      <c r="D364" s="930"/>
      <c r="E364" s="930"/>
      <c r="F364" s="930"/>
      <c r="G364" s="930"/>
      <c r="H364" s="930"/>
      <c r="I364" s="930"/>
      <c r="J364" s="930"/>
      <c r="K364" s="930"/>
      <c r="L364" s="930"/>
      <c r="M364" s="930"/>
      <c r="N364" s="930"/>
      <c r="O364" s="930"/>
      <c r="P364" s="930"/>
      <c r="Q364" s="930"/>
      <c r="R364" s="930"/>
      <c r="S364" s="930"/>
    </row>
    <row r="365" spans="1:19" ht="15.5" x14ac:dyDescent="0.35">
      <c r="A365" s="213"/>
      <c r="B365" s="213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226"/>
    </row>
    <row r="366" spans="1:19" ht="15.5" x14ac:dyDescent="0.35">
      <c r="A366" s="244" t="s">
        <v>189</v>
      </c>
      <c r="B366" s="244"/>
      <c r="C366" s="197" t="str">
        <f>PETUNJUK!C5</f>
        <v>PECANGAAN</v>
      </c>
      <c r="D366" s="198"/>
      <c r="E366" s="229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226"/>
    </row>
    <row r="367" spans="1:19" ht="15.5" x14ac:dyDescent="0.35">
      <c r="A367" s="244" t="s">
        <v>369</v>
      </c>
      <c r="B367" s="244"/>
      <c r="C367" s="245" t="s">
        <v>400</v>
      </c>
      <c r="D367" s="198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226"/>
    </row>
    <row r="368" spans="1:19" ht="16" thickBot="1" x14ac:dyDescent="0.4">
      <c r="A368" s="216"/>
      <c r="B368" s="216"/>
      <c r="C368" s="229"/>
      <c r="D368" s="229"/>
      <c r="E368" s="229"/>
      <c r="F368" s="229"/>
      <c r="G368" s="229"/>
      <c r="H368" s="229"/>
      <c r="I368" s="229"/>
      <c r="J368" s="229"/>
      <c r="K368" s="229"/>
      <c r="L368" s="229"/>
      <c r="M368" s="229"/>
      <c r="N368" s="229"/>
      <c r="O368" s="229"/>
      <c r="P368" s="229"/>
      <c r="Q368" s="229"/>
      <c r="R368" s="229"/>
      <c r="S368" s="226"/>
    </row>
    <row r="369" spans="1:19" ht="18" customHeight="1" x14ac:dyDescent="0.35">
      <c r="A369" s="939" t="s">
        <v>1</v>
      </c>
      <c r="B369" s="941" t="s">
        <v>2</v>
      </c>
      <c r="C369" s="943" t="s">
        <v>45</v>
      </c>
      <c r="D369" s="944"/>
      <c r="E369" s="943" t="s">
        <v>103</v>
      </c>
      <c r="F369" s="944"/>
      <c r="G369" s="943" t="s">
        <v>104</v>
      </c>
      <c r="H369" s="944"/>
      <c r="I369" s="943" t="s">
        <v>105</v>
      </c>
      <c r="J369" s="944"/>
      <c r="K369" s="943" t="s">
        <v>106</v>
      </c>
      <c r="L369" s="944"/>
      <c r="M369" s="943" t="s">
        <v>107</v>
      </c>
      <c r="N369" s="944"/>
      <c r="O369" s="943" t="s">
        <v>108</v>
      </c>
      <c r="P369" s="944"/>
      <c r="Q369" s="943" t="s">
        <v>109</v>
      </c>
      <c r="R369" s="944"/>
      <c r="S369" s="950" t="s">
        <v>25</v>
      </c>
    </row>
    <row r="370" spans="1:19" ht="18" customHeight="1" thickBot="1" x14ac:dyDescent="0.4">
      <c r="A370" s="940"/>
      <c r="B370" s="942"/>
      <c r="C370" s="254" t="s">
        <v>110</v>
      </c>
      <c r="D370" s="254" t="s">
        <v>111</v>
      </c>
      <c r="E370" s="254" t="s">
        <v>110</v>
      </c>
      <c r="F370" s="254" t="s">
        <v>111</v>
      </c>
      <c r="G370" s="254" t="s">
        <v>110</v>
      </c>
      <c r="H370" s="254" t="s">
        <v>111</v>
      </c>
      <c r="I370" s="254" t="s">
        <v>110</v>
      </c>
      <c r="J370" s="254" t="s">
        <v>111</v>
      </c>
      <c r="K370" s="254" t="s">
        <v>110</v>
      </c>
      <c r="L370" s="254" t="s">
        <v>111</v>
      </c>
      <c r="M370" s="254" t="s">
        <v>110</v>
      </c>
      <c r="N370" s="254" t="s">
        <v>111</v>
      </c>
      <c r="O370" s="254" t="s">
        <v>110</v>
      </c>
      <c r="P370" s="254" t="s">
        <v>111</v>
      </c>
      <c r="Q370" s="254" t="s">
        <v>110</v>
      </c>
      <c r="R370" s="254" t="s">
        <v>111</v>
      </c>
      <c r="S370" s="951"/>
    </row>
    <row r="371" spans="1:19" ht="18" customHeight="1" x14ac:dyDescent="0.35">
      <c r="A371" s="211">
        <v>1</v>
      </c>
      <c r="B371" s="253" t="str">
        <f>PETUNJUK!B9</f>
        <v>Pecangaan Kulon</v>
      </c>
      <c r="C371" s="201"/>
      <c r="D371" s="201"/>
      <c r="E371" s="201"/>
      <c r="F371" s="201"/>
      <c r="G371" s="201"/>
      <c r="H371" s="201"/>
      <c r="I371" s="201"/>
      <c r="J371" s="201"/>
      <c r="K371" s="201"/>
      <c r="L371" s="201"/>
      <c r="M371" s="201"/>
      <c r="N371" s="201"/>
      <c r="O371" s="201"/>
      <c r="P371" s="201"/>
      <c r="Q371" s="201"/>
      <c r="R371" s="201"/>
      <c r="S371" s="212"/>
    </row>
    <row r="372" spans="1:19" ht="18" customHeight="1" x14ac:dyDescent="0.35">
      <c r="A372" s="218">
        <v>2</v>
      </c>
      <c r="B372" s="219" t="str">
        <f>PETUNJUK!B10</f>
        <v>Rengging</v>
      </c>
      <c r="C372" s="201"/>
      <c r="D372" s="201"/>
      <c r="E372" s="201"/>
      <c r="F372" s="201"/>
      <c r="G372" s="201"/>
      <c r="H372" s="201"/>
      <c r="I372" s="201"/>
      <c r="J372" s="201"/>
      <c r="K372" s="201"/>
      <c r="L372" s="201"/>
      <c r="M372" s="201"/>
      <c r="N372" s="201"/>
      <c r="O372" s="201"/>
      <c r="P372" s="201"/>
      <c r="Q372" s="201"/>
      <c r="R372" s="201"/>
      <c r="S372" s="201"/>
    </row>
    <row r="373" spans="1:19" ht="18" customHeight="1" x14ac:dyDescent="0.35">
      <c r="A373" s="218">
        <v>3</v>
      </c>
      <c r="B373" s="219" t="str">
        <f>PETUNJUK!B11</f>
        <v>Troso</v>
      </c>
      <c r="C373" s="201"/>
      <c r="D373" s="201"/>
      <c r="E373" s="201"/>
      <c r="F373" s="201"/>
      <c r="G373" s="201"/>
      <c r="H373" s="201"/>
      <c r="I373" s="201"/>
      <c r="J373" s="201"/>
      <c r="K373" s="201"/>
      <c r="L373" s="201"/>
      <c r="M373" s="201"/>
      <c r="N373" s="201"/>
      <c r="O373" s="201"/>
      <c r="P373" s="201"/>
      <c r="Q373" s="201"/>
      <c r="R373" s="201"/>
      <c r="S373" s="201"/>
    </row>
    <row r="374" spans="1:19" ht="18" customHeight="1" x14ac:dyDescent="0.35">
      <c r="A374" s="218">
        <v>4</v>
      </c>
      <c r="B374" s="219" t="str">
        <f>PETUNJUK!B12</f>
        <v>Ngeling</v>
      </c>
      <c r="C374" s="201"/>
      <c r="D374" s="201"/>
      <c r="E374" s="201"/>
      <c r="F374" s="201"/>
      <c r="G374" s="201"/>
      <c r="H374" s="201"/>
      <c r="I374" s="201"/>
      <c r="J374" s="201"/>
      <c r="K374" s="201"/>
      <c r="L374" s="201"/>
      <c r="M374" s="201"/>
      <c r="N374" s="201"/>
      <c r="O374" s="201"/>
      <c r="P374" s="201"/>
      <c r="Q374" s="201"/>
      <c r="R374" s="201"/>
      <c r="S374" s="201"/>
    </row>
    <row r="375" spans="1:19" ht="18" customHeight="1" x14ac:dyDescent="0.35">
      <c r="A375" s="218">
        <v>5</v>
      </c>
      <c r="B375" s="219" t="str">
        <f>PETUNJUK!B13</f>
        <v>Lebuawu</v>
      </c>
      <c r="C375" s="201"/>
      <c r="D375" s="201"/>
      <c r="E375" s="201"/>
      <c r="F375" s="201"/>
      <c r="G375" s="201"/>
      <c r="H375" s="201"/>
      <c r="I375" s="201"/>
      <c r="J375" s="201"/>
      <c r="K375" s="201"/>
      <c r="L375" s="201"/>
      <c r="M375" s="201"/>
      <c r="N375" s="201"/>
      <c r="O375" s="201"/>
      <c r="P375" s="201"/>
      <c r="Q375" s="201"/>
      <c r="R375" s="201"/>
      <c r="S375" s="201"/>
    </row>
    <row r="376" spans="1:19" ht="18" customHeight="1" x14ac:dyDescent="0.35">
      <c r="A376" s="218">
        <v>6</v>
      </c>
      <c r="B376" s="219" t="str">
        <f>PETUNJUK!B14</f>
        <v>Pulodarat</v>
      </c>
      <c r="C376" s="201"/>
      <c r="D376" s="201"/>
      <c r="E376" s="201"/>
      <c r="F376" s="201"/>
      <c r="G376" s="201"/>
      <c r="H376" s="201"/>
      <c r="I376" s="201"/>
      <c r="J376" s="201"/>
      <c r="K376" s="201"/>
      <c r="L376" s="201"/>
      <c r="M376" s="201"/>
      <c r="N376" s="201"/>
      <c r="O376" s="201"/>
      <c r="P376" s="201"/>
      <c r="Q376" s="201"/>
      <c r="R376" s="201"/>
      <c r="S376" s="201"/>
    </row>
    <row r="377" spans="1:19" ht="18" customHeight="1" x14ac:dyDescent="0.35">
      <c r="A377" s="218">
        <v>7</v>
      </c>
      <c r="B377" s="219" t="str">
        <f>PETUNJUK!B15</f>
        <v>Karangrandu</v>
      </c>
      <c r="C377" s="201"/>
      <c r="D377" s="201"/>
      <c r="E377" s="201"/>
      <c r="F377" s="201"/>
      <c r="G377" s="201"/>
      <c r="H377" s="201"/>
      <c r="I377" s="201"/>
      <c r="J377" s="201"/>
      <c r="K377" s="201"/>
      <c r="L377" s="201"/>
      <c r="M377" s="201"/>
      <c r="N377" s="201"/>
      <c r="O377" s="201"/>
      <c r="P377" s="201"/>
      <c r="Q377" s="201"/>
      <c r="R377" s="201"/>
      <c r="S377" s="201"/>
    </row>
    <row r="378" spans="1:19" ht="18" customHeight="1" x14ac:dyDescent="0.35">
      <c r="A378" s="218">
        <v>8</v>
      </c>
      <c r="B378" s="219" t="str">
        <f>PETUNJUK!B16</f>
        <v>Kaliombo</v>
      </c>
      <c r="C378" s="201"/>
      <c r="D378" s="201"/>
      <c r="E378" s="201"/>
      <c r="F378" s="201"/>
      <c r="G378" s="201"/>
      <c r="H378" s="201"/>
      <c r="I378" s="201"/>
      <c r="J378" s="201"/>
      <c r="K378" s="201"/>
      <c r="L378" s="201"/>
      <c r="M378" s="201"/>
      <c r="N378" s="201"/>
      <c r="O378" s="201"/>
      <c r="P378" s="201"/>
      <c r="Q378" s="201"/>
      <c r="R378" s="201"/>
      <c r="S378" s="201"/>
    </row>
    <row r="379" spans="1:19" ht="18" customHeight="1" x14ac:dyDescent="0.35">
      <c r="A379" s="218">
        <v>9</v>
      </c>
      <c r="B379" s="219" t="str">
        <f>PETUNJUK!B17</f>
        <v>Gemulung</v>
      </c>
      <c r="C379" s="201"/>
      <c r="D379" s="201"/>
      <c r="E379" s="201"/>
      <c r="F379" s="201"/>
      <c r="G379" s="201"/>
      <c r="H379" s="201"/>
      <c r="I379" s="201"/>
      <c r="J379" s="201"/>
      <c r="K379" s="201"/>
      <c r="L379" s="201"/>
      <c r="M379" s="201"/>
      <c r="N379" s="201"/>
      <c r="O379" s="201"/>
      <c r="P379" s="201"/>
      <c r="Q379" s="201"/>
      <c r="R379" s="201"/>
      <c r="S379" s="201"/>
    </row>
    <row r="380" spans="1:19" ht="18" customHeight="1" x14ac:dyDescent="0.35">
      <c r="A380" s="218">
        <v>10</v>
      </c>
      <c r="B380" s="219" t="str">
        <f>PETUNJUK!B18</f>
        <v>Pecangaan Wetan</v>
      </c>
      <c r="C380" s="201"/>
      <c r="D380" s="201"/>
      <c r="E380" s="201"/>
      <c r="F380" s="201"/>
      <c r="G380" s="201"/>
      <c r="H380" s="201"/>
      <c r="I380" s="201"/>
      <c r="J380" s="201"/>
      <c r="K380" s="201"/>
      <c r="L380" s="201"/>
      <c r="M380" s="201"/>
      <c r="N380" s="201"/>
      <c r="O380" s="201"/>
      <c r="P380" s="201"/>
      <c r="Q380" s="201"/>
      <c r="R380" s="201"/>
      <c r="S380" s="201"/>
    </row>
    <row r="381" spans="1:19" ht="18" customHeight="1" x14ac:dyDescent="0.35">
      <c r="A381" s="218">
        <v>11</v>
      </c>
      <c r="B381" s="219" t="str">
        <f>PETUNJUK!B19</f>
        <v>Krasak</v>
      </c>
      <c r="C381" s="201"/>
      <c r="D381" s="201"/>
      <c r="E381" s="201"/>
      <c r="F381" s="201"/>
      <c r="G381" s="201"/>
      <c r="H381" s="201"/>
      <c r="I381" s="201"/>
      <c r="J381" s="201"/>
      <c r="K381" s="201"/>
      <c r="L381" s="201"/>
      <c r="M381" s="201"/>
      <c r="N381" s="201"/>
      <c r="O381" s="201"/>
      <c r="P381" s="201"/>
      <c r="Q381" s="201"/>
      <c r="R381" s="201"/>
      <c r="S381" s="201"/>
    </row>
    <row r="382" spans="1:19" ht="18" customHeight="1" x14ac:dyDescent="0.35">
      <c r="A382" s="218">
        <v>12</v>
      </c>
      <c r="B382" s="219" t="str">
        <f>PETUNJUK!B20</f>
        <v>Gerdu</v>
      </c>
      <c r="C382" s="201"/>
      <c r="D382" s="201"/>
      <c r="E382" s="201"/>
      <c r="F382" s="201"/>
      <c r="G382" s="201"/>
      <c r="H382" s="201"/>
      <c r="I382" s="201"/>
      <c r="J382" s="201"/>
      <c r="K382" s="201"/>
      <c r="L382" s="201"/>
      <c r="M382" s="201"/>
      <c r="N382" s="201"/>
      <c r="O382" s="201"/>
      <c r="P382" s="201"/>
      <c r="Q382" s="201"/>
      <c r="R382" s="201"/>
      <c r="S382" s="201"/>
    </row>
    <row r="383" spans="1:19" ht="18" customHeight="1" x14ac:dyDescent="0.35">
      <c r="A383" s="218">
        <v>13</v>
      </c>
      <c r="B383" s="219">
        <f>PETUNJUK!B21</f>
        <v>0</v>
      </c>
      <c r="C383" s="201"/>
      <c r="D383" s="201"/>
      <c r="E383" s="201"/>
      <c r="F383" s="201"/>
      <c r="G383" s="201"/>
      <c r="H383" s="201"/>
      <c r="I383" s="201"/>
      <c r="J383" s="201"/>
      <c r="K383" s="201"/>
      <c r="L383" s="201"/>
      <c r="M383" s="201"/>
      <c r="N383" s="201"/>
      <c r="O383" s="201"/>
      <c r="P383" s="201"/>
      <c r="Q383" s="201"/>
      <c r="R383" s="201"/>
      <c r="S383" s="201"/>
    </row>
    <row r="384" spans="1:19" ht="18" customHeight="1" x14ac:dyDescent="0.35">
      <c r="A384" s="218">
        <v>14</v>
      </c>
      <c r="B384" s="219">
        <f>PETUNJUK!B22</f>
        <v>0</v>
      </c>
      <c r="C384" s="201"/>
      <c r="D384" s="201"/>
      <c r="E384" s="201"/>
      <c r="F384" s="201"/>
      <c r="G384" s="201"/>
      <c r="H384" s="201"/>
      <c r="I384" s="201"/>
      <c r="J384" s="201"/>
      <c r="K384" s="201"/>
      <c r="L384" s="201"/>
      <c r="M384" s="201"/>
      <c r="N384" s="201"/>
      <c r="O384" s="201"/>
      <c r="P384" s="201"/>
      <c r="Q384" s="201"/>
      <c r="R384" s="201"/>
      <c r="S384" s="201"/>
    </row>
    <row r="385" spans="1:19" ht="18" customHeight="1" x14ac:dyDescent="0.35">
      <c r="A385" s="218">
        <v>15</v>
      </c>
      <c r="B385" s="219">
        <f>PETUNJUK!B23</f>
        <v>0</v>
      </c>
      <c r="C385" s="201"/>
      <c r="D385" s="201"/>
      <c r="E385" s="201"/>
      <c r="F385" s="201"/>
      <c r="G385" s="201"/>
      <c r="H385" s="201"/>
      <c r="I385" s="201"/>
      <c r="J385" s="201"/>
      <c r="K385" s="201"/>
      <c r="L385" s="201"/>
      <c r="M385" s="201"/>
      <c r="N385" s="201"/>
      <c r="O385" s="201"/>
      <c r="P385" s="201"/>
      <c r="Q385" s="201"/>
      <c r="R385" s="201"/>
      <c r="S385" s="201"/>
    </row>
    <row r="386" spans="1:19" ht="18" customHeight="1" x14ac:dyDescent="0.35">
      <c r="A386" s="218">
        <v>16</v>
      </c>
      <c r="B386" s="219">
        <f>PETUNJUK!B24</f>
        <v>0</v>
      </c>
      <c r="C386" s="201"/>
      <c r="D386" s="201"/>
      <c r="E386" s="201"/>
      <c r="F386" s="201"/>
      <c r="G386" s="201"/>
      <c r="H386" s="201"/>
      <c r="I386" s="201"/>
      <c r="J386" s="201"/>
      <c r="K386" s="201"/>
      <c r="L386" s="201"/>
      <c r="M386" s="201"/>
      <c r="N386" s="201"/>
      <c r="O386" s="201"/>
      <c r="P386" s="201"/>
      <c r="Q386" s="201"/>
      <c r="R386" s="201"/>
      <c r="S386" s="201"/>
    </row>
    <row r="387" spans="1:19" ht="18" customHeight="1" x14ac:dyDescent="0.35">
      <c r="A387" s="218">
        <v>17</v>
      </c>
      <c r="B387" s="219">
        <f>PETUNJUK!B25</f>
        <v>0</v>
      </c>
      <c r="C387" s="201"/>
      <c r="D387" s="201"/>
      <c r="E387" s="201"/>
      <c r="F387" s="201"/>
      <c r="G387" s="201"/>
      <c r="H387" s="201"/>
      <c r="I387" s="201"/>
      <c r="J387" s="201"/>
      <c r="K387" s="201"/>
      <c r="L387" s="201"/>
      <c r="M387" s="201"/>
      <c r="N387" s="201"/>
      <c r="O387" s="201"/>
      <c r="P387" s="201"/>
      <c r="Q387" s="201"/>
      <c r="R387" s="201"/>
      <c r="S387" s="201"/>
    </row>
    <row r="388" spans="1:19" ht="18" customHeight="1" x14ac:dyDescent="0.35">
      <c r="A388" s="218">
        <v>18</v>
      </c>
      <c r="B388" s="219">
        <f>PETUNJUK!B26</f>
        <v>0</v>
      </c>
      <c r="C388" s="201"/>
      <c r="D388" s="201"/>
      <c r="E388" s="201"/>
      <c r="F388" s="201"/>
      <c r="G388" s="201"/>
      <c r="H388" s="201"/>
      <c r="I388" s="201"/>
      <c r="J388" s="201"/>
      <c r="K388" s="201"/>
      <c r="L388" s="201"/>
      <c r="M388" s="201"/>
      <c r="N388" s="201"/>
      <c r="O388" s="201"/>
      <c r="P388" s="201"/>
      <c r="Q388" s="201"/>
      <c r="R388" s="201"/>
      <c r="S388" s="201"/>
    </row>
    <row r="389" spans="1:19" ht="18" customHeight="1" x14ac:dyDescent="0.35">
      <c r="A389" s="218">
        <v>19</v>
      </c>
      <c r="B389" s="219">
        <f>PETUNJUK!B27</f>
        <v>0</v>
      </c>
      <c r="C389" s="201"/>
      <c r="D389" s="201"/>
      <c r="E389" s="201"/>
      <c r="F389" s="201"/>
      <c r="G389" s="201"/>
      <c r="H389" s="201"/>
      <c r="I389" s="201"/>
      <c r="J389" s="201"/>
      <c r="K389" s="201"/>
      <c r="L389" s="201"/>
      <c r="M389" s="201"/>
      <c r="N389" s="201"/>
      <c r="O389" s="201"/>
      <c r="P389" s="201"/>
      <c r="Q389" s="201"/>
      <c r="R389" s="201"/>
      <c r="S389" s="201"/>
    </row>
    <row r="390" spans="1:19" ht="18" customHeight="1" x14ac:dyDescent="0.35">
      <c r="A390" s="218">
        <v>20</v>
      </c>
      <c r="B390" s="219">
        <f>PETUNJUK!B28</f>
        <v>0</v>
      </c>
      <c r="C390" s="201"/>
      <c r="D390" s="201"/>
      <c r="E390" s="201"/>
      <c r="F390" s="201"/>
      <c r="G390" s="201"/>
      <c r="H390" s="201"/>
      <c r="I390" s="201"/>
      <c r="J390" s="201"/>
      <c r="K390" s="201"/>
      <c r="L390" s="201"/>
      <c r="M390" s="201"/>
      <c r="N390" s="201"/>
      <c r="O390" s="201"/>
      <c r="P390" s="201"/>
      <c r="Q390" s="201"/>
      <c r="R390" s="201"/>
      <c r="S390" s="201"/>
    </row>
    <row r="391" spans="1:19" ht="18" customHeight="1" x14ac:dyDescent="0.35">
      <c r="A391" s="218">
        <v>21</v>
      </c>
      <c r="B391" s="219">
        <f>PETUNJUK!B29</f>
        <v>0</v>
      </c>
      <c r="C391" s="201"/>
      <c r="D391" s="201"/>
      <c r="E391" s="201"/>
      <c r="F391" s="201"/>
      <c r="G391" s="201"/>
      <c r="H391" s="201"/>
      <c r="I391" s="201"/>
      <c r="J391" s="201"/>
      <c r="K391" s="201"/>
      <c r="L391" s="201"/>
      <c r="M391" s="201"/>
      <c r="N391" s="201"/>
      <c r="O391" s="201"/>
      <c r="P391" s="201"/>
      <c r="Q391" s="201"/>
      <c r="R391" s="201"/>
      <c r="S391" s="201"/>
    </row>
    <row r="392" spans="1:19" ht="18" customHeight="1" thickBot="1" x14ac:dyDescent="0.4">
      <c r="A392" s="247">
        <v>22</v>
      </c>
      <c r="B392" s="248">
        <f>PETUNJUK!B30</f>
        <v>0</v>
      </c>
      <c r="C392" s="249"/>
      <c r="D392" s="249"/>
      <c r="E392" s="249"/>
      <c r="F392" s="249"/>
      <c r="G392" s="249"/>
      <c r="H392" s="249"/>
      <c r="I392" s="249"/>
      <c r="J392" s="249"/>
      <c r="K392" s="249"/>
      <c r="L392" s="249"/>
      <c r="M392" s="249"/>
      <c r="N392" s="249"/>
      <c r="O392" s="249"/>
      <c r="P392" s="249"/>
      <c r="Q392" s="249"/>
      <c r="R392" s="249"/>
      <c r="S392" s="249"/>
    </row>
    <row r="393" spans="1:19" ht="18" customHeight="1" thickBot="1" x14ac:dyDescent="0.4">
      <c r="A393" s="928" t="s">
        <v>18</v>
      </c>
      <c r="B393" s="929"/>
      <c r="C393" s="252">
        <f t="shared" ref="C393:R393" si="11">SUM(C371:C392)</f>
        <v>0</v>
      </c>
      <c r="D393" s="252">
        <f t="shared" si="11"/>
        <v>0</v>
      </c>
      <c r="E393" s="252">
        <f t="shared" si="11"/>
        <v>0</v>
      </c>
      <c r="F393" s="252">
        <f t="shared" si="11"/>
        <v>0</v>
      </c>
      <c r="G393" s="252">
        <f t="shared" si="11"/>
        <v>0</v>
      </c>
      <c r="H393" s="252">
        <f t="shared" si="11"/>
        <v>0</v>
      </c>
      <c r="I393" s="252">
        <f t="shared" si="11"/>
        <v>0</v>
      </c>
      <c r="J393" s="252">
        <f t="shared" si="11"/>
        <v>0</v>
      </c>
      <c r="K393" s="252">
        <f t="shared" si="11"/>
        <v>0</v>
      </c>
      <c r="L393" s="252">
        <f t="shared" si="11"/>
        <v>0</v>
      </c>
      <c r="M393" s="252">
        <f t="shared" si="11"/>
        <v>0</v>
      </c>
      <c r="N393" s="252">
        <f t="shared" si="11"/>
        <v>0</v>
      </c>
      <c r="O393" s="252">
        <f t="shared" si="11"/>
        <v>0</v>
      </c>
      <c r="P393" s="252">
        <f t="shared" si="11"/>
        <v>0</v>
      </c>
      <c r="Q393" s="252">
        <f t="shared" si="11"/>
        <v>0</v>
      </c>
      <c r="R393" s="252">
        <f t="shared" si="11"/>
        <v>0</v>
      </c>
      <c r="S393" s="251"/>
    </row>
    <row r="394" spans="1:19" ht="15.5" x14ac:dyDescent="0.35">
      <c r="A394" s="220"/>
      <c r="B394" s="220"/>
      <c r="C394" s="232"/>
      <c r="D394" s="232"/>
      <c r="E394" s="232"/>
      <c r="F394" s="232"/>
      <c r="G394" s="232"/>
      <c r="H394" s="232"/>
      <c r="I394" s="232"/>
      <c r="J394" s="232"/>
      <c r="K394" s="232"/>
      <c r="L394" s="232"/>
      <c r="M394" s="232"/>
      <c r="N394" s="232"/>
      <c r="O394" s="232"/>
      <c r="P394" s="232"/>
      <c r="Q394" s="232"/>
      <c r="R394" s="232"/>
      <c r="S394" s="232"/>
    </row>
    <row r="395" spans="1:19" ht="15.5" x14ac:dyDescent="0.35">
      <c r="A395" s="222"/>
      <c r="B395" s="222"/>
      <c r="C395" s="204"/>
      <c r="D395" s="204"/>
      <c r="E395" s="204"/>
      <c r="F395" s="204"/>
      <c r="G395" s="204"/>
      <c r="H395" s="204"/>
      <c r="I395" s="232"/>
      <c r="J395" s="232"/>
      <c r="K395" s="204"/>
      <c r="L395" s="204"/>
      <c r="M395" s="204"/>
      <c r="N395" s="204"/>
      <c r="O395" s="204"/>
      <c r="P395" s="232"/>
      <c r="Q395" s="232"/>
      <c r="R395" s="232"/>
      <c r="S395" s="232"/>
    </row>
    <row r="396" spans="1:19" ht="15.5" x14ac:dyDescent="0.35">
      <c r="A396" s="222"/>
      <c r="B396" s="945"/>
      <c r="C396" s="945"/>
      <c r="D396" s="945"/>
      <c r="E396" s="945"/>
      <c r="F396" s="204"/>
      <c r="G396" s="204"/>
      <c r="H396" s="204"/>
      <c r="I396" s="204"/>
      <c r="J396" s="235"/>
      <c r="K396" s="235"/>
      <c r="L396" s="235"/>
      <c r="M396" s="235"/>
      <c r="N396" s="235"/>
      <c r="O396" s="235"/>
      <c r="P396" s="235"/>
      <c r="Q396" s="232"/>
      <c r="R396" s="232"/>
      <c r="S396" s="232"/>
    </row>
    <row r="397" spans="1:19" ht="15.5" x14ac:dyDescent="0.35">
      <c r="A397" s="930" t="s">
        <v>102</v>
      </c>
      <c r="B397" s="930"/>
      <c r="C397" s="930"/>
      <c r="D397" s="930"/>
      <c r="E397" s="930"/>
      <c r="F397" s="930"/>
      <c r="G397" s="930"/>
      <c r="H397" s="930"/>
      <c r="I397" s="930"/>
      <c r="J397" s="930"/>
      <c r="K397" s="930"/>
      <c r="L397" s="930"/>
      <c r="M397" s="930"/>
      <c r="N397" s="930"/>
      <c r="O397" s="930"/>
      <c r="P397" s="930"/>
      <c r="Q397" s="930"/>
      <c r="R397" s="930"/>
      <c r="S397" s="930"/>
    </row>
    <row r="398" spans="1:19" ht="15.5" x14ac:dyDescent="0.35">
      <c r="A398" s="213"/>
      <c r="B398" s="213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226"/>
    </row>
    <row r="399" spans="1:19" ht="15.5" x14ac:dyDescent="0.35">
      <c r="A399" s="244" t="s">
        <v>189</v>
      </c>
      <c r="B399" s="244"/>
      <c r="C399" s="197" t="str">
        <f>PETUNJUK!C5</f>
        <v>PECANGAAN</v>
      </c>
      <c r="D399" s="198"/>
      <c r="E399" s="198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226"/>
    </row>
    <row r="400" spans="1:19" ht="15.5" x14ac:dyDescent="0.35">
      <c r="A400" s="244" t="s">
        <v>369</v>
      </c>
      <c r="B400" s="244"/>
      <c r="C400" s="256" t="s">
        <v>405</v>
      </c>
      <c r="D400" s="198"/>
      <c r="E400" s="199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226"/>
    </row>
    <row r="401" spans="1:19" ht="15.5" x14ac:dyDescent="0.35">
      <c r="A401" s="217"/>
      <c r="B401" s="217"/>
      <c r="C401" s="231"/>
      <c r="D401" s="231"/>
      <c r="E401" s="229"/>
      <c r="F401" s="229"/>
      <c r="G401" s="229"/>
      <c r="H401" s="229"/>
      <c r="I401" s="229"/>
      <c r="J401" s="229"/>
      <c r="K401" s="229"/>
      <c r="L401" s="229"/>
      <c r="M401" s="229"/>
      <c r="N401" s="229"/>
      <c r="O401" s="229"/>
      <c r="P401" s="229"/>
      <c r="Q401" s="229"/>
      <c r="R401" s="229"/>
      <c r="S401" s="226"/>
    </row>
    <row r="402" spans="1:19" ht="18" customHeight="1" x14ac:dyDescent="0.35">
      <c r="A402" s="931" t="s">
        <v>1</v>
      </c>
      <c r="B402" s="931" t="s">
        <v>0</v>
      </c>
      <c r="C402" s="933" t="s">
        <v>45</v>
      </c>
      <c r="D402" s="934"/>
      <c r="E402" s="933" t="s">
        <v>103</v>
      </c>
      <c r="F402" s="934"/>
      <c r="G402" s="933" t="s">
        <v>104</v>
      </c>
      <c r="H402" s="934"/>
      <c r="I402" s="933" t="s">
        <v>105</v>
      </c>
      <c r="J402" s="934"/>
      <c r="K402" s="933" t="s">
        <v>106</v>
      </c>
      <c r="L402" s="934"/>
      <c r="M402" s="933" t="s">
        <v>107</v>
      </c>
      <c r="N402" s="934"/>
      <c r="O402" s="933" t="s">
        <v>108</v>
      </c>
      <c r="P402" s="934"/>
      <c r="Q402" s="933" t="s">
        <v>109</v>
      </c>
      <c r="R402" s="934"/>
      <c r="S402" s="935" t="s">
        <v>25</v>
      </c>
    </row>
    <row r="403" spans="1:19" ht="18" customHeight="1" x14ac:dyDescent="0.35">
      <c r="A403" s="932"/>
      <c r="B403" s="932"/>
      <c r="C403" s="246" t="s">
        <v>110</v>
      </c>
      <c r="D403" s="246" t="s">
        <v>111</v>
      </c>
      <c r="E403" s="246" t="s">
        <v>110</v>
      </c>
      <c r="F403" s="246" t="s">
        <v>111</v>
      </c>
      <c r="G403" s="246" t="s">
        <v>110</v>
      </c>
      <c r="H403" s="246" t="s">
        <v>111</v>
      </c>
      <c r="I403" s="246" t="s">
        <v>110</v>
      </c>
      <c r="J403" s="246" t="s">
        <v>111</v>
      </c>
      <c r="K403" s="246" t="s">
        <v>110</v>
      </c>
      <c r="L403" s="246" t="s">
        <v>111</v>
      </c>
      <c r="M403" s="246" t="s">
        <v>110</v>
      </c>
      <c r="N403" s="246" t="s">
        <v>111</v>
      </c>
      <c r="O403" s="246" t="s">
        <v>110</v>
      </c>
      <c r="P403" s="246" t="s">
        <v>111</v>
      </c>
      <c r="Q403" s="246" t="s">
        <v>110</v>
      </c>
      <c r="R403" s="246" t="s">
        <v>111</v>
      </c>
      <c r="S403" s="936"/>
    </row>
    <row r="404" spans="1:19" ht="18" customHeight="1" x14ac:dyDescent="0.35">
      <c r="A404" s="225">
        <v>1</v>
      </c>
      <c r="B404" s="206" t="s">
        <v>137</v>
      </c>
      <c r="C404" s="205">
        <f>C30</f>
        <v>0</v>
      </c>
      <c r="D404" s="205">
        <f t="shared" ref="D404:R404" si="12">D30</f>
        <v>0</v>
      </c>
      <c r="E404" s="205">
        <f t="shared" si="12"/>
        <v>0</v>
      </c>
      <c r="F404" s="205">
        <f t="shared" si="12"/>
        <v>0</v>
      </c>
      <c r="G404" s="205">
        <f t="shared" si="12"/>
        <v>0</v>
      </c>
      <c r="H404" s="205">
        <f t="shared" si="12"/>
        <v>0</v>
      </c>
      <c r="I404" s="205">
        <f t="shared" si="12"/>
        <v>0</v>
      </c>
      <c r="J404" s="205">
        <f t="shared" si="12"/>
        <v>0</v>
      </c>
      <c r="K404" s="205">
        <f t="shared" si="12"/>
        <v>0</v>
      </c>
      <c r="L404" s="205">
        <f t="shared" si="12"/>
        <v>0</v>
      </c>
      <c r="M404" s="205">
        <f t="shared" si="12"/>
        <v>0</v>
      </c>
      <c r="N404" s="205">
        <f t="shared" si="12"/>
        <v>0</v>
      </c>
      <c r="O404" s="205">
        <f t="shared" si="12"/>
        <v>2</v>
      </c>
      <c r="P404" s="205">
        <f t="shared" si="12"/>
        <v>0</v>
      </c>
      <c r="Q404" s="205">
        <f t="shared" si="12"/>
        <v>24</v>
      </c>
      <c r="R404" s="205">
        <f t="shared" si="12"/>
        <v>18</v>
      </c>
      <c r="S404" s="207"/>
    </row>
    <row r="405" spans="1:19" ht="18" customHeight="1" x14ac:dyDescent="0.35">
      <c r="A405" s="209">
        <v>2</v>
      </c>
      <c r="B405" s="209" t="s">
        <v>172</v>
      </c>
      <c r="C405" s="208">
        <f>C63</f>
        <v>0</v>
      </c>
      <c r="D405" s="208">
        <f t="shared" ref="D405:R405" si="13">D63</f>
        <v>0</v>
      </c>
      <c r="E405" s="208">
        <f t="shared" si="13"/>
        <v>0</v>
      </c>
      <c r="F405" s="208">
        <f t="shared" si="13"/>
        <v>0</v>
      </c>
      <c r="G405" s="208">
        <f t="shared" si="13"/>
        <v>0</v>
      </c>
      <c r="H405" s="208">
        <f t="shared" si="13"/>
        <v>0</v>
      </c>
      <c r="I405" s="208">
        <f t="shared" si="13"/>
        <v>0</v>
      </c>
      <c r="J405" s="208">
        <f t="shared" si="13"/>
        <v>0</v>
      </c>
      <c r="K405" s="208">
        <f t="shared" si="13"/>
        <v>0</v>
      </c>
      <c r="L405" s="208">
        <f t="shared" si="13"/>
        <v>0</v>
      </c>
      <c r="M405" s="208">
        <f t="shared" si="13"/>
        <v>0</v>
      </c>
      <c r="N405" s="208">
        <f t="shared" si="13"/>
        <v>0</v>
      </c>
      <c r="O405" s="208">
        <f t="shared" si="13"/>
        <v>1</v>
      </c>
      <c r="P405" s="208">
        <f t="shared" si="13"/>
        <v>0</v>
      </c>
      <c r="Q405" s="208">
        <f t="shared" si="13"/>
        <v>21</v>
      </c>
      <c r="R405" s="208">
        <f t="shared" si="13"/>
        <v>20</v>
      </c>
      <c r="S405" s="210"/>
    </row>
    <row r="406" spans="1:19" ht="18" customHeight="1" x14ac:dyDescent="0.35">
      <c r="A406" s="209">
        <v>3</v>
      </c>
      <c r="B406" s="209" t="s">
        <v>138</v>
      </c>
      <c r="C406" s="208">
        <f>C96</f>
        <v>0</v>
      </c>
      <c r="D406" s="208">
        <f t="shared" ref="D406:R406" si="14">D96</f>
        <v>0</v>
      </c>
      <c r="E406" s="208">
        <f t="shared" si="14"/>
        <v>0</v>
      </c>
      <c r="F406" s="208">
        <f t="shared" si="14"/>
        <v>0</v>
      </c>
      <c r="G406" s="208">
        <f t="shared" si="14"/>
        <v>0</v>
      </c>
      <c r="H406" s="208">
        <f t="shared" si="14"/>
        <v>0</v>
      </c>
      <c r="I406" s="208">
        <f t="shared" si="14"/>
        <v>0</v>
      </c>
      <c r="J406" s="208">
        <f t="shared" si="14"/>
        <v>0</v>
      </c>
      <c r="K406" s="208">
        <f t="shared" si="14"/>
        <v>0</v>
      </c>
      <c r="L406" s="208">
        <f t="shared" si="14"/>
        <v>0</v>
      </c>
      <c r="M406" s="208">
        <f t="shared" si="14"/>
        <v>0</v>
      </c>
      <c r="N406" s="208">
        <f t="shared" si="14"/>
        <v>0</v>
      </c>
      <c r="O406" s="208">
        <f t="shared" si="14"/>
        <v>0</v>
      </c>
      <c r="P406" s="208">
        <f t="shared" si="14"/>
        <v>0</v>
      </c>
      <c r="Q406" s="208">
        <f t="shared" si="14"/>
        <v>19</v>
      </c>
      <c r="R406" s="208">
        <f t="shared" si="14"/>
        <v>18</v>
      </c>
      <c r="S406" s="210"/>
    </row>
    <row r="407" spans="1:19" ht="18" customHeight="1" x14ac:dyDescent="0.35">
      <c r="A407" s="209">
        <v>4</v>
      </c>
      <c r="B407" s="209" t="s">
        <v>139</v>
      </c>
      <c r="C407" s="208">
        <f>C129</f>
        <v>0</v>
      </c>
      <c r="D407" s="208">
        <f t="shared" ref="D407:R407" si="15">D129</f>
        <v>0</v>
      </c>
      <c r="E407" s="208">
        <f t="shared" si="15"/>
        <v>0</v>
      </c>
      <c r="F407" s="208">
        <f t="shared" si="15"/>
        <v>0</v>
      </c>
      <c r="G407" s="208">
        <f t="shared" si="15"/>
        <v>1</v>
      </c>
      <c r="H407" s="208">
        <f t="shared" si="15"/>
        <v>0</v>
      </c>
      <c r="I407" s="208">
        <f t="shared" si="15"/>
        <v>0</v>
      </c>
      <c r="J407" s="208">
        <f t="shared" si="15"/>
        <v>0</v>
      </c>
      <c r="K407" s="208">
        <f t="shared" si="15"/>
        <v>0</v>
      </c>
      <c r="L407" s="208">
        <f t="shared" si="15"/>
        <v>0</v>
      </c>
      <c r="M407" s="208">
        <f t="shared" si="15"/>
        <v>0</v>
      </c>
      <c r="N407" s="208">
        <f t="shared" si="15"/>
        <v>0</v>
      </c>
      <c r="O407" s="208">
        <f t="shared" si="15"/>
        <v>0</v>
      </c>
      <c r="P407" s="208">
        <f t="shared" si="15"/>
        <v>0</v>
      </c>
      <c r="Q407" s="208">
        <f t="shared" si="15"/>
        <v>24</v>
      </c>
      <c r="R407" s="208">
        <f t="shared" si="15"/>
        <v>20</v>
      </c>
      <c r="S407" s="210"/>
    </row>
    <row r="408" spans="1:19" ht="18" customHeight="1" x14ac:dyDescent="0.35">
      <c r="A408" s="209">
        <v>5</v>
      </c>
      <c r="B408" s="209" t="s">
        <v>140</v>
      </c>
      <c r="C408" s="208">
        <f>C162</f>
        <v>0</v>
      </c>
      <c r="D408" s="208">
        <f t="shared" ref="D408:R408" si="16">D162</f>
        <v>0</v>
      </c>
      <c r="E408" s="208">
        <f t="shared" si="16"/>
        <v>0</v>
      </c>
      <c r="F408" s="208">
        <f t="shared" si="16"/>
        <v>0</v>
      </c>
      <c r="G408" s="208">
        <f t="shared" si="16"/>
        <v>0</v>
      </c>
      <c r="H408" s="208">
        <f t="shared" si="16"/>
        <v>0</v>
      </c>
      <c r="I408" s="208">
        <f t="shared" si="16"/>
        <v>0</v>
      </c>
      <c r="J408" s="208">
        <f t="shared" si="16"/>
        <v>0</v>
      </c>
      <c r="K408" s="208">
        <f t="shared" si="16"/>
        <v>0</v>
      </c>
      <c r="L408" s="208">
        <f t="shared" si="16"/>
        <v>0</v>
      </c>
      <c r="M408" s="208">
        <f t="shared" si="16"/>
        <v>0</v>
      </c>
      <c r="N408" s="208">
        <f t="shared" si="16"/>
        <v>0</v>
      </c>
      <c r="O408" s="208">
        <f t="shared" si="16"/>
        <v>0</v>
      </c>
      <c r="P408" s="208">
        <f t="shared" si="16"/>
        <v>0</v>
      </c>
      <c r="Q408" s="208">
        <f t="shared" si="16"/>
        <v>0</v>
      </c>
      <c r="R408" s="208">
        <f t="shared" si="16"/>
        <v>0</v>
      </c>
      <c r="S408" s="210"/>
    </row>
    <row r="409" spans="1:19" ht="18" customHeight="1" x14ac:dyDescent="0.35">
      <c r="A409" s="209">
        <v>6</v>
      </c>
      <c r="B409" s="209" t="s">
        <v>141</v>
      </c>
      <c r="C409" s="208">
        <f>C195</f>
        <v>0</v>
      </c>
      <c r="D409" s="208">
        <f t="shared" ref="D409:R409" si="17">D195</f>
        <v>0</v>
      </c>
      <c r="E409" s="208">
        <f t="shared" si="17"/>
        <v>0</v>
      </c>
      <c r="F409" s="208">
        <f t="shared" si="17"/>
        <v>0</v>
      </c>
      <c r="G409" s="208">
        <f t="shared" si="17"/>
        <v>0</v>
      </c>
      <c r="H409" s="208">
        <f t="shared" si="17"/>
        <v>0</v>
      </c>
      <c r="I409" s="208">
        <f t="shared" si="17"/>
        <v>0</v>
      </c>
      <c r="J409" s="208">
        <f t="shared" si="17"/>
        <v>0</v>
      </c>
      <c r="K409" s="208">
        <f t="shared" si="17"/>
        <v>0</v>
      </c>
      <c r="L409" s="208">
        <f t="shared" si="17"/>
        <v>0</v>
      </c>
      <c r="M409" s="208">
        <f t="shared" si="17"/>
        <v>0</v>
      </c>
      <c r="N409" s="208">
        <f t="shared" si="17"/>
        <v>0</v>
      </c>
      <c r="O409" s="208">
        <f t="shared" si="17"/>
        <v>0</v>
      </c>
      <c r="P409" s="208">
        <f t="shared" si="17"/>
        <v>0</v>
      </c>
      <c r="Q409" s="208">
        <f t="shared" si="17"/>
        <v>0</v>
      </c>
      <c r="R409" s="208">
        <f t="shared" si="17"/>
        <v>0</v>
      </c>
      <c r="S409" s="210"/>
    </row>
    <row r="410" spans="1:19" ht="18" customHeight="1" x14ac:dyDescent="0.35">
      <c r="A410" s="209">
        <v>7</v>
      </c>
      <c r="B410" s="209" t="s">
        <v>142</v>
      </c>
      <c r="C410" s="208">
        <f>C228</f>
        <v>0</v>
      </c>
      <c r="D410" s="208">
        <f t="shared" ref="D410:R410" si="18">D228</f>
        <v>0</v>
      </c>
      <c r="E410" s="208">
        <f t="shared" si="18"/>
        <v>0</v>
      </c>
      <c r="F410" s="208">
        <f t="shared" si="18"/>
        <v>0</v>
      </c>
      <c r="G410" s="208">
        <f t="shared" si="18"/>
        <v>0</v>
      </c>
      <c r="H410" s="208">
        <f t="shared" si="18"/>
        <v>0</v>
      </c>
      <c r="I410" s="208">
        <f t="shared" si="18"/>
        <v>0</v>
      </c>
      <c r="J410" s="208">
        <f t="shared" si="18"/>
        <v>0</v>
      </c>
      <c r="K410" s="208">
        <f t="shared" si="18"/>
        <v>0</v>
      </c>
      <c r="L410" s="208">
        <f t="shared" si="18"/>
        <v>0</v>
      </c>
      <c r="M410" s="208">
        <f t="shared" si="18"/>
        <v>0</v>
      </c>
      <c r="N410" s="208">
        <f t="shared" si="18"/>
        <v>0</v>
      </c>
      <c r="O410" s="208">
        <f t="shared" si="18"/>
        <v>0</v>
      </c>
      <c r="P410" s="208">
        <f t="shared" si="18"/>
        <v>0</v>
      </c>
      <c r="Q410" s="208">
        <f t="shared" si="18"/>
        <v>0</v>
      </c>
      <c r="R410" s="208">
        <f t="shared" si="18"/>
        <v>0</v>
      </c>
      <c r="S410" s="210"/>
    </row>
    <row r="411" spans="1:19" ht="18" customHeight="1" x14ac:dyDescent="0.35">
      <c r="A411" s="209">
        <v>8</v>
      </c>
      <c r="B411" s="209" t="s">
        <v>143</v>
      </c>
      <c r="C411" s="208">
        <f>+C261</f>
        <v>0</v>
      </c>
      <c r="D411" s="208">
        <f t="shared" ref="D411:R411" si="19">+D261</f>
        <v>0</v>
      </c>
      <c r="E411" s="208">
        <f t="shared" si="19"/>
        <v>0</v>
      </c>
      <c r="F411" s="208">
        <f t="shared" si="19"/>
        <v>0</v>
      </c>
      <c r="G411" s="208">
        <f t="shared" si="19"/>
        <v>0</v>
      </c>
      <c r="H411" s="208">
        <f t="shared" si="19"/>
        <v>0</v>
      </c>
      <c r="I411" s="208">
        <f t="shared" si="19"/>
        <v>0</v>
      </c>
      <c r="J411" s="208">
        <f t="shared" si="19"/>
        <v>0</v>
      </c>
      <c r="K411" s="208">
        <f t="shared" si="19"/>
        <v>0</v>
      </c>
      <c r="L411" s="208">
        <f t="shared" si="19"/>
        <v>0</v>
      </c>
      <c r="M411" s="208">
        <f t="shared" si="19"/>
        <v>0</v>
      </c>
      <c r="N411" s="208">
        <f t="shared" si="19"/>
        <v>0</v>
      </c>
      <c r="O411" s="208">
        <f t="shared" si="19"/>
        <v>0</v>
      </c>
      <c r="P411" s="208">
        <f t="shared" si="19"/>
        <v>0</v>
      </c>
      <c r="Q411" s="208">
        <f t="shared" si="19"/>
        <v>0</v>
      </c>
      <c r="R411" s="208">
        <f t="shared" si="19"/>
        <v>0</v>
      </c>
      <c r="S411" s="210"/>
    </row>
    <row r="412" spans="1:19" ht="18" customHeight="1" x14ac:dyDescent="0.35">
      <c r="A412" s="209">
        <v>9</v>
      </c>
      <c r="B412" s="209" t="s">
        <v>144</v>
      </c>
      <c r="C412" s="208">
        <f>C294</f>
        <v>0</v>
      </c>
      <c r="D412" s="208">
        <f t="shared" ref="D412:R412" si="20">D294</f>
        <v>0</v>
      </c>
      <c r="E412" s="208">
        <f t="shared" si="20"/>
        <v>0</v>
      </c>
      <c r="F412" s="208">
        <f t="shared" si="20"/>
        <v>0</v>
      </c>
      <c r="G412" s="208">
        <f t="shared" si="20"/>
        <v>0</v>
      </c>
      <c r="H412" s="208">
        <f t="shared" si="20"/>
        <v>0</v>
      </c>
      <c r="I412" s="208">
        <f t="shared" si="20"/>
        <v>0</v>
      </c>
      <c r="J412" s="208">
        <f t="shared" si="20"/>
        <v>0</v>
      </c>
      <c r="K412" s="208">
        <f t="shared" si="20"/>
        <v>0</v>
      </c>
      <c r="L412" s="208">
        <f t="shared" si="20"/>
        <v>0</v>
      </c>
      <c r="M412" s="208">
        <f t="shared" si="20"/>
        <v>0</v>
      </c>
      <c r="N412" s="208">
        <f t="shared" si="20"/>
        <v>0</v>
      </c>
      <c r="O412" s="208">
        <f t="shared" si="20"/>
        <v>0</v>
      </c>
      <c r="P412" s="208">
        <f t="shared" si="20"/>
        <v>0</v>
      </c>
      <c r="Q412" s="208">
        <f t="shared" si="20"/>
        <v>0</v>
      </c>
      <c r="R412" s="208">
        <f t="shared" si="20"/>
        <v>0</v>
      </c>
      <c r="S412" s="210"/>
    </row>
    <row r="413" spans="1:19" ht="18" customHeight="1" x14ac:dyDescent="0.35">
      <c r="A413" s="209">
        <v>10</v>
      </c>
      <c r="B413" s="209" t="s">
        <v>146</v>
      </c>
      <c r="C413" s="208">
        <f>C327</f>
        <v>0</v>
      </c>
      <c r="D413" s="208">
        <f t="shared" ref="D413:R413" si="21">D327</f>
        <v>0</v>
      </c>
      <c r="E413" s="208">
        <f t="shared" si="21"/>
        <v>0</v>
      </c>
      <c r="F413" s="208">
        <f t="shared" si="21"/>
        <v>0</v>
      </c>
      <c r="G413" s="208">
        <f t="shared" si="21"/>
        <v>0</v>
      </c>
      <c r="H413" s="208">
        <f t="shared" si="21"/>
        <v>0</v>
      </c>
      <c r="I413" s="208">
        <f t="shared" si="21"/>
        <v>0</v>
      </c>
      <c r="J413" s="208">
        <f t="shared" si="21"/>
        <v>0</v>
      </c>
      <c r="K413" s="208">
        <f t="shared" si="21"/>
        <v>0</v>
      </c>
      <c r="L413" s="208">
        <f t="shared" si="21"/>
        <v>0</v>
      </c>
      <c r="M413" s="208">
        <f t="shared" si="21"/>
        <v>0</v>
      </c>
      <c r="N413" s="208">
        <f t="shared" si="21"/>
        <v>0</v>
      </c>
      <c r="O413" s="208">
        <f t="shared" si="21"/>
        <v>0</v>
      </c>
      <c r="P413" s="208">
        <f t="shared" si="21"/>
        <v>0</v>
      </c>
      <c r="Q413" s="208">
        <f t="shared" si="21"/>
        <v>0</v>
      </c>
      <c r="R413" s="208">
        <f t="shared" si="21"/>
        <v>0</v>
      </c>
      <c r="S413" s="210"/>
    </row>
    <row r="414" spans="1:19" ht="18" customHeight="1" x14ac:dyDescent="0.35">
      <c r="A414" s="209">
        <v>11</v>
      </c>
      <c r="B414" s="209" t="s">
        <v>173</v>
      </c>
      <c r="C414" s="208">
        <f>C360</f>
        <v>0</v>
      </c>
      <c r="D414" s="208">
        <f t="shared" ref="D414:R414" si="22">D360</f>
        <v>0</v>
      </c>
      <c r="E414" s="208">
        <f t="shared" si="22"/>
        <v>0</v>
      </c>
      <c r="F414" s="208">
        <f t="shared" si="22"/>
        <v>0</v>
      </c>
      <c r="G414" s="208">
        <f t="shared" si="22"/>
        <v>0</v>
      </c>
      <c r="H414" s="208">
        <f t="shared" si="22"/>
        <v>0</v>
      </c>
      <c r="I414" s="208">
        <f t="shared" si="22"/>
        <v>0</v>
      </c>
      <c r="J414" s="208">
        <f t="shared" si="22"/>
        <v>0</v>
      </c>
      <c r="K414" s="208">
        <f t="shared" si="22"/>
        <v>0</v>
      </c>
      <c r="L414" s="208">
        <f t="shared" si="22"/>
        <v>0</v>
      </c>
      <c r="M414" s="208">
        <f t="shared" si="22"/>
        <v>0</v>
      </c>
      <c r="N414" s="208">
        <f t="shared" si="22"/>
        <v>0</v>
      </c>
      <c r="O414" s="208">
        <f t="shared" si="22"/>
        <v>0</v>
      </c>
      <c r="P414" s="208">
        <f t="shared" si="22"/>
        <v>0</v>
      </c>
      <c r="Q414" s="208">
        <f t="shared" si="22"/>
        <v>0</v>
      </c>
      <c r="R414" s="208">
        <f t="shared" si="22"/>
        <v>0</v>
      </c>
      <c r="S414" s="210"/>
    </row>
    <row r="415" spans="1:19" ht="18" customHeight="1" thickBot="1" x14ac:dyDescent="0.4">
      <c r="A415" s="257">
        <v>12</v>
      </c>
      <c r="B415" s="257" t="s">
        <v>145</v>
      </c>
      <c r="C415" s="258">
        <f>C393</f>
        <v>0</v>
      </c>
      <c r="D415" s="258">
        <f t="shared" ref="D415:R415" si="23">D393</f>
        <v>0</v>
      </c>
      <c r="E415" s="258">
        <f t="shared" si="23"/>
        <v>0</v>
      </c>
      <c r="F415" s="258">
        <f t="shared" si="23"/>
        <v>0</v>
      </c>
      <c r="G415" s="258">
        <f t="shared" si="23"/>
        <v>0</v>
      </c>
      <c r="H415" s="258">
        <f t="shared" si="23"/>
        <v>0</v>
      </c>
      <c r="I415" s="258">
        <f t="shared" si="23"/>
        <v>0</v>
      </c>
      <c r="J415" s="258">
        <f t="shared" si="23"/>
        <v>0</v>
      </c>
      <c r="K415" s="258">
        <f t="shared" si="23"/>
        <v>0</v>
      </c>
      <c r="L415" s="258">
        <f t="shared" si="23"/>
        <v>0</v>
      </c>
      <c r="M415" s="258">
        <f t="shared" si="23"/>
        <v>0</v>
      </c>
      <c r="N415" s="258">
        <f t="shared" si="23"/>
        <v>0</v>
      </c>
      <c r="O415" s="258">
        <f t="shared" si="23"/>
        <v>0</v>
      </c>
      <c r="P415" s="258">
        <f t="shared" si="23"/>
        <v>0</v>
      </c>
      <c r="Q415" s="258">
        <f t="shared" si="23"/>
        <v>0</v>
      </c>
      <c r="R415" s="258">
        <f t="shared" si="23"/>
        <v>0</v>
      </c>
      <c r="S415" s="259"/>
    </row>
    <row r="416" spans="1:19" ht="18" customHeight="1" thickBot="1" x14ac:dyDescent="0.4">
      <c r="A416" s="954" t="s">
        <v>18</v>
      </c>
      <c r="B416" s="955"/>
      <c r="C416" s="252">
        <f t="shared" ref="C416:R416" si="24">SUM(C404:C415)</f>
        <v>0</v>
      </c>
      <c r="D416" s="252">
        <f t="shared" si="24"/>
        <v>0</v>
      </c>
      <c r="E416" s="252">
        <f t="shared" si="24"/>
        <v>0</v>
      </c>
      <c r="F416" s="252">
        <f t="shared" si="24"/>
        <v>0</v>
      </c>
      <c r="G416" s="252">
        <f t="shared" si="24"/>
        <v>1</v>
      </c>
      <c r="H416" s="252">
        <f t="shared" si="24"/>
        <v>0</v>
      </c>
      <c r="I416" s="252">
        <f t="shared" si="24"/>
        <v>0</v>
      </c>
      <c r="J416" s="252">
        <f t="shared" si="24"/>
        <v>0</v>
      </c>
      <c r="K416" s="252">
        <f t="shared" si="24"/>
        <v>0</v>
      </c>
      <c r="L416" s="252">
        <f t="shared" si="24"/>
        <v>0</v>
      </c>
      <c r="M416" s="252">
        <f t="shared" si="24"/>
        <v>0</v>
      </c>
      <c r="N416" s="252">
        <f t="shared" si="24"/>
        <v>0</v>
      </c>
      <c r="O416" s="252">
        <f t="shared" si="24"/>
        <v>3</v>
      </c>
      <c r="P416" s="252">
        <f t="shared" si="24"/>
        <v>0</v>
      </c>
      <c r="Q416" s="252">
        <f t="shared" si="24"/>
        <v>88</v>
      </c>
      <c r="R416" s="252">
        <f t="shared" si="24"/>
        <v>76</v>
      </c>
      <c r="S416" s="251"/>
    </row>
    <row r="417" spans="1:19" ht="15.5" x14ac:dyDescent="0.35">
      <c r="A417" s="220"/>
      <c r="B417" s="220"/>
      <c r="C417" s="232"/>
      <c r="D417" s="232"/>
      <c r="E417" s="232"/>
      <c r="F417" s="232"/>
      <c r="G417" s="232"/>
      <c r="H417" s="232"/>
      <c r="I417" s="232"/>
      <c r="J417" s="232"/>
      <c r="K417" s="232"/>
      <c r="L417" s="232"/>
      <c r="M417" s="232"/>
      <c r="N417" s="232"/>
      <c r="O417" s="232"/>
      <c r="P417" s="232"/>
      <c r="Q417" s="232"/>
      <c r="R417" s="232"/>
      <c r="S417" s="232"/>
    </row>
    <row r="418" spans="1:19" ht="15.5" x14ac:dyDescent="0.35">
      <c r="A418" s="222"/>
      <c r="B418" s="222"/>
      <c r="C418" s="204"/>
      <c r="D418" s="204"/>
      <c r="E418" s="204"/>
      <c r="F418" s="204"/>
      <c r="G418" s="204"/>
      <c r="H418" s="204"/>
      <c r="I418" s="232"/>
      <c r="J418" s="232"/>
      <c r="K418" s="204"/>
      <c r="L418" s="204"/>
      <c r="M418" s="204"/>
      <c r="N418" s="204"/>
      <c r="O418" s="204"/>
      <c r="P418" s="232"/>
      <c r="Q418" s="232"/>
      <c r="R418" s="232"/>
      <c r="S418" s="232"/>
    </row>
    <row r="419" spans="1:19" ht="15.5" x14ac:dyDescent="0.35">
      <c r="A419" s="222"/>
      <c r="B419" s="945"/>
      <c r="C419" s="945"/>
      <c r="D419" s="945"/>
      <c r="E419" s="945"/>
      <c r="F419" s="204"/>
      <c r="G419" s="204"/>
      <c r="H419" s="204"/>
      <c r="I419" s="204"/>
      <c r="J419" s="235"/>
      <c r="K419" s="235"/>
      <c r="L419" s="235"/>
      <c r="M419" s="235"/>
      <c r="N419" s="235"/>
      <c r="O419" s="235"/>
      <c r="P419" s="235"/>
      <c r="Q419" s="232"/>
      <c r="R419" s="232"/>
      <c r="S419" s="232"/>
    </row>
    <row r="420" spans="1:19" ht="15.5" x14ac:dyDescent="0.35">
      <c r="A420" s="930" t="s">
        <v>102</v>
      </c>
      <c r="B420" s="930"/>
      <c r="C420" s="930"/>
      <c r="D420" s="930"/>
      <c r="E420" s="930"/>
      <c r="F420" s="930"/>
      <c r="G420" s="930"/>
      <c r="H420" s="930"/>
      <c r="I420" s="930"/>
      <c r="J420" s="930"/>
      <c r="K420" s="930"/>
      <c r="L420" s="930"/>
      <c r="M420" s="930"/>
      <c r="N420" s="930"/>
      <c r="O420" s="930"/>
      <c r="P420" s="930"/>
      <c r="Q420" s="930"/>
      <c r="R420" s="930"/>
      <c r="S420" s="930"/>
    </row>
    <row r="421" spans="1:19" ht="15.5" x14ac:dyDescent="0.35">
      <c r="A421" s="213"/>
      <c r="B421" s="213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226"/>
    </row>
    <row r="422" spans="1:19" ht="15.5" x14ac:dyDescent="0.35">
      <c r="A422" s="244" t="s">
        <v>189</v>
      </c>
      <c r="B422" s="244"/>
      <c r="C422" s="197">
        <f>PETUNJUK!C57</f>
        <v>0</v>
      </c>
      <c r="D422" s="198"/>
      <c r="E422" s="198"/>
      <c r="F422" s="199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226"/>
    </row>
    <row r="423" spans="1:19" ht="15.5" x14ac:dyDescent="0.35">
      <c r="A423" s="244" t="s">
        <v>369</v>
      </c>
      <c r="B423" s="244"/>
      <c r="C423" s="245" t="s">
        <v>406</v>
      </c>
      <c r="D423" s="198"/>
      <c r="E423" s="199"/>
      <c r="F423" s="199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226"/>
    </row>
    <row r="424" spans="1:19" ht="15.5" x14ac:dyDescent="0.35">
      <c r="A424" s="217"/>
      <c r="B424" s="217"/>
      <c r="C424" s="231"/>
      <c r="D424" s="231"/>
      <c r="E424" s="229"/>
      <c r="F424" s="229"/>
      <c r="G424" s="229"/>
      <c r="H424" s="229"/>
      <c r="I424" s="229"/>
      <c r="J424" s="229"/>
      <c r="K424" s="229"/>
      <c r="L424" s="229"/>
      <c r="M424" s="229"/>
      <c r="N424" s="229"/>
      <c r="O424" s="229"/>
      <c r="P424" s="229"/>
      <c r="Q424" s="229"/>
      <c r="R424" s="229"/>
      <c r="S424" s="226"/>
    </row>
    <row r="425" spans="1:19" ht="18" customHeight="1" x14ac:dyDescent="0.35">
      <c r="A425" s="931" t="s">
        <v>1</v>
      </c>
      <c r="B425" s="931" t="s">
        <v>2</v>
      </c>
      <c r="C425" s="933" t="s">
        <v>45</v>
      </c>
      <c r="D425" s="934"/>
      <c r="E425" s="933" t="s">
        <v>103</v>
      </c>
      <c r="F425" s="934"/>
      <c r="G425" s="933" t="s">
        <v>104</v>
      </c>
      <c r="H425" s="934"/>
      <c r="I425" s="933" t="s">
        <v>105</v>
      </c>
      <c r="J425" s="934"/>
      <c r="K425" s="933" t="s">
        <v>106</v>
      </c>
      <c r="L425" s="934"/>
      <c r="M425" s="933" t="s">
        <v>107</v>
      </c>
      <c r="N425" s="934"/>
      <c r="O425" s="933" t="s">
        <v>108</v>
      </c>
      <c r="P425" s="934"/>
      <c r="Q425" s="933" t="s">
        <v>109</v>
      </c>
      <c r="R425" s="934"/>
      <c r="S425" s="935" t="s">
        <v>25</v>
      </c>
    </row>
    <row r="426" spans="1:19" ht="18" customHeight="1" x14ac:dyDescent="0.35">
      <c r="A426" s="932"/>
      <c r="B426" s="932"/>
      <c r="C426" s="246" t="s">
        <v>110</v>
      </c>
      <c r="D426" s="246" t="s">
        <v>111</v>
      </c>
      <c r="E426" s="246" t="s">
        <v>110</v>
      </c>
      <c r="F426" s="246" t="s">
        <v>111</v>
      </c>
      <c r="G426" s="246" t="s">
        <v>110</v>
      </c>
      <c r="H426" s="246" t="s">
        <v>111</v>
      </c>
      <c r="I426" s="246" t="s">
        <v>110</v>
      </c>
      <c r="J426" s="246" t="s">
        <v>111</v>
      </c>
      <c r="K426" s="246" t="s">
        <v>110</v>
      </c>
      <c r="L426" s="246" t="s">
        <v>111</v>
      </c>
      <c r="M426" s="246" t="s">
        <v>110</v>
      </c>
      <c r="N426" s="246" t="s">
        <v>111</v>
      </c>
      <c r="O426" s="246" t="s">
        <v>110</v>
      </c>
      <c r="P426" s="246" t="s">
        <v>111</v>
      </c>
      <c r="Q426" s="246" t="s">
        <v>110</v>
      </c>
      <c r="R426" s="246" t="s">
        <v>111</v>
      </c>
      <c r="S426" s="936"/>
    </row>
    <row r="427" spans="1:19" ht="18" customHeight="1" x14ac:dyDescent="0.35">
      <c r="A427" s="218">
        <v>1</v>
      </c>
      <c r="B427" s="219" t="str">
        <f>PETUNJUK!B9</f>
        <v>Pecangaan Kulon</v>
      </c>
      <c r="C427" s="41">
        <f t="shared" ref="C427:C441" si="25">C8+C41+C74+C107+C140+C173+C206+C239+C272+C305+C338+C371</f>
        <v>0</v>
      </c>
      <c r="D427" s="41">
        <f t="shared" ref="D427:R427" si="26">D8+D41+D74+D107+D140+D173+D206+D239+D272+D305+D338+D371</f>
        <v>0</v>
      </c>
      <c r="E427" s="41">
        <f t="shared" si="26"/>
        <v>0</v>
      </c>
      <c r="F427" s="41">
        <f t="shared" si="26"/>
        <v>0</v>
      </c>
      <c r="G427" s="41">
        <f t="shared" si="26"/>
        <v>0</v>
      </c>
      <c r="H427" s="41">
        <f t="shared" si="26"/>
        <v>0</v>
      </c>
      <c r="I427" s="41">
        <f t="shared" si="26"/>
        <v>0</v>
      </c>
      <c r="J427" s="41">
        <f t="shared" si="26"/>
        <v>0</v>
      </c>
      <c r="K427" s="41">
        <f t="shared" si="26"/>
        <v>0</v>
      </c>
      <c r="L427" s="41">
        <f t="shared" si="26"/>
        <v>0</v>
      </c>
      <c r="M427" s="41">
        <f t="shared" si="26"/>
        <v>0</v>
      </c>
      <c r="N427" s="41">
        <f t="shared" si="26"/>
        <v>0</v>
      </c>
      <c r="O427" s="41">
        <f t="shared" si="26"/>
        <v>0</v>
      </c>
      <c r="P427" s="41">
        <f t="shared" si="26"/>
        <v>0</v>
      </c>
      <c r="Q427" s="41">
        <f t="shared" si="26"/>
        <v>5</v>
      </c>
      <c r="R427" s="41">
        <f t="shared" si="26"/>
        <v>6</v>
      </c>
      <c r="S427" s="201"/>
    </row>
    <row r="428" spans="1:19" ht="18" customHeight="1" x14ac:dyDescent="0.35">
      <c r="A428" s="218">
        <v>2</v>
      </c>
      <c r="B428" s="219" t="str">
        <f>PETUNJUK!B10</f>
        <v>Rengging</v>
      </c>
      <c r="C428" s="41">
        <f t="shared" si="25"/>
        <v>0</v>
      </c>
      <c r="D428" s="41">
        <f t="shared" ref="D428:R428" si="27">D9+D42+D75+D108+D141+D174+D207+D240+D273+D306+D339+D372</f>
        <v>0</v>
      </c>
      <c r="E428" s="41">
        <f t="shared" si="27"/>
        <v>0</v>
      </c>
      <c r="F428" s="41">
        <f t="shared" si="27"/>
        <v>0</v>
      </c>
      <c r="G428" s="41">
        <f t="shared" si="27"/>
        <v>0</v>
      </c>
      <c r="H428" s="41">
        <f t="shared" si="27"/>
        <v>0</v>
      </c>
      <c r="I428" s="41">
        <f t="shared" si="27"/>
        <v>0</v>
      </c>
      <c r="J428" s="41">
        <f t="shared" si="27"/>
        <v>0</v>
      </c>
      <c r="K428" s="41">
        <f t="shared" si="27"/>
        <v>0</v>
      </c>
      <c r="L428" s="41">
        <f t="shared" si="27"/>
        <v>0</v>
      </c>
      <c r="M428" s="41">
        <f t="shared" si="27"/>
        <v>0</v>
      </c>
      <c r="N428" s="41">
        <f t="shared" si="27"/>
        <v>0</v>
      </c>
      <c r="O428" s="41">
        <f t="shared" si="27"/>
        <v>0</v>
      </c>
      <c r="P428" s="41">
        <f t="shared" si="27"/>
        <v>0</v>
      </c>
      <c r="Q428" s="41">
        <f t="shared" si="27"/>
        <v>14</v>
      </c>
      <c r="R428" s="41">
        <f t="shared" si="27"/>
        <v>13</v>
      </c>
      <c r="S428" s="201"/>
    </row>
    <row r="429" spans="1:19" ht="18" customHeight="1" x14ac:dyDescent="0.35">
      <c r="A429" s="218">
        <v>3</v>
      </c>
      <c r="B429" s="219" t="str">
        <f>PETUNJUK!B11</f>
        <v>Troso</v>
      </c>
      <c r="C429" s="41">
        <f t="shared" si="25"/>
        <v>0</v>
      </c>
      <c r="D429" s="41">
        <f t="shared" ref="D429:R429" si="28">D10+D43+D76+D109+D142+D175+D208+D241+D274+D307+D340+D373</f>
        <v>0</v>
      </c>
      <c r="E429" s="41">
        <f t="shared" si="28"/>
        <v>0</v>
      </c>
      <c r="F429" s="41">
        <f t="shared" si="28"/>
        <v>0</v>
      </c>
      <c r="G429" s="41">
        <f t="shared" si="28"/>
        <v>0</v>
      </c>
      <c r="H429" s="41">
        <f t="shared" si="28"/>
        <v>0</v>
      </c>
      <c r="I429" s="41">
        <f t="shared" si="28"/>
        <v>0</v>
      </c>
      <c r="J429" s="41">
        <f t="shared" si="28"/>
        <v>0</v>
      </c>
      <c r="K429" s="41">
        <f t="shared" si="28"/>
        <v>0</v>
      </c>
      <c r="L429" s="41">
        <f t="shared" si="28"/>
        <v>0</v>
      </c>
      <c r="M429" s="41">
        <f t="shared" si="28"/>
        <v>0</v>
      </c>
      <c r="N429" s="41">
        <f t="shared" si="28"/>
        <v>0</v>
      </c>
      <c r="O429" s="41">
        <f t="shared" si="28"/>
        <v>1</v>
      </c>
      <c r="P429" s="41">
        <f t="shared" si="28"/>
        <v>0</v>
      </c>
      <c r="Q429" s="41">
        <f t="shared" si="28"/>
        <v>8</v>
      </c>
      <c r="R429" s="41">
        <f t="shared" si="28"/>
        <v>7</v>
      </c>
      <c r="S429" s="201"/>
    </row>
    <row r="430" spans="1:19" ht="18" customHeight="1" x14ac:dyDescent="0.35">
      <c r="A430" s="218">
        <v>4</v>
      </c>
      <c r="B430" s="219" t="str">
        <f>PETUNJUK!B12</f>
        <v>Ngeling</v>
      </c>
      <c r="C430" s="41">
        <f t="shared" si="25"/>
        <v>0</v>
      </c>
      <c r="D430" s="41">
        <f t="shared" ref="D430:R430" si="29">D11+D44+D77+D110+D143+D176+D209+D242+D275+D308+D341+D374</f>
        <v>0</v>
      </c>
      <c r="E430" s="41">
        <f t="shared" si="29"/>
        <v>0</v>
      </c>
      <c r="F430" s="41">
        <f t="shared" si="29"/>
        <v>0</v>
      </c>
      <c r="G430" s="41">
        <f t="shared" si="29"/>
        <v>1</v>
      </c>
      <c r="H430" s="41">
        <f t="shared" si="29"/>
        <v>0</v>
      </c>
      <c r="I430" s="41">
        <f t="shared" si="29"/>
        <v>0</v>
      </c>
      <c r="J430" s="41">
        <f t="shared" si="29"/>
        <v>0</v>
      </c>
      <c r="K430" s="41">
        <f t="shared" si="29"/>
        <v>0</v>
      </c>
      <c r="L430" s="41">
        <f t="shared" si="29"/>
        <v>0</v>
      </c>
      <c r="M430" s="41">
        <f t="shared" si="29"/>
        <v>0</v>
      </c>
      <c r="N430" s="41">
        <f t="shared" si="29"/>
        <v>0</v>
      </c>
      <c r="O430" s="41">
        <f t="shared" si="29"/>
        <v>0</v>
      </c>
      <c r="P430" s="41">
        <f t="shared" si="29"/>
        <v>0</v>
      </c>
      <c r="Q430" s="41">
        <f t="shared" si="29"/>
        <v>12</v>
      </c>
      <c r="R430" s="41">
        <f t="shared" si="29"/>
        <v>7</v>
      </c>
      <c r="S430" s="201"/>
    </row>
    <row r="431" spans="1:19" ht="18" customHeight="1" x14ac:dyDescent="0.35">
      <c r="A431" s="218">
        <v>5</v>
      </c>
      <c r="B431" s="219" t="str">
        <f>PETUNJUK!B13</f>
        <v>Lebuawu</v>
      </c>
      <c r="C431" s="41">
        <f t="shared" si="25"/>
        <v>0</v>
      </c>
      <c r="D431" s="41">
        <f t="shared" ref="D431:R431" si="30">D12+D45+D78+D111+D144+D177+D210+D243+D276+D309+D342+D375</f>
        <v>0</v>
      </c>
      <c r="E431" s="41">
        <f t="shared" si="30"/>
        <v>0</v>
      </c>
      <c r="F431" s="41">
        <f t="shared" si="30"/>
        <v>0</v>
      </c>
      <c r="G431" s="41">
        <f t="shared" si="30"/>
        <v>0</v>
      </c>
      <c r="H431" s="41">
        <f t="shared" si="30"/>
        <v>0</v>
      </c>
      <c r="I431" s="41">
        <f t="shared" si="30"/>
        <v>0</v>
      </c>
      <c r="J431" s="41">
        <f t="shared" si="30"/>
        <v>0</v>
      </c>
      <c r="K431" s="41">
        <f t="shared" si="30"/>
        <v>0</v>
      </c>
      <c r="L431" s="41">
        <f t="shared" si="30"/>
        <v>0</v>
      </c>
      <c r="M431" s="41">
        <f t="shared" si="30"/>
        <v>0</v>
      </c>
      <c r="N431" s="41">
        <f t="shared" si="30"/>
        <v>0</v>
      </c>
      <c r="O431" s="41">
        <f t="shared" si="30"/>
        <v>0</v>
      </c>
      <c r="P431" s="41">
        <f t="shared" si="30"/>
        <v>0</v>
      </c>
      <c r="Q431" s="41">
        <f t="shared" si="30"/>
        <v>8</v>
      </c>
      <c r="R431" s="41">
        <f t="shared" si="30"/>
        <v>9</v>
      </c>
      <c r="S431" s="201"/>
    </row>
    <row r="432" spans="1:19" ht="18" customHeight="1" x14ac:dyDescent="0.35">
      <c r="A432" s="218">
        <v>6</v>
      </c>
      <c r="B432" s="219" t="str">
        <f>PETUNJUK!B14</f>
        <v>Pulodarat</v>
      </c>
      <c r="C432" s="41">
        <f t="shared" si="25"/>
        <v>0</v>
      </c>
      <c r="D432" s="41">
        <f t="shared" ref="D432:R432" si="31">D13+D46+D79+D112+D145+D178+D211+D244+D277+D310+D343+D376</f>
        <v>0</v>
      </c>
      <c r="E432" s="41">
        <f t="shared" si="31"/>
        <v>0</v>
      </c>
      <c r="F432" s="41">
        <f t="shared" si="31"/>
        <v>0</v>
      </c>
      <c r="G432" s="41">
        <f t="shared" si="31"/>
        <v>0</v>
      </c>
      <c r="H432" s="41">
        <f t="shared" si="31"/>
        <v>0</v>
      </c>
      <c r="I432" s="41">
        <f t="shared" si="31"/>
        <v>0</v>
      </c>
      <c r="J432" s="41">
        <f t="shared" si="31"/>
        <v>0</v>
      </c>
      <c r="K432" s="41">
        <f t="shared" si="31"/>
        <v>0</v>
      </c>
      <c r="L432" s="41">
        <f t="shared" si="31"/>
        <v>0</v>
      </c>
      <c r="M432" s="41">
        <f t="shared" si="31"/>
        <v>0</v>
      </c>
      <c r="N432" s="41">
        <f t="shared" si="31"/>
        <v>0</v>
      </c>
      <c r="O432" s="41">
        <f t="shared" si="31"/>
        <v>0</v>
      </c>
      <c r="P432" s="41">
        <f t="shared" si="31"/>
        <v>0</v>
      </c>
      <c r="Q432" s="41">
        <f t="shared" si="31"/>
        <v>2</v>
      </c>
      <c r="R432" s="41">
        <f t="shared" si="31"/>
        <v>8</v>
      </c>
      <c r="S432" s="201"/>
    </row>
    <row r="433" spans="1:19" ht="18" customHeight="1" x14ac:dyDescent="0.35">
      <c r="A433" s="218">
        <v>7</v>
      </c>
      <c r="B433" s="219" t="str">
        <f>PETUNJUK!B15</f>
        <v>Karangrandu</v>
      </c>
      <c r="C433" s="41">
        <f t="shared" si="25"/>
        <v>0</v>
      </c>
      <c r="D433" s="41">
        <f t="shared" ref="D433:R433" si="32">D14+D47+D80+D113+D146+D179+D212+D245+D278+D311+D344+D377</f>
        <v>0</v>
      </c>
      <c r="E433" s="41">
        <f t="shared" si="32"/>
        <v>0</v>
      </c>
      <c r="F433" s="41">
        <f t="shared" si="32"/>
        <v>0</v>
      </c>
      <c r="G433" s="41">
        <f t="shared" si="32"/>
        <v>0</v>
      </c>
      <c r="H433" s="41">
        <f t="shared" si="32"/>
        <v>0</v>
      </c>
      <c r="I433" s="41">
        <f t="shared" si="32"/>
        <v>0</v>
      </c>
      <c r="J433" s="41">
        <f t="shared" si="32"/>
        <v>0</v>
      </c>
      <c r="K433" s="41">
        <f t="shared" si="32"/>
        <v>0</v>
      </c>
      <c r="L433" s="41">
        <f t="shared" si="32"/>
        <v>0</v>
      </c>
      <c r="M433" s="41">
        <f t="shared" si="32"/>
        <v>0</v>
      </c>
      <c r="N433" s="41">
        <f t="shared" si="32"/>
        <v>0</v>
      </c>
      <c r="O433" s="41">
        <f t="shared" si="32"/>
        <v>0</v>
      </c>
      <c r="P433" s="41">
        <f t="shared" si="32"/>
        <v>0</v>
      </c>
      <c r="Q433" s="41">
        <f t="shared" si="32"/>
        <v>8</v>
      </c>
      <c r="R433" s="41">
        <f t="shared" si="32"/>
        <v>10</v>
      </c>
      <c r="S433" s="201"/>
    </row>
    <row r="434" spans="1:19" ht="18" customHeight="1" x14ac:dyDescent="0.35">
      <c r="A434" s="218">
        <v>8</v>
      </c>
      <c r="B434" s="219" t="str">
        <f>PETUNJUK!B16</f>
        <v>Kaliombo</v>
      </c>
      <c r="C434" s="41">
        <f t="shared" si="25"/>
        <v>0</v>
      </c>
      <c r="D434" s="41">
        <f t="shared" ref="D434:R434" si="33">D15+D48+D81+D114+D147+D180+D213+D246+D279+D312+D345+D378</f>
        <v>0</v>
      </c>
      <c r="E434" s="41">
        <f t="shared" si="33"/>
        <v>0</v>
      </c>
      <c r="F434" s="41">
        <f t="shared" si="33"/>
        <v>0</v>
      </c>
      <c r="G434" s="41">
        <f t="shared" si="33"/>
        <v>0</v>
      </c>
      <c r="H434" s="41">
        <f t="shared" si="33"/>
        <v>0</v>
      </c>
      <c r="I434" s="41">
        <f t="shared" si="33"/>
        <v>0</v>
      </c>
      <c r="J434" s="41">
        <f t="shared" si="33"/>
        <v>0</v>
      </c>
      <c r="K434" s="41">
        <f t="shared" si="33"/>
        <v>0</v>
      </c>
      <c r="L434" s="41">
        <f t="shared" si="33"/>
        <v>0</v>
      </c>
      <c r="M434" s="41">
        <f t="shared" si="33"/>
        <v>0</v>
      </c>
      <c r="N434" s="41">
        <f t="shared" si="33"/>
        <v>0</v>
      </c>
      <c r="O434" s="41">
        <f t="shared" si="33"/>
        <v>0</v>
      </c>
      <c r="P434" s="41">
        <f t="shared" si="33"/>
        <v>0</v>
      </c>
      <c r="Q434" s="41">
        <f t="shared" si="33"/>
        <v>7</v>
      </c>
      <c r="R434" s="41">
        <f t="shared" si="33"/>
        <v>1</v>
      </c>
      <c r="S434" s="201"/>
    </row>
    <row r="435" spans="1:19" ht="18" customHeight="1" x14ac:dyDescent="0.35">
      <c r="A435" s="218">
        <v>9</v>
      </c>
      <c r="B435" s="219" t="str">
        <f>PETUNJUK!B17</f>
        <v>Gemulung</v>
      </c>
      <c r="C435" s="41">
        <f t="shared" si="25"/>
        <v>0</v>
      </c>
      <c r="D435" s="41">
        <f t="shared" ref="D435:R435" si="34">D16+D49+D82+D115+D148+D181+D214+D247+D280+D313+D346+D379</f>
        <v>0</v>
      </c>
      <c r="E435" s="41">
        <f t="shared" si="34"/>
        <v>0</v>
      </c>
      <c r="F435" s="41">
        <f t="shared" si="34"/>
        <v>0</v>
      </c>
      <c r="G435" s="41">
        <f t="shared" si="34"/>
        <v>0</v>
      </c>
      <c r="H435" s="41">
        <f t="shared" si="34"/>
        <v>0</v>
      </c>
      <c r="I435" s="41">
        <f t="shared" si="34"/>
        <v>0</v>
      </c>
      <c r="J435" s="41">
        <f t="shared" si="34"/>
        <v>0</v>
      </c>
      <c r="K435" s="41">
        <f t="shared" si="34"/>
        <v>0</v>
      </c>
      <c r="L435" s="41">
        <f t="shared" si="34"/>
        <v>0</v>
      </c>
      <c r="M435" s="41">
        <f t="shared" si="34"/>
        <v>0</v>
      </c>
      <c r="N435" s="41">
        <f t="shared" si="34"/>
        <v>0</v>
      </c>
      <c r="O435" s="41">
        <f t="shared" si="34"/>
        <v>0</v>
      </c>
      <c r="P435" s="41">
        <f t="shared" si="34"/>
        <v>0</v>
      </c>
      <c r="Q435" s="41">
        <f t="shared" si="34"/>
        <v>4</v>
      </c>
      <c r="R435" s="41">
        <f t="shared" si="34"/>
        <v>3</v>
      </c>
      <c r="S435" s="201"/>
    </row>
    <row r="436" spans="1:19" ht="18" customHeight="1" x14ac:dyDescent="0.35">
      <c r="A436" s="218">
        <v>10</v>
      </c>
      <c r="B436" s="219" t="str">
        <f>PETUNJUK!B18</f>
        <v>Pecangaan Wetan</v>
      </c>
      <c r="C436" s="41">
        <f t="shared" si="25"/>
        <v>0</v>
      </c>
      <c r="D436" s="41">
        <f t="shared" ref="D436:R436" si="35">D17+D50+D83+D116+D149+D182+D215+D248+D281+D314+D347+D380</f>
        <v>0</v>
      </c>
      <c r="E436" s="41">
        <f t="shared" si="35"/>
        <v>0</v>
      </c>
      <c r="F436" s="41">
        <f t="shared" si="35"/>
        <v>0</v>
      </c>
      <c r="G436" s="41">
        <f t="shared" si="35"/>
        <v>0</v>
      </c>
      <c r="H436" s="41">
        <f t="shared" si="35"/>
        <v>0</v>
      </c>
      <c r="I436" s="41">
        <f t="shared" si="35"/>
        <v>0</v>
      </c>
      <c r="J436" s="41">
        <f t="shared" si="35"/>
        <v>0</v>
      </c>
      <c r="K436" s="41">
        <f t="shared" si="35"/>
        <v>0</v>
      </c>
      <c r="L436" s="41">
        <f t="shared" si="35"/>
        <v>0</v>
      </c>
      <c r="M436" s="41">
        <f t="shared" si="35"/>
        <v>0</v>
      </c>
      <c r="N436" s="41">
        <f t="shared" si="35"/>
        <v>0</v>
      </c>
      <c r="O436" s="41">
        <f t="shared" si="35"/>
        <v>1</v>
      </c>
      <c r="P436" s="41">
        <f t="shared" si="35"/>
        <v>0</v>
      </c>
      <c r="Q436" s="41">
        <f t="shared" si="35"/>
        <v>7</v>
      </c>
      <c r="R436" s="41">
        <f t="shared" si="35"/>
        <v>5</v>
      </c>
      <c r="S436" s="201"/>
    </row>
    <row r="437" spans="1:19" ht="18" customHeight="1" x14ac:dyDescent="0.35">
      <c r="A437" s="218">
        <v>11</v>
      </c>
      <c r="B437" s="219" t="str">
        <f>PETUNJUK!B19</f>
        <v>Krasak</v>
      </c>
      <c r="C437" s="41">
        <f t="shared" si="25"/>
        <v>0</v>
      </c>
      <c r="D437" s="41">
        <f t="shared" ref="D437:R437" si="36">D18+D51+D84+D117+D150+D183+D216+D249+D282+D315+D348+D381</f>
        <v>0</v>
      </c>
      <c r="E437" s="41">
        <f t="shared" si="36"/>
        <v>0</v>
      </c>
      <c r="F437" s="41">
        <f t="shared" si="36"/>
        <v>0</v>
      </c>
      <c r="G437" s="41">
        <f t="shared" si="36"/>
        <v>0</v>
      </c>
      <c r="H437" s="41">
        <f t="shared" si="36"/>
        <v>0</v>
      </c>
      <c r="I437" s="41">
        <f t="shared" si="36"/>
        <v>0</v>
      </c>
      <c r="J437" s="41">
        <f t="shared" si="36"/>
        <v>0</v>
      </c>
      <c r="K437" s="41">
        <f t="shared" si="36"/>
        <v>0</v>
      </c>
      <c r="L437" s="41">
        <f t="shared" si="36"/>
        <v>0</v>
      </c>
      <c r="M437" s="41">
        <f t="shared" si="36"/>
        <v>0</v>
      </c>
      <c r="N437" s="41">
        <f t="shared" si="36"/>
        <v>0</v>
      </c>
      <c r="O437" s="41">
        <f t="shared" si="36"/>
        <v>1</v>
      </c>
      <c r="P437" s="41">
        <f t="shared" si="36"/>
        <v>0</v>
      </c>
      <c r="Q437" s="41">
        <f t="shared" si="36"/>
        <v>11</v>
      </c>
      <c r="R437" s="41">
        <f t="shared" si="36"/>
        <v>6</v>
      </c>
      <c r="S437" s="201"/>
    </row>
    <row r="438" spans="1:19" ht="18" customHeight="1" x14ac:dyDescent="0.35">
      <c r="A438" s="218">
        <v>12</v>
      </c>
      <c r="B438" s="219" t="str">
        <f>PETUNJUK!B20</f>
        <v>Gerdu</v>
      </c>
      <c r="C438" s="41">
        <f t="shared" si="25"/>
        <v>0</v>
      </c>
      <c r="D438" s="41">
        <f t="shared" ref="D438:R438" si="37">D19+D52+D85+D118+D151+D184+D217+D250+D283+D316+D349+D382</f>
        <v>0</v>
      </c>
      <c r="E438" s="41">
        <f t="shared" si="37"/>
        <v>0</v>
      </c>
      <c r="F438" s="41">
        <f t="shared" si="37"/>
        <v>0</v>
      </c>
      <c r="G438" s="41">
        <f t="shared" si="37"/>
        <v>0</v>
      </c>
      <c r="H438" s="41">
        <f t="shared" si="37"/>
        <v>0</v>
      </c>
      <c r="I438" s="41">
        <f t="shared" si="37"/>
        <v>0</v>
      </c>
      <c r="J438" s="41">
        <f t="shared" si="37"/>
        <v>0</v>
      </c>
      <c r="K438" s="41">
        <f t="shared" si="37"/>
        <v>0</v>
      </c>
      <c r="L438" s="41">
        <f t="shared" si="37"/>
        <v>0</v>
      </c>
      <c r="M438" s="41">
        <f t="shared" si="37"/>
        <v>0</v>
      </c>
      <c r="N438" s="41">
        <f t="shared" si="37"/>
        <v>0</v>
      </c>
      <c r="O438" s="41">
        <f t="shared" si="37"/>
        <v>0</v>
      </c>
      <c r="P438" s="41">
        <f t="shared" si="37"/>
        <v>0</v>
      </c>
      <c r="Q438" s="41">
        <f t="shared" si="37"/>
        <v>2</v>
      </c>
      <c r="R438" s="41">
        <f t="shared" si="37"/>
        <v>1</v>
      </c>
      <c r="S438" s="201"/>
    </row>
    <row r="439" spans="1:19" ht="18" customHeight="1" x14ac:dyDescent="0.35">
      <c r="A439" s="218">
        <v>13</v>
      </c>
      <c r="B439" s="219">
        <f>PETUNJUK!B21</f>
        <v>0</v>
      </c>
      <c r="C439" s="41">
        <f t="shared" si="25"/>
        <v>0</v>
      </c>
      <c r="D439" s="41">
        <f t="shared" ref="D439:R439" si="38">D20+D53+D86+D119+D152+D185+D218+D251+D284+D317+D350+D383</f>
        <v>0</v>
      </c>
      <c r="E439" s="41">
        <f t="shared" si="38"/>
        <v>0</v>
      </c>
      <c r="F439" s="41">
        <f t="shared" si="38"/>
        <v>0</v>
      </c>
      <c r="G439" s="41">
        <f t="shared" si="38"/>
        <v>0</v>
      </c>
      <c r="H439" s="41">
        <f t="shared" si="38"/>
        <v>0</v>
      </c>
      <c r="I439" s="41">
        <f t="shared" si="38"/>
        <v>0</v>
      </c>
      <c r="J439" s="41">
        <f t="shared" si="38"/>
        <v>0</v>
      </c>
      <c r="K439" s="41">
        <f t="shared" si="38"/>
        <v>0</v>
      </c>
      <c r="L439" s="41">
        <f t="shared" si="38"/>
        <v>0</v>
      </c>
      <c r="M439" s="41">
        <f t="shared" si="38"/>
        <v>0</v>
      </c>
      <c r="N439" s="41">
        <f t="shared" si="38"/>
        <v>0</v>
      </c>
      <c r="O439" s="41">
        <f t="shared" si="38"/>
        <v>0</v>
      </c>
      <c r="P439" s="41">
        <f t="shared" si="38"/>
        <v>0</v>
      </c>
      <c r="Q439" s="41">
        <f t="shared" si="38"/>
        <v>0</v>
      </c>
      <c r="R439" s="41">
        <f t="shared" si="38"/>
        <v>0</v>
      </c>
      <c r="S439" s="201"/>
    </row>
    <row r="440" spans="1:19" ht="18" customHeight="1" x14ac:dyDescent="0.35">
      <c r="A440" s="218">
        <v>14</v>
      </c>
      <c r="B440" s="219">
        <f>PETUNJUK!B22</f>
        <v>0</v>
      </c>
      <c r="C440" s="41">
        <f t="shared" si="25"/>
        <v>0</v>
      </c>
      <c r="D440" s="41">
        <f t="shared" ref="D440:R440" si="39">D21+D54+D87+D120+D153+D186+D219+D252+D285+D318+D351+D384</f>
        <v>0</v>
      </c>
      <c r="E440" s="41">
        <f t="shared" si="39"/>
        <v>0</v>
      </c>
      <c r="F440" s="41">
        <f t="shared" si="39"/>
        <v>0</v>
      </c>
      <c r="G440" s="41">
        <f t="shared" si="39"/>
        <v>0</v>
      </c>
      <c r="H440" s="41">
        <f t="shared" si="39"/>
        <v>0</v>
      </c>
      <c r="I440" s="41">
        <f t="shared" si="39"/>
        <v>0</v>
      </c>
      <c r="J440" s="41">
        <f t="shared" si="39"/>
        <v>0</v>
      </c>
      <c r="K440" s="41">
        <f t="shared" si="39"/>
        <v>0</v>
      </c>
      <c r="L440" s="41">
        <f t="shared" si="39"/>
        <v>0</v>
      </c>
      <c r="M440" s="41">
        <f t="shared" si="39"/>
        <v>0</v>
      </c>
      <c r="N440" s="41">
        <f t="shared" si="39"/>
        <v>0</v>
      </c>
      <c r="O440" s="41">
        <f t="shared" si="39"/>
        <v>0</v>
      </c>
      <c r="P440" s="41">
        <f t="shared" si="39"/>
        <v>0</v>
      </c>
      <c r="Q440" s="41">
        <f t="shared" si="39"/>
        <v>0</v>
      </c>
      <c r="R440" s="41">
        <f t="shared" si="39"/>
        <v>0</v>
      </c>
      <c r="S440" s="201"/>
    </row>
    <row r="441" spans="1:19" ht="18" customHeight="1" x14ac:dyDescent="0.35">
      <c r="A441" s="218">
        <v>15</v>
      </c>
      <c r="B441" s="219">
        <f>PETUNJUK!B23</f>
        <v>0</v>
      </c>
      <c r="C441" s="41">
        <f t="shared" si="25"/>
        <v>0</v>
      </c>
      <c r="D441" s="41">
        <f t="shared" ref="D441:R441" si="40">D22+D55+D88+D121+D154+D187+D220+D253+D286+D319+D352+D385</f>
        <v>0</v>
      </c>
      <c r="E441" s="41">
        <f t="shared" si="40"/>
        <v>0</v>
      </c>
      <c r="F441" s="41">
        <f t="shared" si="40"/>
        <v>0</v>
      </c>
      <c r="G441" s="41">
        <f t="shared" si="40"/>
        <v>0</v>
      </c>
      <c r="H441" s="41">
        <f t="shared" si="40"/>
        <v>0</v>
      </c>
      <c r="I441" s="41">
        <f t="shared" si="40"/>
        <v>0</v>
      </c>
      <c r="J441" s="41">
        <f t="shared" si="40"/>
        <v>0</v>
      </c>
      <c r="K441" s="41">
        <f t="shared" si="40"/>
        <v>0</v>
      </c>
      <c r="L441" s="41">
        <f t="shared" si="40"/>
        <v>0</v>
      </c>
      <c r="M441" s="41">
        <f t="shared" si="40"/>
        <v>0</v>
      </c>
      <c r="N441" s="41">
        <f t="shared" si="40"/>
        <v>0</v>
      </c>
      <c r="O441" s="41">
        <f t="shared" si="40"/>
        <v>0</v>
      </c>
      <c r="P441" s="41">
        <f t="shared" si="40"/>
        <v>0</v>
      </c>
      <c r="Q441" s="41">
        <f t="shared" si="40"/>
        <v>0</v>
      </c>
      <c r="R441" s="41">
        <f t="shared" si="40"/>
        <v>0</v>
      </c>
      <c r="S441" s="201"/>
    </row>
    <row r="442" spans="1:19" ht="18" customHeight="1" x14ac:dyDescent="0.35">
      <c r="A442" s="218">
        <v>16</v>
      </c>
      <c r="B442" s="219">
        <f>PETUNJUK!B24</f>
        <v>0</v>
      </c>
      <c r="C442" s="41">
        <f>C23+C56+C89+C122+C155+C188+C221+C254+C287+C324+C353+C386</f>
        <v>0</v>
      </c>
      <c r="D442" s="41">
        <f t="shared" ref="D442:R442" si="41">D23+D56+D89+D122+D155+D188+D221+D254+D287+D324+D353+D386</f>
        <v>0</v>
      </c>
      <c r="E442" s="41">
        <f t="shared" si="41"/>
        <v>0</v>
      </c>
      <c r="F442" s="41">
        <f t="shared" si="41"/>
        <v>0</v>
      </c>
      <c r="G442" s="41">
        <f t="shared" si="41"/>
        <v>0</v>
      </c>
      <c r="H442" s="41">
        <f t="shared" si="41"/>
        <v>0</v>
      </c>
      <c r="I442" s="41">
        <f t="shared" si="41"/>
        <v>0</v>
      </c>
      <c r="J442" s="41">
        <f t="shared" si="41"/>
        <v>0</v>
      </c>
      <c r="K442" s="41">
        <f t="shared" si="41"/>
        <v>0</v>
      </c>
      <c r="L442" s="41">
        <f t="shared" si="41"/>
        <v>0</v>
      </c>
      <c r="M442" s="41">
        <f t="shared" si="41"/>
        <v>0</v>
      </c>
      <c r="N442" s="41">
        <f t="shared" si="41"/>
        <v>0</v>
      </c>
      <c r="O442" s="41">
        <f t="shared" si="41"/>
        <v>0</v>
      </c>
      <c r="P442" s="41">
        <f t="shared" si="41"/>
        <v>0</v>
      </c>
      <c r="Q442" s="41">
        <f t="shared" si="41"/>
        <v>0</v>
      </c>
      <c r="R442" s="41">
        <f t="shared" si="41"/>
        <v>0</v>
      </c>
      <c r="S442" s="201"/>
    </row>
    <row r="443" spans="1:19" ht="18" customHeight="1" x14ac:dyDescent="0.35">
      <c r="A443" s="218">
        <v>17</v>
      </c>
      <c r="B443" s="219">
        <f>PETUNJUK!B25</f>
        <v>0</v>
      </c>
      <c r="C443" s="41">
        <f>C24+C57+C90+C123+C156+C189+C222+C255+C292+C325+C358+C387</f>
        <v>0</v>
      </c>
      <c r="D443" s="41">
        <f t="shared" ref="D443:R443" si="42">D24+D57+D90+D123+D156+D189+D222+D255+D292+D325+D358+D387</f>
        <v>0</v>
      </c>
      <c r="E443" s="41">
        <f t="shared" si="42"/>
        <v>0</v>
      </c>
      <c r="F443" s="41">
        <f t="shared" si="42"/>
        <v>0</v>
      </c>
      <c r="G443" s="41">
        <f t="shared" si="42"/>
        <v>0</v>
      </c>
      <c r="H443" s="41">
        <f t="shared" si="42"/>
        <v>0</v>
      </c>
      <c r="I443" s="41">
        <f t="shared" si="42"/>
        <v>0</v>
      </c>
      <c r="J443" s="41">
        <f t="shared" si="42"/>
        <v>0</v>
      </c>
      <c r="K443" s="41">
        <f t="shared" si="42"/>
        <v>0</v>
      </c>
      <c r="L443" s="41">
        <f t="shared" si="42"/>
        <v>0</v>
      </c>
      <c r="M443" s="41">
        <f t="shared" si="42"/>
        <v>0</v>
      </c>
      <c r="N443" s="41">
        <f t="shared" si="42"/>
        <v>0</v>
      </c>
      <c r="O443" s="41">
        <f t="shared" si="42"/>
        <v>0</v>
      </c>
      <c r="P443" s="41">
        <f t="shared" si="42"/>
        <v>0</v>
      </c>
      <c r="Q443" s="41">
        <f t="shared" si="42"/>
        <v>0</v>
      </c>
      <c r="R443" s="41">
        <f t="shared" si="42"/>
        <v>0</v>
      </c>
      <c r="S443" s="201"/>
    </row>
    <row r="444" spans="1:19" ht="18" customHeight="1" x14ac:dyDescent="0.35">
      <c r="A444" s="218">
        <v>18</v>
      </c>
      <c r="B444" s="219">
        <f>PETUNJUK!B26</f>
        <v>0</v>
      </c>
      <c r="C444" s="41">
        <f t="shared" ref="C444:R444" si="43">C25+C58+C91+C124+C157+C190+C223+C256+C289+C326+C355+C388</f>
        <v>0</v>
      </c>
      <c r="D444" s="41">
        <f t="shared" si="43"/>
        <v>0</v>
      </c>
      <c r="E444" s="41">
        <f t="shared" si="43"/>
        <v>0</v>
      </c>
      <c r="F444" s="41">
        <f t="shared" si="43"/>
        <v>0</v>
      </c>
      <c r="G444" s="41">
        <f t="shared" si="43"/>
        <v>0</v>
      </c>
      <c r="H444" s="41">
        <f t="shared" si="43"/>
        <v>0</v>
      </c>
      <c r="I444" s="41">
        <f t="shared" si="43"/>
        <v>0</v>
      </c>
      <c r="J444" s="41">
        <f t="shared" si="43"/>
        <v>0</v>
      </c>
      <c r="K444" s="41">
        <f t="shared" si="43"/>
        <v>0</v>
      </c>
      <c r="L444" s="41">
        <f t="shared" si="43"/>
        <v>0</v>
      </c>
      <c r="M444" s="41">
        <f t="shared" si="43"/>
        <v>0</v>
      </c>
      <c r="N444" s="41">
        <f t="shared" si="43"/>
        <v>0</v>
      </c>
      <c r="O444" s="41">
        <f t="shared" si="43"/>
        <v>0</v>
      </c>
      <c r="P444" s="41">
        <f t="shared" si="43"/>
        <v>0</v>
      </c>
      <c r="Q444" s="41">
        <f t="shared" si="43"/>
        <v>0</v>
      </c>
      <c r="R444" s="41">
        <f t="shared" si="43"/>
        <v>0</v>
      </c>
      <c r="S444" s="201"/>
    </row>
    <row r="445" spans="1:19" ht="18" customHeight="1" x14ac:dyDescent="0.35">
      <c r="A445" s="218">
        <v>19</v>
      </c>
      <c r="B445" s="219">
        <f>PETUNJUK!B27</f>
        <v>0</v>
      </c>
      <c r="C445" s="41">
        <f t="shared" ref="C445:R445" si="44">C26+C59+C92+C125+C158+C191+C224+C257+C294+C327+C360+C389</f>
        <v>0</v>
      </c>
      <c r="D445" s="41">
        <f t="shared" si="44"/>
        <v>0</v>
      </c>
      <c r="E445" s="41">
        <f t="shared" si="44"/>
        <v>0</v>
      </c>
      <c r="F445" s="41">
        <f t="shared" si="44"/>
        <v>0</v>
      </c>
      <c r="G445" s="41">
        <f t="shared" si="44"/>
        <v>0</v>
      </c>
      <c r="H445" s="41">
        <f t="shared" si="44"/>
        <v>0</v>
      </c>
      <c r="I445" s="41">
        <f t="shared" si="44"/>
        <v>0</v>
      </c>
      <c r="J445" s="41">
        <f t="shared" si="44"/>
        <v>0</v>
      </c>
      <c r="K445" s="41">
        <f t="shared" si="44"/>
        <v>0</v>
      </c>
      <c r="L445" s="41">
        <f t="shared" si="44"/>
        <v>0</v>
      </c>
      <c r="M445" s="41">
        <f t="shared" si="44"/>
        <v>0</v>
      </c>
      <c r="N445" s="41">
        <f t="shared" si="44"/>
        <v>0</v>
      </c>
      <c r="O445" s="41">
        <f t="shared" si="44"/>
        <v>0</v>
      </c>
      <c r="P445" s="41">
        <f t="shared" si="44"/>
        <v>0</v>
      </c>
      <c r="Q445" s="41">
        <f t="shared" si="44"/>
        <v>0</v>
      </c>
      <c r="R445" s="41">
        <f t="shared" si="44"/>
        <v>0</v>
      </c>
      <c r="S445" s="201"/>
    </row>
    <row r="446" spans="1:19" ht="18" customHeight="1" x14ac:dyDescent="0.35">
      <c r="A446" s="218">
        <v>20</v>
      </c>
      <c r="B446" s="219">
        <f>PETUNJUK!B28</f>
        <v>0</v>
      </c>
      <c r="C446" s="41">
        <f t="shared" ref="C446:R446" si="45">C27+C60+C93+C126+C159+C192+C225+C258+C291+C328+C357+C390</f>
        <v>0</v>
      </c>
      <c r="D446" s="41">
        <f t="shared" si="45"/>
        <v>0</v>
      </c>
      <c r="E446" s="41">
        <f t="shared" si="45"/>
        <v>0</v>
      </c>
      <c r="F446" s="41">
        <f t="shared" si="45"/>
        <v>0</v>
      </c>
      <c r="G446" s="41">
        <f t="shared" si="45"/>
        <v>0</v>
      </c>
      <c r="H446" s="41">
        <f t="shared" si="45"/>
        <v>0</v>
      </c>
      <c r="I446" s="41">
        <f t="shared" si="45"/>
        <v>0</v>
      </c>
      <c r="J446" s="41">
        <f t="shared" si="45"/>
        <v>0</v>
      </c>
      <c r="K446" s="41">
        <f t="shared" si="45"/>
        <v>0</v>
      </c>
      <c r="L446" s="41">
        <f t="shared" si="45"/>
        <v>0</v>
      </c>
      <c r="M446" s="41">
        <f t="shared" si="45"/>
        <v>0</v>
      </c>
      <c r="N446" s="41">
        <f t="shared" si="45"/>
        <v>0</v>
      </c>
      <c r="O446" s="41">
        <f t="shared" si="45"/>
        <v>0</v>
      </c>
      <c r="P446" s="41">
        <f t="shared" si="45"/>
        <v>0</v>
      </c>
      <c r="Q446" s="41">
        <f t="shared" si="45"/>
        <v>0</v>
      </c>
      <c r="R446" s="41">
        <f t="shared" si="45"/>
        <v>0</v>
      </c>
      <c r="S446" s="201"/>
    </row>
    <row r="447" spans="1:19" ht="18" customHeight="1" x14ac:dyDescent="0.35">
      <c r="A447" s="218">
        <v>21</v>
      </c>
      <c r="B447" s="219">
        <f>PETUNJUK!B29</f>
        <v>0</v>
      </c>
      <c r="C447" s="41">
        <f t="shared" ref="C447:R447" si="46">C28+C61+C94+C127+C160+C193+C226+C259+C296+C329+C362+C391</f>
        <v>0</v>
      </c>
      <c r="D447" s="41">
        <f t="shared" si="46"/>
        <v>0</v>
      </c>
      <c r="E447" s="41">
        <f t="shared" si="46"/>
        <v>0</v>
      </c>
      <c r="F447" s="41">
        <f t="shared" si="46"/>
        <v>0</v>
      </c>
      <c r="G447" s="41">
        <f t="shared" si="46"/>
        <v>0</v>
      </c>
      <c r="H447" s="41">
        <f t="shared" si="46"/>
        <v>0</v>
      </c>
      <c r="I447" s="41">
        <f t="shared" si="46"/>
        <v>0</v>
      </c>
      <c r="J447" s="41">
        <f t="shared" si="46"/>
        <v>0</v>
      </c>
      <c r="K447" s="41">
        <f t="shared" si="46"/>
        <v>0</v>
      </c>
      <c r="L447" s="41">
        <f t="shared" si="46"/>
        <v>0</v>
      </c>
      <c r="M447" s="41">
        <f t="shared" si="46"/>
        <v>0</v>
      </c>
      <c r="N447" s="41">
        <f t="shared" si="46"/>
        <v>0</v>
      </c>
      <c r="O447" s="41">
        <f t="shared" si="46"/>
        <v>0</v>
      </c>
      <c r="P447" s="41">
        <f t="shared" si="46"/>
        <v>0</v>
      </c>
      <c r="Q447" s="41">
        <f t="shared" si="46"/>
        <v>0</v>
      </c>
      <c r="R447" s="41">
        <f t="shared" si="46"/>
        <v>0</v>
      </c>
      <c r="S447" s="201"/>
    </row>
    <row r="448" spans="1:19" ht="18" customHeight="1" thickBot="1" x14ac:dyDescent="0.4">
      <c r="A448" s="247">
        <v>22</v>
      </c>
      <c r="B448" s="248">
        <f>PETUNJUK!B30</f>
        <v>0</v>
      </c>
      <c r="C448" s="54">
        <f t="shared" ref="C448:R448" si="47">C29+C62+C95+C128+C161+C194+C227+C260+C293+C330+C359+C392</f>
        <v>0</v>
      </c>
      <c r="D448" s="54">
        <f t="shared" si="47"/>
        <v>0</v>
      </c>
      <c r="E448" s="54">
        <f t="shared" si="47"/>
        <v>0</v>
      </c>
      <c r="F448" s="54">
        <f t="shared" si="47"/>
        <v>0</v>
      </c>
      <c r="G448" s="54">
        <f t="shared" si="47"/>
        <v>0</v>
      </c>
      <c r="H448" s="54">
        <f t="shared" si="47"/>
        <v>0</v>
      </c>
      <c r="I448" s="54">
        <f t="shared" si="47"/>
        <v>0</v>
      </c>
      <c r="J448" s="54">
        <f t="shared" si="47"/>
        <v>0</v>
      </c>
      <c r="K448" s="54">
        <f t="shared" si="47"/>
        <v>0</v>
      </c>
      <c r="L448" s="54">
        <f t="shared" si="47"/>
        <v>0</v>
      </c>
      <c r="M448" s="54">
        <f t="shared" si="47"/>
        <v>0</v>
      </c>
      <c r="N448" s="54">
        <f t="shared" si="47"/>
        <v>0</v>
      </c>
      <c r="O448" s="54">
        <f t="shared" si="47"/>
        <v>0</v>
      </c>
      <c r="P448" s="54">
        <f t="shared" si="47"/>
        <v>0</v>
      </c>
      <c r="Q448" s="54">
        <f t="shared" si="47"/>
        <v>0</v>
      </c>
      <c r="R448" s="54">
        <f t="shared" si="47"/>
        <v>0</v>
      </c>
      <c r="S448" s="249"/>
    </row>
    <row r="449" spans="1:19" ht="18" customHeight="1" thickBot="1" x14ac:dyDescent="0.4">
      <c r="A449" s="928" t="s">
        <v>18</v>
      </c>
      <c r="B449" s="929"/>
      <c r="C449" s="252">
        <f>SUM(C427:C448)</f>
        <v>0</v>
      </c>
      <c r="D449" s="252">
        <f t="shared" ref="D449:R449" si="48">SUM(D427:D448)</f>
        <v>0</v>
      </c>
      <c r="E449" s="252">
        <f t="shared" si="48"/>
        <v>0</v>
      </c>
      <c r="F449" s="252">
        <f t="shared" si="48"/>
        <v>0</v>
      </c>
      <c r="G449" s="252">
        <f t="shared" si="48"/>
        <v>1</v>
      </c>
      <c r="H449" s="252">
        <f t="shared" si="48"/>
        <v>0</v>
      </c>
      <c r="I449" s="252">
        <f t="shared" si="48"/>
        <v>0</v>
      </c>
      <c r="J449" s="252">
        <f t="shared" si="48"/>
        <v>0</v>
      </c>
      <c r="K449" s="252">
        <f t="shared" si="48"/>
        <v>0</v>
      </c>
      <c r="L449" s="252">
        <f t="shared" si="48"/>
        <v>0</v>
      </c>
      <c r="M449" s="252">
        <f t="shared" si="48"/>
        <v>0</v>
      </c>
      <c r="N449" s="252">
        <f t="shared" si="48"/>
        <v>0</v>
      </c>
      <c r="O449" s="252">
        <f t="shared" si="48"/>
        <v>3</v>
      </c>
      <c r="P449" s="252">
        <f t="shared" si="48"/>
        <v>0</v>
      </c>
      <c r="Q449" s="252">
        <f t="shared" si="48"/>
        <v>88</v>
      </c>
      <c r="R449" s="252">
        <f t="shared" si="48"/>
        <v>76</v>
      </c>
      <c r="S449" s="251"/>
    </row>
    <row r="450" spans="1:19" ht="15.5" x14ac:dyDescent="0.35">
      <c r="A450" s="222"/>
      <c r="B450" s="945"/>
      <c r="C450" s="945"/>
      <c r="D450" s="945"/>
      <c r="E450" s="945"/>
      <c r="F450" s="232"/>
      <c r="G450" s="232"/>
      <c r="H450" s="204"/>
      <c r="I450" s="204"/>
      <c r="J450" s="235"/>
      <c r="K450" s="235"/>
      <c r="L450" s="235"/>
      <c r="M450" s="235"/>
      <c r="N450" s="235"/>
      <c r="O450" s="938"/>
      <c r="P450" s="938"/>
      <c r="Q450" s="938"/>
      <c r="R450" s="938"/>
      <c r="S450" s="232"/>
    </row>
    <row r="451" spans="1:19" x14ac:dyDescent="0.35">
      <c r="A451" s="10"/>
      <c r="B451" s="6"/>
      <c r="C451" s="71"/>
      <c r="D451" s="71"/>
      <c r="E451" s="71"/>
      <c r="F451" s="11"/>
      <c r="G451" s="11"/>
      <c r="H451" s="11"/>
      <c r="I451" s="11"/>
      <c r="J451" s="238"/>
      <c r="K451" s="238"/>
      <c r="L451" s="239"/>
      <c r="M451" s="239"/>
      <c r="N451" s="239"/>
      <c r="O451" s="239"/>
    </row>
    <row r="452" spans="1:19" x14ac:dyDescent="0.35">
      <c r="A452" s="7"/>
      <c r="B452" s="8"/>
      <c r="C452" s="70"/>
      <c r="D452" s="70"/>
      <c r="E452" s="70"/>
      <c r="F452" s="11"/>
      <c r="G452" s="11"/>
      <c r="H452" s="11"/>
      <c r="I452" s="11"/>
      <c r="J452" s="238"/>
      <c r="K452" s="238"/>
      <c r="L452" s="239"/>
      <c r="M452" s="239"/>
      <c r="N452" s="239"/>
      <c r="O452" s="239"/>
    </row>
    <row r="453" spans="1:19" x14ac:dyDescent="0.35">
      <c r="B453" s="8"/>
      <c r="C453" s="69"/>
      <c r="D453" s="69"/>
      <c r="E453" s="69"/>
      <c r="F453" s="11"/>
      <c r="G453" s="11"/>
      <c r="H453" s="11"/>
      <c r="I453" s="11"/>
      <c r="J453" s="241"/>
      <c r="K453" s="241"/>
      <c r="L453" s="242"/>
      <c r="M453" s="242"/>
      <c r="N453" s="242"/>
      <c r="O453" s="242"/>
    </row>
    <row r="454" spans="1:19" x14ac:dyDescent="0.35">
      <c r="B454" s="952"/>
      <c r="C454" s="952"/>
      <c r="D454" s="952"/>
      <c r="E454" s="952"/>
      <c r="O454" s="952"/>
      <c r="P454" s="952"/>
      <c r="Q454" s="952"/>
      <c r="R454" s="952"/>
    </row>
    <row r="455" spans="1:19" x14ac:dyDescent="0.35">
      <c r="B455" s="953"/>
      <c r="C455" s="953"/>
      <c r="D455" s="953"/>
      <c r="E455" s="953"/>
      <c r="F455" s="69"/>
      <c r="G455" s="69"/>
      <c r="H455" s="69"/>
      <c r="I455" s="69"/>
      <c r="J455" s="69"/>
      <c r="O455" s="953"/>
      <c r="P455" s="953"/>
      <c r="Q455" s="953"/>
      <c r="R455" s="953"/>
      <c r="S455" s="243"/>
    </row>
  </sheetData>
  <mergeCells count="209">
    <mergeCell ref="S138:S139"/>
    <mergeCell ref="S171:S172"/>
    <mergeCell ref="S204:S205"/>
    <mergeCell ref="S237:S238"/>
    <mergeCell ref="S270:S271"/>
    <mergeCell ref="S303:S304"/>
    <mergeCell ref="S336:S337"/>
    <mergeCell ref="A133:S133"/>
    <mergeCell ref="C334:E334"/>
    <mergeCell ref="O270:P270"/>
    <mergeCell ref="Q270:R270"/>
    <mergeCell ref="A294:B294"/>
    <mergeCell ref="A298:S298"/>
    <mergeCell ref="A303:A304"/>
    <mergeCell ref="B303:B304"/>
    <mergeCell ref="C303:D303"/>
    <mergeCell ref="E303:F303"/>
    <mergeCell ref="G303:H303"/>
    <mergeCell ref="I303:J303"/>
    <mergeCell ref="K303:L303"/>
    <mergeCell ref="M303:N303"/>
    <mergeCell ref="O303:P303"/>
    <mergeCell ref="Q303:R303"/>
    <mergeCell ref="A195:B195"/>
    <mergeCell ref="A393:B393"/>
    <mergeCell ref="A397:S397"/>
    <mergeCell ref="A402:A403"/>
    <mergeCell ref="B402:B403"/>
    <mergeCell ref="C402:D402"/>
    <mergeCell ref="E402:F402"/>
    <mergeCell ref="G402:H402"/>
    <mergeCell ref="I402:J402"/>
    <mergeCell ref="K402:L402"/>
    <mergeCell ref="M402:N402"/>
    <mergeCell ref="O402:P402"/>
    <mergeCell ref="Q402:R402"/>
    <mergeCell ref="S402:S403"/>
    <mergeCell ref="K105:L105"/>
    <mergeCell ref="M105:N105"/>
    <mergeCell ref="O105:P105"/>
    <mergeCell ref="Q105:R105"/>
    <mergeCell ref="A129:B129"/>
    <mergeCell ref="B72:B73"/>
    <mergeCell ref="C72:D72"/>
    <mergeCell ref="E72:F72"/>
    <mergeCell ref="G72:H72"/>
    <mergeCell ref="I72:J72"/>
    <mergeCell ref="B99:E99"/>
    <mergeCell ref="O99:R99"/>
    <mergeCell ref="A96:B96"/>
    <mergeCell ref="A100:S100"/>
    <mergeCell ref="A105:A106"/>
    <mergeCell ref="B105:B106"/>
    <mergeCell ref="C105:D105"/>
    <mergeCell ref="E105:F105"/>
    <mergeCell ref="G105:H105"/>
    <mergeCell ref="I105:J105"/>
    <mergeCell ref="S72:S73"/>
    <mergeCell ref="S105:S106"/>
    <mergeCell ref="B454:E454"/>
    <mergeCell ref="O454:R454"/>
    <mergeCell ref="B455:E455"/>
    <mergeCell ref="O455:R455"/>
    <mergeCell ref="B419:E419"/>
    <mergeCell ref="B450:E450"/>
    <mergeCell ref="O450:R450"/>
    <mergeCell ref="A416:B416"/>
    <mergeCell ref="B396:E396"/>
    <mergeCell ref="A420:S420"/>
    <mergeCell ref="A425:A426"/>
    <mergeCell ref="B425:B426"/>
    <mergeCell ref="C425:D425"/>
    <mergeCell ref="E425:F425"/>
    <mergeCell ref="G425:H425"/>
    <mergeCell ref="I425:J425"/>
    <mergeCell ref="K425:L425"/>
    <mergeCell ref="M425:N425"/>
    <mergeCell ref="O425:P425"/>
    <mergeCell ref="Q425:R425"/>
    <mergeCell ref="S425:S426"/>
    <mergeCell ref="A449:B449"/>
    <mergeCell ref="A364:S364"/>
    <mergeCell ref="A369:A370"/>
    <mergeCell ref="B369:B370"/>
    <mergeCell ref="C369:D369"/>
    <mergeCell ref="E369:F369"/>
    <mergeCell ref="G369:H369"/>
    <mergeCell ref="I369:J369"/>
    <mergeCell ref="K369:L369"/>
    <mergeCell ref="B363:E363"/>
    <mergeCell ref="M369:N369"/>
    <mergeCell ref="O369:P369"/>
    <mergeCell ref="Q369:R369"/>
    <mergeCell ref="S369:S370"/>
    <mergeCell ref="Q336:R336"/>
    <mergeCell ref="A360:B360"/>
    <mergeCell ref="B330:E330"/>
    <mergeCell ref="A327:B327"/>
    <mergeCell ref="A331:S331"/>
    <mergeCell ref="B297:E297"/>
    <mergeCell ref="A265:S265"/>
    <mergeCell ref="A270:A271"/>
    <mergeCell ref="B270:B271"/>
    <mergeCell ref="C270:D270"/>
    <mergeCell ref="E270:F270"/>
    <mergeCell ref="G270:H270"/>
    <mergeCell ref="I270:J270"/>
    <mergeCell ref="K270:L270"/>
    <mergeCell ref="A336:A337"/>
    <mergeCell ref="B336:B337"/>
    <mergeCell ref="C336:D336"/>
    <mergeCell ref="E336:F336"/>
    <mergeCell ref="G336:H336"/>
    <mergeCell ref="I336:J336"/>
    <mergeCell ref="K336:L336"/>
    <mergeCell ref="M336:N336"/>
    <mergeCell ref="O336:P336"/>
    <mergeCell ref="M270:N270"/>
    <mergeCell ref="A261:B261"/>
    <mergeCell ref="B264:E264"/>
    <mergeCell ref="A237:A238"/>
    <mergeCell ref="B237:B238"/>
    <mergeCell ref="C237:D237"/>
    <mergeCell ref="E237:F237"/>
    <mergeCell ref="G237:H237"/>
    <mergeCell ref="I237:J237"/>
    <mergeCell ref="K237:L237"/>
    <mergeCell ref="M237:N237"/>
    <mergeCell ref="O237:P237"/>
    <mergeCell ref="Q237:R237"/>
    <mergeCell ref="B230:E230"/>
    <mergeCell ref="B231:E231"/>
    <mergeCell ref="O231:R231"/>
    <mergeCell ref="A228:B228"/>
    <mergeCell ref="A232:S232"/>
    <mergeCell ref="B196:E196"/>
    <mergeCell ref="B197:E197"/>
    <mergeCell ref="O197:R197"/>
    <mergeCell ref="A199:S199"/>
    <mergeCell ref="A204:A205"/>
    <mergeCell ref="B204:B205"/>
    <mergeCell ref="C204:D204"/>
    <mergeCell ref="E204:F204"/>
    <mergeCell ref="G204:H204"/>
    <mergeCell ref="I204:J204"/>
    <mergeCell ref="K204:L204"/>
    <mergeCell ref="M204:N204"/>
    <mergeCell ref="O204:P204"/>
    <mergeCell ref="Q204:R204"/>
    <mergeCell ref="M138:N138"/>
    <mergeCell ref="O138:P138"/>
    <mergeCell ref="Q138:R138"/>
    <mergeCell ref="O163:R163"/>
    <mergeCell ref="A166:S166"/>
    <mergeCell ref="A171:A172"/>
    <mergeCell ref="B171:B172"/>
    <mergeCell ref="C171:D171"/>
    <mergeCell ref="E171:F171"/>
    <mergeCell ref="G171:H171"/>
    <mergeCell ref="I171:J171"/>
    <mergeCell ref="K171:L171"/>
    <mergeCell ref="B163:E163"/>
    <mergeCell ref="M171:N171"/>
    <mergeCell ref="O171:P171"/>
    <mergeCell ref="Q171:R171"/>
    <mergeCell ref="A162:B162"/>
    <mergeCell ref="A138:A139"/>
    <mergeCell ref="B138:B139"/>
    <mergeCell ref="C138:D138"/>
    <mergeCell ref="E138:F138"/>
    <mergeCell ref="G138:H138"/>
    <mergeCell ref="I138:J138"/>
    <mergeCell ref="K138:L138"/>
    <mergeCell ref="A6:A7"/>
    <mergeCell ref="B6:B7"/>
    <mergeCell ref="C6:D6"/>
    <mergeCell ref="E6:F6"/>
    <mergeCell ref="A30:B30"/>
    <mergeCell ref="A1:S1"/>
    <mergeCell ref="O6:P6"/>
    <mergeCell ref="G6:H6"/>
    <mergeCell ref="I6:J6"/>
    <mergeCell ref="K6:L6"/>
    <mergeCell ref="M6:N6"/>
    <mergeCell ref="Q6:R6"/>
    <mergeCell ref="S6:S7"/>
    <mergeCell ref="B65:E65"/>
    <mergeCell ref="O65:R65"/>
    <mergeCell ref="B66:E66"/>
    <mergeCell ref="O66:R66"/>
    <mergeCell ref="A63:B63"/>
    <mergeCell ref="A67:S67"/>
    <mergeCell ref="A72:A73"/>
    <mergeCell ref="A34:S34"/>
    <mergeCell ref="A39:A40"/>
    <mergeCell ref="B39:B40"/>
    <mergeCell ref="C39:D39"/>
    <mergeCell ref="E39:F39"/>
    <mergeCell ref="G39:H39"/>
    <mergeCell ref="I39:J39"/>
    <mergeCell ref="K39:L39"/>
    <mergeCell ref="M39:N39"/>
    <mergeCell ref="O39:P39"/>
    <mergeCell ref="Q39:R39"/>
    <mergeCell ref="S39:S40"/>
    <mergeCell ref="K72:L72"/>
    <mergeCell ref="M72:N72"/>
    <mergeCell ref="O72:P72"/>
    <mergeCell ref="Q72:R72"/>
  </mergeCells>
  <phoneticPr fontId="0" type="noConversion"/>
  <printOptions horizontalCentered="1"/>
  <pageMargins left="1.2204724409448819" right="0.15748031496062992" top="0.31496062992125984" bottom="0.23622047244094491" header="0.23622047244094491" footer="0.23622047244094491"/>
  <pageSetup paperSize="256" orientation="landscape" horizontalDpi="4294967293" r:id="rId1"/>
  <headerFooter>
    <oddFooter>&amp;C&amp;"-,Bold"&amp;14Mati Golongan Umur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3" tint="0.59999389629810485"/>
    <pageSetUpPr fitToPage="1"/>
  </sheetPr>
  <dimension ref="A1:AQ522"/>
  <sheetViews>
    <sheetView tabSelected="1" topLeftCell="AC109" zoomScale="70" zoomScaleNormal="70" workbookViewId="0">
      <selection activeCell="AJ121" sqref="AJ121"/>
    </sheetView>
  </sheetViews>
  <sheetFormatPr defaultColWidth="9.1796875" defaultRowHeight="19" customHeight="1" x14ac:dyDescent="0.35"/>
  <cols>
    <col min="1" max="1" width="13.453125" style="102" bestFit="1" customWidth="1"/>
    <col min="2" max="2" width="14.54296875" style="29" bestFit="1" customWidth="1"/>
    <col min="3" max="3" width="13.54296875" style="546" bestFit="1" customWidth="1"/>
    <col min="4" max="4" width="20.54296875" style="547" customWidth="1"/>
    <col min="5" max="5" width="13.54296875" style="29" customWidth="1"/>
    <col min="6" max="6" width="13.54296875" style="29" bestFit="1" customWidth="1"/>
    <col min="7" max="7" width="12.54296875" style="29" customWidth="1"/>
    <col min="8" max="8" width="7.1796875" style="29" bestFit="1" customWidth="1"/>
    <col min="9" max="9" width="15.453125" style="29" bestFit="1" customWidth="1"/>
    <col min="10" max="10" width="21.453125" style="29" bestFit="1" customWidth="1"/>
    <col min="11" max="11" width="10.54296875" style="29" bestFit="1" customWidth="1"/>
    <col min="12" max="12" width="10.26953125" style="29" bestFit="1" customWidth="1"/>
    <col min="13" max="13" width="10.54296875" style="29" bestFit="1" customWidth="1"/>
    <col min="14" max="14" width="13.54296875" style="29" bestFit="1" customWidth="1"/>
    <col min="15" max="15" width="20.1796875" style="29" customWidth="1"/>
    <col min="16" max="16" width="23.1796875" style="29" customWidth="1"/>
    <col min="17" max="17" width="21.453125" style="29" bestFit="1" customWidth="1"/>
    <col min="18" max="18" width="34.81640625" style="29" customWidth="1"/>
    <col min="19" max="19" width="38.1796875" style="29" customWidth="1"/>
    <col min="20" max="20" width="33.7265625" style="29" bestFit="1" customWidth="1"/>
    <col min="21" max="21" width="37.453125" style="29" bestFit="1" customWidth="1"/>
    <col min="22" max="22" width="21.54296875" style="29" bestFit="1" customWidth="1"/>
    <col min="23" max="23" width="34.54296875" style="29" bestFit="1" customWidth="1"/>
    <col min="24" max="24" width="27.1796875" style="29" bestFit="1" customWidth="1"/>
    <col min="25" max="25" width="29.81640625" style="29" bestFit="1" customWidth="1"/>
    <col min="26" max="26" width="7.453125" style="29" bestFit="1" customWidth="1"/>
    <col min="27" max="27" width="33.54296875" style="29" bestFit="1" customWidth="1"/>
    <col min="28" max="28" width="36.81640625" style="29" bestFit="1" customWidth="1"/>
    <col min="29" max="29" width="19" style="29" bestFit="1" customWidth="1"/>
    <col min="30" max="30" width="24.54296875" style="29" bestFit="1" customWidth="1"/>
    <col min="31" max="31" width="28" style="29" bestFit="1" customWidth="1"/>
    <col min="32" max="32" width="17.81640625" style="29" bestFit="1" customWidth="1"/>
    <col min="33" max="33" width="31.54296875" style="29" bestFit="1" customWidth="1"/>
    <col min="34" max="34" width="35" style="29" bestFit="1" customWidth="1"/>
    <col min="35" max="35" width="19" style="29" bestFit="1" customWidth="1"/>
    <col min="36" max="36" width="39.81640625" style="29" bestFit="1" customWidth="1"/>
    <col min="37" max="37" width="32.54296875" style="29" bestFit="1" customWidth="1"/>
    <col min="38" max="38" width="38.7265625" style="29" bestFit="1" customWidth="1"/>
    <col min="39" max="39" width="48.7265625" style="29" bestFit="1" customWidth="1"/>
    <col min="40" max="40" width="29.81640625" style="77" customWidth="1"/>
    <col min="41" max="16384" width="9.1796875" style="77"/>
  </cols>
  <sheetData>
    <row r="1" spans="1:43" s="102" customFormat="1" ht="19" customHeight="1" x14ac:dyDescent="0.35">
      <c r="A1" s="416"/>
      <c r="B1" s="416"/>
      <c r="C1" s="417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6"/>
      <c r="O1" s="416"/>
      <c r="P1" s="416"/>
      <c r="Q1" s="416"/>
      <c r="R1" s="416"/>
      <c r="S1" s="416"/>
      <c r="T1" s="416"/>
      <c r="U1" s="416"/>
      <c r="V1" s="416"/>
      <c r="W1" s="416"/>
      <c r="X1" s="416"/>
      <c r="Y1" s="416"/>
      <c r="Z1" s="416"/>
      <c r="AA1" s="416"/>
      <c r="AB1" s="416"/>
      <c r="AC1" s="416"/>
      <c r="AD1" s="416"/>
      <c r="AE1" s="416"/>
      <c r="AF1" s="416"/>
      <c r="AG1" s="416"/>
      <c r="AH1" s="416"/>
      <c r="AI1" s="416"/>
      <c r="AJ1" s="416"/>
      <c r="AK1" s="416"/>
      <c r="AL1" s="416"/>
      <c r="AM1" s="416"/>
    </row>
    <row r="2" spans="1:43" s="418" customFormat="1" ht="19" customHeight="1" x14ac:dyDescent="0.35">
      <c r="A2" s="535" t="s">
        <v>147</v>
      </c>
      <c r="B2" s="535"/>
      <c r="C2" s="536" t="s">
        <v>243</v>
      </c>
      <c r="D2" s="535" t="str">
        <f>PETUNJUK!C5</f>
        <v>PECANGAAN</v>
      </c>
      <c r="E2" s="535"/>
      <c r="F2" s="535"/>
      <c r="G2" s="535"/>
      <c r="H2" s="535"/>
      <c r="I2" s="537"/>
      <c r="J2" s="537"/>
      <c r="K2" s="537"/>
      <c r="L2" s="537"/>
      <c r="M2" s="537"/>
      <c r="N2" s="537"/>
      <c r="O2" s="537"/>
      <c r="P2" s="537"/>
      <c r="Q2" s="537"/>
      <c r="R2" s="537"/>
      <c r="S2" s="537"/>
      <c r="T2" s="537"/>
      <c r="U2" s="537"/>
      <c r="V2" s="537"/>
      <c r="W2" s="537"/>
      <c r="X2" s="537"/>
      <c r="Y2" s="537"/>
      <c r="Z2" s="537"/>
      <c r="AA2" s="537"/>
      <c r="AB2" s="537"/>
      <c r="AC2" s="537"/>
      <c r="AD2" s="537"/>
      <c r="AE2" s="537"/>
      <c r="AF2" s="537"/>
      <c r="AG2" s="537"/>
      <c r="AH2" s="537"/>
      <c r="AI2" s="537"/>
      <c r="AJ2" s="537"/>
      <c r="AK2" s="537"/>
      <c r="AL2" s="537"/>
      <c r="AM2" s="537"/>
    </row>
    <row r="3" spans="1:43" s="418" customFormat="1" ht="19" customHeight="1" x14ac:dyDescent="0.35">
      <c r="A3" s="535" t="s">
        <v>242</v>
      </c>
      <c r="B3" s="535"/>
      <c r="C3" s="536" t="s">
        <v>243</v>
      </c>
      <c r="D3" s="538" t="s">
        <v>393</v>
      </c>
      <c r="E3" s="535"/>
      <c r="F3" s="535"/>
      <c r="G3" s="538"/>
      <c r="H3" s="535"/>
      <c r="I3" s="537"/>
      <c r="J3" s="537"/>
      <c r="K3" s="537"/>
      <c r="L3" s="537"/>
      <c r="M3" s="537"/>
      <c r="N3" s="537"/>
      <c r="O3" s="537"/>
      <c r="P3" s="537"/>
      <c r="Q3" s="537"/>
      <c r="R3" s="537"/>
      <c r="S3" s="537"/>
      <c r="T3" s="537"/>
      <c r="U3" s="537"/>
      <c r="V3" s="537"/>
      <c r="W3" s="537"/>
      <c r="X3" s="537"/>
      <c r="Y3" s="537"/>
      <c r="Z3" s="537"/>
      <c r="AA3" s="537"/>
      <c r="AB3" s="537"/>
      <c r="AC3" s="537"/>
      <c r="AD3" s="537"/>
      <c r="AE3" s="537"/>
      <c r="AF3" s="537"/>
      <c r="AG3" s="537"/>
      <c r="AH3" s="537"/>
      <c r="AI3" s="537"/>
      <c r="AJ3" s="537"/>
      <c r="AK3" s="537"/>
      <c r="AL3" s="537"/>
      <c r="AM3" s="537"/>
    </row>
    <row r="4" spans="1:43" ht="19" customHeight="1" x14ac:dyDescent="0.35">
      <c r="A4" s="539"/>
      <c r="B4" s="539"/>
      <c r="C4" s="540"/>
      <c r="D4" s="539"/>
      <c r="E4" s="539"/>
      <c r="F4" s="539"/>
      <c r="G4" s="539"/>
      <c r="H4" s="539"/>
      <c r="I4" s="416"/>
      <c r="J4" s="416"/>
      <c r="K4" s="416"/>
      <c r="L4" s="416"/>
      <c r="M4" s="416"/>
      <c r="N4" s="416"/>
      <c r="O4" s="416"/>
      <c r="P4" s="416"/>
      <c r="Q4" s="416"/>
      <c r="R4" s="416"/>
      <c r="S4" s="416"/>
      <c r="T4" s="416"/>
      <c r="U4" s="416"/>
      <c r="V4" s="416"/>
      <c r="W4" s="416"/>
      <c r="X4" s="416"/>
      <c r="Y4" s="416"/>
      <c r="Z4" s="416"/>
      <c r="AA4" s="416"/>
      <c r="AB4" s="416"/>
      <c r="AC4" s="416"/>
      <c r="AD4" s="416"/>
      <c r="AE4" s="416"/>
      <c r="AF4" s="416"/>
      <c r="AG4" s="416"/>
      <c r="AH4" s="416"/>
      <c r="AI4" s="416"/>
      <c r="AJ4" s="416"/>
      <c r="AK4" s="416"/>
      <c r="AL4" s="416"/>
      <c r="AM4" s="416"/>
    </row>
    <row r="5" spans="1:43" ht="19" customHeight="1" x14ac:dyDescent="0.35">
      <c r="A5" s="416"/>
      <c r="B5" s="416"/>
      <c r="C5" s="417"/>
      <c r="D5" s="416"/>
      <c r="E5" s="416"/>
      <c r="F5" s="416"/>
      <c r="G5" s="416"/>
      <c r="H5" s="416"/>
      <c r="I5" s="416"/>
      <c r="J5" s="416"/>
      <c r="K5" s="416"/>
      <c r="L5" s="416"/>
      <c r="M5" s="416"/>
      <c r="N5" s="416"/>
      <c r="O5" s="416"/>
      <c r="P5" s="416"/>
      <c r="Q5" s="416"/>
      <c r="R5" s="416"/>
      <c r="S5" s="416"/>
      <c r="T5" s="416"/>
      <c r="U5" s="416"/>
      <c r="V5" s="416"/>
      <c r="W5" s="416"/>
      <c r="X5" s="416"/>
      <c r="Y5" s="416"/>
      <c r="Z5" s="416"/>
      <c r="AA5" s="416"/>
      <c r="AB5" s="416"/>
      <c r="AC5" s="416"/>
      <c r="AD5" s="416"/>
      <c r="AE5" s="416"/>
      <c r="AF5" s="416"/>
      <c r="AG5" s="416"/>
      <c r="AH5" s="416"/>
      <c r="AI5" s="416"/>
      <c r="AJ5" s="416"/>
      <c r="AK5" s="416"/>
      <c r="AL5" s="416"/>
      <c r="AM5" s="416"/>
    </row>
    <row r="6" spans="1:43" s="421" customFormat="1" ht="19" customHeight="1" x14ac:dyDescent="0.35">
      <c r="A6" s="967" t="s">
        <v>244</v>
      </c>
      <c r="B6" s="967" t="s">
        <v>151</v>
      </c>
      <c r="C6" s="960" t="s">
        <v>311</v>
      </c>
      <c r="D6" s="960"/>
      <c r="E6" s="960"/>
      <c r="F6" s="960" t="s">
        <v>312</v>
      </c>
      <c r="G6" s="960"/>
      <c r="H6" s="960"/>
      <c r="I6" s="960" t="s">
        <v>33</v>
      </c>
      <c r="J6" s="960"/>
      <c r="K6" s="970" t="s">
        <v>245</v>
      </c>
      <c r="L6" s="970"/>
      <c r="M6" s="970" t="s">
        <v>246</v>
      </c>
      <c r="N6" s="970"/>
      <c r="O6" s="960" t="s">
        <v>247</v>
      </c>
      <c r="P6" s="960"/>
      <c r="Q6" s="960"/>
      <c r="R6" s="960"/>
      <c r="S6" s="960"/>
      <c r="T6" s="960"/>
      <c r="U6" s="960"/>
      <c r="V6" s="960"/>
      <c r="W6" s="960"/>
      <c r="X6" s="971" t="s">
        <v>247</v>
      </c>
      <c r="Y6" s="960"/>
      <c r="Z6" s="960"/>
      <c r="AA6" s="960"/>
      <c r="AB6" s="960"/>
      <c r="AC6" s="960"/>
      <c r="AD6" s="960"/>
      <c r="AE6" s="960"/>
      <c r="AF6" s="960"/>
      <c r="AG6" s="960"/>
      <c r="AH6" s="960"/>
      <c r="AI6" s="960"/>
      <c r="AJ6" s="975" t="s">
        <v>248</v>
      </c>
      <c r="AK6" s="975"/>
      <c r="AL6" s="975"/>
      <c r="AM6" s="975"/>
      <c r="AN6" s="975"/>
    </row>
    <row r="7" spans="1:43" s="421" customFormat="1" ht="19" customHeight="1" x14ac:dyDescent="0.35">
      <c r="A7" s="968"/>
      <c r="B7" s="968"/>
      <c r="C7" s="961" t="s">
        <v>249</v>
      </c>
      <c r="D7" s="961" t="s">
        <v>407</v>
      </c>
      <c r="E7" s="961" t="s">
        <v>251</v>
      </c>
      <c r="F7" s="961" t="s">
        <v>249</v>
      </c>
      <c r="G7" s="961" t="s">
        <v>407</v>
      </c>
      <c r="H7" s="961" t="s">
        <v>251</v>
      </c>
      <c r="I7" s="961" t="s">
        <v>408</v>
      </c>
      <c r="J7" s="961" t="s">
        <v>409</v>
      </c>
      <c r="K7" s="961" t="s">
        <v>254</v>
      </c>
      <c r="L7" s="961" t="s">
        <v>255</v>
      </c>
      <c r="M7" s="961" t="s">
        <v>254</v>
      </c>
      <c r="N7" s="961" t="s">
        <v>256</v>
      </c>
      <c r="O7" s="965" t="s">
        <v>257</v>
      </c>
      <c r="P7" s="965"/>
      <c r="Q7" s="965"/>
      <c r="R7" s="965"/>
      <c r="S7" s="965"/>
      <c r="T7" s="965" t="s">
        <v>258</v>
      </c>
      <c r="U7" s="965"/>
      <c r="V7" s="965"/>
      <c r="W7" s="965"/>
      <c r="X7" s="966" t="s">
        <v>259</v>
      </c>
      <c r="Y7" s="965"/>
      <c r="Z7" s="965"/>
      <c r="AA7" s="965" t="s">
        <v>260</v>
      </c>
      <c r="AB7" s="965"/>
      <c r="AC7" s="965"/>
      <c r="AD7" s="965" t="s">
        <v>261</v>
      </c>
      <c r="AE7" s="965"/>
      <c r="AF7" s="965"/>
      <c r="AG7" s="965" t="s">
        <v>262</v>
      </c>
      <c r="AH7" s="965"/>
      <c r="AI7" s="965"/>
      <c r="AJ7" s="964" t="s">
        <v>421</v>
      </c>
      <c r="AK7" s="964" t="s">
        <v>263</v>
      </c>
      <c r="AL7" s="964" t="s">
        <v>264</v>
      </c>
      <c r="AM7" s="964" t="s">
        <v>265</v>
      </c>
      <c r="AN7" s="964" t="s">
        <v>424</v>
      </c>
      <c r="AO7" s="423"/>
      <c r="AP7" s="423"/>
      <c r="AQ7" s="423"/>
    </row>
    <row r="8" spans="1:43" s="421" customFormat="1" ht="19" customHeight="1" x14ac:dyDescent="0.35">
      <c r="A8" s="968"/>
      <c r="B8" s="968"/>
      <c r="C8" s="962"/>
      <c r="D8" s="973"/>
      <c r="E8" s="962"/>
      <c r="F8" s="962"/>
      <c r="G8" s="962"/>
      <c r="H8" s="962"/>
      <c r="I8" s="962"/>
      <c r="J8" s="962"/>
      <c r="K8" s="962"/>
      <c r="L8" s="962"/>
      <c r="M8" s="962"/>
      <c r="N8" s="962"/>
      <c r="O8" s="965" t="s">
        <v>410</v>
      </c>
      <c r="P8" s="965" t="s">
        <v>267</v>
      </c>
      <c r="Q8" s="965" t="s">
        <v>268</v>
      </c>
      <c r="R8" s="965" t="s">
        <v>269</v>
      </c>
      <c r="S8" s="965"/>
      <c r="T8" s="965" t="s">
        <v>270</v>
      </c>
      <c r="U8" s="965" t="s">
        <v>271</v>
      </c>
      <c r="V8" s="965" t="s">
        <v>272</v>
      </c>
      <c r="W8" s="965" t="s">
        <v>273</v>
      </c>
      <c r="X8" s="966" t="s">
        <v>274</v>
      </c>
      <c r="Y8" s="965" t="s">
        <v>275</v>
      </c>
      <c r="Z8" s="965" t="s">
        <v>276</v>
      </c>
      <c r="AA8" s="965" t="s">
        <v>277</v>
      </c>
      <c r="AB8" s="965" t="s">
        <v>278</v>
      </c>
      <c r="AC8" s="965" t="s">
        <v>279</v>
      </c>
      <c r="AD8" s="965" t="s">
        <v>280</v>
      </c>
      <c r="AE8" s="965" t="s">
        <v>281</v>
      </c>
      <c r="AF8" s="965" t="s">
        <v>282</v>
      </c>
      <c r="AG8" s="965" t="s">
        <v>283</v>
      </c>
      <c r="AH8" s="965" t="s">
        <v>284</v>
      </c>
      <c r="AI8" s="965" t="s">
        <v>279</v>
      </c>
      <c r="AJ8" s="964"/>
      <c r="AK8" s="964"/>
      <c r="AL8" s="964"/>
      <c r="AM8" s="964"/>
      <c r="AN8" s="964"/>
      <c r="AO8" s="423"/>
      <c r="AP8" s="423"/>
      <c r="AQ8" s="423"/>
    </row>
    <row r="9" spans="1:43" s="421" customFormat="1" ht="29.15" customHeight="1" x14ac:dyDescent="0.35">
      <c r="A9" s="969"/>
      <c r="B9" s="969"/>
      <c r="C9" s="963"/>
      <c r="D9" s="974"/>
      <c r="E9" s="963"/>
      <c r="F9" s="963"/>
      <c r="G9" s="963"/>
      <c r="H9" s="963"/>
      <c r="I9" s="963"/>
      <c r="J9" s="963"/>
      <c r="K9" s="963"/>
      <c r="L9" s="963"/>
      <c r="M9" s="963"/>
      <c r="N9" s="963"/>
      <c r="O9" s="965"/>
      <c r="P9" s="965"/>
      <c r="Q9" s="965"/>
      <c r="R9" s="422" t="s">
        <v>411</v>
      </c>
      <c r="S9" s="422" t="s">
        <v>286</v>
      </c>
      <c r="T9" s="965"/>
      <c r="U9" s="965"/>
      <c r="V9" s="965"/>
      <c r="W9" s="965"/>
      <c r="X9" s="966"/>
      <c r="Y9" s="965"/>
      <c r="Z9" s="965"/>
      <c r="AA9" s="965"/>
      <c r="AB9" s="965"/>
      <c r="AC9" s="965"/>
      <c r="AD9" s="965"/>
      <c r="AE9" s="965"/>
      <c r="AF9" s="965"/>
      <c r="AG9" s="965"/>
      <c r="AH9" s="965"/>
      <c r="AI9" s="965"/>
      <c r="AJ9" s="964"/>
      <c r="AK9" s="964"/>
      <c r="AL9" s="964"/>
      <c r="AM9" s="964"/>
      <c r="AN9" s="964"/>
      <c r="AO9" s="423"/>
      <c r="AP9" s="423"/>
      <c r="AQ9" s="423"/>
    </row>
    <row r="10" spans="1:43" s="426" customFormat="1" ht="19" customHeight="1" thickBot="1" x14ac:dyDescent="0.4">
      <c r="A10" s="424">
        <v>1</v>
      </c>
      <c r="B10" s="424">
        <v>2</v>
      </c>
      <c r="C10" s="425">
        <v>3</v>
      </c>
      <c r="D10" s="424">
        <v>4</v>
      </c>
      <c r="E10" s="424">
        <v>5</v>
      </c>
      <c r="F10" s="424">
        <v>6</v>
      </c>
      <c r="G10" s="424">
        <v>7</v>
      </c>
      <c r="H10" s="424">
        <v>8</v>
      </c>
      <c r="I10" s="424">
        <v>9</v>
      </c>
      <c r="J10" s="424">
        <v>10</v>
      </c>
      <c r="K10" s="424">
        <v>11</v>
      </c>
      <c r="L10" s="424">
        <v>12</v>
      </c>
      <c r="M10" s="424">
        <v>13</v>
      </c>
      <c r="N10" s="424">
        <v>14</v>
      </c>
      <c r="O10" s="424">
        <v>15</v>
      </c>
      <c r="P10" s="424">
        <v>16</v>
      </c>
      <c r="Q10" s="424">
        <v>17</v>
      </c>
      <c r="R10" s="424">
        <v>18</v>
      </c>
      <c r="S10" s="424">
        <v>19</v>
      </c>
      <c r="T10" s="424">
        <v>20</v>
      </c>
      <c r="U10" s="424">
        <v>21</v>
      </c>
      <c r="V10" s="424">
        <v>22</v>
      </c>
      <c r="W10" s="424">
        <v>23</v>
      </c>
      <c r="X10" s="424">
        <v>24</v>
      </c>
      <c r="Y10" s="424">
        <v>25</v>
      </c>
      <c r="Z10" s="424">
        <v>26</v>
      </c>
      <c r="AA10" s="424">
        <v>27</v>
      </c>
      <c r="AB10" s="424">
        <v>28</v>
      </c>
      <c r="AC10" s="424">
        <v>29</v>
      </c>
      <c r="AD10" s="424">
        <v>30</v>
      </c>
      <c r="AE10" s="424">
        <v>31</v>
      </c>
      <c r="AF10" s="424">
        <v>32</v>
      </c>
      <c r="AG10" s="424">
        <v>33</v>
      </c>
      <c r="AH10" s="424">
        <v>34</v>
      </c>
      <c r="AI10" s="424">
        <v>35</v>
      </c>
      <c r="AJ10" s="424">
        <v>36</v>
      </c>
      <c r="AK10" s="424">
        <v>37</v>
      </c>
      <c r="AL10" s="424">
        <v>38</v>
      </c>
      <c r="AM10" s="424">
        <v>39</v>
      </c>
      <c r="AN10" s="424">
        <v>40</v>
      </c>
    </row>
    <row r="11" spans="1:43" s="29" customFormat="1" ht="19" customHeight="1" thickTop="1" x14ac:dyDescent="0.35">
      <c r="A11" s="427">
        <v>1</v>
      </c>
      <c r="B11" s="714" t="str">
        <f>PETUNJUK!B9</f>
        <v>Pecangaan Kulon</v>
      </c>
      <c r="C11" s="428">
        <f>'1.DATA KIA'!F9</f>
        <v>7</v>
      </c>
      <c r="D11" s="428">
        <v>2</v>
      </c>
      <c r="E11" s="428"/>
      <c r="F11" s="428">
        <f>'1.DATA KIA'!J9</f>
        <v>6</v>
      </c>
      <c r="G11" s="428">
        <v>2</v>
      </c>
      <c r="H11" s="428"/>
      <c r="I11" s="428">
        <f>C11</f>
        <v>7</v>
      </c>
      <c r="J11" s="428">
        <v>0</v>
      </c>
      <c r="K11" s="428">
        <f>F11</f>
        <v>6</v>
      </c>
      <c r="L11" s="428"/>
      <c r="M11" s="428">
        <f>C11</f>
        <v>7</v>
      </c>
      <c r="N11" s="428"/>
      <c r="O11" s="428"/>
      <c r="P11" s="428"/>
      <c r="Q11" s="428">
        <f>M11</f>
        <v>7</v>
      </c>
      <c r="R11" s="428"/>
      <c r="S11" s="428"/>
      <c r="T11" s="428"/>
      <c r="U11" s="428"/>
      <c r="V11" s="428"/>
      <c r="W11" s="428"/>
      <c r="X11" s="428"/>
      <c r="Y11" s="428"/>
      <c r="Z11" s="428"/>
      <c r="AA11" s="428"/>
      <c r="AB11" s="428"/>
      <c r="AC11" s="428"/>
      <c r="AD11" s="428">
        <f>Q11</f>
        <v>7</v>
      </c>
      <c r="AE11" s="428"/>
      <c r="AF11" s="428"/>
      <c r="AG11" s="428">
        <f>AD11</f>
        <v>7</v>
      </c>
      <c r="AH11" s="428">
        <v>1</v>
      </c>
      <c r="AI11" s="428"/>
      <c r="AJ11" s="428"/>
      <c r="AK11" s="428"/>
      <c r="AL11" s="428"/>
      <c r="AM11" s="428"/>
      <c r="AN11" s="428"/>
      <c r="AO11" s="348"/>
    </row>
    <row r="12" spans="1:43" s="29" customFormat="1" ht="19" customHeight="1" x14ac:dyDescent="0.35">
      <c r="A12" s="429">
        <v>2</v>
      </c>
      <c r="B12" s="714" t="str">
        <f>PETUNJUK!B10</f>
        <v>Rengging</v>
      </c>
      <c r="C12" s="428">
        <f>'1.DATA KIA'!F10</f>
        <v>23</v>
      </c>
      <c r="D12" s="428">
        <v>2</v>
      </c>
      <c r="E12" s="428"/>
      <c r="F12" s="428">
        <f>'1.DATA KIA'!J10</f>
        <v>9</v>
      </c>
      <c r="G12" s="428">
        <v>5</v>
      </c>
      <c r="H12" s="428"/>
      <c r="I12" s="428">
        <f t="shared" ref="I12:I22" si="0">C12</f>
        <v>23</v>
      </c>
      <c r="J12" s="428">
        <v>3</v>
      </c>
      <c r="K12" s="428">
        <f t="shared" ref="K12:K22" si="1">F12</f>
        <v>9</v>
      </c>
      <c r="L12" s="428"/>
      <c r="M12" s="428">
        <f t="shared" ref="M12:M22" si="2">C12</f>
        <v>23</v>
      </c>
      <c r="N12" s="428">
        <v>1</v>
      </c>
      <c r="O12" s="428"/>
      <c r="P12" s="428"/>
      <c r="Q12" s="428">
        <f t="shared" ref="Q12:Q22" si="3">M12</f>
        <v>23</v>
      </c>
      <c r="R12" s="428"/>
      <c r="S12" s="428"/>
      <c r="T12" s="428"/>
      <c r="U12" s="428"/>
      <c r="V12" s="428"/>
      <c r="W12" s="428"/>
      <c r="X12" s="428"/>
      <c r="Y12" s="428"/>
      <c r="Z12" s="428"/>
      <c r="AA12" s="428"/>
      <c r="AB12" s="428"/>
      <c r="AC12" s="428"/>
      <c r="AD12" s="428">
        <f t="shared" ref="AD12:AD22" si="4">Q12</f>
        <v>23</v>
      </c>
      <c r="AE12" s="428"/>
      <c r="AF12" s="428"/>
      <c r="AG12" s="428">
        <f t="shared" ref="AG12:AG22" si="5">AD12</f>
        <v>23</v>
      </c>
      <c r="AH12" s="428"/>
      <c r="AI12" s="428"/>
      <c r="AJ12" s="428"/>
      <c r="AK12" s="428"/>
      <c r="AL12" s="428"/>
      <c r="AM12" s="428"/>
      <c r="AN12" s="428"/>
    </row>
    <row r="13" spans="1:43" s="29" customFormat="1" ht="19" customHeight="1" x14ac:dyDescent="0.35">
      <c r="A13" s="429">
        <v>3</v>
      </c>
      <c r="B13" s="714" t="str">
        <f>PETUNJUK!B11</f>
        <v>Troso</v>
      </c>
      <c r="C13" s="428">
        <f>'1.DATA KIA'!F11</f>
        <v>18</v>
      </c>
      <c r="D13" s="428">
        <v>1</v>
      </c>
      <c r="E13" s="428"/>
      <c r="F13" s="428">
        <f>'1.DATA KIA'!J11</f>
        <v>15</v>
      </c>
      <c r="G13" s="428">
        <v>4</v>
      </c>
      <c r="H13" s="428"/>
      <c r="I13" s="428">
        <f t="shared" si="0"/>
        <v>18</v>
      </c>
      <c r="J13" s="428">
        <v>3</v>
      </c>
      <c r="K13" s="428">
        <f t="shared" si="1"/>
        <v>15</v>
      </c>
      <c r="L13" s="428">
        <v>1</v>
      </c>
      <c r="M13" s="428">
        <f t="shared" si="2"/>
        <v>18</v>
      </c>
      <c r="N13" s="428">
        <v>2</v>
      </c>
      <c r="O13" s="428"/>
      <c r="P13" s="428"/>
      <c r="Q13" s="428">
        <f t="shared" si="3"/>
        <v>18</v>
      </c>
      <c r="R13" s="428"/>
      <c r="S13" s="428"/>
      <c r="T13" s="428"/>
      <c r="U13" s="428"/>
      <c r="V13" s="428"/>
      <c r="W13" s="428"/>
      <c r="X13" s="428"/>
      <c r="Y13" s="428"/>
      <c r="Z13" s="428"/>
      <c r="AA13" s="428"/>
      <c r="AB13" s="428"/>
      <c r="AC13" s="428"/>
      <c r="AD13" s="428">
        <f t="shared" si="4"/>
        <v>18</v>
      </c>
      <c r="AE13" s="428"/>
      <c r="AF13" s="428"/>
      <c r="AG13" s="428">
        <f t="shared" si="5"/>
        <v>18</v>
      </c>
      <c r="AH13" s="428"/>
      <c r="AI13" s="428"/>
      <c r="AJ13" s="428"/>
      <c r="AK13" s="428"/>
      <c r="AL13" s="428"/>
      <c r="AM13" s="428"/>
      <c r="AN13" s="428"/>
    </row>
    <row r="14" spans="1:43" s="29" customFormat="1" ht="19" customHeight="1" x14ac:dyDescent="0.35">
      <c r="A14" s="429">
        <v>4</v>
      </c>
      <c r="B14" s="714" t="str">
        <f>PETUNJUK!B12</f>
        <v>Ngeling</v>
      </c>
      <c r="C14" s="428">
        <f>'1.DATA KIA'!F12</f>
        <v>7</v>
      </c>
      <c r="D14" s="428">
        <v>0</v>
      </c>
      <c r="E14" s="428"/>
      <c r="F14" s="428">
        <f>'1.DATA KIA'!J12</f>
        <v>8</v>
      </c>
      <c r="G14" s="428">
        <v>0</v>
      </c>
      <c r="H14" s="428"/>
      <c r="I14" s="428">
        <f t="shared" si="0"/>
        <v>7</v>
      </c>
      <c r="J14" s="428">
        <v>2</v>
      </c>
      <c r="K14" s="428">
        <f t="shared" si="1"/>
        <v>8</v>
      </c>
      <c r="L14" s="428"/>
      <c r="M14" s="428">
        <f t="shared" si="2"/>
        <v>7</v>
      </c>
      <c r="N14" s="428">
        <v>3</v>
      </c>
      <c r="O14" s="428"/>
      <c r="P14" s="428"/>
      <c r="Q14" s="428">
        <f t="shared" si="3"/>
        <v>7</v>
      </c>
      <c r="R14" s="428"/>
      <c r="S14" s="428"/>
      <c r="T14" s="428"/>
      <c r="U14" s="428"/>
      <c r="V14" s="428"/>
      <c r="W14" s="428"/>
      <c r="X14" s="428"/>
      <c r="Y14" s="428"/>
      <c r="Z14" s="428"/>
      <c r="AA14" s="428"/>
      <c r="AB14" s="428"/>
      <c r="AC14" s="428"/>
      <c r="AD14" s="428">
        <f t="shared" si="4"/>
        <v>7</v>
      </c>
      <c r="AE14" s="428"/>
      <c r="AF14" s="428"/>
      <c r="AG14" s="428">
        <f t="shared" si="5"/>
        <v>7</v>
      </c>
      <c r="AH14" s="428"/>
      <c r="AI14" s="428"/>
      <c r="AJ14" s="428"/>
      <c r="AK14" s="428"/>
      <c r="AL14" s="428"/>
      <c r="AM14" s="428"/>
      <c r="AN14" s="428"/>
    </row>
    <row r="15" spans="1:43" s="29" customFormat="1" ht="19" customHeight="1" x14ac:dyDescent="0.35">
      <c r="A15" s="429">
        <v>5</v>
      </c>
      <c r="B15" s="714" t="str">
        <f>PETUNJUK!B13</f>
        <v>Lebuawu</v>
      </c>
      <c r="C15" s="428">
        <f>'1.DATA KIA'!F13</f>
        <v>9</v>
      </c>
      <c r="D15" s="428">
        <v>2</v>
      </c>
      <c r="E15" s="428"/>
      <c r="F15" s="428">
        <f>'1.DATA KIA'!J13</f>
        <v>7</v>
      </c>
      <c r="G15" s="428">
        <v>0</v>
      </c>
      <c r="H15" s="428"/>
      <c r="I15" s="428">
        <f t="shared" si="0"/>
        <v>9</v>
      </c>
      <c r="J15" s="428">
        <v>1</v>
      </c>
      <c r="K15" s="428">
        <f t="shared" si="1"/>
        <v>7</v>
      </c>
      <c r="L15" s="428"/>
      <c r="M15" s="428">
        <f t="shared" si="2"/>
        <v>9</v>
      </c>
      <c r="N15" s="428">
        <v>2</v>
      </c>
      <c r="O15" s="428"/>
      <c r="P15" s="428"/>
      <c r="Q15" s="428">
        <f t="shared" si="3"/>
        <v>9</v>
      </c>
      <c r="R15" s="428"/>
      <c r="S15" s="428"/>
      <c r="T15" s="428"/>
      <c r="U15" s="428"/>
      <c r="V15" s="428"/>
      <c r="W15" s="428"/>
      <c r="X15" s="428"/>
      <c r="Y15" s="428"/>
      <c r="Z15" s="428"/>
      <c r="AA15" s="428"/>
      <c r="AB15" s="428"/>
      <c r="AC15" s="428"/>
      <c r="AD15" s="428">
        <f t="shared" si="4"/>
        <v>9</v>
      </c>
      <c r="AE15" s="428"/>
      <c r="AF15" s="428"/>
      <c r="AG15" s="428">
        <f t="shared" si="5"/>
        <v>9</v>
      </c>
      <c r="AH15" s="428"/>
      <c r="AI15" s="428"/>
      <c r="AJ15" s="428"/>
      <c r="AK15" s="428"/>
      <c r="AL15" s="428"/>
      <c r="AM15" s="428"/>
      <c r="AN15" s="428"/>
    </row>
    <row r="16" spans="1:43" s="29" customFormat="1" ht="19" customHeight="1" x14ac:dyDescent="0.35">
      <c r="A16" s="429">
        <v>6</v>
      </c>
      <c r="B16" s="714" t="str">
        <f>PETUNJUK!B14</f>
        <v>Pulodarat</v>
      </c>
      <c r="C16" s="428">
        <f>'1.DATA KIA'!F14</f>
        <v>5</v>
      </c>
      <c r="D16" s="428">
        <v>1</v>
      </c>
      <c r="E16" s="428"/>
      <c r="F16" s="428">
        <f>'1.DATA KIA'!J14</f>
        <v>6</v>
      </c>
      <c r="G16" s="428">
        <v>1</v>
      </c>
      <c r="H16" s="428"/>
      <c r="I16" s="428">
        <f t="shared" si="0"/>
        <v>5</v>
      </c>
      <c r="J16" s="428">
        <v>0</v>
      </c>
      <c r="K16" s="428">
        <f t="shared" si="1"/>
        <v>6</v>
      </c>
      <c r="L16" s="428"/>
      <c r="M16" s="428">
        <f t="shared" si="2"/>
        <v>5</v>
      </c>
      <c r="N16" s="428">
        <v>1</v>
      </c>
      <c r="O16" s="428"/>
      <c r="P16" s="428"/>
      <c r="Q16" s="428">
        <f t="shared" si="3"/>
        <v>5</v>
      </c>
      <c r="R16" s="428"/>
      <c r="S16" s="428"/>
      <c r="T16" s="428"/>
      <c r="U16" s="428"/>
      <c r="V16" s="428"/>
      <c r="W16" s="428"/>
      <c r="X16" s="428"/>
      <c r="Y16" s="428"/>
      <c r="Z16" s="428"/>
      <c r="AA16" s="428"/>
      <c r="AB16" s="428"/>
      <c r="AC16" s="428"/>
      <c r="AD16" s="428">
        <f t="shared" si="4"/>
        <v>5</v>
      </c>
      <c r="AE16" s="428"/>
      <c r="AF16" s="428"/>
      <c r="AG16" s="428">
        <f t="shared" si="5"/>
        <v>5</v>
      </c>
      <c r="AH16" s="428"/>
      <c r="AI16" s="428"/>
      <c r="AJ16" s="428"/>
      <c r="AK16" s="428"/>
      <c r="AL16" s="428"/>
      <c r="AM16" s="428"/>
      <c r="AN16" s="428"/>
    </row>
    <row r="17" spans="1:40" s="29" customFormat="1" ht="19" customHeight="1" x14ac:dyDescent="0.35">
      <c r="A17" s="429">
        <v>7</v>
      </c>
      <c r="B17" s="714" t="str">
        <f>PETUNJUK!B15</f>
        <v>Karangrandu</v>
      </c>
      <c r="C17" s="428">
        <f>'1.DATA KIA'!F15</f>
        <v>7</v>
      </c>
      <c r="D17" s="428"/>
      <c r="E17" s="428"/>
      <c r="F17" s="428">
        <f>'1.DATA KIA'!J15</f>
        <v>5</v>
      </c>
      <c r="G17" s="428">
        <v>1</v>
      </c>
      <c r="H17" s="428"/>
      <c r="I17" s="428">
        <f t="shared" si="0"/>
        <v>7</v>
      </c>
      <c r="J17" s="428">
        <v>0</v>
      </c>
      <c r="K17" s="428">
        <f t="shared" si="1"/>
        <v>5</v>
      </c>
      <c r="L17" s="428"/>
      <c r="M17" s="428">
        <f t="shared" si="2"/>
        <v>7</v>
      </c>
      <c r="N17" s="428">
        <v>3</v>
      </c>
      <c r="O17" s="428"/>
      <c r="P17" s="428"/>
      <c r="Q17" s="428">
        <f t="shared" si="3"/>
        <v>7</v>
      </c>
      <c r="R17" s="428"/>
      <c r="S17" s="428"/>
      <c r="T17" s="428"/>
      <c r="U17" s="428"/>
      <c r="V17" s="428"/>
      <c r="W17" s="428"/>
      <c r="X17" s="428"/>
      <c r="Y17" s="428"/>
      <c r="Z17" s="428"/>
      <c r="AA17" s="428"/>
      <c r="AB17" s="428"/>
      <c r="AC17" s="428"/>
      <c r="AD17" s="428">
        <f t="shared" si="4"/>
        <v>7</v>
      </c>
      <c r="AE17" s="428"/>
      <c r="AF17" s="428"/>
      <c r="AG17" s="428">
        <f t="shared" si="5"/>
        <v>7</v>
      </c>
      <c r="AH17" s="428"/>
      <c r="AI17" s="428"/>
      <c r="AJ17" s="428"/>
      <c r="AK17" s="428"/>
      <c r="AL17" s="428"/>
      <c r="AM17" s="428"/>
      <c r="AN17" s="428"/>
    </row>
    <row r="18" spans="1:40" s="29" customFormat="1" ht="19" customHeight="1" x14ac:dyDescent="0.35">
      <c r="A18" s="429">
        <v>8</v>
      </c>
      <c r="B18" s="714" t="str">
        <f>PETUNJUK!B16</f>
        <v>Kaliombo</v>
      </c>
      <c r="C18" s="428">
        <f>'1.DATA KIA'!F16</f>
        <v>1</v>
      </c>
      <c r="D18" s="428"/>
      <c r="E18" s="428"/>
      <c r="F18" s="428">
        <f>'1.DATA KIA'!J16</f>
        <v>1</v>
      </c>
      <c r="G18" s="428">
        <v>0</v>
      </c>
      <c r="H18" s="428"/>
      <c r="I18" s="428">
        <f t="shared" si="0"/>
        <v>1</v>
      </c>
      <c r="J18" s="428">
        <v>0</v>
      </c>
      <c r="K18" s="428">
        <f t="shared" si="1"/>
        <v>1</v>
      </c>
      <c r="L18" s="428"/>
      <c r="M18" s="428">
        <f t="shared" si="2"/>
        <v>1</v>
      </c>
      <c r="N18" s="428"/>
      <c r="O18" s="428"/>
      <c r="P18" s="428"/>
      <c r="Q18" s="428">
        <f t="shared" si="3"/>
        <v>1</v>
      </c>
      <c r="R18" s="428"/>
      <c r="S18" s="428"/>
      <c r="T18" s="428"/>
      <c r="U18" s="428"/>
      <c r="V18" s="428"/>
      <c r="W18" s="428"/>
      <c r="X18" s="428"/>
      <c r="Y18" s="428"/>
      <c r="Z18" s="428"/>
      <c r="AA18" s="428"/>
      <c r="AB18" s="428"/>
      <c r="AC18" s="428"/>
      <c r="AD18" s="428">
        <f t="shared" si="4"/>
        <v>1</v>
      </c>
      <c r="AE18" s="428"/>
      <c r="AF18" s="428"/>
      <c r="AG18" s="428">
        <f t="shared" si="5"/>
        <v>1</v>
      </c>
      <c r="AH18" s="428"/>
      <c r="AI18" s="428"/>
      <c r="AJ18" s="428"/>
      <c r="AK18" s="428"/>
      <c r="AL18" s="428"/>
      <c r="AM18" s="428"/>
      <c r="AN18" s="428"/>
    </row>
    <row r="19" spans="1:40" s="29" customFormat="1" ht="19" customHeight="1" x14ac:dyDescent="0.35">
      <c r="A19" s="429">
        <v>9</v>
      </c>
      <c r="B19" s="714" t="str">
        <f>PETUNJUK!B17</f>
        <v>Gemulung</v>
      </c>
      <c r="C19" s="428">
        <f>'1.DATA KIA'!F17</f>
        <v>4</v>
      </c>
      <c r="D19" s="428">
        <v>2</v>
      </c>
      <c r="E19" s="428"/>
      <c r="F19" s="428">
        <f>'1.DATA KIA'!J17</f>
        <v>5</v>
      </c>
      <c r="G19" s="428">
        <v>1</v>
      </c>
      <c r="H19" s="428"/>
      <c r="I19" s="428">
        <f t="shared" si="0"/>
        <v>4</v>
      </c>
      <c r="J19" s="428">
        <v>0</v>
      </c>
      <c r="K19" s="428">
        <f t="shared" si="1"/>
        <v>5</v>
      </c>
      <c r="L19" s="428"/>
      <c r="M19" s="428">
        <f t="shared" si="2"/>
        <v>4</v>
      </c>
      <c r="N19" s="428">
        <v>1</v>
      </c>
      <c r="O19" s="428"/>
      <c r="P19" s="428"/>
      <c r="Q19" s="428">
        <f t="shared" si="3"/>
        <v>4</v>
      </c>
      <c r="R19" s="428"/>
      <c r="S19" s="428"/>
      <c r="T19" s="428"/>
      <c r="U19" s="428"/>
      <c r="V19" s="428"/>
      <c r="W19" s="428"/>
      <c r="X19" s="428"/>
      <c r="Y19" s="428"/>
      <c r="Z19" s="428"/>
      <c r="AA19" s="428"/>
      <c r="AB19" s="428"/>
      <c r="AC19" s="428"/>
      <c r="AD19" s="428">
        <f t="shared" si="4"/>
        <v>4</v>
      </c>
      <c r="AE19" s="428"/>
      <c r="AF19" s="428"/>
      <c r="AG19" s="428">
        <f t="shared" si="5"/>
        <v>4</v>
      </c>
      <c r="AH19" s="428"/>
      <c r="AI19" s="428"/>
      <c r="AJ19" s="428"/>
      <c r="AK19" s="428"/>
      <c r="AL19" s="428"/>
      <c r="AM19" s="428"/>
      <c r="AN19" s="428"/>
    </row>
    <row r="20" spans="1:40" s="29" customFormat="1" ht="19" customHeight="1" x14ac:dyDescent="0.35">
      <c r="A20" s="429">
        <v>10</v>
      </c>
      <c r="B20" s="714" t="str">
        <f>PETUNJUK!B18</f>
        <v>Pecangaan Wetan</v>
      </c>
      <c r="C20" s="428">
        <f>'1.DATA KIA'!F18</f>
        <v>4</v>
      </c>
      <c r="D20" s="428"/>
      <c r="E20" s="428"/>
      <c r="F20" s="428">
        <f>'1.DATA KIA'!J18</f>
        <v>3</v>
      </c>
      <c r="G20" s="428">
        <v>0</v>
      </c>
      <c r="H20" s="428"/>
      <c r="I20" s="428">
        <f t="shared" si="0"/>
        <v>4</v>
      </c>
      <c r="J20" s="428">
        <v>2</v>
      </c>
      <c r="K20" s="428">
        <f t="shared" si="1"/>
        <v>3</v>
      </c>
      <c r="L20" s="428">
        <v>3</v>
      </c>
      <c r="M20" s="428">
        <f t="shared" si="2"/>
        <v>4</v>
      </c>
      <c r="N20" s="428">
        <v>1</v>
      </c>
      <c r="O20" s="428"/>
      <c r="P20" s="428"/>
      <c r="Q20" s="428">
        <f t="shared" si="3"/>
        <v>4</v>
      </c>
      <c r="R20" s="428"/>
      <c r="S20" s="428"/>
      <c r="T20" s="428"/>
      <c r="U20" s="428"/>
      <c r="V20" s="428"/>
      <c r="W20" s="428"/>
      <c r="X20" s="428"/>
      <c r="Y20" s="428"/>
      <c r="Z20" s="428"/>
      <c r="AA20" s="428"/>
      <c r="AB20" s="428"/>
      <c r="AC20" s="428"/>
      <c r="AD20" s="428">
        <f t="shared" si="4"/>
        <v>4</v>
      </c>
      <c r="AE20" s="428"/>
      <c r="AF20" s="428"/>
      <c r="AG20" s="428">
        <f t="shared" si="5"/>
        <v>4</v>
      </c>
      <c r="AH20" s="428"/>
      <c r="AI20" s="428"/>
      <c r="AJ20" s="428"/>
      <c r="AK20" s="428"/>
      <c r="AL20" s="428"/>
      <c r="AM20" s="428"/>
      <c r="AN20" s="428"/>
    </row>
    <row r="21" spans="1:40" s="29" customFormat="1" ht="19" customHeight="1" x14ac:dyDescent="0.35">
      <c r="A21" s="429">
        <v>11</v>
      </c>
      <c r="B21" s="714" t="str">
        <f>PETUNJUK!B19</f>
        <v>Krasak</v>
      </c>
      <c r="C21" s="428">
        <f>'1.DATA KIA'!F19</f>
        <v>15</v>
      </c>
      <c r="D21" s="428"/>
      <c r="E21" s="428"/>
      <c r="F21" s="428">
        <f>'1.DATA KIA'!J19</f>
        <v>4</v>
      </c>
      <c r="G21" s="428">
        <v>1</v>
      </c>
      <c r="H21" s="428"/>
      <c r="I21" s="428">
        <f t="shared" si="0"/>
        <v>15</v>
      </c>
      <c r="J21" s="428">
        <v>1</v>
      </c>
      <c r="K21" s="428">
        <f t="shared" si="1"/>
        <v>4</v>
      </c>
      <c r="L21" s="428">
        <v>2</v>
      </c>
      <c r="M21" s="428">
        <f t="shared" si="2"/>
        <v>15</v>
      </c>
      <c r="N21" s="428">
        <v>1</v>
      </c>
      <c r="O21" s="428"/>
      <c r="P21" s="428"/>
      <c r="Q21" s="428">
        <f t="shared" si="3"/>
        <v>15</v>
      </c>
      <c r="R21" s="428"/>
      <c r="S21" s="428"/>
      <c r="T21" s="428"/>
      <c r="U21" s="428"/>
      <c r="V21" s="428"/>
      <c r="W21" s="428"/>
      <c r="X21" s="428"/>
      <c r="Y21" s="428"/>
      <c r="Z21" s="428"/>
      <c r="AA21" s="428"/>
      <c r="AB21" s="428"/>
      <c r="AC21" s="428"/>
      <c r="AD21" s="428">
        <f t="shared" si="4"/>
        <v>15</v>
      </c>
      <c r="AE21" s="428"/>
      <c r="AF21" s="428"/>
      <c r="AG21" s="428">
        <f t="shared" si="5"/>
        <v>15</v>
      </c>
      <c r="AH21" s="428">
        <v>1</v>
      </c>
      <c r="AI21" s="428">
        <v>1</v>
      </c>
      <c r="AJ21" s="428"/>
      <c r="AK21" s="428"/>
      <c r="AL21" s="428"/>
      <c r="AM21" s="428"/>
      <c r="AN21" s="428"/>
    </row>
    <row r="22" spans="1:40" s="29" customFormat="1" ht="19" customHeight="1" x14ac:dyDescent="0.35">
      <c r="A22" s="429">
        <v>12</v>
      </c>
      <c r="B22" s="714" t="str">
        <f>PETUNJUK!B20</f>
        <v>Gerdu</v>
      </c>
      <c r="C22" s="428">
        <f>'1.DATA KIA'!F20</f>
        <v>1</v>
      </c>
      <c r="D22" s="428"/>
      <c r="E22" s="428"/>
      <c r="F22" s="428">
        <f>'1.DATA KIA'!J20</f>
        <v>3</v>
      </c>
      <c r="G22" s="428">
        <v>0</v>
      </c>
      <c r="H22" s="428"/>
      <c r="I22" s="428">
        <f t="shared" si="0"/>
        <v>1</v>
      </c>
      <c r="J22" s="428">
        <v>0</v>
      </c>
      <c r="K22" s="428">
        <f t="shared" si="1"/>
        <v>3</v>
      </c>
      <c r="L22" s="428"/>
      <c r="M22" s="428">
        <f t="shared" si="2"/>
        <v>1</v>
      </c>
      <c r="N22" s="428">
        <v>0</v>
      </c>
      <c r="O22" s="428"/>
      <c r="P22" s="428"/>
      <c r="Q22" s="428">
        <f t="shared" si="3"/>
        <v>1</v>
      </c>
      <c r="R22" s="428"/>
      <c r="S22" s="428"/>
      <c r="T22" s="428"/>
      <c r="U22" s="428"/>
      <c r="V22" s="428"/>
      <c r="W22" s="428"/>
      <c r="X22" s="428"/>
      <c r="Y22" s="428"/>
      <c r="Z22" s="428"/>
      <c r="AA22" s="428"/>
      <c r="AB22" s="428"/>
      <c r="AC22" s="428"/>
      <c r="AD22" s="428">
        <f t="shared" si="4"/>
        <v>1</v>
      </c>
      <c r="AE22" s="428"/>
      <c r="AF22" s="428"/>
      <c r="AG22" s="428">
        <f t="shared" si="5"/>
        <v>1</v>
      </c>
      <c r="AH22" s="428"/>
      <c r="AI22" s="428"/>
      <c r="AJ22" s="428"/>
      <c r="AK22" s="428"/>
      <c r="AL22" s="428"/>
      <c r="AM22" s="428"/>
      <c r="AN22" s="428"/>
    </row>
    <row r="23" spans="1:40" s="29" customFormat="1" ht="19" customHeight="1" x14ac:dyDescent="0.35">
      <c r="A23" s="429">
        <v>13</v>
      </c>
      <c r="B23" s="427">
        <f>PETUNJUK!B21</f>
        <v>0</v>
      </c>
      <c r="C23" s="428"/>
      <c r="D23" s="428"/>
      <c r="E23" s="428"/>
      <c r="F23" s="428"/>
      <c r="G23" s="428"/>
      <c r="H23" s="428"/>
      <c r="I23" s="428"/>
      <c r="J23" s="428"/>
      <c r="K23" s="428"/>
      <c r="L23" s="428"/>
      <c r="M23" s="428"/>
      <c r="N23" s="428"/>
      <c r="O23" s="428"/>
      <c r="P23" s="428"/>
      <c r="Q23" s="428"/>
      <c r="R23" s="428"/>
      <c r="S23" s="428"/>
      <c r="T23" s="428"/>
      <c r="U23" s="428"/>
      <c r="V23" s="428"/>
      <c r="W23" s="428"/>
      <c r="X23" s="428"/>
      <c r="Y23" s="428"/>
      <c r="Z23" s="428"/>
      <c r="AA23" s="428"/>
      <c r="AB23" s="428"/>
      <c r="AC23" s="428"/>
      <c r="AD23" s="428"/>
      <c r="AE23" s="428"/>
      <c r="AF23" s="428"/>
      <c r="AG23" s="428"/>
      <c r="AH23" s="428"/>
      <c r="AI23" s="428"/>
      <c r="AJ23" s="428"/>
      <c r="AK23" s="428"/>
      <c r="AL23" s="428"/>
      <c r="AM23" s="428"/>
      <c r="AN23" s="428"/>
    </row>
    <row r="24" spans="1:40" s="29" customFormat="1" ht="19" customHeight="1" x14ac:dyDescent="0.35">
      <c r="A24" s="429">
        <v>14</v>
      </c>
      <c r="B24" s="427">
        <f>PETUNJUK!B22</f>
        <v>0</v>
      </c>
      <c r="C24" s="428"/>
      <c r="D24" s="428"/>
      <c r="E24" s="428"/>
      <c r="F24" s="428"/>
      <c r="G24" s="428"/>
      <c r="H24" s="428"/>
      <c r="I24" s="428"/>
      <c r="J24" s="428"/>
      <c r="K24" s="428"/>
      <c r="L24" s="428"/>
      <c r="M24" s="428"/>
      <c r="N24" s="428"/>
      <c r="O24" s="428"/>
      <c r="P24" s="428"/>
      <c r="Q24" s="428"/>
      <c r="R24" s="428"/>
      <c r="S24" s="428"/>
      <c r="T24" s="428"/>
      <c r="U24" s="428"/>
      <c r="V24" s="428"/>
      <c r="W24" s="428"/>
      <c r="X24" s="428"/>
      <c r="Y24" s="428"/>
      <c r="Z24" s="428"/>
      <c r="AA24" s="428"/>
      <c r="AB24" s="428"/>
      <c r="AC24" s="428"/>
      <c r="AD24" s="428"/>
      <c r="AE24" s="428"/>
      <c r="AF24" s="428"/>
      <c r="AG24" s="428"/>
      <c r="AH24" s="428"/>
      <c r="AI24" s="428"/>
      <c r="AJ24" s="428"/>
      <c r="AK24" s="428"/>
      <c r="AL24" s="428"/>
      <c r="AM24" s="428"/>
      <c r="AN24" s="428"/>
    </row>
    <row r="25" spans="1:40" s="29" customFormat="1" ht="19" customHeight="1" x14ac:dyDescent="0.35">
      <c r="A25" s="429">
        <v>15</v>
      </c>
      <c r="B25" s="427">
        <f>PETUNJUK!B23</f>
        <v>0</v>
      </c>
      <c r="C25" s="428"/>
      <c r="D25" s="428"/>
      <c r="E25" s="428"/>
      <c r="F25" s="428"/>
      <c r="G25" s="428"/>
      <c r="H25" s="428"/>
      <c r="I25" s="428"/>
      <c r="J25" s="428"/>
      <c r="K25" s="428"/>
      <c r="L25" s="428"/>
      <c r="M25" s="428"/>
      <c r="N25" s="428"/>
      <c r="O25" s="428"/>
      <c r="P25" s="428"/>
      <c r="Q25" s="428"/>
      <c r="R25" s="428"/>
      <c r="S25" s="428"/>
      <c r="T25" s="428"/>
      <c r="U25" s="428"/>
      <c r="V25" s="428"/>
      <c r="W25" s="428"/>
      <c r="X25" s="428"/>
      <c r="Y25" s="428"/>
      <c r="Z25" s="428"/>
      <c r="AA25" s="428"/>
      <c r="AB25" s="428"/>
      <c r="AC25" s="428"/>
      <c r="AD25" s="428"/>
      <c r="AE25" s="428"/>
      <c r="AF25" s="428"/>
      <c r="AG25" s="428"/>
      <c r="AH25" s="428"/>
      <c r="AI25" s="428"/>
      <c r="AJ25" s="428"/>
      <c r="AK25" s="428"/>
      <c r="AL25" s="428"/>
      <c r="AM25" s="428"/>
      <c r="AN25" s="428"/>
    </row>
    <row r="26" spans="1:40" s="29" customFormat="1" ht="19" customHeight="1" x14ac:dyDescent="0.35">
      <c r="A26" s="429">
        <v>16</v>
      </c>
      <c r="B26" s="427">
        <f>PETUNJUK!B24</f>
        <v>0</v>
      </c>
      <c r="C26" s="428"/>
      <c r="D26" s="428"/>
      <c r="E26" s="428"/>
      <c r="F26" s="428"/>
      <c r="G26" s="428"/>
      <c r="H26" s="428"/>
      <c r="I26" s="428"/>
      <c r="J26" s="428"/>
      <c r="K26" s="428"/>
      <c r="L26" s="428"/>
      <c r="M26" s="428"/>
      <c r="N26" s="428"/>
      <c r="O26" s="428"/>
      <c r="P26" s="428"/>
      <c r="Q26" s="428"/>
      <c r="R26" s="428"/>
      <c r="S26" s="428"/>
      <c r="T26" s="428"/>
      <c r="U26" s="428"/>
      <c r="V26" s="428"/>
      <c r="W26" s="428"/>
      <c r="X26" s="428"/>
      <c r="Y26" s="428"/>
      <c r="Z26" s="428"/>
      <c r="AA26" s="428"/>
      <c r="AB26" s="428"/>
      <c r="AC26" s="428"/>
      <c r="AD26" s="428"/>
      <c r="AE26" s="428"/>
      <c r="AF26" s="428"/>
      <c r="AG26" s="428"/>
      <c r="AH26" s="428"/>
      <c r="AI26" s="428"/>
      <c r="AJ26" s="428"/>
      <c r="AK26" s="428"/>
      <c r="AL26" s="428"/>
      <c r="AM26" s="428"/>
      <c r="AN26" s="428"/>
    </row>
    <row r="27" spans="1:40" s="29" customFormat="1" ht="19" customHeight="1" x14ac:dyDescent="0.35">
      <c r="A27" s="429">
        <v>17</v>
      </c>
      <c r="B27" s="427">
        <f>PETUNJUK!B25</f>
        <v>0</v>
      </c>
      <c r="C27" s="428"/>
      <c r="D27" s="428"/>
      <c r="E27" s="428"/>
      <c r="F27" s="428"/>
      <c r="G27" s="428"/>
      <c r="H27" s="428"/>
      <c r="I27" s="428"/>
      <c r="J27" s="428"/>
      <c r="K27" s="428"/>
      <c r="L27" s="428"/>
      <c r="M27" s="428"/>
      <c r="N27" s="428"/>
      <c r="O27" s="428"/>
      <c r="P27" s="428"/>
      <c r="Q27" s="428"/>
      <c r="R27" s="428"/>
      <c r="S27" s="428"/>
      <c r="T27" s="428"/>
      <c r="U27" s="428"/>
      <c r="V27" s="428"/>
      <c r="W27" s="428"/>
      <c r="X27" s="428"/>
      <c r="Y27" s="428"/>
      <c r="Z27" s="428"/>
      <c r="AA27" s="428"/>
      <c r="AB27" s="428"/>
      <c r="AC27" s="428"/>
      <c r="AD27" s="428"/>
      <c r="AE27" s="428"/>
      <c r="AF27" s="428"/>
      <c r="AG27" s="428"/>
      <c r="AH27" s="428"/>
      <c r="AI27" s="428"/>
      <c r="AJ27" s="428"/>
      <c r="AK27" s="428"/>
      <c r="AL27" s="428"/>
      <c r="AM27" s="428"/>
      <c r="AN27" s="428"/>
    </row>
    <row r="28" spans="1:40" s="29" customFormat="1" ht="19" customHeight="1" x14ac:dyDescent="0.35">
      <c r="A28" s="429">
        <v>18</v>
      </c>
      <c r="B28" s="427">
        <f>PETUNJUK!B26</f>
        <v>0</v>
      </c>
      <c r="C28" s="428"/>
      <c r="D28" s="428"/>
      <c r="E28" s="428"/>
      <c r="F28" s="428"/>
      <c r="G28" s="428"/>
      <c r="H28" s="428"/>
      <c r="I28" s="428"/>
      <c r="J28" s="428"/>
      <c r="K28" s="428"/>
      <c r="L28" s="428"/>
      <c r="M28" s="428"/>
      <c r="N28" s="428"/>
      <c r="O28" s="428"/>
      <c r="P28" s="428"/>
      <c r="Q28" s="428"/>
      <c r="R28" s="428"/>
      <c r="S28" s="428"/>
      <c r="T28" s="428"/>
      <c r="U28" s="428"/>
      <c r="V28" s="428"/>
      <c r="W28" s="428"/>
      <c r="X28" s="428"/>
      <c r="Y28" s="428"/>
      <c r="Z28" s="428"/>
      <c r="AA28" s="428"/>
      <c r="AB28" s="428"/>
      <c r="AC28" s="428"/>
      <c r="AD28" s="428"/>
      <c r="AE28" s="428"/>
      <c r="AF28" s="428"/>
      <c r="AG28" s="428"/>
      <c r="AH28" s="428"/>
      <c r="AI28" s="428"/>
      <c r="AJ28" s="428"/>
      <c r="AK28" s="428"/>
      <c r="AL28" s="428"/>
      <c r="AM28" s="428"/>
      <c r="AN28" s="428"/>
    </row>
    <row r="29" spans="1:40" s="29" customFormat="1" ht="19" customHeight="1" x14ac:dyDescent="0.35">
      <c r="A29" s="429">
        <v>19</v>
      </c>
      <c r="B29" s="427">
        <f>PETUNJUK!B27</f>
        <v>0</v>
      </c>
      <c r="C29" s="428"/>
      <c r="D29" s="428"/>
      <c r="E29" s="428"/>
      <c r="F29" s="428"/>
      <c r="G29" s="428"/>
      <c r="H29" s="428"/>
      <c r="I29" s="428"/>
      <c r="J29" s="428"/>
      <c r="K29" s="428"/>
      <c r="L29" s="428"/>
      <c r="M29" s="428"/>
      <c r="N29" s="428"/>
      <c r="O29" s="428"/>
      <c r="P29" s="428"/>
      <c r="Q29" s="428"/>
      <c r="R29" s="428"/>
      <c r="S29" s="428"/>
      <c r="T29" s="428"/>
      <c r="U29" s="428"/>
      <c r="V29" s="428"/>
      <c r="W29" s="428"/>
      <c r="X29" s="428"/>
      <c r="Y29" s="428"/>
      <c r="Z29" s="428"/>
      <c r="AA29" s="428"/>
      <c r="AB29" s="428"/>
      <c r="AC29" s="428"/>
      <c r="AD29" s="428"/>
      <c r="AE29" s="428"/>
      <c r="AF29" s="428"/>
      <c r="AG29" s="428"/>
      <c r="AH29" s="428"/>
      <c r="AI29" s="428"/>
      <c r="AJ29" s="428"/>
      <c r="AK29" s="428"/>
      <c r="AL29" s="428"/>
      <c r="AM29" s="428"/>
      <c r="AN29" s="428"/>
    </row>
    <row r="30" spans="1:40" s="29" customFormat="1" ht="19" customHeight="1" x14ac:dyDescent="0.35">
      <c r="A30" s="429">
        <v>20</v>
      </c>
      <c r="B30" s="427">
        <f>PETUNJUK!B28</f>
        <v>0</v>
      </c>
      <c r="C30" s="428"/>
      <c r="D30" s="428"/>
      <c r="E30" s="428"/>
      <c r="F30" s="428"/>
      <c r="G30" s="428"/>
      <c r="H30" s="428"/>
      <c r="I30" s="428"/>
      <c r="J30" s="428"/>
      <c r="K30" s="428"/>
      <c r="L30" s="428"/>
      <c r="M30" s="428"/>
      <c r="N30" s="428"/>
      <c r="O30" s="428"/>
      <c r="P30" s="428"/>
      <c r="Q30" s="428"/>
      <c r="R30" s="428"/>
      <c r="S30" s="428"/>
      <c r="T30" s="428"/>
      <c r="U30" s="428"/>
      <c r="V30" s="428"/>
      <c r="W30" s="428"/>
      <c r="X30" s="428"/>
      <c r="Y30" s="428"/>
      <c r="Z30" s="428"/>
      <c r="AA30" s="428"/>
      <c r="AB30" s="428"/>
      <c r="AC30" s="428"/>
      <c r="AD30" s="428"/>
      <c r="AE30" s="428"/>
      <c r="AF30" s="428"/>
      <c r="AG30" s="428"/>
      <c r="AH30" s="428"/>
      <c r="AI30" s="428"/>
      <c r="AJ30" s="428"/>
      <c r="AK30" s="428"/>
      <c r="AL30" s="428"/>
      <c r="AM30" s="428"/>
      <c r="AN30" s="428"/>
    </row>
    <row r="31" spans="1:40" s="29" customFormat="1" ht="19" customHeight="1" x14ac:dyDescent="0.35">
      <c r="A31" s="429">
        <v>21</v>
      </c>
      <c r="B31" s="427">
        <f>PETUNJUK!B29</f>
        <v>0</v>
      </c>
      <c r="C31" s="428"/>
      <c r="D31" s="428"/>
      <c r="E31" s="428"/>
      <c r="F31" s="428"/>
      <c r="G31" s="428"/>
      <c r="H31" s="428"/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Y31" s="428"/>
      <c r="Z31" s="428"/>
      <c r="AA31" s="428"/>
      <c r="AB31" s="428"/>
      <c r="AC31" s="428"/>
      <c r="AD31" s="428"/>
      <c r="AE31" s="428"/>
      <c r="AF31" s="428"/>
      <c r="AG31" s="428"/>
      <c r="AH31" s="428"/>
      <c r="AI31" s="428"/>
      <c r="AJ31" s="428"/>
      <c r="AK31" s="428"/>
      <c r="AL31" s="428"/>
      <c r="AM31" s="428"/>
      <c r="AN31" s="428"/>
    </row>
    <row r="32" spans="1:40" s="29" customFormat="1" ht="19" customHeight="1" x14ac:dyDescent="0.35">
      <c r="A32" s="429">
        <v>22</v>
      </c>
      <c r="B32" s="427">
        <f>PETUNJUK!B30</f>
        <v>0</v>
      </c>
      <c r="C32" s="428"/>
      <c r="D32" s="428"/>
      <c r="E32" s="428"/>
      <c r="F32" s="428"/>
      <c r="G32" s="428"/>
      <c r="H32" s="428"/>
      <c r="I32" s="428"/>
      <c r="J32" s="428"/>
      <c r="K32" s="428"/>
      <c r="L32" s="428"/>
      <c r="M32" s="428"/>
      <c r="N32" s="428"/>
      <c r="O32" s="428"/>
      <c r="P32" s="428"/>
      <c r="Q32" s="428"/>
      <c r="R32" s="428"/>
      <c r="S32" s="428"/>
      <c r="T32" s="428"/>
      <c r="U32" s="428"/>
      <c r="V32" s="428"/>
      <c r="W32" s="428"/>
      <c r="X32" s="428"/>
      <c r="Y32" s="428"/>
      <c r="Z32" s="428"/>
      <c r="AA32" s="428"/>
      <c r="AB32" s="428"/>
      <c r="AC32" s="428"/>
      <c r="AD32" s="428"/>
      <c r="AE32" s="428"/>
      <c r="AF32" s="428"/>
      <c r="AG32" s="428"/>
      <c r="AH32" s="428"/>
      <c r="AI32" s="428"/>
      <c r="AJ32" s="428"/>
      <c r="AK32" s="428"/>
      <c r="AL32" s="428"/>
      <c r="AM32" s="428"/>
      <c r="AN32" s="428"/>
    </row>
    <row r="33" spans="1:43" s="430" customFormat="1" ht="19" customHeight="1" x14ac:dyDescent="0.35">
      <c r="A33" s="419"/>
      <c r="B33" s="419" t="s">
        <v>17</v>
      </c>
      <c r="C33" s="420">
        <f t="shared" ref="C33:AM33" si="6">SUM(C11:C32)</f>
        <v>101</v>
      </c>
      <c r="D33" s="419">
        <f t="shared" si="6"/>
        <v>10</v>
      </c>
      <c r="E33" s="419">
        <f t="shared" si="6"/>
        <v>0</v>
      </c>
      <c r="F33" s="419">
        <f t="shared" si="6"/>
        <v>72</v>
      </c>
      <c r="G33" s="419">
        <f t="shared" si="6"/>
        <v>15</v>
      </c>
      <c r="H33" s="419">
        <f t="shared" si="6"/>
        <v>0</v>
      </c>
      <c r="I33" s="419">
        <f t="shared" si="6"/>
        <v>101</v>
      </c>
      <c r="J33" s="419">
        <f t="shared" si="6"/>
        <v>12</v>
      </c>
      <c r="K33" s="419">
        <f t="shared" si="6"/>
        <v>72</v>
      </c>
      <c r="L33" s="419">
        <f t="shared" si="6"/>
        <v>6</v>
      </c>
      <c r="M33" s="419">
        <f t="shared" si="6"/>
        <v>101</v>
      </c>
      <c r="N33" s="419">
        <f t="shared" si="6"/>
        <v>15</v>
      </c>
      <c r="O33" s="419">
        <f t="shared" si="6"/>
        <v>0</v>
      </c>
      <c r="P33" s="419">
        <f t="shared" si="6"/>
        <v>0</v>
      </c>
      <c r="Q33" s="419">
        <f t="shared" si="6"/>
        <v>101</v>
      </c>
      <c r="R33" s="419">
        <f t="shared" si="6"/>
        <v>0</v>
      </c>
      <c r="S33" s="419">
        <f t="shared" si="6"/>
        <v>0</v>
      </c>
      <c r="T33" s="419">
        <f t="shared" si="6"/>
        <v>0</v>
      </c>
      <c r="U33" s="419">
        <f t="shared" si="6"/>
        <v>0</v>
      </c>
      <c r="V33" s="419">
        <f t="shared" si="6"/>
        <v>0</v>
      </c>
      <c r="W33" s="419">
        <f t="shared" si="6"/>
        <v>0</v>
      </c>
      <c r="X33" s="419">
        <f t="shared" si="6"/>
        <v>0</v>
      </c>
      <c r="Y33" s="419">
        <f t="shared" si="6"/>
        <v>0</v>
      </c>
      <c r="Z33" s="419">
        <f t="shared" si="6"/>
        <v>0</v>
      </c>
      <c r="AA33" s="419">
        <f t="shared" si="6"/>
        <v>0</v>
      </c>
      <c r="AB33" s="419">
        <f t="shared" si="6"/>
        <v>0</v>
      </c>
      <c r="AC33" s="419">
        <f t="shared" si="6"/>
        <v>0</v>
      </c>
      <c r="AD33" s="419">
        <f t="shared" si="6"/>
        <v>101</v>
      </c>
      <c r="AE33" s="419">
        <f t="shared" si="6"/>
        <v>0</v>
      </c>
      <c r="AF33" s="419">
        <f t="shared" si="6"/>
        <v>0</v>
      </c>
      <c r="AG33" s="419">
        <f t="shared" si="6"/>
        <v>101</v>
      </c>
      <c r="AH33" s="419">
        <f t="shared" si="6"/>
        <v>2</v>
      </c>
      <c r="AI33" s="419">
        <f t="shared" si="6"/>
        <v>1</v>
      </c>
      <c r="AJ33" s="677">
        <f t="shared" si="6"/>
        <v>0</v>
      </c>
      <c r="AK33" s="677">
        <f t="shared" si="6"/>
        <v>0</v>
      </c>
      <c r="AL33" s="677">
        <f t="shared" si="6"/>
        <v>0</v>
      </c>
      <c r="AM33" s="677">
        <f t="shared" si="6"/>
        <v>0</v>
      </c>
      <c r="AN33" s="677">
        <f t="shared" ref="AN33" si="7">SUM(AN11:AN32)</f>
        <v>0</v>
      </c>
    </row>
    <row r="34" spans="1:43" ht="19" customHeight="1" x14ac:dyDescent="0.35">
      <c r="A34" s="30"/>
      <c r="B34" s="30"/>
      <c r="C34" s="541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</row>
    <row r="35" spans="1:43" ht="19" customHeight="1" x14ac:dyDescent="0.35">
      <c r="A35" s="30"/>
      <c r="B35" s="30"/>
      <c r="C35" s="541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</row>
    <row r="36" spans="1:43" s="418" customFormat="1" ht="19" customHeight="1" x14ac:dyDescent="0.35">
      <c r="A36" s="535" t="s">
        <v>147</v>
      </c>
      <c r="B36" s="535"/>
      <c r="C36" s="536" t="s">
        <v>243</v>
      </c>
      <c r="D36" s="535" t="str">
        <f>D2</f>
        <v>PECANGAAN</v>
      </c>
      <c r="E36" s="535"/>
      <c r="F36" s="535"/>
      <c r="G36" s="535"/>
      <c r="H36" s="535"/>
      <c r="I36" s="537"/>
      <c r="J36" s="537"/>
      <c r="K36" s="537"/>
      <c r="L36" s="537"/>
      <c r="M36" s="537"/>
      <c r="N36" s="537"/>
      <c r="O36" s="537"/>
      <c r="P36" s="537"/>
      <c r="Q36" s="537"/>
      <c r="R36" s="537"/>
      <c r="S36" s="537"/>
      <c r="T36" s="537"/>
      <c r="U36" s="537"/>
      <c r="V36" s="537"/>
      <c r="W36" s="537"/>
      <c r="X36" s="537"/>
      <c r="Y36" s="537"/>
      <c r="Z36" s="537"/>
      <c r="AA36" s="537"/>
      <c r="AB36" s="537"/>
      <c r="AC36" s="537"/>
      <c r="AD36" s="537"/>
      <c r="AE36" s="537"/>
      <c r="AF36" s="537"/>
      <c r="AG36" s="537"/>
      <c r="AH36" s="537"/>
      <c r="AI36" s="537"/>
      <c r="AJ36" s="537"/>
      <c r="AK36" s="537"/>
      <c r="AL36" s="537"/>
      <c r="AM36" s="537"/>
    </row>
    <row r="37" spans="1:43" s="418" customFormat="1" ht="19" customHeight="1" x14ac:dyDescent="0.35">
      <c r="A37" s="535" t="s">
        <v>242</v>
      </c>
      <c r="B37" s="535"/>
      <c r="C37" s="536" t="s">
        <v>243</v>
      </c>
      <c r="D37" s="542" t="s">
        <v>412</v>
      </c>
      <c r="E37" s="535"/>
      <c r="F37" s="535"/>
      <c r="G37" s="542"/>
      <c r="H37" s="535"/>
      <c r="I37" s="537"/>
      <c r="J37" s="537"/>
      <c r="K37" s="537"/>
      <c r="L37" s="537"/>
      <c r="M37" s="537"/>
      <c r="N37" s="537"/>
      <c r="O37" s="537"/>
      <c r="P37" s="537"/>
      <c r="Q37" s="537"/>
      <c r="R37" s="537"/>
      <c r="S37" s="537"/>
      <c r="T37" s="537"/>
      <c r="U37" s="537"/>
      <c r="V37" s="537"/>
      <c r="W37" s="537"/>
      <c r="X37" s="537"/>
      <c r="Y37" s="537"/>
      <c r="Z37" s="537"/>
      <c r="AA37" s="537"/>
      <c r="AB37" s="537"/>
      <c r="AC37" s="537"/>
      <c r="AD37" s="537"/>
      <c r="AE37" s="537"/>
      <c r="AF37" s="537"/>
      <c r="AG37" s="537"/>
      <c r="AH37" s="537"/>
      <c r="AI37" s="537"/>
      <c r="AJ37" s="537"/>
      <c r="AK37" s="537"/>
      <c r="AL37" s="537"/>
      <c r="AM37" s="537"/>
    </row>
    <row r="38" spans="1:43" ht="19" customHeight="1" x14ac:dyDescent="0.35">
      <c r="A38" s="539"/>
      <c r="B38" s="539"/>
      <c r="C38" s="540"/>
      <c r="D38" s="539"/>
      <c r="E38" s="539"/>
      <c r="F38" s="539"/>
      <c r="G38" s="539"/>
      <c r="H38" s="539"/>
      <c r="I38" s="416"/>
      <c r="J38" s="416"/>
      <c r="K38" s="416"/>
      <c r="L38" s="416"/>
      <c r="M38" s="416"/>
      <c r="N38" s="416"/>
      <c r="O38" s="416"/>
      <c r="P38" s="416"/>
      <c r="Q38" s="416"/>
      <c r="R38" s="416"/>
      <c r="S38" s="416"/>
      <c r="T38" s="416"/>
      <c r="U38" s="416"/>
      <c r="V38" s="416"/>
      <c r="W38" s="416"/>
      <c r="X38" s="416"/>
      <c r="Y38" s="416"/>
      <c r="Z38" s="416"/>
      <c r="AA38" s="416"/>
      <c r="AB38" s="416"/>
      <c r="AC38" s="416"/>
      <c r="AD38" s="416"/>
      <c r="AE38" s="416"/>
      <c r="AF38" s="416"/>
      <c r="AG38" s="416"/>
      <c r="AH38" s="416"/>
      <c r="AI38" s="416"/>
      <c r="AJ38" s="416"/>
      <c r="AK38" s="416"/>
      <c r="AL38" s="416"/>
      <c r="AM38" s="416"/>
    </row>
    <row r="39" spans="1:43" ht="19" customHeight="1" x14ac:dyDescent="0.35">
      <c r="A39" s="416"/>
      <c r="B39" s="416"/>
      <c r="C39" s="417"/>
      <c r="D39" s="416"/>
      <c r="E39" s="416"/>
      <c r="F39" s="416"/>
      <c r="G39" s="416"/>
      <c r="H39" s="416"/>
      <c r="I39" s="416"/>
      <c r="J39" s="416"/>
      <c r="K39" s="416"/>
      <c r="L39" s="416"/>
      <c r="M39" s="416"/>
      <c r="N39" s="416"/>
      <c r="O39" s="416"/>
      <c r="P39" s="416"/>
      <c r="Q39" s="416"/>
      <c r="R39" s="416"/>
      <c r="S39" s="416"/>
      <c r="T39" s="416"/>
      <c r="U39" s="416"/>
      <c r="V39" s="416"/>
      <c r="W39" s="416"/>
      <c r="X39" s="416"/>
      <c r="Y39" s="416"/>
      <c r="Z39" s="416"/>
      <c r="AA39" s="416"/>
      <c r="AB39" s="416"/>
      <c r="AC39" s="416"/>
      <c r="AD39" s="416"/>
      <c r="AE39" s="416"/>
      <c r="AF39" s="416"/>
      <c r="AG39" s="416"/>
      <c r="AH39" s="416"/>
      <c r="AI39" s="416"/>
      <c r="AJ39" s="416"/>
      <c r="AK39" s="416"/>
      <c r="AL39" s="416"/>
      <c r="AM39" s="416"/>
    </row>
    <row r="40" spans="1:43" s="421" customFormat="1" ht="19" customHeight="1" x14ac:dyDescent="0.35">
      <c r="A40" s="967" t="s">
        <v>244</v>
      </c>
      <c r="B40" s="967" t="s">
        <v>151</v>
      </c>
      <c r="C40" s="960" t="s">
        <v>311</v>
      </c>
      <c r="D40" s="960"/>
      <c r="E40" s="960"/>
      <c r="F40" s="960" t="s">
        <v>312</v>
      </c>
      <c r="G40" s="960"/>
      <c r="H40" s="960"/>
      <c r="I40" s="960" t="s">
        <v>33</v>
      </c>
      <c r="J40" s="960"/>
      <c r="K40" s="970" t="s">
        <v>245</v>
      </c>
      <c r="L40" s="970"/>
      <c r="M40" s="970" t="s">
        <v>246</v>
      </c>
      <c r="N40" s="970"/>
      <c r="O40" s="960" t="s">
        <v>247</v>
      </c>
      <c r="P40" s="960"/>
      <c r="Q40" s="960"/>
      <c r="R40" s="960"/>
      <c r="S40" s="960"/>
      <c r="T40" s="960"/>
      <c r="U40" s="960"/>
      <c r="V40" s="960"/>
      <c r="W40" s="960"/>
      <c r="X40" s="971" t="s">
        <v>247</v>
      </c>
      <c r="Y40" s="960"/>
      <c r="Z40" s="960"/>
      <c r="AA40" s="960"/>
      <c r="AB40" s="960"/>
      <c r="AC40" s="960"/>
      <c r="AD40" s="960"/>
      <c r="AE40" s="960"/>
      <c r="AF40" s="960"/>
      <c r="AG40" s="960"/>
      <c r="AH40" s="960"/>
      <c r="AI40" s="960"/>
      <c r="AJ40" s="975" t="s">
        <v>248</v>
      </c>
      <c r="AK40" s="975"/>
      <c r="AL40" s="975"/>
      <c r="AM40" s="975"/>
      <c r="AN40" s="975"/>
    </row>
    <row r="41" spans="1:43" s="421" customFormat="1" ht="19" customHeight="1" x14ac:dyDescent="0.35">
      <c r="A41" s="968"/>
      <c r="B41" s="968"/>
      <c r="C41" s="961" t="s">
        <v>249</v>
      </c>
      <c r="D41" s="972" t="s">
        <v>250</v>
      </c>
      <c r="E41" s="961" t="s">
        <v>251</v>
      </c>
      <c r="F41" s="961" t="s">
        <v>249</v>
      </c>
      <c r="G41" s="961" t="s">
        <v>250</v>
      </c>
      <c r="H41" s="961" t="s">
        <v>251</v>
      </c>
      <c r="I41" s="961" t="s">
        <v>252</v>
      </c>
      <c r="J41" s="961" t="s">
        <v>253</v>
      </c>
      <c r="K41" s="961" t="s">
        <v>254</v>
      </c>
      <c r="L41" s="961" t="s">
        <v>255</v>
      </c>
      <c r="M41" s="961" t="s">
        <v>254</v>
      </c>
      <c r="N41" s="961" t="s">
        <v>256</v>
      </c>
      <c r="O41" s="965" t="s">
        <v>257</v>
      </c>
      <c r="P41" s="965"/>
      <c r="Q41" s="965"/>
      <c r="R41" s="965"/>
      <c r="S41" s="965"/>
      <c r="T41" s="965" t="s">
        <v>258</v>
      </c>
      <c r="U41" s="965"/>
      <c r="V41" s="965"/>
      <c r="W41" s="965"/>
      <c r="X41" s="966" t="s">
        <v>259</v>
      </c>
      <c r="Y41" s="965"/>
      <c r="Z41" s="965"/>
      <c r="AA41" s="965" t="s">
        <v>260</v>
      </c>
      <c r="AB41" s="965"/>
      <c r="AC41" s="965"/>
      <c r="AD41" s="965" t="s">
        <v>261</v>
      </c>
      <c r="AE41" s="965"/>
      <c r="AF41" s="965"/>
      <c r="AG41" s="965" t="s">
        <v>262</v>
      </c>
      <c r="AH41" s="965"/>
      <c r="AI41" s="965"/>
      <c r="AJ41" s="964" t="s">
        <v>421</v>
      </c>
      <c r="AK41" s="964" t="s">
        <v>263</v>
      </c>
      <c r="AL41" s="964" t="s">
        <v>264</v>
      </c>
      <c r="AM41" s="964" t="s">
        <v>265</v>
      </c>
      <c r="AN41" s="964" t="s">
        <v>424</v>
      </c>
      <c r="AO41" s="423"/>
      <c r="AP41" s="423"/>
      <c r="AQ41" s="423"/>
    </row>
    <row r="42" spans="1:43" s="421" customFormat="1" ht="19" customHeight="1" x14ac:dyDescent="0.35">
      <c r="A42" s="968"/>
      <c r="B42" s="968"/>
      <c r="C42" s="962"/>
      <c r="D42" s="973"/>
      <c r="E42" s="962"/>
      <c r="F42" s="962"/>
      <c r="G42" s="962"/>
      <c r="H42" s="962"/>
      <c r="I42" s="962"/>
      <c r="J42" s="962"/>
      <c r="K42" s="962"/>
      <c r="L42" s="962"/>
      <c r="M42" s="962"/>
      <c r="N42" s="962"/>
      <c r="O42" s="965" t="s">
        <v>266</v>
      </c>
      <c r="P42" s="965" t="s">
        <v>267</v>
      </c>
      <c r="Q42" s="965" t="s">
        <v>268</v>
      </c>
      <c r="R42" s="965" t="s">
        <v>269</v>
      </c>
      <c r="S42" s="965"/>
      <c r="T42" s="965" t="s">
        <v>270</v>
      </c>
      <c r="U42" s="965" t="s">
        <v>271</v>
      </c>
      <c r="V42" s="965" t="s">
        <v>272</v>
      </c>
      <c r="W42" s="965" t="s">
        <v>273</v>
      </c>
      <c r="X42" s="966" t="s">
        <v>274</v>
      </c>
      <c r="Y42" s="965" t="s">
        <v>275</v>
      </c>
      <c r="Z42" s="965" t="s">
        <v>276</v>
      </c>
      <c r="AA42" s="965" t="s">
        <v>277</v>
      </c>
      <c r="AB42" s="965" t="s">
        <v>278</v>
      </c>
      <c r="AC42" s="965" t="s">
        <v>279</v>
      </c>
      <c r="AD42" s="965" t="s">
        <v>280</v>
      </c>
      <c r="AE42" s="965" t="s">
        <v>281</v>
      </c>
      <c r="AF42" s="965" t="s">
        <v>282</v>
      </c>
      <c r="AG42" s="965" t="s">
        <v>283</v>
      </c>
      <c r="AH42" s="965" t="s">
        <v>284</v>
      </c>
      <c r="AI42" s="965" t="s">
        <v>279</v>
      </c>
      <c r="AJ42" s="964"/>
      <c r="AK42" s="964"/>
      <c r="AL42" s="964"/>
      <c r="AM42" s="964"/>
      <c r="AN42" s="964"/>
      <c r="AO42" s="423"/>
      <c r="AP42" s="423"/>
      <c r="AQ42" s="423"/>
    </row>
    <row r="43" spans="1:43" s="421" customFormat="1" ht="19" customHeight="1" x14ac:dyDescent="0.35">
      <c r="A43" s="969"/>
      <c r="B43" s="969"/>
      <c r="C43" s="963"/>
      <c r="D43" s="974"/>
      <c r="E43" s="963"/>
      <c r="F43" s="963"/>
      <c r="G43" s="963"/>
      <c r="H43" s="963"/>
      <c r="I43" s="963"/>
      <c r="J43" s="963"/>
      <c r="K43" s="963"/>
      <c r="L43" s="963"/>
      <c r="M43" s="963"/>
      <c r="N43" s="963"/>
      <c r="O43" s="965"/>
      <c r="P43" s="965"/>
      <c r="Q43" s="965"/>
      <c r="R43" s="422" t="s">
        <v>285</v>
      </c>
      <c r="S43" s="422" t="s">
        <v>286</v>
      </c>
      <c r="T43" s="965"/>
      <c r="U43" s="965"/>
      <c r="V43" s="965"/>
      <c r="W43" s="965"/>
      <c r="X43" s="966"/>
      <c r="Y43" s="965"/>
      <c r="Z43" s="965"/>
      <c r="AA43" s="965"/>
      <c r="AB43" s="965"/>
      <c r="AC43" s="965"/>
      <c r="AD43" s="965"/>
      <c r="AE43" s="965"/>
      <c r="AF43" s="965"/>
      <c r="AG43" s="965"/>
      <c r="AH43" s="965"/>
      <c r="AI43" s="965"/>
      <c r="AJ43" s="964"/>
      <c r="AK43" s="964"/>
      <c r="AL43" s="964"/>
      <c r="AM43" s="964"/>
      <c r="AN43" s="964"/>
      <c r="AO43" s="423"/>
      <c r="AP43" s="423"/>
      <c r="AQ43" s="423"/>
    </row>
    <row r="44" spans="1:43" s="421" customFormat="1" ht="19" customHeight="1" thickBot="1" x14ac:dyDescent="0.4">
      <c r="A44" s="424">
        <v>1</v>
      </c>
      <c r="B44" s="424">
        <v>2</v>
      </c>
      <c r="C44" s="425">
        <v>3</v>
      </c>
      <c r="D44" s="424">
        <v>4</v>
      </c>
      <c r="E44" s="424">
        <v>5</v>
      </c>
      <c r="F44" s="424">
        <v>6</v>
      </c>
      <c r="G44" s="424">
        <v>7</v>
      </c>
      <c r="H44" s="424">
        <v>8</v>
      </c>
      <c r="I44" s="424">
        <v>9</v>
      </c>
      <c r="J44" s="424">
        <v>10</v>
      </c>
      <c r="K44" s="424">
        <v>11</v>
      </c>
      <c r="L44" s="424">
        <v>12</v>
      </c>
      <c r="M44" s="424">
        <v>13</v>
      </c>
      <c r="N44" s="424">
        <v>14</v>
      </c>
      <c r="O44" s="424">
        <v>15</v>
      </c>
      <c r="P44" s="424">
        <v>16</v>
      </c>
      <c r="Q44" s="424">
        <v>17</v>
      </c>
      <c r="R44" s="424">
        <v>18</v>
      </c>
      <c r="S44" s="424">
        <v>19</v>
      </c>
      <c r="T44" s="424">
        <v>20</v>
      </c>
      <c r="U44" s="424">
        <v>21</v>
      </c>
      <c r="V44" s="424">
        <v>22</v>
      </c>
      <c r="W44" s="424">
        <v>23</v>
      </c>
      <c r="X44" s="424">
        <v>24</v>
      </c>
      <c r="Y44" s="424">
        <v>25</v>
      </c>
      <c r="Z44" s="424">
        <v>26</v>
      </c>
      <c r="AA44" s="424">
        <v>27</v>
      </c>
      <c r="AB44" s="424">
        <v>28</v>
      </c>
      <c r="AC44" s="424">
        <v>29</v>
      </c>
      <c r="AD44" s="424">
        <v>30</v>
      </c>
      <c r="AE44" s="424">
        <v>31</v>
      </c>
      <c r="AF44" s="424">
        <v>32</v>
      </c>
      <c r="AG44" s="424">
        <v>33</v>
      </c>
      <c r="AH44" s="424">
        <v>34</v>
      </c>
      <c r="AI44" s="424">
        <v>35</v>
      </c>
      <c r="AJ44" s="424">
        <v>36</v>
      </c>
      <c r="AK44" s="424">
        <v>37</v>
      </c>
      <c r="AL44" s="424">
        <v>38</v>
      </c>
      <c r="AM44" s="424">
        <v>39</v>
      </c>
      <c r="AN44" s="424">
        <v>40</v>
      </c>
    </row>
    <row r="45" spans="1:43" s="29" customFormat="1" ht="19" customHeight="1" thickTop="1" x14ac:dyDescent="0.35">
      <c r="A45" s="427">
        <v>1</v>
      </c>
      <c r="B45" s="427" t="str">
        <f>PETUNJUK!B9</f>
        <v>Pecangaan Kulon</v>
      </c>
      <c r="C45" s="428">
        <f>'1.DATA KIA'!F43</f>
        <v>8</v>
      </c>
      <c r="D45" s="428">
        <v>1</v>
      </c>
      <c r="E45" s="428"/>
      <c r="F45" s="428">
        <f>'1.DATA KIA'!J43</f>
        <v>7</v>
      </c>
      <c r="G45" s="428">
        <v>1</v>
      </c>
      <c r="H45" s="428"/>
      <c r="I45" s="428">
        <f>C45</f>
        <v>8</v>
      </c>
      <c r="J45" s="428">
        <v>0</v>
      </c>
      <c r="K45" s="428">
        <f>F45</f>
        <v>7</v>
      </c>
      <c r="L45" s="428">
        <v>1</v>
      </c>
      <c r="M45" s="428">
        <f>C45</f>
        <v>8</v>
      </c>
      <c r="N45" s="428"/>
      <c r="O45" s="428"/>
      <c r="P45" s="428"/>
      <c r="Q45" s="428">
        <f>M45</f>
        <v>8</v>
      </c>
      <c r="R45" s="428"/>
      <c r="S45" s="428"/>
      <c r="T45" s="428"/>
      <c r="U45" s="428"/>
      <c r="V45" s="428"/>
      <c r="W45" s="428"/>
      <c r="X45" s="428"/>
      <c r="Y45" s="428"/>
      <c r="Z45" s="428"/>
      <c r="AA45" s="428"/>
      <c r="AB45" s="428"/>
      <c r="AC45" s="428"/>
      <c r="AD45" s="428">
        <f>Q45</f>
        <v>8</v>
      </c>
      <c r="AE45" s="428"/>
      <c r="AF45" s="428"/>
      <c r="AG45" s="428">
        <f>AD45</f>
        <v>8</v>
      </c>
      <c r="AH45" s="428"/>
      <c r="AI45" s="428"/>
      <c r="AJ45" s="428"/>
      <c r="AK45" s="428"/>
      <c r="AL45" s="428"/>
      <c r="AM45" s="428"/>
      <c r="AN45" s="428"/>
    </row>
    <row r="46" spans="1:43" s="29" customFormat="1" ht="19" customHeight="1" x14ac:dyDescent="0.35">
      <c r="A46" s="429">
        <v>2</v>
      </c>
      <c r="B46" s="427" t="str">
        <f>PETUNJUK!B10</f>
        <v>Rengging</v>
      </c>
      <c r="C46" s="428">
        <f>'1.DATA KIA'!F44</f>
        <v>6</v>
      </c>
      <c r="D46" s="428">
        <v>1</v>
      </c>
      <c r="E46" s="428"/>
      <c r="F46" s="428">
        <f>'1.DATA KIA'!J44</f>
        <v>4</v>
      </c>
      <c r="G46" s="428"/>
      <c r="H46" s="428"/>
      <c r="I46" s="428">
        <f t="shared" ref="I46:I56" si="8">C46</f>
        <v>6</v>
      </c>
      <c r="J46" s="428">
        <v>3</v>
      </c>
      <c r="K46" s="428">
        <f t="shared" ref="K46:K56" si="9">F46</f>
        <v>4</v>
      </c>
      <c r="L46" s="428"/>
      <c r="M46" s="428">
        <f t="shared" ref="M46:M56" si="10">C46</f>
        <v>6</v>
      </c>
      <c r="N46" s="428">
        <v>1</v>
      </c>
      <c r="O46" s="428"/>
      <c r="P46" s="428"/>
      <c r="Q46" s="428">
        <f t="shared" ref="Q46:Q56" si="11">M46</f>
        <v>6</v>
      </c>
      <c r="R46" s="428"/>
      <c r="S46" s="428"/>
      <c r="T46" s="428"/>
      <c r="U46" s="428"/>
      <c r="V46" s="428"/>
      <c r="W46" s="428"/>
      <c r="X46" s="428"/>
      <c r="Y46" s="428"/>
      <c r="Z46" s="428"/>
      <c r="AA46" s="428"/>
      <c r="AB46" s="428"/>
      <c r="AC46" s="428"/>
      <c r="AD46" s="428">
        <f t="shared" ref="AD46:AD56" si="12">Q46</f>
        <v>6</v>
      </c>
      <c r="AE46" s="428"/>
      <c r="AF46" s="428"/>
      <c r="AG46" s="428">
        <f t="shared" ref="AG46:AG56" si="13">AD46</f>
        <v>6</v>
      </c>
      <c r="AH46" s="428">
        <v>1</v>
      </c>
      <c r="AI46" s="428"/>
      <c r="AJ46" s="428"/>
      <c r="AK46" s="428"/>
      <c r="AL46" s="428"/>
      <c r="AM46" s="428"/>
      <c r="AN46" s="428"/>
    </row>
    <row r="47" spans="1:43" s="29" customFormat="1" ht="19" customHeight="1" x14ac:dyDescent="0.35">
      <c r="A47" s="429">
        <v>3</v>
      </c>
      <c r="B47" s="427" t="str">
        <f>PETUNJUK!B11</f>
        <v>Troso</v>
      </c>
      <c r="C47" s="428">
        <f>'1.DATA KIA'!F45</f>
        <v>17</v>
      </c>
      <c r="D47" s="428">
        <v>1</v>
      </c>
      <c r="E47" s="428"/>
      <c r="F47" s="428">
        <f>'1.DATA KIA'!J45</f>
        <v>13</v>
      </c>
      <c r="G47" s="428">
        <v>4</v>
      </c>
      <c r="H47" s="428"/>
      <c r="I47" s="428">
        <f t="shared" si="8"/>
        <v>17</v>
      </c>
      <c r="J47" s="428">
        <v>3</v>
      </c>
      <c r="K47" s="428">
        <f t="shared" si="9"/>
        <v>13</v>
      </c>
      <c r="L47" s="428">
        <v>1</v>
      </c>
      <c r="M47" s="428">
        <f t="shared" si="10"/>
        <v>17</v>
      </c>
      <c r="N47" s="428">
        <v>3</v>
      </c>
      <c r="O47" s="428"/>
      <c r="P47" s="428"/>
      <c r="Q47" s="428">
        <f t="shared" si="11"/>
        <v>17</v>
      </c>
      <c r="R47" s="428"/>
      <c r="S47" s="428"/>
      <c r="T47" s="428"/>
      <c r="U47" s="428"/>
      <c r="V47" s="428"/>
      <c r="W47" s="428"/>
      <c r="X47" s="428"/>
      <c r="Y47" s="428"/>
      <c r="Z47" s="428"/>
      <c r="AA47" s="428"/>
      <c r="AB47" s="428"/>
      <c r="AC47" s="428"/>
      <c r="AD47" s="428">
        <f t="shared" si="12"/>
        <v>17</v>
      </c>
      <c r="AE47" s="428"/>
      <c r="AF47" s="428"/>
      <c r="AG47" s="428">
        <f t="shared" si="13"/>
        <v>17</v>
      </c>
      <c r="AH47" s="428"/>
      <c r="AI47" s="428"/>
      <c r="AJ47" s="428"/>
      <c r="AK47" s="428"/>
      <c r="AL47" s="428"/>
      <c r="AM47" s="428"/>
      <c r="AN47" s="428"/>
    </row>
    <row r="48" spans="1:43" s="29" customFormat="1" ht="19" customHeight="1" x14ac:dyDescent="0.35">
      <c r="A48" s="429">
        <v>4</v>
      </c>
      <c r="B48" s="427" t="str">
        <f>PETUNJUK!B12</f>
        <v>Ngeling</v>
      </c>
      <c r="C48" s="428">
        <f>'1.DATA KIA'!F46</f>
        <v>4</v>
      </c>
      <c r="D48" s="428">
        <v>1</v>
      </c>
      <c r="E48" s="428">
        <v>1</v>
      </c>
      <c r="F48" s="428">
        <f>'1.DATA KIA'!J46</f>
        <v>6</v>
      </c>
      <c r="G48" s="428">
        <v>1</v>
      </c>
      <c r="H48" s="428"/>
      <c r="I48" s="428">
        <f t="shared" si="8"/>
        <v>4</v>
      </c>
      <c r="J48" s="428">
        <v>2</v>
      </c>
      <c r="K48" s="428">
        <f t="shared" si="9"/>
        <v>6</v>
      </c>
      <c r="L48" s="428"/>
      <c r="M48" s="428">
        <f t="shared" si="10"/>
        <v>4</v>
      </c>
      <c r="N48" s="428"/>
      <c r="O48" s="428"/>
      <c r="P48" s="428"/>
      <c r="Q48" s="428">
        <f t="shared" si="11"/>
        <v>4</v>
      </c>
      <c r="R48" s="428"/>
      <c r="S48" s="428"/>
      <c r="T48" s="428"/>
      <c r="U48" s="428"/>
      <c r="V48" s="428"/>
      <c r="W48" s="428"/>
      <c r="X48" s="428"/>
      <c r="Y48" s="428"/>
      <c r="Z48" s="428"/>
      <c r="AA48" s="428"/>
      <c r="AB48" s="428"/>
      <c r="AC48" s="428"/>
      <c r="AD48" s="428">
        <f t="shared" si="12"/>
        <v>4</v>
      </c>
      <c r="AE48" s="428"/>
      <c r="AF48" s="428"/>
      <c r="AG48" s="428">
        <f t="shared" si="13"/>
        <v>4</v>
      </c>
      <c r="AH48" s="428"/>
      <c r="AI48" s="428"/>
      <c r="AJ48" s="428"/>
      <c r="AK48" s="428"/>
      <c r="AL48" s="428"/>
      <c r="AM48" s="428"/>
      <c r="AN48" s="428"/>
    </row>
    <row r="49" spans="1:40" s="29" customFormat="1" ht="19" customHeight="1" x14ac:dyDescent="0.35">
      <c r="A49" s="429">
        <v>5</v>
      </c>
      <c r="B49" s="427" t="str">
        <f>PETUNJUK!B13</f>
        <v>Lebuawu</v>
      </c>
      <c r="C49" s="428">
        <f>'1.DATA KIA'!F47</f>
        <v>11</v>
      </c>
      <c r="D49" s="428"/>
      <c r="E49" s="428"/>
      <c r="F49" s="428">
        <f>'1.DATA KIA'!J47</f>
        <v>5</v>
      </c>
      <c r="G49" s="428"/>
      <c r="H49" s="428"/>
      <c r="I49" s="428">
        <f t="shared" si="8"/>
        <v>11</v>
      </c>
      <c r="J49" s="428">
        <v>2</v>
      </c>
      <c r="K49" s="428">
        <f t="shared" si="9"/>
        <v>5</v>
      </c>
      <c r="L49" s="428"/>
      <c r="M49" s="428">
        <f t="shared" si="10"/>
        <v>11</v>
      </c>
      <c r="N49" s="428"/>
      <c r="O49" s="428"/>
      <c r="P49" s="428"/>
      <c r="Q49" s="428">
        <f t="shared" si="11"/>
        <v>11</v>
      </c>
      <c r="R49" s="428"/>
      <c r="S49" s="428"/>
      <c r="T49" s="428"/>
      <c r="U49" s="428"/>
      <c r="V49" s="428"/>
      <c r="W49" s="428"/>
      <c r="X49" s="428"/>
      <c r="Y49" s="428"/>
      <c r="Z49" s="428"/>
      <c r="AA49" s="428"/>
      <c r="AB49" s="428"/>
      <c r="AC49" s="428"/>
      <c r="AD49" s="428">
        <f t="shared" si="12"/>
        <v>11</v>
      </c>
      <c r="AE49" s="428"/>
      <c r="AF49" s="428"/>
      <c r="AG49" s="428">
        <f t="shared" si="13"/>
        <v>11</v>
      </c>
      <c r="AH49" s="428"/>
      <c r="AI49" s="428"/>
      <c r="AJ49" s="428"/>
      <c r="AK49" s="428"/>
      <c r="AL49" s="428"/>
      <c r="AM49" s="428"/>
      <c r="AN49" s="428"/>
    </row>
    <row r="50" spans="1:40" s="29" customFormat="1" ht="19" customHeight="1" x14ac:dyDescent="0.35">
      <c r="A50" s="429">
        <v>6</v>
      </c>
      <c r="B50" s="427" t="str">
        <f>PETUNJUK!B14</f>
        <v>Pulodarat</v>
      </c>
      <c r="C50" s="428">
        <f>'1.DATA KIA'!F48</f>
        <v>4</v>
      </c>
      <c r="D50" s="428">
        <v>1</v>
      </c>
      <c r="E50" s="428"/>
      <c r="F50" s="428">
        <f>'1.DATA KIA'!J48</f>
        <v>5</v>
      </c>
      <c r="G50" s="428">
        <v>2</v>
      </c>
      <c r="H50" s="428"/>
      <c r="I50" s="428">
        <f t="shared" si="8"/>
        <v>4</v>
      </c>
      <c r="J50" s="428">
        <v>0</v>
      </c>
      <c r="K50" s="428">
        <f t="shared" si="9"/>
        <v>5</v>
      </c>
      <c r="L50" s="428">
        <v>1</v>
      </c>
      <c r="M50" s="428">
        <f t="shared" si="10"/>
        <v>4</v>
      </c>
      <c r="N50" s="428"/>
      <c r="O50" s="428"/>
      <c r="P50" s="428"/>
      <c r="Q50" s="428">
        <f t="shared" si="11"/>
        <v>4</v>
      </c>
      <c r="R50" s="428"/>
      <c r="S50" s="428"/>
      <c r="T50" s="428"/>
      <c r="U50" s="428"/>
      <c r="V50" s="428"/>
      <c r="W50" s="428"/>
      <c r="X50" s="428"/>
      <c r="Y50" s="428"/>
      <c r="Z50" s="428"/>
      <c r="AA50" s="428"/>
      <c r="AB50" s="428"/>
      <c r="AC50" s="428"/>
      <c r="AD50" s="428">
        <f t="shared" si="12"/>
        <v>4</v>
      </c>
      <c r="AE50" s="428"/>
      <c r="AF50" s="428"/>
      <c r="AG50" s="428">
        <f t="shared" si="13"/>
        <v>4</v>
      </c>
      <c r="AH50" s="428"/>
      <c r="AI50" s="428"/>
      <c r="AJ50" s="428"/>
      <c r="AK50" s="428"/>
      <c r="AL50" s="428"/>
      <c r="AM50" s="428"/>
      <c r="AN50" s="428"/>
    </row>
    <row r="51" spans="1:40" s="29" customFormat="1" ht="19" customHeight="1" x14ac:dyDescent="0.35">
      <c r="A51" s="429">
        <v>7</v>
      </c>
      <c r="B51" s="427" t="str">
        <f>PETUNJUK!B15</f>
        <v>Karangrandu</v>
      </c>
      <c r="C51" s="428">
        <f>'1.DATA KIA'!F49</f>
        <v>8</v>
      </c>
      <c r="D51" s="428">
        <v>1</v>
      </c>
      <c r="E51" s="428"/>
      <c r="F51" s="428">
        <f>'1.DATA KIA'!J49</f>
        <v>8</v>
      </c>
      <c r="G51" s="428">
        <v>1</v>
      </c>
      <c r="H51" s="428"/>
      <c r="I51" s="428">
        <f t="shared" si="8"/>
        <v>8</v>
      </c>
      <c r="J51" s="428">
        <v>1</v>
      </c>
      <c r="K51" s="428">
        <f t="shared" si="9"/>
        <v>8</v>
      </c>
      <c r="L51" s="428"/>
      <c r="M51" s="428">
        <f t="shared" si="10"/>
        <v>8</v>
      </c>
      <c r="N51" s="428">
        <v>1</v>
      </c>
      <c r="O51" s="428"/>
      <c r="P51" s="428"/>
      <c r="Q51" s="428">
        <f t="shared" si="11"/>
        <v>8</v>
      </c>
      <c r="R51" s="428"/>
      <c r="S51" s="428"/>
      <c r="T51" s="428"/>
      <c r="U51" s="428"/>
      <c r="V51" s="428"/>
      <c r="W51" s="428"/>
      <c r="X51" s="428"/>
      <c r="Y51" s="428"/>
      <c r="Z51" s="428"/>
      <c r="AA51" s="428"/>
      <c r="AB51" s="428"/>
      <c r="AC51" s="428"/>
      <c r="AD51" s="428">
        <f t="shared" si="12"/>
        <v>8</v>
      </c>
      <c r="AE51" s="428"/>
      <c r="AF51" s="428"/>
      <c r="AG51" s="428">
        <f t="shared" si="13"/>
        <v>8</v>
      </c>
      <c r="AH51" s="428"/>
      <c r="AI51" s="428"/>
      <c r="AJ51" s="428"/>
      <c r="AK51" s="428"/>
      <c r="AL51" s="428"/>
      <c r="AM51" s="428"/>
      <c r="AN51" s="428"/>
    </row>
    <row r="52" spans="1:40" s="29" customFormat="1" ht="19" customHeight="1" x14ac:dyDescent="0.35">
      <c r="A52" s="429">
        <v>8</v>
      </c>
      <c r="B52" s="427" t="str">
        <f>PETUNJUK!B16</f>
        <v>Kaliombo</v>
      </c>
      <c r="C52" s="428">
        <f>'1.DATA KIA'!F50</f>
        <v>5</v>
      </c>
      <c r="D52" s="428"/>
      <c r="E52" s="428"/>
      <c r="F52" s="428">
        <f>'1.DATA KIA'!J50</f>
        <v>5</v>
      </c>
      <c r="G52" s="428"/>
      <c r="H52" s="428"/>
      <c r="I52" s="428">
        <f t="shared" si="8"/>
        <v>5</v>
      </c>
      <c r="J52" s="428">
        <v>0</v>
      </c>
      <c r="K52" s="428">
        <f t="shared" si="9"/>
        <v>5</v>
      </c>
      <c r="L52" s="428"/>
      <c r="M52" s="428">
        <f t="shared" si="10"/>
        <v>5</v>
      </c>
      <c r="N52" s="428">
        <v>1</v>
      </c>
      <c r="O52" s="428"/>
      <c r="P52" s="428"/>
      <c r="Q52" s="428">
        <f t="shared" si="11"/>
        <v>5</v>
      </c>
      <c r="R52" s="428"/>
      <c r="S52" s="428"/>
      <c r="T52" s="428"/>
      <c r="U52" s="428"/>
      <c r="V52" s="428"/>
      <c r="W52" s="428"/>
      <c r="X52" s="428"/>
      <c r="Y52" s="428"/>
      <c r="Z52" s="428"/>
      <c r="AA52" s="428"/>
      <c r="AB52" s="428"/>
      <c r="AC52" s="428"/>
      <c r="AD52" s="428">
        <f t="shared" si="12"/>
        <v>5</v>
      </c>
      <c r="AE52" s="428"/>
      <c r="AF52" s="428"/>
      <c r="AG52" s="428">
        <f t="shared" si="13"/>
        <v>5</v>
      </c>
      <c r="AH52" s="428"/>
      <c r="AI52" s="428"/>
      <c r="AJ52" s="428"/>
      <c r="AK52" s="428"/>
      <c r="AL52" s="428"/>
      <c r="AM52" s="428"/>
      <c r="AN52" s="428"/>
    </row>
    <row r="53" spans="1:40" s="29" customFormat="1" ht="19" customHeight="1" x14ac:dyDescent="0.35">
      <c r="A53" s="429">
        <v>9</v>
      </c>
      <c r="B53" s="427" t="str">
        <f>PETUNJUK!B17</f>
        <v>Gemulung</v>
      </c>
      <c r="C53" s="428">
        <f>'1.DATA KIA'!F51</f>
        <v>5</v>
      </c>
      <c r="D53" s="428">
        <v>1</v>
      </c>
      <c r="E53" s="428"/>
      <c r="F53" s="428">
        <f>'1.DATA KIA'!J51</f>
        <v>4</v>
      </c>
      <c r="G53" s="428"/>
      <c r="H53" s="428"/>
      <c r="I53" s="428">
        <f t="shared" si="8"/>
        <v>5</v>
      </c>
      <c r="J53" s="428">
        <v>0</v>
      </c>
      <c r="K53" s="428">
        <f t="shared" si="9"/>
        <v>4</v>
      </c>
      <c r="L53" s="428"/>
      <c r="M53" s="428">
        <f t="shared" si="10"/>
        <v>5</v>
      </c>
      <c r="N53" s="428"/>
      <c r="O53" s="428"/>
      <c r="P53" s="428"/>
      <c r="Q53" s="428">
        <f t="shared" si="11"/>
        <v>5</v>
      </c>
      <c r="R53" s="428"/>
      <c r="S53" s="428"/>
      <c r="T53" s="428"/>
      <c r="U53" s="428"/>
      <c r="V53" s="428"/>
      <c r="W53" s="428"/>
      <c r="X53" s="428"/>
      <c r="Y53" s="428"/>
      <c r="Z53" s="428"/>
      <c r="AA53" s="428"/>
      <c r="AB53" s="428"/>
      <c r="AC53" s="428"/>
      <c r="AD53" s="428">
        <f t="shared" si="12"/>
        <v>5</v>
      </c>
      <c r="AE53" s="428"/>
      <c r="AF53" s="428"/>
      <c r="AG53" s="428">
        <f t="shared" si="13"/>
        <v>5</v>
      </c>
      <c r="AH53" s="428"/>
      <c r="AI53" s="428"/>
      <c r="AJ53" s="428"/>
      <c r="AK53" s="428"/>
      <c r="AL53" s="428"/>
      <c r="AM53" s="428"/>
      <c r="AN53" s="428"/>
    </row>
    <row r="54" spans="1:40" s="29" customFormat="1" ht="19" customHeight="1" x14ac:dyDescent="0.35">
      <c r="A54" s="429">
        <v>10</v>
      </c>
      <c r="B54" s="427" t="str">
        <f>PETUNJUK!B18</f>
        <v>Pecangaan Wetan</v>
      </c>
      <c r="C54" s="428">
        <f>'1.DATA KIA'!F52</f>
        <v>6</v>
      </c>
      <c r="D54" s="428"/>
      <c r="E54" s="428"/>
      <c r="F54" s="428">
        <f>'1.DATA KIA'!J52</f>
        <v>4</v>
      </c>
      <c r="G54" s="428">
        <v>1</v>
      </c>
      <c r="H54" s="428"/>
      <c r="I54" s="428">
        <f t="shared" si="8"/>
        <v>6</v>
      </c>
      <c r="J54" s="428">
        <v>1</v>
      </c>
      <c r="K54" s="428">
        <f t="shared" si="9"/>
        <v>4</v>
      </c>
      <c r="L54" s="428"/>
      <c r="M54" s="428">
        <f t="shared" si="10"/>
        <v>6</v>
      </c>
      <c r="N54" s="428"/>
      <c r="O54" s="428"/>
      <c r="P54" s="428"/>
      <c r="Q54" s="428">
        <f t="shared" si="11"/>
        <v>6</v>
      </c>
      <c r="R54" s="428"/>
      <c r="S54" s="428"/>
      <c r="T54" s="428"/>
      <c r="U54" s="428"/>
      <c r="V54" s="428"/>
      <c r="W54" s="428"/>
      <c r="X54" s="428"/>
      <c r="Y54" s="428"/>
      <c r="Z54" s="428"/>
      <c r="AA54" s="428"/>
      <c r="AB54" s="428"/>
      <c r="AC54" s="428"/>
      <c r="AD54" s="428">
        <f t="shared" si="12"/>
        <v>6</v>
      </c>
      <c r="AE54" s="428"/>
      <c r="AF54" s="428"/>
      <c r="AG54" s="428">
        <f t="shared" si="13"/>
        <v>6</v>
      </c>
      <c r="AH54" s="428"/>
      <c r="AI54" s="428"/>
      <c r="AJ54" s="428"/>
      <c r="AK54" s="428"/>
      <c r="AL54" s="428"/>
      <c r="AM54" s="428"/>
      <c r="AN54" s="428"/>
    </row>
    <row r="55" spans="1:40" s="29" customFormat="1" ht="19" customHeight="1" x14ac:dyDescent="0.35">
      <c r="A55" s="429">
        <v>11</v>
      </c>
      <c r="B55" s="427" t="str">
        <f>PETUNJUK!B19</f>
        <v>Krasak</v>
      </c>
      <c r="C55" s="428">
        <f>'1.DATA KIA'!F53</f>
        <v>10</v>
      </c>
      <c r="D55" s="428">
        <v>2</v>
      </c>
      <c r="E55" s="428"/>
      <c r="F55" s="428">
        <f>'1.DATA KIA'!J53</f>
        <v>7</v>
      </c>
      <c r="G55" s="428"/>
      <c r="H55" s="428"/>
      <c r="I55" s="428">
        <f t="shared" si="8"/>
        <v>10</v>
      </c>
      <c r="J55" s="428">
        <v>1</v>
      </c>
      <c r="K55" s="428">
        <f t="shared" si="9"/>
        <v>7</v>
      </c>
      <c r="L55" s="428"/>
      <c r="M55" s="428">
        <f t="shared" si="10"/>
        <v>10</v>
      </c>
      <c r="N55" s="428"/>
      <c r="O55" s="428"/>
      <c r="P55" s="428"/>
      <c r="Q55" s="428">
        <f t="shared" si="11"/>
        <v>10</v>
      </c>
      <c r="R55" s="428"/>
      <c r="S55" s="428"/>
      <c r="T55" s="428"/>
      <c r="U55" s="428"/>
      <c r="V55" s="428"/>
      <c r="W55" s="428"/>
      <c r="X55" s="428"/>
      <c r="Y55" s="428"/>
      <c r="Z55" s="428"/>
      <c r="AA55" s="428"/>
      <c r="AB55" s="428"/>
      <c r="AC55" s="428"/>
      <c r="AD55" s="428">
        <f t="shared" si="12"/>
        <v>10</v>
      </c>
      <c r="AE55" s="428"/>
      <c r="AF55" s="428"/>
      <c r="AG55" s="428">
        <f t="shared" si="13"/>
        <v>10</v>
      </c>
      <c r="AH55" s="428">
        <v>1</v>
      </c>
      <c r="AI55" s="428">
        <v>1</v>
      </c>
      <c r="AJ55" s="428"/>
      <c r="AK55" s="428"/>
      <c r="AL55" s="428"/>
      <c r="AM55" s="428"/>
      <c r="AN55" s="428"/>
    </row>
    <row r="56" spans="1:40" s="29" customFormat="1" ht="19" customHeight="1" x14ac:dyDescent="0.35">
      <c r="A56" s="429">
        <v>12</v>
      </c>
      <c r="B56" s="427" t="str">
        <f>PETUNJUK!B20</f>
        <v>Gerdu</v>
      </c>
      <c r="C56" s="428">
        <f>'1.DATA KIA'!F54</f>
        <v>1</v>
      </c>
      <c r="D56" s="428"/>
      <c r="E56" s="428"/>
      <c r="F56" s="428">
        <f>'1.DATA KIA'!J54</f>
        <v>2</v>
      </c>
      <c r="G56" s="428"/>
      <c r="H56" s="428"/>
      <c r="I56" s="428">
        <f t="shared" si="8"/>
        <v>1</v>
      </c>
      <c r="J56" s="428">
        <v>0</v>
      </c>
      <c r="K56" s="428">
        <f t="shared" si="9"/>
        <v>2</v>
      </c>
      <c r="L56" s="428"/>
      <c r="M56" s="428">
        <f t="shared" si="10"/>
        <v>1</v>
      </c>
      <c r="N56" s="428"/>
      <c r="O56" s="428"/>
      <c r="P56" s="428"/>
      <c r="Q56" s="428">
        <f t="shared" si="11"/>
        <v>1</v>
      </c>
      <c r="R56" s="428"/>
      <c r="S56" s="428"/>
      <c r="T56" s="428"/>
      <c r="U56" s="428"/>
      <c r="V56" s="428"/>
      <c r="W56" s="428"/>
      <c r="X56" s="428"/>
      <c r="Y56" s="428"/>
      <c r="Z56" s="428"/>
      <c r="AA56" s="428"/>
      <c r="AB56" s="428"/>
      <c r="AC56" s="428"/>
      <c r="AD56" s="428">
        <f t="shared" si="12"/>
        <v>1</v>
      </c>
      <c r="AE56" s="428"/>
      <c r="AF56" s="428"/>
      <c r="AG56" s="428">
        <f t="shared" si="13"/>
        <v>1</v>
      </c>
      <c r="AH56" s="428"/>
      <c r="AI56" s="428"/>
      <c r="AJ56" s="428"/>
      <c r="AK56" s="428"/>
      <c r="AL56" s="428"/>
      <c r="AM56" s="428"/>
      <c r="AN56" s="428"/>
    </row>
    <row r="57" spans="1:40" s="29" customFormat="1" ht="19" customHeight="1" x14ac:dyDescent="0.35">
      <c r="A57" s="429">
        <v>13</v>
      </c>
      <c r="B57" s="427">
        <f>PETUNJUK!B21</f>
        <v>0</v>
      </c>
      <c r="C57" s="428"/>
      <c r="D57" s="428"/>
      <c r="E57" s="428"/>
      <c r="F57" s="428"/>
      <c r="G57" s="428"/>
      <c r="H57" s="428"/>
      <c r="I57" s="428"/>
      <c r="J57" s="428"/>
      <c r="K57" s="428"/>
      <c r="L57" s="428"/>
      <c r="M57" s="428"/>
      <c r="N57" s="428"/>
      <c r="O57" s="428"/>
      <c r="P57" s="428"/>
      <c r="Q57" s="428"/>
      <c r="R57" s="428"/>
      <c r="S57" s="428"/>
      <c r="T57" s="428"/>
      <c r="U57" s="428"/>
      <c r="V57" s="428"/>
      <c r="W57" s="428"/>
      <c r="X57" s="428"/>
      <c r="Y57" s="428"/>
      <c r="Z57" s="428"/>
      <c r="AA57" s="428"/>
      <c r="AB57" s="428"/>
      <c r="AC57" s="428"/>
      <c r="AD57" s="428"/>
      <c r="AE57" s="428"/>
      <c r="AF57" s="428"/>
      <c r="AG57" s="428"/>
      <c r="AH57" s="428"/>
      <c r="AI57" s="428"/>
      <c r="AJ57" s="428"/>
      <c r="AK57" s="428"/>
      <c r="AL57" s="428"/>
      <c r="AM57" s="428"/>
      <c r="AN57" s="428"/>
    </row>
    <row r="58" spans="1:40" s="29" customFormat="1" ht="19" customHeight="1" x14ac:dyDescent="0.35">
      <c r="A58" s="429">
        <v>14</v>
      </c>
      <c r="B58" s="427">
        <f>PETUNJUK!B22</f>
        <v>0</v>
      </c>
      <c r="C58" s="428"/>
      <c r="D58" s="428"/>
      <c r="E58" s="428"/>
      <c r="F58" s="428"/>
      <c r="G58" s="428"/>
      <c r="H58" s="428"/>
      <c r="I58" s="428"/>
      <c r="J58" s="428"/>
      <c r="K58" s="428"/>
      <c r="L58" s="428"/>
      <c r="M58" s="428"/>
      <c r="N58" s="428"/>
      <c r="O58" s="428"/>
      <c r="P58" s="428"/>
      <c r="Q58" s="428"/>
      <c r="R58" s="428"/>
      <c r="S58" s="428"/>
      <c r="T58" s="428"/>
      <c r="U58" s="428"/>
      <c r="V58" s="428"/>
      <c r="W58" s="428"/>
      <c r="X58" s="428"/>
      <c r="Y58" s="428"/>
      <c r="Z58" s="428"/>
      <c r="AA58" s="428"/>
      <c r="AB58" s="428"/>
      <c r="AC58" s="428"/>
      <c r="AD58" s="428"/>
      <c r="AE58" s="428"/>
      <c r="AF58" s="428"/>
      <c r="AG58" s="428"/>
      <c r="AH58" s="428"/>
      <c r="AI58" s="428"/>
      <c r="AJ58" s="428"/>
      <c r="AK58" s="428"/>
      <c r="AL58" s="428"/>
      <c r="AM58" s="428"/>
      <c r="AN58" s="428"/>
    </row>
    <row r="59" spans="1:40" s="29" customFormat="1" ht="19" customHeight="1" x14ac:dyDescent="0.35">
      <c r="A59" s="429">
        <v>15</v>
      </c>
      <c r="B59" s="427">
        <f>PETUNJUK!B23</f>
        <v>0</v>
      </c>
      <c r="C59" s="428"/>
      <c r="D59" s="428"/>
      <c r="E59" s="428"/>
      <c r="F59" s="428"/>
      <c r="G59" s="428"/>
      <c r="H59" s="428"/>
      <c r="I59" s="428"/>
      <c r="J59" s="428"/>
      <c r="K59" s="428"/>
      <c r="L59" s="428"/>
      <c r="M59" s="428"/>
      <c r="N59" s="428"/>
      <c r="O59" s="428"/>
      <c r="P59" s="428"/>
      <c r="Q59" s="428"/>
      <c r="R59" s="428"/>
      <c r="S59" s="428"/>
      <c r="T59" s="428"/>
      <c r="U59" s="428"/>
      <c r="V59" s="428"/>
      <c r="W59" s="428"/>
      <c r="X59" s="428"/>
      <c r="Y59" s="428"/>
      <c r="Z59" s="428"/>
      <c r="AA59" s="428"/>
      <c r="AB59" s="428"/>
      <c r="AC59" s="428"/>
      <c r="AD59" s="428"/>
      <c r="AE59" s="428"/>
      <c r="AF59" s="428"/>
      <c r="AG59" s="428"/>
      <c r="AH59" s="428"/>
      <c r="AI59" s="428"/>
      <c r="AJ59" s="428"/>
      <c r="AK59" s="428"/>
      <c r="AL59" s="428"/>
      <c r="AM59" s="428"/>
      <c r="AN59" s="428"/>
    </row>
    <row r="60" spans="1:40" s="29" customFormat="1" ht="19" customHeight="1" x14ac:dyDescent="0.35">
      <c r="A60" s="429">
        <v>16</v>
      </c>
      <c r="B60" s="427">
        <f>PETUNJUK!B24</f>
        <v>0</v>
      </c>
      <c r="C60" s="428"/>
      <c r="D60" s="428"/>
      <c r="E60" s="428"/>
      <c r="F60" s="428"/>
      <c r="G60" s="428"/>
      <c r="H60" s="428"/>
      <c r="I60" s="428"/>
      <c r="J60" s="428"/>
      <c r="K60" s="428"/>
      <c r="L60" s="428"/>
      <c r="M60" s="428"/>
      <c r="N60" s="428"/>
      <c r="O60" s="428"/>
      <c r="P60" s="428"/>
      <c r="Q60" s="428"/>
      <c r="R60" s="428"/>
      <c r="S60" s="428"/>
      <c r="T60" s="428"/>
      <c r="U60" s="428"/>
      <c r="V60" s="428"/>
      <c r="W60" s="428"/>
      <c r="X60" s="428"/>
      <c r="Y60" s="428"/>
      <c r="Z60" s="428"/>
      <c r="AA60" s="428"/>
      <c r="AB60" s="428"/>
      <c r="AC60" s="428"/>
      <c r="AD60" s="428"/>
      <c r="AE60" s="428"/>
      <c r="AF60" s="428"/>
      <c r="AG60" s="428"/>
      <c r="AH60" s="428"/>
      <c r="AI60" s="428"/>
      <c r="AJ60" s="428"/>
      <c r="AK60" s="428"/>
      <c r="AL60" s="428"/>
      <c r="AM60" s="428"/>
      <c r="AN60" s="428"/>
    </row>
    <row r="61" spans="1:40" s="29" customFormat="1" ht="19" customHeight="1" x14ac:dyDescent="0.35">
      <c r="A61" s="429">
        <v>17</v>
      </c>
      <c r="B61" s="427">
        <f>PETUNJUK!B25</f>
        <v>0</v>
      </c>
      <c r="C61" s="428"/>
      <c r="D61" s="428"/>
      <c r="E61" s="428"/>
      <c r="F61" s="428"/>
      <c r="G61" s="428"/>
      <c r="H61" s="428"/>
      <c r="I61" s="428"/>
      <c r="J61" s="428"/>
      <c r="K61" s="428"/>
      <c r="L61" s="428"/>
      <c r="M61" s="428"/>
      <c r="N61" s="428"/>
      <c r="O61" s="428"/>
      <c r="P61" s="428"/>
      <c r="Q61" s="428"/>
      <c r="R61" s="428"/>
      <c r="S61" s="428"/>
      <c r="T61" s="428"/>
      <c r="U61" s="428"/>
      <c r="V61" s="428"/>
      <c r="W61" s="428"/>
      <c r="X61" s="428"/>
      <c r="Y61" s="428"/>
      <c r="Z61" s="428"/>
      <c r="AA61" s="428"/>
      <c r="AB61" s="428"/>
      <c r="AC61" s="428"/>
      <c r="AD61" s="428"/>
      <c r="AE61" s="428"/>
      <c r="AF61" s="428"/>
      <c r="AG61" s="428"/>
      <c r="AH61" s="428"/>
      <c r="AI61" s="428"/>
      <c r="AJ61" s="428"/>
      <c r="AK61" s="428"/>
      <c r="AL61" s="428"/>
      <c r="AM61" s="428"/>
      <c r="AN61" s="428"/>
    </row>
    <row r="62" spans="1:40" s="29" customFormat="1" ht="19" customHeight="1" x14ac:dyDescent="0.35">
      <c r="A62" s="429">
        <v>18</v>
      </c>
      <c r="B62" s="427">
        <f>PETUNJUK!B26</f>
        <v>0</v>
      </c>
      <c r="C62" s="428"/>
      <c r="D62" s="428"/>
      <c r="E62" s="428"/>
      <c r="F62" s="428"/>
      <c r="G62" s="428"/>
      <c r="H62" s="428"/>
      <c r="I62" s="428"/>
      <c r="J62" s="428"/>
      <c r="K62" s="428"/>
      <c r="L62" s="428"/>
      <c r="M62" s="428"/>
      <c r="N62" s="428"/>
      <c r="O62" s="428"/>
      <c r="P62" s="428"/>
      <c r="Q62" s="428"/>
      <c r="R62" s="428"/>
      <c r="S62" s="428"/>
      <c r="T62" s="428"/>
      <c r="U62" s="428"/>
      <c r="V62" s="428"/>
      <c r="W62" s="428"/>
      <c r="X62" s="428"/>
      <c r="Y62" s="428"/>
      <c r="Z62" s="428"/>
      <c r="AA62" s="428"/>
      <c r="AB62" s="428"/>
      <c r="AC62" s="428"/>
      <c r="AD62" s="428"/>
      <c r="AE62" s="428"/>
      <c r="AF62" s="428"/>
      <c r="AG62" s="428"/>
      <c r="AH62" s="428"/>
      <c r="AI62" s="428"/>
      <c r="AJ62" s="428"/>
      <c r="AK62" s="428"/>
      <c r="AL62" s="428"/>
      <c r="AM62" s="428"/>
      <c r="AN62" s="428"/>
    </row>
    <row r="63" spans="1:40" s="29" customFormat="1" ht="19" customHeight="1" x14ac:dyDescent="0.35">
      <c r="A63" s="429">
        <v>19</v>
      </c>
      <c r="B63" s="427">
        <f>PETUNJUK!B27</f>
        <v>0</v>
      </c>
      <c r="C63" s="428"/>
      <c r="D63" s="428"/>
      <c r="E63" s="428"/>
      <c r="F63" s="428"/>
      <c r="G63" s="428"/>
      <c r="H63" s="428"/>
      <c r="I63" s="428"/>
      <c r="J63" s="428"/>
      <c r="K63" s="428"/>
      <c r="L63" s="428"/>
      <c r="M63" s="428"/>
      <c r="N63" s="428"/>
      <c r="O63" s="428"/>
      <c r="P63" s="428"/>
      <c r="Q63" s="428"/>
      <c r="R63" s="428"/>
      <c r="S63" s="428"/>
      <c r="T63" s="428"/>
      <c r="U63" s="428"/>
      <c r="V63" s="428"/>
      <c r="W63" s="428"/>
      <c r="X63" s="428"/>
      <c r="Y63" s="428"/>
      <c r="Z63" s="428"/>
      <c r="AA63" s="428"/>
      <c r="AB63" s="428"/>
      <c r="AC63" s="428"/>
      <c r="AD63" s="428"/>
      <c r="AE63" s="428"/>
      <c r="AF63" s="428"/>
      <c r="AG63" s="428"/>
      <c r="AH63" s="428"/>
      <c r="AI63" s="428"/>
      <c r="AJ63" s="428"/>
      <c r="AK63" s="428"/>
      <c r="AL63" s="428"/>
      <c r="AM63" s="428"/>
      <c r="AN63" s="428"/>
    </row>
    <row r="64" spans="1:40" s="29" customFormat="1" ht="19" customHeight="1" x14ac:dyDescent="0.35">
      <c r="A64" s="429">
        <v>20</v>
      </c>
      <c r="B64" s="427">
        <f>PETUNJUK!B28</f>
        <v>0</v>
      </c>
      <c r="C64" s="428"/>
      <c r="D64" s="428"/>
      <c r="E64" s="428"/>
      <c r="F64" s="428"/>
      <c r="G64" s="428"/>
      <c r="H64" s="428"/>
      <c r="I64" s="428"/>
      <c r="J64" s="428"/>
      <c r="K64" s="428"/>
      <c r="L64" s="428"/>
      <c r="M64" s="428"/>
      <c r="N64" s="428"/>
      <c r="O64" s="428"/>
      <c r="P64" s="428"/>
      <c r="Q64" s="428"/>
      <c r="R64" s="428"/>
      <c r="S64" s="428"/>
      <c r="T64" s="428"/>
      <c r="U64" s="428"/>
      <c r="V64" s="428"/>
      <c r="W64" s="428"/>
      <c r="X64" s="428"/>
      <c r="Y64" s="428"/>
      <c r="Z64" s="428"/>
      <c r="AA64" s="428"/>
      <c r="AB64" s="428"/>
      <c r="AC64" s="428"/>
      <c r="AD64" s="428"/>
      <c r="AE64" s="428"/>
      <c r="AF64" s="428"/>
      <c r="AG64" s="428"/>
      <c r="AH64" s="428"/>
      <c r="AI64" s="428"/>
      <c r="AJ64" s="428"/>
      <c r="AK64" s="428"/>
      <c r="AL64" s="428"/>
      <c r="AM64" s="428"/>
      <c r="AN64" s="428"/>
    </row>
    <row r="65" spans="1:43" s="29" customFormat="1" ht="19" customHeight="1" x14ac:dyDescent="0.35">
      <c r="A65" s="429">
        <v>21</v>
      </c>
      <c r="B65" s="427">
        <f>PETUNJUK!B29</f>
        <v>0</v>
      </c>
      <c r="C65" s="428"/>
      <c r="D65" s="428"/>
      <c r="E65" s="428"/>
      <c r="F65" s="428"/>
      <c r="G65" s="428"/>
      <c r="H65" s="428"/>
      <c r="I65" s="428"/>
      <c r="J65" s="428"/>
      <c r="K65" s="428"/>
      <c r="L65" s="428"/>
      <c r="M65" s="428"/>
      <c r="N65" s="428"/>
      <c r="O65" s="428"/>
      <c r="P65" s="428"/>
      <c r="Q65" s="428"/>
      <c r="R65" s="428"/>
      <c r="S65" s="428"/>
      <c r="T65" s="428"/>
      <c r="U65" s="428"/>
      <c r="V65" s="428"/>
      <c r="W65" s="428"/>
      <c r="X65" s="428"/>
      <c r="Y65" s="428"/>
      <c r="Z65" s="428"/>
      <c r="AA65" s="428"/>
      <c r="AB65" s="428"/>
      <c r="AC65" s="428"/>
      <c r="AD65" s="428"/>
      <c r="AE65" s="428"/>
      <c r="AF65" s="428"/>
      <c r="AG65" s="428"/>
      <c r="AH65" s="428"/>
      <c r="AI65" s="428"/>
      <c r="AJ65" s="428"/>
      <c r="AK65" s="428"/>
      <c r="AL65" s="428"/>
      <c r="AM65" s="428"/>
      <c r="AN65" s="428"/>
    </row>
    <row r="66" spans="1:43" s="29" customFormat="1" ht="19" customHeight="1" x14ac:dyDescent="0.35">
      <c r="A66" s="429">
        <v>22</v>
      </c>
      <c r="B66" s="427">
        <f>PETUNJUK!B30</f>
        <v>0</v>
      </c>
      <c r="C66" s="428"/>
      <c r="D66" s="428"/>
      <c r="E66" s="428"/>
      <c r="F66" s="428"/>
      <c r="G66" s="428"/>
      <c r="H66" s="428"/>
      <c r="I66" s="428"/>
      <c r="J66" s="428"/>
      <c r="K66" s="428"/>
      <c r="L66" s="428"/>
      <c r="M66" s="428"/>
      <c r="N66" s="428"/>
      <c r="O66" s="428"/>
      <c r="P66" s="428"/>
      <c r="Q66" s="428"/>
      <c r="R66" s="428"/>
      <c r="S66" s="428"/>
      <c r="T66" s="428"/>
      <c r="U66" s="428"/>
      <c r="V66" s="428"/>
      <c r="W66" s="428"/>
      <c r="X66" s="428"/>
      <c r="Y66" s="428"/>
      <c r="Z66" s="428"/>
      <c r="AA66" s="428"/>
      <c r="AB66" s="428"/>
      <c r="AC66" s="428"/>
      <c r="AD66" s="428"/>
      <c r="AE66" s="428"/>
      <c r="AF66" s="428"/>
      <c r="AG66" s="428"/>
      <c r="AH66" s="428"/>
      <c r="AI66" s="428"/>
      <c r="AJ66" s="428"/>
      <c r="AK66" s="428"/>
      <c r="AL66" s="428"/>
      <c r="AM66" s="428"/>
      <c r="AN66" s="428"/>
    </row>
    <row r="67" spans="1:43" s="430" customFormat="1" ht="19" customHeight="1" x14ac:dyDescent="0.35">
      <c r="A67" s="419"/>
      <c r="B67" s="419" t="s">
        <v>17</v>
      </c>
      <c r="C67" s="420">
        <f>SUM(C45:C66)</f>
        <v>85</v>
      </c>
      <c r="D67" s="419">
        <f t="shared" ref="D67:AN67" si="14">SUM(D45:D66)</f>
        <v>9</v>
      </c>
      <c r="E67" s="419">
        <f t="shared" si="14"/>
        <v>1</v>
      </c>
      <c r="F67" s="419">
        <f>SUM(F45:F66)</f>
        <v>70</v>
      </c>
      <c r="G67" s="419">
        <f t="shared" ref="G67:H67" si="15">SUM(G45:G66)</f>
        <v>10</v>
      </c>
      <c r="H67" s="419">
        <f t="shared" si="15"/>
        <v>0</v>
      </c>
      <c r="I67" s="419">
        <f t="shared" si="14"/>
        <v>85</v>
      </c>
      <c r="J67" s="419">
        <f t="shared" si="14"/>
        <v>13</v>
      </c>
      <c r="K67" s="419">
        <f t="shared" si="14"/>
        <v>70</v>
      </c>
      <c r="L67" s="419">
        <f t="shared" si="14"/>
        <v>3</v>
      </c>
      <c r="M67" s="419">
        <f t="shared" si="14"/>
        <v>85</v>
      </c>
      <c r="N67" s="419">
        <f t="shared" si="14"/>
        <v>6</v>
      </c>
      <c r="O67" s="419">
        <f t="shared" si="14"/>
        <v>0</v>
      </c>
      <c r="P67" s="419">
        <f t="shared" si="14"/>
        <v>0</v>
      </c>
      <c r="Q67" s="419">
        <f t="shared" si="14"/>
        <v>85</v>
      </c>
      <c r="R67" s="419">
        <f t="shared" si="14"/>
        <v>0</v>
      </c>
      <c r="S67" s="419">
        <f t="shared" si="14"/>
        <v>0</v>
      </c>
      <c r="T67" s="419">
        <f t="shared" si="14"/>
        <v>0</v>
      </c>
      <c r="U67" s="419">
        <f t="shared" si="14"/>
        <v>0</v>
      </c>
      <c r="V67" s="419">
        <f t="shared" si="14"/>
        <v>0</v>
      </c>
      <c r="W67" s="419">
        <f t="shared" si="14"/>
        <v>0</v>
      </c>
      <c r="X67" s="419">
        <f t="shared" si="14"/>
        <v>0</v>
      </c>
      <c r="Y67" s="419">
        <f t="shared" si="14"/>
        <v>0</v>
      </c>
      <c r="Z67" s="419">
        <f t="shared" si="14"/>
        <v>0</v>
      </c>
      <c r="AA67" s="419">
        <f t="shared" si="14"/>
        <v>0</v>
      </c>
      <c r="AB67" s="419">
        <f t="shared" si="14"/>
        <v>0</v>
      </c>
      <c r="AC67" s="419">
        <f t="shared" si="14"/>
        <v>0</v>
      </c>
      <c r="AD67" s="419">
        <f t="shared" si="14"/>
        <v>85</v>
      </c>
      <c r="AE67" s="419">
        <f t="shared" si="14"/>
        <v>0</v>
      </c>
      <c r="AF67" s="419">
        <f t="shared" si="14"/>
        <v>0</v>
      </c>
      <c r="AG67" s="419">
        <f t="shared" si="14"/>
        <v>85</v>
      </c>
      <c r="AH67" s="419">
        <f t="shared" si="14"/>
        <v>2</v>
      </c>
      <c r="AI67" s="419">
        <f t="shared" si="14"/>
        <v>1</v>
      </c>
      <c r="AJ67" s="677">
        <f t="shared" si="14"/>
        <v>0</v>
      </c>
      <c r="AK67" s="677">
        <f t="shared" si="14"/>
        <v>0</v>
      </c>
      <c r="AL67" s="677">
        <f t="shared" si="14"/>
        <v>0</v>
      </c>
      <c r="AM67" s="677">
        <f t="shared" si="14"/>
        <v>0</v>
      </c>
      <c r="AN67" s="677">
        <f t="shared" si="14"/>
        <v>0</v>
      </c>
    </row>
    <row r="68" spans="1:43" ht="19" customHeight="1" x14ac:dyDescent="0.35">
      <c r="A68" s="30"/>
      <c r="B68" s="30"/>
      <c r="C68" s="541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</row>
    <row r="69" spans="1:43" ht="19" customHeight="1" x14ac:dyDescent="0.35">
      <c r="A69" s="30"/>
      <c r="B69" s="30"/>
      <c r="C69" s="541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</row>
    <row r="70" spans="1:43" ht="19" customHeight="1" x14ac:dyDescent="0.35">
      <c r="A70" s="30"/>
      <c r="B70" s="30"/>
      <c r="C70" s="541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</row>
    <row r="71" spans="1:43" s="418" customFormat="1" ht="19" customHeight="1" x14ac:dyDescent="0.35">
      <c r="A71" s="535" t="s">
        <v>147</v>
      </c>
      <c r="B71" s="535"/>
      <c r="C71" s="536" t="s">
        <v>243</v>
      </c>
      <c r="D71" s="535" t="str">
        <f>D2</f>
        <v>PECANGAAN</v>
      </c>
      <c r="E71" s="535"/>
      <c r="F71" s="535"/>
      <c r="G71" s="535"/>
      <c r="H71" s="535"/>
      <c r="I71" s="537"/>
      <c r="J71" s="537"/>
      <c r="K71" s="537"/>
      <c r="L71" s="537"/>
      <c r="M71" s="537"/>
      <c r="N71" s="537"/>
      <c r="O71" s="537"/>
      <c r="P71" s="537"/>
      <c r="Q71" s="537"/>
      <c r="R71" s="537"/>
      <c r="S71" s="537"/>
      <c r="T71" s="537"/>
      <c r="U71" s="537"/>
      <c r="V71" s="537"/>
      <c r="W71" s="537"/>
      <c r="X71" s="537"/>
      <c r="Y71" s="537"/>
      <c r="Z71" s="537"/>
      <c r="AA71" s="537"/>
      <c r="AB71" s="537"/>
      <c r="AC71" s="537"/>
      <c r="AD71" s="537"/>
      <c r="AE71" s="537"/>
      <c r="AF71" s="537"/>
      <c r="AG71" s="537"/>
      <c r="AH71" s="537"/>
      <c r="AI71" s="537"/>
      <c r="AJ71" s="537"/>
      <c r="AK71" s="537"/>
      <c r="AL71" s="537"/>
      <c r="AM71" s="537"/>
    </row>
    <row r="72" spans="1:43" s="418" customFormat="1" ht="19" customHeight="1" x14ac:dyDescent="0.35">
      <c r="A72" s="535" t="s">
        <v>242</v>
      </c>
      <c r="B72" s="535"/>
      <c r="C72" s="536" t="s">
        <v>243</v>
      </c>
      <c r="D72" s="538" t="s">
        <v>395</v>
      </c>
      <c r="E72" s="535"/>
      <c r="F72" s="535"/>
      <c r="G72" s="538"/>
      <c r="H72" s="535"/>
      <c r="I72" s="537"/>
      <c r="J72" s="537"/>
      <c r="K72" s="537"/>
      <c r="L72" s="537"/>
      <c r="M72" s="537"/>
      <c r="N72" s="537"/>
      <c r="O72" s="537"/>
      <c r="P72" s="537"/>
      <c r="Q72" s="537"/>
      <c r="R72" s="537"/>
      <c r="S72" s="537"/>
      <c r="T72" s="537"/>
      <c r="U72" s="537"/>
      <c r="V72" s="537"/>
      <c r="W72" s="537"/>
      <c r="X72" s="537"/>
      <c r="Y72" s="537"/>
      <c r="Z72" s="537"/>
      <c r="AA72" s="537"/>
      <c r="AB72" s="537"/>
      <c r="AC72" s="537"/>
      <c r="AD72" s="537"/>
      <c r="AE72" s="537"/>
      <c r="AF72" s="537"/>
      <c r="AG72" s="537"/>
      <c r="AH72" s="537"/>
      <c r="AI72" s="537"/>
      <c r="AJ72" s="537"/>
      <c r="AK72" s="537"/>
      <c r="AL72" s="537"/>
      <c r="AM72" s="537"/>
    </row>
    <row r="73" spans="1:43" ht="19" customHeight="1" x14ac:dyDescent="0.35">
      <c r="A73" s="539"/>
      <c r="B73" s="539"/>
      <c r="C73" s="540"/>
      <c r="D73" s="539"/>
      <c r="E73" s="539"/>
      <c r="F73" s="539"/>
      <c r="G73" s="539"/>
      <c r="H73" s="539"/>
      <c r="I73" s="416"/>
      <c r="J73" s="416"/>
      <c r="K73" s="416"/>
      <c r="L73" s="416"/>
      <c r="M73" s="416"/>
      <c r="N73" s="416"/>
      <c r="O73" s="416"/>
      <c r="P73" s="416"/>
      <c r="Q73" s="416"/>
      <c r="R73" s="416"/>
      <c r="S73" s="416"/>
      <c r="T73" s="416"/>
      <c r="U73" s="416"/>
      <c r="V73" s="416"/>
      <c r="W73" s="416"/>
      <c r="X73" s="416"/>
      <c r="Y73" s="416"/>
      <c r="Z73" s="416"/>
      <c r="AA73" s="416"/>
      <c r="AB73" s="416"/>
      <c r="AC73" s="416"/>
      <c r="AD73" s="416"/>
      <c r="AE73" s="416"/>
      <c r="AF73" s="416"/>
      <c r="AG73" s="416"/>
      <c r="AH73" s="416"/>
      <c r="AI73" s="416"/>
      <c r="AJ73" s="416"/>
      <c r="AK73" s="416"/>
      <c r="AL73" s="416"/>
      <c r="AM73" s="416"/>
    </row>
    <row r="74" spans="1:43" ht="19" customHeight="1" x14ac:dyDescent="0.35">
      <c r="A74" s="416"/>
      <c r="B74" s="416"/>
      <c r="C74" s="417"/>
      <c r="D74" s="416"/>
      <c r="E74" s="416"/>
      <c r="F74" s="416"/>
      <c r="G74" s="416"/>
      <c r="H74" s="416"/>
      <c r="I74" s="416"/>
      <c r="J74" s="416"/>
      <c r="K74" s="416"/>
      <c r="L74" s="416"/>
      <c r="M74" s="416"/>
      <c r="N74" s="416"/>
      <c r="O74" s="416"/>
      <c r="P74" s="416"/>
      <c r="Q74" s="416"/>
      <c r="R74" s="416"/>
      <c r="S74" s="416"/>
      <c r="T74" s="416"/>
      <c r="U74" s="416"/>
      <c r="V74" s="416"/>
      <c r="W74" s="416"/>
      <c r="X74" s="416"/>
      <c r="Y74" s="416"/>
      <c r="Z74" s="416"/>
      <c r="AA74" s="416"/>
      <c r="AB74" s="416"/>
      <c r="AC74" s="416"/>
      <c r="AD74" s="416"/>
      <c r="AE74" s="416"/>
      <c r="AF74" s="416"/>
      <c r="AG74" s="416"/>
      <c r="AH74" s="416"/>
      <c r="AI74" s="416"/>
      <c r="AJ74" s="416"/>
      <c r="AK74" s="416"/>
      <c r="AL74" s="416"/>
      <c r="AM74" s="416"/>
    </row>
    <row r="75" spans="1:43" s="421" customFormat="1" ht="19" customHeight="1" x14ac:dyDescent="0.35">
      <c r="A75" s="967" t="s">
        <v>244</v>
      </c>
      <c r="B75" s="967" t="s">
        <v>151</v>
      </c>
      <c r="C75" s="960" t="s">
        <v>311</v>
      </c>
      <c r="D75" s="960"/>
      <c r="E75" s="960"/>
      <c r="F75" s="960" t="s">
        <v>312</v>
      </c>
      <c r="G75" s="960"/>
      <c r="H75" s="960"/>
      <c r="I75" s="960" t="s">
        <v>33</v>
      </c>
      <c r="J75" s="960"/>
      <c r="K75" s="970" t="s">
        <v>245</v>
      </c>
      <c r="L75" s="970"/>
      <c r="M75" s="970" t="s">
        <v>246</v>
      </c>
      <c r="N75" s="970"/>
      <c r="O75" s="960" t="s">
        <v>247</v>
      </c>
      <c r="P75" s="960"/>
      <c r="Q75" s="960"/>
      <c r="R75" s="960"/>
      <c r="S75" s="960"/>
      <c r="T75" s="960"/>
      <c r="U75" s="960"/>
      <c r="V75" s="960"/>
      <c r="W75" s="960"/>
      <c r="X75" s="971" t="s">
        <v>247</v>
      </c>
      <c r="Y75" s="960"/>
      <c r="Z75" s="960"/>
      <c r="AA75" s="960"/>
      <c r="AB75" s="960"/>
      <c r="AC75" s="960"/>
      <c r="AD75" s="960"/>
      <c r="AE75" s="960"/>
      <c r="AF75" s="960"/>
      <c r="AG75" s="960"/>
      <c r="AH75" s="960"/>
      <c r="AI75" s="960"/>
      <c r="AJ75" s="975" t="s">
        <v>248</v>
      </c>
      <c r="AK75" s="975"/>
      <c r="AL75" s="975"/>
      <c r="AM75" s="975"/>
      <c r="AN75" s="975"/>
    </row>
    <row r="76" spans="1:43" s="421" customFormat="1" ht="19" customHeight="1" x14ac:dyDescent="0.35">
      <c r="A76" s="968"/>
      <c r="B76" s="968"/>
      <c r="C76" s="961" t="s">
        <v>249</v>
      </c>
      <c r="D76" s="972" t="s">
        <v>250</v>
      </c>
      <c r="E76" s="961" t="s">
        <v>251</v>
      </c>
      <c r="F76" s="961" t="s">
        <v>249</v>
      </c>
      <c r="G76" s="961" t="s">
        <v>250</v>
      </c>
      <c r="H76" s="961" t="s">
        <v>251</v>
      </c>
      <c r="I76" s="961" t="s">
        <v>252</v>
      </c>
      <c r="J76" s="961" t="s">
        <v>253</v>
      </c>
      <c r="K76" s="961" t="s">
        <v>254</v>
      </c>
      <c r="L76" s="961" t="s">
        <v>255</v>
      </c>
      <c r="M76" s="961" t="s">
        <v>254</v>
      </c>
      <c r="N76" s="961" t="s">
        <v>256</v>
      </c>
      <c r="O76" s="965" t="s">
        <v>257</v>
      </c>
      <c r="P76" s="965"/>
      <c r="Q76" s="965"/>
      <c r="R76" s="965"/>
      <c r="S76" s="965"/>
      <c r="T76" s="965" t="s">
        <v>258</v>
      </c>
      <c r="U76" s="965"/>
      <c r="V76" s="965"/>
      <c r="W76" s="965"/>
      <c r="X76" s="966" t="s">
        <v>259</v>
      </c>
      <c r="Y76" s="965"/>
      <c r="Z76" s="965"/>
      <c r="AA76" s="965" t="s">
        <v>260</v>
      </c>
      <c r="AB76" s="965"/>
      <c r="AC76" s="965"/>
      <c r="AD76" s="965" t="s">
        <v>261</v>
      </c>
      <c r="AE76" s="965"/>
      <c r="AF76" s="965"/>
      <c r="AG76" s="965" t="s">
        <v>262</v>
      </c>
      <c r="AH76" s="965"/>
      <c r="AI76" s="965"/>
      <c r="AJ76" s="964" t="s">
        <v>421</v>
      </c>
      <c r="AK76" s="964" t="s">
        <v>263</v>
      </c>
      <c r="AL76" s="964" t="s">
        <v>264</v>
      </c>
      <c r="AM76" s="964" t="s">
        <v>265</v>
      </c>
      <c r="AN76" s="964" t="s">
        <v>424</v>
      </c>
      <c r="AO76" s="423"/>
      <c r="AP76" s="423"/>
      <c r="AQ76" s="423"/>
    </row>
    <row r="77" spans="1:43" s="421" customFormat="1" ht="19" customHeight="1" x14ac:dyDescent="0.35">
      <c r="A77" s="968"/>
      <c r="B77" s="968"/>
      <c r="C77" s="962"/>
      <c r="D77" s="973"/>
      <c r="E77" s="962"/>
      <c r="F77" s="962"/>
      <c r="G77" s="962"/>
      <c r="H77" s="962"/>
      <c r="I77" s="962"/>
      <c r="J77" s="962"/>
      <c r="K77" s="962"/>
      <c r="L77" s="962"/>
      <c r="M77" s="962"/>
      <c r="N77" s="962"/>
      <c r="O77" s="965" t="s">
        <v>266</v>
      </c>
      <c r="P77" s="965" t="s">
        <v>267</v>
      </c>
      <c r="Q77" s="965" t="s">
        <v>268</v>
      </c>
      <c r="R77" s="965" t="s">
        <v>269</v>
      </c>
      <c r="S77" s="965"/>
      <c r="T77" s="965" t="s">
        <v>270</v>
      </c>
      <c r="U77" s="965" t="s">
        <v>271</v>
      </c>
      <c r="V77" s="965" t="s">
        <v>272</v>
      </c>
      <c r="W77" s="965" t="s">
        <v>273</v>
      </c>
      <c r="X77" s="966" t="s">
        <v>274</v>
      </c>
      <c r="Y77" s="965" t="s">
        <v>275</v>
      </c>
      <c r="Z77" s="965" t="s">
        <v>276</v>
      </c>
      <c r="AA77" s="965" t="s">
        <v>277</v>
      </c>
      <c r="AB77" s="965" t="s">
        <v>278</v>
      </c>
      <c r="AC77" s="965" t="s">
        <v>279</v>
      </c>
      <c r="AD77" s="965" t="s">
        <v>280</v>
      </c>
      <c r="AE77" s="965" t="s">
        <v>281</v>
      </c>
      <c r="AF77" s="965" t="s">
        <v>282</v>
      </c>
      <c r="AG77" s="965" t="s">
        <v>283</v>
      </c>
      <c r="AH77" s="965" t="s">
        <v>284</v>
      </c>
      <c r="AI77" s="965" t="s">
        <v>279</v>
      </c>
      <c r="AJ77" s="964"/>
      <c r="AK77" s="964"/>
      <c r="AL77" s="964"/>
      <c r="AM77" s="964"/>
      <c r="AN77" s="964"/>
      <c r="AO77" s="423"/>
      <c r="AP77" s="423"/>
      <c r="AQ77" s="423"/>
    </row>
    <row r="78" spans="1:43" s="421" customFormat="1" ht="19" customHeight="1" x14ac:dyDescent="0.35">
      <c r="A78" s="969"/>
      <c r="B78" s="969"/>
      <c r="C78" s="963"/>
      <c r="D78" s="974"/>
      <c r="E78" s="963"/>
      <c r="F78" s="963"/>
      <c r="G78" s="963"/>
      <c r="H78" s="963"/>
      <c r="I78" s="963"/>
      <c r="J78" s="963"/>
      <c r="K78" s="963"/>
      <c r="L78" s="963"/>
      <c r="M78" s="963"/>
      <c r="N78" s="963"/>
      <c r="O78" s="965"/>
      <c r="P78" s="965"/>
      <c r="Q78" s="965"/>
      <c r="R78" s="422" t="s">
        <v>285</v>
      </c>
      <c r="S78" s="422" t="s">
        <v>286</v>
      </c>
      <c r="T78" s="965"/>
      <c r="U78" s="965"/>
      <c r="V78" s="965"/>
      <c r="W78" s="965"/>
      <c r="X78" s="966"/>
      <c r="Y78" s="965"/>
      <c r="Z78" s="965"/>
      <c r="AA78" s="965"/>
      <c r="AB78" s="965"/>
      <c r="AC78" s="965"/>
      <c r="AD78" s="965"/>
      <c r="AE78" s="965"/>
      <c r="AF78" s="965"/>
      <c r="AG78" s="965"/>
      <c r="AH78" s="965"/>
      <c r="AI78" s="965"/>
      <c r="AJ78" s="964"/>
      <c r="AK78" s="964"/>
      <c r="AL78" s="964"/>
      <c r="AM78" s="964"/>
      <c r="AN78" s="964"/>
      <c r="AO78" s="423"/>
      <c r="AP78" s="423"/>
      <c r="AQ78" s="423"/>
    </row>
    <row r="79" spans="1:43" s="421" customFormat="1" ht="19" customHeight="1" thickBot="1" x14ac:dyDescent="0.4">
      <c r="A79" s="424">
        <v>1</v>
      </c>
      <c r="B79" s="424">
        <v>2</v>
      </c>
      <c r="C79" s="425">
        <v>3</v>
      </c>
      <c r="D79" s="424">
        <v>4</v>
      </c>
      <c r="E79" s="424">
        <v>5</v>
      </c>
      <c r="F79" s="424">
        <v>6</v>
      </c>
      <c r="G79" s="424">
        <v>7</v>
      </c>
      <c r="H79" s="424">
        <v>8</v>
      </c>
      <c r="I79" s="424">
        <v>9</v>
      </c>
      <c r="J79" s="424">
        <v>10</v>
      </c>
      <c r="K79" s="424">
        <v>11</v>
      </c>
      <c r="L79" s="424">
        <v>12</v>
      </c>
      <c r="M79" s="424">
        <v>13</v>
      </c>
      <c r="N79" s="424">
        <v>14</v>
      </c>
      <c r="O79" s="424">
        <v>15</v>
      </c>
      <c r="P79" s="424">
        <v>16</v>
      </c>
      <c r="Q79" s="424">
        <v>17</v>
      </c>
      <c r="R79" s="424">
        <v>18</v>
      </c>
      <c r="S79" s="424">
        <v>19</v>
      </c>
      <c r="T79" s="424">
        <v>20</v>
      </c>
      <c r="U79" s="424">
        <v>21</v>
      </c>
      <c r="V79" s="424">
        <v>22</v>
      </c>
      <c r="W79" s="424">
        <v>23</v>
      </c>
      <c r="X79" s="424">
        <v>24</v>
      </c>
      <c r="Y79" s="424">
        <v>25</v>
      </c>
      <c r="Z79" s="424">
        <v>26</v>
      </c>
      <c r="AA79" s="424">
        <v>27</v>
      </c>
      <c r="AB79" s="424">
        <v>28</v>
      </c>
      <c r="AC79" s="424">
        <v>29</v>
      </c>
      <c r="AD79" s="424">
        <v>30</v>
      </c>
      <c r="AE79" s="424">
        <v>31</v>
      </c>
      <c r="AF79" s="424">
        <v>32</v>
      </c>
      <c r="AG79" s="424">
        <v>33</v>
      </c>
      <c r="AH79" s="424">
        <v>34</v>
      </c>
      <c r="AI79" s="424">
        <v>35</v>
      </c>
      <c r="AJ79" s="424">
        <v>36</v>
      </c>
      <c r="AK79" s="424">
        <v>37</v>
      </c>
      <c r="AL79" s="424">
        <v>38</v>
      </c>
      <c r="AM79" s="424">
        <v>39</v>
      </c>
      <c r="AN79" s="424">
        <v>40</v>
      </c>
    </row>
    <row r="80" spans="1:43" s="29" customFormat="1" ht="19" customHeight="1" thickTop="1" x14ac:dyDescent="0.35">
      <c r="A80" s="427">
        <v>1</v>
      </c>
      <c r="B80" s="427" t="str">
        <f>PETUNJUK!B9</f>
        <v>Pecangaan Kulon</v>
      </c>
      <c r="C80" s="428">
        <f>'1.DATA KIA'!F77</f>
        <v>7</v>
      </c>
      <c r="D80" s="428">
        <v>0</v>
      </c>
      <c r="E80" s="428">
        <v>0</v>
      </c>
      <c r="F80" s="428">
        <f>'1.DATA KIA'!J77</f>
        <v>8</v>
      </c>
      <c r="G80" s="428">
        <v>1</v>
      </c>
      <c r="H80" s="428">
        <v>0</v>
      </c>
      <c r="I80" s="428">
        <f>C80</f>
        <v>7</v>
      </c>
      <c r="J80" s="428">
        <v>1</v>
      </c>
      <c r="K80" s="428">
        <f>F80</f>
        <v>8</v>
      </c>
      <c r="L80" s="428">
        <v>2</v>
      </c>
      <c r="M80" s="428">
        <f>C80</f>
        <v>7</v>
      </c>
      <c r="N80" s="428">
        <v>2</v>
      </c>
      <c r="O80" s="428">
        <v>0</v>
      </c>
      <c r="P80" s="428">
        <v>0</v>
      </c>
      <c r="Q80" s="428">
        <f>C80</f>
        <v>7</v>
      </c>
      <c r="R80" s="428">
        <v>0</v>
      </c>
      <c r="S80" s="428">
        <v>0</v>
      </c>
      <c r="T80" s="428">
        <v>0</v>
      </c>
      <c r="U80" s="428">
        <v>0</v>
      </c>
      <c r="V80" s="428">
        <v>0</v>
      </c>
      <c r="W80" s="428">
        <v>0</v>
      </c>
      <c r="X80" s="428">
        <v>0</v>
      </c>
      <c r="Y80" s="428">
        <v>0</v>
      </c>
      <c r="Z80" s="428">
        <v>0</v>
      </c>
      <c r="AA80" s="428">
        <v>0</v>
      </c>
      <c r="AB80" s="428">
        <v>0</v>
      </c>
      <c r="AC80" s="428">
        <v>0</v>
      </c>
      <c r="AD80" s="428">
        <f>Q80</f>
        <v>7</v>
      </c>
      <c r="AE80" s="428">
        <v>0</v>
      </c>
      <c r="AF80" s="428">
        <v>0</v>
      </c>
      <c r="AG80" s="428">
        <f>AD80</f>
        <v>7</v>
      </c>
      <c r="AH80" s="428">
        <v>1</v>
      </c>
      <c r="AI80" s="428">
        <v>0</v>
      </c>
      <c r="AJ80" s="428">
        <v>0</v>
      </c>
      <c r="AK80" s="428">
        <v>0</v>
      </c>
      <c r="AL80" s="428">
        <v>0</v>
      </c>
      <c r="AM80" s="428">
        <v>0</v>
      </c>
      <c r="AN80" s="428">
        <v>0</v>
      </c>
    </row>
    <row r="81" spans="1:40" s="29" customFormat="1" ht="19" customHeight="1" x14ac:dyDescent="0.35">
      <c r="A81" s="429">
        <v>2</v>
      </c>
      <c r="B81" s="427" t="str">
        <f>PETUNJUK!B10</f>
        <v>Rengging</v>
      </c>
      <c r="C81" s="428">
        <f>'1.DATA KIA'!F78</f>
        <v>6</v>
      </c>
      <c r="D81" s="428">
        <v>3</v>
      </c>
      <c r="E81" s="428">
        <v>0</v>
      </c>
      <c r="F81" s="428">
        <f>'1.DATA KIA'!J78</f>
        <v>3</v>
      </c>
      <c r="G81" s="428">
        <v>5</v>
      </c>
      <c r="H81" s="428">
        <v>0</v>
      </c>
      <c r="I81" s="428">
        <f t="shared" ref="I81:I91" si="16">C81</f>
        <v>6</v>
      </c>
      <c r="J81" s="428">
        <v>0</v>
      </c>
      <c r="K81" s="428">
        <f t="shared" ref="K81:K91" si="17">F81</f>
        <v>3</v>
      </c>
      <c r="L81" s="428">
        <v>0</v>
      </c>
      <c r="M81" s="428">
        <f t="shared" ref="M81:M91" si="18">C81</f>
        <v>6</v>
      </c>
      <c r="N81" s="428">
        <v>2</v>
      </c>
      <c r="O81" s="428">
        <v>0</v>
      </c>
      <c r="P81" s="428">
        <v>0</v>
      </c>
      <c r="Q81" s="428">
        <f t="shared" ref="Q81:Q91" si="19">C81</f>
        <v>6</v>
      </c>
      <c r="R81" s="428">
        <v>0</v>
      </c>
      <c r="S81" s="428">
        <v>0</v>
      </c>
      <c r="T81" s="428">
        <v>0</v>
      </c>
      <c r="U81" s="428">
        <v>0</v>
      </c>
      <c r="V81" s="428">
        <v>0</v>
      </c>
      <c r="W81" s="428">
        <v>0</v>
      </c>
      <c r="X81" s="428">
        <v>0</v>
      </c>
      <c r="Y81" s="428">
        <v>0</v>
      </c>
      <c r="Z81" s="428">
        <v>0</v>
      </c>
      <c r="AA81" s="428">
        <v>0</v>
      </c>
      <c r="AB81" s="428">
        <v>0</v>
      </c>
      <c r="AC81" s="428">
        <v>0</v>
      </c>
      <c r="AD81" s="428">
        <f t="shared" ref="AD81:AD91" si="20">Q81</f>
        <v>6</v>
      </c>
      <c r="AE81" s="428">
        <v>0</v>
      </c>
      <c r="AF81" s="428">
        <v>0</v>
      </c>
      <c r="AG81" s="428">
        <f t="shared" ref="AG81:AG91" si="21">AD81</f>
        <v>6</v>
      </c>
      <c r="AH81" s="428">
        <v>0</v>
      </c>
      <c r="AI81" s="428">
        <v>0</v>
      </c>
      <c r="AJ81" s="428">
        <v>0</v>
      </c>
      <c r="AK81" s="428">
        <v>0</v>
      </c>
      <c r="AL81" s="428">
        <v>0</v>
      </c>
      <c r="AM81" s="428">
        <v>0</v>
      </c>
      <c r="AN81" s="428">
        <v>0</v>
      </c>
    </row>
    <row r="82" spans="1:40" s="29" customFormat="1" ht="19" customHeight="1" x14ac:dyDescent="0.35">
      <c r="A82" s="429">
        <v>3</v>
      </c>
      <c r="B82" s="427" t="str">
        <f>PETUNJUK!B11</f>
        <v>Troso</v>
      </c>
      <c r="C82" s="428">
        <f>'1.DATA KIA'!F79</f>
        <v>17</v>
      </c>
      <c r="D82" s="428">
        <v>1</v>
      </c>
      <c r="E82" s="428">
        <v>0</v>
      </c>
      <c r="F82" s="428">
        <f>'1.DATA KIA'!J79</f>
        <v>17</v>
      </c>
      <c r="G82" s="428">
        <v>3</v>
      </c>
      <c r="H82" s="428">
        <v>0</v>
      </c>
      <c r="I82" s="428">
        <f t="shared" si="16"/>
        <v>17</v>
      </c>
      <c r="J82" s="428">
        <v>2</v>
      </c>
      <c r="K82" s="428">
        <f t="shared" si="17"/>
        <v>17</v>
      </c>
      <c r="L82" s="428">
        <v>1</v>
      </c>
      <c r="M82" s="428">
        <f t="shared" si="18"/>
        <v>17</v>
      </c>
      <c r="N82" s="428">
        <v>4</v>
      </c>
      <c r="O82" s="428">
        <v>0</v>
      </c>
      <c r="P82" s="428">
        <v>0</v>
      </c>
      <c r="Q82" s="428">
        <f t="shared" si="19"/>
        <v>17</v>
      </c>
      <c r="R82" s="428">
        <v>0</v>
      </c>
      <c r="S82" s="428">
        <v>0</v>
      </c>
      <c r="T82" s="428">
        <v>0</v>
      </c>
      <c r="U82" s="428">
        <v>0</v>
      </c>
      <c r="V82" s="428">
        <v>0</v>
      </c>
      <c r="W82" s="428">
        <v>0</v>
      </c>
      <c r="X82" s="428">
        <v>0</v>
      </c>
      <c r="Y82" s="428">
        <v>0</v>
      </c>
      <c r="Z82" s="428">
        <v>0</v>
      </c>
      <c r="AA82" s="428">
        <v>0</v>
      </c>
      <c r="AB82" s="428">
        <v>0</v>
      </c>
      <c r="AC82" s="428">
        <v>0</v>
      </c>
      <c r="AD82" s="428">
        <f t="shared" si="20"/>
        <v>17</v>
      </c>
      <c r="AE82" s="428">
        <v>0</v>
      </c>
      <c r="AF82" s="428">
        <v>0</v>
      </c>
      <c r="AG82" s="428">
        <f t="shared" si="21"/>
        <v>17</v>
      </c>
      <c r="AH82" s="428">
        <v>1</v>
      </c>
      <c r="AI82" s="428">
        <v>0</v>
      </c>
      <c r="AJ82" s="428">
        <v>0</v>
      </c>
      <c r="AK82" s="428">
        <v>0</v>
      </c>
      <c r="AL82" s="428">
        <v>0</v>
      </c>
      <c r="AM82" s="428">
        <v>0</v>
      </c>
      <c r="AN82" s="428">
        <v>0</v>
      </c>
    </row>
    <row r="83" spans="1:40" s="29" customFormat="1" ht="19" customHeight="1" x14ac:dyDescent="0.35">
      <c r="A83" s="429">
        <v>4</v>
      </c>
      <c r="B83" s="427" t="str">
        <f>PETUNJUK!B12</f>
        <v>Ngeling</v>
      </c>
      <c r="C83" s="428">
        <f>'1.DATA KIA'!F80</f>
        <v>10</v>
      </c>
      <c r="D83" s="428">
        <v>3</v>
      </c>
      <c r="E83" s="428">
        <v>0</v>
      </c>
      <c r="F83" s="428">
        <f>'1.DATA KIA'!J80</f>
        <v>7</v>
      </c>
      <c r="G83" s="428">
        <v>2</v>
      </c>
      <c r="H83" s="428">
        <v>0</v>
      </c>
      <c r="I83" s="428">
        <f t="shared" si="16"/>
        <v>10</v>
      </c>
      <c r="J83" s="428">
        <v>0</v>
      </c>
      <c r="K83" s="428">
        <f t="shared" si="17"/>
        <v>7</v>
      </c>
      <c r="L83" s="428">
        <v>1</v>
      </c>
      <c r="M83" s="428">
        <f t="shared" si="18"/>
        <v>10</v>
      </c>
      <c r="N83" s="428">
        <v>2</v>
      </c>
      <c r="O83" s="428">
        <v>0</v>
      </c>
      <c r="P83" s="428">
        <v>0</v>
      </c>
      <c r="Q83" s="428">
        <f t="shared" si="19"/>
        <v>10</v>
      </c>
      <c r="R83" s="428">
        <v>0</v>
      </c>
      <c r="S83" s="428">
        <v>0</v>
      </c>
      <c r="T83" s="428">
        <v>0</v>
      </c>
      <c r="U83" s="428">
        <v>0</v>
      </c>
      <c r="V83" s="428">
        <v>0</v>
      </c>
      <c r="W83" s="428">
        <v>0</v>
      </c>
      <c r="X83" s="428">
        <v>0</v>
      </c>
      <c r="Y83" s="428">
        <v>0</v>
      </c>
      <c r="Z83" s="428">
        <v>0</v>
      </c>
      <c r="AA83" s="428">
        <v>0</v>
      </c>
      <c r="AB83" s="428">
        <v>0</v>
      </c>
      <c r="AC83" s="428">
        <v>0</v>
      </c>
      <c r="AD83" s="428">
        <f t="shared" si="20"/>
        <v>10</v>
      </c>
      <c r="AE83" s="428">
        <v>0</v>
      </c>
      <c r="AF83" s="428">
        <v>0</v>
      </c>
      <c r="AG83" s="428">
        <f t="shared" si="21"/>
        <v>10</v>
      </c>
      <c r="AH83" s="428">
        <v>0</v>
      </c>
      <c r="AI83" s="428">
        <v>0</v>
      </c>
      <c r="AJ83" s="428">
        <v>0</v>
      </c>
      <c r="AK83" s="428">
        <v>0</v>
      </c>
      <c r="AL83" s="428">
        <v>0</v>
      </c>
      <c r="AM83" s="428">
        <v>0</v>
      </c>
      <c r="AN83" s="428">
        <v>0</v>
      </c>
    </row>
    <row r="84" spans="1:40" s="29" customFormat="1" ht="19" customHeight="1" x14ac:dyDescent="0.35">
      <c r="A84" s="429">
        <v>5</v>
      </c>
      <c r="B84" s="427" t="str">
        <f>PETUNJUK!B13</f>
        <v>Lebuawu</v>
      </c>
      <c r="C84" s="428">
        <f>'1.DATA KIA'!F81</f>
        <v>5</v>
      </c>
      <c r="D84" s="428">
        <v>0</v>
      </c>
      <c r="E84" s="428">
        <v>0</v>
      </c>
      <c r="F84" s="428">
        <f>'1.DATA KIA'!J81</f>
        <v>6</v>
      </c>
      <c r="G84" s="428">
        <v>0</v>
      </c>
      <c r="H84" s="428">
        <v>0</v>
      </c>
      <c r="I84" s="428">
        <f t="shared" si="16"/>
        <v>5</v>
      </c>
      <c r="J84" s="428">
        <v>0</v>
      </c>
      <c r="K84" s="428">
        <f t="shared" si="17"/>
        <v>6</v>
      </c>
      <c r="L84" s="428">
        <v>1</v>
      </c>
      <c r="M84" s="428">
        <f t="shared" si="18"/>
        <v>5</v>
      </c>
      <c r="N84" s="428">
        <v>1</v>
      </c>
      <c r="O84" s="428">
        <v>0</v>
      </c>
      <c r="P84" s="428">
        <v>0</v>
      </c>
      <c r="Q84" s="428">
        <f t="shared" si="19"/>
        <v>5</v>
      </c>
      <c r="R84" s="428">
        <v>0</v>
      </c>
      <c r="S84" s="428">
        <v>0</v>
      </c>
      <c r="T84" s="428">
        <v>0</v>
      </c>
      <c r="U84" s="428">
        <v>0</v>
      </c>
      <c r="V84" s="428">
        <v>0</v>
      </c>
      <c r="W84" s="428">
        <v>0</v>
      </c>
      <c r="X84" s="428">
        <v>0</v>
      </c>
      <c r="Y84" s="428">
        <v>0</v>
      </c>
      <c r="Z84" s="428">
        <v>0</v>
      </c>
      <c r="AA84" s="428">
        <v>0</v>
      </c>
      <c r="AB84" s="428">
        <v>0</v>
      </c>
      <c r="AC84" s="428">
        <v>0</v>
      </c>
      <c r="AD84" s="428">
        <f t="shared" si="20"/>
        <v>5</v>
      </c>
      <c r="AE84" s="428">
        <v>0</v>
      </c>
      <c r="AF84" s="428">
        <v>0</v>
      </c>
      <c r="AG84" s="428">
        <f t="shared" si="21"/>
        <v>5</v>
      </c>
      <c r="AH84" s="428">
        <v>0</v>
      </c>
      <c r="AI84" s="428">
        <v>0</v>
      </c>
      <c r="AJ84" s="428">
        <v>0</v>
      </c>
      <c r="AK84" s="428">
        <v>0</v>
      </c>
      <c r="AL84" s="428">
        <v>0</v>
      </c>
      <c r="AM84" s="428">
        <v>0</v>
      </c>
      <c r="AN84" s="428">
        <v>0</v>
      </c>
    </row>
    <row r="85" spans="1:40" s="29" customFormat="1" ht="19" customHeight="1" x14ac:dyDescent="0.35">
      <c r="A85" s="429">
        <v>6</v>
      </c>
      <c r="B85" s="427" t="str">
        <f>PETUNJUK!B14</f>
        <v>Pulodarat</v>
      </c>
      <c r="C85" s="428">
        <f>'1.DATA KIA'!F82</f>
        <v>5</v>
      </c>
      <c r="D85" s="428">
        <v>0</v>
      </c>
      <c r="E85" s="428">
        <v>0</v>
      </c>
      <c r="F85" s="428">
        <f>'1.DATA KIA'!J82</f>
        <v>4</v>
      </c>
      <c r="G85" s="428">
        <v>0</v>
      </c>
      <c r="H85" s="428">
        <v>0</v>
      </c>
      <c r="I85" s="428">
        <f t="shared" si="16"/>
        <v>5</v>
      </c>
      <c r="J85" s="428">
        <v>0</v>
      </c>
      <c r="K85" s="428">
        <f t="shared" si="17"/>
        <v>4</v>
      </c>
      <c r="L85" s="428">
        <v>1</v>
      </c>
      <c r="M85" s="428">
        <f t="shared" si="18"/>
        <v>5</v>
      </c>
      <c r="N85" s="428">
        <v>0</v>
      </c>
      <c r="O85" s="428">
        <v>0</v>
      </c>
      <c r="P85" s="428">
        <v>0</v>
      </c>
      <c r="Q85" s="428">
        <f t="shared" si="19"/>
        <v>5</v>
      </c>
      <c r="R85" s="428">
        <v>0</v>
      </c>
      <c r="S85" s="428">
        <v>0</v>
      </c>
      <c r="T85" s="428">
        <v>0</v>
      </c>
      <c r="U85" s="428">
        <v>0</v>
      </c>
      <c r="V85" s="428">
        <v>0</v>
      </c>
      <c r="W85" s="428">
        <v>0</v>
      </c>
      <c r="X85" s="428">
        <v>0</v>
      </c>
      <c r="Y85" s="428">
        <v>0</v>
      </c>
      <c r="Z85" s="428">
        <v>0</v>
      </c>
      <c r="AA85" s="428">
        <v>0</v>
      </c>
      <c r="AB85" s="428">
        <v>0</v>
      </c>
      <c r="AC85" s="428">
        <v>0</v>
      </c>
      <c r="AD85" s="428">
        <f t="shared" si="20"/>
        <v>5</v>
      </c>
      <c r="AE85" s="428">
        <v>0</v>
      </c>
      <c r="AF85" s="428">
        <v>0</v>
      </c>
      <c r="AG85" s="428">
        <f t="shared" si="21"/>
        <v>5</v>
      </c>
      <c r="AH85" s="428">
        <v>0</v>
      </c>
      <c r="AI85" s="428">
        <v>0</v>
      </c>
      <c r="AJ85" s="428">
        <v>0</v>
      </c>
      <c r="AK85" s="428">
        <v>0</v>
      </c>
      <c r="AL85" s="428">
        <v>0</v>
      </c>
      <c r="AM85" s="428">
        <v>0</v>
      </c>
      <c r="AN85" s="428">
        <v>0</v>
      </c>
    </row>
    <row r="86" spans="1:40" s="29" customFormat="1" ht="19" customHeight="1" x14ac:dyDescent="0.35">
      <c r="A86" s="429">
        <v>7</v>
      </c>
      <c r="B86" s="427" t="str">
        <f>PETUNJUK!B15</f>
        <v>Karangrandu</v>
      </c>
      <c r="C86" s="428">
        <f>'1.DATA KIA'!F83</f>
        <v>7</v>
      </c>
      <c r="D86" s="428">
        <v>1</v>
      </c>
      <c r="E86" s="428">
        <v>0</v>
      </c>
      <c r="F86" s="428">
        <f>'1.DATA KIA'!J83</f>
        <v>5</v>
      </c>
      <c r="G86" s="428">
        <v>2</v>
      </c>
      <c r="H86" s="428">
        <v>0</v>
      </c>
      <c r="I86" s="428">
        <f t="shared" si="16"/>
        <v>7</v>
      </c>
      <c r="J86" s="428">
        <v>1</v>
      </c>
      <c r="K86" s="428">
        <f t="shared" si="17"/>
        <v>5</v>
      </c>
      <c r="L86" s="428">
        <v>0</v>
      </c>
      <c r="M86" s="428">
        <f t="shared" si="18"/>
        <v>7</v>
      </c>
      <c r="N86" s="428">
        <v>1</v>
      </c>
      <c r="O86" s="428">
        <v>0</v>
      </c>
      <c r="P86" s="428">
        <v>0</v>
      </c>
      <c r="Q86" s="428">
        <f t="shared" si="19"/>
        <v>7</v>
      </c>
      <c r="R86" s="428">
        <v>0</v>
      </c>
      <c r="S86" s="428">
        <v>0</v>
      </c>
      <c r="T86" s="428">
        <v>0</v>
      </c>
      <c r="U86" s="428">
        <v>0</v>
      </c>
      <c r="V86" s="428">
        <v>0</v>
      </c>
      <c r="W86" s="428">
        <v>0</v>
      </c>
      <c r="X86" s="428">
        <v>0</v>
      </c>
      <c r="Y86" s="428">
        <v>0</v>
      </c>
      <c r="Z86" s="428">
        <v>0</v>
      </c>
      <c r="AA86" s="428">
        <v>0</v>
      </c>
      <c r="AB86" s="428">
        <v>0</v>
      </c>
      <c r="AC86" s="428">
        <v>0</v>
      </c>
      <c r="AD86" s="428">
        <f t="shared" si="20"/>
        <v>7</v>
      </c>
      <c r="AE86" s="428">
        <v>0</v>
      </c>
      <c r="AF86" s="428">
        <v>0</v>
      </c>
      <c r="AG86" s="428">
        <f t="shared" si="21"/>
        <v>7</v>
      </c>
      <c r="AH86" s="428">
        <v>0</v>
      </c>
      <c r="AI86" s="428">
        <v>0</v>
      </c>
      <c r="AJ86" s="428">
        <v>0</v>
      </c>
      <c r="AK86" s="428">
        <v>0</v>
      </c>
      <c r="AL86" s="428">
        <v>0</v>
      </c>
      <c r="AM86" s="428">
        <v>0</v>
      </c>
      <c r="AN86" s="428">
        <v>0</v>
      </c>
    </row>
    <row r="87" spans="1:40" s="29" customFormat="1" ht="19" customHeight="1" x14ac:dyDescent="0.35">
      <c r="A87" s="429">
        <v>8</v>
      </c>
      <c r="B87" s="427" t="str">
        <f>PETUNJUK!B16</f>
        <v>Kaliombo</v>
      </c>
      <c r="C87" s="428">
        <f>'1.DATA KIA'!F84</f>
        <v>2</v>
      </c>
      <c r="D87" s="428">
        <v>0</v>
      </c>
      <c r="E87" s="428">
        <v>0</v>
      </c>
      <c r="F87" s="428">
        <f>'1.DATA KIA'!J84</f>
        <v>2</v>
      </c>
      <c r="G87" s="428">
        <v>0</v>
      </c>
      <c r="H87" s="428">
        <v>0</v>
      </c>
      <c r="I87" s="428">
        <f t="shared" si="16"/>
        <v>2</v>
      </c>
      <c r="J87" s="428">
        <v>0</v>
      </c>
      <c r="K87" s="428">
        <f t="shared" si="17"/>
        <v>2</v>
      </c>
      <c r="L87" s="428">
        <v>0</v>
      </c>
      <c r="M87" s="428">
        <f t="shared" si="18"/>
        <v>2</v>
      </c>
      <c r="N87" s="428">
        <v>1</v>
      </c>
      <c r="O87" s="428">
        <v>0</v>
      </c>
      <c r="P87" s="428">
        <v>0</v>
      </c>
      <c r="Q87" s="428">
        <f t="shared" si="19"/>
        <v>2</v>
      </c>
      <c r="R87" s="428">
        <v>0</v>
      </c>
      <c r="S87" s="428">
        <v>0</v>
      </c>
      <c r="T87" s="428">
        <v>0</v>
      </c>
      <c r="U87" s="428">
        <v>0</v>
      </c>
      <c r="V87" s="428">
        <v>0</v>
      </c>
      <c r="W87" s="428">
        <v>0</v>
      </c>
      <c r="X87" s="428">
        <v>0</v>
      </c>
      <c r="Y87" s="428">
        <v>0</v>
      </c>
      <c r="Z87" s="428">
        <v>0</v>
      </c>
      <c r="AA87" s="428">
        <v>0</v>
      </c>
      <c r="AB87" s="428">
        <v>0</v>
      </c>
      <c r="AC87" s="428">
        <v>0</v>
      </c>
      <c r="AD87" s="428">
        <f t="shared" si="20"/>
        <v>2</v>
      </c>
      <c r="AE87" s="428">
        <v>0</v>
      </c>
      <c r="AF87" s="428">
        <v>0</v>
      </c>
      <c r="AG87" s="428">
        <f t="shared" si="21"/>
        <v>2</v>
      </c>
      <c r="AH87" s="428">
        <v>0</v>
      </c>
      <c r="AI87" s="428">
        <v>0</v>
      </c>
      <c r="AJ87" s="428">
        <v>0</v>
      </c>
      <c r="AK87" s="428">
        <v>0</v>
      </c>
      <c r="AL87" s="428">
        <v>0</v>
      </c>
      <c r="AM87" s="428">
        <v>0</v>
      </c>
      <c r="AN87" s="428">
        <v>0</v>
      </c>
    </row>
    <row r="88" spans="1:40" s="29" customFormat="1" ht="19" customHeight="1" x14ac:dyDescent="0.35">
      <c r="A88" s="429">
        <v>9</v>
      </c>
      <c r="B88" s="427" t="str">
        <f>PETUNJUK!B17</f>
        <v>Gemulung</v>
      </c>
      <c r="C88" s="428">
        <f>'1.DATA KIA'!F85</f>
        <v>5</v>
      </c>
      <c r="D88" s="428">
        <v>0</v>
      </c>
      <c r="E88" s="428">
        <v>0</v>
      </c>
      <c r="F88" s="428">
        <f>'1.DATA KIA'!J85</f>
        <v>5</v>
      </c>
      <c r="G88" s="428">
        <v>0</v>
      </c>
      <c r="H88" s="428">
        <v>0</v>
      </c>
      <c r="I88" s="428">
        <f t="shared" si="16"/>
        <v>5</v>
      </c>
      <c r="J88" s="428">
        <v>0</v>
      </c>
      <c r="K88" s="428">
        <f t="shared" si="17"/>
        <v>5</v>
      </c>
      <c r="L88" s="428">
        <v>0</v>
      </c>
      <c r="M88" s="428">
        <f t="shared" si="18"/>
        <v>5</v>
      </c>
      <c r="N88" s="428">
        <v>0</v>
      </c>
      <c r="O88" s="428">
        <v>0</v>
      </c>
      <c r="P88" s="428">
        <v>0</v>
      </c>
      <c r="Q88" s="428">
        <f t="shared" si="19"/>
        <v>5</v>
      </c>
      <c r="R88" s="428">
        <v>0</v>
      </c>
      <c r="S88" s="428">
        <v>0</v>
      </c>
      <c r="T88" s="428">
        <v>0</v>
      </c>
      <c r="U88" s="428">
        <v>0</v>
      </c>
      <c r="V88" s="428">
        <v>0</v>
      </c>
      <c r="W88" s="428">
        <v>0</v>
      </c>
      <c r="X88" s="428">
        <v>0</v>
      </c>
      <c r="Y88" s="428">
        <v>0</v>
      </c>
      <c r="Z88" s="428">
        <v>0</v>
      </c>
      <c r="AA88" s="428">
        <v>0</v>
      </c>
      <c r="AB88" s="428">
        <v>0</v>
      </c>
      <c r="AC88" s="428">
        <v>0</v>
      </c>
      <c r="AD88" s="428">
        <f t="shared" si="20"/>
        <v>5</v>
      </c>
      <c r="AE88" s="428">
        <v>0</v>
      </c>
      <c r="AF88" s="428">
        <v>0</v>
      </c>
      <c r="AG88" s="428">
        <f t="shared" si="21"/>
        <v>5</v>
      </c>
      <c r="AH88" s="428">
        <v>0</v>
      </c>
      <c r="AI88" s="428">
        <v>0</v>
      </c>
      <c r="AJ88" s="428">
        <v>0</v>
      </c>
      <c r="AK88" s="428">
        <v>0</v>
      </c>
      <c r="AL88" s="428">
        <v>0</v>
      </c>
      <c r="AM88" s="428">
        <v>0</v>
      </c>
      <c r="AN88" s="428">
        <v>0</v>
      </c>
    </row>
    <row r="89" spans="1:40" s="29" customFormat="1" ht="19" customHeight="1" x14ac:dyDescent="0.35">
      <c r="A89" s="429">
        <v>10</v>
      </c>
      <c r="B89" s="427" t="str">
        <f>PETUNJUK!B18</f>
        <v>Pecangaan Wetan</v>
      </c>
      <c r="C89" s="428">
        <f>'1.DATA KIA'!F86</f>
        <v>2</v>
      </c>
      <c r="D89" s="428">
        <v>0</v>
      </c>
      <c r="E89" s="428">
        <v>0</v>
      </c>
      <c r="F89" s="428">
        <f>'1.DATA KIA'!J86</f>
        <v>3</v>
      </c>
      <c r="G89" s="428">
        <v>0</v>
      </c>
      <c r="H89" s="428">
        <v>0</v>
      </c>
      <c r="I89" s="428">
        <f t="shared" si="16"/>
        <v>2</v>
      </c>
      <c r="J89" s="428">
        <v>2</v>
      </c>
      <c r="K89" s="428">
        <f t="shared" si="17"/>
        <v>3</v>
      </c>
      <c r="L89" s="428">
        <v>0</v>
      </c>
      <c r="M89" s="428">
        <f t="shared" si="18"/>
        <v>2</v>
      </c>
      <c r="N89" s="428">
        <v>1</v>
      </c>
      <c r="O89" s="428">
        <v>0</v>
      </c>
      <c r="P89" s="428">
        <v>0</v>
      </c>
      <c r="Q89" s="428">
        <f t="shared" si="19"/>
        <v>2</v>
      </c>
      <c r="R89" s="428">
        <v>0</v>
      </c>
      <c r="S89" s="428">
        <v>0</v>
      </c>
      <c r="T89" s="428">
        <v>0</v>
      </c>
      <c r="U89" s="428">
        <v>0</v>
      </c>
      <c r="V89" s="428">
        <v>0</v>
      </c>
      <c r="W89" s="428">
        <v>0</v>
      </c>
      <c r="X89" s="428">
        <v>0</v>
      </c>
      <c r="Y89" s="428">
        <v>0</v>
      </c>
      <c r="Z89" s="428">
        <v>0</v>
      </c>
      <c r="AA89" s="428">
        <v>0</v>
      </c>
      <c r="AB89" s="428">
        <v>0</v>
      </c>
      <c r="AC89" s="428">
        <v>0</v>
      </c>
      <c r="AD89" s="428">
        <f t="shared" si="20"/>
        <v>2</v>
      </c>
      <c r="AE89" s="428">
        <v>0</v>
      </c>
      <c r="AF89" s="428">
        <v>0</v>
      </c>
      <c r="AG89" s="428">
        <f t="shared" si="21"/>
        <v>2</v>
      </c>
      <c r="AH89" s="428">
        <v>0</v>
      </c>
      <c r="AI89" s="428">
        <v>0</v>
      </c>
      <c r="AJ89" s="428">
        <v>0</v>
      </c>
      <c r="AK89" s="428">
        <v>0</v>
      </c>
      <c r="AL89" s="428">
        <v>0</v>
      </c>
      <c r="AM89" s="428">
        <v>0</v>
      </c>
      <c r="AN89" s="428">
        <v>0</v>
      </c>
    </row>
    <row r="90" spans="1:40" s="29" customFormat="1" ht="19" customHeight="1" x14ac:dyDescent="0.35">
      <c r="A90" s="429">
        <v>11</v>
      </c>
      <c r="B90" s="427" t="str">
        <f>PETUNJUK!B19</f>
        <v>Krasak</v>
      </c>
      <c r="C90" s="428">
        <f>'1.DATA KIA'!F87</f>
        <v>9</v>
      </c>
      <c r="D90" s="428">
        <v>1</v>
      </c>
      <c r="E90" s="428">
        <v>0</v>
      </c>
      <c r="F90" s="428">
        <f>'1.DATA KIA'!J87</f>
        <v>5</v>
      </c>
      <c r="G90" s="428">
        <v>0</v>
      </c>
      <c r="H90" s="428">
        <v>0</v>
      </c>
      <c r="I90" s="428">
        <f t="shared" si="16"/>
        <v>9</v>
      </c>
      <c r="J90" s="428">
        <v>0</v>
      </c>
      <c r="K90" s="428">
        <f t="shared" si="17"/>
        <v>5</v>
      </c>
      <c r="L90" s="428">
        <v>0</v>
      </c>
      <c r="M90" s="428">
        <f t="shared" si="18"/>
        <v>9</v>
      </c>
      <c r="N90" s="428">
        <v>0</v>
      </c>
      <c r="O90" s="428">
        <v>0</v>
      </c>
      <c r="P90" s="428">
        <v>0</v>
      </c>
      <c r="Q90" s="428">
        <f t="shared" si="19"/>
        <v>9</v>
      </c>
      <c r="R90" s="428">
        <v>0</v>
      </c>
      <c r="S90" s="428">
        <v>0</v>
      </c>
      <c r="T90" s="428">
        <v>0</v>
      </c>
      <c r="U90" s="428">
        <v>0</v>
      </c>
      <c r="V90" s="428">
        <v>0</v>
      </c>
      <c r="W90" s="428">
        <v>0</v>
      </c>
      <c r="X90" s="428">
        <v>0</v>
      </c>
      <c r="Y90" s="428">
        <v>0</v>
      </c>
      <c r="Z90" s="428">
        <v>0</v>
      </c>
      <c r="AA90" s="428">
        <v>0</v>
      </c>
      <c r="AB90" s="428">
        <v>0</v>
      </c>
      <c r="AC90" s="428">
        <v>0</v>
      </c>
      <c r="AD90" s="428">
        <f t="shared" si="20"/>
        <v>9</v>
      </c>
      <c r="AE90" s="428">
        <v>0</v>
      </c>
      <c r="AF90" s="428">
        <v>0</v>
      </c>
      <c r="AG90" s="428">
        <f t="shared" si="21"/>
        <v>9</v>
      </c>
      <c r="AH90" s="428">
        <v>0</v>
      </c>
      <c r="AI90" s="428">
        <v>0</v>
      </c>
      <c r="AJ90" s="428">
        <v>0</v>
      </c>
      <c r="AK90" s="428">
        <v>0</v>
      </c>
      <c r="AL90" s="428">
        <v>0</v>
      </c>
      <c r="AM90" s="428">
        <v>0</v>
      </c>
      <c r="AN90" s="428">
        <v>0</v>
      </c>
    </row>
    <row r="91" spans="1:40" s="29" customFormat="1" ht="19" customHeight="1" x14ac:dyDescent="0.35">
      <c r="A91" s="429">
        <v>12</v>
      </c>
      <c r="B91" s="427" t="str">
        <f>PETUNJUK!B20</f>
        <v>Gerdu</v>
      </c>
      <c r="C91" s="428">
        <f>'1.DATA KIA'!F88</f>
        <v>3</v>
      </c>
      <c r="D91" s="428">
        <v>0</v>
      </c>
      <c r="E91" s="428">
        <v>0</v>
      </c>
      <c r="F91" s="428">
        <f>'1.DATA KIA'!J88</f>
        <v>0</v>
      </c>
      <c r="G91" s="428">
        <v>0</v>
      </c>
      <c r="H91" s="428">
        <v>0</v>
      </c>
      <c r="I91" s="428">
        <f t="shared" si="16"/>
        <v>3</v>
      </c>
      <c r="J91" s="428">
        <v>1</v>
      </c>
      <c r="K91" s="428">
        <f t="shared" si="17"/>
        <v>0</v>
      </c>
      <c r="L91" s="428">
        <v>0</v>
      </c>
      <c r="M91" s="428">
        <f t="shared" si="18"/>
        <v>3</v>
      </c>
      <c r="N91" s="428">
        <v>0</v>
      </c>
      <c r="O91" s="428">
        <v>0</v>
      </c>
      <c r="P91" s="428">
        <v>0</v>
      </c>
      <c r="Q91" s="428">
        <f t="shared" si="19"/>
        <v>3</v>
      </c>
      <c r="R91" s="428">
        <v>0</v>
      </c>
      <c r="S91" s="428">
        <v>0</v>
      </c>
      <c r="T91" s="428">
        <v>0</v>
      </c>
      <c r="U91" s="428">
        <v>0</v>
      </c>
      <c r="V91" s="428">
        <v>0</v>
      </c>
      <c r="W91" s="428">
        <v>0</v>
      </c>
      <c r="X91" s="428">
        <v>0</v>
      </c>
      <c r="Y91" s="428">
        <v>0</v>
      </c>
      <c r="Z91" s="428">
        <v>0</v>
      </c>
      <c r="AA91" s="428">
        <v>0</v>
      </c>
      <c r="AB91" s="428">
        <v>0</v>
      </c>
      <c r="AC91" s="428">
        <v>0</v>
      </c>
      <c r="AD91" s="428">
        <f t="shared" si="20"/>
        <v>3</v>
      </c>
      <c r="AE91" s="428">
        <v>0</v>
      </c>
      <c r="AF91" s="428">
        <v>0</v>
      </c>
      <c r="AG91" s="428">
        <f t="shared" si="21"/>
        <v>3</v>
      </c>
      <c r="AH91" s="428">
        <v>0</v>
      </c>
      <c r="AI91" s="428">
        <v>0</v>
      </c>
      <c r="AJ91" s="428">
        <v>0</v>
      </c>
      <c r="AK91" s="428">
        <v>0</v>
      </c>
      <c r="AL91" s="428">
        <v>0</v>
      </c>
      <c r="AM91" s="428">
        <v>0</v>
      </c>
      <c r="AN91" s="428">
        <v>0</v>
      </c>
    </row>
    <row r="92" spans="1:40" s="29" customFormat="1" ht="19" customHeight="1" x14ac:dyDescent="0.35">
      <c r="A92" s="429">
        <v>13</v>
      </c>
      <c r="B92" s="427"/>
      <c r="C92" s="428"/>
      <c r="D92" s="428"/>
      <c r="E92" s="428"/>
      <c r="F92" s="428"/>
      <c r="G92" s="428"/>
      <c r="H92" s="428"/>
      <c r="I92" s="428"/>
      <c r="J92" s="428"/>
      <c r="K92" s="428"/>
      <c r="L92" s="428"/>
      <c r="M92" s="428"/>
      <c r="N92" s="428"/>
      <c r="O92" s="428"/>
      <c r="P92" s="428"/>
      <c r="Q92" s="428"/>
      <c r="R92" s="428"/>
      <c r="S92" s="428"/>
      <c r="T92" s="428"/>
      <c r="U92" s="428"/>
      <c r="V92" s="428"/>
      <c r="W92" s="428"/>
      <c r="X92" s="428"/>
      <c r="Y92" s="428"/>
      <c r="Z92" s="428"/>
      <c r="AA92" s="428"/>
      <c r="AB92" s="428"/>
      <c r="AC92" s="428"/>
      <c r="AD92" s="428"/>
      <c r="AE92" s="428"/>
      <c r="AF92" s="428"/>
      <c r="AG92" s="428"/>
      <c r="AH92" s="428"/>
      <c r="AI92" s="428"/>
      <c r="AJ92" s="428"/>
      <c r="AK92" s="428"/>
      <c r="AL92" s="428"/>
      <c r="AM92" s="428"/>
      <c r="AN92" s="428"/>
    </row>
    <row r="93" spans="1:40" s="29" customFormat="1" ht="19" customHeight="1" x14ac:dyDescent="0.35">
      <c r="A93" s="429">
        <v>14</v>
      </c>
      <c r="B93" s="427"/>
      <c r="C93" s="428"/>
      <c r="D93" s="428"/>
      <c r="E93" s="428"/>
      <c r="F93" s="428"/>
      <c r="G93" s="428"/>
      <c r="H93" s="428"/>
      <c r="I93" s="428"/>
      <c r="J93" s="428"/>
      <c r="K93" s="428"/>
      <c r="L93" s="428"/>
      <c r="M93" s="428"/>
      <c r="N93" s="428"/>
      <c r="O93" s="428"/>
      <c r="P93" s="428"/>
      <c r="Q93" s="428"/>
      <c r="R93" s="428"/>
      <c r="S93" s="428"/>
      <c r="T93" s="428"/>
      <c r="U93" s="428"/>
      <c r="V93" s="428"/>
      <c r="W93" s="428"/>
      <c r="X93" s="428"/>
      <c r="Y93" s="428"/>
      <c r="Z93" s="428"/>
      <c r="AA93" s="428"/>
      <c r="AB93" s="428"/>
      <c r="AC93" s="428"/>
      <c r="AD93" s="428"/>
      <c r="AE93" s="428"/>
      <c r="AF93" s="428"/>
      <c r="AG93" s="428"/>
      <c r="AH93" s="428"/>
      <c r="AI93" s="428"/>
      <c r="AJ93" s="428"/>
      <c r="AK93" s="428"/>
      <c r="AL93" s="428"/>
      <c r="AM93" s="428"/>
      <c r="AN93" s="428"/>
    </row>
    <row r="94" spans="1:40" s="29" customFormat="1" ht="19" customHeight="1" x14ac:dyDescent="0.35">
      <c r="A94" s="429">
        <v>15</v>
      </c>
      <c r="B94" s="427"/>
      <c r="C94" s="428"/>
      <c r="D94" s="428"/>
      <c r="E94" s="428"/>
      <c r="F94" s="428"/>
      <c r="G94" s="428"/>
      <c r="H94" s="428"/>
      <c r="I94" s="428"/>
      <c r="J94" s="428"/>
      <c r="K94" s="428"/>
      <c r="L94" s="428"/>
      <c r="M94" s="428"/>
      <c r="N94" s="428"/>
      <c r="O94" s="428"/>
      <c r="P94" s="428"/>
      <c r="Q94" s="428"/>
      <c r="R94" s="428"/>
      <c r="S94" s="428"/>
      <c r="T94" s="428"/>
      <c r="U94" s="428"/>
      <c r="V94" s="428"/>
      <c r="W94" s="428"/>
      <c r="X94" s="428"/>
      <c r="Y94" s="428"/>
      <c r="Z94" s="428"/>
      <c r="AA94" s="428"/>
      <c r="AB94" s="428"/>
      <c r="AC94" s="428"/>
      <c r="AD94" s="428"/>
      <c r="AE94" s="428"/>
      <c r="AF94" s="428"/>
      <c r="AG94" s="428"/>
      <c r="AH94" s="428"/>
      <c r="AI94" s="428"/>
      <c r="AJ94" s="428"/>
      <c r="AK94" s="428"/>
      <c r="AL94" s="428"/>
      <c r="AM94" s="428"/>
      <c r="AN94" s="428"/>
    </row>
    <row r="95" spans="1:40" s="29" customFormat="1" ht="19" customHeight="1" x14ac:dyDescent="0.35">
      <c r="A95" s="429">
        <v>16</v>
      </c>
      <c r="B95" s="427"/>
      <c r="C95" s="428"/>
      <c r="D95" s="428"/>
      <c r="E95" s="428"/>
      <c r="F95" s="428"/>
      <c r="G95" s="428"/>
      <c r="H95" s="428"/>
      <c r="I95" s="428"/>
      <c r="J95" s="428"/>
      <c r="K95" s="428"/>
      <c r="L95" s="428"/>
      <c r="M95" s="428"/>
      <c r="N95" s="428"/>
      <c r="O95" s="428"/>
      <c r="P95" s="428"/>
      <c r="Q95" s="428"/>
      <c r="R95" s="428"/>
      <c r="S95" s="428"/>
      <c r="T95" s="428"/>
      <c r="U95" s="428"/>
      <c r="V95" s="428"/>
      <c r="W95" s="428"/>
      <c r="X95" s="428"/>
      <c r="Y95" s="428"/>
      <c r="Z95" s="428"/>
      <c r="AA95" s="428"/>
      <c r="AB95" s="428"/>
      <c r="AC95" s="428"/>
      <c r="AD95" s="428"/>
      <c r="AE95" s="428"/>
      <c r="AF95" s="428"/>
      <c r="AG95" s="428"/>
      <c r="AH95" s="428"/>
      <c r="AI95" s="428"/>
      <c r="AJ95" s="428"/>
      <c r="AK95" s="428"/>
      <c r="AL95" s="428"/>
      <c r="AM95" s="428"/>
      <c r="AN95" s="428"/>
    </row>
    <row r="96" spans="1:40" s="29" customFormat="1" ht="19" customHeight="1" x14ac:dyDescent="0.35">
      <c r="A96" s="429">
        <v>17</v>
      </c>
      <c r="B96" s="427"/>
      <c r="C96" s="428"/>
      <c r="D96" s="428"/>
      <c r="E96" s="428"/>
      <c r="F96" s="428"/>
      <c r="G96" s="428"/>
      <c r="H96" s="428"/>
      <c r="I96" s="428"/>
      <c r="J96" s="428"/>
      <c r="K96" s="428"/>
      <c r="L96" s="428"/>
      <c r="M96" s="428"/>
      <c r="N96" s="428"/>
      <c r="O96" s="428"/>
      <c r="P96" s="428"/>
      <c r="Q96" s="428"/>
      <c r="R96" s="428"/>
      <c r="S96" s="428"/>
      <c r="T96" s="428"/>
      <c r="U96" s="428"/>
      <c r="V96" s="428"/>
      <c r="W96" s="428"/>
      <c r="X96" s="428"/>
      <c r="Y96" s="428"/>
      <c r="Z96" s="428"/>
      <c r="AA96" s="428"/>
      <c r="AB96" s="428"/>
      <c r="AC96" s="428"/>
      <c r="AD96" s="428"/>
      <c r="AE96" s="428"/>
      <c r="AF96" s="428"/>
      <c r="AG96" s="428"/>
      <c r="AH96" s="428"/>
      <c r="AI96" s="428"/>
      <c r="AJ96" s="428"/>
      <c r="AK96" s="428"/>
      <c r="AL96" s="428"/>
      <c r="AM96" s="428"/>
      <c r="AN96" s="428"/>
    </row>
    <row r="97" spans="1:43" s="29" customFormat="1" ht="19" customHeight="1" x14ac:dyDescent="0.35">
      <c r="A97" s="429">
        <v>18</v>
      </c>
      <c r="B97" s="427"/>
      <c r="C97" s="428"/>
      <c r="D97" s="428"/>
      <c r="E97" s="428"/>
      <c r="F97" s="428"/>
      <c r="G97" s="428"/>
      <c r="H97" s="428"/>
      <c r="I97" s="428"/>
      <c r="J97" s="428"/>
      <c r="K97" s="428"/>
      <c r="L97" s="428"/>
      <c r="M97" s="428"/>
      <c r="N97" s="428"/>
      <c r="O97" s="428"/>
      <c r="P97" s="428"/>
      <c r="Q97" s="428"/>
      <c r="R97" s="428"/>
      <c r="S97" s="428"/>
      <c r="T97" s="428"/>
      <c r="U97" s="428"/>
      <c r="V97" s="428"/>
      <c r="W97" s="428"/>
      <c r="X97" s="428"/>
      <c r="Y97" s="428"/>
      <c r="Z97" s="428"/>
      <c r="AA97" s="428"/>
      <c r="AB97" s="428"/>
      <c r="AC97" s="428"/>
      <c r="AD97" s="428"/>
      <c r="AE97" s="428"/>
      <c r="AF97" s="428"/>
      <c r="AG97" s="428"/>
      <c r="AH97" s="428"/>
      <c r="AI97" s="428"/>
      <c r="AJ97" s="428"/>
      <c r="AK97" s="428"/>
      <c r="AL97" s="428"/>
      <c r="AM97" s="428"/>
      <c r="AN97" s="428"/>
    </row>
    <row r="98" spans="1:43" s="29" customFormat="1" ht="19" customHeight="1" x14ac:dyDescent="0.35">
      <c r="A98" s="429">
        <v>19</v>
      </c>
      <c r="B98" s="427"/>
      <c r="C98" s="428"/>
      <c r="D98" s="428"/>
      <c r="E98" s="428"/>
      <c r="F98" s="428"/>
      <c r="G98" s="428"/>
      <c r="H98" s="428"/>
      <c r="I98" s="428"/>
      <c r="J98" s="428"/>
      <c r="K98" s="428"/>
      <c r="L98" s="428"/>
      <c r="M98" s="428"/>
      <c r="N98" s="428"/>
      <c r="O98" s="428"/>
      <c r="P98" s="428"/>
      <c r="Q98" s="428"/>
      <c r="R98" s="428"/>
      <c r="S98" s="428"/>
      <c r="T98" s="428"/>
      <c r="U98" s="428"/>
      <c r="V98" s="428"/>
      <c r="W98" s="428"/>
      <c r="X98" s="428"/>
      <c r="Y98" s="428"/>
      <c r="Z98" s="428"/>
      <c r="AA98" s="428"/>
      <c r="AB98" s="428"/>
      <c r="AC98" s="428"/>
      <c r="AD98" s="428"/>
      <c r="AE98" s="428"/>
      <c r="AF98" s="428"/>
      <c r="AG98" s="428"/>
      <c r="AH98" s="428"/>
      <c r="AI98" s="428"/>
      <c r="AJ98" s="428"/>
      <c r="AK98" s="428"/>
      <c r="AL98" s="428"/>
      <c r="AM98" s="428"/>
      <c r="AN98" s="428"/>
    </row>
    <row r="99" spans="1:43" s="29" customFormat="1" ht="19" customHeight="1" x14ac:dyDescent="0.35">
      <c r="A99" s="429">
        <v>20</v>
      </c>
      <c r="B99" s="427"/>
      <c r="C99" s="428"/>
      <c r="D99" s="428"/>
      <c r="E99" s="428"/>
      <c r="F99" s="428"/>
      <c r="G99" s="428"/>
      <c r="H99" s="428"/>
      <c r="I99" s="428"/>
      <c r="J99" s="428"/>
      <c r="K99" s="428"/>
      <c r="L99" s="428"/>
      <c r="M99" s="428"/>
      <c r="N99" s="428"/>
      <c r="O99" s="428"/>
      <c r="P99" s="428"/>
      <c r="Q99" s="428"/>
      <c r="R99" s="428"/>
      <c r="S99" s="428"/>
      <c r="T99" s="428"/>
      <c r="U99" s="428"/>
      <c r="V99" s="428"/>
      <c r="W99" s="428"/>
      <c r="X99" s="428"/>
      <c r="Y99" s="428"/>
      <c r="Z99" s="428"/>
      <c r="AA99" s="428"/>
      <c r="AB99" s="428"/>
      <c r="AC99" s="428"/>
      <c r="AD99" s="428"/>
      <c r="AE99" s="428"/>
      <c r="AF99" s="428"/>
      <c r="AG99" s="428"/>
      <c r="AH99" s="428"/>
      <c r="AI99" s="428"/>
      <c r="AJ99" s="428"/>
      <c r="AK99" s="428"/>
      <c r="AL99" s="428"/>
      <c r="AM99" s="428"/>
      <c r="AN99" s="428"/>
    </row>
    <row r="100" spans="1:43" s="29" customFormat="1" ht="19" customHeight="1" x14ac:dyDescent="0.35">
      <c r="A100" s="429">
        <v>21</v>
      </c>
      <c r="B100" s="427"/>
      <c r="C100" s="428"/>
      <c r="D100" s="428"/>
      <c r="E100" s="428"/>
      <c r="F100" s="428"/>
      <c r="G100" s="428"/>
      <c r="H100" s="428"/>
      <c r="I100" s="428"/>
      <c r="J100" s="428"/>
      <c r="K100" s="428"/>
      <c r="L100" s="428"/>
      <c r="M100" s="428"/>
      <c r="N100" s="428"/>
      <c r="O100" s="428"/>
      <c r="P100" s="428"/>
      <c r="Q100" s="428"/>
      <c r="R100" s="428"/>
      <c r="S100" s="428"/>
      <c r="T100" s="428"/>
      <c r="U100" s="428"/>
      <c r="V100" s="428"/>
      <c r="W100" s="428"/>
      <c r="X100" s="428"/>
      <c r="Y100" s="428"/>
      <c r="Z100" s="428"/>
      <c r="AA100" s="428"/>
      <c r="AB100" s="428"/>
      <c r="AC100" s="428"/>
      <c r="AD100" s="428"/>
      <c r="AE100" s="428"/>
      <c r="AF100" s="428"/>
      <c r="AG100" s="428"/>
      <c r="AH100" s="428"/>
      <c r="AI100" s="428"/>
      <c r="AJ100" s="428"/>
      <c r="AK100" s="428"/>
      <c r="AL100" s="428"/>
      <c r="AM100" s="428"/>
      <c r="AN100" s="428"/>
    </row>
    <row r="101" spans="1:43" s="29" customFormat="1" ht="19" customHeight="1" x14ac:dyDescent="0.35">
      <c r="A101" s="429">
        <v>22</v>
      </c>
      <c r="B101" s="427"/>
      <c r="C101" s="428"/>
      <c r="D101" s="428"/>
      <c r="E101" s="428"/>
      <c r="F101" s="428"/>
      <c r="G101" s="428"/>
      <c r="H101" s="428"/>
      <c r="I101" s="428"/>
      <c r="J101" s="428"/>
      <c r="K101" s="428"/>
      <c r="L101" s="428"/>
      <c r="M101" s="428"/>
      <c r="N101" s="428"/>
      <c r="O101" s="428"/>
      <c r="P101" s="428"/>
      <c r="Q101" s="428"/>
      <c r="R101" s="428"/>
      <c r="S101" s="428"/>
      <c r="T101" s="428"/>
      <c r="U101" s="428"/>
      <c r="V101" s="428"/>
      <c r="W101" s="428"/>
      <c r="X101" s="428"/>
      <c r="Y101" s="428"/>
      <c r="Z101" s="428"/>
      <c r="AA101" s="428"/>
      <c r="AB101" s="428"/>
      <c r="AC101" s="428"/>
      <c r="AD101" s="428"/>
      <c r="AE101" s="428"/>
      <c r="AF101" s="428"/>
      <c r="AG101" s="428"/>
      <c r="AH101" s="428"/>
      <c r="AI101" s="428"/>
      <c r="AJ101" s="428"/>
      <c r="AK101" s="428"/>
      <c r="AL101" s="428"/>
      <c r="AM101" s="428"/>
      <c r="AN101" s="428"/>
    </row>
    <row r="102" spans="1:43" s="430" customFormat="1" ht="19" customHeight="1" x14ac:dyDescent="0.35">
      <c r="A102" s="419"/>
      <c r="B102" s="419" t="s">
        <v>17</v>
      </c>
      <c r="C102" s="420">
        <f>SUM(C80:C101)</f>
        <v>78</v>
      </c>
      <c r="D102" s="419">
        <f t="shared" ref="D102:AN102" si="22">SUM(D80:D101)</f>
        <v>9</v>
      </c>
      <c r="E102" s="419">
        <f t="shared" si="22"/>
        <v>0</v>
      </c>
      <c r="F102" s="419">
        <f>SUM(F80:F101)</f>
        <v>65</v>
      </c>
      <c r="G102" s="419">
        <f t="shared" ref="G102:H102" si="23">SUM(G80:G101)</f>
        <v>13</v>
      </c>
      <c r="H102" s="419">
        <f t="shared" si="23"/>
        <v>0</v>
      </c>
      <c r="I102" s="419">
        <f t="shared" si="22"/>
        <v>78</v>
      </c>
      <c r="J102" s="419">
        <f t="shared" si="22"/>
        <v>7</v>
      </c>
      <c r="K102" s="419">
        <f t="shared" si="22"/>
        <v>65</v>
      </c>
      <c r="L102" s="419">
        <f t="shared" si="22"/>
        <v>6</v>
      </c>
      <c r="M102" s="419">
        <f t="shared" si="22"/>
        <v>78</v>
      </c>
      <c r="N102" s="419">
        <f t="shared" si="22"/>
        <v>14</v>
      </c>
      <c r="O102" s="419">
        <f t="shared" si="22"/>
        <v>0</v>
      </c>
      <c r="P102" s="419">
        <f t="shared" si="22"/>
        <v>0</v>
      </c>
      <c r="Q102" s="419">
        <f t="shared" si="22"/>
        <v>78</v>
      </c>
      <c r="R102" s="419">
        <f t="shared" si="22"/>
        <v>0</v>
      </c>
      <c r="S102" s="419">
        <f t="shared" si="22"/>
        <v>0</v>
      </c>
      <c r="T102" s="419">
        <f t="shared" si="22"/>
        <v>0</v>
      </c>
      <c r="U102" s="419">
        <f t="shared" si="22"/>
        <v>0</v>
      </c>
      <c r="V102" s="419">
        <f t="shared" si="22"/>
        <v>0</v>
      </c>
      <c r="W102" s="419">
        <f t="shared" si="22"/>
        <v>0</v>
      </c>
      <c r="X102" s="419">
        <f t="shared" si="22"/>
        <v>0</v>
      </c>
      <c r="Y102" s="419">
        <f t="shared" si="22"/>
        <v>0</v>
      </c>
      <c r="Z102" s="419">
        <f t="shared" si="22"/>
        <v>0</v>
      </c>
      <c r="AA102" s="419">
        <f t="shared" si="22"/>
        <v>0</v>
      </c>
      <c r="AB102" s="419">
        <f t="shared" si="22"/>
        <v>0</v>
      </c>
      <c r="AC102" s="419">
        <f t="shared" si="22"/>
        <v>0</v>
      </c>
      <c r="AD102" s="419">
        <f t="shared" si="22"/>
        <v>78</v>
      </c>
      <c r="AE102" s="419">
        <f t="shared" si="22"/>
        <v>0</v>
      </c>
      <c r="AF102" s="419">
        <f t="shared" si="22"/>
        <v>0</v>
      </c>
      <c r="AG102" s="419">
        <f t="shared" si="22"/>
        <v>78</v>
      </c>
      <c r="AH102" s="419">
        <f t="shared" si="22"/>
        <v>2</v>
      </c>
      <c r="AI102" s="419">
        <f t="shared" si="22"/>
        <v>0</v>
      </c>
      <c r="AJ102" s="677">
        <f t="shared" si="22"/>
        <v>0</v>
      </c>
      <c r="AK102" s="677">
        <f t="shared" si="22"/>
        <v>0</v>
      </c>
      <c r="AL102" s="677">
        <f t="shared" si="22"/>
        <v>0</v>
      </c>
      <c r="AM102" s="677">
        <f t="shared" si="22"/>
        <v>0</v>
      </c>
      <c r="AN102" s="677">
        <f t="shared" si="22"/>
        <v>0</v>
      </c>
    </row>
    <row r="103" spans="1:43" ht="19" customHeight="1" x14ac:dyDescent="0.35">
      <c r="A103" s="30"/>
      <c r="B103" s="30"/>
      <c r="C103" s="541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</row>
    <row r="104" spans="1:43" ht="19" customHeight="1" x14ac:dyDescent="0.35">
      <c r="A104" s="30"/>
      <c r="B104" s="30"/>
      <c r="C104" s="541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</row>
    <row r="105" spans="1:43" ht="19" customHeight="1" x14ac:dyDescent="0.35">
      <c r="A105" s="30"/>
      <c r="B105" s="30"/>
      <c r="C105" s="541"/>
      <c r="D105" s="30"/>
      <c r="E105" s="30"/>
      <c r="F105" s="30"/>
      <c r="G105" s="30" t="s">
        <v>704</v>
      </c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</row>
    <row r="106" spans="1:43" s="418" customFormat="1" ht="19" customHeight="1" x14ac:dyDescent="0.35">
      <c r="A106" s="535" t="s">
        <v>147</v>
      </c>
      <c r="B106" s="535"/>
      <c r="C106" s="536" t="s">
        <v>243</v>
      </c>
      <c r="D106" s="535" t="str">
        <f>D2</f>
        <v>PECANGAAN</v>
      </c>
      <c r="E106" s="535"/>
      <c r="F106" s="535"/>
      <c r="G106" s="535"/>
      <c r="H106" s="535"/>
      <c r="I106" s="537" t="s">
        <v>705</v>
      </c>
      <c r="J106" s="537"/>
      <c r="K106" s="537"/>
      <c r="L106" s="537"/>
      <c r="M106" s="537"/>
      <c r="N106" s="537"/>
      <c r="O106" s="537"/>
      <c r="P106" s="537"/>
      <c r="Q106" s="537"/>
      <c r="R106" s="537"/>
      <c r="S106" s="537"/>
      <c r="T106" s="537"/>
      <c r="U106" s="537"/>
      <c r="V106" s="537"/>
      <c r="W106" s="537"/>
      <c r="X106" s="537"/>
      <c r="Y106" s="537"/>
      <c r="Z106" s="537"/>
      <c r="AA106" s="537"/>
      <c r="AB106" s="537"/>
      <c r="AC106" s="537"/>
      <c r="AD106" s="537"/>
      <c r="AE106" s="537"/>
      <c r="AF106" s="537"/>
      <c r="AG106" s="537"/>
      <c r="AH106" s="537"/>
      <c r="AI106" s="537"/>
      <c r="AJ106" s="537"/>
      <c r="AK106" s="537"/>
      <c r="AL106" s="537"/>
      <c r="AM106" s="537"/>
    </row>
    <row r="107" spans="1:43" s="418" customFormat="1" ht="19" customHeight="1" x14ac:dyDescent="0.35">
      <c r="A107" s="535" t="s">
        <v>242</v>
      </c>
      <c r="B107" s="535"/>
      <c r="C107" s="536" t="s">
        <v>243</v>
      </c>
      <c r="D107" s="538" t="s">
        <v>401</v>
      </c>
      <c r="E107" s="535"/>
      <c r="F107" s="535"/>
      <c r="G107" s="538"/>
      <c r="H107" s="535"/>
      <c r="I107" s="537"/>
      <c r="J107" s="537"/>
      <c r="K107" s="537"/>
      <c r="L107" s="537"/>
      <c r="M107" s="537"/>
      <c r="N107" s="537"/>
      <c r="O107" s="537"/>
      <c r="P107" s="537"/>
      <c r="Q107" s="537"/>
      <c r="R107" s="537"/>
      <c r="S107" s="537"/>
      <c r="T107" s="537"/>
      <c r="U107" s="537"/>
      <c r="V107" s="537"/>
      <c r="W107" s="537"/>
      <c r="X107" s="537"/>
      <c r="Y107" s="537"/>
      <c r="Z107" s="537"/>
      <c r="AA107" s="537"/>
      <c r="AB107" s="537"/>
      <c r="AC107" s="537"/>
      <c r="AD107" s="537"/>
      <c r="AE107" s="537"/>
      <c r="AF107" s="537"/>
      <c r="AG107" s="537"/>
      <c r="AH107" s="537"/>
      <c r="AI107" s="537"/>
      <c r="AJ107" s="537"/>
      <c r="AK107" s="537"/>
      <c r="AL107" s="537"/>
      <c r="AM107" s="537"/>
    </row>
    <row r="108" spans="1:43" ht="19" customHeight="1" x14ac:dyDescent="0.35">
      <c r="A108" s="539"/>
      <c r="B108" s="539"/>
      <c r="C108" s="540"/>
      <c r="D108" s="539"/>
      <c r="E108" s="539"/>
      <c r="F108" s="539"/>
      <c r="G108" s="539"/>
      <c r="H108" s="539"/>
      <c r="I108" s="416"/>
      <c r="J108" s="416"/>
      <c r="K108" s="416"/>
      <c r="L108" s="416"/>
      <c r="M108" s="416"/>
      <c r="N108" s="416"/>
      <c r="O108" s="416"/>
      <c r="P108" s="416"/>
      <c r="Q108" s="416"/>
      <c r="R108" s="416"/>
      <c r="S108" s="416"/>
      <c r="T108" s="416"/>
      <c r="U108" s="416"/>
      <c r="V108" s="416"/>
      <c r="W108" s="416"/>
      <c r="X108" s="416"/>
      <c r="Y108" s="416"/>
      <c r="Z108" s="416"/>
      <c r="AA108" s="416"/>
      <c r="AB108" s="416"/>
      <c r="AC108" s="416"/>
      <c r="AD108" s="416"/>
      <c r="AE108" s="416"/>
      <c r="AF108" s="416"/>
      <c r="AG108" s="416"/>
      <c r="AH108" s="416"/>
      <c r="AI108" s="416"/>
      <c r="AJ108" s="416"/>
      <c r="AK108" s="416"/>
      <c r="AL108" s="416"/>
      <c r="AM108" s="416"/>
    </row>
    <row r="109" spans="1:43" ht="19" customHeight="1" x14ac:dyDescent="0.35">
      <c r="A109" s="416"/>
      <c r="B109" s="416"/>
      <c r="C109" s="417"/>
      <c r="D109" s="416"/>
      <c r="E109" s="416"/>
      <c r="F109" s="416"/>
      <c r="G109" s="416"/>
      <c r="H109" s="416"/>
      <c r="I109" s="416"/>
      <c r="J109" s="416"/>
      <c r="K109" s="416"/>
      <c r="L109" s="416"/>
      <c r="M109" s="416"/>
      <c r="N109" s="416"/>
      <c r="O109" s="416"/>
      <c r="P109" s="416"/>
      <c r="Q109" s="416"/>
      <c r="R109" s="416"/>
      <c r="S109" s="416"/>
      <c r="T109" s="416"/>
      <c r="U109" s="416"/>
      <c r="V109" s="416"/>
      <c r="W109" s="416"/>
      <c r="X109" s="416"/>
      <c r="Y109" s="416"/>
      <c r="Z109" s="416"/>
      <c r="AA109" s="416"/>
      <c r="AB109" s="416"/>
      <c r="AC109" s="416"/>
      <c r="AD109" s="416"/>
      <c r="AE109" s="416"/>
      <c r="AF109" s="416"/>
      <c r="AG109" s="416"/>
      <c r="AH109" s="416"/>
      <c r="AI109" s="416"/>
      <c r="AJ109" s="416"/>
      <c r="AK109" s="416"/>
      <c r="AL109" s="416"/>
      <c r="AM109" s="416"/>
    </row>
    <row r="110" spans="1:43" s="421" customFormat="1" ht="19" customHeight="1" x14ac:dyDescent="0.35">
      <c r="A110" s="967" t="s">
        <v>244</v>
      </c>
      <c r="B110" s="967" t="s">
        <v>151</v>
      </c>
      <c r="C110" s="960" t="s">
        <v>311</v>
      </c>
      <c r="D110" s="960"/>
      <c r="E110" s="960"/>
      <c r="F110" s="960" t="s">
        <v>312</v>
      </c>
      <c r="G110" s="960"/>
      <c r="H110" s="960"/>
      <c r="I110" s="960" t="s">
        <v>33</v>
      </c>
      <c r="J110" s="960"/>
      <c r="K110" s="970" t="s">
        <v>245</v>
      </c>
      <c r="L110" s="970"/>
      <c r="M110" s="970" t="s">
        <v>246</v>
      </c>
      <c r="N110" s="970"/>
      <c r="O110" s="960" t="s">
        <v>247</v>
      </c>
      <c r="P110" s="960"/>
      <c r="Q110" s="960"/>
      <c r="R110" s="960"/>
      <c r="S110" s="960"/>
      <c r="T110" s="960"/>
      <c r="U110" s="960"/>
      <c r="V110" s="960"/>
      <c r="W110" s="960"/>
      <c r="X110" s="971" t="s">
        <v>247</v>
      </c>
      <c r="Y110" s="960"/>
      <c r="Z110" s="960"/>
      <c r="AA110" s="960"/>
      <c r="AB110" s="960"/>
      <c r="AC110" s="960"/>
      <c r="AD110" s="960"/>
      <c r="AE110" s="960"/>
      <c r="AF110" s="960"/>
      <c r="AG110" s="960"/>
      <c r="AH110" s="960"/>
      <c r="AI110" s="960"/>
      <c r="AJ110" s="975" t="s">
        <v>248</v>
      </c>
      <c r="AK110" s="975"/>
      <c r="AL110" s="975"/>
      <c r="AM110" s="975"/>
      <c r="AN110" s="975"/>
    </row>
    <row r="111" spans="1:43" s="421" customFormat="1" ht="19" customHeight="1" x14ac:dyDescent="0.35">
      <c r="A111" s="968"/>
      <c r="B111" s="968"/>
      <c r="C111" s="961" t="s">
        <v>249</v>
      </c>
      <c r="D111" s="972" t="s">
        <v>250</v>
      </c>
      <c r="E111" s="961" t="s">
        <v>251</v>
      </c>
      <c r="F111" s="961" t="s">
        <v>249</v>
      </c>
      <c r="G111" s="961" t="s">
        <v>250</v>
      </c>
      <c r="H111" s="961" t="s">
        <v>251</v>
      </c>
      <c r="I111" s="961" t="s">
        <v>252</v>
      </c>
      <c r="J111" s="961" t="s">
        <v>253</v>
      </c>
      <c r="K111" s="961" t="s">
        <v>254</v>
      </c>
      <c r="L111" s="961" t="s">
        <v>255</v>
      </c>
      <c r="M111" s="961" t="s">
        <v>254</v>
      </c>
      <c r="N111" s="961" t="s">
        <v>256</v>
      </c>
      <c r="O111" s="965" t="s">
        <v>257</v>
      </c>
      <c r="P111" s="965"/>
      <c r="Q111" s="965"/>
      <c r="R111" s="965"/>
      <c r="S111" s="965"/>
      <c r="T111" s="965" t="s">
        <v>258</v>
      </c>
      <c r="U111" s="965"/>
      <c r="V111" s="965"/>
      <c r="W111" s="965"/>
      <c r="X111" s="966" t="s">
        <v>259</v>
      </c>
      <c r="Y111" s="965"/>
      <c r="Z111" s="965"/>
      <c r="AA111" s="965" t="s">
        <v>260</v>
      </c>
      <c r="AB111" s="965"/>
      <c r="AC111" s="965"/>
      <c r="AD111" s="965" t="s">
        <v>261</v>
      </c>
      <c r="AE111" s="965"/>
      <c r="AF111" s="965"/>
      <c r="AG111" s="965" t="s">
        <v>262</v>
      </c>
      <c r="AH111" s="965"/>
      <c r="AI111" s="965"/>
      <c r="AJ111" s="964" t="s">
        <v>421</v>
      </c>
      <c r="AK111" s="964" t="s">
        <v>263</v>
      </c>
      <c r="AL111" s="964" t="s">
        <v>264</v>
      </c>
      <c r="AM111" s="964" t="s">
        <v>265</v>
      </c>
      <c r="AN111" s="964" t="s">
        <v>424</v>
      </c>
      <c r="AO111" s="423"/>
      <c r="AP111" s="423"/>
      <c r="AQ111" s="423"/>
    </row>
    <row r="112" spans="1:43" s="421" customFormat="1" ht="19" customHeight="1" x14ac:dyDescent="0.35">
      <c r="A112" s="968"/>
      <c r="B112" s="968"/>
      <c r="C112" s="962"/>
      <c r="D112" s="973"/>
      <c r="E112" s="962"/>
      <c r="F112" s="962"/>
      <c r="G112" s="962"/>
      <c r="H112" s="962"/>
      <c r="I112" s="962"/>
      <c r="J112" s="962"/>
      <c r="K112" s="962"/>
      <c r="L112" s="962"/>
      <c r="M112" s="962"/>
      <c r="N112" s="962"/>
      <c r="O112" s="965" t="s">
        <v>266</v>
      </c>
      <c r="P112" s="965" t="s">
        <v>267</v>
      </c>
      <c r="Q112" s="965" t="s">
        <v>268</v>
      </c>
      <c r="R112" s="965" t="s">
        <v>269</v>
      </c>
      <c r="S112" s="965"/>
      <c r="T112" s="965" t="s">
        <v>270</v>
      </c>
      <c r="U112" s="965" t="s">
        <v>271</v>
      </c>
      <c r="V112" s="965" t="s">
        <v>272</v>
      </c>
      <c r="W112" s="965" t="s">
        <v>273</v>
      </c>
      <c r="X112" s="966" t="s">
        <v>274</v>
      </c>
      <c r="Y112" s="965" t="s">
        <v>275</v>
      </c>
      <c r="Z112" s="965" t="s">
        <v>276</v>
      </c>
      <c r="AA112" s="965" t="s">
        <v>277</v>
      </c>
      <c r="AB112" s="965" t="s">
        <v>278</v>
      </c>
      <c r="AC112" s="965" t="s">
        <v>279</v>
      </c>
      <c r="AD112" s="965" t="s">
        <v>280</v>
      </c>
      <c r="AE112" s="965" t="s">
        <v>281</v>
      </c>
      <c r="AF112" s="965" t="s">
        <v>282</v>
      </c>
      <c r="AG112" s="965" t="s">
        <v>283</v>
      </c>
      <c r="AH112" s="965" t="s">
        <v>284</v>
      </c>
      <c r="AI112" s="965" t="s">
        <v>279</v>
      </c>
      <c r="AJ112" s="964"/>
      <c r="AK112" s="964"/>
      <c r="AL112" s="964"/>
      <c r="AM112" s="964"/>
      <c r="AN112" s="964"/>
      <c r="AO112" s="423"/>
      <c r="AP112" s="423"/>
      <c r="AQ112" s="423"/>
    </row>
    <row r="113" spans="1:43" s="421" customFormat="1" ht="19" customHeight="1" x14ac:dyDescent="0.35">
      <c r="A113" s="969"/>
      <c r="B113" s="969"/>
      <c r="C113" s="963"/>
      <c r="D113" s="974"/>
      <c r="E113" s="963"/>
      <c r="F113" s="963"/>
      <c r="G113" s="963"/>
      <c r="H113" s="963"/>
      <c r="I113" s="963"/>
      <c r="J113" s="963"/>
      <c r="K113" s="963"/>
      <c r="L113" s="963"/>
      <c r="M113" s="963"/>
      <c r="N113" s="963"/>
      <c r="O113" s="965"/>
      <c r="P113" s="965"/>
      <c r="Q113" s="965"/>
      <c r="R113" s="422" t="s">
        <v>285</v>
      </c>
      <c r="S113" s="422" t="s">
        <v>286</v>
      </c>
      <c r="T113" s="965"/>
      <c r="U113" s="965"/>
      <c r="V113" s="965"/>
      <c r="W113" s="965"/>
      <c r="X113" s="966"/>
      <c r="Y113" s="965"/>
      <c r="Z113" s="965"/>
      <c r="AA113" s="965"/>
      <c r="AB113" s="965"/>
      <c r="AC113" s="965"/>
      <c r="AD113" s="965"/>
      <c r="AE113" s="965"/>
      <c r="AF113" s="965"/>
      <c r="AG113" s="965"/>
      <c r="AH113" s="965"/>
      <c r="AI113" s="965"/>
      <c r="AJ113" s="964"/>
      <c r="AK113" s="964"/>
      <c r="AL113" s="964"/>
      <c r="AM113" s="964"/>
      <c r="AN113" s="964"/>
      <c r="AO113" s="423"/>
      <c r="AP113" s="423"/>
      <c r="AQ113" s="423"/>
    </row>
    <row r="114" spans="1:43" s="421" customFormat="1" ht="19" customHeight="1" thickBot="1" x14ac:dyDescent="0.4">
      <c r="A114" s="424">
        <v>1</v>
      </c>
      <c r="B114" s="424">
        <v>2</v>
      </c>
      <c r="C114" s="425">
        <v>3</v>
      </c>
      <c r="D114" s="424">
        <v>4</v>
      </c>
      <c r="E114" s="424">
        <v>5</v>
      </c>
      <c r="F114" s="424">
        <v>6</v>
      </c>
      <c r="G114" s="424">
        <v>7</v>
      </c>
      <c r="H114" s="424">
        <v>8</v>
      </c>
      <c r="I114" s="424">
        <v>9</v>
      </c>
      <c r="J114" s="424">
        <v>10</v>
      </c>
      <c r="K114" s="424">
        <v>11</v>
      </c>
      <c r="L114" s="424">
        <v>12</v>
      </c>
      <c r="M114" s="424">
        <v>13</v>
      </c>
      <c r="N114" s="424">
        <v>14</v>
      </c>
      <c r="O114" s="424">
        <v>15</v>
      </c>
      <c r="P114" s="424">
        <v>16</v>
      </c>
      <c r="Q114" s="424">
        <v>17</v>
      </c>
      <c r="R114" s="424">
        <v>18</v>
      </c>
      <c r="S114" s="424">
        <v>19</v>
      </c>
      <c r="T114" s="424">
        <v>20</v>
      </c>
      <c r="U114" s="424">
        <v>21</v>
      </c>
      <c r="V114" s="424">
        <v>22</v>
      </c>
      <c r="W114" s="424">
        <v>23</v>
      </c>
      <c r="X114" s="424">
        <v>24</v>
      </c>
      <c r="Y114" s="424">
        <v>25</v>
      </c>
      <c r="Z114" s="424">
        <v>26</v>
      </c>
      <c r="AA114" s="424">
        <v>27</v>
      </c>
      <c r="AB114" s="424">
        <v>28</v>
      </c>
      <c r="AC114" s="424">
        <v>29</v>
      </c>
      <c r="AD114" s="424">
        <v>30</v>
      </c>
      <c r="AE114" s="424">
        <v>31</v>
      </c>
      <c r="AF114" s="424">
        <v>32</v>
      </c>
      <c r="AG114" s="424">
        <v>33</v>
      </c>
      <c r="AH114" s="424">
        <v>34</v>
      </c>
      <c r="AI114" s="424">
        <v>35</v>
      </c>
      <c r="AJ114" s="424">
        <v>36</v>
      </c>
      <c r="AK114" s="424">
        <v>37</v>
      </c>
      <c r="AL114" s="424">
        <v>38</v>
      </c>
      <c r="AM114" s="424">
        <v>39</v>
      </c>
      <c r="AN114" s="424">
        <v>40</v>
      </c>
    </row>
    <row r="115" spans="1:43" s="389" customFormat="1" ht="19" customHeight="1" thickTop="1" x14ac:dyDescent="0.35">
      <c r="A115" s="427">
        <v>1</v>
      </c>
      <c r="B115" s="427" t="str">
        <f>PETUNJUK!B9</f>
        <v>Pecangaan Kulon</v>
      </c>
      <c r="C115" s="428">
        <f>'1.DATA KIA'!F111</f>
        <v>8</v>
      </c>
      <c r="D115" s="428"/>
      <c r="E115" s="428"/>
      <c r="F115" s="428">
        <f>'1.DATA KIA'!J111</f>
        <v>7</v>
      </c>
      <c r="G115" s="428">
        <v>2</v>
      </c>
      <c r="H115" s="428"/>
      <c r="I115" s="428">
        <f>C115</f>
        <v>8</v>
      </c>
      <c r="J115" s="428">
        <v>0</v>
      </c>
      <c r="K115" s="428">
        <f>F115</f>
        <v>7</v>
      </c>
      <c r="L115" s="428">
        <v>1</v>
      </c>
      <c r="M115" s="428">
        <f>I115</f>
        <v>8</v>
      </c>
      <c r="N115" s="428">
        <v>4</v>
      </c>
      <c r="O115" s="428"/>
      <c r="P115" s="428"/>
      <c r="Q115" s="428">
        <f>C115</f>
        <v>8</v>
      </c>
      <c r="R115" s="428"/>
      <c r="S115" s="428"/>
      <c r="T115" s="428"/>
      <c r="U115" s="428"/>
      <c r="V115" s="428"/>
      <c r="W115" s="428"/>
      <c r="X115" s="428"/>
      <c r="Y115" s="428"/>
      <c r="Z115" s="428"/>
      <c r="AA115" s="428"/>
      <c r="AB115" s="428"/>
      <c r="AC115" s="428"/>
      <c r="AD115" s="428">
        <f>C115</f>
        <v>8</v>
      </c>
      <c r="AE115" s="428"/>
      <c r="AF115" s="428"/>
      <c r="AG115" s="428"/>
      <c r="AH115" s="428">
        <f>AD115</f>
        <v>8</v>
      </c>
      <c r="AI115" s="428"/>
      <c r="AJ115" s="428"/>
      <c r="AK115" s="428"/>
      <c r="AL115" s="428"/>
      <c r="AM115" s="428"/>
      <c r="AN115" s="428"/>
    </row>
    <row r="116" spans="1:43" s="389" customFormat="1" ht="19" customHeight="1" x14ac:dyDescent="0.35">
      <c r="A116" s="429">
        <v>2</v>
      </c>
      <c r="B116" s="427" t="str">
        <f>PETUNJUK!B10</f>
        <v>Rengging</v>
      </c>
      <c r="C116" s="428">
        <f>'1.DATA KIA'!F112</f>
        <v>19</v>
      </c>
      <c r="D116" s="428"/>
      <c r="E116" s="428"/>
      <c r="F116" s="428">
        <f>'1.DATA KIA'!J112</f>
        <v>5</v>
      </c>
      <c r="G116" s="428">
        <v>2</v>
      </c>
      <c r="H116" s="428"/>
      <c r="I116" s="428">
        <f t="shared" ref="I116:I126" si="24">C116</f>
        <v>19</v>
      </c>
      <c r="J116" s="428">
        <v>2</v>
      </c>
      <c r="K116" s="428">
        <f t="shared" ref="K116:K126" si="25">F116</f>
        <v>5</v>
      </c>
      <c r="L116" s="428"/>
      <c r="M116" s="428">
        <f t="shared" ref="M116:M126" si="26">I116</f>
        <v>19</v>
      </c>
      <c r="N116" s="428"/>
      <c r="O116" s="428"/>
      <c r="P116" s="428"/>
      <c r="Q116" s="428">
        <f t="shared" ref="Q116:Q126" si="27">C116</f>
        <v>19</v>
      </c>
      <c r="R116" s="428"/>
      <c r="S116" s="428"/>
      <c r="T116" s="428"/>
      <c r="U116" s="428"/>
      <c r="V116" s="428"/>
      <c r="W116" s="428"/>
      <c r="X116" s="428"/>
      <c r="Y116" s="428"/>
      <c r="Z116" s="428"/>
      <c r="AA116" s="428"/>
      <c r="AB116" s="428"/>
      <c r="AC116" s="428"/>
      <c r="AD116" s="428">
        <f t="shared" ref="AD116:AD126" si="28">C116</f>
        <v>19</v>
      </c>
      <c r="AE116" s="428"/>
      <c r="AF116" s="428"/>
      <c r="AG116" s="428"/>
      <c r="AH116" s="428">
        <f t="shared" ref="AH116:AH126" si="29">AD116</f>
        <v>19</v>
      </c>
      <c r="AI116" s="428"/>
      <c r="AJ116" s="428"/>
      <c r="AK116" s="428"/>
      <c r="AL116" s="428"/>
      <c r="AM116" s="428"/>
      <c r="AN116" s="428"/>
    </row>
    <row r="117" spans="1:43" s="389" customFormat="1" ht="19" customHeight="1" x14ac:dyDescent="0.35">
      <c r="A117" s="429">
        <v>3</v>
      </c>
      <c r="B117" s="427" t="str">
        <f>PETUNJUK!B11</f>
        <v>Troso</v>
      </c>
      <c r="C117" s="428">
        <f>'1.DATA KIA'!F113</f>
        <v>26</v>
      </c>
      <c r="D117" s="428"/>
      <c r="E117" s="428"/>
      <c r="F117" s="428">
        <f>'1.DATA KIA'!J113</f>
        <v>19</v>
      </c>
      <c r="G117" s="428">
        <v>2</v>
      </c>
      <c r="H117" s="428">
        <v>1</v>
      </c>
      <c r="I117" s="428">
        <f t="shared" si="24"/>
        <v>26</v>
      </c>
      <c r="J117" s="428">
        <v>3</v>
      </c>
      <c r="K117" s="428">
        <f t="shared" si="25"/>
        <v>19</v>
      </c>
      <c r="L117" s="428">
        <v>2</v>
      </c>
      <c r="M117" s="428">
        <f t="shared" si="26"/>
        <v>26</v>
      </c>
      <c r="N117" s="428">
        <v>2</v>
      </c>
      <c r="O117" s="428"/>
      <c r="P117" s="428"/>
      <c r="Q117" s="428">
        <f t="shared" si="27"/>
        <v>26</v>
      </c>
      <c r="R117" s="428"/>
      <c r="S117" s="428"/>
      <c r="T117" s="428"/>
      <c r="U117" s="428"/>
      <c r="V117" s="428"/>
      <c r="W117" s="428"/>
      <c r="X117" s="428"/>
      <c r="Y117" s="428"/>
      <c r="Z117" s="428"/>
      <c r="AA117" s="428"/>
      <c r="AB117" s="428"/>
      <c r="AC117" s="428"/>
      <c r="AD117" s="428">
        <f t="shared" si="28"/>
        <v>26</v>
      </c>
      <c r="AE117" s="428"/>
      <c r="AF117" s="428"/>
      <c r="AG117" s="428"/>
      <c r="AH117" s="428">
        <f t="shared" si="29"/>
        <v>26</v>
      </c>
      <c r="AI117" s="428"/>
      <c r="AJ117" s="428"/>
      <c r="AK117" s="428"/>
      <c r="AL117" s="428"/>
      <c r="AM117" s="428"/>
      <c r="AN117" s="428"/>
    </row>
    <row r="118" spans="1:43" s="389" customFormat="1" ht="19" customHeight="1" x14ac:dyDescent="0.35">
      <c r="A118" s="429">
        <v>4</v>
      </c>
      <c r="B118" s="427" t="str">
        <f>PETUNJUK!B12</f>
        <v>Ngeling</v>
      </c>
      <c r="C118" s="428">
        <f>'1.DATA KIA'!F114</f>
        <v>9</v>
      </c>
      <c r="D118" s="428"/>
      <c r="E118" s="428"/>
      <c r="F118" s="428">
        <f>'1.DATA KIA'!J114</f>
        <v>7</v>
      </c>
      <c r="G118" s="428">
        <v>2</v>
      </c>
      <c r="H118" s="428"/>
      <c r="I118" s="428">
        <f t="shared" si="24"/>
        <v>9</v>
      </c>
      <c r="J118" s="428">
        <v>1</v>
      </c>
      <c r="K118" s="428">
        <f t="shared" si="25"/>
        <v>7</v>
      </c>
      <c r="L118" s="428">
        <v>1</v>
      </c>
      <c r="M118" s="428">
        <f t="shared" si="26"/>
        <v>9</v>
      </c>
      <c r="N118" s="428">
        <v>1</v>
      </c>
      <c r="O118" s="428"/>
      <c r="P118" s="428"/>
      <c r="Q118" s="428">
        <f t="shared" si="27"/>
        <v>9</v>
      </c>
      <c r="R118" s="428"/>
      <c r="S118" s="428"/>
      <c r="T118" s="428"/>
      <c r="U118" s="428"/>
      <c r="V118" s="428"/>
      <c r="W118" s="428"/>
      <c r="X118" s="428"/>
      <c r="Y118" s="428"/>
      <c r="Z118" s="428"/>
      <c r="AA118" s="428"/>
      <c r="AB118" s="428"/>
      <c r="AC118" s="428"/>
      <c r="AD118" s="428">
        <f t="shared" si="28"/>
        <v>9</v>
      </c>
      <c r="AE118" s="428"/>
      <c r="AF118" s="428"/>
      <c r="AG118" s="428"/>
      <c r="AH118" s="428">
        <f t="shared" si="29"/>
        <v>9</v>
      </c>
      <c r="AI118" s="428">
        <v>1</v>
      </c>
      <c r="AJ118" s="428"/>
      <c r="AK118" s="428"/>
      <c r="AL118" s="428"/>
      <c r="AM118" s="428"/>
      <c r="AN118" s="428"/>
    </row>
    <row r="119" spans="1:43" s="389" customFormat="1" ht="19" customHeight="1" x14ac:dyDescent="0.35">
      <c r="A119" s="429">
        <v>5</v>
      </c>
      <c r="B119" s="427" t="str">
        <f>PETUNJUK!B13</f>
        <v>Lebuawu</v>
      </c>
      <c r="C119" s="428">
        <f>'1.DATA KIA'!F115</f>
        <v>8</v>
      </c>
      <c r="D119" s="428"/>
      <c r="E119" s="428"/>
      <c r="F119" s="428">
        <f>'1.DATA KIA'!J115</f>
        <v>7</v>
      </c>
      <c r="G119" s="428">
        <v>3</v>
      </c>
      <c r="H119" s="428"/>
      <c r="I119" s="428">
        <f t="shared" si="24"/>
        <v>8</v>
      </c>
      <c r="J119" s="428">
        <v>0</v>
      </c>
      <c r="K119" s="428">
        <f t="shared" si="25"/>
        <v>7</v>
      </c>
      <c r="L119" s="428">
        <v>1</v>
      </c>
      <c r="M119" s="428">
        <f t="shared" si="26"/>
        <v>8</v>
      </c>
      <c r="N119" s="428"/>
      <c r="O119" s="428"/>
      <c r="P119" s="428"/>
      <c r="Q119" s="428">
        <f t="shared" si="27"/>
        <v>8</v>
      </c>
      <c r="R119" s="428"/>
      <c r="S119" s="428"/>
      <c r="T119" s="428"/>
      <c r="U119" s="428"/>
      <c r="V119" s="428"/>
      <c r="W119" s="428"/>
      <c r="X119" s="428"/>
      <c r="Y119" s="428"/>
      <c r="Z119" s="428"/>
      <c r="AA119" s="428"/>
      <c r="AB119" s="428"/>
      <c r="AC119" s="428"/>
      <c r="AD119" s="428">
        <f t="shared" si="28"/>
        <v>8</v>
      </c>
      <c r="AE119" s="428"/>
      <c r="AF119" s="428"/>
      <c r="AG119" s="428"/>
      <c r="AH119" s="428">
        <f t="shared" si="29"/>
        <v>8</v>
      </c>
      <c r="AI119" s="428"/>
      <c r="AJ119" s="428"/>
      <c r="AK119" s="428"/>
      <c r="AL119" s="428"/>
      <c r="AM119" s="428"/>
      <c r="AN119" s="428"/>
    </row>
    <row r="120" spans="1:43" s="389" customFormat="1" ht="19" customHeight="1" x14ac:dyDescent="0.35">
      <c r="A120" s="429">
        <v>6</v>
      </c>
      <c r="B120" s="427" t="str">
        <f>PETUNJUK!B14</f>
        <v>Pulodarat</v>
      </c>
      <c r="C120" s="428">
        <f>'1.DATA KIA'!F116</f>
        <v>4</v>
      </c>
      <c r="D120" s="428">
        <v>1</v>
      </c>
      <c r="E120" s="428"/>
      <c r="F120" s="428">
        <f>'1.DATA KIA'!J116</f>
        <v>4</v>
      </c>
      <c r="G120" s="428"/>
      <c r="H120" s="428"/>
      <c r="I120" s="428">
        <f t="shared" si="24"/>
        <v>4</v>
      </c>
      <c r="J120" s="428">
        <v>0</v>
      </c>
      <c r="K120" s="428">
        <f t="shared" si="25"/>
        <v>4</v>
      </c>
      <c r="L120" s="428"/>
      <c r="M120" s="428">
        <f t="shared" si="26"/>
        <v>4</v>
      </c>
      <c r="N120" s="428"/>
      <c r="O120" s="428"/>
      <c r="P120" s="428"/>
      <c r="Q120" s="428">
        <f t="shared" si="27"/>
        <v>4</v>
      </c>
      <c r="R120" s="428"/>
      <c r="S120" s="428"/>
      <c r="T120" s="428"/>
      <c r="U120" s="428"/>
      <c r="V120" s="428"/>
      <c r="W120" s="428"/>
      <c r="X120" s="428"/>
      <c r="Y120" s="428"/>
      <c r="Z120" s="428"/>
      <c r="AA120" s="428"/>
      <c r="AB120" s="428"/>
      <c r="AC120" s="428"/>
      <c r="AD120" s="428">
        <f t="shared" si="28"/>
        <v>4</v>
      </c>
      <c r="AE120" s="428"/>
      <c r="AF120" s="428"/>
      <c r="AG120" s="428"/>
      <c r="AH120" s="428">
        <f t="shared" si="29"/>
        <v>4</v>
      </c>
      <c r="AI120" s="428">
        <v>1</v>
      </c>
      <c r="AJ120" s="428"/>
      <c r="AK120" s="428"/>
      <c r="AL120" s="428"/>
      <c r="AM120" s="428"/>
      <c r="AN120" s="428"/>
    </row>
    <row r="121" spans="1:43" s="389" customFormat="1" ht="19" customHeight="1" x14ac:dyDescent="0.35">
      <c r="A121" s="429">
        <v>7</v>
      </c>
      <c r="B121" s="427" t="str">
        <f>PETUNJUK!B15</f>
        <v>Karangrandu</v>
      </c>
      <c r="C121" s="428">
        <f>'1.DATA KIA'!F117</f>
        <v>9</v>
      </c>
      <c r="D121" s="428">
        <v>1</v>
      </c>
      <c r="E121" s="428"/>
      <c r="F121" s="428">
        <f>'1.DATA KIA'!J117</f>
        <v>6</v>
      </c>
      <c r="G121" s="428">
        <v>2</v>
      </c>
      <c r="H121" s="428"/>
      <c r="I121" s="428">
        <f t="shared" si="24"/>
        <v>9</v>
      </c>
      <c r="J121" s="428">
        <v>0</v>
      </c>
      <c r="K121" s="428">
        <f t="shared" si="25"/>
        <v>6</v>
      </c>
      <c r="L121" s="428"/>
      <c r="M121" s="428">
        <f t="shared" si="26"/>
        <v>9</v>
      </c>
      <c r="N121" s="428">
        <v>2</v>
      </c>
      <c r="O121" s="428"/>
      <c r="P121" s="428"/>
      <c r="Q121" s="428">
        <f t="shared" si="27"/>
        <v>9</v>
      </c>
      <c r="R121" s="428"/>
      <c r="S121" s="428"/>
      <c r="T121" s="428"/>
      <c r="U121" s="428"/>
      <c r="V121" s="428"/>
      <c r="W121" s="428"/>
      <c r="X121" s="428"/>
      <c r="Y121" s="428"/>
      <c r="Z121" s="428"/>
      <c r="AA121" s="428"/>
      <c r="AB121" s="428"/>
      <c r="AC121" s="428"/>
      <c r="AD121" s="428">
        <f t="shared" si="28"/>
        <v>9</v>
      </c>
      <c r="AE121" s="428"/>
      <c r="AF121" s="428"/>
      <c r="AG121" s="428"/>
      <c r="AH121" s="428">
        <f t="shared" si="29"/>
        <v>9</v>
      </c>
      <c r="AI121" s="428"/>
      <c r="AJ121" s="428"/>
      <c r="AK121" s="428"/>
      <c r="AL121" s="428"/>
      <c r="AM121" s="428"/>
      <c r="AN121" s="428"/>
    </row>
    <row r="122" spans="1:43" s="389" customFormat="1" ht="19" customHeight="1" x14ac:dyDescent="0.35">
      <c r="A122" s="429">
        <v>8</v>
      </c>
      <c r="B122" s="427" t="str">
        <f>PETUNJUK!B16</f>
        <v>Kaliombo</v>
      </c>
      <c r="C122" s="428">
        <f>'1.DATA KIA'!F118</f>
        <v>5</v>
      </c>
      <c r="D122" s="428"/>
      <c r="E122" s="428"/>
      <c r="F122" s="428">
        <f>'1.DATA KIA'!J118</f>
        <v>5</v>
      </c>
      <c r="G122" s="428"/>
      <c r="H122" s="428"/>
      <c r="I122" s="428">
        <f t="shared" si="24"/>
        <v>5</v>
      </c>
      <c r="J122" s="428">
        <v>1</v>
      </c>
      <c r="K122" s="428">
        <f t="shared" si="25"/>
        <v>5</v>
      </c>
      <c r="L122" s="428"/>
      <c r="M122" s="428">
        <f t="shared" si="26"/>
        <v>5</v>
      </c>
      <c r="N122" s="428">
        <v>1</v>
      </c>
      <c r="O122" s="428"/>
      <c r="P122" s="428"/>
      <c r="Q122" s="428">
        <f t="shared" si="27"/>
        <v>5</v>
      </c>
      <c r="R122" s="428"/>
      <c r="S122" s="428"/>
      <c r="T122" s="428"/>
      <c r="U122" s="428"/>
      <c r="V122" s="428"/>
      <c r="W122" s="428"/>
      <c r="X122" s="428"/>
      <c r="Y122" s="428"/>
      <c r="Z122" s="428"/>
      <c r="AA122" s="428"/>
      <c r="AB122" s="428"/>
      <c r="AC122" s="428"/>
      <c r="AD122" s="428">
        <f t="shared" si="28"/>
        <v>5</v>
      </c>
      <c r="AE122" s="428"/>
      <c r="AF122" s="428"/>
      <c r="AG122" s="428"/>
      <c r="AH122" s="428">
        <f t="shared" si="29"/>
        <v>5</v>
      </c>
      <c r="AI122" s="428"/>
      <c r="AJ122" s="428"/>
      <c r="AK122" s="428"/>
      <c r="AL122" s="428"/>
      <c r="AM122" s="428"/>
      <c r="AN122" s="428"/>
    </row>
    <row r="123" spans="1:43" s="389" customFormat="1" ht="19" customHeight="1" x14ac:dyDescent="0.35">
      <c r="A123" s="429">
        <v>9</v>
      </c>
      <c r="B123" s="427" t="str">
        <f>PETUNJUK!B17</f>
        <v>Gemulung</v>
      </c>
      <c r="C123" s="428">
        <f>'1.DATA KIA'!F119</f>
        <v>5</v>
      </c>
      <c r="D123" s="428">
        <v>1</v>
      </c>
      <c r="E123" s="428"/>
      <c r="F123" s="428">
        <f>'1.DATA KIA'!J119</f>
        <v>5</v>
      </c>
      <c r="G123" s="428">
        <v>1</v>
      </c>
      <c r="H123" s="428"/>
      <c r="I123" s="428">
        <f t="shared" si="24"/>
        <v>5</v>
      </c>
      <c r="J123" s="428">
        <v>1</v>
      </c>
      <c r="K123" s="428">
        <f t="shared" si="25"/>
        <v>5</v>
      </c>
      <c r="L123" s="428"/>
      <c r="M123" s="428">
        <f t="shared" si="26"/>
        <v>5</v>
      </c>
      <c r="N123" s="428">
        <v>1</v>
      </c>
      <c r="O123" s="428"/>
      <c r="P123" s="428"/>
      <c r="Q123" s="428">
        <f t="shared" si="27"/>
        <v>5</v>
      </c>
      <c r="R123" s="428"/>
      <c r="S123" s="428"/>
      <c r="T123" s="428"/>
      <c r="U123" s="428"/>
      <c r="V123" s="428"/>
      <c r="W123" s="428"/>
      <c r="X123" s="428"/>
      <c r="Y123" s="428"/>
      <c r="Z123" s="428"/>
      <c r="AA123" s="428"/>
      <c r="AB123" s="428"/>
      <c r="AC123" s="428"/>
      <c r="AD123" s="428">
        <f t="shared" si="28"/>
        <v>5</v>
      </c>
      <c r="AE123" s="428"/>
      <c r="AF123" s="428"/>
      <c r="AG123" s="428"/>
      <c r="AH123" s="428">
        <f t="shared" si="29"/>
        <v>5</v>
      </c>
      <c r="AI123" s="428"/>
      <c r="AJ123" s="428"/>
      <c r="AK123" s="428"/>
      <c r="AL123" s="428"/>
      <c r="AM123" s="428"/>
      <c r="AN123" s="428"/>
    </row>
    <row r="124" spans="1:43" s="389" customFormat="1" ht="19" customHeight="1" x14ac:dyDescent="0.35">
      <c r="A124" s="429">
        <v>10</v>
      </c>
      <c r="B124" s="427" t="str">
        <f>PETUNJUK!B18</f>
        <v>Pecangaan Wetan</v>
      </c>
      <c r="C124" s="428">
        <f>'1.DATA KIA'!F120</f>
        <v>3</v>
      </c>
      <c r="D124" s="428"/>
      <c r="E124" s="428"/>
      <c r="F124" s="428">
        <f>'1.DATA KIA'!J120</f>
        <v>2</v>
      </c>
      <c r="G124" s="428"/>
      <c r="H124" s="428"/>
      <c r="I124" s="428">
        <f t="shared" si="24"/>
        <v>3</v>
      </c>
      <c r="J124" s="428">
        <v>0</v>
      </c>
      <c r="K124" s="428">
        <f t="shared" si="25"/>
        <v>2</v>
      </c>
      <c r="L124" s="428"/>
      <c r="M124" s="428">
        <f t="shared" si="26"/>
        <v>3</v>
      </c>
      <c r="N124" s="428"/>
      <c r="O124" s="428"/>
      <c r="P124" s="428"/>
      <c r="Q124" s="428">
        <f t="shared" si="27"/>
        <v>3</v>
      </c>
      <c r="R124" s="428"/>
      <c r="S124" s="428"/>
      <c r="T124" s="428"/>
      <c r="U124" s="428"/>
      <c r="V124" s="428"/>
      <c r="W124" s="428"/>
      <c r="X124" s="428"/>
      <c r="Y124" s="428"/>
      <c r="Z124" s="428"/>
      <c r="AA124" s="428"/>
      <c r="AB124" s="428"/>
      <c r="AC124" s="428"/>
      <c r="AD124" s="428">
        <f t="shared" si="28"/>
        <v>3</v>
      </c>
      <c r="AE124" s="428"/>
      <c r="AF124" s="428"/>
      <c r="AG124" s="428"/>
      <c r="AH124" s="428">
        <f t="shared" si="29"/>
        <v>3</v>
      </c>
      <c r="AI124" s="428"/>
      <c r="AJ124" s="428"/>
      <c r="AK124" s="428"/>
      <c r="AL124" s="428"/>
      <c r="AM124" s="428"/>
      <c r="AN124" s="428"/>
    </row>
    <row r="125" spans="1:43" s="389" customFormat="1" ht="19" customHeight="1" x14ac:dyDescent="0.35">
      <c r="A125" s="429">
        <v>11</v>
      </c>
      <c r="B125" s="427" t="str">
        <f>PETUNJUK!B19</f>
        <v>Krasak</v>
      </c>
      <c r="C125" s="428">
        <f>'1.DATA KIA'!F121</f>
        <v>11</v>
      </c>
      <c r="D125" s="428"/>
      <c r="E125" s="428"/>
      <c r="F125" s="428">
        <f>'1.DATA KIA'!J121</f>
        <v>6</v>
      </c>
      <c r="G125" s="428"/>
      <c r="H125" s="428"/>
      <c r="I125" s="428">
        <f t="shared" si="24"/>
        <v>11</v>
      </c>
      <c r="J125" s="428">
        <v>2</v>
      </c>
      <c r="K125" s="428">
        <f t="shared" si="25"/>
        <v>6</v>
      </c>
      <c r="L125" s="428"/>
      <c r="M125" s="428">
        <f t="shared" si="26"/>
        <v>11</v>
      </c>
      <c r="N125" s="428"/>
      <c r="O125" s="428"/>
      <c r="P125" s="428"/>
      <c r="Q125" s="428">
        <f t="shared" si="27"/>
        <v>11</v>
      </c>
      <c r="R125" s="428"/>
      <c r="S125" s="428"/>
      <c r="T125" s="428"/>
      <c r="U125" s="428"/>
      <c r="V125" s="428"/>
      <c r="W125" s="428"/>
      <c r="X125" s="428"/>
      <c r="Y125" s="428"/>
      <c r="Z125" s="428"/>
      <c r="AA125" s="428"/>
      <c r="AB125" s="428"/>
      <c r="AC125" s="428"/>
      <c r="AD125" s="428">
        <f t="shared" si="28"/>
        <v>11</v>
      </c>
      <c r="AE125" s="428"/>
      <c r="AF125" s="428"/>
      <c r="AG125" s="428"/>
      <c r="AH125" s="428">
        <f t="shared" si="29"/>
        <v>11</v>
      </c>
      <c r="AI125" s="428"/>
      <c r="AJ125" s="428"/>
      <c r="AK125" s="428"/>
      <c r="AL125" s="428"/>
      <c r="AM125" s="428"/>
      <c r="AN125" s="428"/>
    </row>
    <row r="126" spans="1:43" s="389" customFormat="1" ht="19" customHeight="1" x14ac:dyDescent="0.35">
      <c r="A126" s="429">
        <v>12</v>
      </c>
      <c r="B126" s="427" t="str">
        <f>PETUNJUK!B20</f>
        <v>Gerdu</v>
      </c>
      <c r="C126" s="428">
        <f>'1.DATA KIA'!F122</f>
        <v>3</v>
      </c>
      <c r="D126" s="428"/>
      <c r="E126" s="428"/>
      <c r="F126" s="428">
        <f>'1.DATA KIA'!J122</f>
        <v>3</v>
      </c>
      <c r="G126" s="428"/>
      <c r="H126" s="428"/>
      <c r="I126" s="428">
        <f t="shared" si="24"/>
        <v>3</v>
      </c>
      <c r="J126" s="428">
        <v>0</v>
      </c>
      <c r="K126" s="428">
        <f t="shared" si="25"/>
        <v>3</v>
      </c>
      <c r="L126" s="428"/>
      <c r="M126" s="428">
        <f t="shared" si="26"/>
        <v>3</v>
      </c>
      <c r="N126" s="428"/>
      <c r="O126" s="428"/>
      <c r="P126" s="428"/>
      <c r="Q126" s="428">
        <f t="shared" si="27"/>
        <v>3</v>
      </c>
      <c r="R126" s="428"/>
      <c r="S126" s="428"/>
      <c r="T126" s="428"/>
      <c r="U126" s="428"/>
      <c r="V126" s="428"/>
      <c r="W126" s="428"/>
      <c r="X126" s="428"/>
      <c r="Y126" s="428"/>
      <c r="Z126" s="428"/>
      <c r="AA126" s="428"/>
      <c r="AB126" s="428"/>
      <c r="AC126" s="428"/>
      <c r="AD126" s="428">
        <f t="shared" si="28"/>
        <v>3</v>
      </c>
      <c r="AE126" s="428"/>
      <c r="AF126" s="428"/>
      <c r="AG126" s="428"/>
      <c r="AH126" s="428">
        <f t="shared" si="29"/>
        <v>3</v>
      </c>
      <c r="AI126" s="428"/>
      <c r="AJ126" s="428"/>
      <c r="AK126" s="428"/>
      <c r="AL126" s="428"/>
      <c r="AM126" s="428"/>
      <c r="AN126" s="428"/>
    </row>
    <row r="127" spans="1:43" s="389" customFormat="1" ht="19" customHeight="1" x14ac:dyDescent="0.35">
      <c r="A127" s="429">
        <v>13</v>
      </c>
      <c r="B127" s="427">
        <f>PETUNJUK!B21</f>
        <v>0</v>
      </c>
      <c r="C127" s="428"/>
      <c r="D127" s="428"/>
      <c r="E127" s="428"/>
      <c r="F127" s="428"/>
      <c r="G127" s="428"/>
      <c r="H127" s="428"/>
      <c r="I127" s="428"/>
      <c r="J127" s="428"/>
      <c r="K127" s="428"/>
      <c r="L127" s="428"/>
      <c r="M127" s="428"/>
      <c r="N127" s="428"/>
      <c r="O127" s="428"/>
      <c r="P127" s="428"/>
      <c r="Q127" s="428"/>
      <c r="R127" s="428"/>
      <c r="S127" s="428"/>
      <c r="T127" s="428"/>
      <c r="U127" s="428"/>
      <c r="V127" s="428"/>
      <c r="W127" s="428"/>
      <c r="X127" s="428"/>
      <c r="Y127" s="428"/>
      <c r="Z127" s="428"/>
      <c r="AA127" s="428"/>
      <c r="AB127" s="428"/>
      <c r="AC127" s="428"/>
      <c r="AD127" s="428"/>
      <c r="AE127" s="428"/>
      <c r="AF127" s="428"/>
      <c r="AG127" s="428"/>
      <c r="AH127" s="428"/>
      <c r="AI127" s="428"/>
      <c r="AJ127" s="428"/>
      <c r="AK127" s="428"/>
      <c r="AL127" s="428"/>
      <c r="AM127" s="428"/>
      <c r="AN127" s="428"/>
    </row>
    <row r="128" spans="1:43" s="389" customFormat="1" ht="19" customHeight="1" x14ac:dyDescent="0.35">
      <c r="A128" s="429">
        <v>14</v>
      </c>
      <c r="B128" s="427">
        <f>PETUNJUK!B22</f>
        <v>0</v>
      </c>
      <c r="C128" s="428"/>
      <c r="D128" s="428"/>
      <c r="E128" s="428"/>
      <c r="F128" s="428"/>
      <c r="G128" s="428"/>
      <c r="H128" s="428"/>
      <c r="I128" s="428"/>
      <c r="J128" s="428"/>
      <c r="K128" s="428"/>
      <c r="L128" s="428"/>
      <c r="M128" s="428"/>
      <c r="N128" s="428"/>
      <c r="O128" s="428"/>
      <c r="P128" s="428"/>
      <c r="Q128" s="428"/>
      <c r="R128" s="428"/>
      <c r="S128" s="428"/>
      <c r="T128" s="428"/>
      <c r="U128" s="428"/>
      <c r="V128" s="428"/>
      <c r="W128" s="428"/>
      <c r="X128" s="428"/>
      <c r="Y128" s="428"/>
      <c r="Z128" s="428"/>
      <c r="AA128" s="428"/>
      <c r="AB128" s="428"/>
      <c r="AC128" s="428"/>
      <c r="AD128" s="428"/>
      <c r="AE128" s="428"/>
      <c r="AF128" s="428"/>
      <c r="AG128" s="428"/>
      <c r="AH128" s="428"/>
      <c r="AI128" s="428"/>
      <c r="AJ128" s="428"/>
      <c r="AK128" s="428"/>
      <c r="AL128" s="428"/>
      <c r="AM128" s="428"/>
      <c r="AN128" s="428"/>
    </row>
    <row r="129" spans="1:40" s="389" customFormat="1" ht="19" customHeight="1" x14ac:dyDescent="0.35">
      <c r="A129" s="429">
        <v>15</v>
      </c>
      <c r="B129" s="427">
        <f>PETUNJUK!B23</f>
        <v>0</v>
      </c>
      <c r="C129" s="428"/>
      <c r="D129" s="428"/>
      <c r="E129" s="428"/>
      <c r="F129" s="428"/>
      <c r="G129" s="428"/>
      <c r="H129" s="428"/>
      <c r="I129" s="428"/>
      <c r="J129" s="428"/>
      <c r="K129" s="428"/>
      <c r="L129" s="428"/>
      <c r="M129" s="428"/>
      <c r="N129" s="428"/>
      <c r="O129" s="428"/>
      <c r="P129" s="428"/>
      <c r="Q129" s="428"/>
      <c r="R129" s="428"/>
      <c r="S129" s="428"/>
      <c r="T129" s="428"/>
      <c r="U129" s="428"/>
      <c r="V129" s="428"/>
      <c r="W129" s="428"/>
      <c r="X129" s="428"/>
      <c r="Y129" s="428"/>
      <c r="Z129" s="428"/>
      <c r="AA129" s="428"/>
      <c r="AB129" s="428"/>
      <c r="AC129" s="428"/>
      <c r="AD129" s="428"/>
      <c r="AE129" s="428"/>
      <c r="AF129" s="428"/>
      <c r="AG129" s="428"/>
      <c r="AH129" s="428"/>
      <c r="AI129" s="428"/>
      <c r="AJ129" s="428"/>
      <c r="AK129" s="428"/>
      <c r="AL129" s="428"/>
      <c r="AM129" s="428"/>
      <c r="AN129" s="428"/>
    </row>
    <row r="130" spans="1:40" s="389" customFormat="1" ht="19" customHeight="1" x14ac:dyDescent="0.35">
      <c r="A130" s="429">
        <v>16</v>
      </c>
      <c r="B130" s="427">
        <f>PETUNJUK!B24</f>
        <v>0</v>
      </c>
      <c r="C130" s="428"/>
      <c r="D130" s="428"/>
      <c r="E130" s="428"/>
      <c r="F130" s="428"/>
      <c r="G130" s="428"/>
      <c r="H130" s="428"/>
      <c r="I130" s="428"/>
      <c r="J130" s="428"/>
      <c r="K130" s="428"/>
      <c r="L130" s="428"/>
      <c r="M130" s="428"/>
      <c r="N130" s="428"/>
      <c r="O130" s="428"/>
      <c r="P130" s="428"/>
      <c r="Q130" s="428"/>
      <c r="R130" s="428"/>
      <c r="S130" s="428"/>
      <c r="T130" s="428"/>
      <c r="U130" s="428"/>
      <c r="V130" s="428"/>
      <c r="W130" s="428"/>
      <c r="X130" s="428"/>
      <c r="Y130" s="428"/>
      <c r="Z130" s="428"/>
      <c r="AA130" s="428"/>
      <c r="AB130" s="428"/>
      <c r="AC130" s="428"/>
      <c r="AD130" s="428"/>
      <c r="AE130" s="428"/>
      <c r="AF130" s="428"/>
      <c r="AG130" s="428"/>
      <c r="AH130" s="428"/>
      <c r="AI130" s="428"/>
      <c r="AJ130" s="428"/>
      <c r="AK130" s="428"/>
      <c r="AL130" s="428"/>
      <c r="AM130" s="428"/>
      <c r="AN130" s="428"/>
    </row>
    <row r="131" spans="1:40" s="389" customFormat="1" ht="19" customHeight="1" x14ac:dyDescent="0.35">
      <c r="A131" s="429">
        <v>17</v>
      </c>
      <c r="B131" s="427">
        <f>PETUNJUK!B25</f>
        <v>0</v>
      </c>
      <c r="C131" s="428"/>
      <c r="D131" s="428"/>
      <c r="E131" s="428"/>
      <c r="F131" s="428"/>
      <c r="G131" s="428"/>
      <c r="H131" s="428"/>
      <c r="I131" s="428"/>
      <c r="J131" s="428"/>
      <c r="K131" s="428"/>
      <c r="L131" s="428"/>
      <c r="M131" s="428"/>
      <c r="N131" s="428"/>
      <c r="O131" s="428"/>
      <c r="P131" s="428"/>
      <c r="Q131" s="428"/>
      <c r="R131" s="428"/>
      <c r="S131" s="428"/>
      <c r="T131" s="428"/>
      <c r="U131" s="428"/>
      <c r="V131" s="428"/>
      <c r="W131" s="428"/>
      <c r="X131" s="428"/>
      <c r="Y131" s="428"/>
      <c r="Z131" s="428"/>
      <c r="AA131" s="428"/>
      <c r="AB131" s="428"/>
      <c r="AC131" s="428"/>
      <c r="AD131" s="428"/>
      <c r="AE131" s="428"/>
      <c r="AF131" s="428"/>
      <c r="AG131" s="428"/>
      <c r="AH131" s="428"/>
      <c r="AI131" s="428"/>
      <c r="AJ131" s="428"/>
      <c r="AK131" s="428"/>
      <c r="AL131" s="428"/>
      <c r="AM131" s="428"/>
      <c r="AN131" s="428"/>
    </row>
    <row r="132" spans="1:40" s="389" customFormat="1" ht="19" customHeight="1" x14ac:dyDescent="0.35">
      <c r="A132" s="429">
        <v>18</v>
      </c>
      <c r="B132" s="427">
        <f>PETUNJUK!B26</f>
        <v>0</v>
      </c>
      <c r="C132" s="428"/>
      <c r="D132" s="428"/>
      <c r="E132" s="428"/>
      <c r="F132" s="428"/>
      <c r="G132" s="428"/>
      <c r="H132" s="428"/>
      <c r="I132" s="428"/>
      <c r="J132" s="428"/>
      <c r="K132" s="428"/>
      <c r="L132" s="428"/>
      <c r="M132" s="428"/>
      <c r="N132" s="428"/>
      <c r="O132" s="428"/>
      <c r="P132" s="428"/>
      <c r="Q132" s="428"/>
      <c r="R132" s="428"/>
      <c r="S132" s="428"/>
      <c r="T132" s="428"/>
      <c r="U132" s="428"/>
      <c r="V132" s="428"/>
      <c r="W132" s="428"/>
      <c r="X132" s="428"/>
      <c r="Y132" s="428"/>
      <c r="Z132" s="428"/>
      <c r="AA132" s="428"/>
      <c r="AB132" s="428"/>
      <c r="AC132" s="428"/>
      <c r="AD132" s="428"/>
      <c r="AE132" s="428"/>
      <c r="AF132" s="428"/>
      <c r="AG132" s="428"/>
      <c r="AH132" s="428"/>
      <c r="AI132" s="428"/>
      <c r="AJ132" s="428"/>
      <c r="AK132" s="428"/>
      <c r="AL132" s="428"/>
      <c r="AM132" s="428"/>
      <c r="AN132" s="428"/>
    </row>
    <row r="133" spans="1:40" s="389" customFormat="1" ht="19" customHeight="1" x14ac:dyDescent="0.35">
      <c r="A133" s="429">
        <v>19</v>
      </c>
      <c r="B133" s="427">
        <f>PETUNJUK!B27</f>
        <v>0</v>
      </c>
      <c r="C133" s="428"/>
      <c r="D133" s="428"/>
      <c r="E133" s="428"/>
      <c r="F133" s="428"/>
      <c r="G133" s="428"/>
      <c r="H133" s="428"/>
      <c r="I133" s="428"/>
      <c r="J133" s="428"/>
      <c r="K133" s="428"/>
      <c r="L133" s="428"/>
      <c r="M133" s="428"/>
      <c r="N133" s="428"/>
      <c r="O133" s="428"/>
      <c r="P133" s="428"/>
      <c r="Q133" s="428"/>
      <c r="R133" s="428"/>
      <c r="S133" s="428"/>
      <c r="T133" s="428"/>
      <c r="U133" s="428"/>
      <c r="V133" s="428"/>
      <c r="W133" s="428"/>
      <c r="X133" s="428"/>
      <c r="Y133" s="428"/>
      <c r="Z133" s="428"/>
      <c r="AA133" s="428"/>
      <c r="AB133" s="428"/>
      <c r="AC133" s="428"/>
      <c r="AD133" s="428"/>
      <c r="AE133" s="428"/>
      <c r="AF133" s="428"/>
      <c r="AG133" s="428"/>
      <c r="AH133" s="428"/>
      <c r="AI133" s="428"/>
      <c r="AJ133" s="428"/>
      <c r="AK133" s="428"/>
      <c r="AL133" s="428"/>
      <c r="AM133" s="428"/>
      <c r="AN133" s="428"/>
    </row>
    <row r="134" spans="1:40" s="389" customFormat="1" ht="19" customHeight="1" x14ac:dyDescent="0.35">
      <c r="A134" s="429">
        <v>20</v>
      </c>
      <c r="B134" s="427">
        <f>PETUNJUK!B28</f>
        <v>0</v>
      </c>
      <c r="C134" s="428"/>
      <c r="D134" s="428"/>
      <c r="E134" s="428"/>
      <c r="F134" s="428"/>
      <c r="G134" s="428"/>
      <c r="H134" s="428"/>
      <c r="I134" s="428"/>
      <c r="J134" s="428"/>
      <c r="K134" s="428"/>
      <c r="L134" s="428"/>
      <c r="M134" s="428"/>
      <c r="N134" s="428"/>
      <c r="O134" s="428"/>
      <c r="P134" s="428"/>
      <c r="Q134" s="428"/>
      <c r="R134" s="428"/>
      <c r="S134" s="428"/>
      <c r="T134" s="428"/>
      <c r="U134" s="428"/>
      <c r="V134" s="428"/>
      <c r="W134" s="428"/>
      <c r="X134" s="428"/>
      <c r="Y134" s="428"/>
      <c r="Z134" s="428"/>
      <c r="AA134" s="428"/>
      <c r="AB134" s="428"/>
      <c r="AC134" s="428"/>
      <c r="AD134" s="428"/>
      <c r="AE134" s="428"/>
      <c r="AF134" s="428"/>
      <c r="AG134" s="428"/>
      <c r="AH134" s="428"/>
      <c r="AI134" s="428"/>
      <c r="AJ134" s="428"/>
      <c r="AK134" s="428"/>
      <c r="AL134" s="428"/>
      <c r="AM134" s="428"/>
      <c r="AN134" s="428"/>
    </row>
    <row r="135" spans="1:40" s="389" customFormat="1" ht="19" customHeight="1" x14ac:dyDescent="0.35">
      <c r="A135" s="429">
        <v>21</v>
      </c>
      <c r="B135" s="427">
        <f>PETUNJUK!B29</f>
        <v>0</v>
      </c>
      <c r="C135" s="428"/>
      <c r="D135" s="428"/>
      <c r="E135" s="428"/>
      <c r="F135" s="428"/>
      <c r="G135" s="428"/>
      <c r="H135" s="428"/>
      <c r="I135" s="428"/>
      <c r="J135" s="428"/>
      <c r="K135" s="428"/>
      <c r="L135" s="428"/>
      <c r="M135" s="428"/>
      <c r="N135" s="428"/>
      <c r="O135" s="428"/>
      <c r="P135" s="428"/>
      <c r="Q135" s="428"/>
      <c r="R135" s="428"/>
      <c r="S135" s="428"/>
      <c r="T135" s="428"/>
      <c r="U135" s="428"/>
      <c r="V135" s="428"/>
      <c r="W135" s="428"/>
      <c r="X135" s="428"/>
      <c r="Y135" s="428"/>
      <c r="Z135" s="428"/>
      <c r="AA135" s="428"/>
      <c r="AB135" s="428"/>
      <c r="AC135" s="428"/>
      <c r="AD135" s="428"/>
      <c r="AE135" s="428"/>
      <c r="AF135" s="428"/>
      <c r="AG135" s="428"/>
      <c r="AH135" s="428"/>
      <c r="AI135" s="428"/>
      <c r="AJ135" s="428"/>
      <c r="AK135" s="428"/>
      <c r="AL135" s="428"/>
      <c r="AM135" s="428"/>
      <c r="AN135" s="428"/>
    </row>
    <row r="136" spans="1:40" s="389" customFormat="1" ht="19" customHeight="1" x14ac:dyDescent="0.35">
      <c r="A136" s="429">
        <v>22</v>
      </c>
      <c r="B136" s="427">
        <f>PETUNJUK!B30</f>
        <v>0</v>
      </c>
      <c r="C136" s="428"/>
      <c r="D136" s="428"/>
      <c r="E136" s="428"/>
      <c r="F136" s="428"/>
      <c r="G136" s="428"/>
      <c r="H136" s="428"/>
      <c r="I136" s="428"/>
      <c r="J136" s="428"/>
      <c r="K136" s="428"/>
      <c r="L136" s="428"/>
      <c r="M136" s="428"/>
      <c r="N136" s="428"/>
      <c r="O136" s="428"/>
      <c r="P136" s="428"/>
      <c r="Q136" s="428"/>
      <c r="R136" s="428"/>
      <c r="S136" s="428"/>
      <c r="T136" s="428"/>
      <c r="U136" s="428"/>
      <c r="V136" s="428"/>
      <c r="W136" s="428"/>
      <c r="X136" s="428"/>
      <c r="Y136" s="428"/>
      <c r="Z136" s="428"/>
      <c r="AA136" s="428"/>
      <c r="AB136" s="428"/>
      <c r="AC136" s="428"/>
      <c r="AD136" s="428"/>
      <c r="AE136" s="428"/>
      <c r="AF136" s="428"/>
      <c r="AG136" s="428"/>
      <c r="AH136" s="428"/>
      <c r="AI136" s="428"/>
      <c r="AJ136" s="428"/>
      <c r="AK136" s="428"/>
      <c r="AL136" s="428"/>
      <c r="AM136" s="428"/>
      <c r="AN136" s="428"/>
    </row>
    <row r="137" spans="1:40" s="431" customFormat="1" ht="19" customHeight="1" x14ac:dyDescent="0.35">
      <c r="A137" s="419"/>
      <c r="B137" s="419" t="s">
        <v>17</v>
      </c>
      <c r="C137" s="420">
        <f>SUM(C115:C136)</f>
        <v>110</v>
      </c>
      <c r="D137" s="419">
        <f t="shared" ref="D137:AN137" si="30">SUM(D115:D136)</f>
        <v>3</v>
      </c>
      <c r="E137" s="419">
        <f t="shared" si="30"/>
        <v>0</v>
      </c>
      <c r="F137" s="419">
        <f>SUM(F115:F136)</f>
        <v>76</v>
      </c>
      <c r="G137" s="419">
        <f t="shared" ref="G137:H137" si="31">SUM(G115:G136)</f>
        <v>14</v>
      </c>
      <c r="H137" s="419">
        <f t="shared" si="31"/>
        <v>1</v>
      </c>
      <c r="I137" s="419">
        <f t="shared" si="30"/>
        <v>110</v>
      </c>
      <c r="J137" s="419">
        <f t="shared" si="30"/>
        <v>10</v>
      </c>
      <c r="K137" s="419">
        <f t="shared" si="30"/>
        <v>76</v>
      </c>
      <c r="L137" s="419">
        <f t="shared" si="30"/>
        <v>5</v>
      </c>
      <c r="M137" s="419">
        <f t="shared" si="30"/>
        <v>110</v>
      </c>
      <c r="N137" s="419">
        <f t="shared" si="30"/>
        <v>11</v>
      </c>
      <c r="O137" s="419">
        <f t="shared" si="30"/>
        <v>0</v>
      </c>
      <c r="P137" s="419">
        <f t="shared" si="30"/>
        <v>0</v>
      </c>
      <c r="Q137" s="419">
        <f t="shared" si="30"/>
        <v>110</v>
      </c>
      <c r="R137" s="419">
        <f t="shared" si="30"/>
        <v>0</v>
      </c>
      <c r="S137" s="419">
        <f t="shared" si="30"/>
        <v>0</v>
      </c>
      <c r="T137" s="419">
        <f t="shared" si="30"/>
        <v>0</v>
      </c>
      <c r="U137" s="419">
        <f t="shared" si="30"/>
        <v>0</v>
      </c>
      <c r="V137" s="419">
        <f t="shared" si="30"/>
        <v>0</v>
      </c>
      <c r="W137" s="419">
        <f t="shared" si="30"/>
        <v>0</v>
      </c>
      <c r="X137" s="419">
        <f t="shared" si="30"/>
        <v>0</v>
      </c>
      <c r="Y137" s="419">
        <f t="shared" si="30"/>
        <v>0</v>
      </c>
      <c r="Z137" s="419">
        <f t="shared" si="30"/>
        <v>0</v>
      </c>
      <c r="AA137" s="419">
        <f t="shared" si="30"/>
        <v>0</v>
      </c>
      <c r="AB137" s="419">
        <f t="shared" si="30"/>
        <v>0</v>
      </c>
      <c r="AC137" s="419">
        <f t="shared" si="30"/>
        <v>0</v>
      </c>
      <c r="AD137" s="419">
        <f t="shared" si="30"/>
        <v>110</v>
      </c>
      <c r="AE137" s="419">
        <f t="shared" si="30"/>
        <v>0</v>
      </c>
      <c r="AF137" s="419">
        <f t="shared" si="30"/>
        <v>0</v>
      </c>
      <c r="AG137" s="419">
        <f t="shared" si="30"/>
        <v>0</v>
      </c>
      <c r="AH137" s="419">
        <f t="shared" si="30"/>
        <v>110</v>
      </c>
      <c r="AI137" s="419">
        <f t="shared" si="30"/>
        <v>2</v>
      </c>
      <c r="AJ137" s="677">
        <f t="shared" si="30"/>
        <v>0</v>
      </c>
      <c r="AK137" s="677">
        <f t="shared" si="30"/>
        <v>0</v>
      </c>
      <c r="AL137" s="677">
        <f t="shared" si="30"/>
        <v>0</v>
      </c>
      <c r="AM137" s="677">
        <f t="shared" si="30"/>
        <v>0</v>
      </c>
      <c r="AN137" s="677">
        <f t="shared" si="30"/>
        <v>0</v>
      </c>
    </row>
    <row r="138" spans="1:40" ht="19" customHeight="1" x14ac:dyDescent="0.35">
      <c r="A138" s="30"/>
      <c r="B138" s="30"/>
      <c r="C138" s="541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</row>
    <row r="139" spans="1:40" ht="19" customHeight="1" x14ac:dyDescent="0.35">
      <c r="A139" s="30"/>
      <c r="B139" s="30"/>
      <c r="C139" s="541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</row>
    <row r="140" spans="1:40" ht="19" customHeight="1" x14ac:dyDescent="0.35">
      <c r="A140" s="30"/>
      <c r="B140" s="30"/>
      <c r="C140" s="541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</row>
    <row r="141" spans="1:40" s="418" customFormat="1" ht="19" customHeight="1" x14ac:dyDescent="0.35">
      <c r="A141" s="535" t="s">
        <v>147</v>
      </c>
      <c r="B141" s="535"/>
      <c r="C141" s="536" t="s">
        <v>243</v>
      </c>
      <c r="D141" s="535" t="str">
        <f>D2</f>
        <v>PECANGAAN</v>
      </c>
      <c r="E141" s="535"/>
      <c r="F141" s="535"/>
      <c r="G141" s="535"/>
      <c r="H141" s="535"/>
      <c r="I141" s="537"/>
      <c r="J141" s="537"/>
      <c r="K141" s="537"/>
      <c r="L141" s="537"/>
      <c r="M141" s="537"/>
      <c r="N141" s="537"/>
      <c r="O141" s="537"/>
      <c r="P141" s="537"/>
      <c r="Q141" s="537"/>
      <c r="R141" s="537"/>
      <c r="S141" s="537"/>
      <c r="T141" s="537"/>
      <c r="U141" s="537"/>
      <c r="V141" s="537"/>
      <c r="W141" s="537"/>
      <c r="X141" s="537"/>
      <c r="Y141" s="537"/>
      <c r="Z141" s="537"/>
      <c r="AA141" s="537"/>
      <c r="AB141" s="537"/>
      <c r="AC141" s="537"/>
      <c r="AD141" s="537"/>
      <c r="AE141" s="537"/>
      <c r="AF141" s="537"/>
      <c r="AG141" s="537"/>
      <c r="AH141" s="537"/>
      <c r="AI141" s="537"/>
      <c r="AJ141" s="537"/>
      <c r="AK141" s="537"/>
      <c r="AL141" s="537"/>
      <c r="AM141" s="537"/>
    </row>
    <row r="142" spans="1:40" s="418" customFormat="1" ht="19" customHeight="1" x14ac:dyDescent="0.35">
      <c r="A142" s="535" t="s">
        <v>242</v>
      </c>
      <c r="B142" s="535"/>
      <c r="C142" s="536" t="s">
        <v>243</v>
      </c>
      <c r="D142" s="538" t="s">
        <v>385</v>
      </c>
      <c r="E142" s="535"/>
      <c r="F142" s="535"/>
      <c r="G142" s="538"/>
      <c r="H142" s="535"/>
      <c r="I142" s="537"/>
      <c r="J142" s="537"/>
      <c r="K142" s="537"/>
      <c r="L142" s="537"/>
      <c r="M142" s="537"/>
      <c r="N142" s="537"/>
      <c r="O142" s="537"/>
      <c r="P142" s="537"/>
      <c r="Q142" s="537"/>
      <c r="R142" s="537"/>
      <c r="S142" s="537"/>
      <c r="T142" s="537"/>
      <c r="U142" s="537"/>
      <c r="V142" s="537"/>
      <c r="W142" s="537"/>
      <c r="X142" s="537"/>
      <c r="Y142" s="537"/>
      <c r="Z142" s="537"/>
      <c r="AA142" s="537"/>
      <c r="AB142" s="537"/>
      <c r="AC142" s="537"/>
      <c r="AD142" s="537"/>
      <c r="AE142" s="537"/>
      <c r="AF142" s="537"/>
      <c r="AG142" s="537"/>
      <c r="AH142" s="537"/>
      <c r="AI142" s="537"/>
      <c r="AJ142" s="537"/>
      <c r="AK142" s="537"/>
      <c r="AL142" s="537"/>
      <c r="AM142" s="537"/>
    </row>
    <row r="143" spans="1:40" ht="19" customHeight="1" x14ac:dyDescent="0.35">
      <c r="A143" s="539"/>
      <c r="B143" s="539"/>
      <c r="C143" s="540"/>
      <c r="D143" s="539"/>
      <c r="E143" s="539"/>
      <c r="F143" s="539"/>
      <c r="G143" s="539"/>
      <c r="H143" s="539"/>
      <c r="I143" s="416"/>
      <c r="J143" s="416"/>
      <c r="K143" s="416"/>
      <c r="L143" s="416"/>
      <c r="M143" s="416"/>
      <c r="N143" s="416"/>
      <c r="O143" s="416"/>
      <c r="P143" s="416"/>
      <c r="Q143" s="416"/>
      <c r="R143" s="416"/>
      <c r="S143" s="416"/>
      <c r="T143" s="416"/>
      <c r="U143" s="416"/>
      <c r="V143" s="416"/>
      <c r="W143" s="416"/>
      <c r="X143" s="416"/>
      <c r="Y143" s="416"/>
      <c r="Z143" s="416"/>
      <c r="AA143" s="416"/>
      <c r="AB143" s="416"/>
      <c r="AC143" s="416"/>
      <c r="AD143" s="416"/>
      <c r="AE143" s="416"/>
      <c r="AF143" s="416"/>
      <c r="AG143" s="416"/>
      <c r="AH143" s="416"/>
      <c r="AI143" s="416"/>
      <c r="AJ143" s="416"/>
      <c r="AK143" s="416"/>
      <c r="AL143" s="416"/>
      <c r="AM143" s="416"/>
    </row>
    <row r="144" spans="1:40" ht="19" customHeight="1" x14ac:dyDescent="0.35">
      <c r="A144" s="416"/>
      <c r="B144" s="416"/>
      <c r="C144" s="417"/>
      <c r="D144" s="416"/>
      <c r="E144" s="416"/>
      <c r="F144" s="416"/>
      <c r="G144" s="416"/>
      <c r="H144" s="416"/>
      <c r="I144" s="416"/>
      <c r="J144" s="416"/>
      <c r="K144" s="416"/>
      <c r="L144" s="416"/>
      <c r="M144" s="416"/>
      <c r="N144" s="416"/>
      <c r="O144" s="416"/>
      <c r="P144" s="416"/>
      <c r="Q144" s="416"/>
      <c r="R144" s="416"/>
      <c r="S144" s="416"/>
      <c r="T144" s="416"/>
      <c r="U144" s="416"/>
      <c r="V144" s="416"/>
      <c r="W144" s="416"/>
      <c r="X144" s="416"/>
      <c r="Y144" s="416"/>
      <c r="Z144" s="416"/>
      <c r="AA144" s="416"/>
      <c r="AB144" s="416"/>
      <c r="AC144" s="416"/>
      <c r="AD144" s="416"/>
      <c r="AE144" s="416"/>
      <c r="AF144" s="416"/>
      <c r="AG144" s="416"/>
      <c r="AH144" s="416"/>
      <c r="AI144" s="416"/>
      <c r="AJ144" s="416"/>
      <c r="AK144" s="416"/>
      <c r="AL144" s="416"/>
      <c r="AM144" s="416"/>
    </row>
    <row r="145" spans="1:43" s="421" customFormat="1" ht="19" customHeight="1" x14ac:dyDescent="0.35">
      <c r="A145" s="967" t="s">
        <v>244</v>
      </c>
      <c r="B145" s="967" t="s">
        <v>151</v>
      </c>
      <c r="C145" s="960" t="s">
        <v>311</v>
      </c>
      <c r="D145" s="960"/>
      <c r="E145" s="960"/>
      <c r="F145" s="960" t="s">
        <v>312</v>
      </c>
      <c r="G145" s="960"/>
      <c r="H145" s="960"/>
      <c r="I145" s="960" t="s">
        <v>33</v>
      </c>
      <c r="J145" s="960"/>
      <c r="K145" s="970" t="s">
        <v>245</v>
      </c>
      <c r="L145" s="970"/>
      <c r="M145" s="970" t="s">
        <v>246</v>
      </c>
      <c r="N145" s="970"/>
      <c r="O145" s="960" t="s">
        <v>247</v>
      </c>
      <c r="P145" s="960"/>
      <c r="Q145" s="960"/>
      <c r="R145" s="960"/>
      <c r="S145" s="960"/>
      <c r="T145" s="960"/>
      <c r="U145" s="960"/>
      <c r="V145" s="960"/>
      <c r="W145" s="960"/>
      <c r="X145" s="971" t="s">
        <v>247</v>
      </c>
      <c r="Y145" s="960"/>
      <c r="Z145" s="960"/>
      <c r="AA145" s="960"/>
      <c r="AB145" s="960"/>
      <c r="AC145" s="960"/>
      <c r="AD145" s="960"/>
      <c r="AE145" s="960"/>
      <c r="AF145" s="960"/>
      <c r="AG145" s="960"/>
      <c r="AH145" s="960"/>
      <c r="AI145" s="960"/>
      <c r="AJ145" s="975" t="s">
        <v>248</v>
      </c>
      <c r="AK145" s="975"/>
      <c r="AL145" s="975"/>
      <c r="AM145" s="975"/>
      <c r="AN145" s="975"/>
    </row>
    <row r="146" spans="1:43" s="421" customFormat="1" ht="19" customHeight="1" x14ac:dyDescent="0.35">
      <c r="A146" s="968"/>
      <c r="B146" s="968"/>
      <c r="C146" s="961" t="s">
        <v>249</v>
      </c>
      <c r="D146" s="972" t="s">
        <v>250</v>
      </c>
      <c r="E146" s="961" t="s">
        <v>251</v>
      </c>
      <c r="F146" s="961" t="s">
        <v>249</v>
      </c>
      <c r="G146" s="961" t="s">
        <v>250</v>
      </c>
      <c r="H146" s="961" t="s">
        <v>251</v>
      </c>
      <c r="I146" s="961" t="s">
        <v>252</v>
      </c>
      <c r="J146" s="961" t="s">
        <v>253</v>
      </c>
      <c r="K146" s="961" t="s">
        <v>254</v>
      </c>
      <c r="L146" s="961" t="s">
        <v>255</v>
      </c>
      <c r="M146" s="961" t="s">
        <v>254</v>
      </c>
      <c r="N146" s="961" t="s">
        <v>256</v>
      </c>
      <c r="O146" s="965" t="s">
        <v>257</v>
      </c>
      <c r="P146" s="965"/>
      <c r="Q146" s="965"/>
      <c r="R146" s="965"/>
      <c r="S146" s="965"/>
      <c r="T146" s="965" t="s">
        <v>258</v>
      </c>
      <c r="U146" s="965"/>
      <c r="V146" s="965"/>
      <c r="W146" s="965"/>
      <c r="X146" s="966" t="s">
        <v>259</v>
      </c>
      <c r="Y146" s="965"/>
      <c r="Z146" s="965"/>
      <c r="AA146" s="965" t="s">
        <v>260</v>
      </c>
      <c r="AB146" s="965"/>
      <c r="AC146" s="965"/>
      <c r="AD146" s="965" t="s">
        <v>261</v>
      </c>
      <c r="AE146" s="965"/>
      <c r="AF146" s="965"/>
      <c r="AG146" s="965" t="s">
        <v>262</v>
      </c>
      <c r="AH146" s="965"/>
      <c r="AI146" s="965"/>
      <c r="AJ146" s="964" t="s">
        <v>421</v>
      </c>
      <c r="AK146" s="964" t="s">
        <v>263</v>
      </c>
      <c r="AL146" s="964" t="s">
        <v>264</v>
      </c>
      <c r="AM146" s="964" t="s">
        <v>265</v>
      </c>
      <c r="AN146" s="964" t="s">
        <v>424</v>
      </c>
      <c r="AO146" s="423"/>
      <c r="AP146" s="423"/>
      <c r="AQ146" s="423"/>
    </row>
    <row r="147" spans="1:43" s="421" customFormat="1" ht="19" customHeight="1" x14ac:dyDescent="0.35">
      <c r="A147" s="968"/>
      <c r="B147" s="968"/>
      <c r="C147" s="962"/>
      <c r="D147" s="973"/>
      <c r="E147" s="962"/>
      <c r="F147" s="962"/>
      <c r="G147" s="962"/>
      <c r="H147" s="962"/>
      <c r="I147" s="962"/>
      <c r="J147" s="962"/>
      <c r="K147" s="962"/>
      <c r="L147" s="962"/>
      <c r="M147" s="962"/>
      <c r="N147" s="962"/>
      <c r="O147" s="965" t="s">
        <v>266</v>
      </c>
      <c r="P147" s="965" t="s">
        <v>267</v>
      </c>
      <c r="Q147" s="965" t="s">
        <v>268</v>
      </c>
      <c r="R147" s="965" t="s">
        <v>269</v>
      </c>
      <c r="S147" s="965"/>
      <c r="T147" s="965" t="s">
        <v>270</v>
      </c>
      <c r="U147" s="965" t="s">
        <v>271</v>
      </c>
      <c r="V147" s="965" t="s">
        <v>272</v>
      </c>
      <c r="W147" s="965" t="s">
        <v>273</v>
      </c>
      <c r="X147" s="966" t="s">
        <v>274</v>
      </c>
      <c r="Y147" s="965" t="s">
        <v>275</v>
      </c>
      <c r="Z147" s="965" t="s">
        <v>276</v>
      </c>
      <c r="AA147" s="965" t="s">
        <v>277</v>
      </c>
      <c r="AB147" s="965" t="s">
        <v>278</v>
      </c>
      <c r="AC147" s="965" t="s">
        <v>279</v>
      </c>
      <c r="AD147" s="965" t="s">
        <v>280</v>
      </c>
      <c r="AE147" s="965" t="s">
        <v>281</v>
      </c>
      <c r="AF147" s="965" t="s">
        <v>282</v>
      </c>
      <c r="AG147" s="965" t="s">
        <v>283</v>
      </c>
      <c r="AH147" s="965" t="s">
        <v>284</v>
      </c>
      <c r="AI147" s="965" t="s">
        <v>279</v>
      </c>
      <c r="AJ147" s="964"/>
      <c r="AK147" s="964"/>
      <c r="AL147" s="964"/>
      <c r="AM147" s="964"/>
      <c r="AN147" s="964"/>
      <c r="AO147" s="423"/>
      <c r="AP147" s="423"/>
      <c r="AQ147" s="423"/>
    </row>
    <row r="148" spans="1:43" s="421" customFormat="1" ht="19" customHeight="1" x14ac:dyDescent="0.35">
      <c r="A148" s="969"/>
      <c r="B148" s="969"/>
      <c r="C148" s="963"/>
      <c r="D148" s="974"/>
      <c r="E148" s="963"/>
      <c r="F148" s="963"/>
      <c r="G148" s="963"/>
      <c r="H148" s="963"/>
      <c r="I148" s="963"/>
      <c r="J148" s="963"/>
      <c r="K148" s="963"/>
      <c r="L148" s="963"/>
      <c r="M148" s="963"/>
      <c r="N148" s="963"/>
      <c r="O148" s="965"/>
      <c r="P148" s="965"/>
      <c r="Q148" s="965"/>
      <c r="R148" s="422" t="s">
        <v>285</v>
      </c>
      <c r="S148" s="422" t="s">
        <v>286</v>
      </c>
      <c r="T148" s="965"/>
      <c r="U148" s="965"/>
      <c r="V148" s="965"/>
      <c r="W148" s="965"/>
      <c r="X148" s="966"/>
      <c r="Y148" s="965"/>
      <c r="Z148" s="965"/>
      <c r="AA148" s="965"/>
      <c r="AB148" s="965"/>
      <c r="AC148" s="965"/>
      <c r="AD148" s="965"/>
      <c r="AE148" s="965"/>
      <c r="AF148" s="965"/>
      <c r="AG148" s="965"/>
      <c r="AH148" s="965"/>
      <c r="AI148" s="965"/>
      <c r="AJ148" s="964"/>
      <c r="AK148" s="964"/>
      <c r="AL148" s="964"/>
      <c r="AM148" s="964"/>
      <c r="AN148" s="964"/>
      <c r="AO148" s="423"/>
      <c r="AP148" s="423"/>
      <c r="AQ148" s="423"/>
    </row>
    <row r="149" spans="1:43" s="421" customFormat="1" ht="19" customHeight="1" thickBot="1" x14ac:dyDescent="0.4">
      <c r="A149" s="424">
        <v>1</v>
      </c>
      <c r="B149" s="424">
        <v>2</v>
      </c>
      <c r="C149" s="425">
        <v>3</v>
      </c>
      <c r="D149" s="424">
        <v>4</v>
      </c>
      <c r="E149" s="424">
        <v>5</v>
      </c>
      <c r="F149" s="424">
        <v>6</v>
      </c>
      <c r="G149" s="424">
        <v>7</v>
      </c>
      <c r="H149" s="424">
        <v>8</v>
      </c>
      <c r="I149" s="424">
        <v>9</v>
      </c>
      <c r="J149" s="424">
        <v>10</v>
      </c>
      <c r="K149" s="424">
        <v>11</v>
      </c>
      <c r="L149" s="424">
        <v>12</v>
      </c>
      <c r="M149" s="424">
        <v>13</v>
      </c>
      <c r="N149" s="424">
        <v>14</v>
      </c>
      <c r="O149" s="424">
        <v>15</v>
      </c>
      <c r="P149" s="424">
        <v>16</v>
      </c>
      <c r="Q149" s="424">
        <v>17</v>
      </c>
      <c r="R149" s="424">
        <v>18</v>
      </c>
      <c r="S149" s="424">
        <v>19</v>
      </c>
      <c r="T149" s="424">
        <v>20</v>
      </c>
      <c r="U149" s="424">
        <v>21</v>
      </c>
      <c r="V149" s="424">
        <v>22</v>
      </c>
      <c r="W149" s="424">
        <v>23</v>
      </c>
      <c r="X149" s="424">
        <v>24</v>
      </c>
      <c r="Y149" s="424">
        <v>25</v>
      </c>
      <c r="Z149" s="424">
        <v>26</v>
      </c>
      <c r="AA149" s="424">
        <v>27</v>
      </c>
      <c r="AB149" s="424">
        <v>28</v>
      </c>
      <c r="AC149" s="424">
        <v>29</v>
      </c>
      <c r="AD149" s="424">
        <v>30</v>
      </c>
      <c r="AE149" s="424">
        <v>31</v>
      </c>
      <c r="AF149" s="424">
        <v>32</v>
      </c>
      <c r="AG149" s="424">
        <v>33</v>
      </c>
      <c r="AH149" s="424">
        <v>34</v>
      </c>
      <c r="AI149" s="424">
        <v>35</v>
      </c>
      <c r="AJ149" s="424">
        <v>36</v>
      </c>
      <c r="AK149" s="424">
        <v>37</v>
      </c>
      <c r="AL149" s="424">
        <v>38</v>
      </c>
      <c r="AM149" s="424">
        <v>39</v>
      </c>
      <c r="AN149" s="424">
        <v>40</v>
      </c>
    </row>
    <row r="150" spans="1:43" s="389" customFormat="1" ht="19" customHeight="1" thickTop="1" x14ac:dyDescent="0.35">
      <c r="A150" s="427">
        <v>1</v>
      </c>
      <c r="B150" s="427" t="str">
        <f>PETUNJUK!B9</f>
        <v>Pecangaan Kulon</v>
      </c>
      <c r="C150" s="428">
        <v>0</v>
      </c>
      <c r="D150" s="428">
        <v>0</v>
      </c>
      <c r="E150" s="428">
        <v>0</v>
      </c>
      <c r="F150" s="428">
        <v>0</v>
      </c>
      <c r="G150" s="428">
        <v>0</v>
      </c>
      <c r="H150" s="428">
        <v>0</v>
      </c>
      <c r="I150" s="428">
        <v>0</v>
      </c>
      <c r="J150" s="428">
        <v>0</v>
      </c>
      <c r="K150" s="428">
        <v>0</v>
      </c>
      <c r="L150" s="428">
        <v>0</v>
      </c>
      <c r="M150" s="428">
        <v>0</v>
      </c>
      <c r="N150" s="428">
        <v>0</v>
      </c>
      <c r="O150" s="428">
        <v>0</v>
      </c>
      <c r="P150" s="428">
        <v>0</v>
      </c>
      <c r="Q150" s="428">
        <v>0</v>
      </c>
      <c r="R150" s="428">
        <v>0</v>
      </c>
      <c r="S150" s="428">
        <v>0</v>
      </c>
      <c r="T150" s="428">
        <v>0</v>
      </c>
      <c r="U150" s="428">
        <v>0</v>
      </c>
      <c r="V150" s="428">
        <v>0</v>
      </c>
      <c r="W150" s="428">
        <v>0</v>
      </c>
      <c r="X150" s="428">
        <v>0</v>
      </c>
      <c r="Y150" s="428">
        <v>0</v>
      </c>
      <c r="Z150" s="428">
        <v>0</v>
      </c>
      <c r="AA150" s="428">
        <v>0</v>
      </c>
      <c r="AB150" s="428">
        <v>0</v>
      </c>
      <c r="AC150" s="428">
        <v>0</v>
      </c>
      <c r="AD150" s="428">
        <v>0</v>
      </c>
      <c r="AE150" s="428">
        <v>0</v>
      </c>
      <c r="AF150" s="428">
        <v>0</v>
      </c>
      <c r="AG150" s="428">
        <v>0</v>
      </c>
      <c r="AH150" s="428">
        <v>0</v>
      </c>
      <c r="AI150" s="428">
        <v>0</v>
      </c>
      <c r="AJ150" s="428">
        <v>0</v>
      </c>
      <c r="AK150" s="428">
        <v>0</v>
      </c>
      <c r="AL150" s="428">
        <v>0</v>
      </c>
      <c r="AM150" s="428">
        <v>0</v>
      </c>
      <c r="AN150" s="428">
        <v>0</v>
      </c>
    </row>
    <row r="151" spans="1:43" s="389" customFormat="1" ht="19" customHeight="1" x14ac:dyDescent="0.35">
      <c r="A151" s="429">
        <v>2</v>
      </c>
      <c r="B151" s="427" t="str">
        <f>PETUNJUK!B10</f>
        <v>Rengging</v>
      </c>
      <c r="C151" s="428">
        <v>0</v>
      </c>
      <c r="D151" s="428">
        <v>0</v>
      </c>
      <c r="E151" s="428">
        <v>0</v>
      </c>
      <c r="F151" s="428">
        <v>0</v>
      </c>
      <c r="G151" s="428">
        <v>0</v>
      </c>
      <c r="H151" s="428">
        <v>0</v>
      </c>
      <c r="I151" s="428">
        <v>0</v>
      </c>
      <c r="J151" s="428">
        <v>0</v>
      </c>
      <c r="K151" s="428">
        <v>0</v>
      </c>
      <c r="L151" s="428">
        <v>0</v>
      </c>
      <c r="M151" s="428">
        <v>0</v>
      </c>
      <c r="N151" s="428">
        <v>0</v>
      </c>
      <c r="O151" s="428">
        <v>0</v>
      </c>
      <c r="P151" s="428">
        <v>0</v>
      </c>
      <c r="Q151" s="428">
        <v>0</v>
      </c>
      <c r="R151" s="428">
        <v>0</v>
      </c>
      <c r="S151" s="428">
        <v>0</v>
      </c>
      <c r="T151" s="428">
        <v>0</v>
      </c>
      <c r="U151" s="428">
        <v>0</v>
      </c>
      <c r="V151" s="428">
        <v>0</v>
      </c>
      <c r="W151" s="428">
        <v>0</v>
      </c>
      <c r="X151" s="428">
        <v>0</v>
      </c>
      <c r="Y151" s="428">
        <v>0</v>
      </c>
      <c r="Z151" s="428">
        <v>0</v>
      </c>
      <c r="AA151" s="428">
        <v>0</v>
      </c>
      <c r="AB151" s="428">
        <v>0</v>
      </c>
      <c r="AC151" s="428">
        <v>0</v>
      </c>
      <c r="AD151" s="428">
        <v>0</v>
      </c>
      <c r="AE151" s="428">
        <v>0</v>
      </c>
      <c r="AF151" s="428">
        <v>0</v>
      </c>
      <c r="AG151" s="428">
        <v>0</v>
      </c>
      <c r="AH151" s="428">
        <v>0</v>
      </c>
      <c r="AI151" s="428">
        <v>0</v>
      </c>
      <c r="AJ151" s="428">
        <v>0</v>
      </c>
      <c r="AK151" s="428">
        <v>0</v>
      </c>
      <c r="AL151" s="428">
        <v>0</v>
      </c>
      <c r="AM151" s="428">
        <v>0</v>
      </c>
      <c r="AN151" s="428">
        <v>0</v>
      </c>
    </row>
    <row r="152" spans="1:43" s="389" customFormat="1" ht="19" customHeight="1" x14ac:dyDescent="0.35">
      <c r="A152" s="429">
        <v>3</v>
      </c>
      <c r="B152" s="427" t="str">
        <f>PETUNJUK!B11</f>
        <v>Troso</v>
      </c>
      <c r="C152" s="428">
        <v>0</v>
      </c>
      <c r="D152" s="428">
        <v>0</v>
      </c>
      <c r="E152" s="428">
        <v>0</v>
      </c>
      <c r="F152" s="428">
        <v>0</v>
      </c>
      <c r="G152" s="428">
        <v>0</v>
      </c>
      <c r="H152" s="428">
        <v>0</v>
      </c>
      <c r="I152" s="428">
        <v>0</v>
      </c>
      <c r="J152" s="428">
        <v>0</v>
      </c>
      <c r="K152" s="428">
        <v>0</v>
      </c>
      <c r="L152" s="428">
        <v>0</v>
      </c>
      <c r="M152" s="428">
        <v>0</v>
      </c>
      <c r="N152" s="428">
        <v>0</v>
      </c>
      <c r="O152" s="428">
        <v>0</v>
      </c>
      <c r="P152" s="428">
        <v>0</v>
      </c>
      <c r="Q152" s="428">
        <v>0</v>
      </c>
      <c r="R152" s="428">
        <v>0</v>
      </c>
      <c r="S152" s="428">
        <v>0</v>
      </c>
      <c r="T152" s="428">
        <v>0</v>
      </c>
      <c r="U152" s="428">
        <v>0</v>
      </c>
      <c r="V152" s="428">
        <v>0</v>
      </c>
      <c r="W152" s="428">
        <v>0</v>
      </c>
      <c r="X152" s="428">
        <v>0</v>
      </c>
      <c r="Y152" s="428">
        <v>0</v>
      </c>
      <c r="Z152" s="428">
        <v>0</v>
      </c>
      <c r="AA152" s="428">
        <v>0</v>
      </c>
      <c r="AB152" s="428">
        <v>0</v>
      </c>
      <c r="AC152" s="428">
        <v>0</v>
      </c>
      <c r="AD152" s="428">
        <v>0</v>
      </c>
      <c r="AE152" s="428">
        <v>0</v>
      </c>
      <c r="AF152" s="428">
        <v>0</v>
      </c>
      <c r="AG152" s="428">
        <v>0</v>
      </c>
      <c r="AH152" s="428">
        <v>0</v>
      </c>
      <c r="AI152" s="428">
        <v>0</v>
      </c>
      <c r="AJ152" s="428">
        <v>0</v>
      </c>
      <c r="AK152" s="428">
        <v>0</v>
      </c>
      <c r="AL152" s="428">
        <v>0</v>
      </c>
      <c r="AM152" s="428">
        <v>0</v>
      </c>
      <c r="AN152" s="428">
        <v>0</v>
      </c>
    </row>
    <row r="153" spans="1:43" s="389" customFormat="1" ht="19" customHeight="1" x14ac:dyDescent="0.35">
      <c r="A153" s="429">
        <v>4</v>
      </c>
      <c r="B153" s="427" t="str">
        <f>PETUNJUK!B12</f>
        <v>Ngeling</v>
      </c>
      <c r="C153" s="428">
        <v>0</v>
      </c>
      <c r="D153" s="428">
        <v>0</v>
      </c>
      <c r="E153" s="428">
        <v>0</v>
      </c>
      <c r="F153" s="428">
        <v>0</v>
      </c>
      <c r="G153" s="428">
        <v>0</v>
      </c>
      <c r="H153" s="428">
        <v>0</v>
      </c>
      <c r="I153" s="428">
        <v>0</v>
      </c>
      <c r="J153" s="428">
        <v>0</v>
      </c>
      <c r="K153" s="428">
        <v>0</v>
      </c>
      <c r="L153" s="428">
        <v>0</v>
      </c>
      <c r="M153" s="428">
        <v>0</v>
      </c>
      <c r="N153" s="428">
        <v>0</v>
      </c>
      <c r="O153" s="428">
        <v>0</v>
      </c>
      <c r="P153" s="428">
        <v>0</v>
      </c>
      <c r="Q153" s="428">
        <v>0</v>
      </c>
      <c r="R153" s="428">
        <v>0</v>
      </c>
      <c r="S153" s="428">
        <v>0</v>
      </c>
      <c r="T153" s="428">
        <v>0</v>
      </c>
      <c r="U153" s="428">
        <v>0</v>
      </c>
      <c r="V153" s="428">
        <v>0</v>
      </c>
      <c r="W153" s="428">
        <v>0</v>
      </c>
      <c r="X153" s="428">
        <v>0</v>
      </c>
      <c r="Y153" s="428">
        <v>0</v>
      </c>
      <c r="Z153" s="428">
        <v>0</v>
      </c>
      <c r="AA153" s="428">
        <v>0</v>
      </c>
      <c r="AB153" s="428">
        <v>0</v>
      </c>
      <c r="AC153" s="428">
        <v>0</v>
      </c>
      <c r="AD153" s="428">
        <v>0</v>
      </c>
      <c r="AE153" s="428">
        <v>0</v>
      </c>
      <c r="AF153" s="428">
        <v>0</v>
      </c>
      <c r="AG153" s="428">
        <v>0</v>
      </c>
      <c r="AH153" s="428">
        <v>0</v>
      </c>
      <c r="AI153" s="428">
        <v>0</v>
      </c>
      <c r="AJ153" s="428">
        <v>0</v>
      </c>
      <c r="AK153" s="428">
        <v>0</v>
      </c>
      <c r="AL153" s="428">
        <v>0</v>
      </c>
      <c r="AM153" s="428">
        <v>0</v>
      </c>
      <c r="AN153" s="428">
        <v>0</v>
      </c>
    </row>
    <row r="154" spans="1:43" s="389" customFormat="1" ht="19" customHeight="1" x14ac:dyDescent="0.35">
      <c r="A154" s="429">
        <v>5</v>
      </c>
      <c r="B154" s="427" t="str">
        <f>PETUNJUK!B13</f>
        <v>Lebuawu</v>
      </c>
      <c r="C154" s="428">
        <v>0</v>
      </c>
      <c r="D154" s="428">
        <v>0</v>
      </c>
      <c r="E154" s="428">
        <v>0</v>
      </c>
      <c r="F154" s="428">
        <v>0</v>
      </c>
      <c r="G154" s="428">
        <v>0</v>
      </c>
      <c r="H154" s="428">
        <v>0</v>
      </c>
      <c r="I154" s="428">
        <v>0</v>
      </c>
      <c r="J154" s="428">
        <v>0</v>
      </c>
      <c r="K154" s="428">
        <v>0</v>
      </c>
      <c r="L154" s="428">
        <v>0</v>
      </c>
      <c r="M154" s="428">
        <v>0</v>
      </c>
      <c r="N154" s="428">
        <v>0</v>
      </c>
      <c r="O154" s="428">
        <v>0</v>
      </c>
      <c r="P154" s="428">
        <v>0</v>
      </c>
      <c r="Q154" s="428">
        <v>0</v>
      </c>
      <c r="R154" s="428">
        <v>0</v>
      </c>
      <c r="S154" s="428">
        <v>0</v>
      </c>
      <c r="T154" s="428">
        <v>0</v>
      </c>
      <c r="U154" s="428">
        <v>0</v>
      </c>
      <c r="V154" s="428">
        <v>0</v>
      </c>
      <c r="W154" s="428">
        <v>0</v>
      </c>
      <c r="X154" s="428">
        <v>0</v>
      </c>
      <c r="Y154" s="428">
        <v>0</v>
      </c>
      <c r="Z154" s="428">
        <v>0</v>
      </c>
      <c r="AA154" s="428">
        <v>0</v>
      </c>
      <c r="AB154" s="428">
        <v>0</v>
      </c>
      <c r="AC154" s="428">
        <v>0</v>
      </c>
      <c r="AD154" s="428">
        <v>0</v>
      </c>
      <c r="AE154" s="428">
        <v>0</v>
      </c>
      <c r="AF154" s="428">
        <v>0</v>
      </c>
      <c r="AG154" s="428">
        <v>0</v>
      </c>
      <c r="AH154" s="428">
        <v>0</v>
      </c>
      <c r="AI154" s="428">
        <v>0</v>
      </c>
      <c r="AJ154" s="428">
        <v>0</v>
      </c>
      <c r="AK154" s="428">
        <v>0</v>
      </c>
      <c r="AL154" s="428">
        <v>0</v>
      </c>
      <c r="AM154" s="428">
        <v>0</v>
      </c>
      <c r="AN154" s="428">
        <v>0</v>
      </c>
    </row>
    <row r="155" spans="1:43" s="389" customFormat="1" ht="19" customHeight="1" x14ac:dyDescent="0.35">
      <c r="A155" s="429">
        <v>6</v>
      </c>
      <c r="B155" s="427" t="str">
        <f>PETUNJUK!B14</f>
        <v>Pulodarat</v>
      </c>
      <c r="C155" s="428">
        <v>0</v>
      </c>
      <c r="D155" s="428">
        <v>0</v>
      </c>
      <c r="E155" s="428">
        <v>0</v>
      </c>
      <c r="F155" s="428">
        <v>0</v>
      </c>
      <c r="G155" s="428">
        <v>0</v>
      </c>
      <c r="H155" s="428">
        <v>0</v>
      </c>
      <c r="I155" s="428">
        <v>0</v>
      </c>
      <c r="J155" s="428">
        <v>0</v>
      </c>
      <c r="K155" s="428">
        <v>0</v>
      </c>
      <c r="L155" s="428">
        <v>0</v>
      </c>
      <c r="M155" s="428">
        <v>0</v>
      </c>
      <c r="N155" s="428">
        <v>0</v>
      </c>
      <c r="O155" s="428">
        <v>0</v>
      </c>
      <c r="P155" s="428">
        <v>0</v>
      </c>
      <c r="Q155" s="428">
        <v>0</v>
      </c>
      <c r="R155" s="428">
        <v>0</v>
      </c>
      <c r="S155" s="428">
        <v>0</v>
      </c>
      <c r="T155" s="428">
        <v>0</v>
      </c>
      <c r="U155" s="428">
        <v>0</v>
      </c>
      <c r="V155" s="428">
        <v>0</v>
      </c>
      <c r="W155" s="428">
        <v>0</v>
      </c>
      <c r="X155" s="428">
        <v>0</v>
      </c>
      <c r="Y155" s="428">
        <v>0</v>
      </c>
      <c r="Z155" s="428">
        <v>0</v>
      </c>
      <c r="AA155" s="428">
        <v>0</v>
      </c>
      <c r="AB155" s="428">
        <v>0</v>
      </c>
      <c r="AC155" s="428">
        <v>0</v>
      </c>
      <c r="AD155" s="428">
        <v>0</v>
      </c>
      <c r="AE155" s="428">
        <v>0</v>
      </c>
      <c r="AF155" s="428">
        <v>0</v>
      </c>
      <c r="AG155" s="428">
        <v>0</v>
      </c>
      <c r="AH155" s="428">
        <v>0</v>
      </c>
      <c r="AI155" s="428">
        <v>0</v>
      </c>
      <c r="AJ155" s="428">
        <v>0</v>
      </c>
      <c r="AK155" s="428">
        <v>0</v>
      </c>
      <c r="AL155" s="428">
        <v>0</v>
      </c>
      <c r="AM155" s="428">
        <v>0</v>
      </c>
      <c r="AN155" s="428">
        <v>0</v>
      </c>
    </row>
    <row r="156" spans="1:43" s="389" customFormat="1" ht="19" customHeight="1" x14ac:dyDescent="0.35">
      <c r="A156" s="429">
        <v>7</v>
      </c>
      <c r="B156" s="427" t="str">
        <f>PETUNJUK!B15</f>
        <v>Karangrandu</v>
      </c>
      <c r="C156" s="428">
        <v>0</v>
      </c>
      <c r="D156" s="428">
        <v>0</v>
      </c>
      <c r="E156" s="428">
        <v>0</v>
      </c>
      <c r="F156" s="428">
        <v>0</v>
      </c>
      <c r="G156" s="428">
        <v>0</v>
      </c>
      <c r="H156" s="428">
        <v>0</v>
      </c>
      <c r="I156" s="428">
        <v>0</v>
      </c>
      <c r="J156" s="428">
        <v>0</v>
      </c>
      <c r="K156" s="428">
        <v>0</v>
      </c>
      <c r="L156" s="428">
        <v>0</v>
      </c>
      <c r="M156" s="428">
        <v>0</v>
      </c>
      <c r="N156" s="428">
        <v>0</v>
      </c>
      <c r="O156" s="428">
        <v>0</v>
      </c>
      <c r="P156" s="428">
        <v>0</v>
      </c>
      <c r="Q156" s="428">
        <v>0</v>
      </c>
      <c r="R156" s="428">
        <v>0</v>
      </c>
      <c r="S156" s="428">
        <v>0</v>
      </c>
      <c r="T156" s="428">
        <v>0</v>
      </c>
      <c r="U156" s="428">
        <v>0</v>
      </c>
      <c r="V156" s="428">
        <v>0</v>
      </c>
      <c r="W156" s="428">
        <v>0</v>
      </c>
      <c r="X156" s="428">
        <v>0</v>
      </c>
      <c r="Y156" s="428">
        <v>0</v>
      </c>
      <c r="Z156" s="428">
        <v>0</v>
      </c>
      <c r="AA156" s="428">
        <v>0</v>
      </c>
      <c r="AB156" s="428">
        <v>0</v>
      </c>
      <c r="AC156" s="428">
        <v>0</v>
      </c>
      <c r="AD156" s="428">
        <v>0</v>
      </c>
      <c r="AE156" s="428">
        <v>0</v>
      </c>
      <c r="AF156" s="428">
        <v>0</v>
      </c>
      <c r="AG156" s="428">
        <v>0</v>
      </c>
      <c r="AH156" s="428">
        <v>0</v>
      </c>
      <c r="AI156" s="428">
        <v>0</v>
      </c>
      <c r="AJ156" s="428">
        <v>0</v>
      </c>
      <c r="AK156" s="428">
        <v>0</v>
      </c>
      <c r="AL156" s="428">
        <v>0</v>
      </c>
      <c r="AM156" s="428">
        <v>0</v>
      </c>
      <c r="AN156" s="428">
        <v>0</v>
      </c>
    </row>
    <row r="157" spans="1:43" s="389" customFormat="1" ht="19" customHeight="1" x14ac:dyDescent="0.35">
      <c r="A157" s="429">
        <v>8</v>
      </c>
      <c r="B157" s="427" t="str">
        <f>PETUNJUK!B16</f>
        <v>Kaliombo</v>
      </c>
      <c r="C157" s="428">
        <v>0</v>
      </c>
      <c r="D157" s="428">
        <v>0</v>
      </c>
      <c r="E157" s="428">
        <v>0</v>
      </c>
      <c r="F157" s="428">
        <v>0</v>
      </c>
      <c r="G157" s="428">
        <v>0</v>
      </c>
      <c r="H157" s="428">
        <v>0</v>
      </c>
      <c r="I157" s="428">
        <v>0</v>
      </c>
      <c r="J157" s="428">
        <v>0</v>
      </c>
      <c r="K157" s="428">
        <v>0</v>
      </c>
      <c r="L157" s="428">
        <v>0</v>
      </c>
      <c r="M157" s="428">
        <v>0</v>
      </c>
      <c r="N157" s="428">
        <v>0</v>
      </c>
      <c r="O157" s="428">
        <v>0</v>
      </c>
      <c r="P157" s="428">
        <v>0</v>
      </c>
      <c r="Q157" s="428">
        <v>0</v>
      </c>
      <c r="R157" s="428">
        <v>0</v>
      </c>
      <c r="S157" s="428">
        <v>0</v>
      </c>
      <c r="T157" s="428">
        <v>0</v>
      </c>
      <c r="U157" s="428">
        <v>0</v>
      </c>
      <c r="V157" s="428">
        <v>0</v>
      </c>
      <c r="W157" s="428">
        <v>0</v>
      </c>
      <c r="X157" s="428">
        <v>0</v>
      </c>
      <c r="Y157" s="428">
        <v>0</v>
      </c>
      <c r="Z157" s="428">
        <v>0</v>
      </c>
      <c r="AA157" s="428">
        <v>0</v>
      </c>
      <c r="AB157" s="428">
        <v>0</v>
      </c>
      <c r="AC157" s="428">
        <v>0</v>
      </c>
      <c r="AD157" s="428">
        <v>0</v>
      </c>
      <c r="AE157" s="428">
        <v>0</v>
      </c>
      <c r="AF157" s="428">
        <v>0</v>
      </c>
      <c r="AG157" s="428">
        <v>0</v>
      </c>
      <c r="AH157" s="428">
        <v>0</v>
      </c>
      <c r="AI157" s="428">
        <v>0</v>
      </c>
      <c r="AJ157" s="428">
        <v>0</v>
      </c>
      <c r="AK157" s="428">
        <v>0</v>
      </c>
      <c r="AL157" s="428">
        <v>0</v>
      </c>
      <c r="AM157" s="428">
        <v>0</v>
      </c>
      <c r="AN157" s="428">
        <v>0</v>
      </c>
    </row>
    <row r="158" spans="1:43" s="389" customFormat="1" ht="19" customHeight="1" x14ac:dyDescent="0.35">
      <c r="A158" s="429">
        <v>9</v>
      </c>
      <c r="B158" s="427" t="str">
        <f>PETUNJUK!B17</f>
        <v>Gemulung</v>
      </c>
      <c r="C158" s="428">
        <v>0</v>
      </c>
      <c r="D158" s="428">
        <v>0</v>
      </c>
      <c r="E158" s="428">
        <v>0</v>
      </c>
      <c r="F158" s="428">
        <v>0</v>
      </c>
      <c r="G158" s="428">
        <v>0</v>
      </c>
      <c r="H158" s="428">
        <v>0</v>
      </c>
      <c r="I158" s="428">
        <v>0</v>
      </c>
      <c r="J158" s="428">
        <v>0</v>
      </c>
      <c r="K158" s="428">
        <v>0</v>
      </c>
      <c r="L158" s="428">
        <v>0</v>
      </c>
      <c r="M158" s="428">
        <v>0</v>
      </c>
      <c r="N158" s="428">
        <v>0</v>
      </c>
      <c r="O158" s="428">
        <v>0</v>
      </c>
      <c r="P158" s="428">
        <v>0</v>
      </c>
      <c r="Q158" s="428">
        <v>0</v>
      </c>
      <c r="R158" s="428">
        <v>0</v>
      </c>
      <c r="S158" s="428">
        <v>0</v>
      </c>
      <c r="T158" s="428">
        <v>0</v>
      </c>
      <c r="U158" s="428">
        <v>0</v>
      </c>
      <c r="V158" s="428">
        <v>0</v>
      </c>
      <c r="W158" s="428">
        <v>0</v>
      </c>
      <c r="X158" s="428">
        <v>0</v>
      </c>
      <c r="Y158" s="428">
        <v>0</v>
      </c>
      <c r="Z158" s="428">
        <v>0</v>
      </c>
      <c r="AA158" s="428">
        <v>0</v>
      </c>
      <c r="AB158" s="428">
        <v>0</v>
      </c>
      <c r="AC158" s="428">
        <v>0</v>
      </c>
      <c r="AD158" s="428">
        <v>0</v>
      </c>
      <c r="AE158" s="428">
        <v>0</v>
      </c>
      <c r="AF158" s="428">
        <v>0</v>
      </c>
      <c r="AG158" s="428">
        <v>0</v>
      </c>
      <c r="AH158" s="428">
        <v>0</v>
      </c>
      <c r="AI158" s="428">
        <v>0</v>
      </c>
      <c r="AJ158" s="428">
        <v>0</v>
      </c>
      <c r="AK158" s="428">
        <v>0</v>
      </c>
      <c r="AL158" s="428">
        <v>0</v>
      </c>
      <c r="AM158" s="428">
        <v>0</v>
      </c>
      <c r="AN158" s="428">
        <v>0</v>
      </c>
    </row>
    <row r="159" spans="1:43" s="389" customFormat="1" ht="19" customHeight="1" x14ac:dyDescent="0.35">
      <c r="A159" s="429">
        <v>10</v>
      </c>
      <c r="B159" s="427" t="str">
        <f>PETUNJUK!B18</f>
        <v>Pecangaan Wetan</v>
      </c>
      <c r="C159" s="428">
        <v>0</v>
      </c>
      <c r="D159" s="428">
        <v>0</v>
      </c>
      <c r="E159" s="428">
        <v>0</v>
      </c>
      <c r="F159" s="428">
        <v>0</v>
      </c>
      <c r="G159" s="428">
        <v>0</v>
      </c>
      <c r="H159" s="428">
        <v>0</v>
      </c>
      <c r="I159" s="428">
        <v>0</v>
      </c>
      <c r="J159" s="428">
        <v>0</v>
      </c>
      <c r="K159" s="428">
        <v>0</v>
      </c>
      <c r="L159" s="428">
        <v>0</v>
      </c>
      <c r="M159" s="428">
        <v>0</v>
      </c>
      <c r="N159" s="428">
        <v>0</v>
      </c>
      <c r="O159" s="428">
        <v>0</v>
      </c>
      <c r="P159" s="428">
        <v>0</v>
      </c>
      <c r="Q159" s="428">
        <v>0</v>
      </c>
      <c r="R159" s="428">
        <v>0</v>
      </c>
      <c r="S159" s="428">
        <v>0</v>
      </c>
      <c r="T159" s="428">
        <v>0</v>
      </c>
      <c r="U159" s="428">
        <v>0</v>
      </c>
      <c r="V159" s="428">
        <v>0</v>
      </c>
      <c r="W159" s="428">
        <v>0</v>
      </c>
      <c r="X159" s="428">
        <v>0</v>
      </c>
      <c r="Y159" s="428">
        <v>0</v>
      </c>
      <c r="Z159" s="428">
        <v>0</v>
      </c>
      <c r="AA159" s="428">
        <v>0</v>
      </c>
      <c r="AB159" s="428">
        <v>0</v>
      </c>
      <c r="AC159" s="428">
        <v>0</v>
      </c>
      <c r="AD159" s="428">
        <v>0</v>
      </c>
      <c r="AE159" s="428">
        <v>0</v>
      </c>
      <c r="AF159" s="428">
        <v>0</v>
      </c>
      <c r="AG159" s="428">
        <v>0</v>
      </c>
      <c r="AH159" s="428">
        <v>0</v>
      </c>
      <c r="AI159" s="428">
        <v>0</v>
      </c>
      <c r="AJ159" s="428">
        <v>0</v>
      </c>
      <c r="AK159" s="428">
        <v>0</v>
      </c>
      <c r="AL159" s="428">
        <v>0</v>
      </c>
      <c r="AM159" s="428">
        <v>0</v>
      </c>
      <c r="AN159" s="428">
        <v>0</v>
      </c>
    </row>
    <row r="160" spans="1:43" s="389" customFormat="1" ht="19" customHeight="1" x14ac:dyDescent="0.35">
      <c r="A160" s="429">
        <v>11</v>
      </c>
      <c r="B160" s="427" t="str">
        <f>PETUNJUK!B19</f>
        <v>Krasak</v>
      </c>
      <c r="C160" s="428">
        <v>0</v>
      </c>
      <c r="D160" s="428">
        <v>0</v>
      </c>
      <c r="E160" s="428">
        <v>0</v>
      </c>
      <c r="F160" s="428">
        <v>0</v>
      </c>
      <c r="G160" s="428">
        <v>0</v>
      </c>
      <c r="H160" s="428">
        <v>0</v>
      </c>
      <c r="I160" s="428">
        <v>0</v>
      </c>
      <c r="J160" s="428">
        <v>0</v>
      </c>
      <c r="K160" s="428">
        <v>0</v>
      </c>
      <c r="L160" s="428">
        <v>0</v>
      </c>
      <c r="M160" s="428">
        <v>0</v>
      </c>
      <c r="N160" s="428">
        <v>0</v>
      </c>
      <c r="O160" s="428">
        <v>0</v>
      </c>
      <c r="P160" s="428">
        <v>0</v>
      </c>
      <c r="Q160" s="428">
        <v>0</v>
      </c>
      <c r="R160" s="428">
        <v>0</v>
      </c>
      <c r="S160" s="428">
        <v>0</v>
      </c>
      <c r="T160" s="428">
        <v>0</v>
      </c>
      <c r="U160" s="428">
        <v>0</v>
      </c>
      <c r="V160" s="428">
        <v>0</v>
      </c>
      <c r="W160" s="428">
        <v>0</v>
      </c>
      <c r="X160" s="428">
        <v>0</v>
      </c>
      <c r="Y160" s="428">
        <v>0</v>
      </c>
      <c r="Z160" s="428">
        <v>0</v>
      </c>
      <c r="AA160" s="428">
        <v>0</v>
      </c>
      <c r="AB160" s="428">
        <v>0</v>
      </c>
      <c r="AC160" s="428">
        <v>0</v>
      </c>
      <c r="AD160" s="428">
        <v>0</v>
      </c>
      <c r="AE160" s="428">
        <v>0</v>
      </c>
      <c r="AF160" s="428">
        <v>0</v>
      </c>
      <c r="AG160" s="428">
        <v>0</v>
      </c>
      <c r="AH160" s="428">
        <v>0</v>
      </c>
      <c r="AI160" s="428">
        <v>0</v>
      </c>
      <c r="AJ160" s="428">
        <v>0</v>
      </c>
      <c r="AK160" s="428">
        <v>0</v>
      </c>
      <c r="AL160" s="428">
        <v>0</v>
      </c>
      <c r="AM160" s="428">
        <v>0</v>
      </c>
      <c r="AN160" s="428">
        <v>0</v>
      </c>
    </row>
    <row r="161" spans="1:40" s="389" customFormat="1" ht="19" customHeight="1" x14ac:dyDescent="0.35">
      <c r="A161" s="429">
        <v>12</v>
      </c>
      <c r="B161" s="427" t="str">
        <f>PETUNJUK!B20</f>
        <v>Gerdu</v>
      </c>
      <c r="C161" s="428">
        <v>0</v>
      </c>
      <c r="D161" s="428">
        <v>0</v>
      </c>
      <c r="E161" s="428">
        <v>0</v>
      </c>
      <c r="F161" s="428">
        <v>0</v>
      </c>
      <c r="G161" s="428">
        <v>0</v>
      </c>
      <c r="H161" s="428">
        <v>0</v>
      </c>
      <c r="I161" s="428">
        <v>0</v>
      </c>
      <c r="J161" s="428">
        <v>0</v>
      </c>
      <c r="K161" s="428">
        <v>0</v>
      </c>
      <c r="L161" s="428">
        <v>0</v>
      </c>
      <c r="M161" s="428">
        <v>0</v>
      </c>
      <c r="N161" s="428">
        <v>0</v>
      </c>
      <c r="O161" s="428">
        <v>0</v>
      </c>
      <c r="P161" s="428">
        <v>0</v>
      </c>
      <c r="Q161" s="428">
        <v>0</v>
      </c>
      <c r="R161" s="428">
        <v>0</v>
      </c>
      <c r="S161" s="428">
        <v>0</v>
      </c>
      <c r="T161" s="428">
        <v>0</v>
      </c>
      <c r="U161" s="428">
        <v>0</v>
      </c>
      <c r="V161" s="428">
        <v>0</v>
      </c>
      <c r="W161" s="428">
        <v>0</v>
      </c>
      <c r="X161" s="428">
        <v>0</v>
      </c>
      <c r="Y161" s="428">
        <v>0</v>
      </c>
      <c r="Z161" s="428">
        <v>0</v>
      </c>
      <c r="AA161" s="428">
        <v>0</v>
      </c>
      <c r="AB161" s="428">
        <v>0</v>
      </c>
      <c r="AC161" s="428">
        <v>0</v>
      </c>
      <c r="AD161" s="428">
        <v>0</v>
      </c>
      <c r="AE161" s="428">
        <v>0</v>
      </c>
      <c r="AF161" s="428">
        <v>0</v>
      </c>
      <c r="AG161" s="428">
        <v>0</v>
      </c>
      <c r="AH161" s="428">
        <v>0</v>
      </c>
      <c r="AI161" s="428">
        <v>0</v>
      </c>
      <c r="AJ161" s="428">
        <v>0</v>
      </c>
      <c r="AK161" s="428">
        <v>0</v>
      </c>
      <c r="AL161" s="428">
        <v>0</v>
      </c>
      <c r="AM161" s="428">
        <v>0</v>
      </c>
      <c r="AN161" s="428">
        <v>0</v>
      </c>
    </row>
    <row r="162" spans="1:40" s="389" customFormat="1" ht="19" customHeight="1" x14ac:dyDescent="0.35">
      <c r="A162" s="429">
        <v>13</v>
      </c>
      <c r="B162" s="427">
        <f>PETUNJUK!B21</f>
        <v>0</v>
      </c>
      <c r="C162" s="428">
        <v>0</v>
      </c>
      <c r="D162" s="428">
        <v>0</v>
      </c>
      <c r="E162" s="428">
        <v>0</v>
      </c>
      <c r="F162" s="428">
        <v>0</v>
      </c>
      <c r="G162" s="428">
        <v>0</v>
      </c>
      <c r="H162" s="428">
        <v>0</v>
      </c>
      <c r="I162" s="428">
        <v>0</v>
      </c>
      <c r="J162" s="428">
        <v>0</v>
      </c>
      <c r="K162" s="428">
        <v>0</v>
      </c>
      <c r="L162" s="428">
        <v>0</v>
      </c>
      <c r="M162" s="428">
        <v>0</v>
      </c>
      <c r="N162" s="428">
        <v>0</v>
      </c>
      <c r="O162" s="428">
        <v>0</v>
      </c>
      <c r="P162" s="428">
        <v>0</v>
      </c>
      <c r="Q162" s="428">
        <v>0</v>
      </c>
      <c r="R162" s="428">
        <v>0</v>
      </c>
      <c r="S162" s="428">
        <v>0</v>
      </c>
      <c r="T162" s="428">
        <v>0</v>
      </c>
      <c r="U162" s="428">
        <v>0</v>
      </c>
      <c r="V162" s="428">
        <v>0</v>
      </c>
      <c r="W162" s="428">
        <v>0</v>
      </c>
      <c r="X162" s="428">
        <v>0</v>
      </c>
      <c r="Y162" s="428">
        <v>0</v>
      </c>
      <c r="Z162" s="428">
        <v>0</v>
      </c>
      <c r="AA162" s="428">
        <v>0</v>
      </c>
      <c r="AB162" s="428">
        <v>0</v>
      </c>
      <c r="AC162" s="428">
        <v>0</v>
      </c>
      <c r="AD162" s="428">
        <v>0</v>
      </c>
      <c r="AE162" s="428">
        <v>0</v>
      </c>
      <c r="AF162" s="428">
        <v>0</v>
      </c>
      <c r="AG162" s="428">
        <v>0</v>
      </c>
      <c r="AH162" s="428">
        <v>0</v>
      </c>
      <c r="AI162" s="428">
        <v>0</v>
      </c>
      <c r="AJ162" s="428">
        <v>0</v>
      </c>
      <c r="AK162" s="428">
        <v>0</v>
      </c>
      <c r="AL162" s="428">
        <v>0</v>
      </c>
      <c r="AM162" s="428">
        <v>0</v>
      </c>
      <c r="AN162" s="428">
        <v>0</v>
      </c>
    </row>
    <row r="163" spans="1:40" s="389" customFormat="1" ht="19" customHeight="1" x14ac:dyDescent="0.35">
      <c r="A163" s="429">
        <v>14</v>
      </c>
      <c r="B163" s="427">
        <f>PETUNJUK!B22</f>
        <v>0</v>
      </c>
      <c r="C163" s="428">
        <v>0</v>
      </c>
      <c r="D163" s="428">
        <v>0</v>
      </c>
      <c r="E163" s="428">
        <v>0</v>
      </c>
      <c r="F163" s="428">
        <v>0</v>
      </c>
      <c r="G163" s="428">
        <v>0</v>
      </c>
      <c r="H163" s="428">
        <v>0</v>
      </c>
      <c r="I163" s="428">
        <v>0</v>
      </c>
      <c r="J163" s="428">
        <v>0</v>
      </c>
      <c r="K163" s="428">
        <v>0</v>
      </c>
      <c r="L163" s="428">
        <v>0</v>
      </c>
      <c r="M163" s="428">
        <v>0</v>
      </c>
      <c r="N163" s="428">
        <v>0</v>
      </c>
      <c r="O163" s="428">
        <v>0</v>
      </c>
      <c r="P163" s="428">
        <v>0</v>
      </c>
      <c r="Q163" s="428">
        <v>0</v>
      </c>
      <c r="R163" s="428">
        <v>0</v>
      </c>
      <c r="S163" s="428">
        <v>0</v>
      </c>
      <c r="T163" s="428">
        <v>0</v>
      </c>
      <c r="U163" s="428">
        <v>0</v>
      </c>
      <c r="V163" s="428">
        <v>0</v>
      </c>
      <c r="W163" s="428">
        <v>0</v>
      </c>
      <c r="X163" s="428">
        <v>0</v>
      </c>
      <c r="Y163" s="428">
        <v>0</v>
      </c>
      <c r="Z163" s="428">
        <v>0</v>
      </c>
      <c r="AA163" s="428">
        <v>0</v>
      </c>
      <c r="AB163" s="428">
        <v>0</v>
      </c>
      <c r="AC163" s="428">
        <v>0</v>
      </c>
      <c r="AD163" s="428">
        <v>0</v>
      </c>
      <c r="AE163" s="428">
        <v>0</v>
      </c>
      <c r="AF163" s="428">
        <v>0</v>
      </c>
      <c r="AG163" s="428">
        <v>0</v>
      </c>
      <c r="AH163" s="428">
        <v>0</v>
      </c>
      <c r="AI163" s="428">
        <v>0</v>
      </c>
      <c r="AJ163" s="428">
        <v>0</v>
      </c>
      <c r="AK163" s="428">
        <v>0</v>
      </c>
      <c r="AL163" s="428">
        <v>0</v>
      </c>
      <c r="AM163" s="428">
        <v>0</v>
      </c>
      <c r="AN163" s="428">
        <v>0</v>
      </c>
    </row>
    <row r="164" spans="1:40" s="389" customFormat="1" ht="19" customHeight="1" x14ac:dyDescent="0.35">
      <c r="A164" s="429">
        <v>15</v>
      </c>
      <c r="B164" s="427">
        <f>PETUNJUK!B23</f>
        <v>0</v>
      </c>
      <c r="C164" s="428">
        <v>0</v>
      </c>
      <c r="D164" s="428">
        <v>0</v>
      </c>
      <c r="E164" s="428">
        <v>0</v>
      </c>
      <c r="F164" s="428">
        <v>0</v>
      </c>
      <c r="G164" s="428">
        <v>0</v>
      </c>
      <c r="H164" s="428">
        <v>0</v>
      </c>
      <c r="I164" s="428">
        <v>0</v>
      </c>
      <c r="J164" s="428">
        <v>0</v>
      </c>
      <c r="K164" s="428">
        <v>0</v>
      </c>
      <c r="L164" s="428">
        <v>0</v>
      </c>
      <c r="M164" s="428">
        <v>0</v>
      </c>
      <c r="N164" s="428">
        <v>0</v>
      </c>
      <c r="O164" s="428">
        <v>0</v>
      </c>
      <c r="P164" s="428">
        <v>0</v>
      </c>
      <c r="Q164" s="428">
        <v>0</v>
      </c>
      <c r="R164" s="428">
        <v>0</v>
      </c>
      <c r="S164" s="428">
        <v>0</v>
      </c>
      <c r="T164" s="428">
        <v>0</v>
      </c>
      <c r="U164" s="428">
        <v>0</v>
      </c>
      <c r="V164" s="428">
        <v>0</v>
      </c>
      <c r="W164" s="428">
        <v>0</v>
      </c>
      <c r="X164" s="428">
        <v>0</v>
      </c>
      <c r="Y164" s="428">
        <v>0</v>
      </c>
      <c r="Z164" s="428">
        <v>0</v>
      </c>
      <c r="AA164" s="428">
        <v>0</v>
      </c>
      <c r="AB164" s="428">
        <v>0</v>
      </c>
      <c r="AC164" s="428">
        <v>0</v>
      </c>
      <c r="AD164" s="428">
        <v>0</v>
      </c>
      <c r="AE164" s="428">
        <v>0</v>
      </c>
      <c r="AF164" s="428">
        <v>0</v>
      </c>
      <c r="AG164" s="428">
        <v>0</v>
      </c>
      <c r="AH164" s="428">
        <v>0</v>
      </c>
      <c r="AI164" s="428">
        <v>0</v>
      </c>
      <c r="AJ164" s="428">
        <v>0</v>
      </c>
      <c r="AK164" s="428">
        <v>0</v>
      </c>
      <c r="AL164" s="428">
        <v>0</v>
      </c>
      <c r="AM164" s="428">
        <v>0</v>
      </c>
      <c r="AN164" s="428">
        <v>0</v>
      </c>
    </row>
    <row r="165" spans="1:40" s="389" customFormat="1" ht="19" customHeight="1" x14ac:dyDescent="0.35">
      <c r="A165" s="429">
        <v>16</v>
      </c>
      <c r="B165" s="427">
        <f>PETUNJUK!B24</f>
        <v>0</v>
      </c>
      <c r="C165" s="428">
        <v>0</v>
      </c>
      <c r="D165" s="428">
        <v>0</v>
      </c>
      <c r="E165" s="428">
        <v>0</v>
      </c>
      <c r="F165" s="428">
        <v>0</v>
      </c>
      <c r="G165" s="428">
        <v>0</v>
      </c>
      <c r="H165" s="428">
        <v>0</v>
      </c>
      <c r="I165" s="428">
        <v>0</v>
      </c>
      <c r="J165" s="428">
        <v>0</v>
      </c>
      <c r="K165" s="428">
        <v>0</v>
      </c>
      <c r="L165" s="428">
        <v>0</v>
      </c>
      <c r="M165" s="428">
        <v>0</v>
      </c>
      <c r="N165" s="428">
        <v>0</v>
      </c>
      <c r="O165" s="428">
        <v>0</v>
      </c>
      <c r="P165" s="428">
        <v>0</v>
      </c>
      <c r="Q165" s="428">
        <v>0</v>
      </c>
      <c r="R165" s="428">
        <v>0</v>
      </c>
      <c r="S165" s="428">
        <v>0</v>
      </c>
      <c r="T165" s="428">
        <v>0</v>
      </c>
      <c r="U165" s="428">
        <v>0</v>
      </c>
      <c r="V165" s="428">
        <v>0</v>
      </c>
      <c r="W165" s="428">
        <v>0</v>
      </c>
      <c r="X165" s="428">
        <v>0</v>
      </c>
      <c r="Y165" s="428">
        <v>0</v>
      </c>
      <c r="Z165" s="428">
        <v>0</v>
      </c>
      <c r="AA165" s="428">
        <v>0</v>
      </c>
      <c r="AB165" s="428">
        <v>0</v>
      </c>
      <c r="AC165" s="428">
        <v>0</v>
      </c>
      <c r="AD165" s="428">
        <v>0</v>
      </c>
      <c r="AE165" s="428">
        <v>0</v>
      </c>
      <c r="AF165" s="428">
        <v>0</v>
      </c>
      <c r="AG165" s="428">
        <v>0</v>
      </c>
      <c r="AH165" s="428">
        <v>0</v>
      </c>
      <c r="AI165" s="428">
        <v>0</v>
      </c>
      <c r="AJ165" s="428">
        <v>0</v>
      </c>
      <c r="AK165" s="428">
        <v>0</v>
      </c>
      <c r="AL165" s="428">
        <v>0</v>
      </c>
      <c r="AM165" s="428">
        <v>0</v>
      </c>
      <c r="AN165" s="428">
        <v>0</v>
      </c>
    </row>
    <row r="166" spans="1:40" s="389" customFormat="1" ht="19" customHeight="1" x14ac:dyDescent="0.35">
      <c r="A166" s="429">
        <v>17</v>
      </c>
      <c r="B166" s="427">
        <f>PETUNJUK!B25</f>
        <v>0</v>
      </c>
      <c r="C166" s="428">
        <v>0</v>
      </c>
      <c r="D166" s="428">
        <v>0</v>
      </c>
      <c r="E166" s="428">
        <v>0</v>
      </c>
      <c r="F166" s="428">
        <v>0</v>
      </c>
      <c r="G166" s="428">
        <v>0</v>
      </c>
      <c r="H166" s="428">
        <v>0</v>
      </c>
      <c r="I166" s="428">
        <v>0</v>
      </c>
      <c r="J166" s="428">
        <v>0</v>
      </c>
      <c r="K166" s="428">
        <v>0</v>
      </c>
      <c r="L166" s="428">
        <v>0</v>
      </c>
      <c r="M166" s="428">
        <v>0</v>
      </c>
      <c r="N166" s="428">
        <v>0</v>
      </c>
      <c r="O166" s="428">
        <v>0</v>
      </c>
      <c r="P166" s="428">
        <v>0</v>
      </c>
      <c r="Q166" s="428">
        <v>0</v>
      </c>
      <c r="R166" s="428">
        <v>0</v>
      </c>
      <c r="S166" s="428">
        <v>0</v>
      </c>
      <c r="T166" s="428">
        <v>0</v>
      </c>
      <c r="U166" s="428">
        <v>0</v>
      </c>
      <c r="V166" s="428">
        <v>0</v>
      </c>
      <c r="W166" s="428">
        <v>0</v>
      </c>
      <c r="X166" s="428">
        <v>0</v>
      </c>
      <c r="Y166" s="428">
        <v>0</v>
      </c>
      <c r="Z166" s="428">
        <v>0</v>
      </c>
      <c r="AA166" s="428">
        <v>0</v>
      </c>
      <c r="AB166" s="428">
        <v>0</v>
      </c>
      <c r="AC166" s="428">
        <v>0</v>
      </c>
      <c r="AD166" s="428">
        <v>0</v>
      </c>
      <c r="AE166" s="428">
        <v>0</v>
      </c>
      <c r="AF166" s="428">
        <v>0</v>
      </c>
      <c r="AG166" s="428">
        <v>0</v>
      </c>
      <c r="AH166" s="428">
        <v>0</v>
      </c>
      <c r="AI166" s="428">
        <v>0</v>
      </c>
      <c r="AJ166" s="428">
        <v>0</v>
      </c>
      <c r="AK166" s="428">
        <v>0</v>
      </c>
      <c r="AL166" s="428">
        <v>0</v>
      </c>
      <c r="AM166" s="428">
        <v>0</v>
      </c>
      <c r="AN166" s="428">
        <v>0</v>
      </c>
    </row>
    <row r="167" spans="1:40" s="389" customFormat="1" ht="19" customHeight="1" x14ac:dyDescent="0.35">
      <c r="A167" s="429">
        <v>18</v>
      </c>
      <c r="B167" s="427">
        <f>PETUNJUK!B26</f>
        <v>0</v>
      </c>
      <c r="C167" s="428">
        <v>0</v>
      </c>
      <c r="D167" s="428">
        <v>0</v>
      </c>
      <c r="E167" s="428">
        <v>0</v>
      </c>
      <c r="F167" s="428">
        <v>0</v>
      </c>
      <c r="G167" s="428">
        <v>0</v>
      </c>
      <c r="H167" s="428">
        <v>0</v>
      </c>
      <c r="I167" s="428">
        <v>0</v>
      </c>
      <c r="J167" s="428">
        <v>0</v>
      </c>
      <c r="K167" s="428">
        <v>0</v>
      </c>
      <c r="L167" s="428">
        <v>0</v>
      </c>
      <c r="M167" s="428">
        <v>0</v>
      </c>
      <c r="N167" s="428">
        <v>0</v>
      </c>
      <c r="O167" s="428">
        <v>0</v>
      </c>
      <c r="P167" s="428">
        <v>0</v>
      </c>
      <c r="Q167" s="428">
        <v>0</v>
      </c>
      <c r="R167" s="428">
        <v>0</v>
      </c>
      <c r="S167" s="428">
        <v>0</v>
      </c>
      <c r="T167" s="428">
        <v>0</v>
      </c>
      <c r="U167" s="428">
        <v>0</v>
      </c>
      <c r="V167" s="428">
        <v>0</v>
      </c>
      <c r="W167" s="428">
        <v>0</v>
      </c>
      <c r="X167" s="428">
        <v>0</v>
      </c>
      <c r="Y167" s="428">
        <v>0</v>
      </c>
      <c r="Z167" s="428">
        <v>0</v>
      </c>
      <c r="AA167" s="428">
        <v>0</v>
      </c>
      <c r="AB167" s="428">
        <v>0</v>
      </c>
      <c r="AC167" s="428">
        <v>0</v>
      </c>
      <c r="AD167" s="428">
        <v>0</v>
      </c>
      <c r="AE167" s="428">
        <v>0</v>
      </c>
      <c r="AF167" s="428">
        <v>0</v>
      </c>
      <c r="AG167" s="428">
        <v>0</v>
      </c>
      <c r="AH167" s="428">
        <v>0</v>
      </c>
      <c r="AI167" s="428">
        <v>0</v>
      </c>
      <c r="AJ167" s="428">
        <v>0</v>
      </c>
      <c r="AK167" s="428">
        <v>0</v>
      </c>
      <c r="AL167" s="428">
        <v>0</v>
      </c>
      <c r="AM167" s="428">
        <v>0</v>
      </c>
      <c r="AN167" s="428">
        <v>0</v>
      </c>
    </row>
    <row r="168" spans="1:40" s="389" customFormat="1" ht="19" customHeight="1" x14ac:dyDescent="0.35">
      <c r="A168" s="429">
        <v>19</v>
      </c>
      <c r="B168" s="427">
        <f>PETUNJUK!B27</f>
        <v>0</v>
      </c>
      <c r="C168" s="428">
        <v>0</v>
      </c>
      <c r="D168" s="428">
        <v>0</v>
      </c>
      <c r="E168" s="428">
        <v>0</v>
      </c>
      <c r="F168" s="428">
        <v>0</v>
      </c>
      <c r="G168" s="428">
        <v>0</v>
      </c>
      <c r="H168" s="428">
        <v>0</v>
      </c>
      <c r="I168" s="428">
        <v>0</v>
      </c>
      <c r="J168" s="428">
        <v>0</v>
      </c>
      <c r="K168" s="428">
        <v>0</v>
      </c>
      <c r="L168" s="428">
        <v>0</v>
      </c>
      <c r="M168" s="428">
        <v>0</v>
      </c>
      <c r="N168" s="428">
        <v>0</v>
      </c>
      <c r="O168" s="428">
        <v>0</v>
      </c>
      <c r="P168" s="428">
        <v>0</v>
      </c>
      <c r="Q168" s="428">
        <v>0</v>
      </c>
      <c r="R168" s="428">
        <v>0</v>
      </c>
      <c r="S168" s="428">
        <v>0</v>
      </c>
      <c r="T168" s="428">
        <v>0</v>
      </c>
      <c r="U168" s="428">
        <v>0</v>
      </c>
      <c r="V168" s="428">
        <v>0</v>
      </c>
      <c r="W168" s="428">
        <v>0</v>
      </c>
      <c r="X168" s="428">
        <v>0</v>
      </c>
      <c r="Y168" s="428">
        <v>0</v>
      </c>
      <c r="Z168" s="428">
        <v>0</v>
      </c>
      <c r="AA168" s="428">
        <v>0</v>
      </c>
      <c r="AB168" s="428">
        <v>0</v>
      </c>
      <c r="AC168" s="428">
        <v>0</v>
      </c>
      <c r="AD168" s="428">
        <v>0</v>
      </c>
      <c r="AE168" s="428">
        <v>0</v>
      </c>
      <c r="AF168" s="428">
        <v>0</v>
      </c>
      <c r="AG168" s="428">
        <v>0</v>
      </c>
      <c r="AH168" s="428">
        <v>0</v>
      </c>
      <c r="AI168" s="428">
        <v>0</v>
      </c>
      <c r="AJ168" s="428">
        <v>0</v>
      </c>
      <c r="AK168" s="428">
        <v>0</v>
      </c>
      <c r="AL168" s="428">
        <v>0</v>
      </c>
      <c r="AM168" s="428">
        <v>0</v>
      </c>
      <c r="AN168" s="428">
        <v>0</v>
      </c>
    </row>
    <row r="169" spans="1:40" s="389" customFormat="1" ht="19" customHeight="1" x14ac:dyDescent="0.35">
      <c r="A169" s="429">
        <v>20</v>
      </c>
      <c r="B169" s="427">
        <f>PETUNJUK!B28</f>
        <v>0</v>
      </c>
      <c r="C169" s="428">
        <v>0</v>
      </c>
      <c r="D169" s="428">
        <v>0</v>
      </c>
      <c r="E169" s="428">
        <v>0</v>
      </c>
      <c r="F169" s="428">
        <v>0</v>
      </c>
      <c r="G169" s="428">
        <v>0</v>
      </c>
      <c r="H169" s="428">
        <v>0</v>
      </c>
      <c r="I169" s="428">
        <v>0</v>
      </c>
      <c r="J169" s="428">
        <v>0</v>
      </c>
      <c r="K169" s="428">
        <v>0</v>
      </c>
      <c r="L169" s="428">
        <v>0</v>
      </c>
      <c r="M169" s="428">
        <v>0</v>
      </c>
      <c r="N169" s="428">
        <v>0</v>
      </c>
      <c r="O169" s="428">
        <v>0</v>
      </c>
      <c r="P169" s="428">
        <v>0</v>
      </c>
      <c r="Q169" s="428">
        <v>0</v>
      </c>
      <c r="R169" s="428">
        <v>0</v>
      </c>
      <c r="S169" s="428">
        <v>0</v>
      </c>
      <c r="T169" s="428">
        <v>0</v>
      </c>
      <c r="U169" s="428">
        <v>0</v>
      </c>
      <c r="V169" s="428">
        <v>0</v>
      </c>
      <c r="W169" s="428">
        <v>0</v>
      </c>
      <c r="X169" s="428">
        <v>0</v>
      </c>
      <c r="Y169" s="428">
        <v>0</v>
      </c>
      <c r="Z169" s="428">
        <v>0</v>
      </c>
      <c r="AA169" s="428">
        <v>0</v>
      </c>
      <c r="AB169" s="428">
        <v>0</v>
      </c>
      <c r="AC169" s="428">
        <v>0</v>
      </c>
      <c r="AD169" s="428">
        <v>0</v>
      </c>
      <c r="AE169" s="428">
        <v>0</v>
      </c>
      <c r="AF169" s="428">
        <v>0</v>
      </c>
      <c r="AG169" s="428">
        <v>0</v>
      </c>
      <c r="AH169" s="428">
        <v>0</v>
      </c>
      <c r="AI169" s="428">
        <v>0</v>
      </c>
      <c r="AJ169" s="428">
        <v>0</v>
      </c>
      <c r="AK169" s="428">
        <v>0</v>
      </c>
      <c r="AL169" s="428">
        <v>0</v>
      </c>
      <c r="AM169" s="428">
        <v>0</v>
      </c>
      <c r="AN169" s="428">
        <v>0</v>
      </c>
    </row>
    <row r="170" spans="1:40" s="389" customFormat="1" ht="19" customHeight="1" x14ac:dyDescent="0.35">
      <c r="A170" s="429">
        <v>21</v>
      </c>
      <c r="B170" s="427">
        <f>PETUNJUK!B29</f>
        <v>0</v>
      </c>
      <c r="C170" s="428">
        <v>0</v>
      </c>
      <c r="D170" s="428">
        <v>0</v>
      </c>
      <c r="E170" s="428">
        <v>0</v>
      </c>
      <c r="F170" s="428">
        <v>0</v>
      </c>
      <c r="G170" s="428">
        <v>0</v>
      </c>
      <c r="H170" s="428">
        <v>0</v>
      </c>
      <c r="I170" s="428">
        <v>0</v>
      </c>
      <c r="J170" s="428">
        <v>0</v>
      </c>
      <c r="K170" s="428">
        <v>0</v>
      </c>
      <c r="L170" s="428">
        <v>0</v>
      </c>
      <c r="M170" s="428">
        <v>0</v>
      </c>
      <c r="N170" s="428">
        <v>0</v>
      </c>
      <c r="O170" s="428">
        <v>0</v>
      </c>
      <c r="P170" s="428">
        <v>0</v>
      </c>
      <c r="Q170" s="428">
        <v>0</v>
      </c>
      <c r="R170" s="428">
        <v>0</v>
      </c>
      <c r="S170" s="428">
        <v>0</v>
      </c>
      <c r="T170" s="428">
        <v>0</v>
      </c>
      <c r="U170" s="428">
        <v>0</v>
      </c>
      <c r="V170" s="428">
        <v>0</v>
      </c>
      <c r="W170" s="428">
        <v>0</v>
      </c>
      <c r="X170" s="428">
        <v>0</v>
      </c>
      <c r="Y170" s="428">
        <v>0</v>
      </c>
      <c r="Z170" s="428">
        <v>0</v>
      </c>
      <c r="AA170" s="428">
        <v>0</v>
      </c>
      <c r="AB170" s="428">
        <v>0</v>
      </c>
      <c r="AC170" s="428">
        <v>0</v>
      </c>
      <c r="AD170" s="428">
        <v>0</v>
      </c>
      <c r="AE170" s="428">
        <v>0</v>
      </c>
      <c r="AF170" s="428">
        <v>0</v>
      </c>
      <c r="AG170" s="428">
        <v>0</v>
      </c>
      <c r="AH170" s="428">
        <v>0</v>
      </c>
      <c r="AI170" s="428">
        <v>0</v>
      </c>
      <c r="AJ170" s="428">
        <v>0</v>
      </c>
      <c r="AK170" s="428">
        <v>0</v>
      </c>
      <c r="AL170" s="428">
        <v>0</v>
      </c>
      <c r="AM170" s="428">
        <v>0</v>
      </c>
      <c r="AN170" s="428">
        <v>0</v>
      </c>
    </row>
    <row r="171" spans="1:40" s="389" customFormat="1" ht="19" customHeight="1" x14ac:dyDescent="0.35">
      <c r="A171" s="429">
        <v>22</v>
      </c>
      <c r="B171" s="427">
        <f>PETUNJUK!B30</f>
        <v>0</v>
      </c>
      <c r="C171" s="428">
        <v>0</v>
      </c>
      <c r="D171" s="428">
        <v>0</v>
      </c>
      <c r="E171" s="428">
        <v>0</v>
      </c>
      <c r="F171" s="428">
        <v>0</v>
      </c>
      <c r="G171" s="428">
        <v>0</v>
      </c>
      <c r="H171" s="428">
        <v>0</v>
      </c>
      <c r="I171" s="428">
        <v>0</v>
      </c>
      <c r="J171" s="428">
        <v>0</v>
      </c>
      <c r="K171" s="428">
        <v>0</v>
      </c>
      <c r="L171" s="428">
        <v>0</v>
      </c>
      <c r="M171" s="428">
        <v>0</v>
      </c>
      <c r="N171" s="428">
        <v>0</v>
      </c>
      <c r="O171" s="428">
        <v>0</v>
      </c>
      <c r="P171" s="428">
        <v>0</v>
      </c>
      <c r="Q171" s="428">
        <v>0</v>
      </c>
      <c r="R171" s="428">
        <v>0</v>
      </c>
      <c r="S171" s="428">
        <v>0</v>
      </c>
      <c r="T171" s="428">
        <v>0</v>
      </c>
      <c r="U171" s="428">
        <v>0</v>
      </c>
      <c r="V171" s="428">
        <v>0</v>
      </c>
      <c r="W171" s="428">
        <v>0</v>
      </c>
      <c r="X171" s="428">
        <v>0</v>
      </c>
      <c r="Y171" s="428">
        <v>0</v>
      </c>
      <c r="Z171" s="428">
        <v>0</v>
      </c>
      <c r="AA171" s="428">
        <v>0</v>
      </c>
      <c r="AB171" s="428">
        <v>0</v>
      </c>
      <c r="AC171" s="428">
        <v>0</v>
      </c>
      <c r="AD171" s="428">
        <v>0</v>
      </c>
      <c r="AE171" s="428">
        <v>0</v>
      </c>
      <c r="AF171" s="428">
        <v>0</v>
      </c>
      <c r="AG171" s="428">
        <v>0</v>
      </c>
      <c r="AH171" s="428">
        <v>0</v>
      </c>
      <c r="AI171" s="428">
        <v>0</v>
      </c>
      <c r="AJ171" s="428">
        <v>0</v>
      </c>
      <c r="AK171" s="428">
        <v>0</v>
      </c>
      <c r="AL171" s="428">
        <v>0</v>
      </c>
      <c r="AM171" s="428">
        <v>0</v>
      </c>
      <c r="AN171" s="428">
        <v>0</v>
      </c>
    </row>
    <row r="172" spans="1:40" s="432" customFormat="1" ht="19" customHeight="1" x14ac:dyDescent="0.35">
      <c r="A172" s="543"/>
      <c r="B172" s="543" t="s">
        <v>17</v>
      </c>
      <c r="C172" s="544">
        <f>SUM(C150:C171)</f>
        <v>0</v>
      </c>
      <c r="D172" s="543">
        <f t="shared" ref="D172:AN172" si="32">SUM(D150:D171)</f>
        <v>0</v>
      </c>
      <c r="E172" s="543">
        <f t="shared" si="32"/>
        <v>0</v>
      </c>
      <c r="F172" s="543">
        <f>SUM(F150:F171)</f>
        <v>0</v>
      </c>
      <c r="G172" s="543">
        <f t="shared" ref="G172:H172" si="33">SUM(G150:G171)</f>
        <v>0</v>
      </c>
      <c r="H172" s="543">
        <f t="shared" si="33"/>
        <v>0</v>
      </c>
      <c r="I172" s="543">
        <f t="shared" si="32"/>
        <v>0</v>
      </c>
      <c r="J172" s="543">
        <f t="shared" si="32"/>
        <v>0</v>
      </c>
      <c r="K172" s="543">
        <f t="shared" si="32"/>
        <v>0</v>
      </c>
      <c r="L172" s="543">
        <f t="shared" si="32"/>
        <v>0</v>
      </c>
      <c r="M172" s="543">
        <f t="shared" si="32"/>
        <v>0</v>
      </c>
      <c r="N172" s="543">
        <f t="shared" si="32"/>
        <v>0</v>
      </c>
      <c r="O172" s="543">
        <f t="shared" si="32"/>
        <v>0</v>
      </c>
      <c r="P172" s="543">
        <f t="shared" si="32"/>
        <v>0</v>
      </c>
      <c r="Q172" s="543">
        <f t="shared" si="32"/>
        <v>0</v>
      </c>
      <c r="R172" s="543">
        <f t="shared" si="32"/>
        <v>0</v>
      </c>
      <c r="S172" s="543">
        <f t="shared" si="32"/>
        <v>0</v>
      </c>
      <c r="T172" s="543">
        <f t="shared" si="32"/>
        <v>0</v>
      </c>
      <c r="U172" s="543">
        <f t="shared" si="32"/>
        <v>0</v>
      </c>
      <c r="V172" s="543">
        <f t="shared" si="32"/>
        <v>0</v>
      </c>
      <c r="W172" s="543">
        <f t="shared" si="32"/>
        <v>0</v>
      </c>
      <c r="X172" s="543">
        <f t="shared" si="32"/>
        <v>0</v>
      </c>
      <c r="Y172" s="543">
        <f t="shared" si="32"/>
        <v>0</v>
      </c>
      <c r="Z172" s="543">
        <f t="shared" si="32"/>
        <v>0</v>
      </c>
      <c r="AA172" s="543">
        <f t="shared" si="32"/>
        <v>0</v>
      </c>
      <c r="AB172" s="543">
        <f t="shared" si="32"/>
        <v>0</v>
      </c>
      <c r="AC172" s="543">
        <f t="shared" si="32"/>
        <v>0</v>
      </c>
      <c r="AD172" s="543">
        <f t="shared" si="32"/>
        <v>0</v>
      </c>
      <c r="AE172" s="543">
        <f t="shared" si="32"/>
        <v>0</v>
      </c>
      <c r="AF172" s="543">
        <f t="shared" si="32"/>
        <v>0</v>
      </c>
      <c r="AG172" s="543">
        <f t="shared" si="32"/>
        <v>0</v>
      </c>
      <c r="AH172" s="543">
        <f t="shared" si="32"/>
        <v>0</v>
      </c>
      <c r="AI172" s="543">
        <f t="shared" si="32"/>
        <v>0</v>
      </c>
      <c r="AJ172" s="677">
        <f t="shared" si="32"/>
        <v>0</v>
      </c>
      <c r="AK172" s="677">
        <f t="shared" si="32"/>
        <v>0</v>
      </c>
      <c r="AL172" s="677">
        <f t="shared" si="32"/>
        <v>0</v>
      </c>
      <c r="AM172" s="677">
        <f t="shared" si="32"/>
        <v>0</v>
      </c>
      <c r="AN172" s="677">
        <f t="shared" si="32"/>
        <v>0</v>
      </c>
    </row>
    <row r="173" spans="1:40" ht="19" customHeight="1" x14ac:dyDescent="0.35">
      <c r="A173" s="30"/>
      <c r="B173" s="30"/>
      <c r="C173" s="541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</row>
    <row r="174" spans="1:40" ht="19" customHeight="1" x14ac:dyDescent="0.35">
      <c r="A174" s="30"/>
      <c r="B174" s="30"/>
      <c r="C174" s="541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</row>
    <row r="175" spans="1:40" ht="19" customHeight="1" x14ac:dyDescent="0.35">
      <c r="A175" s="30"/>
      <c r="B175" s="30"/>
      <c r="C175" s="541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</row>
    <row r="176" spans="1:40" s="418" customFormat="1" ht="19" customHeight="1" x14ac:dyDescent="0.35">
      <c r="A176" s="535" t="s">
        <v>147</v>
      </c>
      <c r="B176" s="535"/>
      <c r="C176" s="536" t="s">
        <v>243</v>
      </c>
      <c r="D176" s="535" t="str">
        <f>D2</f>
        <v>PECANGAAN</v>
      </c>
      <c r="E176" s="535"/>
      <c r="F176" s="535"/>
      <c r="G176" s="535"/>
      <c r="H176" s="535"/>
      <c r="I176" s="537"/>
      <c r="J176" s="537"/>
      <c r="K176" s="537"/>
      <c r="L176" s="537"/>
      <c r="M176" s="537"/>
      <c r="N176" s="537"/>
      <c r="O176" s="537"/>
      <c r="P176" s="537"/>
      <c r="Q176" s="537"/>
      <c r="R176" s="537"/>
      <c r="S176" s="537"/>
      <c r="T176" s="537"/>
      <c r="U176" s="537"/>
      <c r="V176" s="537"/>
      <c r="W176" s="537"/>
      <c r="X176" s="537"/>
      <c r="Y176" s="537"/>
      <c r="Z176" s="537"/>
      <c r="AA176" s="537"/>
      <c r="AB176" s="537"/>
      <c r="AC176" s="537"/>
      <c r="AD176" s="537"/>
      <c r="AE176" s="537"/>
      <c r="AF176" s="537"/>
      <c r="AG176" s="537"/>
      <c r="AH176" s="537"/>
      <c r="AI176" s="537"/>
      <c r="AJ176" s="537"/>
      <c r="AK176" s="537"/>
      <c r="AL176" s="537"/>
      <c r="AM176" s="537"/>
    </row>
    <row r="177" spans="1:43" s="418" customFormat="1" ht="19" customHeight="1" x14ac:dyDescent="0.35">
      <c r="A177" s="535" t="s">
        <v>242</v>
      </c>
      <c r="B177" s="535"/>
      <c r="C177" s="536" t="s">
        <v>243</v>
      </c>
      <c r="D177" s="538" t="s">
        <v>396</v>
      </c>
      <c r="E177" s="535"/>
      <c r="F177" s="535"/>
      <c r="G177" s="538"/>
      <c r="H177" s="535"/>
      <c r="I177" s="537"/>
      <c r="J177" s="537"/>
      <c r="K177" s="537"/>
      <c r="L177" s="537"/>
      <c r="M177" s="537"/>
      <c r="N177" s="537"/>
      <c r="O177" s="537"/>
      <c r="P177" s="537"/>
      <c r="Q177" s="537"/>
      <c r="R177" s="537"/>
      <c r="S177" s="537"/>
      <c r="T177" s="537"/>
      <c r="U177" s="537"/>
      <c r="V177" s="537"/>
      <c r="W177" s="537"/>
      <c r="X177" s="537"/>
      <c r="Y177" s="537"/>
      <c r="Z177" s="537"/>
      <c r="AA177" s="537"/>
      <c r="AB177" s="537"/>
      <c r="AC177" s="537"/>
      <c r="AD177" s="537"/>
      <c r="AE177" s="537"/>
      <c r="AF177" s="537"/>
      <c r="AG177" s="537"/>
      <c r="AH177" s="537"/>
      <c r="AI177" s="537"/>
      <c r="AJ177" s="537"/>
      <c r="AK177" s="537"/>
      <c r="AL177" s="537"/>
      <c r="AM177" s="537"/>
    </row>
    <row r="178" spans="1:43" ht="19" customHeight="1" x14ac:dyDescent="0.35">
      <c r="A178" s="539"/>
      <c r="B178" s="539"/>
      <c r="C178" s="540"/>
      <c r="D178" s="539"/>
      <c r="E178" s="539"/>
      <c r="F178" s="539"/>
      <c r="G178" s="539"/>
      <c r="H178" s="539"/>
      <c r="I178" s="416"/>
      <c r="J178" s="416"/>
      <c r="K178" s="416"/>
      <c r="L178" s="416"/>
      <c r="M178" s="416"/>
      <c r="N178" s="416"/>
      <c r="O178" s="416"/>
      <c r="P178" s="416"/>
      <c r="Q178" s="416"/>
      <c r="R178" s="416"/>
      <c r="S178" s="416"/>
      <c r="T178" s="416"/>
      <c r="U178" s="416"/>
      <c r="V178" s="416"/>
      <c r="W178" s="416"/>
      <c r="X178" s="416"/>
      <c r="Y178" s="416"/>
      <c r="Z178" s="416"/>
      <c r="AA178" s="416"/>
      <c r="AB178" s="416"/>
      <c r="AC178" s="416"/>
      <c r="AD178" s="416"/>
      <c r="AE178" s="416"/>
      <c r="AF178" s="416"/>
      <c r="AG178" s="416"/>
      <c r="AH178" s="416"/>
      <c r="AI178" s="416"/>
      <c r="AJ178" s="416"/>
      <c r="AK178" s="416"/>
      <c r="AL178" s="416"/>
      <c r="AM178" s="416"/>
    </row>
    <row r="179" spans="1:43" ht="19" customHeight="1" x14ac:dyDescent="0.35">
      <c r="A179" s="416"/>
      <c r="B179" s="416"/>
      <c r="C179" s="417"/>
      <c r="D179" s="416"/>
      <c r="E179" s="416"/>
      <c r="F179" s="416"/>
      <c r="G179" s="416"/>
      <c r="H179" s="416"/>
      <c r="I179" s="416"/>
      <c r="J179" s="416"/>
      <c r="K179" s="416"/>
      <c r="L179" s="416"/>
      <c r="M179" s="416"/>
      <c r="N179" s="416"/>
      <c r="O179" s="416"/>
      <c r="P179" s="416"/>
      <c r="Q179" s="416"/>
      <c r="R179" s="416"/>
      <c r="S179" s="416"/>
      <c r="T179" s="416"/>
      <c r="U179" s="416"/>
      <c r="V179" s="416"/>
      <c r="W179" s="416"/>
      <c r="X179" s="416"/>
      <c r="Y179" s="416"/>
      <c r="Z179" s="416"/>
      <c r="AA179" s="416"/>
      <c r="AB179" s="416"/>
      <c r="AC179" s="416"/>
      <c r="AD179" s="416"/>
      <c r="AE179" s="416"/>
      <c r="AF179" s="416"/>
      <c r="AG179" s="416"/>
      <c r="AH179" s="416"/>
      <c r="AI179" s="416"/>
      <c r="AJ179" s="416"/>
      <c r="AK179" s="416"/>
      <c r="AL179" s="416"/>
      <c r="AM179" s="416"/>
    </row>
    <row r="180" spans="1:43" s="421" customFormat="1" ht="19" customHeight="1" x14ac:dyDescent="0.35">
      <c r="A180" s="967" t="s">
        <v>244</v>
      </c>
      <c r="B180" s="967" t="s">
        <v>151</v>
      </c>
      <c r="C180" s="960" t="s">
        <v>311</v>
      </c>
      <c r="D180" s="960"/>
      <c r="E180" s="960"/>
      <c r="F180" s="960" t="s">
        <v>312</v>
      </c>
      <c r="G180" s="960"/>
      <c r="H180" s="960"/>
      <c r="I180" s="960" t="s">
        <v>33</v>
      </c>
      <c r="J180" s="960"/>
      <c r="K180" s="970" t="s">
        <v>245</v>
      </c>
      <c r="L180" s="970"/>
      <c r="M180" s="970" t="s">
        <v>246</v>
      </c>
      <c r="N180" s="970"/>
      <c r="O180" s="960" t="s">
        <v>247</v>
      </c>
      <c r="P180" s="960"/>
      <c r="Q180" s="960"/>
      <c r="R180" s="960"/>
      <c r="S180" s="960"/>
      <c r="T180" s="960"/>
      <c r="U180" s="960"/>
      <c r="V180" s="960"/>
      <c r="W180" s="960"/>
      <c r="X180" s="971" t="s">
        <v>247</v>
      </c>
      <c r="Y180" s="960"/>
      <c r="Z180" s="960"/>
      <c r="AA180" s="960"/>
      <c r="AB180" s="960"/>
      <c r="AC180" s="960"/>
      <c r="AD180" s="960"/>
      <c r="AE180" s="960"/>
      <c r="AF180" s="960"/>
      <c r="AG180" s="960"/>
      <c r="AH180" s="960"/>
      <c r="AI180" s="960"/>
      <c r="AJ180" s="975" t="s">
        <v>248</v>
      </c>
      <c r="AK180" s="975"/>
      <c r="AL180" s="975"/>
      <c r="AM180" s="975"/>
      <c r="AN180" s="975"/>
    </row>
    <row r="181" spans="1:43" s="421" customFormat="1" ht="19" customHeight="1" x14ac:dyDescent="0.35">
      <c r="A181" s="968"/>
      <c r="B181" s="968"/>
      <c r="C181" s="961" t="s">
        <v>249</v>
      </c>
      <c r="D181" s="972" t="s">
        <v>250</v>
      </c>
      <c r="E181" s="961" t="s">
        <v>251</v>
      </c>
      <c r="F181" s="961" t="s">
        <v>249</v>
      </c>
      <c r="G181" s="961" t="s">
        <v>250</v>
      </c>
      <c r="H181" s="961" t="s">
        <v>251</v>
      </c>
      <c r="I181" s="961" t="s">
        <v>252</v>
      </c>
      <c r="J181" s="961" t="s">
        <v>253</v>
      </c>
      <c r="K181" s="961" t="s">
        <v>254</v>
      </c>
      <c r="L181" s="961" t="s">
        <v>255</v>
      </c>
      <c r="M181" s="961" t="s">
        <v>254</v>
      </c>
      <c r="N181" s="961" t="s">
        <v>256</v>
      </c>
      <c r="O181" s="965" t="s">
        <v>257</v>
      </c>
      <c r="P181" s="965"/>
      <c r="Q181" s="965"/>
      <c r="R181" s="965"/>
      <c r="S181" s="965"/>
      <c r="T181" s="965" t="s">
        <v>258</v>
      </c>
      <c r="U181" s="965"/>
      <c r="V181" s="965"/>
      <c r="W181" s="965"/>
      <c r="X181" s="966" t="s">
        <v>259</v>
      </c>
      <c r="Y181" s="965"/>
      <c r="Z181" s="965"/>
      <c r="AA181" s="965" t="s">
        <v>260</v>
      </c>
      <c r="AB181" s="965"/>
      <c r="AC181" s="965"/>
      <c r="AD181" s="965" t="s">
        <v>261</v>
      </c>
      <c r="AE181" s="965"/>
      <c r="AF181" s="965"/>
      <c r="AG181" s="965" t="s">
        <v>262</v>
      </c>
      <c r="AH181" s="965"/>
      <c r="AI181" s="965"/>
      <c r="AJ181" s="964" t="s">
        <v>421</v>
      </c>
      <c r="AK181" s="964" t="s">
        <v>263</v>
      </c>
      <c r="AL181" s="964" t="s">
        <v>264</v>
      </c>
      <c r="AM181" s="964" t="s">
        <v>265</v>
      </c>
      <c r="AN181" s="964" t="s">
        <v>424</v>
      </c>
      <c r="AO181" s="423"/>
      <c r="AP181" s="423"/>
      <c r="AQ181" s="423"/>
    </row>
    <row r="182" spans="1:43" s="421" customFormat="1" ht="19" customHeight="1" x14ac:dyDescent="0.35">
      <c r="A182" s="968"/>
      <c r="B182" s="968"/>
      <c r="C182" s="962"/>
      <c r="D182" s="973"/>
      <c r="E182" s="962"/>
      <c r="F182" s="962"/>
      <c r="G182" s="962"/>
      <c r="H182" s="962"/>
      <c r="I182" s="962"/>
      <c r="J182" s="962"/>
      <c r="K182" s="962"/>
      <c r="L182" s="962"/>
      <c r="M182" s="962"/>
      <c r="N182" s="962"/>
      <c r="O182" s="965" t="s">
        <v>266</v>
      </c>
      <c r="P182" s="965" t="s">
        <v>267</v>
      </c>
      <c r="Q182" s="965" t="s">
        <v>268</v>
      </c>
      <c r="R182" s="965" t="s">
        <v>269</v>
      </c>
      <c r="S182" s="965"/>
      <c r="T182" s="965" t="s">
        <v>270</v>
      </c>
      <c r="U182" s="965" t="s">
        <v>271</v>
      </c>
      <c r="V182" s="965" t="s">
        <v>272</v>
      </c>
      <c r="W182" s="965" t="s">
        <v>273</v>
      </c>
      <c r="X182" s="966" t="s">
        <v>274</v>
      </c>
      <c r="Y182" s="965" t="s">
        <v>275</v>
      </c>
      <c r="Z182" s="965" t="s">
        <v>276</v>
      </c>
      <c r="AA182" s="965" t="s">
        <v>277</v>
      </c>
      <c r="AB182" s="965" t="s">
        <v>278</v>
      </c>
      <c r="AC182" s="965" t="s">
        <v>279</v>
      </c>
      <c r="AD182" s="965" t="s">
        <v>280</v>
      </c>
      <c r="AE182" s="965" t="s">
        <v>281</v>
      </c>
      <c r="AF182" s="965" t="s">
        <v>282</v>
      </c>
      <c r="AG182" s="965" t="s">
        <v>283</v>
      </c>
      <c r="AH182" s="965" t="s">
        <v>284</v>
      </c>
      <c r="AI182" s="965" t="s">
        <v>279</v>
      </c>
      <c r="AJ182" s="964"/>
      <c r="AK182" s="964"/>
      <c r="AL182" s="964"/>
      <c r="AM182" s="964"/>
      <c r="AN182" s="964"/>
      <c r="AO182" s="423"/>
      <c r="AP182" s="423"/>
      <c r="AQ182" s="423"/>
    </row>
    <row r="183" spans="1:43" s="421" customFormat="1" ht="19" customHeight="1" x14ac:dyDescent="0.35">
      <c r="A183" s="969"/>
      <c r="B183" s="969"/>
      <c r="C183" s="963"/>
      <c r="D183" s="974"/>
      <c r="E183" s="963"/>
      <c r="F183" s="963"/>
      <c r="G183" s="963"/>
      <c r="H183" s="963"/>
      <c r="I183" s="963"/>
      <c r="J183" s="963"/>
      <c r="K183" s="963"/>
      <c r="L183" s="963"/>
      <c r="M183" s="963"/>
      <c r="N183" s="963"/>
      <c r="O183" s="965"/>
      <c r="P183" s="965"/>
      <c r="Q183" s="965"/>
      <c r="R183" s="422" t="s">
        <v>285</v>
      </c>
      <c r="S183" s="422" t="s">
        <v>286</v>
      </c>
      <c r="T183" s="965"/>
      <c r="U183" s="965"/>
      <c r="V183" s="965"/>
      <c r="W183" s="965"/>
      <c r="X183" s="966"/>
      <c r="Y183" s="965"/>
      <c r="Z183" s="965"/>
      <c r="AA183" s="965"/>
      <c r="AB183" s="965"/>
      <c r="AC183" s="965"/>
      <c r="AD183" s="965"/>
      <c r="AE183" s="965"/>
      <c r="AF183" s="965"/>
      <c r="AG183" s="965"/>
      <c r="AH183" s="965"/>
      <c r="AI183" s="965"/>
      <c r="AJ183" s="964"/>
      <c r="AK183" s="964"/>
      <c r="AL183" s="964"/>
      <c r="AM183" s="964"/>
      <c r="AN183" s="964"/>
      <c r="AO183" s="423"/>
      <c r="AP183" s="423"/>
      <c r="AQ183" s="423"/>
    </row>
    <row r="184" spans="1:43" s="421" customFormat="1" ht="19" customHeight="1" thickBot="1" x14ac:dyDescent="0.4">
      <c r="A184" s="424">
        <v>1</v>
      </c>
      <c r="B184" s="424">
        <v>2</v>
      </c>
      <c r="C184" s="425">
        <v>3</v>
      </c>
      <c r="D184" s="424">
        <v>4</v>
      </c>
      <c r="E184" s="424">
        <v>5</v>
      </c>
      <c r="F184" s="424">
        <v>6</v>
      </c>
      <c r="G184" s="424">
        <v>7</v>
      </c>
      <c r="H184" s="424">
        <v>8</v>
      </c>
      <c r="I184" s="424">
        <v>9</v>
      </c>
      <c r="J184" s="424">
        <v>10</v>
      </c>
      <c r="K184" s="424">
        <v>11</v>
      </c>
      <c r="L184" s="424">
        <v>12</v>
      </c>
      <c r="M184" s="424">
        <v>13</v>
      </c>
      <c r="N184" s="424">
        <v>14</v>
      </c>
      <c r="O184" s="424">
        <v>15</v>
      </c>
      <c r="P184" s="424">
        <v>16</v>
      </c>
      <c r="Q184" s="424">
        <v>17</v>
      </c>
      <c r="R184" s="424">
        <v>18</v>
      </c>
      <c r="S184" s="424">
        <v>19</v>
      </c>
      <c r="T184" s="424">
        <v>20</v>
      </c>
      <c r="U184" s="424">
        <v>21</v>
      </c>
      <c r="V184" s="424">
        <v>22</v>
      </c>
      <c r="W184" s="424">
        <v>23</v>
      </c>
      <c r="X184" s="424">
        <v>24</v>
      </c>
      <c r="Y184" s="424">
        <v>25</v>
      </c>
      <c r="Z184" s="424">
        <v>26</v>
      </c>
      <c r="AA184" s="424">
        <v>27</v>
      </c>
      <c r="AB184" s="424">
        <v>28</v>
      </c>
      <c r="AC184" s="424">
        <v>29</v>
      </c>
      <c r="AD184" s="424">
        <v>30</v>
      </c>
      <c r="AE184" s="424">
        <v>31</v>
      </c>
      <c r="AF184" s="424">
        <v>32</v>
      </c>
      <c r="AG184" s="424">
        <v>33</v>
      </c>
      <c r="AH184" s="424">
        <v>34</v>
      </c>
      <c r="AI184" s="424">
        <v>35</v>
      </c>
      <c r="AJ184" s="424">
        <v>36</v>
      </c>
      <c r="AK184" s="424">
        <v>37</v>
      </c>
      <c r="AL184" s="424">
        <v>38</v>
      </c>
      <c r="AM184" s="424">
        <v>39</v>
      </c>
      <c r="AN184" s="424">
        <v>40</v>
      </c>
    </row>
    <row r="185" spans="1:43" ht="19" customHeight="1" thickTop="1" x14ac:dyDescent="0.35">
      <c r="A185" s="427">
        <v>1</v>
      </c>
      <c r="B185" s="427" t="str">
        <f>PETUNJUK!B9</f>
        <v>Pecangaan Kulon</v>
      </c>
      <c r="C185" s="428">
        <v>0</v>
      </c>
      <c r="D185" s="428">
        <v>0</v>
      </c>
      <c r="E185" s="428">
        <v>0</v>
      </c>
      <c r="F185" s="428">
        <v>0</v>
      </c>
      <c r="G185" s="428">
        <v>0</v>
      </c>
      <c r="H185" s="428">
        <v>0</v>
      </c>
      <c r="I185" s="428">
        <v>0</v>
      </c>
      <c r="J185" s="428">
        <v>0</v>
      </c>
      <c r="K185" s="428">
        <v>0</v>
      </c>
      <c r="L185" s="428">
        <v>0</v>
      </c>
      <c r="M185" s="428">
        <v>0</v>
      </c>
      <c r="N185" s="428">
        <v>0</v>
      </c>
      <c r="O185" s="428">
        <v>0</v>
      </c>
      <c r="P185" s="428">
        <v>0</v>
      </c>
      <c r="Q185" s="428">
        <v>0</v>
      </c>
      <c r="R185" s="428">
        <v>0</v>
      </c>
      <c r="S185" s="428">
        <v>0</v>
      </c>
      <c r="T185" s="428">
        <v>0</v>
      </c>
      <c r="U185" s="428">
        <v>0</v>
      </c>
      <c r="V185" s="428">
        <v>0</v>
      </c>
      <c r="W185" s="428">
        <v>0</v>
      </c>
      <c r="X185" s="428">
        <v>0</v>
      </c>
      <c r="Y185" s="428">
        <v>0</v>
      </c>
      <c r="Z185" s="428">
        <v>0</v>
      </c>
      <c r="AA185" s="428">
        <v>0</v>
      </c>
      <c r="AB185" s="428">
        <v>0</v>
      </c>
      <c r="AC185" s="428">
        <v>0</v>
      </c>
      <c r="AD185" s="428">
        <v>0</v>
      </c>
      <c r="AE185" s="428">
        <v>0</v>
      </c>
      <c r="AF185" s="428">
        <v>0</v>
      </c>
      <c r="AG185" s="428">
        <v>0</v>
      </c>
      <c r="AH185" s="428">
        <v>0</v>
      </c>
      <c r="AI185" s="428">
        <v>0</v>
      </c>
      <c r="AJ185" s="428">
        <v>0</v>
      </c>
      <c r="AK185" s="428">
        <v>0</v>
      </c>
      <c r="AL185" s="428">
        <v>0</v>
      </c>
      <c r="AM185" s="428">
        <v>0</v>
      </c>
      <c r="AN185" s="428">
        <v>0</v>
      </c>
    </row>
    <row r="186" spans="1:43" ht="19" customHeight="1" x14ac:dyDescent="0.35">
      <c r="A186" s="429">
        <v>2</v>
      </c>
      <c r="B186" s="427" t="str">
        <f>PETUNJUK!B10</f>
        <v>Rengging</v>
      </c>
      <c r="C186" s="428">
        <v>0</v>
      </c>
      <c r="D186" s="428">
        <v>0</v>
      </c>
      <c r="E186" s="428">
        <v>0</v>
      </c>
      <c r="F186" s="428">
        <v>0</v>
      </c>
      <c r="G186" s="428">
        <v>0</v>
      </c>
      <c r="H186" s="428">
        <v>0</v>
      </c>
      <c r="I186" s="428">
        <v>0</v>
      </c>
      <c r="J186" s="428">
        <v>0</v>
      </c>
      <c r="K186" s="428">
        <v>0</v>
      </c>
      <c r="L186" s="428">
        <v>0</v>
      </c>
      <c r="M186" s="428">
        <v>0</v>
      </c>
      <c r="N186" s="428">
        <v>0</v>
      </c>
      <c r="O186" s="428">
        <v>0</v>
      </c>
      <c r="P186" s="428">
        <v>0</v>
      </c>
      <c r="Q186" s="428">
        <v>0</v>
      </c>
      <c r="R186" s="428">
        <v>0</v>
      </c>
      <c r="S186" s="428">
        <v>0</v>
      </c>
      <c r="T186" s="428">
        <v>0</v>
      </c>
      <c r="U186" s="428">
        <v>0</v>
      </c>
      <c r="V186" s="428">
        <v>0</v>
      </c>
      <c r="W186" s="428">
        <v>0</v>
      </c>
      <c r="X186" s="428">
        <v>0</v>
      </c>
      <c r="Y186" s="428">
        <v>0</v>
      </c>
      <c r="Z186" s="428">
        <v>0</v>
      </c>
      <c r="AA186" s="428">
        <v>0</v>
      </c>
      <c r="AB186" s="428">
        <v>0</v>
      </c>
      <c r="AC186" s="428">
        <v>0</v>
      </c>
      <c r="AD186" s="428">
        <v>0</v>
      </c>
      <c r="AE186" s="428">
        <v>0</v>
      </c>
      <c r="AF186" s="428">
        <v>0</v>
      </c>
      <c r="AG186" s="428">
        <v>0</v>
      </c>
      <c r="AH186" s="428">
        <v>0</v>
      </c>
      <c r="AI186" s="428">
        <v>0</v>
      </c>
      <c r="AJ186" s="428">
        <v>0</v>
      </c>
      <c r="AK186" s="428">
        <v>0</v>
      </c>
      <c r="AL186" s="428">
        <v>0</v>
      </c>
      <c r="AM186" s="428">
        <v>0</v>
      </c>
      <c r="AN186" s="428">
        <v>0</v>
      </c>
    </row>
    <row r="187" spans="1:43" ht="19" customHeight="1" x14ac:dyDescent="0.35">
      <c r="A187" s="429">
        <v>3</v>
      </c>
      <c r="B187" s="427" t="str">
        <f>PETUNJUK!B11</f>
        <v>Troso</v>
      </c>
      <c r="C187" s="428">
        <v>0</v>
      </c>
      <c r="D187" s="428">
        <v>0</v>
      </c>
      <c r="E187" s="428">
        <v>0</v>
      </c>
      <c r="F187" s="428">
        <v>0</v>
      </c>
      <c r="G187" s="428">
        <v>0</v>
      </c>
      <c r="H187" s="428">
        <v>0</v>
      </c>
      <c r="I187" s="428">
        <v>0</v>
      </c>
      <c r="J187" s="428">
        <v>0</v>
      </c>
      <c r="K187" s="428">
        <v>0</v>
      </c>
      <c r="L187" s="428">
        <v>0</v>
      </c>
      <c r="M187" s="428">
        <v>0</v>
      </c>
      <c r="N187" s="428">
        <v>0</v>
      </c>
      <c r="O187" s="428">
        <v>0</v>
      </c>
      <c r="P187" s="428">
        <v>0</v>
      </c>
      <c r="Q187" s="428">
        <v>0</v>
      </c>
      <c r="R187" s="428">
        <v>0</v>
      </c>
      <c r="S187" s="428">
        <v>0</v>
      </c>
      <c r="T187" s="428">
        <v>0</v>
      </c>
      <c r="U187" s="428">
        <v>0</v>
      </c>
      <c r="V187" s="428">
        <v>0</v>
      </c>
      <c r="W187" s="428">
        <v>0</v>
      </c>
      <c r="X187" s="428">
        <v>0</v>
      </c>
      <c r="Y187" s="428">
        <v>0</v>
      </c>
      <c r="Z187" s="428">
        <v>0</v>
      </c>
      <c r="AA187" s="428">
        <v>0</v>
      </c>
      <c r="AB187" s="428">
        <v>0</v>
      </c>
      <c r="AC187" s="428">
        <v>0</v>
      </c>
      <c r="AD187" s="428">
        <v>0</v>
      </c>
      <c r="AE187" s="428">
        <v>0</v>
      </c>
      <c r="AF187" s="428">
        <v>0</v>
      </c>
      <c r="AG187" s="428">
        <v>0</v>
      </c>
      <c r="AH187" s="428">
        <v>0</v>
      </c>
      <c r="AI187" s="428">
        <v>0</v>
      </c>
      <c r="AJ187" s="428">
        <v>0</v>
      </c>
      <c r="AK187" s="428">
        <v>0</v>
      </c>
      <c r="AL187" s="428">
        <v>0</v>
      </c>
      <c r="AM187" s="428">
        <v>0</v>
      </c>
      <c r="AN187" s="428">
        <v>0</v>
      </c>
    </row>
    <row r="188" spans="1:43" ht="19" customHeight="1" x14ac:dyDescent="0.35">
      <c r="A188" s="429">
        <v>4</v>
      </c>
      <c r="B188" s="427" t="str">
        <f>PETUNJUK!B12</f>
        <v>Ngeling</v>
      </c>
      <c r="C188" s="428">
        <v>0</v>
      </c>
      <c r="D188" s="428">
        <v>0</v>
      </c>
      <c r="E188" s="428">
        <v>0</v>
      </c>
      <c r="F188" s="428">
        <v>0</v>
      </c>
      <c r="G188" s="428">
        <v>0</v>
      </c>
      <c r="H188" s="428">
        <v>0</v>
      </c>
      <c r="I188" s="428">
        <v>0</v>
      </c>
      <c r="J188" s="428">
        <v>0</v>
      </c>
      <c r="K188" s="428">
        <v>0</v>
      </c>
      <c r="L188" s="428">
        <v>0</v>
      </c>
      <c r="M188" s="428">
        <v>0</v>
      </c>
      <c r="N188" s="428">
        <v>0</v>
      </c>
      <c r="O188" s="428">
        <v>0</v>
      </c>
      <c r="P188" s="428">
        <v>0</v>
      </c>
      <c r="Q188" s="428">
        <v>0</v>
      </c>
      <c r="R188" s="428">
        <v>0</v>
      </c>
      <c r="S188" s="428">
        <v>0</v>
      </c>
      <c r="T188" s="428">
        <v>0</v>
      </c>
      <c r="U188" s="428">
        <v>0</v>
      </c>
      <c r="V188" s="428">
        <v>0</v>
      </c>
      <c r="W188" s="428">
        <v>0</v>
      </c>
      <c r="X188" s="428">
        <v>0</v>
      </c>
      <c r="Y188" s="428">
        <v>0</v>
      </c>
      <c r="Z188" s="428">
        <v>0</v>
      </c>
      <c r="AA188" s="428">
        <v>0</v>
      </c>
      <c r="AB188" s="428">
        <v>0</v>
      </c>
      <c r="AC188" s="428">
        <v>0</v>
      </c>
      <c r="AD188" s="428">
        <v>0</v>
      </c>
      <c r="AE188" s="428">
        <v>0</v>
      </c>
      <c r="AF188" s="428">
        <v>0</v>
      </c>
      <c r="AG188" s="428">
        <v>0</v>
      </c>
      <c r="AH188" s="428">
        <v>0</v>
      </c>
      <c r="AI188" s="428">
        <v>0</v>
      </c>
      <c r="AJ188" s="428">
        <v>0</v>
      </c>
      <c r="AK188" s="428">
        <v>0</v>
      </c>
      <c r="AL188" s="428">
        <v>0</v>
      </c>
      <c r="AM188" s="428">
        <v>0</v>
      </c>
      <c r="AN188" s="428">
        <v>0</v>
      </c>
    </row>
    <row r="189" spans="1:43" ht="19" customHeight="1" x14ac:dyDescent="0.35">
      <c r="A189" s="429">
        <v>5</v>
      </c>
      <c r="B189" s="427" t="str">
        <f>PETUNJUK!B13</f>
        <v>Lebuawu</v>
      </c>
      <c r="C189" s="428">
        <v>0</v>
      </c>
      <c r="D189" s="428">
        <v>0</v>
      </c>
      <c r="E189" s="428">
        <v>0</v>
      </c>
      <c r="F189" s="428">
        <v>0</v>
      </c>
      <c r="G189" s="428">
        <v>0</v>
      </c>
      <c r="H189" s="428">
        <v>0</v>
      </c>
      <c r="I189" s="428">
        <v>0</v>
      </c>
      <c r="J189" s="428">
        <v>0</v>
      </c>
      <c r="K189" s="428">
        <v>0</v>
      </c>
      <c r="L189" s="428">
        <v>0</v>
      </c>
      <c r="M189" s="428">
        <v>0</v>
      </c>
      <c r="N189" s="428">
        <v>0</v>
      </c>
      <c r="O189" s="428">
        <v>0</v>
      </c>
      <c r="P189" s="428">
        <v>0</v>
      </c>
      <c r="Q189" s="428">
        <v>0</v>
      </c>
      <c r="R189" s="428">
        <v>0</v>
      </c>
      <c r="S189" s="428">
        <v>0</v>
      </c>
      <c r="T189" s="428">
        <v>0</v>
      </c>
      <c r="U189" s="428">
        <v>0</v>
      </c>
      <c r="V189" s="428">
        <v>0</v>
      </c>
      <c r="W189" s="428">
        <v>0</v>
      </c>
      <c r="X189" s="428">
        <v>0</v>
      </c>
      <c r="Y189" s="428">
        <v>0</v>
      </c>
      <c r="Z189" s="428">
        <v>0</v>
      </c>
      <c r="AA189" s="428">
        <v>0</v>
      </c>
      <c r="AB189" s="428">
        <v>0</v>
      </c>
      <c r="AC189" s="428">
        <v>0</v>
      </c>
      <c r="AD189" s="428">
        <v>0</v>
      </c>
      <c r="AE189" s="428">
        <v>0</v>
      </c>
      <c r="AF189" s="428">
        <v>0</v>
      </c>
      <c r="AG189" s="428">
        <v>0</v>
      </c>
      <c r="AH189" s="428">
        <v>0</v>
      </c>
      <c r="AI189" s="428">
        <v>0</v>
      </c>
      <c r="AJ189" s="428">
        <v>0</v>
      </c>
      <c r="AK189" s="428">
        <v>0</v>
      </c>
      <c r="AL189" s="428">
        <v>0</v>
      </c>
      <c r="AM189" s="428">
        <v>0</v>
      </c>
      <c r="AN189" s="428">
        <v>0</v>
      </c>
    </row>
    <row r="190" spans="1:43" ht="19" customHeight="1" x14ac:dyDescent="0.35">
      <c r="A190" s="429">
        <v>6</v>
      </c>
      <c r="B190" s="427" t="str">
        <f>PETUNJUK!B14</f>
        <v>Pulodarat</v>
      </c>
      <c r="C190" s="428">
        <v>0</v>
      </c>
      <c r="D190" s="428">
        <v>0</v>
      </c>
      <c r="E190" s="428">
        <v>0</v>
      </c>
      <c r="F190" s="428">
        <v>0</v>
      </c>
      <c r="G190" s="428">
        <v>0</v>
      </c>
      <c r="H190" s="428">
        <v>0</v>
      </c>
      <c r="I190" s="428">
        <v>0</v>
      </c>
      <c r="J190" s="428">
        <v>0</v>
      </c>
      <c r="K190" s="428">
        <v>0</v>
      </c>
      <c r="L190" s="428">
        <v>0</v>
      </c>
      <c r="M190" s="428">
        <v>0</v>
      </c>
      <c r="N190" s="428">
        <v>0</v>
      </c>
      <c r="O190" s="428">
        <v>0</v>
      </c>
      <c r="P190" s="428">
        <v>0</v>
      </c>
      <c r="Q190" s="428">
        <v>0</v>
      </c>
      <c r="R190" s="428">
        <v>0</v>
      </c>
      <c r="S190" s="428">
        <v>0</v>
      </c>
      <c r="T190" s="428">
        <v>0</v>
      </c>
      <c r="U190" s="428">
        <v>0</v>
      </c>
      <c r="V190" s="428">
        <v>0</v>
      </c>
      <c r="W190" s="428">
        <v>0</v>
      </c>
      <c r="X190" s="428">
        <v>0</v>
      </c>
      <c r="Y190" s="428">
        <v>0</v>
      </c>
      <c r="Z190" s="428">
        <v>0</v>
      </c>
      <c r="AA190" s="428">
        <v>0</v>
      </c>
      <c r="AB190" s="428">
        <v>0</v>
      </c>
      <c r="AC190" s="428">
        <v>0</v>
      </c>
      <c r="AD190" s="428">
        <v>0</v>
      </c>
      <c r="AE190" s="428">
        <v>0</v>
      </c>
      <c r="AF190" s="428">
        <v>0</v>
      </c>
      <c r="AG190" s="428">
        <v>0</v>
      </c>
      <c r="AH190" s="428">
        <v>0</v>
      </c>
      <c r="AI190" s="428">
        <v>0</v>
      </c>
      <c r="AJ190" s="428">
        <v>0</v>
      </c>
      <c r="AK190" s="428">
        <v>0</v>
      </c>
      <c r="AL190" s="428">
        <v>0</v>
      </c>
      <c r="AM190" s="428">
        <v>0</v>
      </c>
      <c r="AN190" s="428">
        <v>0</v>
      </c>
    </row>
    <row r="191" spans="1:43" ht="19" customHeight="1" x14ac:dyDescent="0.35">
      <c r="A191" s="429">
        <v>7</v>
      </c>
      <c r="B191" s="427" t="str">
        <f>PETUNJUK!B15</f>
        <v>Karangrandu</v>
      </c>
      <c r="C191" s="428">
        <v>0</v>
      </c>
      <c r="D191" s="428">
        <v>0</v>
      </c>
      <c r="E191" s="428">
        <v>0</v>
      </c>
      <c r="F191" s="428">
        <v>0</v>
      </c>
      <c r="G191" s="428">
        <v>0</v>
      </c>
      <c r="H191" s="428">
        <v>0</v>
      </c>
      <c r="I191" s="428">
        <v>0</v>
      </c>
      <c r="J191" s="428">
        <v>0</v>
      </c>
      <c r="K191" s="428">
        <v>0</v>
      </c>
      <c r="L191" s="428">
        <v>0</v>
      </c>
      <c r="M191" s="428">
        <v>0</v>
      </c>
      <c r="N191" s="428">
        <v>0</v>
      </c>
      <c r="O191" s="428">
        <v>0</v>
      </c>
      <c r="P191" s="428">
        <v>0</v>
      </c>
      <c r="Q191" s="428">
        <v>0</v>
      </c>
      <c r="R191" s="428">
        <v>0</v>
      </c>
      <c r="S191" s="428">
        <v>0</v>
      </c>
      <c r="T191" s="428">
        <v>0</v>
      </c>
      <c r="U191" s="428">
        <v>0</v>
      </c>
      <c r="V191" s="428">
        <v>0</v>
      </c>
      <c r="W191" s="428">
        <v>0</v>
      </c>
      <c r="X191" s="428">
        <v>0</v>
      </c>
      <c r="Y191" s="428">
        <v>0</v>
      </c>
      <c r="Z191" s="428">
        <v>0</v>
      </c>
      <c r="AA191" s="428">
        <v>0</v>
      </c>
      <c r="AB191" s="428">
        <v>0</v>
      </c>
      <c r="AC191" s="428">
        <v>0</v>
      </c>
      <c r="AD191" s="428">
        <v>0</v>
      </c>
      <c r="AE191" s="428">
        <v>0</v>
      </c>
      <c r="AF191" s="428">
        <v>0</v>
      </c>
      <c r="AG191" s="428">
        <v>0</v>
      </c>
      <c r="AH191" s="428">
        <v>0</v>
      </c>
      <c r="AI191" s="428">
        <v>0</v>
      </c>
      <c r="AJ191" s="428">
        <v>0</v>
      </c>
      <c r="AK191" s="428">
        <v>0</v>
      </c>
      <c r="AL191" s="428">
        <v>0</v>
      </c>
      <c r="AM191" s="428">
        <v>0</v>
      </c>
      <c r="AN191" s="428">
        <v>0</v>
      </c>
    </row>
    <row r="192" spans="1:43" ht="19" customHeight="1" x14ac:dyDescent="0.35">
      <c r="A192" s="429">
        <v>8</v>
      </c>
      <c r="B192" s="427" t="str">
        <f>PETUNJUK!B16</f>
        <v>Kaliombo</v>
      </c>
      <c r="C192" s="428">
        <v>0</v>
      </c>
      <c r="D192" s="428">
        <v>0</v>
      </c>
      <c r="E192" s="428">
        <v>0</v>
      </c>
      <c r="F192" s="428">
        <v>0</v>
      </c>
      <c r="G192" s="428">
        <v>0</v>
      </c>
      <c r="H192" s="428">
        <v>0</v>
      </c>
      <c r="I192" s="428">
        <v>0</v>
      </c>
      <c r="J192" s="428">
        <v>0</v>
      </c>
      <c r="K192" s="428">
        <v>0</v>
      </c>
      <c r="L192" s="428">
        <v>0</v>
      </c>
      <c r="M192" s="428">
        <v>0</v>
      </c>
      <c r="N192" s="428">
        <v>0</v>
      </c>
      <c r="O192" s="428">
        <v>0</v>
      </c>
      <c r="P192" s="428">
        <v>0</v>
      </c>
      <c r="Q192" s="428">
        <v>0</v>
      </c>
      <c r="R192" s="428">
        <v>0</v>
      </c>
      <c r="S192" s="428">
        <v>0</v>
      </c>
      <c r="T192" s="428">
        <v>0</v>
      </c>
      <c r="U192" s="428">
        <v>0</v>
      </c>
      <c r="V192" s="428">
        <v>0</v>
      </c>
      <c r="W192" s="428">
        <v>0</v>
      </c>
      <c r="X192" s="428">
        <v>0</v>
      </c>
      <c r="Y192" s="428">
        <v>0</v>
      </c>
      <c r="Z192" s="428">
        <v>0</v>
      </c>
      <c r="AA192" s="428">
        <v>0</v>
      </c>
      <c r="AB192" s="428">
        <v>0</v>
      </c>
      <c r="AC192" s="428">
        <v>0</v>
      </c>
      <c r="AD192" s="428">
        <v>0</v>
      </c>
      <c r="AE192" s="428">
        <v>0</v>
      </c>
      <c r="AF192" s="428">
        <v>0</v>
      </c>
      <c r="AG192" s="428">
        <v>0</v>
      </c>
      <c r="AH192" s="428">
        <v>0</v>
      </c>
      <c r="AI192" s="428">
        <v>0</v>
      </c>
      <c r="AJ192" s="428">
        <v>0</v>
      </c>
      <c r="AK192" s="428">
        <v>0</v>
      </c>
      <c r="AL192" s="428">
        <v>0</v>
      </c>
      <c r="AM192" s="428">
        <v>0</v>
      </c>
      <c r="AN192" s="428">
        <v>0</v>
      </c>
    </row>
    <row r="193" spans="1:40" ht="19" customHeight="1" x14ac:dyDescent="0.35">
      <c r="A193" s="429">
        <v>9</v>
      </c>
      <c r="B193" s="427" t="str">
        <f>PETUNJUK!B17</f>
        <v>Gemulung</v>
      </c>
      <c r="C193" s="428">
        <v>0</v>
      </c>
      <c r="D193" s="428">
        <v>0</v>
      </c>
      <c r="E193" s="428">
        <v>0</v>
      </c>
      <c r="F193" s="428">
        <v>0</v>
      </c>
      <c r="G193" s="428">
        <v>0</v>
      </c>
      <c r="H193" s="428">
        <v>0</v>
      </c>
      <c r="I193" s="428">
        <v>0</v>
      </c>
      <c r="J193" s="428">
        <v>0</v>
      </c>
      <c r="K193" s="428">
        <v>0</v>
      </c>
      <c r="L193" s="428">
        <v>0</v>
      </c>
      <c r="M193" s="428">
        <v>0</v>
      </c>
      <c r="N193" s="428">
        <v>0</v>
      </c>
      <c r="O193" s="428">
        <v>0</v>
      </c>
      <c r="P193" s="428">
        <v>0</v>
      </c>
      <c r="Q193" s="428">
        <v>0</v>
      </c>
      <c r="R193" s="428">
        <v>0</v>
      </c>
      <c r="S193" s="428">
        <v>0</v>
      </c>
      <c r="T193" s="428">
        <v>0</v>
      </c>
      <c r="U193" s="428">
        <v>0</v>
      </c>
      <c r="V193" s="428">
        <v>0</v>
      </c>
      <c r="W193" s="428">
        <v>0</v>
      </c>
      <c r="X193" s="428">
        <v>0</v>
      </c>
      <c r="Y193" s="428">
        <v>0</v>
      </c>
      <c r="Z193" s="428">
        <v>0</v>
      </c>
      <c r="AA193" s="428">
        <v>0</v>
      </c>
      <c r="AB193" s="428">
        <v>0</v>
      </c>
      <c r="AC193" s="428">
        <v>0</v>
      </c>
      <c r="AD193" s="428">
        <v>0</v>
      </c>
      <c r="AE193" s="428">
        <v>0</v>
      </c>
      <c r="AF193" s="428">
        <v>0</v>
      </c>
      <c r="AG193" s="428">
        <v>0</v>
      </c>
      <c r="AH193" s="428">
        <v>0</v>
      </c>
      <c r="AI193" s="428">
        <v>0</v>
      </c>
      <c r="AJ193" s="428">
        <v>0</v>
      </c>
      <c r="AK193" s="428">
        <v>0</v>
      </c>
      <c r="AL193" s="428">
        <v>0</v>
      </c>
      <c r="AM193" s="428">
        <v>0</v>
      </c>
      <c r="AN193" s="428">
        <v>0</v>
      </c>
    </row>
    <row r="194" spans="1:40" ht="19" customHeight="1" x14ac:dyDescent="0.35">
      <c r="A194" s="429">
        <v>10</v>
      </c>
      <c r="B194" s="427" t="str">
        <f>PETUNJUK!B18</f>
        <v>Pecangaan Wetan</v>
      </c>
      <c r="C194" s="428">
        <v>0</v>
      </c>
      <c r="D194" s="428">
        <v>0</v>
      </c>
      <c r="E194" s="428">
        <v>0</v>
      </c>
      <c r="F194" s="428">
        <v>0</v>
      </c>
      <c r="G194" s="428">
        <v>0</v>
      </c>
      <c r="H194" s="428">
        <v>0</v>
      </c>
      <c r="I194" s="428">
        <v>0</v>
      </c>
      <c r="J194" s="428">
        <v>0</v>
      </c>
      <c r="K194" s="428">
        <v>0</v>
      </c>
      <c r="L194" s="428">
        <v>0</v>
      </c>
      <c r="M194" s="428">
        <v>0</v>
      </c>
      <c r="N194" s="428">
        <v>0</v>
      </c>
      <c r="O194" s="428">
        <v>0</v>
      </c>
      <c r="P194" s="428">
        <v>0</v>
      </c>
      <c r="Q194" s="428">
        <v>0</v>
      </c>
      <c r="R194" s="428">
        <v>0</v>
      </c>
      <c r="S194" s="428">
        <v>0</v>
      </c>
      <c r="T194" s="428">
        <v>0</v>
      </c>
      <c r="U194" s="428">
        <v>0</v>
      </c>
      <c r="V194" s="428">
        <v>0</v>
      </c>
      <c r="W194" s="428">
        <v>0</v>
      </c>
      <c r="X194" s="428">
        <v>0</v>
      </c>
      <c r="Y194" s="428">
        <v>0</v>
      </c>
      <c r="Z194" s="428">
        <v>0</v>
      </c>
      <c r="AA194" s="428">
        <v>0</v>
      </c>
      <c r="AB194" s="428">
        <v>0</v>
      </c>
      <c r="AC194" s="428">
        <v>0</v>
      </c>
      <c r="AD194" s="428">
        <v>0</v>
      </c>
      <c r="AE194" s="428">
        <v>0</v>
      </c>
      <c r="AF194" s="428">
        <v>0</v>
      </c>
      <c r="AG194" s="428">
        <v>0</v>
      </c>
      <c r="AH194" s="428">
        <v>0</v>
      </c>
      <c r="AI194" s="428">
        <v>0</v>
      </c>
      <c r="AJ194" s="428">
        <v>0</v>
      </c>
      <c r="AK194" s="428">
        <v>0</v>
      </c>
      <c r="AL194" s="428">
        <v>0</v>
      </c>
      <c r="AM194" s="428">
        <v>0</v>
      </c>
      <c r="AN194" s="428">
        <v>0</v>
      </c>
    </row>
    <row r="195" spans="1:40" ht="19" customHeight="1" x14ac:dyDescent="0.35">
      <c r="A195" s="429">
        <v>11</v>
      </c>
      <c r="B195" s="427" t="str">
        <f>PETUNJUK!B19</f>
        <v>Krasak</v>
      </c>
      <c r="C195" s="428">
        <v>0</v>
      </c>
      <c r="D195" s="428">
        <v>0</v>
      </c>
      <c r="E195" s="428">
        <v>0</v>
      </c>
      <c r="F195" s="428">
        <v>0</v>
      </c>
      <c r="G195" s="428">
        <v>0</v>
      </c>
      <c r="H195" s="428">
        <v>0</v>
      </c>
      <c r="I195" s="428">
        <v>0</v>
      </c>
      <c r="J195" s="428">
        <v>0</v>
      </c>
      <c r="K195" s="428">
        <v>0</v>
      </c>
      <c r="L195" s="428">
        <v>0</v>
      </c>
      <c r="M195" s="428">
        <v>0</v>
      </c>
      <c r="N195" s="428">
        <v>0</v>
      </c>
      <c r="O195" s="428">
        <v>0</v>
      </c>
      <c r="P195" s="428">
        <v>0</v>
      </c>
      <c r="Q195" s="428">
        <v>0</v>
      </c>
      <c r="R195" s="428">
        <v>0</v>
      </c>
      <c r="S195" s="428">
        <v>0</v>
      </c>
      <c r="T195" s="428">
        <v>0</v>
      </c>
      <c r="U195" s="428">
        <v>0</v>
      </c>
      <c r="V195" s="428">
        <v>0</v>
      </c>
      <c r="W195" s="428">
        <v>0</v>
      </c>
      <c r="X195" s="428">
        <v>0</v>
      </c>
      <c r="Y195" s="428">
        <v>0</v>
      </c>
      <c r="Z195" s="428">
        <v>0</v>
      </c>
      <c r="AA195" s="428">
        <v>0</v>
      </c>
      <c r="AB195" s="428">
        <v>0</v>
      </c>
      <c r="AC195" s="428">
        <v>0</v>
      </c>
      <c r="AD195" s="428">
        <v>0</v>
      </c>
      <c r="AE195" s="428">
        <v>0</v>
      </c>
      <c r="AF195" s="428">
        <v>0</v>
      </c>
      <c r="AG195" s="428">
        <v>0</v>
      </c>
      <c r="AH195" s="428">
        <v>0</v>
      </c>
      <c r="AI195" s="428">
        <v>0</v>
      </c>
      <c r="AJ195" s="428">
        <v>0</v>
      </c>
      <c r="AK195" s="428">
        <v>0</v>
      </c>
      <c r="AL195" s="428">
        <v>0</v>
      </c>
      <c r="AM195" s="428">
        <v>0</v>
      </c>
      <c r="AN195" s="428">
        <v>0</v>
      </c>
    </row>
    <row r="196" spans="1:40" ht="19" customHeight="1" x14ac:dyDescent="0.35">
      <c r="A196" s="429">
        <v>12</v>
      </c>
      <c r="B196" s="427" t="str">
        <f>PETUNJUK!B20</f>
        <v>Gerdu</v>
      </c>
      <c r="C196" s="428">
        <v>0</v>
      </c>
      <c r="D196" s="428">
        <v>0</v>
      </c>
      <c r="E196" s="428">
        <v>0</v>
      </c>
      <c r="F196" s="428">
        <v>0</v>
      </c>
      <c r="G196" s="428">
        <v>0</v>
      </c>
      <c r="H196" s="428">
        <v>0</v>
      </c>
      <c r="I196" s="428">
        <v>0</v>
      </c>
      <c r="J196" s="428">
        <v>0</v>
      </c>
      <c r="K196" s="428">
        <v>0</v>
      </c>
      <c r="L196" s="428">
        <v>0</v>
      </c>
      <c r="M196" s="428">
        <v>0</v>
      </c>
      <c r="N196" s="428">
        <v>0</v>
      </c>
      <c r="O196" s="428">
        <v>0</v>
      </c>
      <c r="P196" s="428">
        <v>0</v>
      </c>
      <c r="Q196" s="428">
        <v>0</v>
      </c>
      <c r="R196" s="428">
        <v>0</v>
      </c>
      <c r="S196" s="428">
        <v>0</v>
      </c>
      <c r="T196" s="428">
        <v>0</v>
      </c>
      <c r="U196" s="428">
        <v>0</v>
      </c>
      <c r="V196" s="428">
        <v>0</v>
      </c>
      <c r="W196" s="428">
        <v>0</v>
      </c>
      <c r="X196" s="428">
        <v>0</v>
      </c>
      <c r="Y196" s="428">
        <v>0</v>
      </c>
      <c r="Z196" s="428">
        <v>0</v>
      </c>
      <c r="AA196" s="428">
        <v>0</v>
      </c>
      <c r="AB196" s="428">
        <v>0</v>
      </c>
      <c r="AC196" s="428">
        <v>0</v>
      </c>
      <c r="AD196" s="428">
        <v>0</v>
      </c>
      <c r="AE196" s="428">
        <v>0</v>
      </c>
      <c r="AF196" s="428">
        <v>0</v>
      </c>
      <c r="AG196" s="428">
        <v>0</v>
      </c>
      <c r="AH196" s="428">
        <v>0</v>
      </c>
      <c r="AI196" s="428">
        <v>0</v>
      </c>
      <c r="AJ196" s="428">
        <v>0</v>
      </c>
      <c r="AK196" s="428">
        <v>0</v>
      </c>
      <c r="AL196" s="428">
        <v>0</v>
      </c>
      <c r="AM196" s="428">
        <v>0</v>
      </c>
      <c r="AN196" s="428">
        <v>0</v>
      </c>
    </row>
    <row r="197" spans="1:40" ht="19" customHeight="1" x14ac:dyDescent="0.35">
      <c r="A197" s="429">
        <v>13</v>
      </c>
      <c r="B197" s="427">
        <f>PETUNJUK!B21</f>
        <v>0</v>
      </c>
      <c r="C197" s="428">
        <v>0</v>
      </c>
      <c r="D197" s="428">
        <v>0</v>
      </c>
      <c r="E197" s="428">
        <v>0</v>
      </c>
      <c r="F197" s="428">
        <v>0</v>
      </c>
      <c r="G197" s="428">
        <v>0</v>
      </c>
      <c r="H197" s="428">
        <v>0</v>
      </c>
      <c r="I197" s="428">
        <v>0</v>
      </c>
      <c r="J197" s="428">
        <v>0</v>
      </c>
      <c r="K197" s="428">
        <v>0</v>
      </c>
      <c r="L197" s="428">
        <v>0</v>
      </c>
      <c r="M197" s="428">
        <v>0</v>
      </c>
      <c r="N197" s="428">
        <v>0</v>
      </c>
      <c r="O197" s="428">
        <v>0</v>
      </c>
      <c r="P197" s="428">
        <v>0</v>
      </c>
      <c r="Q197" s="428">
        <v>0</v>
      </c>
      <c r="R197" s="428">
        <v>0</v>
      </c>
      <c r="S197" s="428">
        <v>0</v>
      </c>
      <c r="T197" s="428">
        <v>0</v>
      </c>
      <c r="U197" s="428">
        <v>0</v>
      </c>
      <c r="V197" s="428">
        <v>0</v>
      </c>
      <c r="W197" s="428">
        <v>0</v>
      </c>
      <c r="X197" s="428">
        <v>0</v>
      </c>
      <c r="Y197" s="428">
        <v>0</v>
      </c>
      <c r="Z197" s="428">
        <v>0</v>
      </c>
      <c r="AA197" s="428">
        <v>0</v>
      </c>
      <c r="AB197" s="428">
        <v>0</v>
      </c>
      <c r="AC197" s="428">
        <v>0</v>
      </c>
      <c r="AD197" s="428">
        <v>0</v>
      </c>
      <c r="AE197" s="428">
        <v>0</v>
      </c>
      <c r="AF197" s="428">
        <v>0</v>
      </c>
      <c r="AG197" s="428">
        <v>0</v>
      </c>
      <c r="AH197" s="428">
        <v>0</v>
      </c>
      <c r="AI197" s="428">
        <v>0</v>
      </c>
      <c r="AJ197" s="428">
        <v>0</v>
      </c>
      <c r="AK197" s="428">
        <v>0</v>
      </c>
      <c r="AL197" s="428">
        <v>0</v>
      </c>
      <c r="AM197" s="428">
        <v>0</v>
      </c>
      <c r="AN197" s="428">
        <v>0</v>
      </c>
    </row>
    <row r="198" spans="1:40" ht="19" customHeight="1" x14ac:dyDescent="0.35">
      <c r="A198" s="429">
        <v>14</v>
      </c>
      <c r="B198" s="427">
        <f>PETUNJUK!B22</f>
        <v>0</v>
      </c>
      <c r="C198" s="428">
        <v>0</v>
      </c>
      <c r="D198" s="428">
        <v>0</v>
      </c>
      <c r="E198" s="428">
        <v>0</v>
      </c>
      <c r="F198" s="428">
        <v>0</v>
      </c>
      <c r="G198" s="428">
        <v>0</v>
      </c>
      <c r="H198" s="428">
        <v>0</v>
      </c>
      <c r="I198" s="428">
        <v>0</v>
      </c>
      <c r="J198" s="428">
        <v>0</v>
      </c>
      <c r="K198" s="428">
        <v>0</v>
      </c>
      <c r="L198" s="428">
        <v>0</v>
      </c>
      <c r="M198" s="428">
        <v>0</v>
      </c>
      <c r="N198" s="428">
        <v>0</v>
      </c>
      <c r="O198" s="428">
        <v>0</v>
      </c>
      <c r="P198" s="428">
        <v>0</v>
      </c>
      <c r="Q198" s="428">
        <v>0</v>
      </c>
      <c r="R198" s="428">
        <v>0</v>
      </c>
      <c r="S198" s="428">
        <v>0</v>
      </c>
      <c r="T198" s="428">
        <v>0</v>
      </c>
      <c r="U198" s="428">
        <v>0</v>
      </c>
      <c r="V198" s="428">
        <v>0</v>
      </c>
      <c r="W198" s="428">
        <v>0</v>
      </c>
      <c r="X198" s="428">
        <v>0</v>
      </c>
      <c r="Y198" s="428">
        <v>0</v>
      </c>
      <c r="Z198" s="428">
        <v>0</v>
      </c>
      <c r="AA198" s="428">
        <v>0</v>
      </c>
      <c r="AB198" s="428">
        <v>0</v>
      </c>
      <c r="AC198" s="428">
        <v>0</v>
      </c>
      <c r="AD198" s="428">
        <v>0</v>
      </c>
      <c r="AE198" s="428">
        <v>0</v>
      </c>
      <c r="AF198" s="428">
        <v>0</v>
      </c>
      <c r="AG198" s="428">
        <v>0</v>
      </c>
      <c r="AH198" s="428">
        <v>0</v>
      </c>
      <c r="AI198" s="428">
        <v>0</v>
      </c>
      <c r="AJ198" s="428">
        <v>0</v>
      </c>
      <c r="AK198" s="428">
        <v>0</v>
      </c>
      <c r="AL198" s="428">
        <v>0</v>
      </c>
      <c r="AM198" s="428">
        <v>0</v>
      </c>
      <c r="AN198" s="428">
        <v>0</v>
      </c>
    </row>
    <row r="199" spans="1:40" ht="19" customHeight="1" x14ac:dyDescent="0.35">
      <c r="A199" s="429">
        <v>15</v>
      </c>
      <c r="B199" s="427">
        <f>PETUNJUK!B23</f>
        <v>0</v>
      </c>
      <c r="C199" s="428">
        <v>0</v>
      </c>
      <c r="D199" s="428">
        <v>0</v>
      </c>
      <c r="E199" s="428">
        <v>0</v>
      </c>
      <c r="F199" s="428">
        <v>0</v>
      </c>
      <c r="G199" s="428">
        <v>0</v>
      </c>
      <c r="H199" s="428">
        <v>0</v>
      </c>
      <c r="I199" s="428">
        <v>0</v>
      </c>
      <c r="J199" s="428">
        <v>0</v>
      </c>
      <c r="K199" s="428">
        <v>0</v>
      </c>
      <c r="L199" s="428">
        <v>0</v>
      </c>
      <c r="M199" s="428">
        <v>0</v>
      </c>
      <c r="N199" s="428">
        <v>0</v>
      </c>
      <c r="O199" s="428">
        <v>0</v>
      </c>
      <c r="P199" s="428">
        <v>0</v>
      </c>
      <c r="Q199" s="428">
        <v>0</v>
      </c>
      <c r="R199" s="428">
        <v>0</v>
      </c>
      <c r="S199" s="428">
        <v>0</v>
      </c>
      <c r="T199" s="428">
        <v>0</v>
      </c>
      <c r="U199" s="428">
        <v>0</v>
      </c>
      <c r="V199" s="428">
        <v>0</v>
      </c>
      <c r="W199" s="428">
        <v>0</v>
      </c>
      <c r="X199" s="428">
        <v>0</v>
      </c>
      <c r="Y199" s="428">
        <v>0</v>
      </c>
      <c r="Z199" s="428">
        <v>0</v>
      </c>
      <c r="AA199" s="428">
        <v>0</v>
      </c>
      <c r="AB199" s="428">
        <v>0</v>
      </c>
      <c r="AC199" s="428">
        <v>0</v>
      </c>
      <c r="AD199" s="428">
        <v>0</v>
      </c>
      <c r="AE199" s="428">
        <v>0</v>
      </c>
      <c r="AF199" s="428">
        <v>0</v>
      </c>
      <c r="AG199" s="428">
        <v>0</v>
      </c>
      <c r="AH199" s="428">
        <v>0</v>
      </c>
      <c r="AI199" s="428">
        <v>0</v>
      </c>
      <c r="AJ199" s="428">
        <v>0</v>
      </c>
      <c r="AK199" s="428">
        <v>0</v>
      </c>
      <c r="AL199" s="428">
        <v>0</v>
      </c>
      <c r="AM199" s="428">
        <v>0</v>
      </c>
      <c r="AN199" s="428">
        <v>0</v>
      </c>
    </row>
    <row r="200" spans="1:40" ht="19" customHeight="1" x14ac:dyDescent="0.35">
      <c r="A200" s="429">
        <v>16</v>
      </c>
      <c r="B200" s="427">
        <f>PETUNJUK!B24</f>
        <v>0</v>
      </c>
      <c r="C200" s="428">
        <v>0</v>
      </c>
      <c r="D200" s="428">
        <v>0</v>
      </c>
      <c r="E200" s="428">
        <v>0</v>
      </c>
      <c r="F200" s="428">
        <v>0</v>
      </c>
      <c r="G200" s="428">
        <v>0</v>
      </c>
      <c r="H200" s="428">
        <v>0</v>
      </c>
      <c r="I200" s="428">
        <v>0</v>
      </c>
      <c r="J200" s="428">
        <v>0</v>
      </c>
      <c r="K200" s="428">
        <v>0</v>
      </c>
      <c r="L200" s="428">
        <v>0</v>
      </c>
      <c r="M200" s="428">
        <v>0</v>
      </c>
      <c r="N200" s="428">
        <v>0</v>
      </c>
      <c r="O200" s="428">
        <v>0</v>
      </c>
      <c r="P200" s="428">
        <v>0</v>
      </c>
      <c r="Q200" s="428">
        <v>0</v>
      </c>
      <c r="R200" s="428">
        <v>0</v>
      </c>
      <c r="S200" s="428">
        <v>0</v>
      </c>
      <c r="T200" s="428">
        <v>0</v>
      </c>
      <c r="U200" s="428">
        <v>0</v>
      </c>
      <c r="V200" s="428">
        <v>0</v>
      </c>
      <c r="W200" s="428">
        <v>0</v>
      </c>
      <c r="X200" s="428">
        <v>0</v>
      </c>
      <c r="Y200" s="428">
        <v>0</v>
      </c>
      <c r="Z200" s="428">
        <v>0</v>
      </c>
      <c r="AA200" s="428">
        <v>0</v>
      </c>
      <c r="AB200" s="428">
        <v>0</v>
      </c>
      <c r="AC200" s="428">
        <v>0</v>
      </c>
      <c r="AD200" s="428">
        <v>0</v>
      </c>
      <c r="AE200" s="428">
        <v>0</v>
      </c>
      <c r="AF200" s="428">
        <v>0</v>
      </c>
      <c r="AG200" s="428">
        <v>0</v>
      </c>
      <c r="AH200" s="428">
        <v>0</v>
      </c>
      <c r="AI200" s="428">
        <v>0</v>
      </c>
      <c r="AJ200" s="428">
        <v>0</v>
      </c>
      <c r="AK200" s="428">
        <v>0</v>
      </c>
      <c r="AL200" s="428">
        <v>0</v>
      </c>
      <c r="AM200" s="428">
        <v>0</v>
      </c>
      <c r="AN200" s="428">
        <v>0</v>
      </c>
    </row>
    <row r="201" spans="1:40" ht="19" customHeight="1" x14ac:dyDescent="0.35">
      <c r="A201" s="429">
        <v>17</v>
      </c>
      <c r="B201" s="427">
        <f>PETUNJUK!B25</f>
        <v>0</v>
      </c>
      <c r="C201" s="428">
        <v>0</v>
      </c>
      <c r="D201" s="428">
        <v>0</v>
      </c>
      <c r="E201" s="428">
        <v>0</v>
      </c>
      <c r="F201" s="428">
        <v>0</v>
      </c>
      <c r="G201" s="428">
        <v>0</v>
      </c>
      <c r="H201" s="428">
        <v>0</v>
      </c>
      <c r="I201" s="428">
        <v>0</v>
      </c>
      <c r="J201" s="428">
        <v>0</v>
      </c>
      <c r="K201" s="428">
        <v>0</v>
      </c>
      <c r="L201" s="428">
        <v>0</v>
      </c>
      <c r="M201" s="428">
        <v>0</v>
      </c>
      <c r="N201" s="428">
        <v>0</v>
      </c>
      <c r="O201" s="428">
        <v>0</v>
      </c>
      <c r="P201" s="428">
        <v>0</v>
      </c>
      <c r="Q201" s="428">
        <v>0</v>
      </c>
      <c r="R201" s="428">
        <v>0</v>
      </c>
      <c r="S201" s="428">
        <v>0</v>
      </c>
      <c r="T201" s="428">
        <v>0</v>
      </c>
      <c r="U201" s="428">
        <v>0</v>
      </c>
      <c r="V201" s="428">
        <v>0</v>
      </c>
      <c r="W201" s="428">
        <v>0</v>
      </c>
      <c r="X201" s="428">
        <v>0</v>
      </c>
      <c r="Y201" s="428">
        <v>0</v>
      </c>
      <c r="Z201" s="428">
        <v>0</v>
      </c>
      <c r="AA201" s="428">
        <v>0</v>
      </c>
      <c r="AB201" s="428">
        <v>0</v>
      </c>
      <c r="AC201" s="428">
        <v>0</v>
      </c>
      <c r="AD201" s="428">
        <v>0</v>
      </c>
      <c r="AE201" s="428">
        <v>0</v>
      </c>
      <c r="AF201" s="428">
        <v>0</v>
      </c>
      <c r="AG201" s="428">
        <v>0</v>
      </c>
      <c r="AH201" s="428">
        <v>0</v>
      </c>
      <c r="AI201" s="428">
        <v>0</v>
      </c>
      <c r="AJ201" s="428">
        <v>0</v>
      </c>
      <c r="AK201" s="428">
        <v>0</v>
      </c>
      <c r="AL201" s="428">
        <v>0</v>
      </c>
      <c r="AM201" s="428">
        <v>0</v>
      </c>
      <c r="AN201" s="428">
        <v>0</v>
      </c>
    </row>
    <row r="202" spans="1:40" ht="19" customHeight="1" x14ac:dyDescent="0.35">
      <c r="A202" s="429">
        <v>18</v>
      </c>
      <c r="B202" s="427">
        <f>PETUNJUK!B26</f>
        <v>0</v>
      </c>
      <c r="C202" s="428">
        <v>0</v>
      </c>
      <c r="D202" s="428">
        <v>0</v>
      </c>
      <c r="E202" s="428">
        <v>0</v>
      </c>
      <c r="F202" s="428">
        <v>0</v>
      </c>
      <c r="G202" s="428">
        <v>0</v>
      </c>
      <c r="H202" s="428">
        <v>0</v>
      </c>
      <c r="I202" s="428">
        <v>0</v>
      </c>
      <c r="J202" s="428">
        <v>0</v>
      </c>
      <c r="K202" s="428">
        <v>0</v>
      </c>
      <c r="L202" s="428">
        <v>0</v>
      </c>
      <c r="M202" s="428">
        <v>0</v>
      </c>
      <c r="N202" s="428">
        <v>0</v>
      </c>
      <c r="O202" s="428">
        <v>0</v>
      </c>
      <c r="P202" s="428">
        <v>0</v>
      </c>
      <c r="Q202" s="428">
        <v>0</v>
      </c>
      <c r="R202" s="428">
        <v>0</v>
      </c>
      <c r="S202" s="428">
        <v>0</v>
      </c>
      <c r="T202" s="428">
        <v>0</v>
      </c>
      <c r="U202" s="428">
        <v>0</v>
      </c>
      <c r="V202" s="428">
        <v>0</v>
      </c>
      <c r="W202" s="428">
        <v>0</v>
      </c>
      <c r="X202" s="428">
        <v>0</v>
      </c>
      <c r="Y202" s="428">
        <v>0</v>
      </c>
      <c r="Z202" s="428">
        <v>0</v>
      </c>
      <c r="AA202" s="428">
        <v>0</v>
      </c>
      <c r="AB202" s="428">
        <v>0</v>
      </c>
      <c r="AC202" s="428">
        <v>0</v>
      </c>
      <c r="AD202" s="428">
        <v>0</v>
      </c>
      <c r="AE202" s="428">
        <v>0</v>
      </c>
      <c r="AF202" s="428">
        <v>0</v>
      </c>
      <c r="AG202" s="428">
        <v>0</v>
      </c>
      <c r="AH202" s="428">
        <v>0</v>
      </c>
      <c r="AI202" s="428">
        <v>0</v>
      </c>
      <c r="AJ202" s="428">
        <v>0</v>
      </c>
      <c r="AK202" s="428">
        <v>0</v>
      </c>
      <c r="AL202" s="428">
        <v>0</v>
      </c>
      <c r="AM202" s="428">
        <v>0</v>
      </c>
      <c r="AN202" s="428">
        <v>0</v>
      </c>
    </row>
    <row r="203" spans="1:40" ht="19" customHeight="1" x14ac:dyDescent="0.35">
      <c r="A203" s="429">
        <v>19</v>
      </c>
      <c r="B203" s="427">
        <f>PETUNJUK!B27</f>
        <v>0</v>
      </c>
      <c r="C203" s="428">
        <v>0</v>
      </c>
      <c r="D203" s="428">
        <v>0</v>
      </c>
      <c r="E203" s="428">
        <v>0</v>
      </c>
      <c r="F203" s="428">
        <v>0</v>
      </c>
      <c r="G203" s="428">
        <v>0</v>
      </c>
      <c r="H203" s="428">
        <v>0</v>
      </c>
      <c r="I203" s="428">
        <v>0</v>
      </c>
      <c r="J203" s="428">
        <v>0</v>
      </c>
      <c r="K203" s="428">
        <v>0</v>
      </c>
      <c r="L203" s="428">
        <v>0</v>
      </c>
      <c r="M203" s="428">
        <v>0</v>
      </c>
      <c r="N203" s="428">
        <v>0</v>
      </c>
      <c r="O203" s="428">
        <v>0</v>
      </c>
      <c r="P203" s="428">
        <v>0</v>
      </c>
      <c r="Q203" s="428">
        <v>0</v>
      </c>
      <c r="R203" s="428">
        <v>0</v>
      </c>
      <c r="S203" s="428">
        <v>0</v>
      </c>
      <c r="T203" s="428">
        <v>0</v>
      </c>
      <c r="U203" s="428">
        <v>0</v>
      </c>
      <c r="V203" s="428">
        <v>0</v>
      </c>
      <c r="W203" s="428">
        <v>0</v>
      </c>
      <c r="X203" s="428">
        <v>0</v>
      </c>
      <c r="Y203" s="428">
        <v>0</v>
      </c>
      <c r="Z203" s="428">
        <v>0</v>
      </c>
      <c r="AA203" s="428">
        <v>0</v>
      </c>
      <c r="AB203" s="428">
        <v>0</v>
      </c>
      <c r="AC203" s="428">
        <v>0</v>
      </c>
      <c r="AD203" s="428">
        <v>0</v>
      </c>
      <c r="AE203" s="428">
        <v>0</v>
      </c>
      <c r="AF203" s="428">
        <v>0</v>
      </c>
      <c r="AG203" s="428">
        <v>0</v>
      </c>
      <c r="AH203" s="428">
        <v>0</v>
      </c>
      <c r="AI203" s="428">
        <v>0</v>
      </c>
      <c r="AJ203" s="428">
        <v>0</v>
      </c>
      <c r="AK203" s="428">
        <v>0</v>
      </c>
      <c r="AL203" s="428">
        <v>0</v>
      </c>
      <c r="AM203" s="428">
        <v>0</v>
      </c>
      <c r="AN203" s="428">
        <v>0</v>
      </c>
    </row>
    <row r="204" spans="1:40" ht="19" customHeight="1" x14ac:dyDescent="0.35">
      <c r="A204" s="429">
        <v>20</v>
      </c>
      <c r="B204" s="427">
        <f>PETUNJUK!B28</f>
        <v>0</v>
      </c>
      <c r="C204" s="428">
        <v>0</v>
      </c>
      <c r="D204" s="428">
        <v>0</v>
      </c>
      <c r="E204" s="428">
        <v>0</v>
      </c>
      <c r="F204" s="428">
        <v>0</v>
      </c>
      <c r="G204" s="428">
        <v>0</v>
      </c>
      <c r="H204" s="428">
        <v>0</v>
      </c>
      <c r="I204" s="428">
        <v>0</v>
      </c>
      <c r="J204" s="428">
        <v>0</v>
      </c>
      <c r="K204" s="428">
        <v>0</v>
      </c>
      <c r="L204" s="428">
        <v>0</v>
      </c>
      <c r="M204" s="428">
        <v>0</v>
      </c>
      <c r="N204" s="428">
        <v>0</v>
      </c>
      <c r="O204" s="428">
        <v>0</v>
      </c>
      <c r="P204" s="428">
        <v>0</v>
      </c>
      <c r="Q204" s="428">
        <v>0</v>
      </c>
      <c r="R204" s="428">
        <v>0</v>
      </c>
      <c r="S204" s="428">
        <v>0</v>
      </c>
      <c r="T204" s="428">
        <v>0</v>
      </c>
      <c r="U204" s="428">
        <v>0</v>
      </c>
      <c r="V204" s="428">
        <v>0</v>
      </c>
      <c r="W204" s="428">
        <v>0</v>
      </c>
      <c r="X204" s="428">
        <v>0</v>
      </c>
      <c r="Y204" s="428">
        <v>0</v>
      </c>
      <c r="Z204" s="428">
        <v>0</v>
      </c>
      <c r="AA204" s="428">
        <v>0</v>
      </c>
      <c r="AB204" s="428">
        <v>0</v>
      </c>
      <c r="AC204" s="428">
        <v>0</v>
      </c>
      <c r="AD204" s="428">
        <v>0</v>
      </c>
      <c r="AE204" s="428">
        <v>0</v>
      </c>
      <c r="AF204" s="428">
        <v>0</v>
      </c>
      <c r="AG204" s="428">
        <v>0</v>
      </c>
      <c r="AH204" s="428">
        <v>0</v>
      </c>
      <c r="AI204" s="428">
        <v>0</v>
      </c>
      <c r="AJ204" s="428">
        <v>0</v>
      </c>
      <c r="AK204" s="428">
        <v>0</v>
      </c>
      <c r="AL204" s="428">
        <v>0</v>
      </c>
      <c r="AM204" s="428">
        <v>0</v>
      </c>
      <c r="AN204" s="428">
        <v>0</v>
      </c>
    </row>
    <row r="205" spans="1:40" ht="19" customHeight="1" x14ac:dyDescent="0.35">
      <c r="A205" s="429">
        <v>21</v>
      </c>
      <c r="B205" s="427">
        <f>PETUNJUK!B29</f>
        <v>0</v>
      </c>
      <c r="C205" s="428">
        <v>0</v>
      </c>
      <c r="D205" s="428">
        <v>0</v>
      </c>
      <c r="E205" s="428">
        <v>0</v>
      </c>
      <c r="F205" s="428">
        <v>0</v>
      </c>
      <c r="G205" s="428">
        <v>0</v>
      </c>
      <c r="H205" s="428">
        <v>0</v>
      </c>
      <c r="I205" s="428">
        <v>0</v>
      </c>
      <c r="J205" s="428">
        <v>0</v>
      </c>
      <c r="K205" s="428">
        <v>0</v>
      </c>
      <c r="L205" s="428">
        <v>0</v>
      </c>
      <c r="M205" s="428">
        <v>0</v>
      </c>
      <c r="N205" s="428">
        <v>0</v>
      </c>
      <c r="O205" s="428">
        <v>0</v>
      </c>
      <c r="P205" s="428">
        <v>0</v>
      </c>
      <c r="Q205" s="428">
        <v>0</v>
      </c>
      <c r="R205" s="428">
        <v>0</v>
      </c>
      <c r="S205" s="428">
        <v>0</v>
      </c>
      <c r="T205" s="428">
        <v>0</v>
      </c>
      <c r="U205" s="428">
        <v>0</v>
      </c>
      <c r="V205" s="428">
        <v>0</v>
      </c>
      <c r="W205" s="428">
        <v>0</v>
      </c>
      <c r="X205" s="428">
        <v>0</v>
      </c>
      <c r="Y205" s="428">
        <v>0</v>
      </c>
      <c r="Z205" s="428">
        <v>0</v>
      </c>
      <c r="AA205" s="428">
        <v>0</v>
      </c>
      <c r="AB205" s="428">
        <v>0</v>
      </c>
      <c r="AC205" s="428">
        <v>0</v>
      </c>
      <c r="AD205" s="428">
        <v>0</v>
      </c>
      <c r="AE205" s="428">
        <v>0</v>
      </c>
      <c r="AF205" s="428">
        <v>0</v>
      </c>
      <c r="AG205" s="428">
        <v>0</v>
      </c>
      <c r="AH205" s="428">
        <v>0</v>
      </c>
      <c r="AI205" s="428">
        <v>0</v>
      </c>
      <c r="AJ205" s="428">
        <v>0</v>
      </c>
      <c r="AK205" s="428">
        <v>0</v>
      </c>
      <c r="AL205" s="428">
        <v>0</v>
      </c>
      <c r="AM205" s="428">
        <v>0</v>
      </c>
      <c r="AN205" s="428">
        <v>0</v>
      </c>
    </row>
    <row r="206" spans="1:40" ht="19" customHeight="1" x14ac:dyDescent="0.35">
      <c r="A206" s="429">
        <v>22</v>
      </c>
      <c r="B206" s="427">
        <f>PETUNJUK!B30</f>
        <v>0</v>
      </c>
      <c r="C206" s="428">
        <v>0</v>
      </c>
      <c r="D206" s="428">
        <v>0</v>
      </c>
      <c r="E206" s="428">
        <v>0</v>
      </c>
      <c r="F206" s="428">
        <v>0</v>
      </c>
      <c r="G206" s="428">
        <v>0</v>
      </c>
      <c r="H206" s="428">
        <v>0</v>
      </c>
      <c r="I206" s="428">
        <v>0</v>
      </c>
      <c r="J206" s="428">
        <v>0</v>
      </c>
      <c r="K206" s="428">
        <v>0</v>
      </c>
      <c r="L206" s="428">
        <v>0</v>
      </c>
      <c r="M206" s="428">
        <v>0</v>
      </c>
      <c r="N206" s="428">
        <v>0</v>
      </c>
      <c r="O206" s="428">
        <v>0</v>
      </c>
      <c r="P206" s="428">
        <v>0</v>
      </c>
      <c r="Q206" s="428">
        <v>0</v>
      </c>
      <c r="R206" s="428">
        <v>0</v>
      </c>
      <c r="S206" s="428">
        <v>0</v>
      </c>
      <c r="T206" s="428">
        <v>0</v>
      </c>
      <c r="U206" s="428">
        <v>0</v>
      </c>
      <c r="V206" s="428">
        <v>0</v>
      </c>
      <c r="W206" s="428">
        <v>0</v>
      </c>
      <c r="X206" s="428">
        <v>0</v>
      </c>
      <c r="Y206" s="428">
        <v>0</v>
      </c>
      <c r="Z206" s="428">
        <v>0</v>
      </c>
      <c r="AA206" s="428">
        <v>0</v>
      </c>
      <c r="AB206" s="428">
        <v>0</v>
      </c>
      <c r="AC206" s="428">
        <v>0</v>
      </c>
      <c r="AD206" s="428">
        <v>0</v>
      </c>
      <c r="AE206" s="428">
        <v>0</v>
      </c>
      <c r="AF206" s="428">
        <v>0</v>
      </c>
      <c r="AG206" s="428">
        <v>0</v>
      </c>
      <c r="AH206" s="428">
        <v>0</v>
      </c>
      <c r="AI206" s="428">
        <v>0</v>
      </c>
      <c r="AJ206" s="428">
        <v>0</v>
      </c>
      <c r="AK206" s="428">
        <v>0</v>
      </c>
      <c r="AL206" s="428">
        <v>0</v>
      </c>
      <c r="AM206" s="428">
        <v>0</v>
      </c>
      <c r="AN206" s="428">
        <v>0</v>
      </c>
    </row>
    <row r="207" spans="1:40" s="421" customFormat="1" ht="19" customHeight="1" x14ac:dyDescent="0.35">
      <c r="A207" s="468"/>
      <c r="B207" s="419" t="s">
        <v>17</v>
      </c>
      <c r="C207" s="422">
        <f>SUM(C185:C206)</f>
        <v>0</v>
      </c>
      <c r="D207" s="468">
        <f t="shared" ref="D207:AN207" si="34">SUM(D185:D206)</f>
        <v>0</v>
      </c>
      <c r="E207" s="468">
        <f t="shared" si="34"/>
        <v>0</v>
      </c>
      <c r="F207" s="468">
        <f>SUM(F185:F206)</f>
        <v>0</v>
      </c>
      <c r="G207" s="468">
        <f t="shared" ref="G207:H207" si="35">SUM(G185:G206)</f>
        <v>0</v>
      </c>
      <c r="H207" s="468">
        <f t="shared" si="35"/>
        <v>0</v>
      </c>
      <c r="I207" s="468">
        <f t="shared" si="34"/>
        <v>0</v>
      </c>
      <c r="J207" s="468">
        <f t="shared" si="34"/>
        <v>0</v>
      </c>
      <c r="K207" s="468">
        <f t="shared" si="34"/>
        <v>0</v>
      </c>
      <c r="L207" s="468">
        <f t="shared" si="34"/>
        <v>0</v>
      </c>
      <c r="M207" s="468">
        <f t="shared" si="34"/>
        <v>0</v>
      </c>
      <c r="N207" s="468">
        <f t="shared" si="34"/>
        <v>0</v>
      </c>
      <c r="O207" s="468">
        <f t="shared" si="34"/>
        <v>0</v>
      </c>
      <c r="P207" s="468">
        <f t="shared" si="34"/>
        <v>0</v>
      </c>
      <c r="Q207" s="468">
        <f t="shared" si="34"/>
        <v>0</v>
      </c>
      <c r="R207" s="468">
        <f t="shared" si="34"/>
        <v>0</v>
      </c>
      <c r="S207" s="468">
        <f t="shared" si="34"/>
        <v>0</v>
      </c>
      <c r="T207" s="468">
        <f t="shared" si="34"/>
        <v>0</v>
      </c>
      <c r="U207" s="468">
        <f t="shared" si="34"/>
        <v>0</v>
      </c>
      <c r="V207" s="468">
        <f t="shared" si="34"/>
        <v>0</v>
      </c>
      <c r="W207" s="468">
        <f t="shared" si="34"/>
        <v>0</v>
      </c>
      <c r="X207" s="468">
        <f t="shared" si="34"/>
        <v>0</v>
      </c>
      <c r="Y207" s="468">
        <f t="shared" si="34"/>
        <v>0</v>
      </c>
      <c r="Z207" s="468">
        <f t="shared" si="34"/>
        <v>0</v>
      </c>
      <c r="AA207" s="468">
        <f t="shared" si="34"/>
        <v>0</v>
      </c>
      <c r="AB207" s="468">
        <f t="shared" si="34"/>
        <v>0</v>
      </c>
      <c r="AC207" s="468">
        <f t="shared" si="34"/>
        <v>0</v>
      </c>
      <c r="AD207" s="468">
        <f t="shared" si="34"/>
        <v>0</v>
      </c>
      <c r="AE207" s="468">
        <f t="shared" si="34"/>
        <v>0</v>
      </c>
      <c r="AF207" s="468">
        <f t="shared" si="34"/>
        <v>0</v>
      </c>
      <c r="AG207" s="468">
        <f t="shared" si="34"/>
        <v>0</v>
      </c>
      <c r="AH207" s="468">
        <f t="shared" si="34"/>
        <v>0</v>
      </c>
      <c r="AI207" s="468">
        <f t="shared" si="34"/>
        <v>0</v>
      </c>
      <c r="AJ207" s="677">
        <f t="shared" si="34"/>
        <v>0</v>
      </c>
      <c r="AK207" s="677">
        <f t="shared" si="34"/>
        <v>0</v>
      </c>
      <c r="AL207" s="677">
        <f t="shared" si="34"/>
        <v>0</v>
      </c>
      <c r="AM207" s="677">
        <f t="shared" si="34"/>
        <v>0</v>
      </c>
      <c r="AN207" s="677">
        <f t="shared" si="34"/>
        <v>0</v>
      </c>
    </row>
    <row r="208" spans="1:40" ht="19" customHeight="1" x14ac:dyDescent="0.35">
      <c r="A208" s="30"/>
      <c r="B208" s="30"/>
      <c r="C208" s="541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</row>
    <row r="209" spans="1:43" ht="19" customHeight="1" x14ac:dyDescent="0.35">
      <c r="A209" s="30"/>
      <c r="B209" s="30"/>
      <c r="C209" s="541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</row>
    <row r="210" spans="1:43" ht="19" customHeight="1" x14ac:dyDescent="0.35">
      <c r="A210" s="30"/>
      <c r="B210" s="30"/>
      <c r="C210" s="541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</row>
    <row r="211" spans="1:43" ht="19" customHeight="1" x14ac:dyDescent="0.35">
      <c r="A211" s="30"/>
      <c r="B211" s="30"/>
      <c r="C211" s="541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</row>
    <row r="212" spans="1:43" s="418" customFormat="1" ht="19" customHeight="1" x14ac:dyDescent="0.35">
      <c r="A212" s="535" t="s">
        <v>147</v>
      </c>
      <c r="B212" s="535"/>
      <c r="C212" s="536" t="s">
        <v>243</v>
      </c>
      <c r="D212" s="535" t="str">
        <f>D36</f>
        <v>PECANGAAN</v>
      </c>
      <c r="E212" s="535"/>
      <c r="F212" s="535"/>
      <c r="G212" s="535"/>
      <c r="H212" s="535"/>
      <c r="I212" s="537"/>
      <c r="J212" s="537"/>
      <c r="K212" s="537"/>
      <c r="L212" s="537"/>
      <c r="M212" s="537"/>
      <c r="N212" s="537"/>
      <c r="O212" s="537"/>
      <c r="P212" s="537"/>
      <c r="Q212" s="537"/>
      <c r="R212" s="537"/>
      <c r="S212" s="537"/>
      <c r="T212" s="537"/>
      <c r="U212" s="537"/>
      <c r="V212" s="537"/>
      <c r="W212" s="537"/>
      <c r="X212" s="537"/>
      <c r="Y212" s="537"/>
      <c r="Z212" s="537"/>
      <c r="AA212" s="537"/>
      <c r="AB212" s="537"/>
      <c r="AC212" s="537"/>
      <c r="AD212" s="537"/>
      <c r="AE212" s="537"/>
      <c r="AF212" s="537"/>
      <c r="AG212" s="537"/>
      <c r="AH212" s="537"/>
      <c r="AI212" s="537"/>
      <c r="AJ212" s="537"/>
      <c r="AK212" s="537"/>
      <c r="AL212" s="537"/>
      <c r="AM212" s="537"/>
    </row>
    <row r="213" spans="1:43" s="418" customFormat="1" ht="19" customHeight="1" x14ac:dyDescent="0.35">
      <c r="A213" s="535" t="s">
        <v>242</v>
      </c>
      <c r="B213" s="535"/>
      <c r="C213" s="536" t="s">
        <v>243</v>
      </c>
      <c r="D213" s="538" t="s">
        <v>413</v>
      </c>
      <c r="E213" s="535"/>
      <c r="F213" s="535"/>
      <c r="G213" s="538"/>
      <c r="H213" s="535"/>
      <c r="I213" s="537"/>
      <c r="J213" s="537"/>
      <c r="K213" s="537"/>
      <c r="L213" s="537"/>
      <c r="M213" s="537"/>
      <c r="N213" s="537"/>
      <c r="O213" s="537"/>
      <c r="P213" s="537"/>
      <c r="Q213" s="537"/>
      <c r="R213" s="537"/>
      <c r="S213" s="537"/>
      <c r="T213" s="537"/>
      <c r="U213" s="537"/>
      <c r="V213" s="537"/>
      <c r="W213" s="537"/>
      <c r="X213" s="537"/>
      <c r="Y213" s="537"/>
      <c r="Z213" s="537"/>
      <c r="AA213" s="537"/>
      <c r="AB213" s="537"/>
      <c r="AC213" s="537"/>
      <c r="AD213" s="537"/>
      <c r="AE213" s="537"/>
      <c r="AF213" s="537"/>
      <c r="AG213" s="537"/>
      <c r="AH213" s="537"/>
      <c r="AI213" s="537"/>
      <c r="AJ213" s="537"/>
      <c r="AK213" s="537"/>
      <c r="AL213" s="537"/>
      <c r="AM213" s="537"/>
    </row>
    <row r="214" spans="1:43" ht="19" customHeight="1" x14ac:dyDescent="0.35">
      <c r="A214" s="539"/>
      <c r="B214" s="539"/>
      <c r="C214" s="540"/>
      <c r="D214" s="539"/>
      <c r="E214" s="539"/>
      <c r="F214" s="539"/>
      <c r="G214" s="539"/>
      <c r="H214" s="539"/>
      <c r="I214" s="416"/>
      <c r="J214" s="416"/>
      <c r="K214" s="416"/>
      <c r="L214" s="416"/>
      <c r="M214" s="416"/>
      <c r="N214" s="416"/>
      <c r="O214" s="416"/>
      <c r="P214" s="416"/>
      <c r="Q214" s="416"/>
      <c r="R214" s="416"/>
      <c r="S214" s="416"/>
      <c r="T214" s="416"/>
      <c r="U214" s="416"/>
      <c r="V214" s="416"/>
      <c r="W214" s="416"/>
      <c r="X214" s="416"/>
      <c r="Y214" s="416"/>
      <c r="Z214" s="416"/>
      <c r="AA214" s="416"/>
      <c r="AB214" s="416"/>
      <c r="AC214" s="416"/>
      <c r="AD214" s="416"/>
      <c r="AE214" s="416"/>
      <c r="AF214" s="416"/>
      <c r="AG214" s="416"/>
      <c r="AH214" s="416"/>
      <c r="AI214" s="416"/>
      <c r="AJ214" s="416"/>
      <c r="AK214" s="416"/>
      <c r="AL214" s="416"/>
      <c r="AM214" s="416"/>
    </row>
    <row r="215" spans="1:43" ht="19" customHeight="1" x14ac:dyDescent="0.35">
      <c r="A215" s="416"/>
      <c r="B215" s="416"/>
      <c r="C215" s="417"/>
      <c r="D215" s="416"/>
      <c r="E215" s="416"/>
      <c r="F215" s="416"/>
      <c r="G215" s="416"/>
      <c r="H215" s="416"/>
      <c r="I215" s="416"/>
      <c r="J215" s="416"/>
      <c r="K215" s="416"/>
      <c r="L215" s="416"/>
      <c r="M215" s="416"/>
      <c r="N215" s="416"/>
      <c r="O215" s="416"/>
      <c r="P215" s="416"/>
      <c r="Q215" s="416"/>
      <c r="R215" s="416"/>
      <c r="S215" s="416"/>
      <c r="T215" s="416"/>
      <c r="U215" s="416"/>
      <c r="V215" s="416"/>
      <c r="W215" s="416"/>
      <c r="X215" s="416"/>
      <c r="Y215" s="416"/>
      <c r="Z215" s="416"/>
      <c r="AA215" s="416"/>
      <c r="AB215" s="416"/>
      <c r="AC215" s="416"/>
      <c r="AD215" s="416"/>
      <c r="AE215" s="416"/>
      <c r="AF215" s="416"/>
      <c r="AG215" s="416"/>
      <c r="AH215" s="416"/>
      <c r="AI215" s="416"/>
      <c r="AJ215" s="416"/>
      <c r="AK215" s="416"/>
      <c r="AL215" s="416"/>
      <c r="AM215" s="416"/>
    </row>
    <row r="216" spans="1:43" s="421" customFormat="1" ht="19" customHeight="1" x14ac:dyDescent="0.35">
      <c r="A216" s="967" t="s">
        <v>244</v>
      </c>
      <c r="B216" s="967" t="s">
        <v>151</v>
      </c>
      <c r="C216" s="960" t="s">
        <v>311</v>
      </c>
      <c r="D216" s="960"/>
      <c r="E216" s="960"/>
      <c r="F216" s="960" t="s">
        <v>312</v>
      </c>
      <c r="G216" s="960"/>
      <c r="H216" s="960"/>
      <c r="I216" s="960" t="s">
        <v>33</v>
      </c>
      <c r="J216" s="960"/>
      <c r="K216" s="970" t="s">
        <v>245</v>
      </c>
      <c r="L216" s="970"/>
      <c r="M216" s="970" t="s">
        <v>246</v>
      </c>
      <c r="N216" s="970"/>
      <c r="O216" s="960" t="s">
        <v>247</v>
      </c>
      <c r="P216" s="960"/>
      <c r="Q216" s="960"/>
      <c r="R216" s="960"/>
      <c r="S216" s="960"/>
      <c r="T216" s="960"/>
      <c r="U216" s="960"/>
      <c r="V216" s="960"/>
      <c r="W216" s="960"/>
      <c r="X216" s="971" t="s">
        <v>247</v>
      </c>
      <c r="Y216" s="960"/>
      <c r="Z216" s="960"/>
      <c r="AA216" s="960"/>
      <c r="AB216" s="960"/>
      <c r="AC216" s="960"/>
      <c r="AD216" s="960"/>
      <c r="AE216" s="960"/>
      <c r="AF216" s="960"/>
      <c r="AG216" s="960"/>
      <c r="AH216" s="960"/>
      <c r="AI216" s="960"/>
      <c r="AJ216" s="975" t="s">
        <v>248</v>
      </c>
      <c r="AK216" s="975"/>
      <c r="AL216" s="975"/>
      <c r="AM216" s="975"/>
      <c r="AN216" s="975"/>
    </row>
    <row r="217" spans="1:43" s="421" customFormat="1" ht="19" customHeight="1" x14ac:dyDescent="0.35">
      <c r="A217" s="968"/>
      <c r="B217" s="968"/>
      <c r="C217" s="961" t="s">
        <v>249</v>
      </c>
      <c r="D217" s="972" t="s">
        <v>250</v>
      </c>
      <c r="E217" s="961" t="s">
        <v>251</v>
      </c>
      <c r="F217" s="961" t="s">
        <v>249</v>
      </c>
      <c r="G217" s="961" t="s">
        <v>250</v>
      </c>
      <c r="H217" s="961" t="s">
        <v>251</v>
      </c>
      <c r="I217" s="961" t="s">
        <v>252</v>
      </c>
      <c r="J217" s="961" t="s">
        <v>253</v>
      </c>
      <c r="K217" s="961" t="s">
        <v>254</v>
      </c>
      <c r="L217" s="961" t="s">
        <v>255</v>
      </c>
      <c r="M217" s="961" t="s">
        <v>254</v>
      </c>
      <c r="N217" s="961" t="s">
        <v>256</v>
      </c>
      <c r="O217" s="965" t="s">
        <v>257</v>
      </c>
      <c r="P217" s="965"/>
      <c r="Q217" s="965"/>
      <c r="R217" s="965"/>
      <c r="S217" s="965"/>
      <c r="T217" s="965" t="s">
        <v>258</v>
      </c>
      <c r="U217" s="965"/>
      <c r="V217" s="965"/>
      <c r="W217" s="965"/>
      <c r="X217" s="966" t="s">
        <v>259</v>
      </c>
      <c r="Y217" s="965"/>
      <c r="Z217" s="965"/>
      <c r="AA217" s="965" t="s">
        <v>260</v>
      </c>
      <c r="AB217" s="965"/>
      <c r="AC217" s="965"/>
      <c r="AD217" s="965" t="s">
        <v>261</v>
      </c>
      <c r="AE217" s="965"/>
      <c r="AF217" s="965"/>
      <c r="AG217" s="965" t="s">
        <v>262</v>
      </c>
      <c r="AH217" s="965"/>
      <c r="AI217" s="965"/>
      <c r="AJ217" s="964" t="s">
        <v>421</v>
      </c>
      <c r="AK217" s="964" t="s">
        <v>263</v>
      </c>
      <c r="AL217" s="964" t="s">
        <v>264</v>
      </c>
      <c r="AM217" s="964" t="s">
        <v>265</v>
      </c>
      <c r="AN217" s="964" t="s">
        <v>424</v>
      </c>
      <c r="AO217" s="423"/>
      <c r="AP217" s="423"/>
      <c r="AQ217" s="423"/>
    </row>
    <row r="218" spans="1:43" s="421" customFormat="1" ht="19" customHeight="1" x14ac:dyDescent="0.35">
      <c r="A218" s="968"/>
      <c r="B218" s="968"/>
      <c r="C218" s="962"/>
      <c r="D218" s="973"/>
      <c r="E218" s="962"/>
      <c r="F218" s="962"/>
      <c r="G218" s="962"/>
      <c r="H218" s="962"/>
      <c r="I218" s="962"/>
      <c r="J218" s="962"/>
      <c r="K218" s="962"/>
      <c r="L218" s="962"/>
      <c r="M218" s="962"/>
      <c r="N218" s="962"/>
      <c r="O218" s="965" t="s">
        <v>266</v>
      </c>
      <c r="P218" s="965" t="s">
        <v>267</v>
      </c>
      <c r="Q218" s="965" t="s">
        <v>268</v>
      </c>
      <c r="R218" s="965" t="s">
        <v>269</v>
      </c>
      <c r="S218" s="965"/>
      <c r="T218" s="965" t="s">
        <v>270</v>
      </c>
      <c r="U218" s="965" t="s">
        <v>271</v>
      </c>
      <c r="V218" s="965" t="s">
        <v>272</v>
      </c>
      <c r="W218" s="965" t="s">
        <v>273</v>
      </c>
      <c r="X218" s="966" t="s">
        <v>274</v>
      </c>
      <c r="Y218" s="965" t="s">
        <v>275</v>
      </c>
      <c r="Z218" s="965" t="s">
        <v>276</v>
      </c>
      <c r="AA218" s="965" t="s">
        <v>277</v>
      </c>
      <c r="AB218" s="965" t="s">
        <v>278</v>
      </c>
      <c r="AC218" s="965" t="s">
        <v>279</v>
      </c>
      <c r="AD218" s="965" t="s">
        <v>280</v>
      </c>
      <c r="AE218" s="965" t="s">
        <v>281</v>
      </c>
      <c r="AF218" s="965" t="s">
        <v>282</v>
      </c>
      <c r="AG218" s="965" t="s">
        <v>283</v>
      </c>
      <c r="AH218" s="965" t="s">
        <v>284</v>
      </c>
      <c r="AI218" s="965" t="s">
        <v>279</v>
      </c>
      <c r="AJ218" s="964"/>
      <c r="AK218" s="964"/>
      <c r="AL218" s="964"/>
      <c r="AM218" s="964"/>
      <c r="AN218" s="964"/>
      <c r="AO218" s="423"/>
      <c r="AP218" s="423"/>
      <c r="AQ218" s="423"/>
    </row>
    <row r="219" spans="1:43" s="421" customFormat="1" ht="19" customHeight="1" x14ac:dyDescent="0.35">
      <c r="A219" s="969"/>
      <c r="B219" s="969"/>
      <c r="C219" s="963"/>
      <c r="D219" s="974"/>
      <c r="E219" s="963"/>
      <c r="F219" s="963"/>
      <c r="G219" s="963"/>
      <c r="H219" s="963"/>
      <c r="I219" s="963"/>
      <c r="J219" s="963"/>
      <c r="K219" s="963"/>
      <c r="L219" s="963"/>
      <c r="M219" s="963"/>
      <c r="N219" s="963"/>
      <c r="O219" s="965"/>
      <c r="P219" s="965"/>
      <c r="Q219" s="965"/>
      <c r="R219" s="422" t="s">
        <v>285</v>
      </c>
      <c r="S219" s="422" t="s">
        <v>286</v>
      </c>
      <c r="T219" s="965"/>
      <c r="U219" s="965"/>
      <c r="V219" s="965"/>
      <c r="W219" s="965"/>
      <c r="X219" s="966"/>
      <c r="Y219" s="965"/>
      <c r="Z219" s="965"/>
      <c r="AA219" s="965"/>
      <c r="AB219" s="965"/>
      <c r="AC219" s="965"/>
      <c r="AD219" s="965"/>
      <c r="AE219" s="965"/>
      <c r="AF219" s="965"/>
      <c r="AG219" s="965"/>
      <c r="AH219" s="965"/>
      <c r="AI219" s="965"/>
      <c r="AJ219" s="964"/>
      <c r="AK219" s="964"/>
      <c r="AL219" s="964"/>
      <c r="AM219" s="964"/>
      <c r="AN219" s="964"/>
      <c r="AO219" s="423"/>
      <c r="AP219" s="423"/>
      <c r="AQ219" s="423"/>
    </row>
    <row r="220" spans="1:43" s="421" customFormat="1" ht="19" customHeight="1" thickBot="1" x14ac:dyDescent="0.4">
      <c r="A220" s="424">
        <v>1</v>
      </c>
      <c r="B220" s="424">
        <v>2</v>
      </c>
      <c r="C220" s="425">
        <v>3</v>
      </c>
      <c r="D220" s="424">
        <v>4</v>
      </c>
      <c r="E220" s="424">
        <v>5</v>
      </c>
      <c r="F220" s="424">
        <v>6</v>
      </c>
      <c r="G220" s="424">
        <v>7</v>
      </c>
      <c r="H220" s="424">
        <v>8</v>
      </c>
      <c r="I220" s="424">
        <v>9</v>
      </c>
      <c r="J220" s="424">
        <v>10</v>
      </c>
      <c r="K220" s="424">
        <v>11</v>
      </c>
      <c r="L220" s="424">
        <v>12</v>
      </c>
      <c r="M220" s="424">
        <v>13</v>
      </c>
      <c r="N220" s="424">
        <v>14</v>
      </c>
      <c r="O220" s="424">
        <v>15</v>
      </c>
      <c r="P220" s="424">
        <v>16</v>
      </c>
      <c r="Q220" s="424">
        <v>17</v>
      </c>
      <c r="R220" s="424">
        <v>18</v>
      </c>
      <c r="S220" s="424">
        <v>19</v>
      </c>
      <c r="T220" s="424">
        <v>20</v>
      </c>
      <c r="U220" s="424">
        <v>21</v>
      </c>
      <c r="V220" s="424">
        <v>22</v>
      </c>
      <c r="W220" s="424">
        <v>23</v>
      </c>
      <c r="X220" s="424">
        <v>24</v>
      </c>
      <c r="Y220" s="424">
        <v>25</v>
      </c>
      <c r="Z220" s="424">
        <v>26</v>
      </c>
      <c r="AA220" s="424">
        <v>27</v>
      </c>
      <c r="AB220" s="424">
        <v>28</v>
      </c>
      <c r="AC220" s="424">
        <v>29</v>
      </c>
      <c r="AD220" s="424">
        <v>30</v>
      </c>
      <c r="AE220" s="424">
        <v>31</v>
      </c>
      <c r="AF220" s="424">
        <v>32</v>
      </c>
      <c r="AG220" s="424">
        <v>33</v>
      </c>
      <c r="AH220" s="424">
        <v>34</v>
      </c>
      <c r="AI220" s="424">
        <v>35</v>
      </c>
      <c r="AJ220" s="677">
        <v>36</v>
      </c>
      <c r="AK220" s="677">
        <v>37</v>
      </c>
      <c r="AL220" s="677">
        <v>38</v>
      </c>
      <c r="AM220" s="677">
        <v>39</v>
      </c>
      <c r="AN220" s="677">
        <v>39</v>
      </c>
    </row>
    <row r="221" spans="1:43" ht="19" customHeight="1" thickTop="1" x14ac:dyDescent="0.35">
      <c r="A221" s="427">
        <v>1</v>
      </c>
      <c r="B221" s="427" t="str">
        <f>B185</f>
        <v>Pecangaan Kulon</v>
      </c>
      <c r="C221" s="545">
        <f>C11+C45+C80+C115+C150+C185</f>
        <v>30</v>
      </c>
      <c r="D221" s="545">
        <f t="shared" ref="D221:AI228" si="36">D11+D45+D80+D115+D150+D185</f>
        <v>3</v>
      </c>
      <c r="E221" s="545">
        <f t="shared" si="36"/>
        <v>0</v>
      </c>
      <c r="F221" s="545">
        <f t="shared" si="36"/>
        <v>28</v>
      </c>
      <c r="G221" s="545">
        <f t="shared" si="36"/>
        <v>6</v>
      </c>
      <c r="H221" s="545">
        <f t="shared" si="36"/>
        <v>0</v>
      </c>
      <c r="I221" s="545">
        <f t="shared" si="36"/>
        <v>30</v>
      </c>
      <c r="J221" s="545">
        <f t="shared" si="36"/>
        <v>1</v>
      </c>
      <c r="K221" s="545">
        <f t="shared" si="36"/>
        <v>28</v>
      </c>
      <c r="L221" s="545">
        <f t="shared" si="36"/>
        <v>4</v>
      </c>
      <c r="M221" s="545">
        <f t="shared" si="36"/>
        <v>30</v>
      </c>
      <c r="N221" s="545">
        <f t="shared" si="36"/>
        <v>6</v>
      </c>
      <c r="O221" s="545">
        <f t="shared" si="36"/>
        <v>0</v>
      </c>
      <c r="P221" s="545">
        <f t="shared" si="36"/>
        <v>0</v>
      </c>
      <c r="Q221" s="545">
        <f t="shared" si="36"/>
        <v>30</v>
      </c>
      <c r="R221" s="545">
        <f t="shared" si="36"/>
        <v>0</v>
      </c>
      <c r="S221" s="545">
        <f t="shared" si="36"/>
        <v>0</v>
      </c>
      <c r="T221" s="545">
        <f t="shared" si="36"/>
        <v>0</v>
      </c>
      <c r="U221" s="545">
        <f t="shared" si="36"/>
        <v>0</v>
      </c>
      <c r="V221" s="545">
        <f t="shared" si="36"/>
        <v>0</v>
      </c>
      <c r="W221" s="545">
        <f t="shared" si="36"/>
        <v>0</v>
      </c>
      <c r="X221" s="545">
        <f t="shared" si="36"/>
        <v>0</v>
      </c>
      <c r="Y221" s="545">
        <f t="shared" si="36"/>
        <v>0</v>
      </c>
      <c r="Z221" s="545">
        <f t="shared" si="36"/>
        <v>0</v>
      </c>
      <c r="AA221" s="545">
        <f t="shared" si="36"/>
        <v>0</v>
      </c>
      <c r="AB221" s="545">
        <f t="shared" si="36"/>
        <v>0</v>
      </c>
      <c r="AC221" s="545">
        <f t="shared" si="36"/>
        <v>0</v>
      </c>
      <c r="AD221" s="545">
        <f t="shared" si="36"/>
        <v>30</v>
      </c>
      <c r="AE221" s="545">
        <f t="shared" si="36"/>
        <v>0</v>
      </c>
      <c r="AF221" s="545">
        <f t="shared" si="36"/>
        <v>0</v>
      </c>
      <c r="AG221" s="545">
        <f t="shared" si="36"/>
        <v>22</v>
      </c>
      <c r="AH221" s="545">
        <f t="shared" si="36"/>
        <v>10</v>
      </c>
      <c r="AI221" s="545">
        <f t="shared" si="36"/>
        <v>0</v>
      </c>
      <c r="AJ221" s="678"/>
      <c r="AK221" s="678"/>
      <c r="AL221" s="678"/>
      <c r="AM221" s="678"/>
      <c r="AN221" s="678"/>
    </row>
    <row r="222" spans="1:43" ht="19" customHeight="1" x14ac:dyDescent="0.35">
      <c r="A222" s="429">
        <v>2</v>
      </c>
      <c r="B222" s="427" t="str">
        <f t="shared" ref="B222:B242" si="37">B186</f>
        <v>Rengging</v>
      </c>
      <c r="C222" s="545">
        <f t="shared" ref="C222:R242" si="38">C12+C46+C81+C116+C151+C186</f>
        <v>54</v>
      </c>
      <c r="D222" s="545">
        <f t="shared" si="38"/>
        <v>6</v>
      </c>
      <c r="E222" s="545">
        <f t="shared" si="38"/>
        <v>0</v>
      </c>
      <c r="F222" s="545">
        <f t="shared" si="38"/>
        <v>21</v>
      </c>
      <c r="G222" s="545">
        <f t="shared" si="38"/>
        <v>12</v>
      </c>
      <c r="H222" s="545">
        <f t="shared" si="38"/>
        <v>0</v>
      </c>
      <c r="I222" s="545">
        <f t="shared" si="38"/>
        <v>54</v>
      </c>
      <c r="J222" s="545">
        <f t="shared" si="38"/>
        <v>8</v>
      </c>
      <c r="K222" s="545">
        <f t="shared" si="38"/>
        <v>21</v>
      </c>
      <c r="L222" s="545">
        <f t="shared" si="38"/>
        <v>0</v>
      </c>
      <c r="M222" s="545">
        <f t="shared" si="38"/>
        <v>54</v>
      </c>
      <c r="N222" s="545">
        <f t="shared" si="38"/>
        <v>4</v>
      </c>
      <c r="O222" s="545">
        <f t="shared" si="38"/>
        <v>0</v>
      </c>
      <c r="P222" s="545">
        <f t="shared" si="38"/>
        <v>0</v>
      </c>
      <c r="Q222" s="545">
        <f t="shared" si="38"/>
        <v>54</v>
      </c>
      <c r="R222" s="545">
        <f t="shared" si="38"/>
        <v>0</v>
      </c>
      <c r="S222" s="545">
        <f t="shared" si="36"/>
        <v>0</v>
      </c>
      <c r="T222" s="545">
        <f t="shared" si="36"/>
        <v>0</v>
      </c>
      <c r="U222" s="545">
        <f t="shared" si="36"/>
        <v>0</v>
      </c>
      <c r="V222" s="545">
        <f t="shared" si="36"/>
        <v>0</v>
      </c>
      <c r="W222" s="545">
        <f t="shared" si="36"/>
        <v>0</v>
      </c>
      <c r="X222" s="545">
        <f t="shared" si="36"/>
        <v>0</v>
      </c>
      <c r="Y222" s="545">
        <f t="shared" si="36"/>
        <v>0</v>
      </c>
      <c r="Z222" s="545">
        <f t="shared" si="36"/>
        <v>0</v>
      </c>
      <c r="AA222" s="545">
        <f t="shared" si="36"/>
        <v>0</v>
      </c>
      <c r="AB222" s="545">
        <f t="shared" si="36"/>
        <v>0</v>
      </c>
      <c r="AC222" s="545">
        <f t="shared" si="36"/>
        <v>0</v>
      </c>
      <c r="AD222" s="545">
        <f t="shared" si="36"/>
        <v>54</v>
      </c>
      <c r="AE222" s="545">
        <f t="shared" si="36"/>
        <v>0</v>
      </c>
      <c r="AF222" s="545">
        <f t="shared" si="36"/>
        <v>0</v>
      </c>
      <c r="AG222" s="545">
        <f t="shared" si="36"/>
        <v>35</v>
      </c>
      <c r="AH222" s="545">
        <f t="shared" si="36"/>
        <v>20</v>
      </c>
      <c r="AI222" s="545">
        <f t="shared" si="36"/>
        <v>0</v>
      </c>
      <c r="AJ222" s="678"/>
      <c r="AK222" s="678"/>
      <c r="AL222" s="678"/>
      <c r="AM222" s="678"/>
      <c r="AN222" s="678"/>
    </row>
    <row r="223" spans="1:43" ht="19" customHeight="1" x14ac:dyDescent="0.35">
      <c r="A223" s="429">
        <v>3</v>
      </c>
      <c r="B223" s="427" t="str">
        <f t="shared" si="37"/>
        <v>Troso</v>
      </c>
      <c r="C223" s="545">
        <f t="shared" si="38"/>
        <v>78</v>
      </c>
      <c r="D223" s="545">
        <f t="shared" si="36"/>
        <v>3</v>
      </c>
      <c r="E223" s="545">
        <f t="shared" si="36"/>
        <v>0</v>
      </c>
      <c r="F223" s="545">
        <f t="shared" si="36"/>
        <v>64</v>
      </c>
      <c r="G223" s="545">
        <f t="shared" si="36"/>
        <v>13</v>
      </c>
      <c r="H223" s="545">
        <f t="shared" si="36"/>
        <v>1</v>
      </c>
      <c r="I223" s="545">
        <f t="shared" si="36"/>
        <v>78</v>
      </c>
      <c r="J223" s="545">
        <f t="shared" si="36"/>
        <v>11</v>
      </c>
      <c r="K223" s="545">
        <f t="shared" si="36"/>
        <v>64</v>
      </c>
      <c r="L223" s="545">
        <f t="shared" si="36"/>
        <v>5</v>
      </c>
      <c r="M223" s="545">
        <f t="shared" si="36"/>
        <v>78</v>
      </c>
      <c r="N223" s="545">
        <f t="shared" si="36"/>
        <v>11</v>
      </c>
      <c r="O223" s="545">
        <f t="shared" si="36"/>
        <v>0</v>
      </c>
      <c r="P223" s="545">
        <f t="shared" si="36"/>
        <v>0</v>
      </c>
      <c r="Q223" s="545">
        <f t="shared" si="36"/>
        <v>78</v>
      </c>
      <c r="R223" s="545">
        <f t="shared" si="36"/>
        <v>0</v>
      </c>
      <c r="S223" s="545">
        <f t="shared" si="36"/>
        <v>0</v>
      </c>
      <c r="T223" s="545">
        <f t="shared" si="36"/>
        <v>0</v>
      </c>
      <c r="U223" s="545">
        <f t="shared" si="36"/>
        <v>0</v>
      </c>
      <c r="V223" s="545">
        <f t="shared" si="36"/>
        <v>0</v>
      </c>
      <c r="W223" s="545">
        <f t="shared" si="36"/>
        <v>0</v>
      </c>
      <c r="X223" s="545">
        <f t="shared" si="36"/>
        <v>0</v>
      </c>
      <c r="Y223" s="545">
        <f t="shared" si="36"/>
        <v>0</v>
      </c>
      <c r="Z223" s="545">
        <f t="shared" si="36"/>
        <v>0</v>
      </c>
      <c r="AA223" s="545">
        <f t="shared" si="36"/>
        <v>0</v>
      </c>
      <c r="AB223" s="545">
        <f t="shared" si="36"/>
        <v>0</v>
      </c>
      <c r="AC223" s="545">
        <f t="shared" si="36"/>
        <v>0</v>
      </c>
      <c r="AD223" s="545">
        <f t="shared" si="36"/>
        <v>78</v>
      </c>
      <c r="AE223" s="545">
        <f t="shared" si="36"/>
        <v>0</v>
      </c>
      <c r="AF223" s="545">
        <f t="shared" si="36"/>
        <v>0</v>
      </c>
      <c r="AG223" s="545">
        <f t="shared" si="36"/>
        <v>52</v>
      </c>
      <c r="AH223" s="545">
        <f t="shared" si="36"/>
        <v>27</v>
      </c>
      <c r="AI223" s="545">
        <f t="shared" si="36"/>
        <v>0</v>
      </c>
      <c r="AJ223" s="678"/>
      <c r="AK223" s="678"/>
      <c r="AL223" s="678"/>
      <c r="AM223" s="678"/>
      <c r="AN223" s="678"/>
    </row>
    <row r="224" spans="1:43" ht="19" customHeight="1" x14ac:dyDescent="0.35">
      <c r="A224" s="429">
        <v>4</v>
      </c>
      <c r="B224" s="427" t="str">
        <f t="shared" si="37"/>
        <v>Ngeling</v>
      </c>
      <c r="C224" s="545">
        <f t="shared" si="38"/>
        <v>30</v>
      </c>
      <c r="D224" s="545">
        <f t="shared" si="36"/>
        <v>4</v>
      </c>
      <c r="E224" s="545">
        <f t="shared" si="36"/>
        <v>1</v>
      </c>
      <c r="F224" s="545">
        <f t="shared" si="36"/>
        <v>28</v>
      </c>
      <c r="G224" s="545">
        <f t="shared" si="36"/>
        <v>5</v>
      </c>
      <c r="H224" s="545">
        <f t="shared" si="36"/>
        <v>0</v>
      </c>
      <c r="I224" s="545">
        <f t="shared" si="36"/>
        <v>30</v>
      </c>
      <c r="J224" s="545">
        <f t="shared" si="36"/>
        <v>5</v>
      </c>
      <c r="K224" s="545">
        <f t="shared" si="36"/>
        <v>28</v>
      </c>
      <c r="L224" s="545">
        <f t="shared" si="36"/>
        <v>2</v>
      </c>
      <c r="M224" s="545">
        <f t="shared" si="36"/>
        <v>30</v>
      </c>
      <c r="N224" s="545">
        <f t="shared" si="36"/>
        <v>6</v>
      </c>
      <c r="O224" s="545">
        <f t="shared" si="36"/>
        <v>0</v>
      </c>
      <c r="P224" s="545">
        <f t="shared" si="36"/>
        <v>0</v>
      </c>
      <c r="Q224" s="545">
        <f t="shared" si="36"/>
        <v>30</v>
      </c>
      <c r="R224" s="545">
        <f t="shared" si="36"/>
        <v>0</v>
      </c>
      <c r="S224" s="545">
        <f t="shared" si="36"/>
        <v>0</v>
      </c>
      <c r="T224" s="545">
        <f t="shared" si="36"/>
        <v>0</v>
      </c>
      <c r="U224" s="545">
        <f t="shared" si="36"/>
        <v>0</v>
      </c>
      <c r="V224" s="545">
        <f t="shared" si="36"/>
        <v>0</v>
      </c>
      <c r="W224" s="545">
        <f t="shared" si="36"/>
        <v>0</v>
      </c>
      <c r="X224" s="545">
        <f t="shared" si="36"/>
        <v>0</v>
      </c>
      <c r="Y224" s="545">
        <f t="shared" si="36"/>
        <v>0</v>
      </c>
      <c r="Z224" s="545">
        <f t="shared" si="36"/>
        <v>0</v>
      </c>
      <c r="AA224" s="545">
        <f t="shared" si="36"/>
        <v>0</v>
      </c>
      <c r="AB224" s="545">
        <f t="shared" si="36"/>
        <v>0</v>
      </c>
      <c r="AC224" s="545">
        <f t="shared" si="36"/>
        <v>0</v>
      </c>
      <c r="AD224" s="545">
        <f t="shared" si="36"/>
        <v>30</v>
      </c>
      <c r="AE224" s="545">
        <f t="shared" si="36"/>
        <v>0</v>
      </c>
      <c r="AF224" s="545">
        <f t="shared" si="36"/>
        <v>0</v>
      </c>
      <c r="AG224" s="545">
        <f t="shared" si="36"/>
        <v>21</v>
      </c>
      <c r="AH224" s="545">
        <f t="shared" si="36"/>
        <v>9</v>
      </c>
      <c r="AI224" s="545">
        <f t="shared" si="36"/>
        <v>1</v>
      </c>
      <c r="AJ224" s="678"/>
      <c r="AK224" s="678"/>
      <c r="AL224" s="678"/>
      <c r="AM224" s="678"/>
      <c r="AN224" s="678"/>
    </row>
    <row r="225" spans="1:40" ht="19" customHeight="1" x14ac:dyDescent="0.35">
      <c r="A225" s="429">
        <v>5</v>
      </c>
      <c r="B225" s="427" t="str">
        <f t="shared" si="37"/>
        <v>Lebuawu</v>
      </c>
      <c r="C225" s="545">
        <f t="shared" si="38"/>
        <v>33</v>
      </c>
      <c r="D225" s="545">
        <f t="shared" si="36"/>
        <v>2</v>
      </c>
      <c r="E225" s="545">
        <f t="shared" si="36"/>
        <v>0</v>
      </c>
      <c r="F225" s="545">
        <f t="shared" si="36"/>
        <v>25</v>
      </c>
      <c r="G225" s="545">
        <f t="shared" si="36"/>
        <v>3</v>
      </c>
      <c r="H225" s="545">
        <f t="shared" si="36"/>
        <v>0</v>
      </c>
      <c r="I225" s="545">
        <f t="shared" si="36"/>
        <v>33</v>
      </c>
      <c r="J225" s="545">
        <f t="shared" si="36"/>
        <v>3</v>
      </c>
      <c r="K225" s="545">
        <f t="shared" si="36"/>
        <v>25</v>
      </c>
      <c r="L225" s="545">
        <f t="shared" si="36"/>
        <v>2</v>
      </c>
      <c r="M225" s="545">
        <f t="shared" si="36"/>
        <v>33</v>
      </c>
      <c r="N225" s="545">
        <f t="shared" si="36"/>
        <v>3</v>
      </c>
      <c r="O225" s="545">
        <f t="shared" si="36"/>
        <v>0</v>
      </c>
      <c r="P225" s="545">
        <f t="shared" si="36"/>
        <v>0</v>
      </c>
      <c r="Q225" s="545">
        <f t="shared" si="36"/>
        <v>33</v>
      </c>
      <c r="R225" s="545">
        <f t="shared" si="36"/>
        <v>0</v>
      </c>
      <c r="S225" s="545">
        <f t="shared" si="36"/>
        <v>0</v>
      </c>
      <c r="T225" s="545">
        <f t="shared" si="36"/>
        <v>0</v>
      </c>
      <c r="U225" s="545">
        <f t="shared" si="36"/>
        <v>0</v>
      </c>
      <c r="V225" s="545">
        <f t="shared" si="36"/>
        <v>0</v>
      </c>
      <c r="W225" s="545">
        <f t="shared" si="36"/>
        <v>0</v>
      </c>
      <c r="X225" s="545">
        <f t="shared" si="36"/>
        <v>0</v>
      </c>
      <c r="Y225" s="545">
        <f t="shared" si="36"/>
        <v>0</v>
      </c>
      <c r="Z225" s="545">
        <f t="shared" si="36"/>
        <v>0</v>
      </c>
      <c r="AA225" s="545">
        <f t="shared" si="36"/>
        <v>0</v>
      </c>
      <c r="AB225" s="545">
        <f t="shared" si="36"/>
        <v>0</v>
      </c>
      <c r="AC225" s="545">
        <f t="shared" si="36"/>
        <v>0</v>
      </c>
      <c r="AD225" s="545">
        <f t="shared" si="36"/>
        <v>33</v>
      </c>
      <c r="AE225" s="545">
        <f t="shared" si="36"/>
        <v>0</v>
      </c>
      <c r="AF225" s="545">
        <f t="shared" si="36"/>
        <v>0</v>
      </c>
      <c r="AG225" s="545">
        <f t="shared" si="36"/>
        <v>25</v>
      </c>
      <c r="AH225" s="545">
        <f t="shared" si="36"/>
        <v>8</v>
      </c>
      <c r="AI225" s="545">
        <f t="shared" si="36"/>
        <v>0</v>
      </c>
      <c r="AJ225" s="678"/>
      <c r="AK225" s="678"/>
      <c r="AL225" s="678"/>
      <c r="AM225" s="678"/>
      <c r="AN225" s="678"/>
    </row>
    <row r="226" spans="1:40" ht="19" customHeight="1" x14ac:dyDescent="0.35">
      <c r="A226" s="429">
        <v>6</v>
      </c>
      <c r="B226" s="427" t="str">
        <f t="shared" si="37"/>
        <v>Pulodarat</v>
      </c>
      <c r="C226" s="545">
        <f t="shared" si="38"/>
        <v>18</v>
      </c>
      <c r="D226" s="545">
        <f t="shared" si="36"/>
        <v>3</v>
      </c>
      <c r="E226" s="545">
        <f t="shared" si="36"/>
        <v>0</v>
      </c>
      <c r="F226" s="545">
        <f t="shared" si="36"/>
        <v>19</v>
      </c>
      <c r="G226" s="545">
        <f t="shared" si="36"/>
        <v>3</v>
      </c>
      <c r="H226" s="545">
        <f t="shared" si="36"/>
        <v>0</v>
      </c>
      <c r="I226" s="545">
        <f t="shared" si="36"/>
        <v>18</v>
      </c>
      <c r="J226" s="545">
        <f t="shared" si="36"/>
        <v>0</v>
      </c>
      <c r="K226" s="545">
        <f t="shared" si="36"/>
        <v>19</v>
      </c>
      <c r="L226" s="545">
        <f t="shared" si="36"/>
        <v>2</v>
      </c>
      <c r="M226" s="545">
        <f t="shared" si="36"/>
        <v>18</v>
      </c>
      <c r="N226" s="545">
        <f t="shared" si="36"/>
        <v>1</v>
      </c>
      <c r="O226" s="545">
        <f t="shared" si="36"/>
        <v>0</v>
      </c>
      <c r="P226" s="545">
        <f t="shared" si="36"/>
        <v>0</v>
      </c>
      <c r="Q226" s="545">
        <f t="shared" si="36"/>
        <v>18</v>
      </c>
      <c r="R226" s="545">
        <f t="shared" si="36"/>
        <v>0</v>
      </c>
      <c r="S226" s="545">
        <f t="shared" si="36"/>
        <v>0</v>
      </c>
      <c r="T226" s="545">
        <f t="shared" si="36"/>
        <v>0</v>
      </c>
      <c r="U226" s="545">
        <f t="shared" si="36"/>
        <v>0</v>
      </c>
      <c r="V226" s="545">
        <f t="shared" si="36"/>
        <v>0</v>
      </c>
      <c r="W226" s="545">
        <f t="shared" si="36"/>
        <v>0</v>
      </c>
      <c r="X226" s="545">
        <f t="shared" si="36"/>
        <v>0</v>
      </c>
      <c r="Y226" s="545">
        <f t="shared" si="36"/>
        <v>0</v>
      </c>
      <c r="Z226" s="545">
        <f t="shared" si="36"/>
        <v>0</v>
      </c>
      <c r="AA226" s="545">
        <f t="shared" si="36"/>
        <v>0</v>
      </c>
      <c r="AB226" s="545">
        <f t="shared" si="36"/>
        <v>0</v>
      </c>
      <c r="AC226" s="545">
        <f t="shared" si="36"/>
        <v>0</v>
      </c>
      <c r="AD226" s="545">
        <f t="shared" si="36"/>
        <v>18</v>
      </c>
      <c r="AE226" s="545">
        <f t="shared" si="36"/>
        <v>0</v>
      </c>
      <c r="AF226" s="545">
        <f t="shared" si="36"/>
        <v>0</v>
      </c>
      <c r="AG226" s="545">
        <f t="shared" si="36"/>
        <v>14</v>
      </c>
      <c r="AH226" s="545">
        <f t="shared" si="36"/>
        <v>4</v>
      </c>
      <c r="AI226" s="545">
        <f t="shared" si="36"/>
        <v>1</v>
      </c>
      <c r="AJ226" s="678"/>
      <c r="AK226" s="678"/>
      <c r="AL226" s="678"/>
      <c r="AM226" s="678"/>
      <c r="AN226" s="678"/>
    </row>
    <row r="227" spans="1:40" ht="19" customHeight="1" x14ac:dyDescent="0.35">
      <c r="A227" s="429">
        <v>7</v>
      </c>
      <c r="B227" s="427" t="str">
        <f t="shared" si="37"/>
        <v>Karangrandu</v>
      </c>
      <c r="C227" s="545">
        <f t="shared" si="38"/>
        <v>31</v>
      </c>
      <c r="D227" s="545">
        <f t="shared" si="36"/>
        <v>3</v>
      </c>
      <c r="E227" s="545">
        <f t="shared" si="36"/>
        <v>0</v>
      </c>
      <c r="F227" s="545">
        <f t="shared" si="36"/>
        <v>24</v>
      </c>
      <c r="G227" s="545">
        <f t="shared" si="36"/>
        <v>6</v>
      </c>
      <c r="H227" s="545">
        <f t="shared" si="36"/>
        <v>0</v>
      </c>
      <c r="I227" s="545">
        <f t="shared" si="36"/>
        <v>31</v>
      </c>
      <c r="J227" s="545">
        <f t="shared" si="36"/>
        <v>2</v>
      </c>
      <c r="K227" s="545">
        <f t="shared" si="36"/>
        <v>24</v>
      </c>
      <c r="L227" s="545">
        <f t="shared" si="36"/>
        <v>0</v>
      </c>
      <c r="M227" s="545">
        <f t="shared" si="36"/>
        <v>31</v>
      </c>
      <c r="N227" s="545">
        <f t="shared" si="36"/>
        <v>7</v>
      </c>
      <c r="O227" s="545">
        <f t="shared" si="36"/>
        <v>0</v>
      </c>
      <c r="P227" s="545">
        <f t="shared" si="36"/>
        <v>0</v>
      </c>
      <c r="Q227" s="545">
        <f t="shared" si="36"/>
        <v>31</v>
      </c>
      <c r="R227" s="545">
        <f t="shared" si="36"/>
        <v>0</v>
      </c>
      <c r="S227" s="545">
        <f t="shared" si="36"/>
        <v>0</v>
      </c>
      <c r="T227" s="545">
        <f t="shared" si="36"/>
        <v>0</v>
      </c>
      <c r="U227" s="545">
        <f t="shared" si="36"/>
        <v>0</v>
      </c>
      <c r="V227" s="545">
        <f t="shared" si="36"/>
        <v>0</v>
      </c>
      <c r="W227" s="545">
        <f t="shared" si="36"/>
        <v>0</v>
      </c>
      <c r="X227" s="545">
        <f t="shared" si="36"/>
        <v>0</v>
      </c>
      <c r="Y227" s="545">
        <f t="shared" si="36"/>
        <v>0</v>
      </c>
      <c r="Z227" s="545">
        <f t="shared" si="36"/>
        <v>0</v>
      </c>
      <c r="AA227" s="545">
        <f t="shared" si="36"/>
        <v>0</v>
      </c>
      <c r="AB227" s="545">
        <f t="shared" si="36"/>
        <v>0</v>
      </c>
      <c r="AC227" s="545">
        <f t="shared" si="36"/>
        <v>0</v>
      </c>
      <c r="AD227" s="545">
        <f t="shared" si="36"/>
        <v>31</v>
      </c>
      <c r="AE227" s="545">
        <f t="shared" si="36"/>
        <v>0</v>
      </c>
      <c r="AF227" s="545">
        <f t="shared" si="36"/>
        <v>0</v>
      </c>
      <c r="AG227" s="545">
        <f t="shared" si="36"/>
        <v>22</v>
      </c>
      <c r="AH227" s="545">
        <f t="shared" si="36"/>
        <v>9</v>
      </c>
      <c r="AI227" s="545">
        <f t="shared" si="36"/>
        <v>0</v>
      </c>
      <c r="AJ227" s="678"/>
      <c r="AK227" s="678"/>
      <c r="AL227" s="678"/>
      <c r="AM227" s="678"/>
      <c r="AN227" s="678"/>
    </row>
    <row r="228" spans="1:40" ht="19" customHeight="1" x14ac:dyDescent="0.35">
      <c r="A228" s="429">
        <v>8</v>
      </c>
      <c r="B228" s="427" t="str">
        <f t="shared" si="37"/>
        <v>Kaliombo</v>
      </c>
      <c r="C228" s="545">
        <f t="shared" si="38"/>
        <v>13</v>
      </c>
      <c r="D228" s="545">
        <f t="shared" si="36"/>
        <v>0</v>
      </c>
      <c r="E228" s="545">
        <f t="shared" si="36"/>
        <v>0</v>
      </c>
      <c r="F228" s="545">
        <f t="shared" si="36"/>
        <v>13</v>
      </c>
      <c r="G228" s="545">
        <f t="shared" si="36"/>
        <v>0</v>
      </c>
      <c r="H228" s="545">
        <f t="shared" si="36"/>
        <v>0</v>
      </c>
      <c r="I228" s="545">
        <f t="shared" si="36"/>
        <v>13</v>
      </c>
      <c r="J228" s="545">
        <f t="shared" si="36"/>
        <v>1</v>
      </c>
      <c r="K228" s="545">
        <f t="shared" si="36"/>
        <v>13</v>
      </c>
      <c r="L228" s="545">
        <f t="shared" si="36"/>
        <v>0</v>
      </c>
      <c r="M228" s="545">
        <f t="shared" si="36"/>
        <v>13</v>
      </c>
      <c r="N228" s="545">
        <f t="shared" si="36"/>
        <v>3</v>
      </c>
      <c r="O228" s="545">
        <f t="shared" si="36"/>
        <v>0</v>
      </c>
      <c r="P228" s="545">
        <f t="shared" si="36"/>
        <v>0</v>
      </c>
      <c r="Q228" s="545">
        <f t="shared" si="36"/>
        <v>13</v>
      </c>
      <c r="R228" s="545">
        <f t="shared" si="36"/>
        <v>0</v>
      </c>
      <c r="S228" s="545">
        <f t="shared" si="36"/>
        <v>0</v>
      </c>
      <c r="T228" s="545">
        <f t="shared" si="36"/>
        <v>0</v>
      </c>
      <c r="U228" s="545">
        <f t="shared" si="36"/>
        <v>0</v>
      </c>
      <c r="V228" s="545">
        <f t="shared" ref="D228:AI235" si="39">V18+V52+V87+V122+V157+V192</f>
        <v>0</v>
      </c>
      <c r="W228" s="545">
        <f t="shared" si="39"/>
        <v>0</v>
      </c>
      <c r="X228" s="545">
        <f t="shared" si="39"/>
        <v>0</v>
      </c>
      <c r="Y228" s="545">
        <f t="shared" si="39"/>
        <v>0</v>
      </c>
      <c r="Z228" s="545">
        <f t="shared" si="39"/>
        <v>0</v>
      </c>
      <c r="AA228" s="545">
        <f t="shared" si="39"/>
        <v>0</v>
      </c>
      <c r="AB228" s="545">
        <f t="shared" si="39"/>
        <v>0</v>
      </c>
      <c r="AC228" s="545">
        <f t="shared" si="39"/>
        <v>0</v>
      </c>
      <c r="AD228" s="545">
        <f t="shared" si="39"/>
        <v>13</v>
      </c>
      <c r="AE228" s="545">
        <f t="shared" si="39"/>
        <v>0</v>
      </c>
      <c r="AF228" s="545">
        <f t="shared" si="39"/>
        <v>0</v>
      </c>
      <c r="AG228" s="545">
        <f t="shared" si="39"/>
        <v>8</v>
      </c>
      <c r="AH228" s="545">
        <f t="shared" si="39"/>
        <v>5</v>
      </c>
      <c r="AI228" s="545">
        <f t="shared" si="39"/>
        <v>0</v>
      </c>
      <c r="AJ228" s="678"/>
      <c r="AK228" s="678"/>
      <c r="AL228" s="678"/>
      <c r="AM228" s="678"/>
      <c r="AN228" s="678"/>
    </row>
    <row r="229" spans="1:40" ht="19" customHeight="1" x14ac:dyDescent="0.35">
      <c r="A229" s="429">
        <v>9</v>
      </c>
      <c r="B229" s="427" t="str">
        <f t="shared" si="37"/>
        <v>Gemulung</v>
      </c>
      <c r="C229" s="545">
        <f t="shared" si="38"/>
        <v>19</v>
      </c>
      <c r="D229" s="545">
        <f t="shared" si="39"/>
        <v>4</v>
      </c>
      <c r="E229" s="545">
        <f t="shared" si="39"/>
        <v>0</v>
      </c>
      <c r="F229" s="545">
        <f t="shared" si="39"/>
        <v>19</v>
      </c>
      <c r="G229" s="545">
        <f t="shared" si="39"/>
        <v>2</v>
      </c>
      <c r="H229" s="545">
        <f t="shared" si="39"/>
        <v>0</v>
      </c>
      <c r="I229" s="545">
        <f t="shared" si="39"/>
        <v>19</v>
      </c>
      <c r="J229" s="545">
        <f t="shared" si="39"/>
        <v>1</v>
      </c>
      <c r="K229" s="545">
        <f t="shared" si="39"/>
        <v>19</v>
      </c>
      <c r="L229" s="545">
        <f t="shared" si="39"/>
        <v>0</v>
      </c>
      <c r="M229" s="545">
        <f t="shared" si="39"/>
        <v>19</v>
      </c>
      <c r="N229" s="545">
        <f t="shared" si="39"/>
        <v>2</v>
      </c>
      <c r="O229" s="545">
        <f t="shared" si="39"/>
        <v>0</v>
      </c>
      <c r="P229" s="545">
        <f t="shared" si="39"/>
        <v>0</v>
      </c>
      <c r="Q229" s="545">
        <f t="shared" si="39"/>
        <v>19</v>
      </c>
      <c r="R229" s="545">
        <f t="shared" si="39"/>
        <v>0</v>
      </c>
      <c r="S229" s="545">
        <f t="shared" si="39"/>
        <v>0</v>
      </c>
      <c r="T229" s="545">
        <f t="shared" si="39"/>
        <v>0</v>
      </c>
      <c r="U229" s="545">
        <f t="shared" si="39"/>
        <v>0</v>
      </c>
      <c r="V229" s="545">
        <f t="shared" si="39"/>
        <v>0</v>
      </c>
      <c r="W229" s="545">
        <f t="shared" si="39"/>
        <v>0</v>
      </c>
      <c r="X229" s="545">
        <f t="shared" si="39"/>
        <v>0</v>
      </c>
      <c r="Y229" s="545">
        <f t="shared" si="39"/>
        <v>0</v>
      </c>
      <c r="Z229" s="545">
        <f t="shared" si="39"/>
        <v>0</v>
      </c>
      <c r="AA229" s="545">
        <f t="shared" si="39"/>
        <v>0</v>
      </c>
      <c r="AB229" s="545">
        <f t="shared" si="39"/>
        <v>0</v>
      </c>
      <c r="AC229" s="545">
        <f t="shared" si="39"/>
        <v>0</v>
      </c>
      <c r="AD229" s="545">
        <f t="shared" si="39"/>
        <v>19</v>
      </c>
      <c r="AE229" s="545">
        <f t="shared" si="39"/>
        <v>0</v>
      </c>
      <c r="AF229" s="545">
        <f t="shared" si="39"/>
        <v>0</v>
      </c>
      <c r="AG229" s="545">
        <f t="shared" si="39"/>
        <v>14</v>
      </c>
      <c r="AH229" s="545">
        <f t="shared" si="39"/>
        <v>5</v>
      </c>
      <c r="AI229" s="545">
        <f t="shared" si="39"/>
        <v>0</v>
      </c>
      <c r="AJ229" s="678"/>
      <c r="AK229" s="678"/>
      <c r="AL229" s="678"/>
      <c r="AM229" s="678"/>
      <c r="AN229" s="678"/>
    </row>
    <row r="230" spans="1:40" ht="19" customHeight="1" x14ac:dyDescent="0.35">
      <c r="A230" s="429">
        <v>10</v>
      </c>
      <c r="B230" s="427" t="str">
        <f t="shared" si="37"/>
        <v>Pecangaan Wetan</v>
      </c>
      <c r="C230" s="545">
        <f t="shared" si="38"/>
        <v>15</v>
      </c>
      <c r="D230" s="545">
        <f t="shared" si="39"/>
        <v>0</v>
      </c>
      <c r="E230" s="545">
        <f t="shared" si="39"/>
        <v>0</v>
      </c>
      <c r="F230" s="545">
        <f t="shared" si="39"/>
        <v>12</v>
      </c>
      <c r="G230" s="545">
        <f t="shared" si="39"/>
        <v>1</v>
      </c>
      <c r="H230" s="545">
        <f t="shared" si="39"/>
        <v>0</v>
      </c>
      <c r="I230" s="545">
        <f t="shared" si="39"/>
        <v>15</v>
      </c>
      <c r="J230" s="545">
        <f t="shared" si="39"/>
        <v>5</v>
      </c>
      <c r="K230" s="545">
        <f t="shared" si="39"/>
        <v>12</v>
      </c>
      <c r="L230" s="545">
        <f t="shared" si="39"/>
        <v>3</v>
      </c>
      <c r="M230" s="545">
        <f t="shared" si="39"/>
        <v>15</v>
      </c>
      <c r="N230" s="545">
        <f t="shared" si="39"/>
        <v>2</v>
      </c>
      <c r="O230" s="545">
        <f t="shared" si="39"/>
        <v>0</v>
      </c>
      <c r="P230" s="545">
        <f t="shared" si="39"/>
        <v>0</v>
      </c>
      <c r="Q230" s="545">
        <f t="shared" si="39"/>
        <v>15</v>
      </c>
      <c r="R230" s="545">
        <f t="shared" si="39"/>
        <v>0</v>
      </c>
      <c r="S230" s="545">
        <f t="shared" si="39"/>
        <v>0</v>
      </c>
      <c r="T230" s="545">
        <f t="shared" si="39"/>
        <v>0</v>
      </c>
      <c r="U230" s="545">
        <f t="shared" si="39"/>
        <v>0</v>
      </c>
      <c r="V230" s="545">
        <f t="shared" si="39"/>
        <v>0</v>
      </c>
      <c r="W230" s="545">
        <f t="shared" si="39"/>
        <v>0</v>
      </c>
      <c r="X230" s="545">
        <f t="shared" si="39"/>
        <v>0</v>
      </c>
      <c r="Y230" s="545">
        <f t="shared" si="39"/>
        <v>0</v>
      </c>
      <c r="Z230" s="545">
        <f t="shared" si="39"/>
        <v>0</v>
      </c>
      <c r="AA230" s="545">
        <f t="shared" si="39"/>
        <v>0</v>
      </c>
      <c r="AB230" s="545">
        <f t="shared" si="39"/>
        <v>0</v>
      </c>
      <c r="AC230" s="545">
        <f t="shared" si="39"/>
        <v>0</v>
      </c>
      <c r="AD230" s="545">
        <f t="shared" si="39"/>
        <v>15</v>
      </c>
      <c r="AE230" s="545">
        <f t="shared" si="39"/>
        <v>0</v>
      </c>
      <c r="AF230" s="545">
        <f t="shared" si="39"/>
        <v>0</v>
      </c>
      <c r="AG230" s="545">
        <f t="shared" si="39"/>
        <v>12</v>
      </c>
      <c r="AH230" s="545">
        <f t="shared" si="39"/>
        <v>3</v>
      </c>
      <c r="AI230" s="545">
        <f t="shared" si="39"/>
        <v>0</v>
      </c>
      <c r="AJ230" s="678"/>
      <c r="AK230" s="678"/>
      <c r="AL230" s="678"/>
      <c r="AM230" s="678"/>
      <c r="AN230" s="678"/>
    </row>
    <row r="231" spans="1:40" ht="19" customHeight="1" x14ac:dyDescent="0.35">
      <c r="A231" s="429">
        <v>11</v>
      </c>
      <c r="B231" s="427" t="str">
        <f t="shared" si="37"/>
        <v>Krasak</v>
      </c>
      <c r="C231" s="545">
        <f t="shared" si="38"/>
        <v>45</v>
      </c>
      <c r="D231" s="545">
        <f t="shared" si="39"/>
        <v>3</v>
      </c>
      <c r="E231" s="545">
        <f t="shared" si="39"/>
        <v>0</v>
      </c>
      <c r="F231" s="545">
        <f t="shared" si="39"/>
        <v>22</v>
      </c>
      <c r="G231" s="545">
        <f t="shared" si="39"/>
        <v>1</v>
      </c>
      <c r="H231" s="545">
        <f t="shared" si="39"/>
        <v>0</v>
      </c>
      <c r="I231" s="545">
        <f t="shared" si="39"/>
        <v>45</v>
      </c>
      <c r="J231" s="545">
        <f t="shared" si="39"/>
        <v>4</v>
      </c>
      <c r="K231" s="545">
        <f t="shared" si="39"/>
        <v>22</v>
      </c>
      <c r="L231" s="545">
        <f t="shared" si="39"/>
        <v>2</v>
      </c>
      <c r="M231" s="545">
        <f t="shared" si="39"/>
        <v>45</v>
      </c>
      <c r="N231" s="545">
        <f t="shared" si="39"/>
        <v>1</v>
      </c>
      <c r="O231" s="545">
        <f t="shared" si="39"/>
        <v>0</v>
      </c>
      <c r="P231" s="545">
        <f t="shared" si="39"/>
        <v>0</v>
      </c>
      <c r="Q231" s="545">
        <f t="shared" si="39"/>
        <v>45</v>
      </c>
      <c r="R231" s="545">
        <f t="shared" si="39"/>
        <v>0</v>
      </c>
      <c r="S231" s="545">
        <f t="shared" si="39"/>
        <v>0</v>
      </c>
      <c r="T231" s="545">
        <f t="shared" si="39"/>
        <v>0</v>
      </c>
      <c r="U231" s="545">
        <f t="shared" si="39"/>
        <v>0</v>
      </c>
      <c r="V231" s="545">
        <f t="shared" si="39"/>
        <v>0</v>
      </c>
      <c r="W231" s="545">
        <f t="shared" si="39"/>
        <v>0</v>
      </c>
      <c r="X231" s="545">
        <f t="shared" si="39"/>
        <v>0</v>
      </c>
      <c r="Y231" s="545">
        <f t="shared" si="39"/>
        <v>0</v>
      </c>
      <c r="Z231" s="545">
        <f t="shared" si="39"/>
        <v>0</v>
      </c>
      <c r="AA231" s="545">
        <f t="shared" si="39"/>
        <v>0</v>
      </c>
      <c r="AB231" s="545">
        <f t="shared" si="39"/>
        <v>0</v>
      </c>
      <c r="AC231" s="545">
        <f t="shared" si="39"/>
        <v>0</v>
      </c>
      <c r="AD231" s="545">
        <f t="shared" si="39"/>
        <v>45</v>
      </c>
      <c r="AE231" s="545">
        <f t="shared" si="39"/>
        <v>0</v>
      </c>
      <c r="AF231" s="545">
        <f t="shared" si="39"/>
        <v>0</v>
      </c>
      <c r="AG231" s="545">
        <f t="shared" si="39"/>
        <v>34</v>
      </c>
      <c r="AH231" s="545">
        <f t="shared" si="39"/>
        <v>13</v>
      </c>
      <c r="AI231" s="545">
        <f t="shared" si="39"/>
        <v>2</v>
      </c>
      <c r="AJ231" s="678"/>
      <c r="AK231" s="678"/>
      <c r="AL231" s="678"/>
      <c r="AM231" s="678"/>
      <c r="AN231" s="678"/>
    </row>
    <row r="232" spans="1:40" ht="19" customHeight="1" x14ac:dyDescent="0.35">
      <c r="A232" s="429">
        <v>12</v>
      </c>
      <c r="B232" s="427" t="str">
        <f t="shared" si="37"/>
        <v>Gerdu</v>
      </c>
      <c r="C232" s="545">
        <f t="shared" si="38"/>
        <v>8</v>
      </c>
      <c r="D232" s="545">
        <f t="shared" si="39"/>
        <v>0</v>
      </c>
      <c r="E232" s="545">
        <f t="shared" si="39"/>
        <v>0</v>
      </c>
      <c r="F232" s="545">
        <f t="shared" si="39"/>
        <v>8</v>
      </c>
      <c r="G232" s="545">
        <f t="shared" si="39"/>
        <v>0</v>
      </c>
      <c r="H232" s="545">
        <f t="shared" si="39"/>
        <v>0</v>
      </c>
      <c r="I232" s="545">
        <f t="shared" si="39"/>
        <v>8</v>
      </c>
      <c r="J232" s="545">
        <f t="shared" si="39"/>
        <v>1</v>
      </c>
      <c r="K232" s="545">
        <f t="shared" si="39"/>
        <v>8</v>
      </c>
      <c r="L232" s="545">
        <f t="shared" si="39"/>
        <v>0</v>
      </c>
      <c r="M232" s="545">
        <f t="shared" si="39"/>
        <v>8</v>
      </c>
      <c r="N232" s="545">
        <f t="shared" si="39"/>
        <v>0</v>
      </c>
      <c r="O232" s="545">
        <f t="shared" si="39"/>
        <v>0</v>
      </c>
      <c r="P232" s="545">
        <f t="shared" si="39"/>
        <v>0</v>
      </c>
      <c r="Q232" s="545">
        <f t="shared" si="39"/>
        <v>8</v>
      </c>
      <c r="R232" s="545">
        <f t="shared" si="39"/>
        <v>0</v>
      </c>
      <c r="S232" s="545">
        <f t="shared" si="39"/>
        <v>0</v>
      </c>
      <c r="T232" s="545">
        <f t="shared" si="39"/>
        <v>0</v>
      </c>
      <c r="U232" s="545">
        <f t="shared" si="39"/>
        <v>0</v>
      </c>
      <c r="V232" s="545">
        <f t="shared" si="39"/>
        <v>0</v>
      </c>
      <c r="W232" s="545">
        <f t="shared" si="39"/>
        <v>0</v>
      </c>
      <c r="X232" s="545">
        <f t="shared" si="39"/>
        <v>0</v>
      </c>
      <c r="Y232" s="545">
        <f t="shared" si="39"/>
        <v>0</v>
      </c>
      <c r="Z232" s="545">
        <f t="shared" si="39"/>
        <v>0</v>
      </c>
      <c r="AA232" s="545">
        <f t="shared" si="39"/>
        <v>0</v>
      </c>
      <c r="AB232" s="545">
        <f t="shared" si="39"/>
        <v>0</v>
      </c>
      <c r="AC232" s="545">
        <f t="shared" si="39"/>
        <v>0</v>
      </c>
      <c r="AD232" s="545">
        <f t="shared" si="39"/>
        <v>8</v>
      </c>
      <c r="AE232" s="545">
        <f t="shared" si="39"/>
        <v>0</v>
      </c>
      <c r="AF232" s="545">
        <f t="shared" si="39"/>
        <v>0</v>
      </c>
      <c r="AG232" s="545">
        <f t="shared" si="39"/>
        <v>5</v>
      </c>
      <c r="AH232" s="545">
        <f t="shared" si="39"/>
        <v>3</v>
      </c>
      <c r="AI232" s="545">
        <f t="shared" si="39"/>
        <v>0</v>
      </c>
      <c r="AJ232" s="678"/>
      <c r="AK232" s="678"/>
      <c r="AL232" s="678"/>
      <c r="AM232" s="678"/>
      <c r="AN232" s="678"/>
    </row>
    <row r="233" spans="1:40" ht="19" customHeight="1" x14ac:dyDescent="0.35">
      <c r="A233" s="429">
        <v>13</v>
      </c>
      <c r="B233" s="427">
        <f t="shared" si="37"/>
        <v>0</v>
      </c>
      <c r="C233" s="545">
        <f t="shared" si="38"/>
        <v>0</v>
      </c>
      <c r="D233" s="545">
        <f t="shared" si="39"/>
        <v>0</v>
      </c>
      <c r="E233" s="545">
        <f t="shared" si="39"/>
        <v>0</v>
      </c>
      <c r="F233" s="545">
        <f t="shared" si="39"/>
        <v>0</v>
      </c>
      <c r="G233" s="545">
        <f t="shared" si="39"/>
        <v>0</v>
      </c>
      <c r="H233" s="545">
        <f t="shared" si="39"/>
        <v>0</v>
      </c>
      <c r="I233" s="545">
        <f t="shared" si="39"/>
        <v>0</v>
      </c>
      <c r="J233" s="545">
        <f t="shared" si="39"/>
        <v>0</v>
      </c>
      <c r="K233" s="545">
        <f t="shared" si="39"/>
        <v>0</v>
      </c>
      <c r="L233" s="545">
        <f t="shared" si="39"/>
        <v>0</v>
      </c>
      <c r="M233" s="545">
        <f t="shared" si="39"/>
        <v>0</v>
      </c>
      <c r="N233" s="545">
        <f t="shared" si="39"/>
        <v>0</v>
      </c>
      <c r="O233" s="545">
        <f t="shared" si="39"/>
        <v>0</v>
      </c>
      <c r="P233" s="545">
        <f t="shared" si="39"/>
        <v>0</v>
      </c>
      <c r="Q233" s="545">
        <f t="shared" si="39"/>
        <v>0</v>
      </c>
      <c r="R233" s="545">
        <f t="shared" si="39"/>
        <v>0</v>
      </c>
      <c r="S233" s="545">
        <f t="shared" si="39"/>
        <v>0</v>
      </c>
      <c r="T233" s="545">
        <f t="shared" si="39"/>
        <v>0</v>
      </c>
      <c r="U233" s="545">
        <f t="shared" si="39"/>
        <v>0</v>
      </c>
      <c r="V233" s="545">
        <f t="shared" si="39"/>
        <v>0</v>
      </c>
      <c r="W233" s="545">
        <f t="shared" si="39"/>
        <v>0</v>
      </c>
      <c r="X233" s="545">
        <f t="shared" si="39"/>
        <v>0</v>
      </c>
      <c r="Y233" s="545">
        <f t="shared" si="39"/>
        <v>0</v>
      </c>
      <c r="Z233" s="545">
        <f t="shared" si="39"/>
        <v>0</v>
      </c>
      <c r="AA233" s="545">
        <f t="shared" si="39"/>
        <v>0</v>
      </c>
      <c r="AB233" s="545">
        <f t="shared" si="39"/>
        <v>0</v>
      </c>
      <c r="AC233" s="545">
        <f t="shared" si="39"/>
        <v>0</v>
      </c>
      <c r="AD233" s="545">
        <f t="shared" si="39"/>
        <v>0</v>
      </c>
      <c r="AE233" s="545">
        <f t="shared" si="39"/>
        <v>0</v>
      </c>
      <c r="AF233" s="545">
        <f t="shared" si="39"/>
        <v>0</v>
      </c>
      <c r="AG233" s="545">
        <f t="shared" si="39"/>
        <v>0</v>
      </c>
      <c r="AH233" s="545">
        <f t="shared" si="39"/>
        <v>0</v>
      </c>
      <c r="AI233" s="545">
        <f t="shared" si="39"/>
        <v>0</v>
      </c>
      <c r="AJ233" s="678"/>
      <c r="AK233" s="678"/>
      <c r="AL233" s="678"/>
      <c r="AM233" s="678"/>
      <c r="AN233" s="678"/>
    </row>
    <row r="234" spans="1:40" ht="19" customHeight="1" x14ac:dyDescent="0.35">
      <c r="A234" s="429">
        <v>14</v>
      </c>
      <c r="B234" s="427">
        <f t="shared" si="37"/>
        <v>0</v>
      </c>
      <c r="C234" s="545">
        <f t="shared" si="38"/>
        <v>0</v>
      </c>
      <c r="D234" s="545">
        <f t="shared" si="39"/>
        <v>0</v>
      </c>
      <c r="E234" s="545">
        <f t="shared" si="39"/>
        <v>0</v>
      </c>
      <c r="F234" s="545">
        <f t="shared" si="39"/>
        <v>0</v>
      </c>
      <c r="G234" s="545">
        <f t="shared" si="39"/>
        <v>0</v>
      </c>
      <c r="H234" s="545">
        <f t="shared" si="39"/>
        <v>0</v>
      </c>
      <c r="I234" s="545">
        <f t="shared" si="39"/>
        <v>0</v>
      </c>
      <c r="J234" s="545">
        <f t="shared" si="39"/>
        <v>0</v>
      </c>
      <c r="K234" s="545">
        <f t="shared" si="39"/>
        <v>0</v>
      </c>
      <c r="L234" s="545">
        <f t="shared" si="39"/>
        <v>0</v>
      </c>
      <c r="M234" s="545">
        <f t="shared" si="39"/>
        <v>0</v>
      </c>
      <c r="N234" s="545">
        <f t="shared" si="39"/>
        <v>0</v>
      </c>
      <c r="O234" s="545">
        <f t="shared" si="39"/>
        <v>0</v>
      </c>
      <c r="P234" s="545">
        <f t="shared" si="39"/>
        <v>0</v>
      </c>
      <c r="Q234" s="545">
        <f t="shared" si="39"/>
        <v>0</v>
      </c>
      <c r="R234" s="545">
        <f t="shared" si="39"/>
        <v>0</v>
      </c>
      <c r="S234" s="545">
        <f t="shared" si="39"/>
        <v>0</v>
      </c>
      <c r="T234" s="545">
        <f t="shared" si="39"/>
        <v>0</v>
      </c>
      <c r="U234" s="545">
        <f t="shared" si="39"/>
        <v>0</v>
      </c>
      <c r="V234" s="545">
        <f t="shared" si="39"/>
        <v>0</v>
      </c>
      <c r="W234" s="545">
        <f t="shared" si="39"/>
        <v>0</v>
      </c>
      <c r="X234" s="545">
        <f t="shared" si="39"/>
        <v>0</v>
      </c>
      <c r="Y234" s="545">
        <f t="shared" si="39"/>
        <v>0</v>
      </c>
      <c r="Z234" s="545">
        <f t="shared" si="39"/>
        <v>0</v>
      </c>
      <c r="AA234" s="545">
        <f t="shared" si="39"/>
        <v>0</v>
      </c>
      <c r="AB234" s="545">
        <f t="shared" si="39"/>
        <v>0</v>
      </c>
      <c r="AC234" s="545">
        <f t="shared" si="39"/>
        <v>0</v>
      </c>
      <c r="AD234" s="545">
        <f t="shared" si="39"/>
        <v>0</v>
      </c>
      <c r="AE234" s="545">
        <f t="shared" si="39"/>
        <v>0</v>
      </c>
      <c r="AF234" s="545">
        <f t="shared" si="39"/>
        <v>0</v>
      </c>
      <c r="AG234" s="545">
        <f t="shared" si="39"/>
        <v>0</v>
      </c>
      <c r="AH234" s="545">
        <f t="shared" si="39"/>
        <v>0</v>
      </c>
      <c r="AI234" s="545">
        <f t="shared" si="39"/>
        <v>0</v>
      </c>
      <c r="AJ234" s="678"/>
      <c r="AK234" s="678"/>
      <c r="AL234" s="678"/>
      <c r="AM234" s="678"/>
      <c r="AN234" s="678"/>
    </row>
    <row r="235" spans="1:40" ht="19" customHeight="1" x14ac:dyDescent="0.35">
      <c r="A235" s="429">
        <v>15</v>
      </c>
      <c r="B235" s="427">
        <f t="shared" si="37"/>
        <v>0</v>
      </c>
      <c r="C235" s="545">
        <f t="shared" si="38"/>
        <v>0</v>
      </c>
      <c r="D235" s="545">
        <f t="shared" si="39"/>
        <v>0</v>
      </c>
      <c r="E235" s="545">
        <f t="shared" si="39"/>
        <v>0</v>
      </c>
      <c r="F235" s="545">
        <f t="shared" si="39"/>
        <v>0</v>
      </c>
      <c r="G235" s="545">
        <f t="shared" si="39"/>
        <v>0</v>
      </c>
      <c r="H235" s="545">
        <f t="shared" si="39"/>
        <v>0</v>
      </c>
      <c r="I235" s="545">
        <f t="shared" si="39"/>
        <v>0</v>
      </c>
      <c r="J235" s="545">
        <f t="shared" si="39"/>
        <v>0</v>
      </c>
      <c r="K235" s="545">
        <f t="shared" si="39"/>
        <v>0</v>
      </c>
      <c r="L235" s="545">
        <f t="shared" si="39"/>
        <v>0</v>
      </c>
      <c r="M235" s="545">
        <f t="shared" si="39"/>
        <v>0</v>
      </c>
      <c r="N235" s="545">
        <f t="shared" si="39"/>
        <v>0</v>
      </c>
      <c r="O235" s="545">
        <f t="shared" si="39"/>
        <v>0</v>
      </c>
      <c r="P235" s="545">
        <f t="shared" si="39"/>
        <v>0</v>
      </c>
      <c r="Q235" s="545">
        <f t="shared" si="39"/>
        <v>0</v>
      </c>
      <c r="R235" s="545">
        <f t="shared" si="39"/>
        <v>0</v>
      </c>
      <c r="S235" s="545">
        <f t="shared" si="39"/>
        <v>0</v>
      </c>
      <c r="T235" s="545">
        <f t="shared" si="39"/>
        <v>0</v>
      </c>
      <c r="U235" s="545">
        <f t="shared" si="39"/>
        <v>0</v>
      </c>
      <c r="V235" s="545">
        <f t="shared" si="39"/>
        <v>0</v>
      </c>
      <c r="W235" s="545">
        <f t="shared" si="39"/>
        <v>0</v>
      </c>
      <c r="X235" s="545">
        <f t="shared" si="39"/>
        <v>0</v>
      </c>
      <c r="Y235" s="545">
        <f t="shared" ref="D235:AI242" si="40">Y25+Y59+Y94+Y129+Y164+Y199</f>
        <v>0</v>
      </c>
      <c r="Z235" s="545">
        <f t="shared" si="40"/>
        <v>0</v>
      </c>
      <c r="AA235" s="545">
        <f t="shared" si="40"/>
        <v>0</v>
      </c>
      <c r="AB235" s="545">
        <f t="shared" si="40"/>
        <v>0</v>
      </c>
      <c r="AC235" s="545">
        <f t="shared" si="40"/>
        <v>0</v>
      </c>
      <c r="AD235" s="545">
        <f t="shared" si="40"/>
        <v>0</v>
      </c>
      <c r="AE235" s="545">
        <f t="shared" si="40"/>
        <v>0</v>
      </c>
      <c r="AF235" s="545">
        <f t="shared" si="40"/>
        <v>0</v>
      </c>
      <c r="AG235" s="545">
        <f t="shared" si="40"/>
        <v>0</v>
      </c>
      <c r="AH235" s="545">
        <f t="shared" si="40"/>
        <v>0</v>
      </c>
      <c r="AI235" s="545">
        <f t="shared" si="40"/>
        <v>0</v>
      </c>
      <c r="AJ235" s="678"/>
      <c r="AK235" s="678"/>
      <c r="AL235" s="678"/>
      <c r="AM235" s="678"/>
      <c r="AN235" s="678"/>
    </row>
    <row r="236" spans="1:40" ht="19" customHeight="1" x14ac:dyDescent="0.35">
      <c r="A236" s="429">
        <v>16</v>
      </c>
      <c r="B236" s="427">
        <f t="shared" si="37"/>
        <v>0</v>
      </c>
      <c r="C236" s="545">
        <f t="shared" si="38"/>
        <v>0</v>
      </c>
      <c r="D236" s="545">
        <f t="shared" si="40"/>
        <v>0</v>
      </c>
      <c r="E236" s="545">
        <f t="shared" si="40"/>
        <v>0</v>
      </c>
      <c r="F236" s="545">
        <f t="shared" si="40"/>
        <v>0</v>
      </c>
      <c r="G236" s="545">
        <f t="shared" si="40"/>
        <v>0</v>
      </c>
      <c r="H236" s="545">
        <f t="shared" si="40"/>
        <v>0</v>
      </c>
      <c r="I236" s="545">
        <f t="shared" si="40"/>
        <v>0</v>
      </c>
      <c r="J236" s="545">
        <f t="shared" si="40"/>
        <v>0</v>
      </c>
      <c r="K236" s="545">
        <f t="shared" si="40"/>
        <v>0</v>
      </c>
      <c r="L236" s="545">
        <f t="shared" si="40"/>
        <v>0</v>
      </c>
      <c r="M236" s="545">
        <f t="shared" si="40"/>
        <v>0</v>
      </c>
      <c r="N236" s="545">
        <f t="shared" si="40"/>
        <v>0</v>
      </c>
      <c r="O236" s="545">
        <f t="shared" si="40"/>
        <v>0</v>
      </c>
      <c r="P236" s="545">
        <f t="shared" si="40"/>
        <v>0</v>
      </c>
      <c r="Q236" s="545">
        <f t="shared" si="40"/>
        <v>0</v>
      </c>
      <c r="R236" s="545">
        <f t="shared" si="40"/>
        <v>0</v>
      </c>
      <c r="S236" s="545">
        <f t="shared" si="40"/>
        <v>0</v>
      </c>
      <c r="T236" s="545">
        <f t="shared" si="40"/>
        <v>0</v>
      </c>
      <c r="U236" s="545">
        <f t="shared" si="40"/>
        <v>0</v>
      </c>
      <c r="V236" s="545">
        <f t="shared" si="40"/>
        <v>0</v>
      </c>
      <c r="W236" s="545">
        <f t="shared" si="40"/>
        <v>0</v>
      </c>
      <c r="X236" s="545">
        <f t="shared" si="40"/>
        <v>0</v>
      </c>
      <c r="Y236" s="545">
        <f t="shared" si="40"/>
        <v>0</v>
      </c>
      <c r="Z236" s="545">
        <f t="shared" si="40"/>
        <v>0</v>
      </c>
      <c r="AA236" s="545">
        <f t="shared" si="40"/>
        <v>0</v>
      </c>
      <c r="AB236" s="545">
        <f t="shared" si="40"/>
        <v>0</v>
      </c>
      <c r="AC236" s="545">
        <f t="shared" si="40"/>
        <v>0</v>
      </c>
      <c r="AD236" s="545">
        <f t="shared" si="40"/>
        <v>0</v>
      </c>
      <c r="AE236" s="545">
        <f t="shared" si="40"/>
        <v>0</v>
      </c>
      <c r="AF236" s="545">
        <f t="shared" si="40"/>
        <v>0</v>
      </c>
      <c r="AG236" s="545">
        <f t="shared" si="40"/>
        <v>0</v>
      </c>
      <c r="AH236" s="545">
        <f t="shared" si="40"/>
        <v>0</v>
      </c>
      <c r="AI236" s="545">
        <f t="shared" si="40"/>
        <v>0</v>
      </c>
      <c r="AJ236" s="678"/>
      <c r="AK236" s="678"/>
      <c r="AL236" s="678"/>
      <c r="AM236" s="678"/>
      <c r="AN236" s="678"/>
    </row>
    <row r="237" spans="1:40" ht="19" customHeight="1" x14ac:dyDescent="0.35">
      <c r="A237" s="429">
        <v>17</v>
      </c>
      <c r="B237" s="427">
        <f t="shared" si="37"/>
        <v>0</v>
      </c>
      <c r="C237" s="545">
        <f t="shared" si="38"/>
        <v>0</v>
      </c>
      <c r="D237" s="545">
        <f t="shared" si="40"/>
        <v>0</v>
      </c>
      <c r="E237" s="545">
        <f t="shared" si="40"/>
        <v>0</v>
      </c>
      <c r="F237" s="545">
        <f t="shared" si="40"/>
        <v>0</v>
      </c>
      <c r="G237" s="545">
        <f t="shared" si="40"/>
        <v>0</v>
      </c>
      <c r="H237" s="545">
        <f t="shared" si="40"/>
        <v>0</v>
      </c>
      <c r="I237" s="545">
        <f t="shared" si="40"/>
        <v>0</v>
      </c>
      <c r="J237" s="545">
        <f t="shared" si="40"/>
        <v>0</v>
      </c>
      <c r="K237" s="545">
        <f t="shared" si="40"/>
        <v>0</v>
      </c>
      <c r="L237" s="545">
        <f t="shared" si="40"/>
        <v>0</v>
      </c>
      <c r="M237" s="545">
        <f t="shared" si="40"/>
        <v>0</v>
      </c>
      <c r="N237" s="545">
        <f t="shared" si="40"/>
        <v>0</v>
      </c>
      <c r="O237" s="545">
        <f t="shared" si="40"/>
        <v>0</v>
      </c>
      <c r="P237" s="545">
        <f t="shared" si="40"/>
        <v>0</v>
      </c>
      <c r="Q237" s="545">
        <f t="shared" si="40"/>
        <v>0</v>
      </c>
      <c r="R237" s="545">
        <f t="shared" si="40"/>
        <v>0</v>
      </c>
      <c r="S237" s="545">
        <f t="shared" si="40"/>
        <v>0</v>
      </c>
      <c r="T237" s="545">
        <f t="shared" si="40"/>
        <v>0</v>
      </c>
      <c r="U237" s="545">
        <f t="shared" si="40"/>
        <v>0</v>
      </c>
      <c r="V237" s="545">
        <f t="shared" si="40"/>
        <v>0</v>
      </c>
      <c r="W237" s="545">
        <f t="shared" si="40"/>
        <v>0</v>
      </c>
      <c r="X237" s="545">
        <f t="shared" si="40"/>
        <v>0</v>
      </c>
      <c r="Y237" s="545">
        <f t="shared" si="40"/>
        <v>0</v>
      </c>
      <c r="Z237" s="545">
        <f t="shared" si="40"/>
        <v>0</v>
      </c>
      <c r="AA237" s="545">
        <f t="shared" si="40"/>
        <v>0</v>
      </c>
      <c r="AB237" s="545">
        <f t="shared" si="40"/>
        <v>0</v>
      </c>
      <c r="AC237" s="545">
        <f t="shared" si="40"/>
        <v>0</v>
      </c>
      <c r="AD237" s="545">
        <f t="shared" si="40"/>
        <v>0</v>
      </c>
      <c r="AE237" s="545">
        <f t="shared" si="40"/>
        <v>0</v>
      </c>
      <c r="AF237" s="545">
        <f t="shared" si="40"/>
        <v>0</v>
      </c>
      <c r="AG237" s="545">
        <f t="shared" si="40"/>
        <v>0</v>
      </c>
      <c r="AH237" s="545">
        <f t="shared" si="40"/>
        <v>0</v>
      </c>
      <c r="AI237" s="545">
        <f t="shared" si="40"/>
        <v>0</v>
      </c>
      <c r="AJ237" s="678"/>
      <c r="AK237" s="678"/>
      <c r="AL237" s="678"/>
      <c r="AM237" s="678"/>
      <c r="AN237" s="678"/>
    </row>
    <row r="238" spans="1:40" ht="19" customHeight="1" x14ac:dyDescent="0.35">
      <c r="A238" s="429">
        <v>18</v>
      </c>
      <c r="B238" s="427">
        <f t="shared" si="37"/>
        <v>0</v>
      </c>
      <c r="C238" s="545">
        <f t="shared" si="38"/>
        <v>0</v>
      </c>
      <c r="D238" s="545">
        <f t="shared" si="40"/>
        <v>0</v>
      </c>
      <c r="E238" s="545">
        <f t="shared" si="40"/>
        <v>0</v>
      </c>
      <c r="F238" s="545">
        <f t="shared" si="40"/>
        <v>0</v>
      </c>
      <c r="G238" s="545">
        <f t="shared" si="40"/>
        <v>0</v>
      </c>
      <c r="H238" s="545">
        <f t="shared" si="40"/>
        <v>0</v>
      </c>
      <c r="I238" s="545">
        <f t="shared" si="40"/>
        <v>0</v>
      </c>
      <c r="J238" s="545">
        <f t="shared" si="40"/>
        <v>0</v>
      </c>
      <c r="K238" s="545">
        <f t="shared" si="40"/>
        <v>0</v>
      </c>
      <c r="L238" s="545">
        <f t="shared" si="40"/>
        <v>0</v>
      </c>
      <c r="M238" s="545">
        <f t="shared" si="40"/>
        <v>0</v>
      </c>
      <c r="N238" s="545">
        <f t="shared" si="40"/>
        <v>0</v>
      </c>
      <c r="O238" s="545">
        <f t="shared" si="40"/>
        <v>0</v>
      </c>
      <c r="P238" s="545">
        <f t="shared" si="40"/>
        <v>0</v>
      </c>
      <c r="Q238" s="545">
        <f t="shared" si="40"/>
        <v>0</v>
      </c>
      <c r="R238" s="545">
        <f t="shared" si="40"/>
        <v>0</v>
      </c>
      <c r="S238" s="545">
        <f t="shared" si="40"/>
        <v>0</v>
      </c>
      <c r="T238" s="545">
        <f t="shared" si="40"/>
        <v>0</v>
      </c>
      <c r="U238" s="545">
        <f t="shared" si="40"/>
        <v>0</v>
      </c>
      <c r="V238" s="545">
        <f t="shared" si="40"/>
        <v>0</v>
      </c>
      <c r="W238" s="545">
        <f t="shared" si="40"/>
        <v>0</v>
      </c>
      <c r="X238" s="545">
        <f t="shared" si="40"/>
        <v>0</v>
      </c>
      <c r="Y238" s="545">
        <f t="shared" si="40"/>
        <v>0</v>
      </c>
      <c r="Z238" s="545">
        <f t="shared" si="40"/>
        <v>0</v>
      </c>
      <c r="AA238" s="545">
        <f t="shared" si="40"/>
        <v>0</v>
      </c>
      <c r="AB238" s="545">
        <f t="shared" si="40"/>
        <v>0</v>
      </c>
      <c r="AC238" s="545">
        <f t="shared" si="40"/>
        <v>0</v>
      </c>
      <c r="AD238" s="545">
        <f t="shared" si="40"/>
        <v>0</v>
      </c>
      <c r="AE238" s="545">
        <f t="shared" si="40"/>
        <v>0</v>
      </c>
      <c r="AF238" s="545">
        <f t="shared" si="40"/>
        <v>0</v>
      </c>
      <c r="AG238" s="545">
        <f t="shared" si="40"/>
        <v>0</v>
      </c>
      <c r="AH238" s="545">
        <f t="shared" si="40"/>
        <v>0</v>
      </c>
      <c r="AI238" s="545">
        <f t="shared" si="40"/>
        <v>0</v>
      </c>
      <c r="AJ238" s="678"/>
      <c r="AK238" s="678"/>
      <c r="AL238" s="678"/>
      <c r="AM238" s="678"/>
      <c r="AN238" s="678"/>
    </row>
    <row r="239" spans="1:40" ht="19" customHeight="1" x14ac:dyDescent="0.35">
      <c r="A239" s="429">
        <v>19</v>
      </c>
      <c r="B239" s="427">
        <f t="shared" si="37"/>
        <v>0</v>
      </c>
      <c r="C239" s="545">
        <f t="shared" si="38"/>
        <v>0</v>
      </c>
      <c r="D239" s="545">
        <f t="shared" si="40"/>
        <v>0</v>
      </c>
      <c r="E239" s="545">
        <f t="shared" si="40"/>
        <v>0</v>
      </c>
      <c r="F239" s="545">
        <f t="shared" si="40"/>
        <v>0</v>
      </c>
      <c r="G239" s="545">
        <f t="shared" si="40"/>
        <v>0</v>
      </c>
      <c r="H239" s="545">
        <f t="shared" si="40"/>
        <v>0</v>
      </c>
      <c r="I239" s="545">
        <f t="shared" si="40"/>
        <v>0</v>
      </c>
      <c r="J239" s="545">
        <f t="shared" si="40"/>
        <v>0</v>
      </c>
      <c r="K239" s="545">
        <f t="shared" si="40"/>
        <v>0</v>
      </c>
      <c r="L239" s="545">
        <f t="shared" si="40"/>
        <v>0</v>
      </c>
      <c r="M239" s="545">
        <f t="shared" si="40"/>
        <v>0</v>
      </c>
      <c r="N239" s="545">
        <f t="shared" si="40"/>
        <v>0</v>
      </c>
      <c r="O239" s="545">
        <f t="shared" si="40"/>
        <v>0</v>
      </c>
      <c r="P239" s="545">
        <f t="shared" si="40"/>
        <v>0</v>
      </c>
      <c r="Q239" s="545">
        <f t="shared" si="40"/>
        <v>0</v>
      </c>
      <c r="R239" s="545">
        <f t="shared" si="40"/>
        <v>0</v>
      </c>
      <c r="S239" s="545">
        <f t="shared" si="40"/>
        <v>0</v>
      </c>
      <c r="T239" s="545">
        <f t="shared" si="40"/>
        <v>0</v>
      </c>
      <c r="U239" s="545">
        <f t="shared" si="40"/>
        <v>0</v>
      </c>
      <c r="V239" s="545">
        <f t="shared" si="40"/>
        <v>0</v>
      </c>
      <c r="W239" s="545">
        <f t="shared" si="40"/>
        <v>0</v>
      </c>
      <c r="X239" s="545">
        <f t="shared" si="40"/>
        <v>0</v>
      </c>
      <c r="Y239" s="545">
        <f t="shared" si="40"/>
        <v>0</v>
      </c>
      <c r="Z239" s="545">
        <f t="shared" si="40"/>
        <v>0</v>
      </c>
      <c r="AA239" s="545">
        <f t="shared" si="40"/>
        <v>0</v>
      </c>
      <c r="AB239" s="545">
        <f t="shared" si="40"/>
        <v>0</v>
      </c>
      <c r="AC239" s="545">
        <f t="shared" si="40"/>
        <v>0</v>
      </c>
      <c r="AD239" s="545">
        <f t="shared" si="40"/>
        <v>0</v>
      </c>
      <c r="AE239" s="545">
        <f t="shared" si="40"/>
        <v>0</v>
      </c>
      <c r="AF239" s="545">
        <f t="shared" si="40"/>
        <v>0</v>
      </c>
      <c r="AG239" s="545">
        <f t="shared" si="40"/>
        <v>0</v>
      </c>
      <c r="AH239" s="545">
        <f t="shared" si="40"/>
        <v>0</v>
      </c>
      <c r="AI239" s="545">
        <f t="shared" si="40"/>
        <v>0</v>
      </c>
      <c r="AJ239" s="678"/>
      <c r="AK239" s="678"/>
      <c r="AL239" s="678"/>
      <c r="AM239" s="678"/>
      <c r="AN239" s="678"/>
    </row>
    <row r="240" spans="1:40" ht="19" customHeight="1" x14ac:dyDescent="0.35">
      <c r="A240" s="429">
        <v>20</v>
      </c>
      <c r="B240" s="427">
        <f t="shared" si="37"/>
        <v>0</v>
      </c>
      <c r="C240" s="545">
        <f t="shared" si="38"/>
        <v>0</v>
      </c>
      <c r="D240" s="545">
        <f t="shared" si="40"/>
        <v>0</v>
      </c>
      <c r="E240" s="545">
        <f t="shared" si="40"/>
        <v>0</v>
      </c>
      <c r="F240" s="545">
        <f t="shared" si="40"/>
        <v>0</v>
      </c>
      <c r="G240" s="545">
        <f t="shared" si="40"/>
        <v>0</v>
      </c>
      <c r="H240" s="545">
        <f t="shared" si="40"/>
        <v>0</v>
      </c>
      <c r="I240" s="545">
        <f t="shared" si="40"/>
        <v>0</v>
      </c>
      <c r="J240" s="545">
        <f t="shared" si="40"/>
        <v>0</v>
      </c>
      <c r="K240" s="545">
        <f t="shared" si="40"/>
        <v>0</v>
      </c>
      <c r="L240" s="545">
        <f t="shared" si="40"/>
        <v>0</v>
      </c>
      <c r="M240" s="545">
        <f t="shared" si="40"/>
        <v>0</v>
      </c>
      <c r="N240" s="545">
        <f t="shared" si="40"/>
        <v>0</v>
      </c>
      <c r="O240" s="545">
        <f t="shared" si="40"/>
        <v>0</v>
      </c>
      <c r="P240" s="545">
        <f t="shared" si="40"/>
        <v>0</v>
      </c>
      <c r="Q240" s="545">
        <f t="shared" si="40"/>
        <v>0</v>
      </c>
      <c r="R240" s="545">
        <f t="shared" si="40"/>
        <v>0</v>
      </c>
      <c r="S240" s="545">
        <f t="shared" si="40"/>
        <v>0</v>
      </c>
      <c r="T240" s="545">
        <f t="shared" si="40"/>
        <v>0</v>
      </c>
      <c r="U240" s="545">
        <f t="shared" si="40"/>
        <v>0</v>
      </c>
      <c r="V240" s="545">
        <f t="shared" si="40"/>
        <v>0</v>
      </c>
      <c r="W240" s="545">
        <f t="shared" si="40"/>
        <v>0</v>
      </c>
      <c r="X240" s="545">
        <f t="shared" si="40"/>
        <v>0</v>
      </c>
      <c r="Y240" s="545">
        <f t="shared" si="40"/>
        <v>0</v>
      </c>
      <c r="Z240" s="545">
        <f t="shared" si="40"/>
        <v>0</v>
      </c>
      <c r="AA240" s="545">
        <f t="shared" si="40"/>
        <v>0</v>
      </c>
      <c r="AB240" s="545">
        <f t="shared" si="40"/>
        <v>0</v>
      </c>
      <c r="AC240" s="545">
        <f t="shared" si="40"/>
        <v>0</v>
      </c>
      <c r="AD240" s="545">
        <f t="shared" si="40"/>
        <v>0</v>
      </c>
      <c r="AE240" s="545">
        <f t="shared" si="40"/>
        <v>0</v>
      </c>
      <c r="AF240" s="545">
        <f t="shared" si="40"/>
        <v>0</v>
      </c>
      <c r="AG240" s="545">
        <f t="shared" si="40"/>
        <v>0</v>
      </c>
      <c r="AH240" s="545">
        <f t="shared" si="40"/>
        <v>0</v>
      </c>
      <c r="AI240" s="545">
        <f t="shared" si="40"/>
        <v>0</v>
      </c>
      <c r="AJ240" s="678"/>
      <c r="AK240" s="678"/>
      <c r="AL240" s="678"/>
      <c r="AM240" s="678"/>
      <c r="AN240" s="678"/>
    </row>
    <row r="241" spans="1:43" ht="19" customHeight="1" x14ac:dyDescent="0.35">
      <c r="A241" s="429">
        <v>21</v>
      </c>
      <c r="B241" s="427">
        <f t="shared" si="37"/>
        <v>0</v>
      </c>
      <c r="C241" s="545">
        <f t="shared" si="38"/>
        <v>0</v>
      </c>
      <c r="D241" s="545">
        <f t="shared" si="40"/>
        <v>0</v>
      </c>
      <c r="E241" s="545">
        <f t="shared" si="40"/>
        <v>0</v>
      </c>
      <c r="F241" s="545">
        <f t="shared" si="40"/>
        <v>0</v>
      </c>
      <c r="G241" s="545">
        <f t="shared" si="40"/>
        <v>0</v>
      </c>
      <c r="H241" s="545">
        <f t="shared" si="40"/>
        <v>0</v>
      </c>
      <c r="I241" s="545">
        <f t="shared" si="40"/>
        <v>0</v>
      </c>
      <c r="J241" s="545">
        <f t="shared" si="40"/>
        <v>0</v>
      </c>
      <c r="K241" s="545">
        <f t="shared" si="40"/>
        <v>0</v>
      </c>
      <c r="L241" s="545">
        <f t="shared" si="40"/>
        <v>0</v>
      </c>
      <c r="M241" s="545">
        <f t="shared" si="40"/>
        <v>0</v>
      </c>
      <c r="N241" s="545">
        <f t="shared" si="40"/>
        <v>0</v>
      </c>
      <c r="O241" s="545">
        <f t="shared" si="40"/>
        <v>0</v>
      </c>
      <c r="P241" s="545">
        <f t="shared" si="40"/>
        <v>0</v>
      </c>
      <c r="Q241" s="545">
        <f t="shared" si="40"/>
        <v>0</v>
      </c>
      <c r="R241" s="545">
        <f t="shared" si="40"/>
        <v>0</v>
      </c>
      <c r="S241" s="545">
        <f t="shared" si="40"/>
        <v>0</v>
      </c>
      <c r="T241" s="545">
        <f t="shared" si="40"/>
        <v>0</v>
      </c>
      <c r="U241" s="545">
        <f t="shared" si="40"/>
        <v>0</v>
      </c>
      <c r="V241" s="545">
        <f t="shared" si="40"/>
        <v>0</v>
      </c>
      <c r="W241" s="545">
        <f t="shared" si="40"/>
        <v>0</v>
      </c>
      <c r="X241" s="545">
        <f t="shared" si="40"/>
        <v>0</v>
      </c>
      <c r="Y241" s="545">
        <f t="shared" si="40"/>
        <v>0</v>
      </c>
      <c r="Z241" s="545">
        <f t="shared" si="40"/>
        <v>0</v>
      </c>
      <c r="AA241" s="545">
        <f t="shared" si="40"/>
        <v>0</v>
      </c>
      <c r="AB241" s="545">
        <f t="shared" si="40"/>
        <v>0</v>
      </c>
      <c r="AC241" s="545">
        <f t="shared" si="40"/>
        <v>0</v>
      </c>
      <c r="AD241" s="545">
        <f t="shared" si="40"/>
        <v>0</v>
      </c>
      <c r="AE241" s="545">
        <f t="shared" si="40"/>
        <v>0</v>
      </c>
      <c r="AF241" s="545">
        <f t="shared" si="40"/>
        <v>0</v>
      </c>
      <c r="AG241" s="545">
        <f t="shared" si="40"/>
        <v>0</v>
      </c>
      <c r="AH241" s="545">
        <f t="shared" si="40"/>
        <v>0</v>
      </c>
      <c r="AI241" s="545">
        <f t="shared" si="40"/>
        <v>0</v>
      </c>
      <c r="AJ241" s="678"/>
      <c r="AK241" s="678"/>
      <c r="AL241" s="678"/>
      <c r="AM241" s="678"/>
      <c r="AN241" s="678"/>
    </row>
    <row r="242" spans="1:43" ht="19" customHeight="1" x14ac:dyDescent="0.35">
      <c r="A242" s="429">
        <v>22</v>
      </c>
      <c r="B242" s="427">
        <f t="shared" si="37"/>
        <v>0</v>
      </c>
      <c r="C242" s="545">
        <f t="shared" si="38"/>
        <v>0</v>
      </c>
      <c r="D242" s="545">
        <f t="shared" si="40"/>
        <v>0</v>
      </c>
      <c r="E242" s="545">
        <f t="shared" si="40"/>
        <v>0</v>
      </c>
      <c r="F242" s="545">
        <f t="shared" si="40"/>
        <v>0</v>
      </c>
      <c r="G242" s="545">
        <f t="shared" si="40"/>
        <v>0</v>
      </c>
      <c r="H242" s="545">
        <f t="shared" si="40"/>
        <v>0</v>
      </c>
      <c r="I242" s="545">
        <f t="shared" si="40"/>
        <v>0</v>
      </c>
      <c r="J242" s="545">
        <f t="shared" si="40"/>
        <v>0</v>
      </c>
      <c r="K242" s="545">
        <f t="shared" si="40"/>
        <v>0</v>
      </c>
      <c r="L242" s="545">
        <f t="shared" si="40"/>
        <v>0</v>
      </c>
      <c r="M242" s="545">
        <f t="shared" si="40"/>
        <v>0</v>
      </c>
      <c r="N242" s="545">
        <f t="shared" si="40"/>
        <v>0</v>
      </c>
      <c r="O242" s="545">
        <f t="shared" si="40"/>
        <v>0</v>
      </c>
      <c r="P242" s="545">
        <f t="shared" si="40"/>
        <v>0</v>
      </c>
      <c r="Q242" s="545">
        <f t="shared" si="40"/>
        <v>0</v>
      </c>
      <c r="R242" s="545">
        <f t="shared" si="40"/>
        <v>0</v>
      </c>
      <c r="S242" s="545">
        <f t="shared" si="40"/>
        <v>0</v>
      </c>
      <c r="T242" s="545">
        <f t="shared" si="40"/>
        <v>0</v>
      </c>
      <c r="U242" s="545">
        <f t="shared" si="40"/>
        <v>0</v>
      </c>
      <c r="V242" s="545">
        <f t="shared" si="40"/>
        <v>0</v>
      </c>
      <c r="W242" s="545">
        <f t="shared" si="40"/>
        <v>0</v>
      </c>
      <c r="X242" s="545">
        <f t="shared" si="40"/>
        <v>0</v>
      </c>
      <c r="Y242" s="545">
        <f t="shared" si="40"/>
        <v>0</v>
      </c>
      <c r="Z242" s="545">
        <f t="shared" si="40"/>
        <v>0</v>
      </c>
      <c r="AA242" s="545">
        <f t="shared" si="40"/>
        <v>0</v>
      </c>
      <c r="AB242" s="545">
        <f t="shared" ref="AB242:AI242" si="41">AB32+AB66+AB101+AB136+AB171+AB206</f>
        <v>0</v>
      </c>
      <c r="AC242" s="545">
        <f t="shared" si="41"/>
        <v>0</v>
      </c>
      <c r="AD242" s="545">
        <f t="shared" si="41"/>
        <v>0</v>
      </c>
      <c r="AE242" s="545">
        <f t="shared" si="41"/>
        <v>0</v>
      </c>
      <c r="AF242" s="545">
        <f t="shared" si="41"/>
        <v>0</v>
      </c>
      <c r="AG242" s="545">
        <f t="shared" si="41"/>
        <v>0</v>
      </c>
      <c r="AH242" s="545">
        <f t="shared" si="41"/>
        <v>0</v>
      </c>
      <c r="AI242" s="545">
        <f t="shared" si="41"/>
        <v>0</v>
      </c>
      <c r="AJ242" s="678"/>
      <c r="AK242" s="678"/>
      <c r="AL242" s="678"/>
      <c r="AM242" s="678"/>
      <c r="AN242" s="678"/>
    </row>
    <row r="243" spans="1:43" s="433" customFormat="1" ht="19" customHeight="1" x14ac:dyDescent="0.35">
      <c r="A243" s="419"/>
      <c r="B243" s="419" t="s">
        <v>17</v>
      </c>
      <c r="C243" s="544">
        <f>SUM(C221:C242)</f>
        <v>374</v>
      </c>
      <c r="D243" s="543">
        <f t="shared" ref="D243:AI243" si="42">SUM(D221:D242)</f>
        <v>31</v>
      </c>
      <c r="E243" s="543">
        <f t="shared" si="42"/>
        <v>1</v>
      </c>
      <c r="F243" s="543">
        <f>SUM(F221:F242)</f>
        <v>283</v>
      </c>
      <c r="G243" s="543">
        <f t="shared" ref="G243:H243" si="43">SUM(G221:G242)</f>
        <v>52</v>
      </c>
      <c r="H243" s="543">
        <f t="shared" si="43"/>
        <v>1</v>
      </c>
      <c r="I243" s="543">
        <f t="shared" si="42"/>
        <v>374</v>
      </c>
      <c r="J243" s="543">
        <f t="shared" si="42"/>
        <v>42</v>
      </c>
      <c r="K243" s="543">
        <f t="shared" si="42"/>
        <v>283</v>
      </c>
      <c r="L243" s="543">
        <f t="shared" si="42"/>
        <v>20</v>
      </c>
      <c r="M243" s="543">
        <f t="shared" si="42"/>
        <v>374</v>
      </c>
      <c r="N243" s="543">
        <f t="shared" si="42"/>
        <v>46</v>
      </c>
      <c r="O243" s="543">
        <f t="shared" si="42"/>
        <v>0</v>
      </c>
      <c r="P243" s="543">
        <f t="shared" si="42"/>
        <v>0</v>
      </c>
      <c r="Q243" s="543">
        <f t="shared" si="42"/>
        <v>374</v>
      </c>
      <c r="R243" s="543">
        <f t="shared" si="42"/>
        <v>0</v>
      </c>
      <c r="S243" s="543">
        <f t="shared" si="42"/>
        <v>0</v>
      </c>
      <c r="T243" s="543">
        <f t="shared" si="42"/>
        <v>0</v>
      </c>
      <c r="U243" s="543">
        <f t="shared" si="42"/>
        <v>0</v>
      </c>
      <c r="V243" s="543">
        <f t="shared" si="42"/>
        <v>0</v>
      </c>
      <c r="W243" s="543">
        <f t="shared" si="42"/>
        <v>0</v>
      </c>
      <c r="X243" s="543">
        <f t="shared" si="42"/>
        <v>0</v>
      </c>
      <c r="Y243" s="543">
        <f t="shared" si="42"/>
        <v>0</v>
      </c>
      <c r="Z243" s="543">
        <f t="shared" si="42"/>
        <v>0</v>
      </c>
      <c r="AA243" s="543">
        <f t="shared" si="42"/>
        <v>0</v>
      </c>
      <c r="AB243" s="543">
        <f t="shared" si="42"/>
        <v>0</v>
      </c>
      <c r="AC243" s="543">
        <f t="shared" si="42"/>
        <v>0</v>
      </c>
      <c r="AD243" s="543">
        <f t="shared" si="42"/>
        <v>374</v>
      </c>
      <c r="AE243" s="543">
        <f t="shared" si="42"/>
        <v>0</v>
      </c>
      <c r="AF243" s="543">
        <f t="shared" si="42"/>
        <v>0</v>
      </c>
      <c r="AG243" s="543">
        <f t="shared" si="42"/>
        <v>264</v>
      </c>
      <c r="AH243" s="543">
        <f t="shared" si="42"/>
        <v>116</v>
      </c>
      <c r="AI243" s="543">
        <f t="shared" si="42"/>
        <v>4</v>
      </c>
      <c r="AJ243" s="677">
        <f t="shared" ref="AJ243:AN243" si="44">SUM(AJ221:AJ242)</f>
        <v>0</v>
      </c>
      <c r="AK243" s="677">
        <f t="shared" si="44"/>
        <v>0</v>
      </c>
      <c r="AL243" s="677">
        <f t="shared" si="44"/>
        <v>0</v>
      </c>
      <c r="AM243" s="677">
        <f t="shared" si="44"/>
        <v>0</v>
      </c>
      <c r="AN243" s="677">
        <f t="shared" si="44"/>
        <v>0</v>
      </c>
    </row>
    <row r="244" spans="1:43" ht="19" customHeight="1" x14ac:dyDescent="0.35">
      <c r="A244" s="30"/>
      <c r="B244" s="30"/>
      <c r="C244" s="541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</row>
    <row r="245" spans="1:43" ht="19" customHeight="1" x14ac:dyDescent="0.35">
      <c r="A245" s="30"/>
      <c r="B245" s="30"/>
      <c r="C245" s="541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</row>
    <row r="246" spans="1:43" ht="19" customHeight="1" x14ac:dyDescent="0.35">
      <c r="A246" s="30"/>
      <c r="B246" s="30"/>
      <c r="C246" s="541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</row>
    <row r="247" spans="1:43" s="418" customFormat="1" ht="19" customHeight="1" x14ac:dyDescent="0.35">
      <c r="A247" s="535" t="s">
        <v>147</v>
      </c>
      <c r="B247" s="535"/>
      <c r="C247" s="536" t="s">
        <v>243</v>
      </c>
      <c r="D247" s="535" t="str">
        <f>D2</f>
        <v>PECANGAAN</v>
      </c>
      <c r="E247" s="535"/>
      <c r="F247" s="535"/>
      <c r="G247" s="535"/>
      <c r="H247" s="535"/>
      <c r="I247" s="537"/>
      <c r="J247" s="537"/>
      <c r="K247" s="537"/>
      <c r="L247" s="537"/>
      <c r="M247" s="537"/>
      <c r="N247" s="537"/>
      <c r="O247" s="537"/>
      <c r="P247" s="537"/>
      <c r="Q247" s="537"/>
      <c r="R247" s="537"/>
      <c r="S247" s="537"/>
      <c r="T247" s="537"/>
      <c r="U247" s="537"/>
      <c r="V247" s="537"/>
      <c r="W247" s="537"/>
      <c r="X247" s="537"/>
      <c r="Y247" s="537"/>
      <c r="Z247" s="537"/>
      <c r="AA247" s="537"/>
      <c r="AB247" s="537"/>
      <c r="AC247" s="537"/>
      <c r="AD247" s="537"/>
      <c r="AE247" s="537"/>
      <c r="AF247" s="537"/>
      <c r="AG247" s="537"/>
      <c r="AH247" s="537"/>
      <c r="AI247" s="537"/>
      <c r="AJ247" s="537"/>
      <c r="AK247" s="537"/>
      <c r="AL247" s="537"/>
      <c r="AM247" s="537"/>
    </row>
    <row r="248" spans="1:43" s="418" customFormat="1" ht="19" customHeight="1" x14ac:dyDescent="0.35">
      <c r="A248" s="535" t="s">
        <v>242</v>
      </c>
      <c r="B248" s="535"/>
      <c r="C248" s="536" t="s">
        <v>243</v>
      </c>
      <c r="D248" s="538" t="s">
        <v>397</v>
      </c>
      <c r="E248" s="535"/>
      <c r="F248" s="535"/>
      <c r="G248" s="538"/>
      <c r="H248" s="535"/>
      <c r="I248" s="537"/>
      <c r="J248" s="537"/>
      <c r="K248" s="537"/>
      <c r="L248" s="537"/>
      <c r="M248" s="537"/>
      <c r="N248" s="537"/>
      <c r="O248" s="537"/>
      <c r="P248" s="537"/>
      <c r="Q248" s="537"/>
      <c r="R248" s="537"/>
      <c r="S248" s="537"/>
      <c r="T248" s="537"/>
      <c r="U248" s="537"/>
      <c r="V248" s="537"/>
      <c r="W248" s="537"/>
      <c r="X248" s="537"/>
      <c r="Y248" s="537"/>
      <c r="Z248" s="537"/>
      <c r="AA248" s="537"/>
      <c r="AB248" s="537"/>
      <c r="AC248" s="537"/>
      <c r="AD248" s="537"/>
      <c r="AE248" s="537"/>
      <c r="AF248" s="537"/>
      <c r="AG248" s="537"/>
      <c r="AH248" s="537"/>
      <c r="AI248" s="537"/>
      <c r="AJ248" s="537"/>
      <c r="AK248" s="537"/>
      <c r="AL248" s="537"/>
      <c r="AM248" s="537"/>
    </row>
    <row r="249" spans="1:43" ht="19" customHeight="1" x14ac:dyDescent="0.35">
      <c r="A249" s="539"/>
      <c r="B249" s="539"/>
      <c r="C249" s="540"/>
      <c r="D249" s="539"/>
      <c r="E249" s="539"/>
      <c r="F249" s="539"/>
      <c r="G249" s="539"/>
      <c r="H249" s="539"/>
      <c r="I249" s="416"/>
      <c r="J249" s="416"/>
      <c r="K249" s="416"/>
      <c r="L249" s="416"/>
      <c r="M249" s="416"/>
      <c r="N249" s="416"/>
      <c r="O249" s="416"/>
      <c r="P249" s="416"/>
      <c r="Q249" s="416"/>
      <c r="R249" s="416"/>
      <c r="S249" s="416"/>
      <c r="T249" s="416"/>
      <c r="U249" s="416"/>
      <c r="V249" s="416"/>
      <c r="W249" s="416"/>
      <c r="X249" s="416"/>
      <c r="Y249" s="416"/>
      <c r="Z249" s="416"/>
      <c r="AA249" s="416"/>
      <c r="AB249" s="416"/>
      <c r="AC249" s="416"/>
      <c r="AD249" s="416"/>
      <c r="AE249" s="416"/>
      <c r="AF249" s="416"/>
      <c r="AG249" s="416"/>
      <c r="AH249" s="416"/>
      <c r="AI249" s="416"/>
      <c r="AJ249" s="416"/>
      <c r="AK249" s="416"/>
      <c r="AL249" s="416"/>
      <c r="AM249" s="416"/>
    </row>
    <row r="250" spans="1:43" ht="19" customHeight="1" x14ac:dyDescent="0.35">
      <c r="A250" s="416"/>
      <c r="B250" s="416"/>
      <c r="C250" s="417"/>
      <c r="D250" s="416"/>
      <c r="E250" s="416"/>
      <c r="F250" s="416"/>
      <c r="G250" s="416"/>
      <c r="H250" s="416"/>
      <c r="I250" s="416"/>
      <c r="J250" s="416"/>
      <c r="K250" s="416"/>
      <c r="L250" s="416"/>
      <c r="M250" s="416"/>
      <c r="N250" s="416"/>
      <c r="O250" s="416"/>
      <c r="P250" s="416"/>
      <c r="Q250" s="416"/>
      <c r="R250" s="416"/>
      <c r="S250" s="416"/>
      <c r="T250" s="416"/>
      <c r="U250" s="416"/>
      <c r="V250" s="416"/>
      <c r="W250" s="416"/>
      <c r="X250" s="416"/>
      <c r="Y250" s="416"/>
      <c r="Z250" s="416"/>
      <c r="AA250" s="416"/>
      <c r="AB250" s="416"/>
      <c r="AC250" s="416"/>
      <c r="AD250" s="416"/>
      <c r="AE250" s="416"/>
      <c r="AF250" s="416"/>
      <c r="AG250" s="416"/>
      <c r="AH250" s="416"/>
      <c r="AI250" s="416"/>
      <c r="AJ250" s="416"/>
      <c r="AK250" s="416"/>
      <c r="AL250" s="416"/>
      <c r="AM250" s="416"/>
    </row>
    <row r="251" spans="1:43" s="421" customFormat="1" ht="19" customHeight="1" x14ac:dyDescent="0.35">
      <c r="A251" s="967" t="s">
        <v>244</v>
      </c>
      <c r="B251" s="967" t="s">
        <v>151</v>
      </c>
      <c r="C251" s="960" t="s">
        <v>311</v>
      </c>
      <c r="D251" s="960"/>
      <c r="E251" s="960"/>
      <c r="F251" s="960" t="s">
        <v>312</v>
      </c>
      <c r="G251" s="960"/>
      <c r="H251" s="960"/>
      <c r="I251" s="960" t="s">
        <v>33</v>
      </c>
      <c r="J251" s="960"/>
      <c r="K251" s="970" t="s">
        <v>245</v>
      </c>
      <c r="L251" s="970"/>
      <c r="M251" s="970" t="s">
        <v>246</v>
      </c>
      <c r="N251" s="970"/>
      <c r="O251" s="960" t="s">
        <v>247</v>
      </c>
      <c r="P251" s="960"/>
      <c r="Q251" s="960"/>
      <c r="R251" s="960"/>
      <c r="S251" s="960"/>
      <c r="T251" s="960"/>
      <c r="U251" s="960"/>
      <c r="V251" s="960"/>
      <c r="W251" s="960"/>
      <c r="X251" s="971" t="s">
        <v>247</v>
      </c>
      <c r="Y251" s="960"/>
      <c r="Z251" s="960"/>
      <c r="AA251" s="960"/>
      <c r="AB251" s="960"/>
      <c r="AC251" s="960"/>
      <c r="AD251" s="960"/>
      <c r="AE251" s="960"/>
      <c r="AF251" s="960"/>
      <c r="AG251" s="960"/>
      <c r="AH251" s="960"/>
      <c r="AI251" s="960"/>
      <c r="AJ251" s="975" t="s">
        <v>248</v>
      </c>
      <c r="AK251" s="975"/>
      <c r="AL251" s="975"/>
      <c r="AM251" s="975"/>
      <c r="AN251" s="975"/>
    </row>
    <row r="252" spans="1:43" s="421" customFormat="1" ht="19" customHeight="1" x14ac:dyDescent="0.35">
      <c r="A252" s="968"/>
      <c r="B252" s="968"/>
      <c r="C252" s="961" t="s">
        <v>249</v>
      </c>
      <c r="D252" s="972" t="s">
        <v>250</v>
      </c>
      <c r="E252" s="961" t="s">
        <v>251</v>
      </c>
      <c r="F252" s="961" t="s">
        <v>249</v>
      </c>
      <c r="G252" s="961" t="s">
        <v>250</v>
      </c>
      <c r="H252" s="961" t="s">
        <v>251</v>
      </c>
      <c r="I252" s="961" t="s">
        <v>252</v>
      </c>
      <c r="J252" s="961" t="s">
        <v>253</v>
      </c>
      <c r="K252" s="961" t="s">
        <v>254</v>
      </c>
      <c r="L252" s="961" t="s">
        <v>255</v>
      </c>
      <c r="M252" s="961" t="s">
        <v>254</v>
      </c>
      <c r="N252" s="961" t="s">
        <v>256</v>
      </c>
      <c r="O252" s="965" t="s">
        <v>257</v>
      </c>
      <c r="P252" s="965"/>
      <c r="Q252" s="965"/>
      <c r="R252" s="965"/>
      <c r="S252" s="965"/>
      <c r="T252" s="965" t="s">
        <v>258</v>
      </c>
      <c r="U252" s="965"/>
      <c r="V252" s="965"/>
      <c r="W252" s="965"/>
      <c r="X252" s="966" t="s">
        <v>259</v>
      </c>
      <c r="Y252" s="965"/>
      <c r="Z252" s="965"/>
      <c r="AA252" s="965" t="s">
        <v>260</v>
      </c>
      <c r="AB252" s="965"/>
      <c r="AC252" s="965"/>
      <c r="AD252" s="965" t="s">
        <v>261</v>
      </c>
      <c r="AE252" s="965"/>
      <c r="AF252" s="965"/>
      <c r="AG252" s="965" t="s">
        <v>262</v>
      </c>
      <c r="AH252" s="965"/>
      <c r="AI252" s="965"/>
      <c r="AJ252" s="964" t="s">
        <v>421</v>
      </c>
      <c r="AK252" s="964" t="s">
        <v>263</v>
      </c>
      <c r="AL252" s="964" t="s">
        <v>264</v>
      </c>
      <c r="AM252" s="964" t="s">
        <v>265</v>
      </c>
      <c r="AN252" s="964" t="s">
        <v>424</v>
      </c>
      <c r="AO252" s="423"/>
      <c r="AP252" s="423"/>
      <c r="AQ252" s="423"/>
    </row>
    <row r="253" spans="1:43" s="421" customFormat="1" ht="19" customHeight="1" x14ac:dyDescent="0.35">
      <c r="A253" s="968"/>
      <c r="B253" s="968"/>
      <c r="C253" s="962"/>
      <c r="D253" s="973"/>
      <c r="E253" s="962"/>
      <c r="F253" s="962"/>
      <c r="G253" s="962"/>
      <c r="H253" s="962"/>
      <c r="I253" s="962"/>
      <c r="J253" s="962"/>
      <c r="K253" s="962"/>
      <c r="L253" s="962"/>
      <c r="M253" s="962"/>
      <c r="N253" s="962"/>
      <c r="O253" s="965" t="s">
        <v>266</v>
      </c>
      <c r="P253" s="965" t="s">
        <v>267</v>
      </c>
      <c r="Q253" s="965" t="s">
        <v>268</v>
      </c>
      <c r="R253" s="965" t="s">
        <v>269</v>
      </c>
      <c r="S253" s="965"/>
      <c r="T253" s="965" t="s">
        <v>270</v>
      </c>
      <c r="U253" s="965" t="s">
        <v>271</v>
      </c>
      <c r="V253" s="965" t="s">
        <v>272</v>
      </c>
      <c r="W253" s="965" t="s">
        <v>273</v>
      </c>
      <c r="X253" s="966" t="s">
        <v>274</v>
      </c>
      <c r="Y253" s="965" t="s">
        <v>275</v>
      </c>
      <c r="Z253" s="965" t="s">
        <v>276</v>
      </c>
      <c r="AA253" s="965" t="s">
        <v>277</v>
      </c>
      <c r="AB253" s="965" t="s">
        <v>278</v>
      </c>
      <c r="AC253" s="965" t="s">
        <v>279</v>
      </c>
      <c r="AD253" s="965" t="s">
        <v>280</v>
      </c>
      <c r="AE253" s="965" t="s">
        <v>281</v>
      </c>
      <c r="AF253" s="965" t="s">
        <v>282</v>
      </c>
      <c r="AG253" s="965" t="s">
        <v>283</v>
      </c>
      <c r="AH253" s="965" t="s">
        <v>284</v>
      </c>
      <c r="AI253" s="965" t="s">
        <v>279</v>
      </c>
      <c r="AJ253" s="964"/>
      <c r="AK253" s="964"/>
      <c r="AL253" s="964"/>
      <c r="AM253" s="964"/>
      <c r="AN253" s="964"/>
      <c r="AO253" s="423"/>
      <c r="AP253" s="423"/>
      <c r="AQ253" s="423"/>
    </row>
    <row r="254" spans="1:43" s="421" customFormat="1" ht="19" customHeight="1" x14ac:dyDescent="0.35">
      <c r="A254" s="969"/>
      <c r="B254" s="969"/>
      <c r="C254" s="963"/>
      <c r="D254" s="974"/>
      <c r="E254" s="963"/>
      <c r="F254" s="963"/>
      <c r="G254" s="963"/>
      <c r="H254" s="963"/>
      <c r="I254" s="963"/>
      <c r="J254" s="963"/>
      <c r="K254" s="963"/>
      <c r="L254" s="963"/>
      <c r="M254" s="963"/>
      <c r="N254" s="963"/>
      <c r="O254" s="965"/>
      <c r="P254" s="965"/>
      <c r="Q254" s="965"/>
      <c r="R254" s="422" t="s">
        <v>285</v>
      </c>
      <c r="S254" s="422" t="s">
        <v>286</v>
      </c>
      <c r="T254" s="965"/>
      <c r="U254" s="965"/>
      <c r="V254" s="965"/>
      <c r="W254" s="965"/>
      <c r="X254" s="966"/>
      <c r="Y254" s="965"/>
      <c r="Z254" s="965"/>
      <c r="AA254" s="965"/>
      <c r="AB254" s="965"/>
      <c r="AC254" s="965"/>
      <c r="AD254" s="965"/>
      <c r="AE254" s="965"/>
      <c r="AF254" s="965"/>
      <c r="AG254" s="965"/>
      <c r="AH254" s="965"/>
      <c r="AI254" s="965"/>
      <c r="AJ254" s="964"/>
      <c r="AK254" s="964"/>
      <c r="AL254" s="964"/>
      <c r="AM254" s="964"/>
      <c r="AN254" s="964"/>
      <c r="AO254" s="423"/>
      <c r="AP254" s="423"/>
      <c r="AQ254" s="423"/>
    </row>
    <row r="255" spans="1:43" s="421" customFormat="1" ht="19" customHeight="1" thickBot="1" x14ac:dyDescent="0.4">
      <c r="A255" s="424">
        <v>1</v>
      </c>
      <c r="B255" s="424">
        <v>2</v>
      </c>
      <c r="C255" s="425">
        <v>3</v>
      </c>
      <c r="D255" s="424">
        <v>4</v>
      </c>
      <c r="E255" s="424">
        <v>5</v>
      </c>
      <c r="F255" s="424">
        <v>6</v>
      </c>
      <c r="G255" s="424">
        <v>7</v>
      </c>
      <c r="H255" s="424">
        <v>8</v>
      </c>
      <c r="I255" s="424">
        <v>9</v>
      </c>
      <c r="J255" s="424">
        <v>10</v>
      </c>
      <c r="K255" s="424">
        <v>11</v>
      </c>
      <c r="L255" s="424">
        <v>12</v>
      </c>
      <c r="M255" s="424">
        <v>13</v>
      </c>
      <c r="N255" s="424">
        <v>14</v>
      </c>
      <c r="O255" s="424">
        <v>15</v>
      </c>
      <c r="P255" s="424">
        <v>16</v>
      </c>
      <c r="Q255" s="424">
        <v>17</v>
      </c>
      <c r="R255" s="424">
        <v>18</v>
      </c>
      <c r="S255" s="424">
        <v>19</v>
      </c>
      <c r="T255" s="424">
        <v>20</v>
      </c>
      <c r="U255" s="424">
        <v>21</v>
      </c>
      <c r="V255" s="424">
        <v>22</v>
      </c>
      <c r="W255" s="424">
        <v>23</v>
      </c>
      <c r="X255" s="424">
        <v>24</v>
      </c>
      <c r="Y255" s="424">
        <v>25</v>
      </c>
      <c r="Z255" s="424">
        <v>26</v>
      </c>
      <c r="AA255" s="424">
        <v>27</v>
      </c>
      <c r="AB255" s="424">
        <v>28</v>
      </c>
      <c r="AC255" s="424">
        <v>29</v>
      </c>
      <c r="AD255" s="424">
        <v>30</v>
      </c>
      <c r="AE255" s="424">
        <v>31</v>
      </c>
      <c r="AF255" s="424">
        <v>32</v>
      </c>
      <c r="AG255" s="424">
        <v>33</v>
      </c>
      <c r="AH255" s="424">
        <v>34</v>
      </c>
      <c r="AI255" s="424">
        <v>35</v>
      </c>
      <c r="AJ255" s="424">
        <v>36</v>
      </c>
      <c r="AK255" s="424">
        <v>37</v>
      </c>
      <c r="AL255" s="424">
        <v>38</v>
      </c>
      <c r="AM255" s="424">
        <v>39</v>
      </c>
      <c r="AN255" s="424">
        <v>40</v>
      </c>
    </row>
    <row r="256" spans="1:43" ht="19" customHeight="1" thickTop="1" x14ac:dyDescent="0.35">
      <c r="A256" s="427">
        <v>1</v>
      </c>
      <c r="B256" s="427" t="str">
        <f>PETUNJUK!B9</f>
        <v>Pecangaan Kulon</v>
      </c>
      <c r="C256" s="428">
        <v>0</v>
      </c>
      <c r="D256" s="428">
        <v>0</v>
      </c>
      <c r="E256" s="428">
        <v>0</v>
      </c>
      <c r="F256" s="428">
        <v>0</v>
      </c>
      <c r="G256" s="428">
        <v>0</v>
      </c>
      <c r="H256" s="428">
        <v>0</v>
      </c>
      <c r="I256" s="428">
        <v>0</v>
      </c>
      <c r="J256" s="428">
        <v>0</v>
      </c>
      <c r="K256" s="428">
        <v>0</v>
      </c>
      <c r="L256" s="428">
        <v>0</v>
      </c>
      <c r="M256" s="428">
        <v>0</v>
      </c>
      <c r="N256" s="428">
        <v>0</v>
      </c>
      <c r="O256" s="428">
        <v>0</v>
      </c>
      <c r="P256" s="428">
        <v>0</v>
      </c>
      <c r="Q256" s="428">
        <v>0</v>
      </c>
      <c r="R256" s="428">
        <v>0</v>
      </c>
      <c r="S256" s="428">
        <v>0</v>
      </c>
      <c r="T256" s="428">
        <v>0</v>
      </c>
      <c r="U256" s="428">
        <v>0</v>
      </c>
      <c r="V256" s="428">
        <v>0</v>
      </c>
      <c r="W256" s="428">
        <v>0</v>
      </c>
      <c r="X256" s="428">
        <v>0</v>
      </c>
      <c r="Y256" s="428">
        <v>0</v>
      </c>
      <c r="Z256" s="428">
        <v>0</v>
      </c>
      <c r="AA256" s="428">
        <v>0</v>
      </c>
      <c r="AB256" s="428">
        <v>0</v>
      </c>
      <c r="AC256" s="428">
        <v>0</v>
      </c>
      <c r="AD256" s="428">
        <v>0</v>
      </c>
      <c r="AE256" s="428">
        <v>0</v>
      </c>
      <c r="AF256" s="428">
        <v>0</v>
      </c>
      <c r="AG256" s="428">
        <v>0</v>
      </c>
      <c r="AH256" s="428">
        <v>0</v>
      </c>
      <c r="AI256" s="428">
        <v>0</v>
      </c>
      <c r="AJ256" s="428">
        <v>0</v>
      </c>
      <c r="AK256" s="428">
        <v>0</v>
      </c>
      <c r="AL256" s="428">
        <v>0</v>
      </c>
      <c r="AM256" s="428">
        <v>0</v>
      </c>
      <c r="AN256" s="428">
        <v>0</v>
      </c>
    </row>
    <row r="257" spans="1:40" ht="19" customHeight="1" x14ac:dyDescent="0.35">
      <c r="A257" s="429">
        <v>2</v>
      </c>
      <c r="B257" s="427" t="str">
        <f>PETUNJUK!B10</f>
        <v>Rengging</v>
      </c>
      <c r="C257" s="428">
        <v>0</v>
      </c>
      <c r="D257" s="428">
        <v>0</v>
      </c>
      <c r="E257" s="428">
        <v>0</v>
      </c>
      <c r="F257" s="428">
        <v>0</v>
      </c>
      <c r="G257" s="428">
        <v>0</v>
      </c>
      <c r="H257" s="428">
        <v>0</v>
      </c>
      <c r="I257" s="428">
        <v>0</v>
      </c>
      <c r="J257" s="428">
        <v>0</v>
      </c>
      <c r="K257" s="428">
        <v>0</v>
      </c>
      <c r="L257" s="428">
        <v>0</v>
      </c>
      <c r="M257" s="428">
        <v>0</v>
      </c>
      <c r="N257" s="428">
        <v>0</v>
      </c>
      <c r="O257" s="428">
        <v>0</v>
      </c>
      <c r="P257" s="428">
        <v>0</v>
      </c>
      <c r="Q257" s="428">
        <v>0</v>
      </c>
      <c r="R257" s="428">
        <v>0</v>
      </c>
      <c r="S257" s="428">
        <v>0</v>
      </c>
      <c r="T257" s="428">
        <v>0</v>
      </c>
      <c r="U257" s="428">
        <v>0</v>
      </c>
      <c r="V257" s="428">
        <v>0</v>
      </c>
      <c r="W257" s="428">
        <v>0</v>
      </c>
      <c r="X257" s="428">
        <v>0</v>
      </c>
      <c r="Y257" s="428">
        <v>0</v>
      </c>
      <c r="Z257" s="428">
        <v>0</v>
      </c>
      <c r="AA257" s="428">
        <v>0</v>
      </c>
      <c r="AB257" s="428">
        <v>0</v>
      </c>
      <c r="AC257" s="428">
        <v>0</v>
      </c>
      <c r="AD257" s="428">
        <v>0</v>
      </c>
      <c r="AE257" s="428">
        <v>0</v>
      </c>
      <c r="AF257" s="428">
        <v>0</v>
      </c>
      <c r="AG257" s="428">
        <v>0</v>
      </c>
      <c r="AH257" s="428">
        <v>0</v>
      </c>
      <c r="AI257" s="428">
        <v>0</v>
      </c>
      <c r="AJ257" s="428">
        <v>0</v>
      </c>
      <c r="AK257" s="428">
        <v>0</v>
      </c>
      <c r="AL257" s="428">
        <v>0</v>
      </c>
      <c r="AM257" s="428">
        <v>0</v>
      </c>
      <c r="AN257" s="428">
        <v>0</v>
      </c>
    </row>
    <row r="258" spans="1:40" ht="19" customHeight="1" x14ac:dyDescent="0.35">
      <c r="A258" s="429">
        <v>3</v>
      </c>
      <c r="B258" s="427" t="str">
        <f>PETUNJUK!B11</f>
        <v>Troso</v>
      </c>
      <c r="C258" s="428">
        <v>0</v>
      </c>
      <c r="D258" s="428">
        <v>0</v>
      </c>
      <c r="E258" s="428">
        <v>0</v>
      </c>
      <c r="F258" s="428">
        <v>0</v>
      </c>
      <c r="G258" s="428">
        <v>0</v>
      </c>
      <c r="H258" s="428">
        <v>0</v>
      </c>
      <c r="I258" s="428">
        <v>0</v>
      </c>
      <c r="J258" s="428">
        <v>0</v>
      </c>
      <c r="K258" s="428">
        <v>0</v>
      </c>
      <c r="L258" s="428">
        <v>0</v>
      </c>
      <c r="M258" s="428">
        <v>0</v>
      </c>
      <c r="N258" s="428">
        <v>0</v>
      </c>
      <c r="O258" s="428">
        <v>0</v>
      </c>
      <c r="P258" s="428">
        <v>0</v>
      </c>
      <c r="Q258" s="428">
        <v>0</v>
      </c>
      <c r="R258" s="428">
        <v>0</v>
      </c>
      <c r="S258" s="428">
        <v>0</v>
      </c>
      <c r="T258" s="428">
        <v>0</v>
      </c>
      <c r="U258" s="428">
        <v>0</v>
      </c>
      <c r="V258" s="428">
        <v>0</v>
      </c>
      <c r="W258" s="428">
        <v>0</v>
      </c>
      <c r="X258" s="428">
        <v>0</v>
      </c>
      <c r="Y258" s="428">
        <v>0</v>
      </c>
      <c r="Z258" s="428">
        <v>0</v>
      </c>
      <c r="AA258" s="428">
        <v>0</v>
      </c>
      <c r="AB258" s="428">
        <v>0</v>
      </c>
      <c r="AC258" s="428">
        <v>0</v>
      </c>
      <c r="AD258" s="428">
        <v>0</v>
      </c>
      <c r="AE258" s="428">
        <v>0</v>
      </c>
      <c r="AF258" s="428">
        <v>0</v>
      </c>
      <c r="AG258" s="428">
        <v>0</v>
      </c>
      <c r="AH258" s="428">
        <v>0</v>
      </c>
      <c r="AI258" s="428">
        <v>0</v>
      </c>
      <c r="AJ258" s="428">
        <v>0</v>
      </c>
      <c r="AK258" s="428">
        <v>0</v>
      </c>
      <c r="AL258" s="428">
        <v>0</v>
      </c>
      <c r="AM258" s="428">
        <v>0</v>
      </c>
      <c r="AN258" s="428">
        <v>0</v>
      </c>
    </row>
    <row r="259" spans="1:40" ht="19" customHeight="1" x14ac:dyDescent="0.35">
      <c r="A259" s="429">
        <v>4</v>
      </c>
      <c r="B259" s="427" t="str">
        <f>PETUNJUK!B12</f>
        <v>Ngeling</v>
      </c>
      <c r="C259" s="428">
        <v>0</v>
      </c>
      <c r="D259" s="428">
        <v>0</v>
      </c>
      <c r="E259" s="428">
        <v>0</v>
      </c>
      <c r="F259" s="428">
        <v>0</v>
      </c>
      <c r="G259" s="428">
        <v>0</v>
      </c>
      <c r="H259" s="428">
        <v>0</v>
      </c>
      <c r="I259" s="428">
        <v>0</v>
      </c>
      <c r="J259" s="428">
        <v>0</v>
      </c>
      <c r="K259" s="428">
        <v>0</v>
      </c>
      <c r="L259" s="428">
        <v>0</v>
      </c>
      <c r="M259" s="428">
        <v>0</v>
      </c>
      <c r="N259" s="428">
        <v>0</v>
      </c>
      <c r="O259" s="428">
        <v>0</v>
      </c>
      <c r="P259" s="428">
        <v>0</v>
      </c>
      <c r="Q259" s="428">
        <v>0</v>
      </c>
      <c r="R259" s="428">
        <v>0</v>
      </c>
      <c r="S259" s="428">
        <v>0</v>
      </c>
      <c r="T259" s="428">
        <v>0</v>
      </c>
      <c r="U259" s="428">
        <v>0</v>
      </c>
      <c r="V259" s="428">
        <v>0</v>
      </c>
      <c r="W259" s="428">
        <v>0</v>
      </c>
      <c r="X259" s="428">
        <v>0</v>
      </c>
      <c r="Y259" s="428">
        <v>0</v>
      </c>
      <c r="Z259" s="428">
        <v>0</v>
      </c>
      <c r="AA259" s="428">
        <v>0</v>
      </c>
      <c r="AB259" s="428">
        <v>0</v>
      </c>
      <c r="AC259" s="428">
        <v>0</v>
      </c>
      <c r="AD259" s="428">
        <v>0</v>
      </c>
      <c r="AE259" s="428">
        <v>0</v>
      </c>
      <c r="AF259" s="428">
        <v>0</v>
      </c>
      <c r="AG259" s="428">
        <v>0</v>
      </c>
      <c r="AH259" s="428">
        <v>0</v>
      </c>
      <c r="AI259" s="428">
        <v>0</v>
      </c>
      <c r="AJ259" s="428">
        <v>0</v>
      </c>
      <c r="AK259" s="428">
        <v>0</v>
      </c>
      <c r="AL259" s="428">
        <v>0</v>
      </c>
      <c r="AM259" s="428">
        <v>0</v>
      </c>
      <c r="AN259" s="428">
        <v>0</v>
      </c>
    </row>
    <row r="260" spans="1:40" ht="19" customHeight="1" x14ac:dyDescent="0.35">
      <c r="A260" s="429">
        <v>5</v>
      </c>
      <c r="B260" s="427" t="str">
        <f>PETUNJUK!B13</f>
        <v>Lebuawu</v>
      </c>
      <c r="C260" s="428">
        <v>0</v>
      </c>
      <c r="D260" s="428">
        <v>0</v>
      </c>
      <c r="E260" s="428">
        <v>0</v>
      </c>
      <c r="F260" s="428">
        <v>0</v>
      </c>
      <c r="G260" s="428">
        <v>0</v>
      </c>
      <c r="H260" s="428">
        <v>0</v>
      </c>
      <c r="I260" s="428">
        <v>0</v>
      </c>
      <c r="J260" s="428">
        <v>0</v>
      </c>
      <c r="K260" s="428">
        <v>0</v>
      </c>
      <c r="L260" s="428">
        <v>0</v>
      </c>
      <c r="M260" s="428">
        <v>0</v>
      </c>
      <c r="N260" s="428">
        <v>0</v>
      </c>
      <c r="O260" s="428">
        <v>0</v>
      </c>
      <c r="P260" s="428">
        <v>0</v>
      </c>
      <c r="Q260" s="428">
        <v>0</v>
      </c>
      <c r="R260" s="428">
        <v>0</v>
      </c>
      <c r="S260" s="428">
        <v>0</v>
      </c>
      <c r="T260" s="428">
        <v>0</v>
      </c>
      <c r="U260" s="428">
        <v>0</v>
      </c>
      <c r="V260" s="428">
        <v>0</v>
      </c>
      <c r="W260" s="428">
        <v>0</v>
      </c>
      <c r="X260" s="428">
        <v>0</v>
      </c>
      <c r="Y260" s="428">
        <v>0</v>
      </c>
      <c r="Z260" s="428">
        <v>0</v>
      </c>
      <c r="AA260" s="428">
        <v>0</v>
      </c>
      <c r="AB260" s="428">
        <v>0</v>
      </c>
      <c r="AC260" s="428">
        <v>0</v>
      </c>
      <c r="AD260" s="428">
        <v>0</v>
      </c>
      <c r="AE260" s="428">
        <v>0</v>
      </c>
      <c r="AF260" s="428">
        <v>0</v>
      </c>
      <c r="AG260" s="428">
        <v>0</v>
      </c>
      <c r="AH260" s="428">
        <v>0</v>
      </c>
      <c r="AI260" s="428">
        <v>0</v>
      </c>
      <c r="AJ260" s="428">
        <v>0</v>
      </c>
      <c r="AK260" s="428">
        <v>0</v>
      </c>
      <c r="AL260" s="428">
        <v>0</v>
      </c>
      <c r="AM260" s="428">
        <v>0</v>
      </c>
      <c r="AN260" s="428">
        <v>0</v>
      </c>
    </row>
    <row r="261" spans="1:40" ht="19" customHeight="1" x14ac:dyDescent="0.35">
      <c r="A261" s="429">
        <v>6</v>
      </c>
      <c r="B261" s="427" t="str">
        <f>PETUNJUK!B14</f>
        <v>Pulodarat</v>
      </c>
      <c r="C261" s="428">
        <v>0</v>
      </c>
      <c r="D261" s="428">
        <v>0</v>
      </c>
      <c r="E261" s="428">
        <v>0</v>
      </c>
      <c r="F261" s="428">
        <v>0</v>
      </c>
      <c r="G261" s="428">
        <v>0</v>
      </c>
      <c r="H261" s="428">
        <v>0</v>
      </c>
      <c r="I261" s="428">
        <v>0</v>
      </c>
      <c r="J261" s="428">
        <v>0</v>
      </c>
      <c r="K261" s="428">
        <v>0</v>
      </c>
      <c r="L261" s="428">
        <v>0</v>
      </c>
      <c r="M261" s="428">
        <v>0</v>
      </c>
      <c r="N261" s="428">
        <v>0</v>
      </c>
      <c r="O261" s="428">
        <v>0</v>
      </c>
      <c r="P261" s="428">
        <v>0</v>
      </c>
      <c r="Q261" s="428">
        <v>0</v>
      </c>
      <c r="R261" s="428">
        <v>0</v>
      </c>
      <c r="S261" s="428">
        <v>0</v>
      </c>
      <c r="T261" s="428">
        <v>0</v>
      </c>
      <c r="U261" s="428">
        <v>0</v>
      </c>
      <c r="V261" s="428">
        <v>0</v>
      </c>
      <c r="W261" s="428">
        <v>0</v>
      </c>
      <c r="X261" s="428">
        <v>0</v>
      </c>
      <c r="Y261" s="428">
        <v>0</v>
      </c>
      <c r="Z261" s="428">
        <v>0</v>
      </c>
      <c r="AA261" s="428">
        <v>0</v>
      </c>
      <c r="AB261" s="428">
        <v>0</v>
      </c>
      <c r="AC261" s="428">
        <v>0</v>
      </c>
      <c r="AD261" s="428">
        <v>0</v>
      </c>
      <c r="AE261" s="428">
        <v>0</v>
      </c>
      <c r="AF261" s="428">
        <v>0</v>
      </c>
      <c r="AG261" s="428">
        <v>0</v>
      </c>
      <c r="AH261" s="428">
        <v>0</v>
      </c>
      <c r="AI261" s="428">
        <v>0</v>
      </c>
      <c r="AJ261" s="428">
        <v>0</v>
      </c>
      <c r="AK261" s="428">
        <v>0</v>
      </c>
      <c r="AL261" s="428">
        <v>0</v>
      </c>
      <c r="AM261" s="428">
        <v>0</v>
      </c>
      <c r="AN261" s="428">
        <v>0</v>
      </c>
    </row>
    <row r="262" spans="1:40" ht="19" customHeight="1" x14ac:dyDescent="0.35">
      <c r="A262" s="429">
        <v>7</v>
      </c>
      <c r="B262" s="427" t="str">
        <f>PETUNJUK!B15</f>
        <v>Karangrandu</v>
      </c>
      <c r="C262" s="428">
        <v>0</v>
      </c>
      <c r="D262" s="428">
        <v>0</v>
      </c>
      <c r="E262" s="428">
        <v>0</v>
      </c>
      <c r="F262" s="428">
        <v>0</v>
      </c>
      <c r="G262" s="428">
        <v>0</v>
      </c>
      <c r="H262" s="428">
        <v>0</v>
      </c>
      <c r="I262" s="428">
        <v>0</v>
      </c>
      <c r="J262" s="428">
        <v>0</v>
      </c>
      <c r="K262" s="428">
        <v>0</v>
      </c>
      <c r="L262" s="428">
        <v>0</v>
      </c>
      <c r="M262" s="428">
        <v>0</v>
      </c>
      <c r="N262" s="428">
        <v>0</v>
      </c>
      <c r="O262" s="428">
        <v>0</v>
      </c>
      <c r="P262" s="428">
        <v>0</v>
      </c>
      <c r="Q262" s="428">
        <v>0</v>
      </c>
      <c r="R262" s="428">
        <v>0</v>
      </c>
      <c r="S262" s="428">
        <v>0</v>
      </c>
      <c r="T262" s="428">
        <v>0</v>
      </c>
      <c r="U262" s="428">
        <v>0</v>
      </c>
      <c r="V262" s="428">
        <v>0</v>
      </c>
      <c r="W262" s="428">
        <v>0</v>
      </c>
      <c r="X262" s="428">
        <v>0</v>
      </c>
      <c r="Y262" s="428">
        <v>0</v>
      </c>
      <c r="Z262" s="428">
        <v>0</v>
      </c>
      <c r="AA262" s="428">
        <v>0</v>
      </c>
      <c r="AB262" s="428">
        <v>0</v>
      </c>
      <c r="AC262" s="428">
        <v>0</v>
      </c>
      <c r="AD262" s="428">
        <v>0</v>
      </c>
      <c r="AE262" s="428">
        <v>0</v>
      </c>
      <c r="AF262" s="428">
        <v>0</v>
      </c>
      <c r="AG262" s="428">
        <v>0</v>
      </c>
      <c r="AH262" s="428">
        <v>0</v>
      </c>
      <c r="AI262" s="428">
        <v>0</v>
      </c>
      <c r="AJ262" s="428">
        <v>0</v>
      </c>
      <c r="AK262" s="428">
        <v>0</v>
      </c>
      <c r="AL262" s="428">
        <v>0</v>
      </c>
      <c r="AM262" s="428">
        <v>0</v>
      </c>
      <c r="AN262" s="428">
        <v>0</v>
      </c>
    </row>
    <row r="263" spans="1:40" ht="19" customHeight="1" x14ac:dyDescent="0.35">
      <c r="A263" s="429">
        <v>8</v>
      </c>
      <c r="B263" s="427" t="str">
        <f>PETUNJUK!B16</f>
        <v>Kaliombo</v>
      </c>
      <c r="C263" s="428">
        <v>0</v>
      </c>
      <c r="D263" s="428">
        <v>0</v>
      </c>
      <c r="E263" s="428">
        <v>0</v>
      </c>
      <c r="F263" s="428">
        <v>0</v>
      </c>
      <c r="G263" s="428">
        <v>0</v>
      </c>
      <c r="H263" s="428">
        <v>0</v>
      </c>
      <c r="I263" s="428">
        <v>0</v>
      </c>
      <c r="J263" s="428">
        <v>0</v>
      </c>
      <c r="K263" s="428">
        <v>0</v>
      </c>
      <c r="L263" s="428">
        <v>0</v>
      </c>
      <c r="M263" s="428">
        <v>0</v>
      </c>
      <c r="N263" s="428">
        <v>0</v>
      </c>
      <c r="O263" s="428">
        <v>0</v>
      </c>
      <c r="P263" s="428">
        <v>0</v>
      </c>
      <c r="Q263" s="428">
        <v>0</v>
      </c>
      <c r="R263" s="428">
        <v>0</v>
      </c>
      <c r="S263" s="428">
        <v>0</v>
      </c>
      <c r="T263" s="428">
        <v>0</v>
      </c>
      <c r="U263" s="428">
        <v>0</v>
      </c>
      <c r="V263" s="428">
        <v>0</v>
      </c>
      <c r="W263" s="428">
        <v>0</v>
      </c>
      <c r="X263" s="428">
        <v>0</v>
      </c>
      <c r="Y263" s="428">
        <v>0</v>
      </c>
      <c r="Z263" s="428">
        <v>0</v>
      </c>
      <c r="AA263" s="428">
        <v>0</v>
      </c>
      <c r="AB263" s="428">
        <v>0</v>
      </c>
      <c r="AC263" s="428">
        <v>0</v>
      </c>
      <c r="AD263" s="428">
        <v>0</v>
      </c>
      <c r="AE263" s="428">
        <v>0</v>
      </c>
      <c r="AF263" s="428">
        <v>0</v>
      </c>
      <c r="AG263" s="428">
        <v>0</v>
      </c>
      <c r="AH263" s="428">
        <v>0</v>
      </c>
      <c r="AI263" s="428">
        <v>0</v>
      </c>
      <c r="AJ263" s="428">
        <v>0</v>
      </c>
      <c r="AK263" s="428">
        <v>0</v>
      </c>
      <c r="AL263" s="428">
        <v>0</v>
      </c>
      <c r="AM263" s="428">
        <v>0</v>
      </c>
      <c r="AN263" s="428">
        <v>0</v>
      </c>
    </row>
    <row r="264" spans="1:40" ht="19" customHeight="1" x14ac:dyDescent="0.35">
      <c r="A264" s="429">
        <v>9</v>
      </c>
      <c r="B264" s="427" t="str">
        <f>PETUNJUK!B17</f>
        <v>Gemulung</v>
      </c>
      <c r="C264" s="428">
        <v>0</v>
      </c>
      <c r="D264" s="428">
        <v>0</v>
      </c>
      <c r="E264" s="428">
        <v>0</v>
      </c>
      <c r="F264" s="428">
        <v>0</v>
      </c>
      <c r="G264" s="428">
        <v>0</v>
      </c>
      <c r="H264" s="428">
        <v>0</v>
      </c>
      <c r="I264" s="428">
        <v>0</v>
      </c>
      <c r="J264" s="428">
        <v>0</v>
      </c>
      <c r="K264" s="428">
        <v>0</v>
      </c>
      <c r="L264" s="428">
        <v>0</v>
      </c>
      <c r="M264" s="428">
        <v>0</v>
      </c>
      <c r="N264" s="428">
        <v>0</v>
      </c>
      <c r="O264" s="428">
        <v>0</v>
      </c>
      <c r="P264" s="428">
        <v>0</v>
      </c>
      <c r="Q264" s="428">
        <v>0</v>
      </c>
      <c r="R264" s="428">
        <v>0</v>
      </c>
      <c r="S264" s="428">
        <v>0</v>
      </c>
      <c r="T264" s="428">
        <v>0</v>
      </c>
      <c r="U264" s="428">
        <v>0</v>
      </c>
      <c r="V264" s="428">
        <v>0</v>
      </c>
      <c r="W264" s="428">
        <v>0</v>
      </c>
      <c r="X264" s="428">
        <v>0</v>
      </c>
      <c r="Y264" s="428">
        <v>0</v>
      </c>
      <c r="Z264" s="428">
        <v>0</v>
      </c>
      <c r="AA264" s="428">
        <v>0</v>
      </c>
      <c r="AB264" s="428">
        <v>0</v>
      </c>
      <c r="AC264" s="428">
        <v>0</v>
      </c>
      <c r="AD264" s="428">
        <v>0</v>
      </c>
      <c r="AE264" s="428">
        <v>0</v>
      </c>
      <c r="AF264" s="428">
        <v>0</v>
      </c>
      <c r="AG264" s="428">
        <v>0</v>
      </c>
      <c r="AH264" s="428">
        <v>0</v>
      </c>
      <c r="AI264" s="428">
        <v>0</v>
      </c>
      <c r="AJ264" s="428">
        <v>0</v>
      </c>
      <c r="AK264" s="428">
        <v>0</v>
      </c>
      <c r="AL264" s="428">
        <v>0</v>
      </c>
      <c r="AM264" s="428">
        <v>0</v>
      </c>
      <c r="AN264" s="428">
        <v>0</v>
      </c>
    </row>
    <row r="265" spans="1:40" ht="19" customHeight="1" x14ac:dyDescent="0.35">
      <c r="A265" s="429">
        <v>10</v>
      </c>
      <c r="B265" s="427" t="str">
        <f>PETUNJUK!B18</f>
        <v>Pecangaan Wetan</v>
      </c>
      <c r="C265" s="428">
        <v>0</v>
      </c>
      <c r="D265" s="428">
        <v>0</v>
      </c>
      <c r="E265" s="428">
        <v>0</v>
      </c>
      <c r="F265" s="428">
        <v>0</v>
      </c>
      <c r="G265" s="428">
        <v>0</v>
      </c>
      <c r="H265" s="428">
        <v>0</v>
      </c>
      <c r="I265" s="428">
        <v>0</v>
      </c>
      <c r="J265" s="428">
        <v>0</v>
      </c>
      <c r="K265" s="428">
        <v>0</v>
      </c>
      <c r="L265" s="428">
        <v>0</v>
      </c>
      <c r="M265" s="428">
        <v>0</v>
      </c>
      <c r="N265" s="428">
        <v>0</v>
      </c>
      <c r="O265" s="428">
        <v>0</v>
      </c>
      <c r="P265" s="428">
        <v>0</v>
      </c>
      <c r="Q265" s="428">
        <v>0</v>
      </c>
      <c r="R265" s="428">
        <v>0</v>
      </c>
      <c r="S265" s="428">
        <v>0</v>
      </c>
      <c r="T265" s="428">
        <v>0</v>
      </c>
      <c r="U265" s="428">
        <v>0</v>
      </c>
      <c r="V265" s="428">
        <v>0</v>
      </c>
      <c r="W265" s="428">
        <v>0</v>
      </c>
      <c r="X265" s="428">
        <v>0</v>
      </c>
      <c r="Y265" s="428">
        <v>0</v>
      </c>
      <c r="Z265" s="428">
        <v>0</v>
      </c>
      <c r="AA265" s="428">
        <v>0</v>
      </c>
      <c r="AB265" s="428">
        <v>0</v>
      </c>
      <c r="AC265" s="428">
        <v>0</v>
      </c>
      <c r="AD265" s="428">
        <v>0</v>
      </c>
      <c r="AE265" s="428">
        <v>0</v>
      </c>
      <c r="AF265" s="428">
        <v>0</v>
      </c>
      <c r="AG265" s="428">
        <v>0</v>
      </c>
      <c r="AH265" s="428">
        <v>0</v>
      </c>
      <c r="AI265" s="428">
        <v>0</v>
      </c>
      <c r="AJ265" s="428">
        <v>0</v>
      </c>
      <c r="AK265" s="428">
        <v>0</v>
      </c>
      <c r="AL265" s="428">
        <v>0</v>
      </c>
      <c r="AM265" s="428">
        <v>0</v>
      </c>
      <c r="AN265" s="428">
        <v>0</v>
      </c>
    </row>
    <row r="266" spans="1:40" ht="19" customHeight="1" x14ac:dyDescent="0.35">
      <c r="A266" s="429">
        <v>11</v>
      </c>
      <c r="B266" s="427" t="str">
        <f>PETUNJUK!B19</f>
        <v>Krasak</v>
      </c>
      <c r="C266" s="428">
        <v>0</v>
      </c>
      <c r="D266" s="428">
        <v>0</v>
      </c>
      <c r="E266" s="428">
        <v>0</v>
      </c>
      <c r="F266" s="428">
        <v>0</v>
      </c>
      <c r="G266" s="428">
        <v>0</v>
      </c>
      <c r="H266" s="428">
        <v>0</v>
      </c>
      <c r="I266" s="428">
        <v>0</v>
      </c>
      <c r="J266" s="428">
        <v>0</v>
      </c>
      <c r="K266" s="428">
        <v>0</v>
      </c>
      <c r="L266" s="428">
        <v>0</v>
      </c>
      <c r="M266" s="428">
        <v>0</v>
      </c>
      <c r="N266" s="428">
        <v>0</v>
      </c>
      <c r="O266" s="428">
        <v>0</v>
      </c>
      <c r="P266" s="428">
        <v>0</v>
      </c>
      <c r="Q266" s="428">
        <v>0</v>
      </c>
      <c r="R266" s="428">
        <v>0</v>
      </c>
      <c r="S266" s="428">
        <v>0</v>
      </c>
      <c r="T266" s="428">
        <v>0</v>
      </c>
      <c r="U266" s="428">
        <v>0</v>
      </c>
      <c r="V266" s="428">
        <v>0</v>
      </c>
      <c r="W266" s="428">
        <v>0</v>
      </c>
      <c r="X266" s="428">
        <v>0</v>
      </c>
      <c r="Y266" s="428">
        <v>0</v>
      </c>
      <c r="Z266" s="428">
        <v>0</v>
      </c>
      <c r="AA266" s="428">
        <v>0</v>
      </c>
      <c r="AB266" s="428">
        <v>0</v>
      </c>
      <c r="AC266" s="428">
        <v>0</v>
      </c>
      <c r="AD266" s="428">
        <v>0</v>
      </c>
      <c r="AE266" s="428">
        <v>0</v>
      </c>
      <c r="AF266" s="428">
        <v>0</v>
      </c>
      <c r="AG266" s="428">
        <v>0</v>
      </c>
      <c r="AH266" s="428">
        <v>0</v>
      </c>
      <c r="AI266" s="428">
        <v>0</v>
      </c>
      <c r="AJ266" s="428">
        <v>0</v>
      </c>
      <c r="AK266" s="428">
        <v>0</v>
      </c>
      <c r="AL266" s="428">
        <v>0</v>
      </c>
      <c r="AM266" s="428">
        <v>0</v>
      </c>
      <c r="AN266" s="428">
        <v>0</v>
      </c>
    </row>
    <row r="267" spans="1:40" ht="19" customHeight="1" x14ac:dyDescent="0.35">
      <c r="A267" s="429">
        <v>12</v>
      </c>
      <c r="B267" s="427" t="str">
        <f>PETUNJUK!B20</f>
        <v>Gerdu</v>
      </c>
      <c r="C267" s="428">
        <v>0</v>
      </c>
      <c r="D267" s="428">
        <v>0</v>
      </c>
      <c r="E267" s="428">
        <v>0</v>
      </c>
      <c r="F267" s="428">
        <v>0</v>
      </c>
      <c r="G267" s="428">
        <v>0</v>
      </c>
      <c r="H267" s="428">
        <v>0</v>
      </c>
      <c r="I267" s="428">
        <v>0</v>
      </c>
      <c r="J267" s="428">
        <v>0</v>
      </c>
      <c r="K267" s="428">
        <v>0</v>
      </c>
      <c r="L267" s="428">
        <v>0</v>
      </c>
      <c r="M267" s="428">
        <v>0</v>
      </c>
      <c r="N267" s="428">
        <v>0</v>
      </c>
      <c r="O267" s="428">
        <v>0</v>
      </c>
      <c r="P267" s="428">
        <v>0</v>
      </c>
      <c r="Q267" s="428">
        <v>0</v>
      </c>
      <c r="R267" s="428">
        <v>0</v>
      </c>
      <c r="S267" s="428">
        <v>0</v>
      </c>
      <c r="T267" s="428">
        <v>0</v>
      </c>
      <c r="U267" s="428">
        <v>0</v>
      </c>
      <c r="V267" s="428">
        <v>0</v>
      </c>
      <c r="W267" s="428">
        <v>0</v>
      </c>
      <c r="X267" s="428">
        <v>0</v>
      </c>
      <c r="Y267" s="428">
        <v>0</v>
      </c>
      <c r="Z267" s="428">
        <v>0</v>
      </c>
      <c r="AA267" s="428">
        <v>0</v>
      </c>
      <c r="AB267" s="428">
        <v>0</v>
      </c>
      <c r="AC267" s="428">
        <v>0</v>
      </c>
      <c r="AD267" s="428">
        <v>0</v>
      </c>
      <c r="AE267" s="428">
        <v>0</v>
      </c>
      <c r="AF267" s="428">
        <v>0</v>
      </c>
      <c r="AG267" s="428">
        <v>0</v>
      </c>
      <c r="AH267" s="428">
        <v>0</v>
      </c>
      <c r="AI267" s="428">
        <v>0</v>
      </c>
      <c r="AJ267" s="428">
        <v>0</v>
      </c>
      <c r="AK267" s="428">
        <v>0</v>
      </c>
      <c r="AL267" s="428">
        <v>0</v>
      </c>
      <c r="AM267" s="428">
        <v>0</v>
      </c>
      <c r="AN267" s="428">
        <v>0</v>
      </c>
    </row>
    <row r="268" spans="1:40" ht="19" customHeight="1" x14ac:dyDescent="0.35">
      <c r="A268" s="429">
        <v>13</v>
      </c>
      <c r="B268" s="427">
        <f>PETUNJUK!B21</f>
        <v>0</v>
      </c>
      <c r="C268" s="428">
        <v>0</v>
      </c>
      <c r="D268" s="428">
        <v>0</v>
      </c>
      <c r="E268" s="428">
        <v>0</v>
      </c>
      <c r="F268" s="428">
        <v>0</v>
      </c>
      <c r="G268" s="428">
        <v>0</v>
      </c>
      <c r="H268" s="428">
        <v>0</v>
      </c>
      <c r="I268" s="428">
        <v>0</v>
      </c>
      <c r="J268" s="428">
        <v>0</v>
      </c>
      <c r="K268" s="428">
        <v>0</v>
      </c>
      <c r="L268" s="428">
        <v>0</v>
      </c>
      <c r="M268" s="428">
        <v>0</v>
      </c>
      <c r="N268" s="428">
        <v>0</v>
      </c>
      <c r="O268" s="428">
        <v>0</v>
      </c>
      <c r="P268" s="428">
        <v>0</v>
      </c>
      <c r="Q268" s="428">
        <v>0</v>
      </c>
      <c r="R268" s="428">
        <v>0</v>
      </c>
      <c r="S268" s="428">
        <v>0</v>
      </c>
      <c r="T268" s="428">
        <v>0</v>
      </c>
      <c r="U268" s="428">
        <v>0</v>
      </c>
      <c r="V268" s="428">
        <v>0</v>
      </c>
      <c r="W268" s="428">
        <v>0</v>
      </c>
      <c r="X268" s="428">
        <v>0</v>
      </c>
      <c r="Y268" s="428">
        <v>0</v>
      </c>
      <c r="Z268" s="428">
        <v>0</v>
      </c>
      <c r="AA268" s="428">
        <v>0</v>
      </c>
      <c r="AB268" s="428">
        <v>0</v>
      </c>
      <c r="AC268" s="428">
        <v>0</v>
      </c>
      <c r="AD268" s="428">
        <v>0</v>
      </c>
      <c r="AE268" s="428">
        <v>0</v>
      </c>
      <c r="AF268" s="428">
        <v>0</v>
      </c>
      <c r="AG268" s="428">
        <v>0</v>
      </c>
      <c r="AH268" s="428">
        <v>0</v>
      </c>
      <c r="AI268" s="428">
        <v>0</v>
      </c>
      <c r="AJ268" s="428">
        <v>0</v>
      </c>
      <c r="AK268" s="428">
        <v>0</v>
      </c>
      <c r="AL268" s="428">
        <v>0</v>
      </c>
      <c r="AM268" s="428">
        <v>0</v>
      </c>
      <c r="AN268" s="428">
        <v>0</v>
      </c>
    </row>
    <row r="269" spans="1:40" ht="19" customHeight="1" x14ac:dyDescent="0.35">
      <c r="A269" s="429">
        <v>14</v>
      </c>
      <c r="B269" s="427">
        <f>PETUNJUK!B22</f>
        <v>0</v>
      </c>
      <c r="C269" s="428">
        <v>0</v>
      </c>
      <c r="D269" s="428">
        <v>0</v>
      </c>
      <c r="E269" s="428">
        <v>0</v>
      </c>
      <c r="F269" s="428">
        <v>0</v>
      </c>
      <c r="G269" s="428">
        <v>0</v>
      </c>
      <c r="H269" s="428">
        <v>0</v>
      </c>
      <c r="I269" s="428">
        <v>0</v>
      </c>
      <c r="J269" s="428">
        <v>0</v>
      </c>
      <c r="K269" s="428">
        <v>0</v>
      </c>
      <c r="L269" s="428">
        <v>0</v>
      </c>
      <c r="M269" s="428">
        <v>0</v>
      </c>
      <c r="N269" s="428">
        <v>0</v>
      </c>
      <c r="O269" s="428">
        <v>0</v>
      </c>
      <c r="P269" s="428">
        <v>0</v>
      </c>
      <c r="Q269" s="428">
        <v>0</v>
      </c>
      <c r="R269" s="428">
        <v>0</v>
      </c>
      <c r="S269" s="428">
        <v>0</v>
      </c>
      <c r="T269" s="428">
        <v>0</v>
      </c>
      <c r="U269" s="428">
        <v>0</v>
      </c>
      <c r="V269" s="428">
        <v>0</v>
      </c>
      <c r="W269" s="428">
        <v>0</v>
      </c>
      <c r="X269" s="428">
        <v>0</v>
      </c>
      <c r="Y269" s="428">
        <v>0</v>
      </c>
      <c r="Z269" s="428">
        <v>0</v>
      </c>
      <c r="AA269" s="428">
        <v>0</v>
      </c>
      <c r="AB269" s="428">
        <v>0</v>
      </c>
      <c r="AC269" s="428">
        <v>0</v>
      </c>
      <c r="AD269" s="428">
        <v>0</v>
      </c>
      <c r="AE269" s="428">
        <v>0</v>
      </c>
      <c r="AF269" s="428">
        <v>0</v>
      </c>
      <c r="AG269" s="428">
        <v>0</v>
      </c>
      <c r="AH269" s="428">
        <v>0</v>
      </c>
      <c r="AI269" s="428">
        <v>0</v>
      </c>
      <c r="AJ269" s="428">
        <v>0</v>
      </c>
      <c r="AK269" s="428">
        <v>0</v>
      </c>
      <c r="AL269" s="428">
        <v>0</v>
      </c>
      <c r="AM269" s="428">
        <v>0</v>
      </c>
      <c r="AN269" s="428">
        <v>0</v>
      </c>
    </row>
    <row r="270" spans="1:40" ht="19" customHeight="1" x14ac:dyDescent="0.35">
      <c r="A270" s="429">
        <v>15</v>
      </c>
      <c r="B270" s="427">
        <f>PETUNJUK!B23</f>
        <v>0</v>
      </c>
      <c r="C270" s="428">
        <v>0</v>
      </c>
      <c r="D270" s="428">
        <v>0</v>
      </c>
      <c r="E270" s="428">
        <v>0</v>
      </c>
      <c r="F270" s="428">
        <v>0</v>
      </c>
      <c r="G270" s="428">
        <v>0</v>
      </c>
      <c r="H270" s="428">
        <v>0</v>
      </c>
      <c r="I270" s="428">
        <v>0</v>
      </c>
      <c r="J270" s="428">
        <v>0</v>
      </c>
      <c r="K270" s="428">
        <v>0</v>
      </c>
      <c r="L270" s="428">
        <v>0</v>
      </c>
      <c r="M270" s="428">
        <v>0</v>
      </c>
      <c r="N270" s="428">
        <v>0</v>
      </c>
      <c r="O270" s="428">
        <v>0</v>
      </c>
      <c r="P270" s="428">
        <v>0</v>
      </c>
      <c r="Q270" s="428">
        <v>0</v>
      </c>
      <c r="R270" s="428">
        <v>0</v>
      </c>
      <c r="S270" s="428">
        <v>0</v>
      </c>
      <c r="T270" s="428">
        <v>0</v>
      </c>
      <c r="U270" s="428">
        <v>0</v>
      </c>
      <c r="V270" s="428">
        <v>0</v>
      </c>
      <c r="W270" s="428">
        <v>0</v>
      </c>
      <c r="X270" s="428">
        <v>0</v>
      </c>
      <c r="Y270" s="428">
        <v>0</v>
      </c>
      <c r="Z270" s="428">
        <v>0</v>
      </c>
      <c r="AA270" s="428">
        <v>0</v>
      </c>
      <c r="AB270" s="428">
        <v>0</v>
      </c>
      <c r="AC270" s="428">
        <v>0</v>
      </c>
      <c r="AD270" s="428">
        <v>0</v>
      </c>
      <c r="AE270" s="428">
        <v>0</v>
      </c>
      <c r="AF270" s="428">
        <v>0</v>
      </c>
      <c r="AG270" s="428">
        <v>0</v>
      </c>
      <c r="AH270" s="428">
        <v>0</v>
      </c>
      <c r="AI270" s="428">
        <v>0</v>
      </c>
      <c r="AJ270" s="428">
        <v>0</v>
      </c>
      <c r="AK270" s="428">
        <v>0</v>
      </c>
      <c r="AL270" s="428">
        <v>0</v>
      </c>
      <c r="AM270" s="428">
        <v>0</v>
      </c>
      <c r="AN270" s="428">
        <v>0</v>
      </c>
    </row>
    <row r="271" spans="1:40" ht="19" customHeight="1" x14ac:dyDescent="0.35">
      <c r="A271" s="429">
        <v>16</v>
      </c>
      <c r="B271" s="427">
        <f>PETUNJUK!B24</f>
        <v>0</v>
      </c>
      <c r="C271" s="428">
        <v>0</v>
      </c>
      <c r="D271" s="428">
        <v>0</v>
      </c>
      <c r="E271" s="428">
        <v>0</v>
      </c>
      <c r="F271" s="428">
        <v>0</v>
      </c>
      <c r="G271" s="428">
        <v>0</v>
      </c>
      <c r="H271" s="428">
        <v>0</v>
      </c>
      <c r="I271" s="428">
        <v>0</v>
      </c>
      <c r="J271" s="428">
        <v>0</v>
      </c>
      <c r="K271" s="428">
        <v>0</v>
      </c>
      <c r="L271" s="428">
        <v>0</v>
      </c>
      <c r="M271" s="428">
        <v>0</v>
      </c>
      <c r="N271" s="428">
        <v>0</v>
      </c>
      <c r="O271" s="428">
        <v>0</v>
      </c>
      <c r="P271" s="428">
        <v>0</v>
      </c>
      <c r="Q271" s="428">
        <v>0</v>
      </c>
      <c r="R271" s="428">
        <v>0</v>
      </c>
      <c r="S271" s="428">
        <v>0</v>
      </c>
      <c r="T271" s="428">
        <v>0</v>
      </c>
      <c r="U271" s="428">
        <v>0</v>
      </c>
      <c r="V271" s="428">
        <v>0</v>
      </c>
      <c r="W271" s="428">
        <v>0</v>
      </c>
      <c r="X271" s="428">
        <v>0</v>
      </c>
      <c r="Y271" s="428">
        <v>0</v>
      </c>
      <c r="Z271" s="428">
        <v>0</v>
      </c>
      <c r="AA271" s="428">
        <v>0</v>
      </c>
      <c r="AB271" s="428">
        <v>0</v>
      </c>
      <c r="AC271" s="428">
        <v>0</v>
      </c>
      <c r="AD271" s="428">
        <v>0</v>
      </c>
      <c r="AE271" s="428">
        <v>0</v>
      </c>
      <c r="AF271" s="428">
        <v>0</v>
      </c>
      <c r="AG271" s="428">
        <v>0</v>
      </c>
      <c r="AH271" s="428">
        <v>0</v>
      </c>
      <c r="AI271" s="428">
        <v>0</v>
      </c>
      <c r="AJ271" s="428">
        <v>0</v>
      </c>
      <c r="AK271" s="428">
        <v>0</v>
      </c>
      <c r="AL271" s="428">
        <v>0</v>
      </c>
      <c r="AM271" s="428">
        <v>0</v>
      </c>
      <c r="AN271" s="428">
        <v>0</v>
      </c>
    </row>
    <row r="272" spans="1:40" ht="19" customHeight="1" x14ac:dyDescent="0.35">
      <c r="A272" s="429">
        <v>17</v>
      </c>
      <c r="B272" s="427">
        <f>PETUNJUK!B25</f>
        <v>0</v>
      </c>
      <c r="C272" s="428">
        <v>0</v>
      </c>
      <c r="D272" s="428">
        <v>0</v>
      </c>
      <c r="E272" s="428">
        <v>0</v>
      </c>
      <c r="F272" s="428">
        <v>0</v>
      </c>
      <c r="G272" s="428">
        <v>0</v>
      </c>
      <c r="H272" s="428">
        <v>0</v>
      </c>
      <c r="I272" s="428">
        <v>0</v>
      </c>
      <c r="J272" s="428">
        <v>0</v>
      </c>
      <c r="K272" s="428">
        <v>0</v>
      </c>
      <c r="L272" s="428">
        <v>0</v>
      </c>
      <c r="M272" s="428">
        <v>0</v>
      </c>
      <c r="N272" s="428">
        <v>0</v>
      </c>
      <c r="O272" s="428">
        <v>0</v>
      </c>
      <c r="P272" s="428">
        <v>0</v>
      </c>
      <c r="Q272" s="428">
        <v>0</v>
      </c>
      <c r="R272" s="428">
        <v>0</v>
      </c>
      <c r="S272" s="428">
        <v>0</v>
      </c>
      <c r="T272" s="428">
        <v>0</v>
      </c>
      <c r="U272" s="428">
        <v>0</v>
      </c>
      <c r="V272" s="428">
        <v>0</v>
      </c>
      <c r="W272" s="428">
        <v>0</v>
      </c>
      <c r="X272" s="428">
        <v>0</v>
      </c>
      <c r="Y272" s="428">
        <v>0</v>
      </c>
      <c r="Z272" s="428">
        <v>0</v>
      </c>
      <c r="AA272" s="428">
        <v>0</v>
      </c>
      <c r="AB272" s="428">
        <v>0</v>
      </c>
      <c r="AC272" s="428">
        <v>0</v>
      </c>
      <c r="AD272" s="428">
        <v>0</v>
      </c>
      <c r="AE272" s="428">
        <v>0</v>
      </c>
      <c r="AF272" s="428">
        <v>0</v>
      </c>
      <c r="AG272" s="428">
        <v>0</v>
      </c>
      <c r="AH272" s="428">
        <v>0</v>
      </c>
      <c r="AI272" s="428">
        <v>0</v>
      </c>
      <c r="AJ272" s="428">
        <v>0</v>
      </c>
      <c r="AK272" s="428">
        <v>0</v>
      </c>
      <c r="AL272" s="428">
        <v>0</v>
      </c>
      <c r="AM272" s="428">
        <v>0</v>
      </c>
      <c r="AN272" s="428">
        <v>0</v>
      </c>
    </row>
    <row r="273" spans="1:43" ht="19" customHeight="1" x14ac:dyDescent="0.35">
      <c r="A273" s="429">
        <v>18</v>
      </c>
      <c r="B273" s="427">
        <f>PETUNJUK!B26</f>
        <v>0</v>
      </c>
      <c r="C273" s="428">
        <v>0</v>
      </c>
      <c r="D273" s="428">
        <v>0</v>
      </c>
      <c r="E273" s="428">
        <v>0</v>
      </c>
      <c r="F273" s="428">
        <v>0</v>
      </c>
      <c r="G273" s="428">
        <v>0</v>
      </c>
      <c r="H273" s="428">
        <v>0</v>
      </c>
      <c r="I273" s="428">
        <v>0</v>
      </c>
      <c r="J273" s="428">
        <v>0</v>
      </c>
      <c r="K273" s="428">
        <v>0</v>
      </c>
      <c r="L273" s="428">
        <v>0</v>
      </c>
      <c r="M273" s="428">
        <v>0</v>
      </c>
      <c r="N273" s="428">
        <v>0</v>
      </c>
      <c r="O273" s="428">
        <v>0</v>
      </c>
      <c r="P273" s="428">
        <v>0</v>
      </c>
      <c r="Q273" s="428">
        <v>0</v>
      </c>
      <c r="R273" s="428">
        <v>0</v>
      </c>
      <c r="S273" s="428">
        <v>0</v>
      </c>
      <c r="T273" s="428">
        <v>0</v>
      </c>
      <c r="U273" s="428">
        <v>0</v>
      </c>
      <c r="V273" s="428">
        <v>0</v>
      </c>
      <c r="W273" s="428">
        <v>0</v>
      </c>
      <c r="X273" s="428">
        <v>0</v>
      </c>
      <c r="Y273" s="428">
        <v>0</v>
      </c>
      <c r="Z273" s="428">
        <v>0</v>
      </c>
      <c r="AA273" s="428">
        <v>0</v>
      </c>
      <c r="AB273" s="428">
        <v>0</v>
      </c>
      <c r="AC273" s="428">
        <v>0</v>
      </c>
      <c r="AD273" s="428">
        <v>0</v>
      </c>
      <c r="AE273" s="428">
        <v>0</v>
      </c>
      <c r="AF273" s="428">
        <v>0</v>
      </c>
      <c r="AG273" s="428">
        <v>0</v>
      </c>
      <c r="AH273" s="428">
        <v>0</v>
      </c>
      <c r="AI273" s="428">
        <v>0</v>
      </c>
      <c r="AJ273" s="428">
        <v>0</v>
      </c>
      <c r="AK273" s="428">
        <v>0</v>
      </c>
      <c r="AL273" s="428">
        <v>0</v>
      </c>
      <c r="AM273" s="428">
        <v>0</v>
      </c>
      <c r="AN273" s="428">
        <v>0</v>
      </c>
    </row>
    <row r="274" spans="1:43" ht="19" customHeight="1" x14ac:dyDescent="0.35">
      <c r="A274" s="429">
        <v>19</v>
      </c>
      <c r="B274" s="427">
        <f>PETUNJUK!B27</f>
        <v>0</v>
      </c>
      <c r="C274" s="428">
        <v>0</v>
      </c>
      <c r="D274" s="428">
        <v>0</v>
      </c>
      <c r="E274" s="428">
        <v>0</v>
      </c>
      <c r="F274" s="428">
        <v>0</v>
      </c>
      <c r="G274" s="428">
        <v>0</v>
      </c>
      <c r="H274" s="428">
        <v>0</v>
      </c>
      <c r="I274" s="428">
        <v>0</v>
      </c>
      <c r="J274" s="428">
        <v>0</v>
      </c>
      <c r="K274" s="428">
        <v>0</v>
      </c>
      <c r="L274" s="428">
        <v>0</v>
      </c>
      <c r="M274" s="428">
        <v>0</v>
      </c>
      <c r="N274" s="428">
        <v>0</v>
      </c>
      <c r="O274" s="428">
        <v>0</v>
      </c>
      <c r="P274" s="428">
        <v>0</v>
      </c>
      <c r="Q274" s="428">
        <v>0</v>
      </c>
      <c r="R274" s="428">
        <v>0</v>
      </c>
      <c r="S274" s="428">
        <v>0</v>
      </c>
      <c r="T274" s="428">
        <v>0</v>
      </c>
      <c r="U274" s="428">
        <v>0</v>
      </c>
      <c r="V274" s="428">
        <v>0</v>
      </c>
      <c r="W274" s="428">
        <v>0</v>
      </c>
      <c r="X274" s="428">
        <v>0</v>
      </c>
      <c r="Y274" s="428">
        <v>0</v>
      </c>
      <c r="Z274" s="428">
        <v>0</v>
      </c>
      <c r="AA274" s="428">
        <v>0</v>
      </c>
      <c r="AB274" s="428">
        <v>0</v>
      </c>
      <c r="AC274" s="428">
        <v>0</v>
      </c>
      <c r="AD274" s="428">
        <v>0</v>
      </c>
      <c r="AE274" s="428">
        <v>0</v>
      </c>
      <c r="AF274" s="428">
        <v>0</v>
      </c>
      <c r="AG274" s="428">
        <v>0</v>
      </c>
      <c r="AH274" s="428">
        <v>0</v>
      </c>
      <c r="AI274" s="428">
        <v>0</v>
      </c>
      <c r="AJ274" s="428">
        <v>0</v>
      </c>
      <c r="AK274" s="428">
        <v>0</v>
      </c>
      <c r="AL274" s="428">
        <v>0</v>
      </c>
      <c r="AM274" s="428">
        <v>0</v>
      </c>
      <c r="AN274" s="428">
        <v>0</v>
      </c>
    </row>
    <row r="275" spans="1:43" ht="19" customHeight="1" x14ac:dyDescent="0.35">
      <c r="A275" s="429">
        <v>20</v>
      </c>
      <c r="B275" s="427">
        <f>PETUNJUK!B28</f>
        <v>0</v>
      </c>
      <c r="C275" s="428">
        <v>0</v>
      </c>
      <c r="D275" s="428">
        <v>0</v>
      </c>
      <c r="E275" s="428">
        <v>0</v>
      </c>
      <c r="F275" s="428">
        <v>0</v>
      </c>
      <c r="G275" s="428">
        <v>0</v>
      </c>
      <c r="H275" s="428">
        <v>0</v>
      </c>
      <c r="I275" s="428">
        <v>0</v>
      </c>
      <c r="J275" s="428">
        <v>0</v>
      </c>
      <c r="K275" s="428">
        <v>0</v>
      </c>
      <c r="L275" s="428">
        <v>0</v>
      </c>
      <c r="M275" s="428">
        <v>0</v>
      </c>
      <c r="N275" s="428">
        <v>0</v>
      </c>
      <c r="O275" s="428">
        <v>0</v>
      </c>
      <c r="P275" s="428">
        <v>0</v>
      </c>
      <c r="Q275" s="428">
        <v>0</v>
      </c>
      <c r="R275" s="428">
        <v>0</v>
      </c>
      <c r="S275" s="428">
        <v>0</v>
      </c>
      <c r="T275" s="428">
        <v>0</v>
      </c>
      <c r="U275" s="428">
        <v>0</v>
      </c>
      <c r="V275" s="428">
        <v>0</v>
      </c>
      <c r="W275" s="428">
        <v>0</v>
      </c>
      <c r="X275" s="428">
        <v>0</v>
      </c>
      <c r="Y275" s="428">
        <v>0</v>
      </c>
      <c r="Z275" s="428">
        <v>0</v>
      </c>
      <c r="AA275" s="428">
        <v>0</v>
      </c>
      <c r="AB275" s="428">
        <v>0</v>
      </c>
      <c r="AC275" s="428">
        <v>0</v>
      </c>
      <c r="AD275" s="428">
        <v>0</v>
      </c>
      <c r="AE275" s="428">
        <v>0</v>
      </c>
      <c r="AF275" s="428">
        <v>0</v>
      </c>
      <c r="AG275" s="428">
        <v>0</v>
      </c>
      <c r="AH275" s="428">
        <v>0</v>
      </c>
      <c r="AI275" s="428">
        <v>0</v>
      </c>
      <c r="AJ275" s="428">
        <v>0</v>
      </c>
      <c r="AK275" s="428">
        <v>0</v>
      </c>
      <c r="AL275" s="428">
        <v>0</v>
      </c>
      <c r="AM275" s="428">
        <v>0</v>
      </c>
      <c r="AN275" s="428">
        <v>0</v>
      </c>
    </row>
    <row r="276" spans="1:43" ht="19" customHeight="1" x14ac:dyDescent="0.35">
      <c r="A276" s="429">
        <v>21</v>
      </c>
      <c r="B276" s="427">
        <f>PETUNJUK!B29</f>
        <v>0</v>
      </c>
      <c r="C276" s="428">
        <v>0</v>
      </c>
      <c r="D276" s="428">
        <v>0</v>
      </c>
      <c r="E276" s="428">
        <v>0</v>
      </c>
      <c r="F276" s="428">
        <v>0</v>
      </c>
      <c r="G276" s="428">
        <v>0</v>
      </c>
      <c r="H276" s="428">
        <v>0</v>
      </c>
      <c r="I276" s="428">
        <v>0</v>
      </c>
      <c r="J276" s="428">
        <v>0</v>
      </c>
      <c r="K276" s="428">
        <v>0</v>
      </c>
      <c r="L276" s="428">
        <v>0</v>
      </c>
      <c r="M276" s="428">
        <v>0</v>
      </c>
      <c r="N276" s="428">
        <v>0</v>
      </c>
      <c r="O276" s="428">
        <v>0</v>
      </c>
      <c r="P276" s="428">
        <v>0</v>
      </c>
      <c r="Q276" s="428">
        <v>0</v>
      </c>
      <c r="R276" s="428">
        <v>0</v>
      </c>
      <c r="S276" s="428">
        <v>0</v>
      </c>
      <c r="T276" s="428">
        <v>0</v>
      </c>
      <c r="U276" s="428">
        <v>0</v>
      </c>
      <c r="V276" s="428">
        <v>0</v>
      </c>
      <c r="W276" s="428">
        <v>0</v>
      </c>
      <c r="X276" s="428">
        <v>0</v>
      </c>
      <c r="Y276" s="428">
        <v>0</v>
      </c>
      <c r="Z276" s="428">
        <v>0</v>
      </c>
      <c r="AA276" s="428">
        <v>0</v>
      </c>
      <c r="AB276" s="428">
        <v>0</v>
      </c>
      <c r="AC276" s="428">
        <v>0</v>
      </c>
      <c r="AD276" s="428">
        <v>0</v>
      </c>
      <c r="AE276" s="428">
        <v>0</v>
      </c>
      <c r="AF276" s="428">
        <v>0</v>
      </c>
      <c r="AG276" s="428">
        <v>0</v>
      </c>
      <c r="AH276" s="428">
        <v>0</v>
      </c>
      <c r="AI276" s="428">
        <v>0</v>
      </c>
      <c r="AJ276" s="428">
        <v>0</v>
      </c>
      <c r="AK276" s="428">
        <v>0</v>
      </c>
      <c r="AL276" s="428">
        <v>0</v>
      </c>
      <c r="AM276" s="428">
        <v>0</v>
      </c>
      <c r="AN276" s="428">
        <v>0</v>
      </c>
    </row>
    <row r="277" spans="1:43" ht="19" customHeight="1" x14ac:dyDescent="0.35">
      <c r="A277" s="429">
        <v>22</v>
      </c>
      <c r="B277" s="427">
        <f>PETUNJUK!B30</f>
        <v>0</v>
      </c>
      <c r="C277" s="428">
        <v>0</v>
      </c>
      <c r="D277" s="428">
        <v>0</v>
      </c>
      <c r="E277" s="428">
        <v>0</v>
      </c>
      <c r="F277" s="428">
        <v>0</v>
      </c>
      <c r="G277" s="428">
        <v>0</v>
      </c>
      <c r="H277" s="428">
        <v>0</v>
      </c>
      <c r="I277" s="428">
        <v>0</v>
      </c>
      <c r="J277" s="428">
        <v>0</v>
      </c>
      <c r="K277" s="428">
        <v>0</v>
      </c>
      <c r="L277" s="428">
        <v>0</v>
      </c>
      <c r="M277" s="428">
        <v>0</v>
      </c>
      <c r="N277" s="428">
        <v>0</v>
      </c>
      <c r="O277" s="428">
        <v>0</v>
      </c>
      <c r="P277" s="428">
        <v>0</v>
      </c>
      <c r="Q277" s="428">
        <v>0</v>
      </c>
      <c r="R277" s="428">
        <v>0</v>
      </c>
      <c r="S277" s="428">
        <v>0</v>
      </c>
      <c r="T277" s="428">
        <v>0</v>
      </c>
      <c r="U277" s="428">
        <v>0</v>
      </c>
      <c r="V277" s="428">
        <v>0</v>
      </c>
      <c r="W277" s="428">
        <v>0</v>
      </c>
      <c r="X277" s="428">
        <v>0</v>
      </c>
      <c r="Y277" s="428">
        <v>0</v>
      </c>
      <c r="Z277" s="428">
        <v>0</v>
      </c>
      <c r="AA277" s="428">
        <v>0</v>
      </c>
      <c r="AB277" s="428">
        <v>0</v>
      </c>
      <c r="AC277" s="428">
        <v>0</v>
      </c>
      <c r="AD277" s="428">
        <v>0</v>
      </c>
      <c r="AE277" s="428">
        <v>0</v>
      </c>
      <c r="AF277" s="428">
        <v>0</v>
      </c>
      <c r="AG277" s="428">
        <v>0</v>
      </c>
      <c r="AH277" s="428">
        <v>0</v>
      </c>
      <c r="AI277" s="428">
        <v>0</v>
      </c>
      <c r="AJ277" s="428">
        <v>0</v>
      </c>
      <c r="AK277" s="428">
        <v>0</v>
      </c>
      <c r="AL277" s="428">
        <v>0</v>
      </c>
      <c r="AM277" s="428">
        <v>0</v>
      </c>
      <c r="AN277" s="428">
        <v>0</v>
      </c>
    </row>
    <row r="278" spans="1:43" s="433" customFormat="1" ht="19" customHeight="1" x14ac:dyDescent="0.35">
      <c r="A278" s="419"/>
      <c r="B278" s="419" t="s">
        <v>17</v>
      </c>
      <c r="C278" s="420">
        <f>SUM(C256:C277)</f>
        <v>0</v>
      </c>
      <c r="D278" s="419">
        <f t="shared" ref="D278:AI278" si="45">SUM(D256:D277)</f>
        <v>0</v>
      </c>
      <c r="E278" s="419">
        <f t="shared" si="45"/>
        <v>0</v>
      </c>
      <c r="F278" s="419">
        <f>SUM(F256:F277)</f>
        <v>0</v>
      </c>
      <c r="G278" s="419">
        <f t="shared" ref="G278:H278" si="46">SUM(G256:G277)</f>
        <v>0</v>
      </c>
      <c r="H278" s="419">
        <f t="shared" si="46"/>
        <v>0</v>
      </c>
      <c r="I278" s="419">
        <f t="shared" si="45"/>
        <v>0</v>
      </c>
      <c r="J278" s="419">
        <f t="shared" si="45"/>
        <v>0</v>
      </c>
      <c r="K278" s="419">
        <f t="shared" si="45"/>
        <v>0</v>
      </c>
      <c r="L278" s="419">
        <f t="shared" si="45"/>
        <v>0</v>
      </c>
      <c r="M278" s="419">
        <f t="shared" si="45"/>
        <v>0</v>
      </c>
      <c r="N278" s="419">
        <f t="shared" si="45"/>
        <v>0</v>
      </c>
      <c r="O278" s="419">
        <f t="shared" si="45"/>
        <v>0</v>
      </c>
      <c r="P278" s="419">
        <f t="shared" si="45"/>
        <v>0</v>
      </c>
      <c r="Q278" s="419">
        <f t="shared" si="45"/>
        <v>0</v>
      </c>
      <c r="R278" s="419">
        <f t="shared" si="45"/>
        <v>0</v>
      </c>
      <c r="S278" s="419">
        <f t="shared" si="45"/>
        <v>0</v>
      </c>
      <c r="T278" s="419">
        <f t="shared" si="45"/>
        <v>0</v>
      </c>
      <c r="U278" s="419">
        <f t="shared" si="45"/>
        <v>0</v>
      </c>
      <c r="V278" s="419">
        <f t="shared" si="45"/>
        <v>0</v>
      </c>
      <c r="W278" s="419">
        <f t="shared" si="45"/>
        <v>0</v>
      </c>
      <c r="X278" s="419">
        <f t="shared" si="45"/>
        <v>0</v>
      </c>
      <c r="Y278" s="419">
        <f t="shared" si="45"/>
        <v>0</v>
      </c>
      <c r="Z278" s="419">
        <f t="shared" si="45"/>
        <v>0</v>
      </c>
      <c r="AA278" s="419">
        <f t="shared" si="45"/>
        <v>0</v>
      </c>
      <c r="AB278" s="419">
        <f t="shared" si="45"/>
        <v>0</v>
      </c>
      <c r="AC278" s="419">
        <f t="shared" si="45"/>
        <v>0</v>
      </c>
      <c r="AD278" s="419">
        <f t="shared" si="45"/>
        <v>0</v>
      </c>
      <c r="AE278" s="419">
        <f t="shared" si="45"/>
        <v>0</v>
      </c>
      <c r="AF278" s="419">
        <f t="shared" si="45"/>
        <v>0</v>
      </c>
      <c r="AG278" s="419">
        <f t="shared" si="45"/>
        <v>0</v>
      </c>
      <c r="AH278" s="419">
        <f t="shared" si="45"/>
        <v>0</v>
      </c>
      <c r="AI278" s="419">
        <f t="shared" si="45"/>
        <v>0</v>
      </c>
      <c r="AJ278" s="677">
        <f t="shared" ref="AJ278:AN278" si="47">SUM(AJ256:AJ277)</f>
        <v>0</v>
      </c>
      <c r="AK278" s="677">
        <f t="shared" si="47"/>
        <v>0</v>
      </c>
      <c r="AL278" s="677">
        <f t="shared" si="47"/>
        <v>0</v>
      </c>
      <c r="AM278" s="677">
        <f t="shared" si="47"/>
        <v>0</v>
      </c>
      <c r="AN278" s="677">
        <f t="shared" si="47"/>
        <v>0</v>
      </c>
    </row>
    <row r="279" spans="1:43" ht="19" customHeight="1" x14ac:dyDescent="0.35">
      <c r="A279" s="30"/>
      <c r="B279" s="30"/>
      <c r="C279" s="541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</row>
    <row r="280" spans="1:43" ht="19" customHeight="1" x14ac:dyDescent="0.35">
      <c r="A280" s="30"/>
      <c r="B280" s="30"/>
      <c r="C280" s="541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</row>
    <row r="281" spans="1:43" ht="19" customHeight="1" x14ac:dyDescent="0.35">
      <c r="A281" s="30"/>
      <c r="B281" s="30"/>
      <c r="C281" s="541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</row>
    <row r="282" spans="1:43" s="434" customFormat="1" ht="19" customHeight="1" x14ac:dyDescent="0.35">
      <c r="A282" s="535" t="s">
        <v>147</v>
      </c>
      <c r="B282" s="535"/>
      <c r="C282" s="536" t="s">
        <v>243</v>
      </c>
      <c r="D282" s="535" t="str">
        <f>D2</f>
        <v>PECANGAAN</v>
      </c>
      <c r="E282" s="535"/>
      <c r="F282" s="535"/>
      <c r="G282" s="535"/>
      <c r="H282" s="535"/>
      <c r="I282" s="535"/>
      <c r="J282" s="535"/>
      <c r="K282" s="535"/>
      <c r="L282" s="535"/>
      <c r="M282" s="535"/>
      <c r="N282" s="535"/>
      <c r="O282" s="535"/>
      <c r="P282" s="535"/>
      <c r="Q282" s="535"/>
      <c r="R282" s="535"/>
      <c r="S282" s="535"/>
      <c r="T282" s="535"/>
      <c r="U282" s="535"/>
      <c r="V282" s="535"/>
      <c r="W282" s="535"/>
      <c r="X282" s="535"/>
      <c r="Y282" s="535"/>
      <c r="Z282" s="535"/>
      <c r="AA282" s="535"/>
      <c r="AB282" s="535"/>
      <c r="AC282" s="535"/>
      <c r="AD282" s="535"/>
      <c r="AE282" s="535"/>
      <c r="AF282" s="535"/>
      <c r="AG282" s="535"/>
      <c r="AH282" s="535"/>
      <c r="AI282" s="535"/>
      <c r="AJ282" s="535"/>
      <c r="AK282" s="535"/>
      <c r="AL282" s="535"/>
      <c r="AM282" s="535"/>
    </row>
    <row r="283" spans="1:43" s="434" customFormat="1" ht="19" customHeight="1" x14ac:dyDescent="0.35">
      <c r="A283" s="535" t="s">
        <v>242</v>
      </c>
      <c r="B283" s="535"/>
      <c r="C283" s="536" t="s">
        <v>243</v>
      </c>
      <c r="D283" s="538" t="s">
        <v>386</v>
      </c>
      <c r="E283" s="535"/>
      <c r="F283" s="535"/>
      <c r="G283" s="538"/>
      <c r="H283" s="535"/>
      <c r="I283" s="535"/>
      <c r="J283" s="535"/>
      <c r="K283" s="535"/>
      <c r="L283" s="535"/>
      <c r="M283" s="535"/>
      <c r="N283" s="535"/>
      <c r="O283" s="535"/>
      <c r="P283" s="535"/>
      <c r="Q283" s="535"/>
      <c r="R283" s="535"/>
      <c r="S283" s="535"/>
      <c r="T283" s="535"/>
      <c r="U283" s="535"/>
      <c r="V283" s="535"/>
      <c r="W283" s="535"/>
      <c r="X283" s="535"/>
      <c r="Y283" s="535"/>
      <c r="Z283" s="535"/>
      <c r="AA283" s="535"/>
      <c r="AB283" s="535"/>
      <c r="AC283" s="535"/>
      <c r="AD283" s="535"/>
      <c r="AE283" s="535"/>
      <c r="AF283" s="535"/>
      <c r="AG283" s="535"/>
      <c r="AH283" s="535"/>
      <c r="AI283" s="535"/>
      <c r="AJ283" s="535"/>
      <c r="AK283" s="535"/>
      <c r="AL283" s="535"/>
      <c r="AM283" s="535"/>
    </row>
    <row r="284" spans="1:43" ht="19" customHeight="1" x14ac:dyDescent="0.35">
      <c r="A284" s="539"/>
      <c r="B284" s="539"/>
      <c r="C284" s="540"/>
      <c r="D284" s="539"/>
      <c r="E284" s="539"/>
      <c r="F284" s="539"/>
      <c r="G284" s="539"/>
      <c r="H284" s="539"/>
      <c r="I284" s="416"/>
      <c r="J284" s="416"/>
      <c r="K284" s="416"/>
      <c r="L284" s="416"/>
      <c r="M284" s="416"/>
      <c r="N284" s="416"/>
      <c r="O284" s="416"/>
      <c r="P284" s="416"/>
      <c r="Q284" s="416"/>
      <c r="R284" s="416"/>
      <c r="S284" s="416"/>
      <c r="T284" s="416"/>
      <c r="U284" s="416"/>
      <c r="V284" s="416"/>
      <c r="W284" s="416"/>
      <c r="X284" s="416"/>
      <c r="Y284" s="416"/>
      <c r="Z284" s="416"/>
      <c r="AA284" s="416"/>
      <c r="AB284" s="416"/>
      <c r="AC284" s="416"/>
      <c r="AD284" s="416"/>
      <c r="AE284" s="416"/>
      <c r="AF284" s="416"/>
      <c r="AG284" s="416"/>
      <c r="AH284" s="416"/>
      <c r="AI284" s="416"/>
      <c r="AJ284" s="416"/>
      <c r="AK284" s="416"/>
      <c r="AL284" s="416"/>
      <c r="AM284" s="416"/>
    </row>
    <row r="285" spans="1:43" ht="19" customHeight="1" x14ac:dyDescent="0.35">
      <c r="A285" s="416"/>
      <c r="B285" s="416"/>
      <c r="C285" s="417"/>
      <c r="D285" s="416"/>
      <c r="E285" s="416"/>
      <c r="F285" s="416"/>
      <c r="G285" s="416"/>
      <c r="H285" s="416"/>
      <c r="I285" s="416"/>
      <c r="J285" s="416"/>
      <c r="K285" s="416"/>
      <c r="L285" s="416"/>
      <c r="M285" s="416"/>
      <c r="N285" s="416"/>
      <c r="O285" s="416"/>
      <c r="P285" s="416"/>
      <c r="Q285" s="416"/>
      <c r="R285" s="416"/>
      <c r="S285" s="416"/>
      <c r="T285" s="416"/>
      <c r="U285" s="416"/>
      <c r="V285" s="416"/>
      <c r="W285" s="416"/>
      <c r="X285" s="416"/>
      <c r="Y285" s="416"/>
      <c r="Z285" s="416"/>
      <c r="AA285" s="416"/>
      <c r="AB285" s="416"/>
      <c r="AC285" s="416"/>
      <c r="AD285" s="416"/>
      <c r="AE285" s="416"/>
      <c r="AF285" s="416"/>
      <c r="AG285" s="416"/>
      <c r="AH285" s="416"/>
      <c r="AI285" s="416"/>
      <c r="AJ285" s="416"/>
      <c r="AK285" s="416"/>
      <c r="AL285" s="416"/>
      <c r="AM285" s="416"/>
    </row>
    <row r="286" spans="1:43" s="421" customFormat="1" ht="19" customHeight="1" x14ac:dyDescent="0.35">
      <c r="A286" s="967" t="s">
        <v>244</v>
      </c>
      <c r="B286" s="967" t="s">
        <v>151</v>
      </c>
      <c r="C286" s="960" t="s">
        <v>311</v>
      </c>
      <c r="D286" s="960"/>
      <c r="E286" s="960"/>
      <c r="F286" s="960" t="s">
        <v>312</v>
      </c>
      <c r="G286" s="960"/>
      <c r="H286" s="960"/>
      <c r="I286" s="960" t="s">
        <v>33</v>
      </c>
      <c r="J286" s="960"/>
      <c r="K286" s="970" t="s">
        <v>245</v>
      </c>
      <c r="L286" s="970"/>
      <c r="M286" s="970" t="s">
        <v>246</v>
      </c>
      <c r="N286" s="970"/>
      <c r="O286" s="960" t="s">
        <v>247</v>
      </c>
      <c r="P286" s="960"/>
      <c r="Q286" s="960"/>
      <c r="R286" s="960"/>
      <c r="S286" s="960"/>
      <c r="T286" s="960"/>
      <c r="U286" s="960"/>
      <c r="V286" s="960"/>
      <c r="W286" s="960"/>
      <c r="X286" s="971" t="s">
        <v>247</v>
      </c>
      <c r="Y286" s="960"/>
      <c r="Z286" s="960"/>
      <c r="AA286" s="960"/>
      <c r="AB286" s="960"/>
      <c r="AC286" s="960"/>
      <c r="AD286" s="960"/>
      <c r="AE286" s="960"/>
      <c r="AF286" s="960"/>
      <c r="AG286" s="960"/>
      <c r="AH286" s="960"/>
      <c r="AI286" s="960"/>
      <c r="AJ286" s="975" t="s">
        <v>248</v>
      </c>
      <c r="AK286" s="975"/>
      <c r="AL286" s="975"/>
      <c r="AM286" s="975"/>
      <c r="AN286" s="975"/>
    </row>
    <row r="287" spans="1:43" s="421" customFormat="1" ht="19" customHeight="1" x14ac:dyDescent="0.35">
      <c r="A287" s="968"/>
      <c r="B287" s="968"/>
      <c r="C287" s="961" t="s">
        <v>249</v>
      </c>
      <c r="D287" s="972" t="s">
        <v>250</v>
      </c>
      <c r="E287" s="961" t="s">
        <v>251</v>
      </c>
      <c r="F287" s="961" t="s">
        <v>249</v>
      </c>
      <c r="G287" s="961" t="s">
        <v>250</v>
      </c>
      <c r="H287" s="961" t="s">
        <v>251</v>
      </c>
      <c r="I287" s="961" t="s">
        <v>252</v>
      </c>
      <c r="J287" s="961" t="s">
        <v>253</v>
      </c>
      <c r="K287" s="961" t="s">
        <v>254</v>
      </c>
      <c r="L287" s="961" t="s">
        <v>255</v>
      </c>
      <c r="M287" s="961" t="s">
        <v>254</v>
      </c>
      <c r="N287" s="961" t="s">
        <v>256</v>
      </c>
      <c r="O287" s="965" t="s">
        <v>257</v>
      </c>
      <c r="P287" s="965"/>
      <c r="Q287" s="965"/>
      <c r="R287" s="965"/>
      <c r="S287" s="965"/>
      <c r="T287" s="965" t="s">
        <v>258</v>
      </c>
      <c r="U287" s="965"/>
      <c r="V287" s="965"/>
      <c r="W287" s="965"/>
      <c r="X287" s="966" t="s">
        <v>259</v>
      </c>
      <c r="Y287" s="965"/>
      <c r="Z287" s="965"/>
      <c r="AA287" s="965" t="s">
        <v>260</v>
      </c>
      <c r="AB287" s="965"/>
      <c r="AC287" s="965"/>
      <c r="AD287" s="965" t="s">
        <v>261</v>
      </c>
      <c r="AE287" s="965"/>
      <c r="AF287" s="965"/>
      <c r="AG287" s="965" t="s">
        <v>262</v>
      </c>
      <c r="AH287" s="965"/>
      <c r="AI287" s="965"/>
      <c r="AJ287" s="964" t="s">
        <v>421</v>
      </c>
      <c r="AK287" s="964" t="s">
        <v>263</v>
      </c>
      <c r="AL287" s="964" t="s">
        <v>264</v>
      </c>
      <c r="AM287" s="964" t="s">
        <v>265</v>
      </c>
      <c r="AN287" s="964" t="s">
        <v>424</v>
      </c>
      <c r="AO287" s="423"/>
      <c r="AP287" s="423"/>
      <c r="AQ287" s="423"/>
    </row>
    <row r="288" spans="1:43" s="421" customFormat="1" ht="19" customHeight="1" x14ac:dyDescent="0.35">
      <c r="A288" s="968"/>
      <c r="B288" s="968"/>
      <c r="C288" s="962"/>
      <c r="D288" s="973"/>
      <c r="E288" s="962"/>
      <c r="F288" s="962"/>
      <c r="G288" s="962"/>
      <c r="H288" s="962"/>
      <c r="I288" s="962"/>
      <c r="J288" s="962"/>
      <c r="K288" s="962"/>
      <c r="L288" s="962"/>
      <c r="M288" s="962"/>
      <c r="N288" s="962"/>
      <c r="O288" s="965" t="s">
        <v>266</v>
      </c>
      <c r="P288" s="965" t="s">
        <v>267</v>
      </c>
      <c r="Q288" s="965" t="s">
        <v>268</v>
      </c>
      <c r="R288" s="965" t="s">
        <v>269</v>
      </c>
      <c r="S288" s="965"/>
      <c r="T288" s="965" t="s">
        <v>270</v>
      </c>
      <c r="U288" s="965" t="s">
        <v>271</v>
      </c>
      <c r="V288" s="965" t="s">
        <v>272</v>
      </c>
      <c r="W288" s="965" t="s">
        <v>273</v>
      </c>
      <c r="X288" s="966" t="s">
        <v>274</v>
      </c>
      <c r="Y288" s="965" t="s">
        <v>275</v>
      </c>
      <c r="Z288" s="965" t="s">
        <v>276</v>
      </c>
      <c r="AA288" s="965" t="s">
        <v>277</v>
      </c>
      <c r="AB288" s="965" t="s">
        <v>278</v>
      </c>
      <c r="AC288" s="965" t="s">
        <v>279</v>
      </c>
      <c r="AD288" s="965" t="s">
        <v>280</v>
      </c>
      <c r="AE288" s="965" t="s">
        <v>281</v>
      </c>
      <c r="AF288" s="965" t="s">
        <v>282</v>
      </c>
      <c r="AG288" s="965" t="s">
        <v>283</v>
      </c>
      <c r="AH288" s="965" t="s">
        <v>284</v>
      </c>
      <c r="AI288" s="965" t="s">
        <v>279</v>
      </c>
      <c r="AJ288" s="964"/>
      <c r="AK288" s="964"/>
      <c r="AL288" s="964"/>
      <c r="AM288" s="964"/>
      <c r="AN288" s="964"/>
      <c r="AO288" s="423"/>
      <c r="AP288" s="423"/>
      <c r="AQ288" s="423"/>
    </row>
    <row r="289" spans="1:43" s="421" customFormat="1" ht="45.65" customHeight="1" x14ac:dyDescent="0.35">
      <c r="A289" s="969"/>
      <c r="B289" s="969"/>
      <c r="C289" s="963"/>
      <c r="D289" s="974"/>
      <c r="E289" s="963"/>
      <c r="F289" s="963"/>
      <c r="G289" s="963"/>
      <c r="H289" s="963"/>
      <c r="I289" s="963"/>
      <c r="J289" s="963"/>
      <c r="K289" s="963"/>
      <c r="L289" s="963"/>
      <c r="M289" s="963"/>
      <c r="N289" s="963"/>
      <c r="O289" s="965"/>
      <c r="P289" s="965"/>
      <c r="Q289" s="965"/>
      <c r="R289" s="422" t="s">
        <v>285</v>
      </c>
      <c r="S289" s="422" t="s">
        <v>286</v>
      </c>
      <c r="T289" s="965"/>
      <c r="U289" s="965"/>
      <c r="V289" s="965"/>
      <c r="W289" s="965"/>
      <c r="X289" s="966"/>
      <c r="Y289" s="965"/>
      <c r="Z289" s="965"/>
      <c r="AA289" s="965"/>
      <c r="AB289" s="965"/>
      <c r="AC289" s="965"/>
      <c r="AD289" s="965"/>
      <c r="AE289" s="965"/>
      <c r="AF289" s="965"/>
      <c r="AG289" s="965"/>
      <c r="AH289" s="965"/>
      <c r="AI289" s="965"/>
      <c r="AJ289" s="964"/>
      <c r="AK289" s="964"/>
      <c r="AL289" s="964"/>
      <c r="AM289" s="964"/>
      <c r="AN289" s="964"/>
      <c r="AO289" s="423"/>
      <c r="AP289" s="423"/>
      <c r="AQ289" s="423"/>
    </row>
    <row r="290" spans="1:43" s="421" customFormat="1" ht="19" customHeight="1" thickBot="1" x14ac:dyDescent="0.4">
      <c r="A290" s="424">
        <v>1</v>
      </c>
      <c r="B290" s="424">
        <v>2</v>
      </c>
      <c r="C290" s="425">
        <v>3</v>
      </c>
      <c r="D290" s="424">
        <v>4</v>
      </c>
      <c r="E290" s="424">
        <v>5</v>
      </c>
      <c r="F290" s="424">
        <v>6</v>
      </c>
      <c r="G290" s="424">
        <v>7</v>
      </c>
      <c r="H290" s="424">
        <v>8</v>
      </c>
      <c r="I290" s="424">
        <v>9</v>
      </c>
      <c r="J290" s="424">
        <v>10</v>
      </c>
      <c r="K290" s="424">
        <v>11</v>
      </c>
      <c r="L290" s="424">
        <v>12</v>
      </c>
      <c r="M290" s="424">
        <v>13</v>
      </c>
      <c r="N290" s="424">
        <v>14</v>
      </c>
      <c r="O290" s="424">
        <v>15</v>
      </c>
      <c r="P290" s="424">
        <v>16</v>
      </c>
      <c r="Q290" s="424">
        <v>17</v>
      </c>
      <c r="R290" s="424">
        <v>18</v>
      </c>
      <c r="S290" s="424">
        <v>19</v>
      </c>
      <c r="T290" s="424">
        <v>20</v>
      </c>
      <c r="U290" s="424">
        <v>21</v>
      </c>
      <c r="V290" s="424">
        <v>22</v>
      </c>
      <c r="W290" s="424">
        <v>23</v>
      </c>
      <c r="X290" s="424">
        <v>24</v>
      </c>
      <c r="Y290" s="424">
        <v>25</v>
      </c>
      <c r="Z290" s="424">
        <v>26</v>
      </c>
      <c r="AA290" s="424">
        <v>27</v>
      </c>
      <c r="AB290" s="424">
        <v>28</v>
      </c>
      <c r="AC290" s="424">
        <v>29</v>
      </c>
      <c r="AD290" s="424">
        <v>30</v>
      </c>
      <c r="AE290" s="424">
        <v>31</v>
      </c>
      <c r="AF290" s="424">
        <v>32</v>
      </c>
      <c r="AG290" s="424">
        <v>33</v>
      </c>
      <c r="AH290" s="424">
        <v>34</v>
      </c>
      <c r="AI290" s="424">
        <v>35</v>
      </c>
      <c r="AJ290" s="424">
        <v>36</v>
      </c>
      <c r="AK290" s="424">
        <v>37</v>
      </c>
      <c r="AL290" s="424">
        <v>38</v>
      </c>
      <c r="AM290" s="424">
        <v>39</v>
      </c>
      <c r="AN290" s="424">
        <v>40</v>
      </c>
    </row>
    <row r="291" spans="1:43" ht="19" customHeight="1" thickTop="1" x14ac:dyDescent="0.35">
      <c r="A291" s="427">
        <v>1</v>
      </c>
      <c r="B291" s="427" t="str">
        <f>PETUNJUK!B9</f>
        <v>Pecangaan Kulon</v>
      </c>
      <c r="C291" s="428">
        <v>0</v>
      </c>
      <c r="D291" s="428">
        <v>0</v>
      </c>
      <c r="E291" s="428">
        <v>0</v>
      </c>
      <c r="F291" s="428">
        <v>0</v>
      </c>
      <c r="G291" s="428">
        <v>0</v>
      </c>
      <c r="H291" s="428">
        <v>0</v>
      </c>
      <c r="I291" s="428">
        <v>0</v>
      </c>
      <c r="J291" s="428">
        <v>0</v>
      </c>
      <c r="K291" s="428">
        <v>0</v>
      </c>
      <c r="L291" s="428">
        <v>0</v>
      </c>
      <c r="M291" s="428">
        <v>0</v>
      </c>
      <c r="N291" s="428">
        <v>0</v>
      </c>
      <c r="O291" s="428">
        <v>0</v>
      </c>
      <c r="P291" s="428">
        <v>0</v>
      </c>
      <c r="Q291" s="428">
        <v>0</v>
      </c>
      <c r="R291" s="428">
        <v>0</v>
      </c>
      <c r="S291" s="428">
        <v>0</v>
      </c>
      <c r="T291" s="428">
        <v>0</v>
      </c>
      <c r="U291" s="428">
        <v>0</v>
      </c>
      <c r="V291" s="428">
        <v>0</v>
      </c>
      <c r="W291" s="428">
        <v>0</v>
      </c>
      <c r="X291" s="428">
        <v>0</v>
      </c>
      <c r="Y291" s="428">
        <v>0</v>
      </c>
      <c r="Z291" s="428">
        <v>0</v>
      </c>
      <c r="AA291" s="428">
        <v>0</v>
      </c>
      <c r="AB291" s="428">
        <v>0</v>
      </c>
      <c r="AC291" s="428">
        <v>0</v>
      </c>
      <c r="AD291" s="428">
        <v>0</v>
      </c>
      <c r="AE291" s="428">
        <v>0</v>
      </c>
      <c r="AF291" s="428">
        <v>0</v>
      </c>
      <c r="AG291" s="428">
        <v>0</v>
      </c>
      <c r="AH291" s="428">
        <v>0</v>
      </c>
      <c r="AI291" s="428">
        <v>0</v>
      </c>
      <c r="AJ291" s="428">
        <v>0</v>
      </c>
      <c r="AK291" s="428">
        <v>0</v>
      </c>
      <c r="AL291" s="428">
        <v>0</v>
      </c>
      <c r="AM291" s="428">
        <v>0</v>
      </c>
      <c r="AN291" s="428">
        <v>0</v>
      </c>
    </row>
    <row r="292" spans="1:43" ht="19" customHeight="1" x14ac:dyDescent="0.35">
      <c r="A292" s="429">
        <v>2</v>
      </c>
      <c r="B292" s="427" t="str">
        <f>PETUNJUK!B10</f>
        <v>Rengging</v>
      </c>
      <c r="C292" s="428">
        <v>0</v>
      </c>
      <c r="D292" s="428">
        <v>0</v>
      </c>
      <c r="E292" s="428">
        <v>0</v>
      </c>
      <c r="F292" s="428">
        <v>0</v>
      </c>
      <c r="G292" s="428">
        <v>0</v>
      </c>
      <c r="H292" s="428">
        <v>0</v>
      </c>
      <c r="I292" s="428">
        <v>0</v>
      </c>
      <c r="J292" s="428">
        <v>0</v>
      </c>
      <c r="K292" s="428">
        <v>0</v>
      </c>
      <c r="L292" s="428">
        <v>0</v>
      </c>
      <c r="M292" s="428">
        <v>0</v>
      </c>
      <c r="N292" s="428">
        <v>0</v>
      </c>
      <c r="O292" s="428">
        <v>0</v>
      </c>
      <c r="P292" s="428">
        <v>0</v>
      </c>
      <c r="Q292" s="428">
        <v>0</v>
      </c>
      <c r="R292" s="428">
        <v>0</v>
      </c>
      <c r="S292" s="428">
        <v>0</v>
      </c>
      <c r="T292" s="428">
        <v>0</v>
      </c>
      <c r="U292" s="428">
        <v>0</v>
      </c>
      <c r="V292" s="428">
        <v>0</v>
      </c>
      <c r="W292" s="428">
        <v>0</v>
      </c>
      <c r="X292" s="428">
        <v>0</v>
      </c>
      <c r="Y292" s="428">
        <v>0</v>
      </c>
      <c r="Z292" s="428">
        <v>0</v>
      </c>
      <c r="AA292" s="428">
        <v>0</v>
      </c>
      <c r="AB292" s="428">
        <v>0</v>
      </c>
      <c r="AC292" s="428">
        <v>0</v>
      </c>
      <c r="AD292" s="428">
        <v>0</v>
      </c>
      <c r="AE292" s="428">
        <v>0</v>
      </c>
      <c r="AF292" s="428">
        <v>0</v>
      </c>
      <c r="AG292" s="428">
        <v>0</v>
      </c>
      <c r="AH292" s="428">
        <v>0</v>
      </c>
      <c r="AI292" s="428">
        <v>0</v>
      </c>
      <c r="AJ292" s="428">
        <v>0</v>
      </c>
      <c r="AK292" s="428">
        <v>0</v>
      </c>
      <c r="AL292" s="428">
        <v>0</v>
      </c>
      <c r="AM292" s="428">
        <v>0</v>
      </c>
      <c r="AN292" s="428">
        <v>0</v>
      </c>
    </row>
    <row r="293" spans="1:43" ht="19" customHeight="1" x14ac:dyDescent="0.35">
      <c r="A293" s="429">
        <v>3</v>
      </c>
      <c r="B293" s="427" t="str">
        <f>PETUNJUK!B11</f>
        <v>Troso</v>
      </c>
      <c r="C293" s="428">
        <v>0</v>
      </c>
      <c r="D293" s="428">
        <v>0</v>
      </c>
      <c r="E293" s="428">
        <v>0</v>
      </c>
      <c r="F293" s="428">
        <v>0</v>
      </c>
      <c r="G293" s="428">
        <v>0</v>
      </c>
      <c r="H293" s="428">
        <v>0</v>
      </c>
      <c r="I293" s="428">
        <v>0</v>
      </c>
      <c r="J293" s="428">
        <v>0</v>
      </c>
      <c r="K293" s="428">
        <v>0</v>
      </c>
      <c r="L293" s="428">
        <v>0</v>
      </c>
      <c r="M293" s="428">
        <v>0</v>
      </c>
      <c r="N293" s="428">
        <v>0</v>
      </c>
      <c r="O293" s="428">
        <v>0</v>
      </c>
      <c r="P293" s="428">
        <v>0</v>
      </c>
      <c r="Q293" s="428">
        <v>0</v>
      </c>
      <c r="R293" s="428">
        <v>0</v>
      </c>
      <c r="S293" s="428">
        <v>0</v>
      </c>
      <c r="T293" s="428">
        <v>0</v>
      </c>
      <c r="U293" s="428">
        <v>0</v>
      </c>
      <c r="V293" s="428">
        <v>0</v>
      </c>
      <c r="W293" s="428">
        <v>0</v>
      </c>
      <c r="X293" s="428">
        <v>0</v>
      </c>
      <c r="Y293" s="428">
        <v>0</v>
      </c>
      <c r="Z293" s="428">
        <v>0</v>
      </c>
      <c r="AA293" s="428">
        <v>0</v>
      </c>
      <c r="AB293" s="428">
        <v>0</v>
      </c>
      <c r="AC293" s="428">
        <v>0</v>
      </c>
      <c r="AD293" s="428">
        <v>0</v>
      </c>
      <c r="AE293" s="428">
        <v>0</v>
      </c>
      <c r="AF293" s="428">
        <v>0</v>
      </c>
      <c r="AG293" s="428">
        <v>0</v>
      </c>
      <c r="AH293" s="428">
        <v>0</v>
      </c>
      <c r="AI293" s="428">
        <v>0</v>
      </c>
      <c r="AJ293" s="428">
        <v>0</v>
      </c>
      <c r="AK293" s="428">
        <v>0</v>
      </c>
      <c r="AL293" s="428">
        <v>0</v>
      </c>
      <c r="AM293" s="428">
        <v>0</v>
      </c>
      <c r="AN293" s="428">
        <v>0</v>
      </c>
    </row>
    <row r="294" spans="1:43" ht="19" customHeight="1" x14ac:dyDescent="0.35">
      <c r="A294" s="429">
        <v>4</v>
      </c>
      <c r="B294" s="427" t="str">
        <f>PETUNJUK!B12</f>
        <v>Ngeling</v>
      </c>
      <c r="C294" s="428">
        <v>0</v>
      </c>
      <c r="D294" s="428">
        <v>0</v>
      </c>
      <c r="E294" s="428">
        <v>0</v>
      </c>
      <c r="F294" s="428">
        <v>0</v>
      </c>
      <c r="G294" s="428">
        <v>0</v>
      </c>
      <c r="H294" s="428">
        <v>0</v>
      </c>
      <c r="I294" s="428">
        <v>0</v>
      </c>
      <c r="J294" s="428">
        <v>0</v>
      </c>
      <c r="K294" s="428">
        <v>0</v>
      </c>
      <c r="L294" s="428">
        <v>0</v>
      </c>
      <c r="M294" s="428">
        <v>0</v>
      </c>
      <c r="N294" s="428">
        <v>0</v>
      </c>
      <c r="O294" s="428">
        <v>0</v>
      </c>
      <c r="P294" s="428">
        <v>0</v>
      </c>
      <c r="Q294" s="428">
        <v>0</v>
      </c>
      <c r="R294" s="428">
        <v>0</v>
      </c>
      <c r="S294" s="428">
        <v>0</v>
      </c>
      <c r="T294" s="428">
        <v>0</v>
      </c>
      <c r="U294" s="428">
        <v>0</v>
      </c>
      <c r="V294" s="428">
        <v>0</v>
      </c>
      <c r="W294" s="428">
        <v>0</v>
      </c>
      <c r="X294" s="428">
        <v>0</v>
      </c>
      <c r="Y294" s="428">
        <v>0</v>
      </c>
      <c r="Z294" s="428">
        <v>0</v>
      </c>
      <c r="AA294" s="428">
        <v>0</v>
      </c>
      <c r="AB294" s="428">
        <v>0</v>
      </c>
      <c r="AC294" s="428">
        <v>0</v>
      </c>
      <c r="AD294" s="428">
        <v>0</v>
      </c>
      <c r="AE294" s="428">
        <v>0</v>
      </c>
      <c r="AF294" s="428">
        <v>0</v>
      </c>
      <c r="AG294" s="428">
        <v>0</v>
      </c>
      <c r="AH294" s="428">
        <v>0</v>
      </c>
      <c r="AI294" s="428">
        <v>0</v>
      </c>
      <c r="AJ294" s="428">
        <v>0</v>
      </c>
      <c r="AK294" s="428">
        <v>0</v>
      </c>
      <c r="AL294" s="428">
        <v>0</v>
      </c>
      <c r="AM294" s="428">
        <v>0</v>
      </c>
      <c r="AN294" s="428">
        <v>0</v>
      </c>
    </row>
    <row r="295" spans="1:43" ht="19" customHeight="1" x14ac:dyDescent="0.35">
      <c r="A295" s="429">
        <v>5</v>
      </c>
      <c r="B295" s="427" t="str">
        <f>PETUNJUK!B13</f>
        <v>Lebuawu</v>
      </c>
      <c r="C295" s="428">
        <v>0</v>
      </c>
      <c r="D295" s="428">
        <v>0</v>
      </c>
      <c r="E295" s="428">
        <v>0</v>
      </c>
      <c r="F295" s="428">
        <v>0</v>
      </c>
      <c r="G295" s="428">
        <v>0</v>
      </c>
      <c r="H295" s="428">
        <v>0</v>
      </c>
      <c r="I295" s="428">
        <v>0</v>
      </c>
      <c r="J295" s="428">
        <v>0</v>
      </c>
      <c r="K295" s="428">
        <v>0</v>
      </c>
      <c r="L295" s="428">
        <v>0</v>
      </c>
      <c r="M295" s="428">
        <v>0</v>
      </c>
      <c r="N295" s="428">
        <v>0</v>
      </c>
      <c r="O295" s="428">
        <v>0</v>
      </c>
      <c r="P295" s="428">
        <v>0</v>
      </c>
      <c r="Q295" s="428">
        <v>0</v>
      </c>
      <c r="R295" s="428">
        <v>0</v>
      </c>
      <c r="S295" s="428">
        <v>0</v>
      </c>
      <c r="T295" s="428">
        <v>0</v>
      </c>
      <c r="U295" s="428">
        <v>0</v>
      </c>
      <c r="V295" s="428">
        <v>0</v>
      </c>
      <c r="W295" s="428">
        <v>0</v>
      </c>
      <c r="X295" s="428">
        <v>0</v>
      </c>
      <c r="Y295" s="428">
        <v>0</v>
      </c>
      <c r="Z295" s="428">
        <v>0</v>
      </c>
      <c r="AA295" s="428">
        <v>0</v>
      </c>
      <c r="AB295" s="428">
        <v>0</v>
      </c>
      <c r="AC295" s="428">
        <v>0</v>
      </c>
      <c r="AD295" s="428">
        <v>0</v>
      </c>
      <c r="AE295" s="428">
        <v>0</v>
      </c>
      <c r="AF295" s="428">
        <v>0</v>
      </c>
      <c r="AG295" s="428">
        <v>0</v>
      </c>
      <c r="AH295" s="428">
        <v>0</v>
      </c>
      <c r="AI295" s="428">
        <v>0</v>
      </c>
      <c r="AJ295" s="428">
        <v>0</v>
      </c>
      <c r="AK295" s="428">
        <v>0</v>
      </c>
      <c r="AL295" s="428">
        <v>0</v>
      </c>
      <c r="AM295" s="428">
        <v>0</v>
      </c>
      <c r="AN295" s="428">
        <v>0</v>
      </c>
    </row>
    <row r="296" spans="1:43" ht="19" customHeight="1" x14ac:dyDescent="0.35">
      <c r="A296" s="429">
        <v>6</v>
      </c>
      <c r="B296" s="427" t="str">
        <f>PETUNJUK!B14</f>
        <v>Pulodarat</v>
      </c>
      <c r="C296" s="428">
        <v>0</v>
      </c>
      <c r="D296" s="428">
        <v>0</v>
      </c>
      <c r="E296" s="428">
        <v>0</v>
      </c>
      <c r="F296" s="428">
        <v>0</v>
      </c>
      <c r="G296" s="428">
        <v>0</v>
      </c>
      <c r="H296" s="428">
        <v>0</v>
      </c>
      <c r="I296" s="428">
        <v>0</v>
      </c>
      <c r="J296" s="428">
        <v>0</v>
      </c>
      <c r="K296" s="428">
        <v>0</v>
      </c>
      <c r="L296" s="428">
        <v>0</v>
      </c>
      <c r="M296" s="428">
        <v>0</v>
      </c>
      <c r="N296" s="428">
        <v>0</v>
      </c>
      <c r="O296" s="428">
        <v>0</v>
      </c>
      <c r="P296" s="428">
        <v>0</v>
      </c>
      <c r="Q296" s="428">
        <v>0</v>
      </c>
      <c r="R296" s="428">
        <v>0</v>
      </c>
      <c r="S296" s="428">
        <v>0</v>
      </c>
      <c r="T296" s="428">
        <v>0</v>
      </c>
      <c r="U296" s="428">
        <v>0</v>
      </c>
      <c r="V296" s="428">
        <v>0</v>
      </c>
      <c r="W296" s="428">
        <v>0</v>
      </c>
      <c r="X296" s="428">
        <v>0</v>
      </c>
      <c r="Y296" s="428">
        <v>0</v>
      </c>
      <c r="Z296" s="428">
        <v>0</v>
      </c>
      <c r="AA296" s="428">
        <v>0</v>
      </c>
      <c r="AB296" s="428">
        <v>0</v>
      </c>
      <c r="AC296" s="428">
        <v>0</v>
      </c>
      <c r="AD296" s="428">
        <v>0</v>
      </c>
      <c r="AE296" s="428">
        <v>0</v>
      </c>
      <c r="AF296" s="428">
        <v>0</v>
      </c>
      <c r="AG296" s="428">
        <v>0</v>
      </c>
      <c r="AH296" s="428">
        <v>0</v>
      </c>
      <c r="AI296" s="428">
        <v>0</v>
      </c>
      <c r="AJ296" s="428">
        <v>0</v>
      </c>
      <c r="AK296" s="428">
        <v>0</v>
      </c>
      <c r="AL296" s="428">
        <v>0</v>
      </c>
      <c r="AM296" s="428">
        <v>0</v>
      </c>
      <c r="AN296" s="428">
        <v>0</v>
      </c>
    </row>
    <row r="297" spans="1:43" ht="19" customHeight="1" x14ac:dyDescent="0.35">
      <c r="A297" s="429">
        <v>7</v>
      </c>
      <c r="B297" s="427" t="str">
        <f>PETUNJUK!B15</f>
        <v>Karangrandu</v>
      </c>
      <c r="C297" s="428">
        <v>0</v>
      </c>
      <c r="D297" s="428">
        <v>0</v>
      </c>
      <c r="E297" s="428">
        <v>0</v>
      </c>
      <c r="F297" s="428">
        <v>0</v>
      </c>
      <c r="G297" s="428">
        <v>0</v>
      </c>
      <c r="H297" s="428">
        <v>0</v>
      </c>
      <c r="I297" s="428">
        <v>0</v>
      </c>
      <c r="J297" s="428">
        <v>0</v>
      </c>
      <c r="K297" s="428">
        <v>0</v>
      </c>
      <c r="L297" s="428">
        <v>0</v>
      </c>
      <c r="M297" s="428">
        <v>0</v>
      </c>
      <c r="N297" s="428">
        <v>0</v>
      </c>
      <c r="O297" s="428">
        <v>0</v>
      </c>
      <c r="P297" s="428">
        <v>0</v>
      </c>
      <c r="Q297" s="428">
        <v>0</v>
      </c>
      <c r="R297" s="428">
        <v>0</v>
      </c>
      <c r="S297" s="428">
        <v>0</v>
      </c>
      <c r="T297" s="428">
        <v>0</v>
      </c>
      <c r="U297" s="428">
        <v>0</v>
      </c>
      <c r="V297" s="428">
        <v>0</v>
      </c>
      <c r="W297" s="428">
        <v>0</v>
      </c>
      <c r="X297" s="428">
        <v>0</v>
      </c>
      <c r="Y297" s="428">
        <v>0</v>
      </c>
      <c r="Z297" s="428">
        <v>0</v>
      </c>
      <c r="AA297" s="428">
        <v>0</v>
      </c>
      <c r="AB297" s="428">
        <v>0</v>
      </c>
      <c r="AC297" s="428">
        <v>0</v>
      </c>
      <c r="AD297" s="428">
        <v>0</v>
      </c>
      <c r="AE297" s="428">
        <v>0</v>
      </c>
      <c r="AF297" s="428">
        <v>0</v>
      </c>
      <c r="AG297" s="428">
        <v>0</v>
      </c>
      <c r="AH297" s="428">
        <v>0</v>
      </c>
      <c r="AI297" s="428">
        <v>0</v>
      </c>
      <c r="AJ297" s="428">
        <v>0</v>
      </c>
      <c r="AK297" s="428">
        <v>0</v>
      </c>
      <c r="AL297" s="428">
        <v>0</v>
      </c>
      <c r="AM297" s="428">
        <v>0</v>
      </c>
      <c r="AN297" s="428">
        <v>0</v>
      </c>
    </row>
    <row r="298" spans="1:43" ht="19" customHeight="1" x14ac:dyDescent="0.35">
      <c r="A298" s="429">
        <v>8</v>
      </c>
      <c r="B298" s="427" t="str">
        <f>PETUNJUK!B16</f>
        <v>Kaliombo</v>
      </c>
      <c r="C298" s="428">
        <v>0</v>
      </c>
      <c r="D298" s="428">
        <v>0</v>
      </c>
      <c r="E298" s="428">
        <v>0</v>
      </c>
      <c r="F298" s="428">
        <v>0</v>
      </c>
      <c r="G298" s="428">
        <v>0</v>
      </c>
      <c r="H298" s="428">
        <v>0</v>
      </c>
      <c r="I298" s="428">
        <v>0</v>
      </c>
      <c r="J298" s="428">
        <v>0</v>
      </c>
      <c r="K298" s="428">
        <v>0</v>
      </c>
      <c r="L298" s="428">
        <v>0</v>
      </c>
      <c r="M298" s="428">
        <v>0</v>
      </c>
      <c r="N298" s="428">
        <v>0</v>
      </c>
      <c r="O298" s="428">
        <v>0</v>
      </c>
      <c r="P298" s="428">
        <v>0</v>
      </c>
      <c r="Q298" s="428">
        <v>0</v>
      </c>
      <c r="R298" s="428">
        <v>0</v>
      </c>
      <c r="S298" s="428">
        <v>0</v>
      </c>
      <c r="T298" s="428">
        <v>0</v>
      </c>
      <c r="U298" s="428">
        <v>0</v>
      </c>
      <c r="V298" s="428">
        <v>0</v>
      </c>
      <c r="W298" s="428">
        <v>0</v>
      </c>
      <c r="X298" s="428">
        <v>0</v>
      </c>
      <c r="Y298" s="428">
        <v>0</v>
      </c>
      <c r="Z298" s="428">
        <v>0</v>
      </c>
      <c r="AA298" s="428">
        <v>0</v>
      </c>
      <c r="AB298" s="428">
        <v>0</v>
      </c>
      <c r="AC298" s="428">
        <v>0</v>
      </c>
      <c r="AD298" s="428">
        <v>0</v>
      </c>
      <c r="AE298" s="428">
        <v>0</v>
      </c>
      <c r="AF298" s="428">
        <v>0</v>
      </c>
      <c r="AG298" s="428">
        <v>0</v>
      </c>
      <c r="AH298" s="428">
        <v>0</v>
      </c>
      <c r="AI298" s="428">
        <v>0</v>
      </c>
      <c r="AJ298" s="428">
        <v>0</v>
      </c>
      <c r="AK298" s="428">
        <v>0</v>
      </c>
      <c r="AL298" s="428">
        <v>0</v>
      </c>
      <c r="AM298" s="428">
        <v>0</v>
      </c>
      <c r="AN298" s="428">
        <v>0</v>
      </c>
    </row>
    <row r="299" spans="1:43" ht="19" customHeight="1" x14ac:dyDescent="0.35">
      <c r="A299" s="429">
        <v>9</v>
      </c>
      <c r="B299" s="427" t="str">
        <f>PETUNJUK!B17</f>
        <v>Gemulung</v>
      </c>
      <c r="C299" s="428">
        <v>0</v>
      </c>
      <c r="D299" s="428">
        <v>0</v>
      </c>
      <c r="E299" s="428">
        <v>0</v>
      </c>
      <c r="F299" s="428">
        <v>0</v>
      </c>
      <c r="G299" s="428">
        <v>0</v>
      </c>
      <c r="H299" s="428">
        <v>0</v>
      </c>
      <c r="I299" s="428">
        <v>0</v>
      </c>
      <c r="J299" s="428">
        <v>0</v>
      </c>
      <c r="K299" s="428">
        <v>0</v>
      </c>
      <c r="L299" s="428">
        <v>0</v>
      </c>
      <c r="M299" s="428">
        <v>0</v>
      </c>
      <c r="N299" s="428">
        <v>0</v>
      </c>
      <c r="O299" s="428">
        <v>0</v>
      </c>
      <c r="P299" s="428">
        <v>0</v>
      </c>
      <c r="Q299" s="428">
        <v>0</v>
      </c>
      <c r="R299" s="428">
        <v>0</v>
      </c>
      <c r="S299" s="428">
        <v>0</v>
      </c>
      <c r="T299" s="428">
        <v>0</v>
      </c>
      <c r="U299" s="428">
        <v>0</v>
      </c>
      <c r="V299" s="428">
        <v>0</v>
      </c>
      <c r="W299" s="428">
        <v>0</v>
      </c>
      <c r="X299" s="428">
        <v>0</v>
      </c>
      <c r="Y299" s="428">
        <v>0</v>
      </c>
      <c r="Z299" s="428">
        <v>0</v>
      </c>
      <c r="AA299" s="428">
        <v>0</v>
      </c>
      <c r="AB299" s="428">
        <v>0</v>
      </c>
      <c r="AC299" s="428">
        <v>0</v>
      </c>
      <c r="AD299" s="428">
        <v>0</v>
      </c>
      <c r="AE299" s="428">
        <v>0</v>
      </c>
      <c r="AF299" s="428">
        <v>0</v>
      </c>
      <c r="AG299" s="428">
        <v>0</v>
      </c>
      <c r="AH299" s="428">
        <v>0</v>
      </c>
      <c r="AI299" s="428">
        <v>0</v>
      </c>
      <c r="AJ299" s="428">
        <v>0</v>
      </c>
      <c r="AK299" s="428">
        <v>0</v>
      </c>
      <c r="AL299" s="428">
        <v>0</v>
      </c>
      <c r="AM299" s="428">
        <v>0</v>
      </c>
      <c r="AN299" s="428">
        <v>0</v>
      </c>
    </row>
    <row r="300" spans="1:43" ht="19" customHeight="1" x14ac:dyDescent="0.35">
      <c r="A300" s="429">
        <v>10</v>
      </c>
      <c r="B300" s="427" t="str">
        <f>PETUNJUK!B18</f>
        <v>Pecangaan Wetan</v>
      </c>
      <c r="C300" s="428">
        <v>0</v>
      </c>
      <c r="D300" s="428">
        <v>0</v>
      </c>
      <c r="E300" s="428">
        <v>0</v>
      </c>
      <c r="F300" s="428">
        <v>0</v>
      </c>
      <c r="G300" s="428">
        <v>0</v>
      </c>
      <c r="H300" s="428">
        <v>0</v>
      </c>
      <c r="I300" s="428">
        <v>0</v>
      </c>
      <c r="J300" s="428">
        <v>0</v>
      </c>
      <c r="K300" s="428">
        <v>0</v>
      </c>
      <c r="L300" s="428">
        <v>0</v>
      </c>
      <c r="M300" s="428">
        <v>0</v>
      </c>
      <c r="N300" s="428">
        <v>0</v>
      </c>
      <c r="O300" s="428">
        <v>0</v>
      </c>
      <c r="P300" s="428">
        <v>0</v>
      </c>
      <c r="Q300" s="428">
        <v>0</v>
      </c>
      <c r="R300" s="428">
        <v>0</v>
      </c>
      <c r="S300" s="428">
        <v>0</v>
      </c>
      <c r="T300" s="428">
        <v>0</v>
      </c>
      <c r="U300" s="428">
        <v>0</v>
      </c>
      <c r="V300" s="428">
        <v>0</v>
      </c>
      <c r="W300" s="428">
        <v>0</v>
      </c>
      <c r="X300" s="428">
        <v>0</v>
      </c>
      <c r="Y300" s="428">
        <v>0</v>
      </c>
      <c r="Z300" s="428">
        <v>0</v>
      </c>
      <c r="AA300" s="428">
        <v>0</v>
      </c>
      <c r="AB300" s="428">
        <v>0</v>
      </c>
      <c r="AC300" s="428">
        <v>0</v>
      </c>
      <c r="AD300" s="428">
        <v>0</v>
      </c>
      <c r="AE300" s="428">
        <v>0</v>
      </c>
      <c r="AF300" s="428">
        <v>0</v>
      </c>
      <c r="AG300" s="428">
        <v>0</v>
      </c>
      <c r="AH300" s="428">
        <v>0</v>
      </c>
      <c r="AI300" s="428">
        <v>0</v>
      </c>
      <c r="AJ300" s="428">
        <v>0</v>
      </c>
      <c r="AK300" s="428">
        <v>0</v>
      </c>
      <c r="AL300" s="428">
        <v>0</v>
      </c>
      <c r="AM300" s="428">
        <v>0</v>
      </c>
      <c r="AN300" s="428">
        <v>0</v>
      </c>
    </row>
    <row r="301" spans="1:43" ht="19" customHeight="1" x14ac:dyDescent="0.35">
      <c r="A301" s="429">
        <v>11</v>
      </c>
      <c r="B301" s="427" t="str">
        <f>PETUNJUK!B19</f>
        <v>Krasak</v>
      </c>
      <c r="C301" s="428">
        <v>0</v>
      </c>
      <c r="D301" s="428">
        <v>0</v>
      </c>
      <c r="E301" s="428">
        <v>0</v>
      </c>
      <c r="F301" s="428">
        <v>0</v>
      </c>
      <c r="G301" s="428">
        <v>0</v>
      </c>
      <c r="H301" s="428">
        <v>0</v>
      </c>
      <c r="I301" s="428">
        <v>0</v>
      </c>
      <c r="J301" s="428">
        <v>0</v>
      </c>
      <c r="K301" s="428">
        <v>0</v>
      </c>
      <c r="L301" s="428">
        <v>0</v>
      </c>
      <c r="M301" s="428">
        <v>0</v>
      </c>
      <c r="N301" s="428">
        <v>0</v>
      </c>
      <c r="O301" s="428">
        <v>0</v>
      </c>
      <c r="P301" s="428">
        <v>0</v>
      </c>
      <c r="Q301" s="428">
        <v>0</v>
      </c>
      <c r="R301" s="428">
        <v>0</v>
      </c>
      <c r="S301" s="428">
        <v>0</v>
      </c>
      <c r="T301" s="428">
        <v>0</v>
      </c>
      <c r="U301" s="428">
        <v>0</v>
      </c>
      <c r="V301" s="428">
        <v>0</v>
      </c>
      <c r="W301" s="428">
        <v>0</v>
      </c>
      <c r="X301" s="428">
        <v>0</v>
      </c>
      <c r="Y301" s="428">
        <v>0</v>
      </c>
      <c r="Z301" s="428">
        <v>0</v>
      </c>
      <c r="AA301" s="428">
        <v>0</v>
      </c>
      <c r="AB301" s="428">
        <v>0</v>
      </c>
      <c r="AC301" s="428">
        <v>0</v>
      </c>
      <c r="AD301" s="428">
        <v>0</v>
      </c>
      <c r="AE301" s="428">
        <v>0</v>
      </c>
      <c r="AF301" s="428">
        <v>0</v>
      </c>
      <c r="AG301" s="428">
        <v>0</v>
      </c>
      <c r="AH301" s="428">
        <v>0</v>
      </c>
      <c r="AI301" s="428">
        <v>0</v>
      </c>
      <c r="AJ301" s="428">
        <v>0</v>
      </c>
      <c r="AK301" s="428">
        <v>0</v>
      </c>
      <c r="AL301" s="428">
        <v>0</v>
      </c>
      <c r="AM301" s="428">
        <v>0</v>
      </c>
      <c r="AN301" s="428">
        <v>0</v>
      </c>
    </row>
    <row r="302" spans="1:43" ht="19" customHeight="1" x14ac:dyDescent="0.35">
      <c r="A302" s="429">
        <v>12</v>
      </c>
      <c r="B302" s="427" t="str">
        <f>PETUNJUK!B20</f>
        <v>Gerdu</v>
      </c>
      <c r="C302" s="428">
        <v>0</v>
      </c>
      <c r="D302" s="428">
        <v>0</v>
      </c>
      <c r="E302" s="428">
        <v>0</v>
      </c>
      <c r="F302" s="428">
        <v>0</v>
      </c>
      <c r="G302" s="428">
        <v>0</v>
      </c>
      <c r="H302" s="428">
        <v>0</v>
      </c>
      <c r="I302" s="428">
        <v>0</v>
      </c>
      <c r="J302" s="428">
        <v>0</v>
      </c>
      <c r="K302" s="428">
        <v>0</v>
      </c>
      <c r="L302" s="428">
        <v>0</v>
      </c>
      <c r="M302" s="428">
        <v>0</v>
      </c>
      <c r="N302" s="428">
        <v>0</v>
      </c>
      <c r="O302" s="428">
        <v>0</v>
      </c>
      <c r="P302" s="428">
        <v>0</v>
      </c>
      <c r="Q302" s="428">
        <v>0</v>
      </c>
      <c r="R302" s="428">
        <v>0</v>
      </c>
      <c r="S302" s="428">
        <v>0</v>
      </c>
      <c r="T302" s="428">
        <v>0</v>
      </c>
      <c r="U302" s="428">
        <v>0</v>
      </c>
      <c r="V302" s="428">
        <v>0</v>
      </c>
      <c r="W302" s="428">
        <v>0</v>
      </c>
      <c r="X302" s="428">
        <v>0</v>
      </c>
      <c r="Y302" s="428">
        <v>0</v>
      </c>
      <c r="Z302" s="428">
        <v>0</v>
      </c>
      <c r="AA302" s="428">
        <v>0</v>
      </c>
      <c r="AB302" s="428">
        <v>0</v>
      </c>
      <c r="AC302" s="428">
        <v>0</v>
      </c>
      <c r="AD302" s="428">
        <v>0</v>
      </c>
      <c r="AE302" s="428">
        <v>0</v>
      </c>
      <c r="AF302" s="428">
        <v>0</v>
      </c>
      <c r="AG302" s="428">
        <v>0</v>
      </c>
      <c r="AH302" s="428">
        <v>0</v>
      </c>
      <c r="AI302" s="428">
        <v>0</v>
      </c>
      <c r="AJ302" s="428">
        <v>0</v>
      </c>
      <c r="AK302" s="428">
        <v>0</v>
      </c>
      <c r="AL302" s="428">
        <v>0</v>
      </c>
      <c r="AM302" s="428">
        <v>0</v>
      </c>
      <c r="AN302" s="428">
        <v>0</v>
      </c>
    </row>
    <row r="303" spans="1:43" ht="19" customHeight="1" x14ac:dyDescent="0.35">
      <c r="A303" s="429">
        <v>13</v>
      </c>
      <c r="B303" s="427">
        <f>PETUNJUK!B21</f>
        <v>0</v>
      </c>
      <c r="C303" s="428">
        <v>0</v>
      </c>
      <c r="D303" s="428">
        <v>0</v>
      </c>
      <c r="E303" s="428">
        <v>0</v>
      </c>
      <c r="F303" s="428">
        <v>0</v>
      </c>
      <c r="G303" s="428">
        <v>0</v>
      </c>
      <c r="H303" s="428">
        <v>0</v>
      </c>
      <c r="I303" s="428">
        <v>0</v>
      </c>
      <c r="J303" s="428">
        <v>0</v>
      </c>
      <c r="K303" s="428">
        <v>0</v>
      </c>
      <c r="L303" s="428">
        <v>0</v>
      </c>
      <c r="M303" s="428">
        <v>0</v>
      </c>
      <c r="N303" s="428">
        <v>0</v>
      </c>
      <c r="O303" s="428">
        <v>0</v>
      </c>
      <c r="P303" s="428">
        <v>0</v>
      </c>
      <c r="Q303" s="428">
        <v>0</v>
      </c>
      <c r="R303" s="428">
        <v>0</v>
      </c>
      <c r="S303" s="428">
        <v>0</v>
      </c>
      <c r="T303" s="428">
        <v>0</v>
      </c>
      <c r="U303" s="428">
        <v>0</v>
      </c>
      <c r="V303" s="428">
        <v>0</v>
      </c>
      <c r="W303" s="428">
        <v>0</v>
      </c>
      <c r="X303" s="428">
        <v>0</v>
      </c>
      <c r="Y303" s="428">
        <v>0</v>
      </c>
      <c r="Z303" s="428">
        <v>0</v>
      </c>
      <c r="AA303" s="428">
        <v>0</v>
      </c>
      <c r="AB303" s="428">
        <v>0</v>
      </c>
      <c r="AC303" s="428">
        <v>0</v>
      </c>
      <c r="AD303" s="428">
        <v>0</v>
      </c>
      <c r="AE303" s="428">
        <v>0</v>
      </c>
      <c r="AF303" s="428">
        <v>0</v>
      </c>
      <c r="AG303" s="428">
        <v>0</v>
      </c>
      <c r="AH303" s="428">
        <v>0</v>
      </c>
      <c r="AI303" s="428">
        <v>0</v>
      </c>
      <c r="AJ303" s="428">
        <v>0</v>
      </c>
      <c r="AK303" s="428">
        <v>0</v>
      </c>
      <c r="AL303" s="428">
        <v>0</v>
      </c>
      <c r="AM303" s="428">
        <v>0</v>
      </c>
      <c r="AN303" s="428">
        <v>0</v>
      </c>
    </row>
    <row r="304" spans="1:43" ht="19" customHeight="1" x14ac:dyDescent="0.35">
      <c r="A304" s="429">
        <v>14</v>
      </c>
      <c r="B304" s="427">
        <f>PETUNJUK!B22</f>
        <v>0</v>
      </c>
      <c r="C304" s="428">
        <v>0</v>
      </c>
      <c r="D304" s="428">
        <v>0</v>
      </c>
      <c r="E304" s="428">
        <v>0</v>
      </c>
      <c r="F304" s="428">
        <v>0</v>
      </c>
      <c r="G304" s="428">
        <v>0</v>
      </c>
      <c r="H304" s="428">
        <v>0</v>
      </c>
      <c r="I304" s="428">
        <v>0</v>
      </c>
      <c r="J304" s="428">
        <v>0</v>
      </c>
      <c r="K304" s="428">
        <v>0</v>
      </c>
      <c r="L304" s="428">
        <v>0</v>
      </c>
      <c r="M304" s="428">
        <v>0</v>
      </c>
      <c r="N304" s="428">
        <v>0</v>
      </c>
      <c r="O304" s="428">
        <v>0</v>
      </c>
      <c r="P304" s="428">
        <v>0</v>
      </c>
      <c r="Q304" s="428">
        <v>0</v>
      </c>
      <c r="R304" s="428">
        <v>0</v>
      </c>
      <c r="S304" s="428">
        <v>0</v>
      </c>
      <c r="T304" s="428">
        <v>0</v>
      </c>
      <c r="U304" s="428">
        <v>0</v>
      </c>
      <c r="V304" s="428">
        <v>0</v>
      </c>
      <c r="W304" s="428">
        <v>0</v>
      </c>
      <c r="X304" s="428">
        <v>0</v>
      </c>
      <c r="Y304" s="428">
        <v>0</v>
      </c>
      <c r="Z304" s="428">
        <v>0</v>
      </c>
      <c r="AA304" s="428">
        <v>0</v>
      </c>
      <c r="AB304" s="428">
        <v>0</v>
      </c>
      <c r="AC304" s="428">
        <v>0</v>
      </c>
      <c r="AD304" s="428">
        <v>0</v>
      </c>
      <c r="AE304" s="428">
        <v>0</v>
      </c>
      <c r="AF304" s="428">
        <v>0</v>
      </c>
      <c r="AG304" s="428">
        <v>0</v>
      </c>
      <c r="AH304" s="428">
        <v>0</v>
      </c>
      <c r="AI304" s="428">
        <v>0</v>
      </c>
      <c r="AJ304" s="428">
        <v>0</v>
      </c>
      <c r="AK304" s="428">
        <v>0</v>
      </c>
      <c r="AL304" s="428">
        <v>0</v>
      </c>
      <c r="AM304" s="428">
        <v>0</v>
      </c>
      <c r="AN304" s="428">
        <v>0</v>
      </c>
    </row>
    <row r="305" spans="1:40" ht="19" customHeight="1" x14ac:dyDescent="0.35">
      <c r="A305" s="429">
        <v>15</v>
      </c>
      <c r="B305" s="427">
        <f>PETUNJUK!B23</f>
        <v>0</v>
      </c>
      <c r="C305" s="428">
        <v>0</v>
      </c>
      <c r="D305" s="428">
        <v>0</v>
      </c>
      <c r="E305" s="428">
        <v>0</v>
      </c>
      <c r="F305" s="428">
        <v>0</v>
      </c>
      <c r="G305" s="428">
        <v>0</v>
      </c>
      <c r="H305" s="428">
        <v>0</v>
      </c>
      <c r="I305" s="428">
        <v>0</v>
      </c>
      <c r="J305" s="428">
        <v>0</v>
      </c>
      <c r="K305" s="428">
        <v>0</v>
      </c>
      <c r="L305" s="428">
        <v>0</v>
      </c>
      <c r="M305" s="428">
        <v>0</v>
      </c>
      <c r="N305" s="428">
        <v>0</v>
      </c>
      <c r="O305" s="428">
        <v>0</v>
      </c>
      <c r="P305" s="428">
        <v>0</v>
      </c>
      <c r="Q305" s="428">
        <v>0</v>
      </c>
      <c r="R305" s="428">
        <v>0</v>
      </c>
      <c r="S305" s="428">
        <v>0</v>
      </c>
      <c r="T305" s="428">
        <v>0</v>
      </c>
      <c r="U305" s="428">
        <v>0</v>
      </c>
      <c r="V305" s="428">
        <v>0</v>
      </c>
      <c r="W305" s="428">
        <v>0</v>
      </c>
      <c r="X305" s="428">
        <v>0</v>
      </c>
      <c r="Y305" s="428">
        <v>0</v>
      </c>
      <c r="Z305" s="428">
        <v>0</v>
      </c>
      <c r="AA305" s="428">
        <v>0</v>
      </c>
      <c r="AB305" s="428">
        <v>0</v>
      </c>
      <c r="AC305" s="428">
        <v>0</v>
      </c>
      <c r="AD305" s="428">
        <v>0</v>
      </c>
      <c r="AE305" s="428">
        <v>0</v>
      </c>
      <c r="AF305" s="428">
        <v>0</v>
      </c>
      <c r="AG305" s="428">
        <v>0</v>
      </c>
      <c r="AH305" s="428">
        <v>0</v>
      </c>
      <c r="AI305" s="428">
        <v>0</v>
      </c>
      <c r="AJ305" s="428">
        <v>0</v>
      </c>
      <c r="AK305" s="428">
        <v>0</v>
      </c>
      <c r="AL305" s="428">
        <v>0</v>
      </c>
      <c r="AM305" s="428">
        <v>0</v>
      </c>
      <c r="AN305" s="428">
        <v>0</v>
      </c>
    </row>
    <row r="306" spans="1:40" ht="19" customHeight="1" x14ac:dyDescent="0.35">
      <c r="A306" s="429">
        <v>16</v>
      </c>
      <c r="B306" s="427">
        <f>PETUNJUK!B24</f>
        <v>0</v>
      </c>
      <c r="C306" s="428">
        <v>0</v>
      </c>
      <c r="D306" s="428">
        <v>0</v>
      </c>
      <c r="E306" s="428">
        <v>0</v>
      </c>
      <c r="F306" s="428">
        <v>0</v>
      </c>
      <c r="G306" s="428">
        <v>0</v>
      </c>
      <c r="H306" s="428">
        <v>0</v>
      </c>
      <c r="I306" s="428">
        <v>0</v>
      </c>
      <c r="J306" s="428">
        <v>0</v>
      </c>
      <c r="K306" s="428">
        <v>0</v>
      </c>
      <c r="L306" s="428">
        <v>0</v>
      </c>
      <c r="M306" s="428">
        <v>0</v>
      </c>
      <c r="N306" s="428">
        <v>0</v>
      </c>
      <c r="O306" s="428">
        <v>0</v>
      </c>
      <c r="P306" s="428">
        <v>0</v>
      </c>
      <c r="Q306" s="428">
        <v>0</v>
      </c>
      <c r="R306" s="428">
        <v>0</v>
      </c>
      <c r="S306" s="428">
        <v>0</v>
      </c>
      <c r="T306" s="428">
        <v>0</v>
      </c>
      <c r="U306" s="428">
        <v>0</v>
      </c>
      <c r="V306" s="428">
        <v>0</v>
      </c>
      <c r="W306" s="428">
        <v>0</v>
      </c>
      <c r="X306" s="428">
        <v>0</v>
      </c>
      <c r="Y306" s="428">
        <v>0</v>
      </c>
      <c r="Z306" s="428">
        <v>0</v>
      </c>
      <c r="AA306" s="428">
        <v>0</v>
      </c>
      <c r="AB306" s="428">
        <v>0</v>
      </c>
      <c r="AC306" s="428">
        <v>0</v>
      </c>
      <c r="AD306" s="428">
        <v>0</v>
      </c>
      <c r="AE306" s="428">
        <v>0</v>
      </c>
      <c r="AF306" s="428">
        <v>0</v>
      </c>
      <c r="AG306" s="428">
        <v>0</v>
      </c>
      <c r="AH306" s="428">
        <v>0</v>
      </c>
      <c r="AI306" s="428">
        <v>0</v>
      </c>
      <c r="AJ306" s="428">
        <v>0</v>
      </c>
      <c r="AK306" s="428">
        <v>0</v>
      </c>
      <c r="AL306" s="428">
        <v>0</v>
      </c>
      <c r="AM306" s="428">
        <v>0</v>
      </c>
      <c r="AN306" s="428">
        <v>0</v>
      </c>
    </row>
    <row r="307" spans="1:40" ht="19" customHeight="1" x14ac:dyDescent="0.35">
      <c r="A307" s="429">
        <v>17</v>
      </c>
      <c r="B307" s="427">
        <f>PETUNJUK!B25</f>
        <v>0</v>
      </c>
      <c r="C307" s="428">
        <v>0</v>
      </c>
      <c r="D307" s="428">
        <v>0</v>
      </c>
      <c r="E307" s="428">
        <v>0</v>
      </c>
      <c r="F307" s="428">
        <v>0</v>
      </c>
      <c r="G307" s="428">
        <v>0</v>
      </c>
      <c r="H307" s="428">
        <v>0</v>
      </c>
      <c r="I307" s="428">
        <v>0</v>
      </c>
      <c r="J307" s="428">
        <v>0</v>
      </c>
      <c r="K307" s="428">
        <v>0</v>
      </c>
      <c r="L307" s="428">
        <v>0</v>
      </c>
      <c r="M307" s="428">
        <v>0</v>
      </c>
      <c r="N307" s="428">
        <v>0</v>
      </c>
      <c r="O307" s="428">
        <v>0</v>
      </c>
      <c r="P307" s="428">
        <v>0</v>
      </c>
      <c r="Q307" s="428">
        <v>0</v>
      </c>
      <c r="R307" s="428">
        <v>0</v>
      </c>
      <c r="S307" s="428">
        <v>0</v>
      </c>
      <c r="T307" s="428">
        <v>0</v>
      </c>
      <c r="U307" s="428">
        <v>0</v>
      </c>
      <c r="V307" s="428">
        <v>0</v>
      </c>
      <c r="W307" s="428">
        <v>0</v>
      </c>
      <c r="X307" s="428">
        <v>0</v>
      </c>
      <c r="Y307" s="428">
        <v>0</v>
      </c>
      <c r="Z307" s="428">
        <v>0</v>
      </c>
      <c r="AA307" s="428">
        <v>0</v>
      </c>
      <c r="AB307" s="428">
        <v>0</v>
      </c>
      <c r="AC307" s="428">
        <v>0</v>
      </c>
      <c r="AD307" s="428">
        <v>0</v>
      </c>
      <c r="AE307" s="428">
        <v>0</v>
      </c>
      <c r="AF307" s="428">
        <v>0</v>
      </c>
      <c r="AG307" s="428">
        <v>0</v>
      </c>
      <c r="AH307" s="428">
        <v>0</v>
      </c>
      <c r="AI307" s="428">
        <v>0</v>
      </c>
      <c r="AJ307" s="428">
        <v>0</v>
      </c>
      <c r="AK307" s="428">
        <v>0</v>
      </c>
      <c r="AL307" s="428">
        <v>0</v>
      </c>
      <c r="AM307" s="428">
        <v>0</v>
      </c>
      <c r="AN307" s="428">
        <v>0</v>
      </c>
    </row>
    <row r="308" spans="1:40" ht="19" customHeight="1" x14ac:dyDescent="0.35">
      <c r="A308" s="429">
        <v>18</v>
      </c>
      <c r="B308" s="427">
        <f>PETUNJUK!B26</f>
        <v>0</v>
      </c>
      <c r="C308" s="428">
        <v>0</v>
      </c>
      <c r="D308" s="428">
        <v>0</v>
      </c>
      <c r="E308" s="428">
        <v>0</v>
      </c>
      <c r="F308" s="428">
        <v>0</v>
      </c>
      <c r="G308" s="428">
        <v>0</v>
      </c>
      <c r="H308" s="428">
        <v>0</v>
      </c>
      <c r="I308" s="428">
        <v>0</v>
      </c>
      <c r="J308" s="428">
        <v>0</v>
      </c>
      <c r="K308" s="428">
        <v>0</v>
      </c>
      <c r="L308" s="428">
        <v>0</v>
      </c>
      <c r="M308" s="428">
        <v>0</v>
      </c>
      <c r="N308" s="428">
        <v>0</v>
      </c>
      <c r="O308" s="428">
        <v>0</v>
      </c>
      <c r="P308" s="428">
        <v>0</v>
      </c>
      <c r="Q308" s="428">
        <v>0</v>
      </c>
      <c r="R308" s="428">
        <v>0</v>
      </c>
      <c r="S308" s="428">
        <v>0</v>
      </c>
      <c r="T308" s="428">
        <v>0</v>
      </c>
      <c r="U308" s="428">
        <v>0</v>
      </c>
      <c r="V308" s="428">
        <v>0</v>
      </c>
      <c r="W308" s="428">
        <v>0</v>
      </c>
      <c r="X308" s="428">
        <v>0</v>
      </c>
      <c r="Y308" s="428">
        <v>0</v>
      </c>
      <c r="Z308" s="428">
        <v>0</v>
      </c>
      <c r="AA308" s="428">
        <v>0</v>
      </c>
      <c r="AB308" s="428">
        <v>0</v>
      </c>
      <c r="AC308" s="428">
        <v>0</v>
      </c>
      <c r="AD308" s="428">
        <v>0</v>
      </c>
      <c r="AE308" s="428">
        <v>0</v>
      </c>
      <c r="AF308" s="428">
        <v>0</v>
      </c>
      <c r="AG308" s="428">
        <v>0</v>
      </c>
      <c r="AH308" s="428">
        <v>0</v>
      </c>
      <c r="AI308" s="428">
        <v>0</v>
      </c>
      <c r="AJ308" s="428">
        <v>0</v>
      </c>
      <c r="AK308" s="428">
        <v>0</v>
      </c>
      <c r="AL308" s="428">
        <v>0</v>
      </c>
      <c r="AM308" s="428">
        <v>0</v>
      </c>
      <c r="AN308" s="428">
        <v>0</v>
      </c>
    </row>
    <row r="309" spans="1:40" ht="19" customHeight="1" x14ac:dyDescent="0.35">
      <c r="A309" s="429">
        <v>19</v>
      </c>
      <c r="B309" s="427">
        <f>PETUNJUK!B27</f>
        <v>0</v>
      </c>
      <c r="C309" s="428">
        <v>0</v>
      </c>
      <c r="D309" s="428">
        <v>0</v>
      </c>
      <c r="E309" s="428">
        <v>0</v>
      </c>
      <c r="F309" s="428">
        <v>0</v>
      </c>
      <c r="G309" s="428">
        <v>0</v>
      </c>
      <c r="H309" s="428">
        <v>0</v>
      </c>
      <c r="I309" s="428">
        <v>0</v>
      </c>
      <c r="J309" s="428">
        <v>0</v>
      </c>
      <c r="K309" s="428">
        <v>0</v>
      </c>
      <c r="L309" s="428">
        <v>0</v>
      </c>
      <c r="M309" s="428">
        <v>0</v>
      </c>
      <c r="N309" s="428">
        <v>0</v>
      </c>
      <c r="O309" s="428">
        <v>0</v>
      </c>
      <c r="P309" s="428">
        <v>0</v>
      </c>
      <c r="Q309" s="428">
        <v>0</v>
      </c>
      <c r="R309" s="428">
        <v>0</v>
      </c>
      <c r="S309" s="428">
        <v>0</v>
      </c>
      <c r="T309" s="428">
        <v>0</v>
      </c>
      <c r="U309" s="428">
        <v>0</v>
      </c>
      <c r="V309" s="428">
        <v>0</v>
      </c>
      <c r="W309" s="428">
        <v>0</v>
      </c>
      <c r="X309" s="428">
        <v>0</v>
      </c>
      <c r="Y309" s="428">
        <v>0</v>
      </c>
      <c r="Z309" s="428">
        <v>0</v>
      </c>
      <c r="AA309" s="428">
        <v>0</v>
      </c>
      <c r="AB309" s="428">
        <v>0</v>
      </c>
      <c r="AC309" s="428">
        <v>0</v>
      </c>
      <c r="AD309" s="428">
        <v>0</v>
      </c>
      <c r="AE309" s="428">
        <v>0</v>
      </c>
      <c r="AF309" s="428">
        <v>0</v>
      </c>
      <c r="AG309" s="428">
        <v>0</v>
      </c>
      <c r="AH309" s="428">
        <v>0</v>
      </c>
      <c r="AI309" s="428">
        <v>0</v>
      </c>
      <c r="AJ309" s="428">
        <v>0</v>
      </c>
      <c r="AK309" s="428">
        <v>0</v>
      </c>
      <c r="AL309" s="428">
        <v>0</v>
      </c>
      <c r="AM309" s="428">
        <v>0</v>
      </c>
      <c r="AN309" s="428">
        <v>0</v>
      </c>
    </row>
    <row r="310" spans="1:40" ht="19" customHeight="1" x14ac:dyDescent="0.35">
      <c r="A310" s="429">
        <v>20</v>
      </c>
      <c r="B310" s="427">
        <f>PETUNJUK!B28</f>
        <v>0</v>
      </c>
      <c r="C310" s="428">
        <v>0</v>
      </c>
      <c r="D310" s="428">
        <v>0</v>
      </c>
      <c r="E310" s="428">
        <v>0</v>
      </c>
      <c r="F310" s="428">
        <v>0</v>
      </c>
      <c r="G310" s="428">
        <v>0</v>
      </c>
      <c r="H310" s="428">
        <v>0</v>
      </c>
      <c r="I310" s="428">
        <v>0</v>
      </c>
      <c r="J310" s="428">
        <v>0</v>
      </c>
      <c r="K310" s="428">
        <v>0</v>
      </c>
      <c r="L310" s="428">
        <v>0</v>
      </c>
      <c r="M310" s="428">
        <v>0</v>
      </c>
      <c r="N310" s="428">
        <v>0</v>
      </c>
      <c r="O310" s="428">
        <v>0</v>
      </c>
      <c r="P310" s="428">
        <v>0</v>
      </c>
      <c r="Q310" s="428">
        <v>0</v>
      </c>
      <c r="R310" s="428">
        <v>0</v>
      </c>
      <c r="S310" s="428">
        <v>0</v>
      </c>
      <c r="T310" s="428">
        <v>0</v>
      </c>
      <c r="U310" s="428">
        <v>0</v>
      </c>
      <c r="V310" s="428">
        <v>0</v>
      </c>
      <c r="W310" s="428">
        <v>0</v>
      </c>
      <c r="X310" s="428">
        <v>0</v>
      </c>
      <c r="Y310" s="428">
        <v>0</v>
      </c>
      <c r="Z310" s="428">
        <v>0</v>
      </c>
      <c r="AA310" s="428">
        <v>0</v>
      </c>
      <c r="AB310" s="428">
        <v>0</v>
      </c>
      <c r="AC310" s="428">
        <v>0</v>
      </c>
      <c r="AD310" s="428">
        <v>0</v>
      </c>
      <c r="AE310" s="428">
        <v>0</v>
      </c>
      <c r="AF310" s="428">
        <v>0</v>
      </c>
      <c r="AG310" s="428">
        <v>0</v>
      </c>
      <c r="AH310" s="428">
        <v>0</v>
      </c>
      <c r="AI310" s="428">
        <v>0</v>
      </c>
      <c r="AJ310" s="428">
        <v>0</v>
      </c>
      <c r="AK310" s="428">
        <v>0</v>
      </c>
      <c r="AL310" s="428">
        <v>0</v>
      </c>
      <c r="AM310" s="428">
        <v>0</v>
      </c>
      <c r="AN310" s="428">
        <v>0</v>
      </c>
    </row>
    <row r="311" spans="1:40" ht="19" customHeight="1" x14ac:dyDescent="0.35">
      <c r="A311" s="429">
        <v>21</v>
      </c>
      <c r="B311" s="427">
        <f>PETUNJUK!B29</f>
        <v>0</v>
      </c>
      <c r="C311" s="428">
        <v>0</v>
      </c>
      <c r="D311" s="428">
        <v>0</v>
      </c>
      <c r="E311" s="428">
        <v>0</v>
      </c>
      <c r="F311" s="428">
        <v>0</v>
      </c>
      <c r="G311" s="428">
        <v>0</v>
      </c>
      <c r="H311" s="428">
        <v>0</v>
      </c>
      <c r="I311" s="428">
        <v>0</v>
      </c>
      <c r="J311" s="428">
        <v>0</v>
      </c>
      <c r="K311" s="428">
        <v>0</v>
      </c>
      <c r="L311" s="428">
        <v>0</v>
      </c>
      <c r="M311" s="428">
        <v>0</v>
      </c>
      <c r="N311" s="428">
        <v>0</v>
      </c>
      <c r="O311" s="428">
        <v>0</v>
      </c>
      <c r="P311" s="428">
        <v>0</v>
      </c>
      <c r="Q311" s="428">
        <v>0</v>
      </c>
      <c r="R311" s="428">
        <v>0</v>
      </c>
      <c r="S311" s="428">
        <v>0</v>
      </c>
      <c r="T311" s="428">
        <v>0</v>
      </c>
      <c r="U311" s="428">
        <v>0</v>
      </c>
      <c r="V311" s="428">
        <v>0</v>
      </c>
      <c r="W311" s="428">
        <v>0</v>
      </c>
      <c r="X311" s="428">
        <v>0</v>
      </c>
      <c r="Y311" s="428">
        <v>0</v>
      </c>
      <c r="Z311" s="428">
        <v>0</v>
      </c>
      <c r="AA311" s="428">
        <v>0</v>
      </c>
      <c r="AB311" s="428">
        <v>0</v>
      </c>
      <c r="AC311" s="428">
        <v>0</v>
      </c>
      <c r="AD311" s="428">
        <v>0</v>
      </c>
      <c r="AE311" s="428">
        <v>0</v>
      </c>
      <c r="AF311" s="428">
        <v>0</v>
      </c>
      <c r="AG311" s="428">
        <v>0</v>
      </c>
      <c r="AH311" s="428">
        <v>0</v>
      </c>
      <c r="AI311" s="428">
        <v>0</v>
      </c>
      <c r="AJ311" s="428">
        <v>0</v>
      </c>
      <c r="AK311" s="428">
        <v>0</v>
      </c>
      <c r="AL311" s="428">
        <v>0</v>
      </c>
      <c r="AM311" s="428">
        <v>0</v>
      </c>
      <c r="AN311" s="428">
        <v>0</v>
      </c>
    </row>
    <row r="312" spans="1:40" ht="19" customHeight="1" x14ac:dyDescent="0.35">
      <c r="A312" s="429">
        <v>22</v>
      </c>
      <c r="B312" s="427">
        <f>PETUNJUK!B30</f>
        <v>0</v>
      </c>
      <c r="C312" s="428">
        <v>0</v>
      </c>
      <c r="D312" s="428">
        <v>0</v>
      </c>
      <c r="E312" s="428">
        <v>0</v>
      </c>
      <c r="F312" s="428">
        <v>0</v>
      </c>
      <c r="G312" s="428">
        <v>0</v>
      </c>
      <c r="H312" s="428">
        <v>0</v>
      </c>
      <c r="I312" s="428">
        <v>0</v>
      </c>
      <c r="J312" s="428">
        <v>0</v>
      </c>
      <c r="K312" s="428">
        <v>0</v>
      </c>
      <c r="L312" s="428">
        <v>0</v>
      </c>
      <c r="M312" s="428">
        <v>0</v>
      </c>
      <c r="N312" s="428">
        <v>0</v>
      </c>
      <c r="O312" s="428">
        <v>0</v>
      </c>
      <c r="P312" s="428">
        <v>0</v>
      </c>
      <c r="Q312" s="428">
        <v>0</v>
      </c>
      <c r="R312" s="428">
        <v>0</v>
      </c>
      <c r="S312" s="428">
        <v>0</v>
      </c>
      <c r="T312" s="428">
        <v>0</v>
      </c>
      <c r="U312" s="428">
        <v>0</v>
      </c>
      <c r="V312" s="428">
        <v>0</v>
      </c>
      <c r="W312" s="428">
        <v>0</v>
      </c>
      <c r="X312" s="428">
        <v>0</v>
      </c>
      <c r="Y312" s="428">
        <v>0</v>
      </c>
      <c r="Z312" s="428">
        <v>0</v>
      </c>
      <c r="AA312" s="428">
        <v>0</v>
      </c>
      <c r="AB312" s="428">
        <v>0</v>
      </c>
      <c r="AC312" s="428">
        <v>0</v>
      </c>
      <c r="AD312" s="428">
        <v>0</v>
      </c>
      <c r="AE312" s="428">
        <v>0</v>
      </c>
      <c r="AF312" s="428">
        <v>0</v>
      </c>
      <c r="AG312" s="428">
        <v>0</v>
      </c>
      <c r="AH312" s="428">
        <v>0</v>
      </c>
      <c r="AI312" s="428">
        <v>0</v>
      </c>
      <c r="AJ312" s="428">
        <v>0</v>
      </c>
      <c r="AK312" s="428">
        <v>0</v>
      </c>
      <c r="AL312" s="428">
        <v>0</v>
      </c>
      <c r="AM312" s="428">
        <v>0</v>
      </c>
      <c r="AN312" s="428">
        <v>0</v>
      </c>
    </row>
    <row r="313" spans="1:40" s="421" customFormat="1" ht="19" customHeight="1" x14ac:dyDescent="0.35">
      <c r="A313" s="468"/>
      <c r="B313" s="419" t="s">
        <v>17</v>
      </c>
      <c r="C313" s="422">
        <f>SUM(C291:C312)</f>
        <v>0</v>
      </c>
      <c r="D313" s="468">
        <f t="shared" ref="D313:AI313" si="48">SUM(D291:D312)</f>
        <v>0</v>
      </c>
      <c r="E313" s="468">
        <f t="shared" si="48"/>
        <v>0</v>
      </c>
      <c r="F313" s="468">
        <f>SUM(F291:F312)</f>
        <v>0</v>
      </c>
      <c r="G313" s="468">
        <f t="shared" ref="G313:H313" si="49">SUM(G291:G312)</f>
        <v>0</v>
      </c>
      <c r="H313" s="468">
        <f t="shared" si="49"/>
        <v>0</v>
      </c>
      <c r="I313" s="468">
        <f t="shared" si="48"/>
        <v>0</v>
      </c>
      <c r="J313" s="468">
        <f t="shared" si="48"/>
        <v>0</v>
      </c>
      <c r="K313" s="468">
        <f t="shared" si="48"/>
        <v>0</v>
      </c>
      <c r="L313" s="468">
        <f t="shared" si="48"/>
        <v>0</v>
      </c>
      <c r="M313" s="468">
        <f t="shared" si="48"/>
        <v>0</v>
      </c>
      <c r="N313" s="468">
        <f t="shared" si="48"/>
        <v>0</v>
      </c>
      <c r="O313" s="468">
        <f t="shared" si="48"/>
        <v>0</v>
      </c>
      <c r="P313" s="468">
        <f t="shared" si="48"/>
        <v>0</v>
      </c>
      <c r="Q313" s="468">
        <f t="shared" si="48"/>
        <v>0</v>
      </c>
      <c r="R313" s="468">
        <f t="shared" si="48"/>
        <v>0</v>
      </c>
      <c r="S313" s="468">
        <f t="shared" si="48"/>
        <v>0</v>
      </c>
      <c r="T313" s="468">
        <f t="shared" si="48"/>
        <v>0</v>
      </c>
      <c r="U313" s="468">
        <f t="shared" si="48"/>
        <v>0</v>
      </c>
      <c r="V313" s="468">
        <f t="shared" si="48"/>
        <v>0</v>
      </c>
      <c r="W313" s="468">
        <f t="shared" si="48"/>
        <v>0</v>
      </c>
      <c r="X313" s="468">
        <f t="shared" si="48"/>
        <v>0</v>
      </c>
      <c r="Y313" s="468">
        <f t="shared" si="48"/>
        <v>0</v>
      </c>
      <c r="Z313" s="468">
        <f t="shared" si="48"/>
        <v>0</v>
      </c>
      <c r="AA313" s="468">
        <f t="shared" si="48"/>
        <v>0</v>
      </c>
      <c r="AB313" s="468">
        <f t="shared" si="48"/>
        <v>0</v>
      </c>
      <c r="AC313" s="468">
        <f t="shared" si="48"/>
        <v>0</v>
      </c>
      <c r="AD313" s="468">
        <f t="shared" si="48"/>
        <v>0</v>
      </c>
      <c r="AE313" s="468">
        <f t="shared" si="48"/>
        <v>0</v>
      </c>
      <c r="AF313" s="468">
        <f t="shared" si="48"/>
        <v>0</v>
      </c>
      <c r="AG313" s="468">
        <f t="shared" si="48"/>
        <v>0</v>
      </c>
      <c r="AH313" s="468">
        <f t="shared" si="48"/>
        <v>0</v>
      </c>
      <c r="AI313" s="468">
        <f t="shared" si="48"/>
        <v>0</v>
      </c>
      <c r="AJ313" s="677">
        <f t="shared" ref="AJ313:AN313" si="50">SUM(AJ291:AJ312)</f>
        <v>0</v>
      </c>
      <c r="AK313" s="677">
        <f t="shared" si="50"/>
        <v>0</v>
      </c>
      <c r="AL313" s="677">
        <f t="shared" si="50"/>
        <v>0</v>
      </c>
      <c r="AM313" s="677">
        <f t="shared" si="50"/>
        <v>0</v>
      </c>
      <c r="AN313" s="677">
        <f t="shared" si="50"/>
        <v>0</v>
      </c>
    </row>
    <row r="314" spans="1:40" ht="19" customHeight="1" x14ac:dyDescent="0.35">
      <c r="A314" s="30"/>
      <c r="B314" s="30"/>
      <c r="C314" s="541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</row>
    <row r="315" spans="1:40" ht="19" customHeight="1" x14ac:dyDescent="0.35">
      <c r="A315" s="30"/>
      <c r="B315" s="30"/>
      <c r="C315" s="541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</row>
    <row r="316" spans="1:40" ht="19" customHeight="1" x14ac:dyDescent="0.35">
      <c r="A316" s="30"/>
      <c r="B316" s="30"/>
      <c r="C316" s="541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</row>
    <row r="317" spans="1:40" s="418" customFormat="1" ht="19" customHeight="1" x14ac:dyDescent="0.35">
      <c r="A317" s="535" t="s">
        <v>147</v>
      </c>
      <c r="B317" s="535"/>
      <c r="C317" s="536" t="s">
        <v>243</v>
      </c>
      <c r="D317" s="535" t="str">
        <f>D2</f>
        <v>PECANGAAN</v>
      </c>
      <c r="E317" s="535"/>
      <c r="F317" s="535"/>
      <c r="G317" s="535"/>
      <c r="H317" s="535"/>
      <c r="I317" s="537"/>
      <c r="J317" s="537"/>
      <c r="K317" s="537"/>
      <c r="L317" s="537"/>
      <c r="M317" s="537"/>
      <c r="N317" s="537"/>
      <c r="O317" s="537"/>
      <c r="P317" s="537"/>
      <c r="Q317" s="537"/>
      <c r="R317" s="537"/>
      <c r="S317" s="537"/>
      <c r="T317" s="537"/>
      <c r="U317" s="537"/>
      <c r="V317" s="537"/>
      <c r="W317" s="537"/>
      <c r="X317" s="537"/>
      <c r="Y317" s="537"/>
      <c r="Z317" s="537"/>
      <c r="AA317" s="537"/>
      <c r="AB317" s="537"/>
      <c r="AC317" s="537"/>
      <c r="AD317" s="537"/>
      <c r="AE317" s="537"/>
      <c r="AF317" s="537"/>
      <c r="AG317" s="537"/>
      <c r="AH317" s="537"/>
      <c r="AI317" s="537"/>
      <c r="AJ317" s="537"/>
      <c r="AK317" s="537"/>
      <c r="AL317" s="537"/>
      <c r="AM317" s="537"/>
    </row>
    <row r="318" spans="1:40" s="418" customFormat="1" ht="19" customHeight="1" x14ac:dyDescent="0.35">
      <c r="A318" s="535" t="s">
        <v>242</v>
      </c>
      <c r="B318" s="535"/>
      <c r="C318" s="536" t="s">
        <v>243</v>
      </c>
      <c r="D318" s="538" t="s">
        <v>387</v>
      </c>
      <c r="E318" s="535"/>
      <c r="F318" s="535"/>
      <c r="G318" s="538"/>
      <c r="H318" s="535"/>
      <c r="I318" s="537"/>
      <c r="J318" s="537"/>
      <c r="K318" s="537"/>
      <c r="L318" s="537"/>
      <c r="M318" s="537"/>
      <c r="N318" s="537"/>
      <c r="O318" s="537"/>
      <c r="P318" s="537"/>
      <c r="Q318" s="537"/>
      <c r="R318" s="537"/>
      <c r="S318" s="537"/>
      <c r="T318" s="537"/>
      <c r="U318" s="537"/>
      <c r="V318" s="537"/>
      <c r="W318" s="537"/>
      <c r="X318" s="537"/>
      <c r="Y318" s="537"/>
      <c r="Z318" s="537"/>
      <c r="AA318" s="537"/>
      <c r="AB318" s="537"/>
      <c r="AC318" s="537"/>
      <c r="AD318" s="537"/>
      <c r="AE318" s="537"/>
      <c r="AF318" s="537"/>
      <c r="AG318" s="537"/>
      <c r="AH318" s="537"/>
      <c r="AI318" s="537"/>
      <c r="AJ318" s="537"/>
      <c r="AK318" s="537"/>
      <c r="AL318" s="537"/>
      <c r="AM318" s="537"/>
    </row>
    <row r="319" spans="1:40" ht="19" customHeight="1" x14ac:dyDescent="0.35">
      <c r="A319" s="539"/>
      <c r="B319" s="539"/>
      <c r="C319" s="540"/>
      <c r="D319" s="539"/>
      <c r="E319" s="539"/>
      <c r="F319" s="539"/>
      <c r="G319" s="539"/>
      <c r="H319" s="539"/>
      <c r="I319" s="416"/>
      <c r="J319" s="416"/>
      <c r="K319" s="416"/>
      <c r="L319" s="416"/>
      <c r="M319" s="416"/>
      <c r="N319" s="416"/>
      <c r="O319" s="416"/>
      <c r="P319" s="416"/>
      <c r="Q319" s="416"/>
      <c r="R319" s="416"/>
      <c r="S319" s="416"/>
      <c r="T319" s="416"/>
      <c r="U319" s="416"/>
      <c r="V319" s="416"/>
      <c r="W319" s="416"/>
      <c r="X319" s="416"/>
      <c r="Y319" s="416"/>
      <c r="Z319" s="416"/>
      <c r="AA319" s="416"/>
      <c r="AB319" s="416"/>
      <c r="AC319" s="416"/>
      <c r="AD319" s="416"/>
      <c r="AE319" s="416"/>
      <c r="AF319" s="416"/>
      <c r="AG319" s="416"/>
      <c r="AH319" s="416"/>
      <c r="AI319" s="416"/>
      <c r="AJ319" s="416"/>
      <c r="AK319" s="416"/>
      <c r="AL319" s="416"/>
      <c r="AM319" s="416"/>
    </row>
    <row r="320" spans="1:40" ht="19" customHeight="1" x14ac:dyDescent="0.35">
      <c r="A320" s="416"/>
      <c r="B320" s="416"/>
      <c r="C320" s="417"/>
      <c r="D320" s="416"/>
      <c r="E320" s="416"/>
      <c r="F320" s="416"/>
      <c r="G320" s="416"/>
      <c r="H320" s="416"/>
      <c r="I320" s="416"/>
      <c r="J320" s="416"/>
      <c r="K320" s="416"/>
      <c r="L320" s="416"/>
      <c r="M320" s="416"/>
      <c r="N320" s="416"/>
      <c r="O320" s="416"/>
      <c r="P320" s="416"/>
      <c r="Q320" s="416"/>
      <c r="R320" s="416"/>
      <c r="S320" s="416"/>
      <c r="T320" s="416"/>
      <c r="U320" s="416"/>
      <c r="V320" s="416"/>
      <c r="W320" s="416"/>
      <c r="X320" s="416"/>
      <c r="Y320" s="416"/>
      <c r="Z320" s="416"/>
      <c r="AA320" s="416"/>
      <c r="AB320" s="416"/>
      <c r="AC320" s="416"/>
      <c r="AD320" s="416"/>
      <c r="AE320" s="416"/>
      <c r="AF320" s="416"/>
      <c r="AG320" s="416"/>
      <c r="AH320" s="416"/>
      <c r="AI320" s="416"/>
      <c r="AJ320" s="416"/>
      <c r="AK320" s="416"/>
      <c r="AL320" s="416"/>
      <c r="AM320" s="416"/>
    </row>
    <row r="321" spans="1:43" s="421" customFormat="1" ht="19" customHeight="1" x14ac:dyDescent="0.35">
      <c r="A321" s="967" t="s">
        <v>244</v>
      </c>
      <c r="B321" s="967" t="s">
        <v>151</v>
      </c>
      <c r="C321" s="960" t="s">
        <v>311</v>
      </c>
      <c r="D321" s="960"/>
      <c r="E321" s="960"/>
      <c r="F321" s="960" t="s">
        <v>312</v>
      </c>
      <c r="G321" s="960"/>
      <c r="H321" s="960"/>
      <c r="I321" s="960" t="s">
        <v>33</v>
      </c>
      <c r="J321" s="960"/>
      <c r="K321" s="970" t="s">
        <v>245</v>
      </c>
      <c r="L321" s="970"/>
      <c r="M321" s="970" t="s">
        <v>246</v>
      </c>
      <c r="N321" s="970"/>
      <c r="O321" s="960" t="s">
        <v>247</v>
      </c>
      <c r="P321" s="960"/>
      <c r="Q321" s="960"/>
      <c r="R321" s="960"/>
      <c r="S321" s="960"/>
      <c r="T321" s="960"/>
      <c r="U321" s="960"/>
      <c r="V321" s="960"/>
      <c r="W321" s="960"/>
      <c r="X321" s="971" t="s">
        <v>247</v>
      </c>
      <c r="Y321" s="960"/>
      <c r="Z321" s="960"/>
      <c r="AA321" s="960"/>
      <c r="AB321" s="960"/>
      <c r="AC321" s="960"/>
      <c r="AD321" s="960"/>
      <c r="AE321" s="960"/>
      <c r="AF321" s="960"/>
      <c r="AG321" s="960"/>
      <c r="AH321" s="960"/>
      <c r="AI321" s="960"/>
      <c r="AJ321" s="975" t="s">
        <v>248</v>
      </c>
      <c r="AK321" s="975"/>
      <c r="AL321" s="975"/>
      <c r="AM321" s="975"/>
      <c r="AN321" s="975"/>
    </row>
    <row r="322" spans="1:43" s="421" customFormat="1" ht="19" customHeight="1" x14ac:dyDescent="0.35">
      <c r="A322" s="968"/>
      <c r="B322" s="968"/>
      <c r="C322" s="961" t="s">
        <v>249</v>
      </c>
      <c r="D322" s="972" t="s">
        <v>250</v>
      </c>
      <c r="E322" s="961" t="s">
        <v>251</v>
      </c>
      <c r="F322" s="961" t="s">
        <v>249</v>
      </c>
      <c r="G322" s="961" t="s">
        <v>250</v>
      </c>
      <c r="H322" s="961" t="s">
        <v>251</v>
      </c>
      <c r="I322" s="961" t="s">
        <v>252</v>
      </c>
      <c r="J322" s="961" t="s">
        <v>253</v>
      </c>
      <c r="K322" s="961" t="s">
        <v>254</v>
      </c>
      <c r="L322" s="961" t="s">
        <v>255</v>
      </c>
      <c r="M322" s="961" t="s">
        <v>254</v>
      </c>
      <c r="N322" s="961" t="s">
        <v>256</v>
      </c>
      <c r="O322" s="965" t="s">
        <v>257</v>
      </c>
      <c r="P322" s="965"/>
      <c r="Q322" s="965"/>
      <c r="R322" s="965"/>
      <c r="S322" s="965"/>
      <c r="T322" s="965" t="s">
        <v>258</v>
      </c>
      <c r="U322" s="965"/>
      <c r="V322" s="965"/>
      <c r="W322" s="965"/>
      <c r="X322" s="966" t="s">
        <v>259</v>
      </c>
      <c r="Y322" s="965"/>
      <c r="Z322" s="965"/>
      <c r="AA322" s="965" t="s">
        <v>260</v>
      </c>
      <c r="AB322" s="965"/>
      <c r="AC322" s="965"/>
      <c r="AD322" s="965" t="s">
        <v>261</v>
      </c>
      <c r="AE322" s="965"/>
      <c r="AF322" s="965"/>
      <c r="AG322" s="965" t="s">
        <v>262</v>
      </c>
      <c r="AH322" s="965"/>
      <c r="AI322" s="965"/>
      <c r="AJ322" s="964" t="s">
        <v>421</v>
      </c>
      <c r="AK322" s="964" t="s">
        <v>263</v>
      </c>
      <c r="AL322" s="964" t="s">
        <v>264</v>
      </c>
      <c r="AM322" s="964" t="s">
        <v>265</v>
      </c>
      <c r="AN322" s="964" t="s">
        <v>424</v>
      </c>
      <c r="AO322" s="423"/>
      <c r="AP322" s="423"/>
      <c r="AQ322" s="423"/>
    </row>
    <row r="323" spans="1:43" s="421" customFormat="1" ht="19" customHeight="1" x14ac:dyDescent="0.35">
      <c r="A323" s="968"/>
      <c r="B323" s="968"/>
      <c r="C323" s="962"/>
      <c r="D323" s="973"/>
      <c r="E323" s="962"/>
      <c r="F323" s="962"/>
      <c r="G323" s="962"/>
      <c r="H323" s="962"/>
      <c r="I323" s="962"/>
      <c r="J323" s="962"/>
      <c r="K323" s="962"/>
      <c r="L323" s="962"/>
      <c r="M323" s="962"/>
      <c r="N323" s="962"/>
      <c r="O323" s="965" t="s">
        <v>266</v>
      </c>
      <c r="P323" s="965" t="s">
        <v>267</v>
      </c>
      <c r="Q323" s="965" t="s">
        <v>268</v>
      </c>
      <c r="R323" s="965" t="s">
        <v>269</v>
      </c>
      <c r="S323" s="965"/>
      <c r="T323" s="965" t="s">
        <v>270</v>
      </c>
      <c r="U323" s="965" t="s">
        <v>271</v>
      </c>
      <c r="V323" s="965" t="s">
        <v>272</v>
      </c>
      <c r="W323" s="965" t="s">
        <v>273</v>
      </c>
      <c r="X323" s="966" t="s">
        <v>274</v>
      </c>
      <c r="Y323" s="965" t="s">
        <v>275</v>
      </c>
      <c r="Z323" s="965" t="s">
        <v>276</v>
      </c>
      <c r="AA323" s="965" t="s">
        <v>277</v>
      </c>
      <c r="AB323" s="965" t="s">
        <v>278</v>
      </c>
      <c r="AC323" s="965" t="s">
        <v>279</v>
      </c>
      <c r="AD323" s="965" t="s">
        <v>280</v>
      </c>
      <c r="AE323" s="965" t="s">
        <v>281</v>
      </c>
      <c r="AF323" s="965" t="s">
        <v>282</v>
      </c>
      <c r="AG323" s="965" t="s">
        <v>283</v>
      </c>
      <c r="AH323" s="965" t="s">
        <v>284</v>
      </c>
      <c r="AI323" s="965" t="s">
        <v>279</v>
      </c>
      <c r="AJ323" s="964"/>
      <c r="AK323" s="964"/>
      <c r="AL323" s="964"/>
      <c r="AM323" s="964"/>
      <c r="AN323" s="964"/>
      <c r="AO323" s="423"/>
      <c r="AP323" s="423"/>
      <c r="AQ323" s="423"/>
    </row>
    <row r="324" spans="1:43" s="421" customFormat="1" ht="19" customHeight="1" x14ac:dyDescent="0.35">
      <c r="A324" s="969"/>
      <c r="B324" s="969"/>
      <c r="C324" s="963"/>
      <c r="D324" s="974"/>
      <c r="E324" s="963"/>
      <c r="F324" s="963"/>
      <c r="G324" s="963"/>
      <c r="H324" s="963"/>
      <c r="I324" s="963"/>
      <c r="J324" s="963"/>
      <c r="K324" s="963"/>
      <c r="L324" s="963"/>
      <c r="M324" s="963"/>
      <c r="N324" s="963"/>
      <c r="O324" s="965"/>
      <c r="P324" s="965"/>
      <c r="Q324" s="965"/>
      <c r="R324" s="422" t="s">
        <v>285</v>
      </c>
      <c r="S324" s="422" t="s">
        <v>286</v>
      </c>
      <c r="T324" s="965"/>
      <c r="U324" s="965"/>
      <c r="V324" s="965"/>
      <c r="W324" s="965"/>
      <c r="X324" s="966"/>
      <c r="Y324" s="965"/>
      <c r="Z324" s="965"/>
      <c r="AA324" s="965"/>
      <c r="AB324" s="965"/>
      <c r="AC324" s="965"/>
      <c r="AD324" s="965"/>
      <c r="AE324" s="965"/>
      <c r="AF324" s="965"/>
      <c r="AG324" s="965"/>
      <c r="AH324" s="965"/>
      <c r="AI324" s="965"/>
      <c r="AJ324" s="964"/>
      <c r="AK324" s="964"/>
      <c r="AL324" s="964"/>
      <c r="AM324" s="964"/>
      <c r="AN324" s="964"/>
      <c r="AO324" s="423"/>
      <c r="AP324" s="423"/>
      <c r="AQ324" s="423"/>
    </row>
    <row r="325" spans="1:43" s="421" customFormat="1" ht="19" customHeight="1" thickBot="1" x14ac:dyDescent="0.4">
      <c r="A325" s="424">
        <v>1</v>
      </c>
      <c r="B325" s="424">
        <v>2</v>
      </c>
      <c r="C325" s="425">
        <v>3</v>
      </c>
      <c r="D325" s="424">
        <v>4</v>
      </c>
      <c r="E325" s="424">
        <v>5</v>
      </c>
      <c r="F325" s="424">
        <v>6</v>
      </c>
      <c r="G325" s="424">
        <v>7</v>
      </c>
      <c r="H325" s="424">
        <v>8</v>
      </c>
      <c r="I325" s="424">
        <v>9</v>
      </c>
      <c r="J325" s="424">
        <v>10</v>
      </c>
      <c r="K325" s="424">
        <v>11</v>
      </c>
      <c r="L325" s="424">
        <v>12</v>
      </c>
      <c r="M325" s="424">
        <v>13</v>
      </c>
      <c r="N325" s="424">
        <v>14</v>
      </c>
      <c r="O325" s="424">
        <v>15</v>
      </c>
      <c r="P325" s="424">
        <v>16</v>
      </c>
      <c r="Q325" s="424">
        <v>17</v>
      </c>
      <c r="R325" s="424">
        <v>18</v>
      </c>
      <c r="S325" s="424">
        <v>19</v>
      </c>
      <c r="T325" s="424">
        <v>20</v>
      </c>
      <c r="U325" s="424">
        <v>21</v>
      </c>
      <c r="V325" s="424">
        <v>22</v>
      </c>
      <c r="W325" s="424">
        <v>23</v>
      </c>
      <c r="X325" s="424">
        <v>24</v>
      </c>
      <c r="Y325" s="424">
        <v>25</v>
      </c>
      <c r="Z325" s="424">
        <v>26</v>
      </c>
      <c r="AA325" s="424">
        <v>27</v>
      </c>
      <c r="AB325" s="424">
        <v>28</v>
      </c>
      <c r="AC325" s="424">
        <v>29</v>
      </c>
      <c r="AD325" s="424">
        <v>30</v>
      </c>
      <c r="AE325" s="424">
        <v>31</v>
      </c>
      <c r="AF325" s="424">
        <v>32</v>
      </c>
      <c r="AG325" s="424">
        <v>33</v>
      </c>
      <c r="AH325" s="424">
        <v>34</v>
      </c>
      <c r="AI325" s="424">
        <v>35</v>
      </c>
      <c r="AJ325" s="424">
        <v>36</v>
      </c>
      <c r="AK325" s="424">
        <v>37</v>
      </c>
      <c r="AL325" s="424">
        <v>38</v>
      </c>
      <c r="AM325" s="424">
        <v>39</v>
      </c>
      <c r="AN325" s="424">
        <v>40</v>
      </c>
    </row>
    <row r="326" spans="1:43" ht="19" customHeight="1" thickTop="1" x14ac:dyDescent="0.35">
      <c r="A326" s="427">
        <v>1</v>
      </c>
      <c r="B326" s="427" t="str">
        <f>PETUNJUK!B9</f>
        <v>Pecangaan Kulon</v>
      </c>
      <c r="C326" s="428">
        <v>0</v>
      </c>
      <c r="D326" s="428">
        <v>0</v>
      </c>
      <c r="E326" s="428">
        <v>0</v>
      </c>
      <c r="F326" s="428">
        <v>0</v>
      </c>
      <c r="G326" s="428">
        <v>0</v>
      </c>
      <c r="H326" s="428">
        <v>0</v>
      </c>
      <c r="I326" s="428">
        <v>0</v>
      </c>
      <c r="J326" s="428">
        <v>0</v>
      </c>
      <c r="K326" s="428">
        <v>0</v>
      </c>
      <c r="L326" s="428">
        <v>0</v>
      </c>
      <c r="M326" s="428">
        <v>0</v>
      </c>
      <c r="N326" s="428">
        <v>0</v>
      </c>
      <c r="O326" s="428">
        <v>0</v>
      </c>
      <c r="P326" s="428">
        <v>0</v>
      </c>
      <c r="Q326" s="428">
        <v>0</v>
      </c>
      <c r="R326" s="428">
        <v>0</v>
      </c>
      <c r="S326" s="428">
        <v>0</v>
      </c>
      <c r="T326" s="428">
        <v>0</v>
      </c>
      <c r="U326" s="428">
        <v>0</v>
      </c>
      <c r="V326" s="428">
        <v>0</v>
      </c>
      <c r="W326" s="428">
        <v>0</v>
      </c>
      <c r="X326" s="428">
        <v>0</v>
      </c>
      <c r="Y326" s="428">
        <v>0</v>
      </c>
      <c r="Z326" s="428">
        <v>0</v>
      </c>
      <c r="AA326" s="428">
        <v>0</v>
      </c>
      <c r="AB326" s="428">
        <v>0</v>
      </c>
      <c r="AC326" s="428">
        <v>0</v>
      </c>
      <c r="AD326" s="428">
        <v>0</v>
      </c>
      <c r="AE326" s="428">
        <v>0</v>
      </c>
      <c r="AF326" s="428">
        <v>0</v>
      </c>
      <c r="AG326" s="428">
        <v>0</v>
      </c>
      <c r="AH326" s="428">
        <v>0</v>
      </c>
      <c r="AI326" s="428">
        <v>0</v>
      </c>
      <c r="AJ326" s="428">
        <v>0</v>
      </c>
      <c r="AK326" s="428">
        <v>0</v>
      </c>
      <c r="AL326" s="428">
        <v>0</v>
      </c>
      <c r="AM326" s="428">
        <v>0</v>
      </c>
      <c r="AN326" s="428">
        <v>0</v>
      </c>
    </row>
    <row r="327" spans="1:43" ht="19" customHeight="1" x14ac:dyDescent="0.35">
      <c r="A327" s="429">
        <v>2</v>
      </c>
      <c r="B327" s="427" t="str">
        <f>PETUNJUK!B10</f>
        <v>Rengging</v>
      </c>
      <c r="C327" s="428">
        <v>0</v>
      </c>
      <c r="D327" s="428">
        <v>0</v>
      </c>
      <c r="E327" s="428">
        <v>0</v>
      </c>
      <c r="F327" s="428">
        <v>0</v>
      </c>
      <c r="G327" s="428">
        <v>0</v>
      </c>
      <c r="H327" s="428">
        <v>0</v>
      </c>
      <c r="I327" s="428">
        <v>0</v>
      </c>
      <c r="J327" s="428">
        <v>0</v>
      </c>
      <c r="K327" s="428">
        <v>0</v>
      </c>
      <c r="L327" s="428">
        <v>0</v>
      </c>
      <c r="M327" s="428">
        <v>0</v>
      </c>
      <c r="N327" s="428">
        <v>0</v>
      </c>
      <c r="O327" s="428">
        <v>0</v>
      </c>
      <c r="P327" s="428">
        <v>0</v>
      </c>
      <c r="Q327" s="428">
        <v>0</v>
      </c>
      <c r="R327" s="428">
        <v>0</v>
      </c>
      <c r="S327" s="428">
        <v>0</v>
      </c>
      <c r="T327" s="428">
        <v>0</v>
      </c>
      <c r="U327" s="428">
        <v>0</v>
      </c>
      <c r="V327" s="428">
        <v>0</v>
      </c>
      <c r="W327" s="428">
        <v>0</v>
      </c>
      <c r="X327" s="428">
        <v>0</v>
      </c>
      <c r="Y327" s="428">
        <v>0</v>
      </c>
      <c r="Z327" s="428">
        <v>0</v>
      </c>
      <c r="AA327" s="428">
        <v>0</v>
      </c>
      <c r="AB327" s="428">
        <v>0</v>
      </c>
      <c r="AC327" s="428">
        <v>0</v>
      </c>
      <c r="AD327" s="428">
        <v>0</v>
      </c>
      <c r="AE327" s="428">
        <v>0</v>
      </c>
      <c r="AF327" s="428">
        <v>0</v>
      </c>
      <c r="AG327" s="428">
        <v>0</v>
      </c>
      <c r="AH327" s="428">
        <v>0</v>
      </c>
      <c r="AI327" s="428">
        <v>0</v>
      </c>
      <c r="AJ327" s="428">
        <v>0</v>
      </c>
      <c r="AK327" s="428">
        <v>0</v>
      </c>
      <c r="AL327" s="428">
        <v>0</v>
      </c>
      <c r="AM327" s="428">
        <v>0</v>
      </c>
      <c r="AN327" s="428">
        <v>0</v>
      </c>
    </row>
    <row r="328" spans="1:43" ht="19" customHeight="1" x14ac:dyDescent="0.35">
      <c r="A328" s="429">
        <v>3</v>
      </c>
      <c r="B328" s="427" t="str">
        <f>PETUNJUK!B11</f>
        <v>Troso</v>
      </c>
      <c r="C328" s="428">
        <v>0</v>
      </c>
      <c r="D328" s="428">
        <v>0</v>
      </c>
      <c r="E328" s="428">
        <v>0</v>
      </c>
      <c r="F328" s="428">
        <v>0</v>
      </c>
      <c r="G328" s="428">
        <v>0</v>
      </c>
      <c r="H328" s="428">
        <v>0</v>
      </c>
      <c r="I328" s="428">
        <v>0</v>
      </c>
      <c r="J328" s="428">
        <v>0</v>
      </c>
      <c r="K328" s="428">
        <v>0</v>
      </c>
      <c r="L328" s="428">
        <v>0</v>
      </c>
      <c r="M328" s="428">
        <v>0</v>
      </c>
      <c r="N328" s="428">
        <v>0</v>
      </c>
      <c r="O328" s="428">
        <v>0</v>
      </c>
      <c r="P328" s="428">
        <v>0</v>
      </c>
      <c r="Q328" s="428">
        <v>0</v>
      </c>
      <c r="R328" s="428">
        <v>0</v>
      </c>
      <c r="S328" s="428">
        <v>0</v>
      </c>
      <c r="T328" s="428">
        <v>0</v>
      </c>
      <c r="U328" s="428">
        <v>0</v>
      </c>
      <c r="V328" s="428">
        <v>0</v>
      </c>
      <c r="W328" s="428">
        <v>0</v>
      </c>
      <c r="X328" s="428">
        <v>0</v>
      </c>
      <c r="Y328" s="428">
        <v>0</v>
      </c>
      <c r="Z328" s="428">
        <v>0</v>
      </c>
      <c r="AA328" s="428">
        <v>0</v>
      </c>
      <c r="AB328" s="428">
        <v>0</v>
      </c>
      <c r="AC328" s="428">
        <v>0</v>
      </c>
      <c r="AD328" s="428">
        <v>0</v>
      </c>
      <c r="AE328" s="428">
        <v>0</v>
      </c>
      <c r="AF328" s="428">
        <v>0</v>
      </c>
      <c r="AG328" s="428">
        <v>0</v>
      </c>
      <c r="AH328" s="428">
        <v>0</v>
      </c>
      <c r="AI328" s="428">
        <v>0</v>
      </c>
      <c r="AJ328" s="428">
        <v>0</v>
      </c>
      <c r="AK328" s="428">
        <v>0</v>
      </c>
      <c r="AL328" s="428">
        <v>0</v>
      </c>
      <c r="AM328" s="428">
        <v>0</v>
      </c>
      <c r="AN328" s="428">
        <v>0</v>
      </c>
    </row>
    <row r="329" spans="1:43" ht="19" customHeight="1" x14ac:dyDescent="0.35">
      <c r="A329" s="429">
        <v>4</v>
      </c>
      <c r="B329" s="427" t="str">
        <f>PETUNJUK!B12</f>
        <v>Ngeling</v>
      </c>
      <c r="C329" s="428">
        <v>0</v>
      </c>
      <c r="D329" s="428">
        <v>0</v>
      </c>
      <c r="E329" s="428">
        <v>0</v>
      </c>
      <c r="F329" s="428">
        <v>0</v>
      </c>
      <c r="G329" s="428">
        <v>0</v>
      </c>
      <c r="H329" s="428">
        <v>0</v>
      </c>
      <c r="I329" s="428">
        <v>0</v>
      </c>
      <c r="J329" s="428">
        <v>0</v>
      </c>
      <c r="K329" s="428">
        <v>0</v>
      </c>
      <c r="L329" s="428">
        <v>0</v>
      </c>
      <c r="M329" s="428">
        <v>0</v>
      </c>
      <c r="N329" s="428">
        <v>0</v>
      </c>
      <c r="O329" s="428">
        <v>0</v>
      </c>
      <c r="P329" s="428">
        <v>0</v>
      </c>
      <c r="Q329" s="428">
        <v>0</v>
      </c>
      <c r="R329" s="428">
        <v>0</v>
      </c>
      <c r="S329" s="428">
        <v>0</v>
      </c>
      <c r="T329" s="428">
        <v>0</v>
      </c>
      <c r="U329" s="428">
        <v>0</v>
      </c>
      <c r="V329" s="428">
        <v>0</v>
      </c>
      <c r="W329" s="428">
        <v>0</v>
      </c>
      <c r="X329" s="428">
        <v>0</v>
      </c>
      <c r="Y329" s="428">
        <v>0</v>
      </c>
      <c r="Z329" s="428">
        <v>0</v>
      </c>
      <c r="AA329" s="428">
        <v>0</v>
      </c>
      <c r="AB329" s="428">
        <v>0</v>
      </c>
      <c r="AC329" s="428">
        <v>0</v>
      </c>
      <c r="AD329" s="428">
        <v>0</v>
      </c>
      <c r="AE329" s="428">
        <v>0</v>
      </c>
      <c r="AF329" s="428">
        <v>0</v>
      </c>
      <c r="AG329" s="428">
        <v>0</v>
      </c>
      <c r="AH329" s="428">
        <v>0</v>
      </c>
      <c r="AI329" s="428">
        <v>0</v>
      </c>
      <c r="AJ329" s="428">
        <v>0</v>
      </c>
      <c r="AK329" s="428">
        <v>0</v>
      </c>
      <c r="AL329" s="428">
        <v>0</v>
      </c>
      <c r="AM329" s="428">
        <v>0</v>
      </c>
      <c r="AN329" s="428">
        <v>0</v>
      </c>
    </row>
    <row r="330" spans="1:43" ht="19" customHeight="1" x14ac:dyDescent="0.35">
      <c r="A330" s="429">
        <v>5</v>
      </c>
      <c r="B330" s="427" t="str">
        <f>PETUNJUK!B13</f>
        <v>Lebuawu</v>
      </c>
      <c r="C330" s="428">
        <v>0</v>
      </c>
      <c r="D330" s="428">
        <v>0</v>
      </c>
      <c r="E330" s="428">
        <v>0</v>
      </c>
      <c r="F330" s="428">
        <v>0</v>
      </c>
      <c r="G330" s="428">
        <v>0</v>
      </c>
      <c r="H330" s="428">
        <v>0</v>
      </c>
      <c r="I330" s="428">
        <v>0</v>
      </c>
      <c r="J330" s="428">
        <v>0</v>
      </c>
      <c r="K330" s="428">
        <v>0</v>
      </c>
      <c r="L330" s="428">
        <v>0</v>
      </c>
      <c r="M330" s="428">
        <v>0</v>
      </c>
      <c r="N330" s="428">
        <v>0</v>
      </c>
      <c r="O330" s="428">
        <v>0</v>
      </c>
      <c r="P330" s="428">
        <v>0</v>
      </c>
      <c r="Q330" s="428">
        <v>0</v>
      </c>
      <c r="R330" s="428">
        <v>0</v>
      </c>
      <c r="S330" s="428">
        <v>0</v>
      </c>
      <c r="T330" s="428">
        <v>0</v>
      </c>
      <c r="U330" s="428">
        <v>0</v>
      </c>
      <c r="V330" s="428">
        <v>0</v>
      </c>
      <c r="W330" s="428">
        <v>0</v>
      </c>
      <c r="X330" s="428">
        <v>0</v>
      </c>
      <c r="Y330" s="428">
        <v>0</v>
      </c>
      <c r="Z330" s="428">
        <v>0</v>
      </c>
      <c r="AA330" s="428">
        <v>0</v>
      </c>
      <c r="AB330" s="428">
        <v>0</v>
      </c>
      <c r="AC330" s="428">
        <v>0</v>
      </c>
      <c r="AD330" s="428">
        <v>0</v>
      </c>
      <c r="AE330" s="428">
        <v>0</v>
      </c>
      <c r="AF330" s="428">
        <v>0</v>
      </c>
      <c r="AG330" s="428">
        <v>0</v>
      </c>
      <c r="AH330" s="428">
        <v>0</v>
      </c>
      <c r="AI330" s="428">
        <v>0</v>
      </c>
      <c r="AJ330" s="428">
        <v>0</v>
      </c>
      <c r="AK330" s="428">
        <v>0</v>
      </c>
      <c r="AL330" s="428">
        <v>0</v>
      </c>
      <c r="AM330" s="428">
        <v>0</v>
      </c>
      <c r="AN330" s="428">
        <v>0</v>
      </c>
    </row>
    <row r="331" spans="1:43" ht="19" customHeight="1" x14ac:dyDescent="0.35">
      <c r="A331" s="429">
        <v>6</v>
      </c>
      <c r="B331" s="427" t="str">
        <f>PETUNJUK!B14</f>
        <v>Pulodarat</v>
      </c>
      <c r="C331" s="428">
        <v>0</v>
      </c>
      <c r="D331" s="428">
        <v>0</v>
      </c>
      <c r="E331" s="428">
        <v>0</v>
      </c>
      <c r="F331" s="428">
        <v>0</v>
      </c>
      <c r="G331" s="428">
        <v>0</v>
      </c>
      <c r="H331" s="428">
        <v>0</v>
      </c>
      <c r="I331" s="428">
        <v>0</v>
      </c>
      <c r="J331" s="428">
        <v>0</v>
      </c>
      <c r="K331" s="428">
        <v>0</v>
      </c>
      <c r="L331" s="428">
        <v>0</v>
      </c>
      <c r="M331" s="428">
        <v>0</v>
      </c>
      <c r="N331" s="428">
        <v>0</v>
      </c>
      <c r="O331" s="428">
        <v>0</v>
      </c>
      <c r="P331" s="428">
        <v>0</v>
      </c>
      <c r="Q331" s="428">
        <v>0</v>
      </c>
      <c r="R331" s="428">
        <v>0</v>
      </c>
      <c r="S331" s="428">
        <v>0</v>
      </c>
      <c r="T331" s="428">
        <v>0</v>
      </c>
      <c r="U331" s="428">
        <v>0</v>
      </c>
      <c r="V331" s="428">
        <v>0</v>
      </c>
      <c r="W331" s="428">
        <v>0</v>
      </c>
      <c r="X331" s="428">
        <v>0</v>
      </c>
      <c r="Y331" s="428">
        <v>0</v>
      </c>
      <c r="Z331" s="428">
        <v>0</v>
      </c>
      <c r="AA331" s="428">
        <v>0</v>
      </c>
      <c r="AB331" s="428">
        <v>0</v>
      </c>
      <c r="AC331" s="428">
        <v>0</v>
      </c>
      <c r="AD331" s="428">
        <v>0</v>
      </c>
      <c r="AE331" s="428">
        <v>0</v>
      </c>
      <c r="AF331" s="428">
        <v>0</v>
      </c>
      <c r="AG331" s="428">
        <v>0</v>
      </c>
      <c r="AH331" s="428">
        <v>0</v>
      </c>
      <c r="AI331" s="428">
        <v>0</v>
      </c>
      <c r="AJ331" s="428">
        <v>0</v>
      </c>
      <c r="AK331" s="428">
        <v>0</v>
      </c>
      <c r="AL331" s="428">
        <v>0</v>
      </c>
      <c r="AM331" s="428">
        <v>0</v>
      </c>
      <c r="AN331" s="428">
        <v>0</v>
      </c>
    </row>
    <row r="332" spans="1:43" ht="19" customHeight="1" x14ac:dyDescent="0.35">
      <c r="A332" s="429">
        <v>7</v>
      </c>
      <c r="B332" s="427" t="str">
        <f>PETUNJUK!B15</f>
        <v>Karangrandu</v>
      </c>
      <c r="C332" s="428">
        <v>0</v>
      </c>
      <c r="D332" s="428">
        <v>0</v>
      </c>
      <c r="E332" s="428">
        <v>0</v>
      </c>
      <c r="F332" s="428">
        <v>0</v>
      </c>
      <c r="G332" s="428">
        <v>0</v>
      </c>
      <c r="H332" s="428">
        <v>0</v>
      </c>
      <c r="I332" s="428">
        <v>0</v>
      </c>
      <c r="J332" s="428">
        <v>0</v>
      </c>
      <c r="K332" s="428">
        <v>0</v>
      </c>
      <c r="L332" s="428">
        <v>0</v>
      </c>
      <c r="M332" s="428">
        <v>0</v>
      </c>
      <c r="N332" s="428">
        <v>0</v>
      </c>
      <c r="O332" s="428">
        <v>0</v>
      </c>
      <c r="P332" s="428">
        <v>0</v>
      </c>
      <c r="Q332" s="428">
        <v>0</v>
      </c>
      <c r="R332" s="428">
        <v>0</v>
      </c>
      <c r="S332" s="428">
        <v>0</v>
      </c>
      <c r="T332" s="428">
        <v>0</v>
      </c>
      <c r="U332" s="428">
        <v>0</v>
      </c>
      <c r="V332" s="428">
        <v>0</v>
      </c>
      <c r="W332" s="428">
        <v>0</v>
      </c>
      <c r="X332" s="428">
        <v>0</v>
      </c>
      <c r="Y332" s="428">
        <v>0</v>
      </c>
      <c r="Z332" s="428">
        <v>0</v>
      </c>
      <c r="AA332" s="428">
        <v>0</v>
      </c>
      <c r="AB332" s="428">
        <v>0</v>
      </c>
      <c r="AC332" s="428">
        <v>0</v>
      </c>
      <c r="AD332" s="428">
        <v>0</v>
      </c>
      <c r="AE332" s="428">
        <v>0</v>
      </c>
      <c r="AF332" s="428">
        <v>0</v>
      </c>
      <c r="AG332" s="428">
        <v>0</v>
      </c>
      <c r="AH332" s="428">
        <v>0</v>
      </c>
      <c r="AI332" s="428">
        <v>0</v>
      </c>
      <c r="AJ332" s="428">
        <v>0</v>
      </c>
      <c r="AK332" s="428">
        <v>0</v>
      </c>
      <c r="AL332" s="428">
        <v>0</v>
      </c>
      <c r="AM332" s="428">
        <v>0</v>
      </c>
      <c r="AN332" s="428">
        <v>0</v>
      </c>
    </row>
    <row r="333" spans="1:43" ht="19" customHeight="1" x14ac:dyDescent="0.35">
      <c r="A333" s="429">
        <v>8</v>
      </c>
      <c r="B333" s="427" t="str">
        <f>PETUNJUK!B16</f>
        <v>Kaliombo</v>
      </c>
      <c r="C333" s="428">
        <v>0</v>
      </c>
      <c r="D333" s="428">
        <v>0</v>
      </c>
      <c r="E333" s="428">
        <v>0</v>
      </c>
      <c r="F333" s="428">
        <v>0</v>
      </c>
      <c r="G333" s="428">
        <v>0</v>
      </c>
      <c r="H333" s="428">
        <v>0</v>
      </c>
      <c r="I333" s="428">
        <v>0</v>
      </c>
      <c r="J333" s="428">
        <v>0</v>
      </c>
      <c r="K333" s="428">
        <v>0</v>
      </c>
      <c r="L333" s="428">
        <v>0</v>
      </c>
      <c r="M333" s="428">
        <v>0</v>
      </c>
      <c r="N333" s="428">
        <v>0</v>
      </c>
      <c r="O333" s="428">
        <v>0</v>
      </c>
      <c r="P333" s="428">
        <v>0</v>
      </c>
      <c r="Q333" s="428">
        <v>0</v>
      </c>
      <c r="R333" s="428">
        <v>0</v>
      </c>
      <c r="S333" s="428">
        <v>0</v>
      </c>
      <c r="T333" s="428">
        <v>0</v>
      </c>
      <c r="U333" s="428">
        <v>0</v>
      </c>
      <c r="V333" s="428">
        <v>0</v>
      </c>
      <c r="W333" s="428">
        <v>0</v>
      </c>
      <c r="X333" s="428">
        <v>0</v>
      </c>
      <c r="Y333" s="428">
        <v>0</v>
      </c>
      <c r="Z333" s="428">
        <v>0</v>
      </c>
      <c r="AA333" s="428">
        <v>0</v>
      </c>
      <c r="AB333" s="428">
        <v>0</v>
      </c>
      <c r="AC333" s="428">
        <v>0</v>
      </c>
      <c r="AD333" s="428">
        <v>0</v>
      </c>
      <c r="AE333" s="428">
        <v>0</v>
      </c>
      <c r="AF333" s="428">
        <v>0</v>
      </c>
      <c r="AG333" s="428">
        <v>0</v>
      </c>
      <c r="AH333" s="428">
        <v>0</v>
      </c>
      <c r="AI333" s="428">
        <v>0</v>
      </c>
      <c r="AJ333" s="428">
        <v>0</v>
      </c>
      <c r="AK333" s="428">
        <v>0</v>
      </c>
      <c r="AL333" s="428">
        <v>0</v>
      </c>
      <c r="AM333" s="428">
        <v>0</v>
      </c>
      <c r="AN333" s="428">
        <v>0</v>
      </c>
    </row>
    <row r="334" spans="1:43" ht="19" customHeight="1" x14ac:dyDescent="0.35">
      <c r="A334" s="429">
        <v>9</v>
      </c>
      <c r="B334" s="427" t="str">
        <f>PETUNJUK!B17</f>
        <v>Gemulung</v>
      </c>
      <c r="C334" s="428">
        <v>0</v>
      </c>
      <c r="D334" s="428">
        <v>0</v>
      </c>
      <c r="E334" s="428">
        <v>0</v>
      </c>
      <c r="F334" s="428">
        <v>0</v>
      </c>
      <c r="G334" s="428">
        <v>0</v>
      </c>
      <c r="H334" s="428">
        <v>0</v>
      </c>
      <c r="I334" s="428">
        <v>0</v>
      </c>
      <c r="J334" s="428">
        <v>0</v>
      </c>
      <c r="K334" s="428">
        <v>0</v>
      </c>
      <c r="L334" s="428">
        <v>0</v>
      </c>
      <c r="M334" s="428">
        <v>0</v>
      </c>
      <c r="N334" s="428">
        <v>0</v>
      </c>
      <c r="O334" s="428">
        <v>0</v>
      </c>
      <c r="P334" s="428">
        <v>0</v>
      </c>
      <c r="Q334" s="428">
        <v>0</v>
      </c>
      <c r="R334" s="428">
        <v>0</v>
      </c>
      <c r="S334" s="428">
        <v>0</v>
      </c>
      <c r="T334" s="428">
        <v>0</v>
      </c>
      <c r="U334" s="428">
        <v>0</v>
      </c>
      <c r="V334" s="428">
        <v>0</v>
      </c>
      <c r="W334" s="428">
        <v>0</v>
      </c>
      <c r="X334" s="428">
        <v>0</v>
      </c>
      <c r="Y334" s="428">
        <v>0</v>
      </c>
      <c r="Z334" s="428">
        <v>0</v>
      </c>
      <c r="AA334" s="428">
        <v>0</v>
      </c>
      <c r="AB334" s="428">
        <v>0</v>
      </c>
      <c r="AC334" s="428">
        <v>0</v>
      </c>
      <c r="AD334" s="428">
        <v>0</v>
      </c>
      <c r="AE334" s="428">
        <v>0</v>
      </c>
      <c r="AF334" s="428">
        <v>0</v>
      </c>
      <c r="AG334" s="428">
        <v>0</v>
      </c>
      <c r="AH334" s="428">
        <v>0</v>
      </c>
      <c r="AI334" s="428">
        <v>0</v>
      </c>
      <c r="AJ334" s="428">
        <v>0</v>
      </c>
      <c r="AK334" s="428">
        <v>0</v>
      </c>
      <c r="AL334" s="428">
        <v>0</v>
      </c>
      <c r="AM334" s="428">
        <v>0</v>
      </c>
      <c r="AN334" s="428">
        <v>0</v>
      </c>
    </row>
    <row r="335" spans="1:43" ht="19" customHeight="1" x14ac:dyDescent="0.35">
      <c r="A335" s="429">
        <v>10</v>
      </c>
      <c r="B335" s="427" t="str">
        <f>PETUNJUK!B18</f>
        <v>Pecangaan Wetan</v>
      </c>
      <c r="C335" s="428">
        <v>0</v>
      </c>
      <c r="D335" s="428">
        <v>0</v>
      </c>
      <c r="E335" s="428">
        <v>0</v>
      </c>
      <c r="F335" s="428">
        <v>0</v>
      </c>
      <c r="G335" s="428">
        <v>0</v>
      </c>
      <c r="H335" s="428">
        <v>0</v>
      </c>
      <c r="I335" s="428">
        <v>0</v>
      </c>
      <c r="J335" s="428">
        <v>0</v>
      </c>
      <c r="K335" s="428">
        <v>0</v>
      </c>
      <c r="L335" s="428">
        <v>0</v>
      </c>
      <c r="M335" s="428">
        <v>0</v>
      </c>
      <c r="N335" s="428">
        <v>0</v>
      </c>
      <c r="O335" s="428">
        <v>0</v>
      </c>
      <c r="P335" s="428">
        <v>0</v>
      </c>
      <c r="Q335" s="428">
        <v>0</v>
      </c>
      <c r="R335" s="428">
        <v>0</v>
      </c>
      <c r="S335" s="428">
        <v>0</v>
      </c>
      <c r="T335" s="428">
        <v>0</v>
      </c>
      <c r="U335" s="428">
        <v>0</v>
      </c>
      <c r="V335" s="428">
        <v>0</v>
      </c>
      <c r="W335" s="428">
        <v>0</v>
      </c>
      <c r="X335" s="428">
        <v>0</v>
      </c>
      <c r="Y335" s="428">
        <v>0</v>
      </c>
      <c r="Z335" s="428">
        <v>0</v>
      </c>
      <c r="AA335" s="428">
        <v>0</v>
      </c>
      <c r="AB335" s="428">
        <v>0</v>
      </c>
      <c r="AC335" s="428">
        <v>0</v>
      </c>
      <c r="AD335" s="428">
        <v>0</v>
      </c>
      <c r="AE335" s="428">
        <v>0</v>
      </c>
      <c r="AF335" s="428">
        <v>0</v>
      </c>
      <c r="AG335" s="428">
        <v>0</v>
      </c>
      <c r="AH335" s="428">
        <v>0</v>
      </c>
      <c r="AI335" s="428">
        <v>0</v>
      </c>
      <c r="AJ335" s="428">
        <v>0</v>
      </c>
      <c r="AK335" s="428">
        <v>0</v>
      </c>
      <c r="AL335" s="428">
        <v>0</v>
      </c>
      <c r="AM335" s="428">
        <v>0</v>
      </c>
      <c r="AN335" s="428">
        <v>0</v>
      </c>
    </row>
    <row r="336" spans="1:43" ht="19" customHeight="1" x14ac:dyDescent="0.35">
      <c r="A336" s="429">
        <v>11</v>
      </c>
      <c r="B336" s="427" t="str">
        <f>PETUNJUK!B19</f>
        <v>Krasak</v>
      </c>
      <c r="C336" s="428">
        <v>0</v>
      </c>
      <c r="D336" s="428">
        <v>0</v>
      </c>
      <c r="E336" s="428">
        <v>0</v>
      </c>
      <c r="F336" s="428">
        <v>0</v>
      </c>
      <c r="G336" s="428">
        <v>0</v>
      </c>
      <c r="H336" s="428">
        <v>0</v>
      </c>
      <c r="I336" s="428">
        <v>0</v>
      </c>
      <c r="J336" s="428">
        <v>0</v>
      </c>
      <c r="K336" s="428">
        <v>0</v>
      </c>
      <c r="L336" s="428">
        <v>0</v>
      </c>
      <c r="M336" s="428">
        <v>0</v>
      </c>
      <c r="N336" s="428">
        <v>0</v>
      </c>
      <c r="O336" s="428">
        <v>0</v>
      </c>
      <c r="P336" s="428">
        <v>0</v>
      </c>
      <c r="Q336" s="428">
        <v>0</v>
      </c>
      <c r="R336" s="428">
        <v>0</v>
      </c>
      <c r="S336" s="428">
        <v>0</v>
      </c>
      <c r="T336" s="428">
        <v>0</v>
      </c>
      <c r="U336" s="428">
        <v>0</v>
      </c>
      <c r="V336" s="428">
        <v>0</v>
      </c>
      <c r="W336" s="428">
        <v>0</v>
      </c>
      <c r="X336" s="428">
        <v>0</v>
      </c>
      <c r="Y336" s="428">
        <v>0</v>
      </c>
      <c r="Z336" s="428">
        <v>0</v>
      </c>
      <c r="AA336" s="428">
        <v>0</v>
      </c>
      <c r="AB336" s="428">
        <v>0</v>
      </c>
      <c r="AC336" s="428">
        <v>0</v>
      </c>
      <c r="AD336" s="428">
        <v>0</v>
      </c>
      <c r="AE336" s="428">
        <v>0</v>
      </c>
      <c r="AF336" s="428">
        <v>0</v>
      </c>
      <c r="AG336" s="428">
        <v>0</v>
      </c>
      <c r="AH336" s="428">
        <v>0</v>
      </c>
      <c r="AI336" s="428">
        <v>0</v>
      </c>
      <c r="AJ336" s="428">
        <v>0</v>
      </c>
      <c r="AK336" s="428">
        <v>0</v>
      </c>
      <c r="AL336" s="428">
        <v>0</v>
      </c>
      <c r="AM336" s="428">
        <v>0</v>
      </c>
      <c r="AN336" s="428">
        <v>0</v>
      </c>
    </row>
    <row r="337" spans="1:40" ht="19" customHeight="1" x14ac:dyDescent="0.35">
      <c r="A337" s="429">
        <v>12</v>
      </c>
      <c r="B337" s="427" t="str">
        <f>PETUNJUK!B20</f>
        <v>Gerdu</v>
      </c>
      <c r="C337" s="428">
        <v>0</v>
      </c>
      <c r="D337" s="428">
        <v>0</v>
      </c>
      <c r="E337" s="428">
        <v>0</v>
      </c>
      <c r="F337" s="428">
        <v>0</v>
      </c>
      <c r="G337" s="428">
        <v>0</v>
      </c>
      <c r="H337" s="428">
        <v>0</v>
      </c>
      <c r="I337" s="428">
        <v>0</v>
      </c>
      <c r="J337" s="428">
        <v>0</v>
      </c>
      <c r="K337" s="428">
        <v>0</v>
      </c>
      <c r="L337" s="428">
        <v>0</v>
      </c>
      <c r="M337" s="428">
        <v>0</v>
      </c>
      <c r="N337" s="428">
        <v>0</v>
      </c>
      <c r="O337" s="428">
        <v>0</v>
      </c>
      <c r="P337" s="428">
        <v>0</v>
      </c>
      <c r="Q337" s="428">
        <v>0</v>
      </c>
      <c r="R337" s="428">
        <v>0</v>
      </c>
      <c r="S337" s="428">
        <v>0</v>
      </c>
      <c r="T337" s="428">
        <v>0</v>
      </c>
      <c r="U337" s="428">
        <v>0</v>
      </c>
      <c r="V337" s="428">
        <v>0</v>
      </c>
      <c r="W337" s="428">
        <v>0</v>
      </c>
      <c r="X337" s="428">
        <v>0</v>
      </c>
      <c r="Y337" s="428">
        <v>0</v>
      </c>
      <c r="Z337" s="428">
        <v>0</v>
      </c>
      <c r="AA337" s="428">
        <v>0</v>
      </c>
      <c r="AB337" s="428">
        <v>0</v>
      </c>
      <c r="AC337" s="428">
        <v>0</v>
      </c>
      <c r="AD337" s="428">
        <v>0</v>
      </c>
      <c r="AE337" s="428">
        <v>0</v>
      </c>
      <c r="AF337" s="428">
        <v>0</v>
      </c>
      <c r="AG337" s="428">
        <v>0</v>
      </c>
      <c r="AH337" s="428">
        <v>0</v>
      </c>
      <c r="AI337" s="428">
        <v>0</v>
      </c>
      <c r="AJ337" s="428">
        <v>0</v>
      </c>
      <c r="AK337" s="428">
        <v>0</v>
      </c>
      <c r="AL337" s="428">
        <v>0</v>
      </c>
      <c r="AM337" s="428">
        <v>0</v>
      </c>
      <c r="AN337" s="428">
        <v>0</v>
      </c>
    </row>
    <row r="338" spans="1:40" ht="19" customHeight="1" x14ac:dyDescent="0.35">
      <c r="A338" s="429">
        <v>13</v>
      </c>
      <c r="B338" s="427">
        <f>PETUNJUK!B21</f>
        <v>0</v>
      </c>
      <c r="C338" s="428">
        <v>0</v>
      </c>
      <c r="D338" s="428">
        <v>0</v>
      </c>
      <c r="E338" s="428">
        <v>0</v>
      </c>
      <c r="F338" s="428">
        <v>0</v>
      </c>
      <c r="G338" s="428">
        <v>0</v>
      </c>
      <c r="H338" s="428">
        <v>0</v>
      </c>
      <c r="I338" s="428">
        <v>0</v>
      </c>
      <c r="J338" s="428">
        <v>0</v>
      </c>
      <c r="K338" s="428">
        <v>0</v>
      </c>
      <c r="L338" s="428">
        <v>0</v>
      </c>
      <c r="M338" s="428">
        <v>0</v>
      </c>
      <c r="N338" s="428">
        <v>0</v>
      </c>
      <c r="O338" s="428">
        <v>0</v>
      </c>
      <c r="P338" s="428">
        <v>0</v>
      </c>
      <c r="Q338" s="428">
        <v>0</v>
      </c>
      <c r="R338" s="428">
        <v>0</v>
      </c>
      <c r="S338" s="428">
        <v>0</v>
      </c>
      <c r="T338" s="428">
        <v>0</v>
      </c>
      <c r="U338" s="428">
        <v>0</v>
      </c>
      <c r="V338" s="428">
        <v>0</v>
      </c>
      <c r="W338" s="428">
        <v>0</v>
      </c>
      <c r="X338" s="428">
        <v>0</v>
      </c>
      <c r="Y338" s="428">
        <v>0</v>
      </c>
      <c r="Z338" s="428">
        <v>0</v>
      </c>
      <c r="AA338" s="428">
        <v>0</v>
      </c>
      <c r="AB338" s="428">
        <v>0</v>
      </c>
      <c r="AC338" s="428">
        <v>0</v>
      </c>
      <c r="AD338" s="428">
        <v>0</v>
      </c>
      <c r="AE338" s="428">
        <v>0</v>
      </c>
      <c r="AF338" s="428">
        <v>0</v>
      </c>
      <c r="AG338" s="428">
        <v>0</v>
      </c>
      <c r="AH338" s="428">
        <v>0</v>
      </c>
      <c r="AI338" s="428">
        <v>0</v>
      </c>
      <c r="AJ338" s="428">
        <v>0</v>
      </c>
      <c r="AK338" s="428">
        <v>0</v>
      </c>
      <c r="AL338" s="428">
        <v>0</v>
      </c>
      <c r="AM338" s="428">
        <v>0</v>
      </c>
      <c r="AN338" s="428">
        <v>0</v>
      </c>
    </row>
    <row r="339" spans="1:40" ht="19" customHeight="1" x14ac:dyDescent="0.35">
      <c r="A339" s="429">
        <v>14</v>
      </c>
      <c r="B339" s="427">
        <f>PETUNJUK!B22</f>
        <v>0</v>
      </c>
      <c r="C339" s="428">
        <v>0</v>
      </c>
      <c r="D339" s="428">
        <v>0</v>
      </c>
      <c r="E339" s="428">
        <v>0</v>
      </c>
      <c r="F339" s="428">
        <v>0</v>
      </c>
      <c r="G339" s="428">
        <v>0</v>
      </c>
      <c r="H339" s="428">
        <v>0</v>
      </c>
      <c r="I339" s="428">
        <v>0</v>
      </c>
      <c r="J339" s="428">
        <v>0</v>
      </c>
      <c r="K339" s="428">
        <v>0</v>
      </c>
      <c r="L339" s="428">
        <v>0</v>
      </c>
      <c r="M339" s="428">
        <v>0</v>
      </c>
      <c r="N339" s="428">
        <v>0</v>
      </c>
      <c r="O339" s="428">
        <v>0</v>
      </c>
      <c r="P339" s="428">
        <v>0</v>
      </c>
      <c r="Q339" s="428">
        <v>0</v>
      </c>
      <c r="R339" s="428">
        <v>0</v>
      </c>
      <c r="S339" s="428">
        <v>0</v>
      </c>
      <c r="T339" s="428">
        <v>0</v>
      </c>
      <c r="U339" s="428">
        <v>0</v>
      </c>
      <c r="V339" s="428">
        <v>0</v>
      </c>
      <c r="W339" s="428">
        <v>0</v>
      </c>
      <c r="X339" s="428">
        <v>0</v>
      </c>
      <c r="Y339" s="428">
        <v>0</v>
      </c>
      <c r="Z339" s="428">
        <v>0</v>
      </c>
      <c r="AA339" s="428">
        <v>0</v>
      </c>
      <c r="AB339" s="428">
        <v>0</v>
      </c>
      <c r="AC339" s="428">
        <v>0</v>
      </c>
      <c r="AD339" s="428">
        <v>0</v>
      </c>
      <c r="AE339" s="428">
        <v>0</v>
      </c>
      <c r="AF339" s="428">
        <v>0</v>
      </c>
      <c r="AG339" s="428">
        <v>0</v>
      </c>
      <c r="AH339" s="428">
        <v>0</v>
      </c>
      <c r="AI339" s="428">
        <v>0</v>
      </c>
      <c r="AJ339" s="428">
        <v>0</v>
      </c>
      <c r="AK339" s="428">
        <v>0</v>
      </c>
      <c r="AL339" s="428">
        <v>0</v>
      </c>
      <c r="AM339" s="428">
        <v>0</v>
      </c>
      <c r="AN339" s="428">
        <v>0</v>
      </c>
    </row>
    <row r="340" spans="1:40" ht="19" customHeight="1" x14ac:dyDescent="0.35">
      <c r="A340" s="429">
        <v>15</v>
      </c>
      <c r="B340" s="427">
        <f>PETUNJUK!B23</f>
        <v>0</v>
      </c>
      <c r="C340" s="428">
        <v>0</v>
      </c>
      <c r="D340" s="428">
        <v>0</v>
      </c>
      <c r="E340" s="428">
        <v>0</v>
      </c>
      <c r="F340" s="428">
        <v>0</v>
      </c>
      <c r="G340" s="428">
        <v>0</v>
      </c>
      <c r="H340" s="428">
        <v>0</v>
      </c>
      <c r="I340" s="428">
        <v>0</v>
      </c>
      <c r="J340" s="428">
        <v>0</v>
      </c>
      <c r="K340" s="428">
        <v>0</v>
      </c>
      <c r="L340" s="428">
        <v>0</v>
      </c>
      <c r="M340" s="428">
        <v>0</v>
      </c>
      <c r="N340" s="428">
        <v>0</v>
      </c>
      <c r="O340" s="428">
        <v>0</v>
      </c>
      <c r="P340" s="428">
        <v>0</v>
      </c>
      <c r="Q340" s="428">
        <v>0</v>
      </c>
      <c r="R340" s="428">
        <v>0</v>
      </c>
      <c r="S340" s="428">
        <v>0</v>
      </c>
      <c r="T340" s="428">
        <v>0</v>
      </c>
      <c r="U340" s="428">
        <v>0</v>
      </c>
      <c r="V340" s="428">
        <v>0</v>
      </c>
      <c r="W340" s="428">
        <v>0</v>
      </c>
      <c r="X340" s="428">
        <v>0</v>
      </c>
      <c r="Y340" s="428">
        <v>0</v>
      </c>
      <c r="Z340" s="428">
        <v>0</v>
      </c>
      <c r="AA340" s="428">
        <v>0</v>
      </c>
      <c r="AB340" s="428">
        <v>0</v>
      </c>
      <c r="AC340" s="428">
        <v>0</v>
      </c>
      <c r="AD340" s="428">
        <v>0</v>
      </c>
      <c r="AE340" s="428">
        <v>0</v>
      </c>
      <c r="AF340" s="428">
        <v>0</v>
      </c>
      <c r="AG340" s="428">
        <v>0</v>
      </c>
      <c r="AH340" s="428">
        <v>0</v>
      </c>
      <c r="AI340" s="428">
        <v>0</v>
      </c>
      <c r="AJ340" s="428">
        <v>0</v>
      </c>
      <c r="AK340" s="428">
        <v>0</v>
      </c>
      <c r="AL340" s="428">
        <v>0</v>
      </c>
      <c r="AM340" s="428">
        <v>0</v>
      </c>
      <c r="AN340" s="428">
        <v>0</v>
      </c>
    </row>
    <row r="341" spans="1:40" ht="19" customHeight="1" x14ac:dyDescent="0.35">
      <c r="A341" s="429">
        <v>16</v>
      </c>
      <c r="B341" s="427">
        <f>PETUNJUK!B24</f>
        <v>0</v>
      </c>
      <c r="C341" s="428">
        <v>0</v>
      </c>
      <c r="D341" s="428">
        <v>0</v>
      </c>
      <c r="E341" s="428">
        <v>0</v>
      </c>
      <c r="F341" s="428">
        <v>0</v>
      </c>
      <c r="G341" s="428">
        <v>0</v>
      </c>
      <c r="H341" s="428">
        <v>0</v>
      </c>
      <c r="I341" s="428">
        <v>0</v>
      </c>
      <c r="J341" s="428">
        <v>0</v>
      </c>
      <c r="K341" s="428">
        <v>0</v>
      </c>
      <c r="L341" s="428">
        <v>0</v>
      </c>
      <c r="M341" s="428">
        <v>0</v>
      </c>
      <c r="N341" s="428">
        <v>0</v>
      </c>
      <c r="O341" s="428">
        <v>0</v>
      </c>
      <c r="P341" s="428">
        <v>0</v>
      </c>
      <c r="Q341" s="428">
        <v>0</v>
      </c>
      <c r="R341" s="428">
        <v>0</v>
      </c>
      <c r="S341" s="428">
        <v>0</v>
      </c>
      <c r="T341" s="428">
        <v>0</v>
      </c>
      <c r="U341" s="428">
        <v>0</v>
      </c>
      <c r="V341" s="428">
        <v>0</v>
      </c>
      <c r="W341" s="428">
        <v>0</v>
      </c>
      <c r="X341" s="428">
        <v>0</v>
      </c>
      <c r="Y341" s="428">
        <v>0</v>
      </c>
      <c r="Z341" s="428">
        <v>0</v>
      </c>
      <c r="AA341" s="428">
        <v>0</v>
      </c>
      <c r="AB341" s="428">
        <v>0</v>
      </c>
      <c r="AC341" s="428">
        <v>0</v>
      </c>
      <c r="AD341" s="428">
        <v>0</v>
      </c>
      <c r="AE341" s="428">
        <v>0</v>
      </c>
      <c r="AF341" s="428">
        <v>0</v>
      </c>
      <c r="AG341" s="428">
        <v>0</v>
      </c>
      <c r="AH341" s="428">
        <v>0</v>
      </c>
      <c r="AI341" s="428">
        <v>0</v>
      </c>
      <c r="AJ341" s="428">
        <v>0</v>
      </c>
      <c r="AK341" s="428">
        <v>0</v>
      </c>
      <c r="AL341" s="428">
        <v>0</v>
      </c>
      <c r="AM341" s="428">
        <v>0</v>
      </c>
      <c r="AN341" s="428">
        <v>0</v>
      </c>
    </row>
    <row r="342" spans="1:40" ht="19" customHeight="1" x14ac:dyDescent="0.35">
      <c r="A342" s="429">
        <v>17</v>
      </c>
      <c r="B342" s="427">
        <f>PETUNJUK!B25</f>
        <v>0</v>
      </c>
      <c r="C342" s="428">
        <v>0</v>
      </c>
      <c r="D342" s="428">
        <v>0</v>
      </c>
      <c r="E342" s="428">
        <v>0</v>
      </c>
      <c r="F342" s="428">
        <v>0</v>
      </c>
      <c r="G342" s="428">
        <v>0</v>
      </c>
      <c r="H342" s="428">
        <v>0</v>
      </c>
      <c r="I342" s="428">
        <v>0</v>
      </c>
      <c r="J342" s="428">
        <v>0</v>
      </c>
      <c r="K342" s="428">
        <v>0</v>
      </c>
      <c r="L342" s="428">
        <v>0</v>
      </c>
      <c r="M342" s="428">
        <v>0</v>
      </c>
      <c r="N342" s="428">
        <v>0</v>
      </c>
      <c r="O342" s="428">
        <v>0</v>
      </c>
      <c r="P342" s="428">
        <v>0</v>
      </c>
      <c r="Q342" s="428">
        <v>0</v>
      </c>
      <c r="R342" s="428">
        <v>0</v>
      </c>
      <c r="S342" s="428">
        <v>0</v>
      </c>
      <c r="T342" s="428">
        <v>0</v>
      </c>
      <c r="U342" s="428">
        <v>0</v>
      </c>
      <c r="V342" s="428">
        <v>0</v>
      </c>
      <c r="W342" s="428">
        <v>0</v>
      </c>
      <c r="X342" s="428">
        <v>0</v>
      </c>
      <c r="Y342" s="428">
        <v>0</v>
      </c>
      <c r="Z342" s="428">
        <v>0</v>
      </c>
      <c r="AA342" s="428">
        <v>0</v>
      </c>
      <c r="AB342" s="428">
        <v>0</v>
      </c>
      <c r="AC342" s="428">
        <v>0</v>
      </c>
      <c r="AD342" s="428">
        <v>0</v>
      </c>
      <c r="AE342" s="428">
        <v>0</v>
      </c>
      <c r="AF342" s="428">
        <v>0</v>
      </c>
      <c r="AG342" s="428">
        <v>0</v>
      </c>
      <c r="AH342" s="428">
        <v>0</v>
      </c>
      <c r="AI342" s="428">
        <v>0</v>
      </c>
      <c r="AJ342" s="428">
        <v>0</v>
      </c>
      <c r="AK342" s="428">
        <v>0</v>
      </c>
      <c r="AL342" s="428">
        <v>0</v>
      </c>
      <c r="AM342" s="428">
        <v>0</v>
      </c>
      <c r="AN342" s="428">
        <v>0</v>
      </c>
    </row>
    <row r="343" spans="1:40" ht="19" customHeight="1" x14ac:dyDescent="0.35">
      <c r="A343" s="429">
        <v>18</v>
      </c>
      <c r="B343" s="427">
        <f>PETUNJUK!B26</f>
        <v>0</v>
      </c>
      <c r="C343" s="428">
        <v>0</v>
      </c>
      <c r="D343" s="428">
        <v>0</v>
      </c>
      <c r="E343" s="428">
        <v>0</v>
      </c>
      <c r="F343" s="428">
        <v>0</v>
      </c>
      <c r="G343" s="428">
        <v>0</v>
      </c>
      <c r="H343" s="428">
        <v>0</v>
      </c>
      <c r="I343" s="428">
        <v>0</v>
      </c>
      <c r="J343" s="428">
        <v>0</v>
      </c>
      <c r="K343" s="428">
        <v>0</v>
      </c>
      <c r="L343" s="428">
        <v>0</v>
      </c>
      <c r="M343" s="428">
        <v>0</v>
      </c>
      <c r="N343" s="428">
        <v>0</v>
      </c>
      <c r="O343" s="428">
        <v>0</v>
      </c>
      <c r="P343" s="428">
        <v>0</v>
      </c>
      <c r="Q343" s="428">
        <v>0</v>
      </c>
      <c r="R343" s="428">
        <v>0</v>
      </c>
      <c r="S343" s="428">
        <v>0</v>
      </c>
      <c r="T343" s="428">
        <v>0</v>
      </c>
      <c r="U343" s="428">
        <v>0</v>
      </c>
      <c r="V343" s="428">
        <v>0</v>
      </c>
      <c r="W343" s="428">
        <v>0</v>
      </c>
      <c r="X343" s="428">
        <v>0</v>
      </c>
      <c r="Y343" s="428">
        <v>0</v>
      </c>
      <c r="Z343" s="428">
        <v>0</v>
      </c>
      <c r="AA343" s="428">
        <v>0</v>
      </c>
      <c r="AB343" s="428">
        <v>0</v>
      </c>
      <c r="AC343" s="428">
        <v>0</v>
      </c>
      <c r="AD343" s="428">
        <v>0</v>
      </c>
      <c r="AE343" s="428">
        <v>0</v>
      </c>
      <c r="AF343" s="428">
        <v>0</v>
      </c>
      <c r="AG343" s="428">
        <v>0</v>
      </c>
      <c r="AH343" s="428">
        <v>0</v>
      </c>
      <c r="AI343" s="428">
        <v>0</v>
      </c>
      <c r="AJ343" s="428">
        <v>0</v>
      </c>
      <c r="AK343" s="428">
        <v>0</v>
      </c>
      <c r="AL343" s="428">
        <v>0</v>
      </c>
      <c r="AM343" s="428">
        <v>0</v>
      </c>
      <c r="AN343" s="428">
        <v>0</v>
      </c>
    </row>
    <row r="344" spans="1:40" ht="19" customHeight="1" x14ac:dyDescent="0.35">
      <c r="A344" s="429">
        <v>19</v>
      </c>
      <c r="B344" s="427">
        <f>PETUNJUK!B27</f>
        <v>0</v>
      </c>
      <c r="C344" s="428">
        <v>0</v>
      </c>
      <c r="D344" s="428">
        <v>0</v>
      </c>
      <c r="E344" s="428">
        <v>0</v>
      </c>
      <c r="F344" s="428">
        <v>0</v>
      </c>
      <c r="G344" s="428">
        <v>0</v>
      </c>
      <c r="H344" s="428">
        <v>0</v>
      </c>
      <c r="I344" s="428">
        <v>0</v>
      </c>
      <c r="J344" s="428">
        <v>0</v>
      </c>
      <c r="K344" s="428">
        <v>0</v>
      </c>
      <c r="L344" s="428">
        <v>0</v>
      </c>
      <c r="M344" s="428">
        <v>0</v>
      </c>
      <c r="N344" s="428">
        <v>0</v>
      </c>
      <c r="O344" s="428">
        <v>0</v>
      </c>
      <c r="P344" s="428">
        <v>0</v>
      </c>
      <c r="Q344" s="428">
        <v>0</v>
      </c>
      <c r="R344" s="428">
        <v>0</v>
      </c>
      <c r="S344" s="428">
        <v>0</v>
      </c>
      <c r="T344" s="428">
        <v>0</v>
      </c>
      <c r="U344" s="428">
        <v>0</v>
      </c>
      <c r="V344" s="428">
        <v>0</v>
      </c>
      <c r="W344" s="428">
        <v>0</v>
      </c>
      <c r="X344" s="428">
        <v>0</v>
      </c>
      <c r="Y344" s="428">
        <v>0</v>
      </c>
      <c r="Z344" s="428">
        <v>0</v>
      </c>
      <c r="AA344" s="428">
        <v>0</v>
      </c>
      <c r="AB344" s="428">
        <v>0</v>
      </c>
      <c r="AC344" s="428">
        <v>0</v>
      </c>
      <c r="AD344" s="428">
        <v>0</v>
      </c>
      <c r="AE344" s="428">
        <v>0</v>
      </c>
      <c r="AF344" s="428">
        <v>0</v>
      </c>
      <c r="AG344" s="428">
        <v>0</v>
      </c>
      <c r="AH344" s="428">
        <v>0</v>
      </c>
      <c r="AI344" s="428">
        <v>0</v>
      </c>
      <c r="AJ344" s="428">
        <v>0</v>
      </c>
      <c r="AK344" s="428">
        <v>0</v>
      </c>
      <c r="AL344" s="428">
        <v>0</v>
      </c>
      <c r="AM344" s="428">
        <v>0</v>
      </c>
      <c r="AN344" s="428">
        <v>0</v>
      </c>
    </row>
    <row r="345" spans="1:40" ht="19" customHeight="1" x14ac:dyDescent="0.35">
      <c r="A345" s="429">
        <v>20</v>
      </c>
      <c r="B345" s="427">
        <f>PETUNJUK!B28</f>
        <v>0</v>
      </c>
      <c r="C345" s="428">
        <v>0</v>
      </c>
      <c r="D345" s="428">
        <v>0</v>
      </c>
      <c r="E345" s="428">
        <v>0</v>
      </c>
      <c r="F345" s="428">
        <v>0</v>
      </c>
      <c r="G345" s="428">
        <v>0</v>
      </c>
      <c r="H345" s="428">
        <v>0</v>
      </c>
      <c r="I345" s="428">
        <v>0</v>
      </c>
      <c r="J345" s="428">
        <v>0</v>
      </c>
      <c r="K345" s="428">
        <v>0</v>
      </c>
      <c r="L345" s="428">
        <v>0</v>
      </c>
      <c r="M345" s="428">
        <v>0</v>
      </c>
      <c r="N345" s="428">
        <v>0</v>
      </c>
      <c r="O345" s="428">
        <v>0</v>
      </c>
      <c r="P345" s="428">
        <v>0</v>
      </c>
      <c r="Q345" s="428">
        <v>0</v>
      </c>
      <c r="R345" s="428">
        <v>0</v>
      </c>
      <c r="S345" s="428">
        <v>0</v>
      </c>
      <c r="T345" s="428">
        <v>0</v>
      </c>
      <c r="U345" s="428">
        <v>0</v>
      </c>
      <c r="V345" s="428">
        <v>0</v>
      </c>
      <c r="W345" s="428">
        <v>0</v>
      </c>
      <c r="X345" s="428">
        <v>0</v>
      </c>
      <c r="Y345" s="428">
        <v>0</v>
      </c>
      <c r="Z345" s="428">
        <v>0</v>
      </c>
      <c r="AA345" s="428">
        <v>0</v>
      </c>
      <c r="AB345" s="428">
        <v>0</v>
      </c>
      <c r="AC345" s="428">
        <v>0</v>
      </c>
      <c r="AD345" s="428">
        <v>0</v>
      </c>
      <c r="AE345" s="428">
        <v>0</v>
      </c>
      <c r="AF345" s="428">
        <v>0</v>
      </c>
      <c r="AG345" s="428">
        <v>0</v>
      </c>
      <c r="AH345" s="428">
        <v>0</v>
      </c>
      <c r="AI345" s="428">
        <v>0</v>
      </c>
      <c r="AJ345" s="428">
        <v>0</v>
      </c>
      <c r="AK345" s="428">
        <v>0</v>
      </c>
      <c r="AL345" s="428">
        <v>0</v>
      </c>
      <c r="AM345" s="428">
        <v>0</v>
      </c>
      <c r="AN345" s="428">
        <v>0</v>
      </c>
    </row>
    <row r="346" spans="1:40" ht="19" customHeight="1" x14ac:dyDescent="0.35">
      <c r="A346" s="429">
        <v>21</v>
      </c>
      <c r="B346" s="427">
        <f>PETUNJUK!B29</f>
        <v>0</v>
      </c>
      <c r="C346" s="428">
        <v>0</v>
      </c>
      <c r="D346" s="428">
        <v>0</v>
      </c>
      <c r="E346" s="428">
        <v>0</v>
      </c>
      <c r="F346" s="428">
        <v>0</v>
      </c>
      <c r="G346" s="428">
        <v>0</v>
      </c>
      <c r="H346" s="428">
        <v>0</v>
      </c>
      <c r="I346" s="428">
        <v>0</v>
      </c>
      <c r="J346" s="428">
        <v>0</v>
      </c>
      <c r="K346" s="428">
        <v>0</v>
      </c>
      <c r="L346" s="428">
        <v>0</v>
      </c>
      <c r="M346" s="428">
        <v>0</v>
      </c>
      <c r="N346" s="428">
        <v>0</v>
      </c>
      <c r="O346" s="428">
        <v>0</v>
      </c>
      <c r="P346" s="428">
        <v>0</v>
      </c>
      <c r="Q346" s="428">
        <v>0</v>
      </c>
      <c r="R346" s="428">
        <v>0</v>
      </c>
      <c r="S346" s="428">
        <v>0</v>
      </c>
      <c r="T346" s="428">
        <v>0</v>
      </c>
      <c r="U346" s="428">
        <v>0</v>
      </c>
      <c r="V346" s="428">
        <v>0</v>
      </c>
      <c r="W346" s="428">
        <v>0</v>
      </c>
      <c r="X346" s="428">
        <v>0</v>
      </c>
      <c r="Y346" s="428">
        <v>0</v>
      </c>
      <c r="Z346" s="428">
        <v>0</v>
      </c>
      <c r="AA346" s="428">
        <v>0</v>
      </c>
      <c r="AB346" s="428">
        <v>0</v>
      </c>
      <c r="AC346" s="428">
        <v>0</v>
      </c>
      <c r="AD346" s="428">
        <v>0</v>
      </c>
      <c r="AE346" s="428">
        <v>0</v>
      </c>
      <c r="AF346" s="428">
        <v>0</v>
      </c>
      <c r="AG346" s="428">
        <v>0</v>
      </c>
      <c r="AH346" s="428">
        <v>0</v>
      </c>
      <c r="AI346" s="428">
        <v>0</v>
      </c>
      <c r="AJ346" s="428">
        <v>0</v>
      </c>
      <c r="AK346" s="428">
        <v>0</v>
      </c>
      <c r="AL346" s="428">
        <v>0</v>
      </c>
      <c r="AM346" s="428">
        <v>0</v>
      </c>
      <c r="AN346" s="428">
        <v>0</v>
      </c>
    </row>
    <row r="347" spans="1:40" ht="19" customHeight="1" x14ac:dyDescent="0.35">
      <c r="A347" s="429">
        <v>22</v>
      </c>
      <c r="B347" s="427">
        <f>PETUNJUK!B30</f>
        <v>0</v>
      </c>
      <c r="C347" s="428">
        <v>0</v>
      </c>
      <c r="D347" s="428">
        <v>0</v>
      </c>
      <c r="E347" s="428">
        <v>0</v>
      </c>
      <c r="F347" s="428">
        <v>0</v>
      </c>
      <c r="G347" s="428">
        <v>0</v>
      </c>
      <c r="H347" s="428">
        <v>0</v>
      </c>
      <c r="I347" s="428">
        <v>0</v>
      </c>
      <c r="J347" s="428">
        <v>0</v>
      </c>
      <c r="K347" s="428">
        <v>0</v>
      </c>
      <c r="L347" s="428">
        <v>0</v>
      </c>
      <c r="M347" s="428">
        <v>0</v>
      </c>
      <c r="N347" s="428">
        <v>0</v>
      </c>
      <c r="O347" s="428">
        <v>0</v>
      </c>
      <c r="P347" s="428">
        <v>0</v>
      </c>
      <c r="Q347" s="428">
        <v>0</v>
      </c>
      <c r="R347" s="428">
        <v>0</v>
      </c>
      <c r="S347" s="428">
        <v>0</v>
      </c>
      <c r="T347" s="428">
        <v>0</v>
      </c>
      <c r="U347" s="428">
        <v>0</v>
      </c>
      <c r="V347" s="428">
        <v>0</v>
      </c>
      <c r="W347" s="428">
        <v>0</v>
      </c>
      <c r="X347" s="428">
        <v>0</v>
      </c>
      <c r="Y347" s="428">
        <v>0</v>
      </c>
      <c r="Z347" s="428">
        <v>0</v>
      </c>
      <c r="AA347" s="428">
        <v>0</v>
      </c>
      <c r="AB347" s="428">
        <v>0</v>
      </c>
      <c r="AC347" s="428">
        <v>0</v>
      </c>
      <c r="AD347" s="428">
        <v>0</v>
      </c>
      <c r="AE347" s="428">
        <v>0</v>
      </c>
      <c r="AF347" s="428">
        <v>0</v>
      </c>
      <c r="AG347" s="428">
        <v>0</v>
      </c>
      <c r="AH347" s="428">
        <v>0</v>
      </c>
      <c r="AI347" s="428">
        <v>0</v>
      </c>
      <c r="AJ347" s="428">
        <v>0</v>
      </c>
      <c r="AK347" s="428">
        <v>0</v>
      </c>
      <c r="AL347" s="428">
        <v>0</v>
      </c>
      <c r="AM347" s="428">
        <v>0</v>
      </c>
      <c r="AN347" s="428">
        <v>0</v>
      </c>
    </row>
    <row r="348" spans="1:40" s="421" customFormat="1" ht="19" customHeight="1" x14ac:dyDescent="0.35">
      <c r="A348" s="468"/>
      <c r="B348" s="419" t="s">
        <v>17</v>
      </c>
      <c r="C348" s="422">
        <f>SUM(C326:C347)</f>
        <v>0</v>
      </c>
      <c r="D348" s="468">
        <f t="shared" ref="D348:AI348" si="51">SUM(D326:D347)</f>
        <v>0</v>
      </c>
      <c r="E348" s="468">
        <f t="shared" si="51"/>
        <v>0</v>
      </c>
      <c r="F348" s="468">
        <f>SUM(F326:F347)</f>
        <v>0</v>
      </c>
      <c r="G348" s="468">
        <f t="shared" ref="G348:H348" si="52">SUM(G326:G347)</f>
        <v>0</v>
      </c>
      <c r="H348" s="468">
        <f t="shared" si="52"/>
        <v>0</v>
      </c>
      <c r="I348" s="468">
        <f t="shared" si="51"/>
        <v>0</v>
      </c>
      <c r="J348" s="468">
        <f t="shared" si="51"/>
        <v>0</v>
      </c>
      <c r="K348" s="468">
        <f t="shared" si="51"/>
        <v>0</v>
      </c>
      <c r="L348" s="468">
        <f t="shared" si="51"/>
        <v>0</v>
      </c>
      <c r="M348" s="468">
        <f t="shared" si="51"/>
        <v>0</v>
      </c>
      <c r="N348" s="468">
        <f t="shared" si="51"/>
        <v>0</v>
      </c>
      <c r="O348" s="468">
        <f t="shared" si="51"/>
        <v>0</v>
      </c>
      <c r="P348" s="468">
        <f t="shared" si="51"/>
        <v>0</v>
      </c>
      <c r="Q348" s="468">
        <f t="shared" si="51"/>
        <v>0</v>
      </c>
      <c r="R348" s="468">
        <f t="shared" si="51"/>
        <v>0</v>
      </c>
      <c r="S348" s="468">
        <f t="shared" si="51"/>
        <v>0</v>
      </c>
      <c r="T348" s="468">
        <f t="shared" si="51"/>
        <v>0</v>
      </c>
      <c r="U348" s="468">
        <f t="shared" si="51"/>
        <v>0</v>
      </c>
      <c r="V348" s="468">
        <f t="shared" si="51"/>
        <v>0</v>
      </c>
      <c r="W348" s="468">
        <f t="shared" si="51"/>
        <v>0</v>
      </c>
      <c r="X348" s="468">
        <f t="shared" si="51"/>
        <v>0</v>
      </c>
      <c r="Y348" s="468">
        <f t="shared" si="51"/>
        <v>0</v>
      </c>
      <c r="Z348" s="468">
        <f t="shared" si="51"/>
        <v>0</v>
      </c>
      <c r="AA348" s="468">
        <f t="shared" si="51"/>
        <v>0</v>
      </c>
      <c r="AB348" s="468">
        <f t="shared" si="51"/>
        <v>0</v>
      </c>
      <c r="AC348" s="468">
        <f t="shared" si="51"/>
        <v>0</v>
      </c>
      <c r="AD348" s="468">
        <f t="shared" si="51"/>
        <v>0</v>
      </c>
      <c r="AE348" s="468">
        <f t="shared" si="51"/>
        <v>0</v>
      </c>
      <c r="AF348" s="468">
        <f t="shared" si="51"/>
        <v>0</v>
      </c>
      <c r="AG348" s="468">
        <f t="shared" si="51"/>
        <v>0</v>
      </c>
      <c r="AH348" s="468">
        <f t="shared" si="51"/>
        <v>0</v>
      </c>
      <c r="AI348" s="468">
        <f t="shared" si="51"/>
        <v>0</v>
      </c>
      <c r="AJ348" s="677">
        <f t="shared" ref="AJ348:AN348" si="53">SUM(AJ326:AJ347)</f>
        <v>0</v>
      </c>
      <c r="AK348" s="677">
        <f t="shared" si="53"/>
        <v>0</v>
      </c>
      <c r="AL348" s="677">
        <f t="shared" si="53"/>
        <v>0</v>
      </c>
      <c r="AM348" s="677">
        <f t="shared" si="53"/>
        <v>0</v>
      </c>
      <c r="AN348" s="677">
        <f t="shared" si="53"/>
        <v>0</v>
      </c>
    </row>
    <row r="349" spans="1:40" ht="19" customHeight="1" x14ac:dyDescent="0.35">
      <c r="A349" s="30"/>
      <c r="B349" s="30"/>
      <c r="C349" s="541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</row>
    <row r="350" spans="1:40" ht="19" customHeight="1" x14ac:dyDescent="0.35">
      <c r="A350" s="30"/>
      <c r="B350" s="30"/>
      <c r="C350" s="541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</row>
    <row r="351" spans="1:40" ht="19" customHeight="1" x14ac:dyDescent="0.35">
      <c r="A351" s="30"/>
      <c r="B351" s="30"/>
      <c r="C351" s="541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</row>
    <row r="352" spans="1:40" s="418" customFormat="1" ht="19" customHeight="1" x14ac:dyDescent="0.35">
      <c r="A352" s="535" t="s">
        <v>147</v>
      </c>
      <c r="B352" s="535"/>
      <c r="C352" s="536" t="s">
        <v>243</v>
      </c>
      <c r="D352" s="535" t="str">
        <f>D2</f>
        <v>PECANGAAN</v>
      </c>
      <c r="E352" s="535"/>
      <c r="F352" s="535"/>
      <c r="G352" s="535"/>
      <c r="H352" s="535"/>
      <c r="I352" s="537"/>
      <c r="J352" s="537"/>
      <c r="K352" s="537"/>
      <c r="L352" s="537"/>
      <c r="M352" s="537"/>
      <c r="N352" s="537"/>
      <c r="O352" s="537"/>
      <c r="P352" s="537"/>
      <c r="Q352" s="537"/>
      <c r="R352" s="537"/>
      <c r="S352" s="537"/>
      <c r="T352" s="537"/>
      <c r="U352" s="537"/>
      <c r="V352" s="537"/>
      <c r="W352" s="537"/>
      <c r="X352" s="537"/>
      <c r="Y352" s="537"/>
      <c r="Z352" s="537"/>
      <c r="AA352" s="537"/>
      <c r="AB352" s="537"/>
      <c r="AC352" s="537"/>
      <c r="AD352" s="537"/>
      <c r="AE352" s="537"/>
      <c r="AF352" s="537"/>
      <c r="AG352" s="537"/>
      <c r="AH352" s="537"/>
      <c r="AI352" s="537"/>
      <c r="AJ352" s="537"/>
      <c r="AK352" s="537"/>
      <c r="AL352" s="537"/>
      <c r="AM352" s="537"/>
    </row>
    <row r="353" spans="1:43" s="418" customFormat="1" ht="19" customHeight="1" x14ac:dyDescent="0.35">
      <c r="A353" s="535" t="s">
        <v>242</v>
      </c>
      <c r="B353" s="535"/>
      <c r="C353" s="536" t="s">
        <v>243</v>
      </c>
      <c r="D353" s="538" t="s">
        <v>398</v>
      </c>
      <c r="E353" s="535"/>
      <c r="F353" s="535"/>
      <c r="G353" s="538"/>
      <c r="H353" s="535"/>
      <c r="I353" s="537"/>
      <c r="J353" s="537"/>
      <c r="K353" s="537"/>
      <c r="L353" s="537"/>
      <c r="M353" s="537"/>
      <c r="N353" s="537"/>
      <c r="O353" s="537"/>
      <c r="P353" s="537"/>
      <c r="Q353" s="537"/>
      <c r="R353" s="537"/>
      <c r="S353" s="537"/>
      <c r="T353" s="537"/>
      <c r="U353" s="537"/>
      <c r="V353" s="537"/>
      <c r="W353" s="537"/>
      <c r="X353" s="537"/>
      <c r="Y353" s="537"/>
      <c r="Z353" s="537"/>
      <c r="AA353" s="537"/>
      <c r="AB353" s="537"/>
      <c r="AC353" s="537"/>
      <c r="AD353" s="537"/>
      <c r="AE353" s="537"/>
      <c r="AF353" s="537"/>
      <c r="AG353" s="537"/>
      <c r="AH353" s="537"/>
      <c r="AI353" s="537"/>
      <c r="AJ353" s="537"/>
      <c r="AK353" s="537"/>
      <c r="AL353" s="537"/>
      <c r="AM353" s="537"/>
    </row>
    <row r="354" spans="1:43" ht="19" customHeight="1" x14ac:dyDescent="0.35">
      <c r="A354" s="539"/>
      <c r="B354" s="539"/>
      <c r="C354" s="540"/>
      <c r="D354" s="539"/>
      <c r="E354" s="539"/>
      <c r="F354" s="539"/>
      <c r="G354" s="539"/>
      <c r="H354" s="539"/>
      <c r="I354" s="416"/>
      <c r="J354" s="416"/>
      <c r="K354" s="416"/>
      <c r="L354" s="416"/>
      <c r="M354" s="416"/>
      <c r="N354" s="416"/>
      <c r="O354" s="416"/>
      <c r="P354" s="416"/>
      <c r="Q354" s="416"/>
      <c r="R354" s="416"/>
      <c r="S354" s="416"/>
      <c r="T354" s="416"/>
      <c r="U354" s="416"/>
      <c r="V354" s="416"/>
      <c r="W354" s="416"/>
      <c r="X354" s="416"/>
      <c r="Y354" s="416"/>
      <c r="Z354" s="416"/>
      <c r="AA354" s="416"/>
      <c r="AB354" s="416"/>
      <c r="AC354" s="416"/>
      <c r="AD354" s="416"/>
      <c r="AE354" s="416"/>
      <c r="AF354" s="416"/>
      <c r="AG354" s="416"/>
      <c r="AH354" s="416"/>
      <c r="AI354" s="416"/>
      <c r="AJ354" s="416"/>
      <c r="AK354" s="416"/>
      <c r="AL354" s="416"/>
      <c r="AM354" s="416"/>
    </row>
    <row r="355" spans="1:43" ht="19" customHeight="1" x14ac:dyDescent="0.35">
      <c r="A355" s="416"/>
      <c r="B355" s="416"/>
      <c r="C355" s="417"/>
      <c r="D355" s="416"/>
      <c r="E355" s="416"/>
      <c r="F355" s="416"/>
      <c r="G355" s="416"/>
      <c r="H355" s="416"/>
      <c r="I355" s="416"/>
      <c r="J355" s="416"/>
      <c r="K355" s="416"/>
      <c r="L355" s="416"/>
      <c r="M355" s="416"/>
      <c r="N355" s="416"/>
      <c r="O355" s="416"/>
      <c r="P355" s="416"/>
      <c r="Q355" s="416"/>
      <c r="R355" s="416"/>
      <c r="S355" s="416"/>
      <c r="T355" s="416"/>
      <c r="U355" s="416"/>
      <c r="V355" s="416"/>
      <c r="W355" s="416"/>
      <c r="X355" s="416"/>
      <c r="Y355" s="416"/>
      <c r="Z355" s="416"/>
      <c r="AA355" s="416"/>
      <c r="AB355" s="416"/>
      <c r="AC355" s="416"/>
      <c r="AD355" s="416"/>
      <c r="AE355" s="416"/>
      <c r="AF355" s="416"/>
      <c r="AG355" s="416"/>
      <c r="AH355" s="416"/>
      <c r="AI355" s="416"/>
      <c r="AJ355" s="416"/>
      <c r="AK355" s="416"/>
      <c r="AL355" s="416"/>
      <c r="AM355" s="416"/>
    </row>
    <row r="356" spans="1:43" s="421" customFormat="1" ht="19" customHeight="1" x14ac:dyDescent="0.35">
      <c r="A356" s="967" t="s">
        <v>244</v>
      </c>
      <c r="B356" s="967" t="s">
        <v>151</v>
      </c>
      <c r="C356" s="960" t="s">
        <v>311</v>
      </c>
      <c r="D356" s="960"/>
      <c r="E356" s="960"/>
      <c r="F356" s="960" t="s">
        <v>312</v>
      </c>
      <c r="G356" s="960"/>
      <c r="H356" s="960"/>
      <c r="I356" s="960" t="s">
        <v>33</v>
      </c>
      <c r="J356" s="960"/>
      <c r="K356" s="970" t="s">
        <v>245</v>
      </c>
      <c r="L356" s="970"/>
      <c r="M356" s="970" t="s">
        <v>246</v>
      </c>
      <c r="N356" s="970"/>
      <c r="O356" s="960" t="s">
        <v>247</v>
      </c>
      <c r="P356" s="960"/>
      <c r="Q356" s="960"/>
      <c r="R356" s="960"/>
      <c r="S356" s="960"/>
      <c r="T356" s="960"/>
      <c r="U356" s="960"/>
      <c r="V356" s="960"/>
      <c r="W356" s="960"/>
      <c r="X356" s="971" t="s">
        <v>247</v>
      </c>
      <c r="Y356" s="960"/>
      <c r="Z356" s="960"/>
      <c r="AA356" s="960"/>
      <c r="AB356" s="960"/>
      <c r="AC356" s="960"/>
      <c r="AD356" s="960"/>
      <c r="AE356" s="960"/>
      <c r="AF356" s="960"/>
      <c r="AG356" s="960"/>
      <c r="AH356" s="960"/>
      <c r="AI356" s="960"/>
      <c r="AJ356" s="975" t="s">
        <v>248</v>
      </c>
      <c r="AK356" s="975"/>
      <c r="AL356" s="975"/>
      <c r="AM356" s="975"/>
      <c r="AN356" s="975"/>
    </row>
    <row r="357" spans="1:43" s="421" customFormat="1" ht="19" customHeight="1" x14ac:dyDescent="0.35">
      <c r="A357" s="968"/>
      <c r="B357" s="968"/>
      <c r="C357" s="961" t="s">
        <v>249</v>
      </c>
      <c r="D357" s="972" t="s">
        <v>250</v>
      </c>
      <c r="E357" s="961" t="s">
        <v>251</v>
      </c>
      <c r="F357" s="961" t="s">
        <v>249</v>
      </c>
      <c r="G357" s="961" t="s">
        <v>250</v>
      </c>
      <c r="H357" s="961" t="s">
        <v>251</v>
      </c>
      <c r="I357" s="961" t="s">
        <v>252</v>
      </c>
      <c r="J357" s="961" t="s">
        <v>253</v>
      </c>
      <c r="K357" s="961" t="s">
        <v>254</v>
      </c>
      <c r="L357" s="961" t="s">
        <v>255</v>
      </c>
      <c r="M357" s="961" t="s">
        <v>254</v>
      </c>
      <c r="N357" s="961" t="s">
        <v>256</v>
      </c>
      <c r="O357" s="965" t="s">
        <v>257</v>
      </c>
      <c r="P357" s="965"/>
      <c r="Q357" s="965"/>
      <c r="R357" s="965"/>
      <c r="S357" s="965"/>
      <c r="T357" s="965" t="s">
        <v>258</v>
      </c>
      <c r="U357" s="965"/>
      <c r="V357" s="965"/>
      <c r="W357" s="965"/>
      <c r="X357" s="966" t="s">
        <v>259</v>
      </c>
      <c r="Y357" s="965"/>
      <c r="Z357" s="965"/>
      <c r="AA357" s="965" t="s">
        <v>260</v>
      </c>
      <c r="AB357" s="965"/>
      <c r="AC357" s="965"/>
      <c r="AD357" s="965" t="s">
        <v>261</v>
      </c>
      <c r="AE357" s="965"/>
      <c r="AF357" s="965"/>
      <c r="AG357" s="965" t="s">
        <v>262</v>
      </c>
      <c r="AH357" s="965"/>
      <c r="AI357" s="965"/>
      <c r="AJ357" s="964" t="s">
        <v>421</v>
      </c>
      <c r="AK357" s="964" t="s">
        <v>263</v>
      </c>
      <c r="AL357" s="964" t="s">
        <v>264</v>
      </c>
      <c r="AM357" s="964" t="s">
        <v>265</v>
      </c>
      <c r="AN357" s="964" t="s">
        <v>424</v>
      </c>
      <c r="AO357" s="423"/>
      <c r="AP357" s="423"/>
      <c r="AQ357" s="423"/>
    </row>
    <row r="358" spans="1:43" s="421" customFormat="1" ht="19" customHeight="1" x14ac:dyDescent="0.35">
      <c r="A358" s="968"/>
      <c r="B358" s="968"/>
      <c r="C358" s="962"/>
      <c r="D358" s="973"/>
      <c r="E358" s="962"/>
      <c r="F358" s="962"/>
      <c r="G358" s="962"/>
      <c r="H358" s="962"/>
      <c r="I358" s="962"/>
      <c r="J358" s="962"/>
      <c r="K358" s="962"/>
      <c r="L358" s="962"/>
      <c r="M358" s="962"/>
      <c r="N358" s="962"/>
      <c r="O358" s="965" t="s">
        <v>266</v>
      </c>
      <c r="P358" s="965" t="s">
        <v>267</v>
      </c>
      <c r="Q358" s="965" t="s">
        <v>268</v>
      </c>
      <c r="R358" s="965" t="s">
        <v>269</v>
      </c>
      <c r="S358" s="965"/>
      <c r="T358" s="965" t="s">
        <v>270</v>
      </c>
      <c r="U358" s="965" t="s">
        <v>271</v>
      </c>
      <c r="V358" s="965" t="s">
        <v>272</v>
      </c>
      <c r="W358" s="965" t="s">
        <v>273</v>
      </c>
      <c r="X358" s="966" t="s">
        <v>274</v>
      </c>
      <c r="Y358" s="965" t="s">
        <v>275</v>
      </c>
      <c r="Z358" s="965" t="s">
        <v>276</v>
      </c>
      <c r="AA358" s="965" t="s">
        <v>277</v>
      </c>
      <c r="AB358" s="965" t="s">
        <v>278</v>
      </c>
      <c r="AC358" s="965" t="s">
        <v>279</v>
      </c>
      <c r="AD358" s="965" t="s">
        <v>280</v>
      </c>
      <c r="AE358" s="965" t="s">
        <v>281</v>
      </c>
      <c r="AF358" s="965" t="s">
        <v>282</v>
      </c>
      <c r="AG358" s="965" t="s">
        <v>283</v>
      </c>
      <c r="AH358" s="965" t="s">
        <v>284</v>
      </c>
      <c r="AI358" s="965" t="s">
        <v>279</v>
      </c>
      <c r="AJ358" s="964"/>
      <c r="AK358" s="964"/>
      <c r="AL358" s="964"/>
      <c r="AM358" s="964"/>
      <c r="AN358" s="964"/>
      <c r="AO358" s="423"/>
      <c r="AP358" s="423"/>
      <c r="AQ358" s="423"/>
    </row>
    <row r="359" spans="1:43" s="421" customFormat="1" ht="19" customHeight="1" x14ac:dyDescent="0.35">
      <c r="A359" s="969"/>
      <c r="B359" s="969"/>
      <c r="C359" s="963"/>
      <c r="D359" s="974"/>
      <c r="E359" s="963"/>
      <c r="F359" s="963"/>
      <c r="G359" s="963"/>
      <c r="H359" s="963"/>
      <c r="I359" s="963"/>
      <c r="J359" s="963"/>
      <c r="K359" s="963"/>
      <c r="L359" s="963"/>
      <c r="M359" s="963"/>
      <c r="N359" s="963"/>
      <c r="O359" s="965"/>
      <c r="P359" s="965"/>
      <c r="Q359" s="965"/>
      <c r="R359" s="422" t="s">
        <v>285</v>
      </c>
      <c r="S359" s="422" t="s">
        <v>286</v>
      </c>
      <c r="T359" s="965"/>
      <c r="U359" s="965"/>
      <c r="V359" s="965"/>
      <c r="W359" s="965"/>
      <c r="X359" s="966"/>
      <c r="Y359" s="965"/>
      <c r="Z359" s="965"/>
      <c r="AA359" s="965"/>
      <c r="AB359" s="965"/>
      <c r="AC359" s="965"/>
      <c r="AD359" s="965"/>
      <c r="AE359" s="965"/>
      <c r="AF359" s="965"/>
      <c r="AG359" s="965"/>
      <c r="AH359" s="965"/>
      <c r="AI359" s="965"/>
      <c r="AJ359" s="964"/>
      <c r="AK359" s="964"/>
      <c r="AL359" s="964"/>
      <c r="AM359" s="964"/>
      <c r="AN359" s="964"/>
      <c r="AO359" s="423"/>
      <c r="AP359" s="423"/>
      <c r="AQ359" s="423"/>
    </row>
    <row r="360" spans="1:43" s="421" customFormat="1" ht="19" customHeight="1" thickBot="1" x14ac:dyDescent="0.4">
      <c r="A360" s="424">
        <v>1</v>
      </c>
      <c r="B360" s="424">
        <v>2</v>
      </c>
      <c r="C360" s="425">
        <v>3</v>
      </c>
      <c r="D360" s="424">
        <v>4</v>
      </c>
      <c r="E360" s="424">
        <v>5</v>
      </c>
      <c r="F360" s="424">
        <v>6</v>
      </c>
      <c r="G360" s="424">
        <v>7</v>
      </c>
      <c r="H360" s="424">
        <v>8</v>
      </c>
      <c r="I360" s="424">
        <v>9</v>
      </c>
      <c r="J360" s="424">
        <v>10</v>
      </c>
      <c r="K360" s="424">
        <v>11</v>
      </c>
      <c r="L360" s="424">
        <v>12</v>
      </c>
      <c r="M360" s="424">
        <v>13</v>
      </c>
      <c r="N360" s="424">
        <v>14</v>
      </c>
      <c r="O360" s="424">
        <v>15</v>
      </c>
      <c r="P360" s="424">
        <v>16</v>
      </c>
      <c r="Q360" s="424">
        <v>17</v>
      </c>
      <c r="R360" s="424">
        <v>18</v>
      </c>
      <c r="S360" s="424">
        <v>19</v>
      </c>
      <c r="T360" s="424">
        <v>20</v>
      </c>
      <c r="U360" s="424">
        <v>21</v>
      </c>
      <c r="V360" s="424">
        <v>22</v>
      </c>
      <c r="W360" s="424">
        <v>23</v>
      </c>
      <c r="X360" s="424">
        <v>24</v>
      </c>
      <c r="Y360" s="424">
        <v>25</v>
      </c>
      <c r="Z360" s="424">
        <v>26</v>
      </c>
      <c r="AA360" s="424">
        <v>27</v>
      </c>
      <c r="AB360" s="424">
        <v>28</v>
      </c>
      <c r="AC360" s="424">
        <v>29</v>
      </c>
      <c r="AD360" s="424">
        <v>30</v>
      </c>
      <c r="AE360" s="424">
        <v>31</v>
      </c>
      <c r="AF360" s="424">
        <v>32</v>
      </c>
      <c r="AG360" s="424">
        <v>33</v>
      </c>
      <c r="AH360" s="424">
        <v>34</v>
      </c>
      <c r="AI360" s="424">
        <v>35</v>
      </c>
      <c r="AJ360" s="424">
        <v>36</v>
      </c>
      <c r="AK360" s="424">
        <v>37</v>
      </c>
      <c r="AL360" s="424">
        <v>38</v>
      </c>
      <c r="AM360" s="424">
        <v>39</v>
      </c>
      <c r="AN360" s="424">
        <v>40</v>
      </c>
    </row>
    <row r="361" spans="1:43" ht="19" customHeight="1" thickTop="1" x14ac:dyDescent="0.35">
      <c r="A361" s="427">
        <v>1</v>
      </c>
      <c r="B361" s="427" t="str">
        <f>PETUNJUK!B9</f>
        <v>Pecangaan Kulon</v>
      </c>
      <c r="C361" s="428">
        <v>0</v>
      </c>
      <c r="D361" s="428">
        <v>0</v>
      </c>
      <c r="E361" s="428">
        <v>0</v>
      </c>
      <c r="F361" s="428">
        <v>0</v>
      </c>
      <c r="G361" s="428">
        <v>0</v>
      </c>
      <c r="H361" s="428">
        <v>0</v>
      </c>
      <c r="I361" s="428">
        <v>0</v>
      </c>
      <c r="J361" s="428">
        <v>0</v>
      </c>
      <c r="K361" s="428">
        <v>0</v>
      </c>
      <c r="L361" s="428">
        <v>0</v>
      </c>
      <c r="M361" s="428">
        <v>0</v>
      </c>
      <c r="N361" s="428">
        <v>0</v>
      </c>
      <c r="O361" s="428">
        <v>0</v>
      </c>
      <c r="P361" s="428">
        <v>0</v>
      </c>
      <c r="Q361" s="428">
        <v>0</v>
      </c>
      <c r="R361" s="428">
        <v>0</v>
      </c>
      <c r="S361" s="428">
        <v>0</v>
      </c>
      <c r="T361" s="428">
        <v>0</v>
      </c>
      <c r="U361" s="428">
        <v>0</v>
      </c>
      <c r="V361" s="428">
        <v>0</v>
      </c>
      <c r="W361" s="428">
        <v>0</v>
      </c>
      <c r="X361" s="428">
        <v>0</v>
      </c>
      <c r="Y361" s="428">
        <v>0</v>
      </c>
      <c r="Z361" s="428">
        <v>0</v>
      </c>
      <c r="AA361" s="428">
        <v>0</v>
      </c>
      <c r="AB361" s="428">
        <v>0</v>
      </c>
      <c r="AC361" s="428">
        <v>0</v>
      </c>
      <c r="AD361" s="428">
        <v>0</v>
      </c>
      <c r="AE361" s="428">
        <v>0</v>
      </c>
      <c r="AF361" s="428">
        <v>0</v>
      </c>
      <c r="AG361" s="428">
        <v>0</v>
      </c>
      <c r="AH361" s="428">
        <v>0</v>
      </c>
      <c r="AI361" s="428">
        <v>0</v>
      </c>
      <c r="AJ361" s="428">
        <v>0</v>
      </c>
      <c r="AK361" s="428">
        <v>0</v>
      </c>
      <c r="AL361" s="428">
        <v>0</v>
      </c>
      <c r="AM361" s="428">
        <v>0</v>
      </c>
      <c r="AN361" s="428">
        <v>0</v>
      </c>
    </row>
    <row r="362" spans="1:43" ht="19" customHeight="1" x14ac:dyDescent="0.35">
      <c r="A362" s="429">
        <v>2</v>
      </c>
      <c r="B362" s="427" t="str">
        <f>PETUNJUK!B10</f>
        <v>Rengging</v>
      </c>
      <c r="C362" s="428">
        <v>0</v>
      </c>
      <c r="D362" s="428">
        <v>0</v>
      </c>
      <c r="E362" s="428">
        <v>0</v>
      </c>
      <c r="F362" s="428">
        <v>0</v>
      </c>
      <c r="G362" s="428">
        <v>0</v>
      </c>
      <c r="H362" s="428">
        <v>0</v>
      </c>
      <c r="I362" s="428">
        <v>0</v>
      </c>
      <c r="J362" s="428">
        <v>0</v>
      </c>
      <c r="K362" s="428">
        <v>0</v>
      </c>
      <c r="L362" s="428">
        <v>0</v>
      </c>
      <c r="M362" s="428">
        <v>0</v>
      </c>
      <c r="N362" s="428">
        <v>0</v>
      </c>
      <c r="O362" s="428">
        <v>0</v>
      </c>
      <c r="P362" s="428">
        <v>0</v>
      </c>
      <c r="Q362" s="428">
        <v>0</v>
      </c>
      <c r="R362" s="428">
        <v>0</v>
      </c>
      <c r="S362" s="428">
        <v>0</v>
      </c>
      <c r="T362" s="428">
        <v>0</v>
      </c>
      <c r="U362" s="428">
        <v>0</v>
      </c>
      <c r="V362" s="428">
        <v>0</v>
      </c>
      <c r="W362" s="428">
        <v>0</v>
      </c>
      <c r="X362" s="428">
        <v>0</v>
      </c>
      <c r="Y362" s="428">
        <v>0</v>
      </c>
      <c r="Z362" s="428">
        <v>0</v>
      </c>
      <c r="AA362" s="428">
        <v>0</v>
      </c>
      <c r="AB362" s="428">
        <v>0</v>
      </c>
      <c r="AC362" s="428">
        <v>0</v>
      </c>
      <c r="AD362" s="428">
        <v>0</v>
      </c>
      <c r="AE362" s="428">
        <v>0</v>
      </c>
      <c r="AF362" s="428">
        <v>0</v>
      </c>
      <c r="AG362" s="428">
        <v>0</v>
      </c>
      <c r="AH362" s="428">
        <v>0</v>
      </c>
      <c r="AI362" s="428">
        <v>0</v>
      </c>
      <c r="AJ362" s="428">
        <v>0</v>
      </c>
      <c r="AK362" s="428">
        <v>0</v>
      </c>
      <c r="AL362" s="428">
        <v>0</v>
      </c>
      <c r="AM362" s="428">
        <v>0</v>
      </c>
      <c r="AN362" s="428">
        <v>0</v>
      </c>
    </row>
    <row r="363" spans="1:43" ht="19" customHeight="1" x14ac:dyDescent="0.35">
      <c r="A363" s="429">
        <v>3</v>
      </c>
      <c r="B363" s="427" t="str">
        <f>PETUNJUK!B11</f>
        <v>Troso</v>
      </c>
      <c r="C363" s="428">
        <v>0</v>
      </c>
      <c r="D363" s="428">
        <v>0</v>
      </c>
      <c r="E363" s="428">
        <v>0</v>
      </c>
      <c r="F363" s="428">
        <v>0</v>
      </c>
      <c r="G363" s="428">
        <v>0</v>
      </c>
      <c r="H363" s="428">
        <v>0</v>
      </c>
      <c r="I363" s="428">
        <v>0</v>
      </c>
      <c r="J363" s="428">
        <v>0</v>
      </c>
      <c r="K363" s="428">
        <v>0</v>
      </c>
      <c r="L363" s="428">
        <v>0</v>
      </c>
      <c r="M363" s="428">
        <v>0</v>
      </c>
      <c r="N363" s="428">
        <v>0</v>
      </c>
      <c r="O363" s="428">
        <v>0</v>
      </c>
      <c r="P363" s="428">
        <v>0</v>
      </c>
      <c r="Q363" s="428">
        <v>0</v>
      </c>
      <c r="R363" s="428">
        <v>0</v>
      </c>
      <c r="S363" s="428">
        <v>0</v>
      </c>
      <c r="T363" s="428">
        <v>0</v>
      </c>
      <c r="U363" s="428">
        <v>0</v>
      </c>
      <c r="V363" s="428">
        <v>0</v>
      </c>
      <c r="W363" s="428">
        <v>0</v>
      </c>
      <c r="X363" s="428">
        <v>0</v>
      </c>
      <c r="Y363" s="428">
        <v>0</v>
      </c>
      <c r="Z363" s="428">
        <v>0</v>
      </c>
      <c r="AA363" s="428">
        <v>0</v>
      </c>
      <c r="AB363" s="428">
        <v>0</v>
      </c>
      <c r="AC363" s="428">
        <v>0</v>
      </c>
      <c r="AD363" s="428">
        <v>0</v>
      </c>
      <c r="AE363" s="428">
        <v>0</v>
      </c>
      <c r="AF363" s="428">
        <v>0</v>
      </c>
      <c r="AG363" s="428">
        <v>0</v>
      </c>
      <c r="AH363" s="428">
        <v>0</v>
      </c>
      <c r="AI363" s="428">
        <v>0</v>
      </c>
      <c r="AJ363" s="428">
        <v>0</v>
      </c>
      <c r="AK363" s="428">
        <v>0</v>
      </c>
      <c r="AL363" s="428">
        <v>0</v>
      </c>
      <c r="AM363" s="428">
        <v>0</v>
      </c>
      <c r="AN363" s="428">
        <v>0</v>
      </c>
    </row>
    <row r="364" spans="1:43" ht="19" customHeight="1" x14ac:dyDescent="0.35">
      <c r="A364" s="429">
        <v>4</v>
      </c>
      <c r="B364" s="427" t="str">
        <f>PETUNJUK!B12</f>
        <v>Ngeling</v>
      </c>
      <c r="C364" s="428">
        <v>0</v>
      </c>
      <c r="D364" s="428">
        <v>0</v>
      </c>
      <c r="E364" s="428">
        <v>0</v>
      </c>
      <c r="F364" s="428">
        <v>0</v>
      </c>
      <c r="G364" s="428">
        <v>0</v>
      </c>
      <c r="H364" s="428">
        <v>0</v>
      </c>
      <c r="I364" s="428">
        <v>0</v>
      </c>
      <c r="J364" s="428">
        <v>0</v>
      </c>
      <c r="K364" s="428">
        <v>0</v>
      </c>
      <c r="L364" s="428">
        <v>0</v>
      </c>
      <c r="M364" s="428">
        <v>0</v>
      </c>
      <c r="N364" s="428">
        <v>0</v>
      </c>
      <c r="O364" s="428">
        <v>0</v>
      </c>
      <c r="P364" s="428">
        <v>0</v>
      </c>
      <c r="Q364" s="428">
        <v>0</v>
      </c>
      <c r="R364" s="428">
        <v>0</v>
      </c>
      <c r="S364" s="428">
        <v>0</v>
      </c>
      <c r="T364" s="428">
        <v>0</v>
      </c>
      <c r="U364" s="428">
        <v>0</v>
      </c>
      <c r="V364" s="428">
        <v>0</v>
      </c>
      <c r="W364" s="428">
        <v>0</v>
      </c>
      <c r="X364" s="428">
        <v>0</v>
      </c>
      <c r="Y364" s="428">
        <v>0</v>
      </c>
      <c r="Z364" s="428">
        <v>0</v>
      </c>
      <c r="AA364" s="428">
        <v>0</v>
      </c>
      <c r="AB364" s="428">
        <v>0</v>
      </c>
      <c r="AC364" s="428">
        <v>0</v>
      </c>
      <c r="AD364" s="428">
        <v>0</v>
      </c>
      <c r="AE364" s="428">
        <v>0</v>
      </c>
      <c r="AF364" s="428">
        <v>0</v>
      </c>
      <c r="AG364" s="428">
        <v>0</v>
      </c>
      <c r="AH364" s="428">
        <v>0</v>
      </c>
      <c r="AI364" s="428">
        <v>0</v>
      </c>
      <c r="AJ364" s="428">
        <v>0</v>
      </c>
      <c r="AK364" s="428">
        <v>0</v>
      </c>
      <c r="AL364" s="428">
        <v>0</v>
      </c>
      <c r="AM364" s="428">
        <v>0</v>
      </c>
      <c r="AN364" s="428">
        <v>0</v>
      </c>
    </row>
    <row r="365" spans="1:43" ht="19" customHeight="1" x14ac:dyDescent="0.35">
      <c r="A365" s="429">
        <v>5</v>
      </c>
      <c r="B365" s="427" t="str">
        <f>PETUNJUK!B13</f>
        <v>Lebuawu</v>
      </c>
      <c r="C365" s="428">
        <v>0</v>
      </c>
      <c r="D365" s="428">
        <v>0</v>
      </c>
      <c r="E365" s="428">
        <v>0</v>
      </c>
      <c r="F365" s="428">
        <v>0</v>
      </c>
      <c r="G365" s="428">
        <v>0</v>
      </c>
      <c r="H365" s="428">
        <v>0</v>
      </c>
      <c r="I365" s="428">
        <v>0</v>
      </c>
      <c r="J365" s="428">
        <v>0</v>
      </c>
      <c r="K365" s="428">
        <v>0</v>
      </c>
      <c r="L365" s="428">
        <v>0</v>
      </c>
      <c r="M365" s="428">
        <v>0</v>
      </c>
      <c r="N365" s="428">
        <v>0</v>
      </c>
      <c r="O365" s="428">
        <v>0</v>
      </c>
      <c r="P365" s="428">
        <v>0</v>
      </c>
      <c r="Q365" s="428">
        <v>0</v>
      </c>
      <c r="R365" s="428">
        <v>0</v>
      </c>
      <c r="S365" s="428">
        <v>0</v>
      </c>
      <c r="T365" s="428">
        <v>0</v>
      </c>
      <c r="U365" s="428">
        <v>0</v>
      </c>
      <c r="V365" s="428">
        <v>0</v>
      </c>
      <c r="W365" s="428">
        <v>0</v>
      </c>
      <c r="X365" s="428">
        <v>0</v>
      </c>
      <c r="Y365" s="428">
        <v>0</v>
      </c>
      <c r="Z365" s="428">
        <v>0</v>
      </c>
      <c r="AA365" s="428">
        <v>0</v>
      </c>
      <c r="AB365" s="428">
        <v>0</v>
      </c>
      <c r="AC365" s="428">
        <v>0</v>
      </c>
      <c r="AD365" s="428">
        <v>0</v>
      </c>
      <c r="AE365" s="428">
        <v>0</v>
      </c>
      <c r="AF365" s="428">
        <v>0</v>
      </c>
      <c r="AG365" s="428">
        <v>0</v>
      </c>
      <c r="AH365" s="428">
        <v>0</v>
      </c>
      <c r="AI365" s="428">
        <v>0</v>
      </c>
      <c r="AJ365" s="428">
        <v>0</v>
      </c>
      <c r="AK365" s="428">
        <v>0</v>
      </c>
      <c r="AL365" s="428">
        <v>0</v>
      </c>
      <c r="AM365" s="428">
        <v>0</v>
      </c>
      <c r="AN365" s="428">
        <v>0</v>
      </c>
    </row>
    <row r="366" spans="1:43" ht="19" customHeight="1" x14ac:dyDescent="0.35">
      <c r="A366" s="429">
        <v>6</v>
      </c>
      <c r="B366" s="427" t="str">
        <f>PETUNJUK!B14</f>
        <v>Pulodarat</v>
      </c>
      <c r="C366" s="428">
        <v>0</v>
      </c>
      <c r="D366" s="428">
        <v>0</v>
      </c>
      <c r="E366" s="428">
        <v>0</v>
      </c>
      <c r="F366" s="428">
        <v>0</v>
      </c>
      <c r="G366" s="428">
        <v>0</v>
      </c>
      <c r="H366" s="428">
        <v>0</v>
      </c>
      <c r="I366" s="428">
        <v>0</v>
      </c>
      <c r="J366" s="428">
        <v>0</v>
      </c>
      <c r="K366" s="428">
        <v>0</v>
      </c>
      <c r="L366" s="428">
        <v>0</v>
      </c>
      <c r="M366" s="428">
        <v>0</v>
      </c>
      <c r="N366" s="428">
        <v>0</v>
      </c>
      <c r="O366" s="428">
        <v>0</v>
      </c>
      <c r="P366" s="428">
        <v>0</v>
      </c>
      <c r="Q366" s="428">
        <v>0</v>
      </c>
      <c r="R366" s="428">
        <v>0</v>
      </c>
      <c r="S366" s="428">
        <v>0</v>
      </c>
      <c r="T366" s="428">
        <v>0</v>
      </c>
      <c r="U366" s="428">
        <v>0</v>
      </c>
      <c r="V366" s="428">
        <v>0</v>
      </c>
      <c r="W366" s="428">
        <v>0</v>
      </c>
      <c r="X366" s="428">
        <v>0</v>
      </c>
      <c r="Y366" s="428">
        <v>0</v>
      </c>
      <c r="Z366" s="428">
        <v>0</v>
      </c>
      <c r="AA366" s="428">
        <v>0</v>
      </c>
      <c r="AB366" s="428">
        <v>0</v>
      </c>
      <c r="AC366" s="428">
        <v>0</v>
      </c>
      <c r="AD366" s="428">
        <v>0</v>
      </c>
      <c r="AE366" s="428">
        <v>0</v>
      </c>
      <c r="AF366" s="428">
        <v>0</v>
      </c>
      <c r="AG366" s="428">
        <v>0</v>
      </c>
      <c r="AH366" s="428">
        <v>0</v>
      </c>
      <c r="AI366" s="428">
        <v>0</v>
      </c>
      <c r="AJ366" s="428">
        <v>0</v>
      </c>
      <c r="AK366" s="428">
        <v>0</v>
      </c>
      <c r="AL366" s="428">
        <v>0</v>
      </c>
      <c r="AM366" s="428">
        <v>0</v>
      </c>
      <c r="AN366" s="428">
        <v>0</v>
      </c>
    </row>
    <row r="367" spans="1:43" ht="19" customHeight="1" x14ac:dyDescent="0.35">
      <c r="A367" s="429">
        <v>7</v>
      </c>
      <c r="B367" s="427" t="str">
        <f>PETUNJUK!B15</f>
        <v>Karangrandu</v>
      </c>
      <c r="C367" s="428">
        <v>0</v>
      </c>
      <c r="D367" s="428">
        <v>0</v>
      </c>
      <c r="E367" s="428">
        <v>0</v>
      </c>
      <c r="F367" s="428">
        <v>0</v>
      </c>
      <c r="G367" s="428">
        <v>0</v>
      </c>
      <c r="H367" s="428">
        <v>0</v>
      </c>
      <c r="I367" s="428">
        <v>0</v>
      </c>
      <c r="J367" s="428">
        <v>0</v>
      </c>
      <c r="K367" s="428">
        <v>0</v>
      </c>
      <c r="L367" s="428">
        <v>0</v>
      </c>
      <c r="M367" s="428">
        <v>0</v>
      </c>
      <c r="N367" s="428">
        <v>0</v>
      </c>
      <c r="O367" s="428">
        <v>0</v>
      </c>
      <c r="P367" s="428">
        <v>0</v>
      </c>
      <c r="Q367" s="428">
        <v>0</v>
      </c>
      <c r="R367" s="428">
        <v>0</v>
      </c>
      <c r="S367" s="428">
        <v>0</v>
      </c>
      <c r="T367" s="428">
        <v>0</v>
      </c>
      <c r="U367" s="428">
        <v>0</v>
      </c>
      <c r="V367" s="428">
        <v>0</v>
      </c>
      <c r="W367" s="428">
        <v>0</v>
      </c>
      <c r="X367" s="428">
        <v>0</v>
      </c>
      <c r="Y367" s="428">
        <v>0</v>
      </c>
      <c r="Z367" s="428">
        <v>0</v>
      </c>
      <c r="AA367" s="428">
        <v>0</v>
      </c>
      <c r="AB367" s="428">
        <v>0</v>
      </c>
      <c r="AC367" s="428">
        <v>0</v>
      </c>
      <c r="AD367" s="428">
        <v>0</v>
      </c>
      <c r="AE367" s="428">
        <v>0</v>
      </c>
      <c r="AF367" s="428">
        <v>0</v>
      </c>
      <c r="AG367" s="428">
        <v>0</v>
      </c>
      <c r="AH367" s="428">
        <v>0</v>
      </c>
      <c r="AI367" s="428">
        <v>0</v>
      </c>
      <c r="AJ367" s="428">
        <v>0</v>
      </c>
      <c r="AK367" s="428">
        <v>0</v>
      </c>
      <c r="AL367" s="428">
        <v>0</v>
      </c>
      <c r="AM367" s="428">
        <v>0</v>
      </c>
      <c r="AN367" s="428">
        <v>0</v>
      </c>
    </row>
    <row r="368" spans="1:43" ht="19" customHeight="1" x14ac:dyDescent="0.35">
      <c r="A368" s="429">
        <v>8</v>
      </c>
      <c r="B368" s="427" t="str">
        <f>PETUNJUK!B16</f>
        <v>Kaliombo</v>
      </c>
      <c r="C368" s="428">
        <v>0</v>
      </c>
      <c r="D368" s="428">
        <v>0</v>
      </c>
      <c r="E368" s="428">
        <v>0</v>
      </c>
      <c r="F368" s="428">
        <v>0</v>
      </c>
      <c r="G368" s="428">
        <v>0</v>
      </c>
      <c r="H368" s="428">
        <v>0</v>
      </c>
      <c r="I368" s="428">
        <v>0</v>
      </c>
      <c r="J368" s="428">
        <v>0</v>
      </c>
      <c r="K368" s="428">
        <v>0</v>
      </c>
      <c r="L368" s="428">
        <v>0</v>
      </c>
      <c r="M368" s="428">
        <v>0</v>
      </c>
      <c r="N368" s="428">
        <v>0</v>
      </c>
      <c r="O368" s="428">
        <v>0</v>
      </c>
      <c r="P368" s="428">
        <v>0</v>
      </c>
      <c r="Q368" s="428">
        <v>0</v>
      </c>
      <c r="R368" s="428">
        <v>0</v>
      </c>
      <c r="S368" s="428">
        <v>0</v>
      </c>
      <c r="T368" s="428">
        <v>0</v>
      </c>
      <c r="U368" s="428">
        <v>0</v>
      </c>
      <c r="V368" s="428">
        <v>0</v>
      </c>
      <c r="W368" s="428">
        <v>0</v>
      </c>
      <c r="X368" s="428">
        <v>0</v>
      </c>
      <c r="Y368" s="428">
        <v>0</v>
      </c>
      <c r="Z368" s="428">
        <v>0</v>
      </c>
      <c r="AA368" s="428">
        <v>0</v>
      </c>
      <c r="AB368" s="428">
        <v>0</v>
      </c>
      <c r="AC368" s="428">
        <v>0</v>
      </c>
      <c r="AD368" s="428">
        <v>0</v>
      </c>
      <c r="AE368" s="428">
        <v>0</v>
      </c>
      <c r="AF368" s="428">
        <v>0</v>
      </c>
      <c r="AG368" s="428">
        <v>0</v>
      </c>
      <c r="AH368" s="428">
        <v>0</v>
      </c>
      <c r="AI368" s="428">
        <v>0</v>
      </c>
      <c r="AJ368" s="428">
        <v>0</v>
      </c>
      <c r="AK368" s="428">
        <v>0</v>
      </c>
      <c r="AL368" s="428">
        <v>0</v>
      </c>
      <c r="AM368" s="428">
        <v>0</v>
      </c>
      <c r="AN368" s="428">
        <v>0</v>
      </c>
    </row>
    <row r="369" spans="1:40" ht="19" customHeight="1" x14ac:dyDescent="0.35">
      <c r="A369" s="429">
        <v>9</v>
      </c>
      <c r="B369" s="427" t="str">
        <f>PETUNJUK!B17</f>
        <v>Gemulung</v>
      </c>
      <c r="C369" s="428">
        <v>0</v>
      </c>
      <c r="D369" s="428">
        <v>0</v>
      </c>
      <c r="E369" s="428">
        <v>0</v>
      </c>
      <c r="F369" s="428">
        <v>0</v>
      </c>
      <c r="G369" s="428">
        <v>0</v>
      </c>
      <c r="H369" s="428">
        <v>0</v>
      </c>
      <c r="I369" s="428">
        <v>0</v>
      </c>
      <c r="J369" s="428">
        <v>0</v>
      </c>
      <c r="K369" s="428">
        <v>0</v>
      </c>
      <c r="L369" s="428">
        <v>0</v>
      </c>
      <c r="M369" s="428">
        <v>0</v>
      </c>
      <c r="N369" s="428">
        <v>0</v>
      </c>
      <c r="O369" s="428">
        <v>0</v>
      </c>
      <c r="P369" s="428">
        <v>0</v>
      </c>
      <c r="Q369" s="428">
        <v>0</v>
      </c>
      <c r="R369" s="428">
        <v>0</v>
      </c>
      <c r="S369" s="428">
        <v>0</v>
      </c>
      <c r="T369" s="428">
        <v>0</v>
      </c>
      <c r="U369" s="428">
        <v>0</v>
      </c>
      <c r="V369" s="428">
        <v>0</v>
      </c>
      <c r="W369" s="428">
        <v>0</v>
      </c>
      <c r="X369" s="428">
        <v>0</v>
      </c>
      <c r="Y369" s="428">
        <v>0</v>
      </c>
      <c r="Z369" s="428">
        <v>0</v>
      </c>
      <c r="AA369" s="428">
        <v>0</v>
      </c>
      <c r="AB369" s="428">
        <v>0</v>
      </c>
      <c r="AC369" s="428">
        <v>0</v>
      </c>
      <c r="AD369" s="428">
        <v>0</v>
      </c>
      <c r="AE369" s="428">
        <v>0</v>
      </c>
      <c r="AF369" s="428">
        <v>0</v>
      </c>
      <c r="AG369" s="428">
        <v>0</v>
      </c>
      <c r="AH369" s="428">
        <v>0</v>
      </c>
      <c r="AI369" s="428">
        <v>0</v>
      </c>
      <c r="AJ369" s="428">
        <v>0</v>
      </c>
      <c r="AK369" s="428">
        <v>0</v>
      </c>
      <c r="AL369" s="428">
        <v>0</v>
      </c>
      <c r="AM369" s="428">
        <v>0</v>
      </c>
      <c r="AN369" s="428">
        <v>0</v>
      </c>
    </row>
    <row r="370" spans="1:40" ht="19" customHeight="1" x14ac:dyDescent="0.35">
      <c r="A370" s="429">
        <v>10</v>
      </c>
      <c r="B370" s="427" t="str">
        <f>PETUNJUK!B18</f>
        <v>Pecangaan Wetan</v>
      </c>
      <c r="C370" s="428">
        <v>0</v>
      </c>
      <c r="D370" s="428">
        <v>0</v>
      </c>
      <c r="E370" s="428">
        <v>0</v>
      </c>
      <c r="F370" s="428">
        <v>0</v>
      </c>
      <c r="G370" s="428">
        <v>0</v>
      </c>
      <c r="H370" s="428">
        <v>0</v>
      </c>
      <c r="I370" s="428">
        <v>0</v>
      </c>
      <c r="J370" s="428">
        <v>0</v>
      </c>
      <c r="K370" s="428">
        <v>0</v>
      </c>
      <c r="L370" s="428">
        <v>0</v>
      </c>
      <c r="M370" s="428">
        <v>0</v>
      </c>
      <c r="N370" s="428">
        <v>0</v>
      </c>
      <c r="O370" s="428">
        <v>0</v>
      </c>
      <c r="P370" s="428">
        <v>0</v>
      </c>
      <c r="Q370" s="428">
        <v>0</v>
      </c>
      <c r="R370" s="428">
        <v>0</v>
      </c>
      <c r="S370" s="428">
        <v>0</v>
      </c>
      <c r="T370" s="428">
        <v>0</v>
      </c>
      <c r="U370" s="428">
        <v>0</v>
      </c>
      <c r="V370" s="428">
        <v>0</v>
      </c>
      <c r="W370" s="428">
        <v>0</v>
      </c>
      <c r="X370" s="428">
        <v>0</v>
      </c>
      <c r="Y370" s="428">
        <v>0</v>
      </c>
      <c r="Z370" s="428">
        <v>0</v>
      </c>
      <c r="AA370" s="428">
        <v>0</v>
      </c>
      <c r="AB370" s="428">
        <v>0</v>
      </c>
      <c r="AC370" s="428">
        <v>0</v>
      </c>
      <c r="AD370" s="428">
        <v>0</v>
      </c>
      <c r="AE370" s="428">
        <v>0</v>
      </c>
      <c r="AF370" s="428">
        <v>0</v>
      </c>
      <c r="AG370" s="428">
        <v>0</v>
      </c>
      <c r="AH370" s="428">
        <v>0</v>
      </c>
      <c r="AI370" s="428">
        <v>0</v>
      </c>
      <c r="AJ370" s="428">
        <v>0</v>
      </c>
      <c r="AK370" s="428">
        <v>0</v>
      </c>
      <c r="AL370" s="428">
        <v>0</v>
      </c>
      <c r="AM370" s="428">
        <v>0</v>
      </c>
      <c r="AN370" s="428">
        <v>0</v>
      </c>
    </row>
    <row r="371" spans="1:40" ht="19" customHeight="1" x14ac:dyDescent="0.35">
      <c r="A371" s="429">
        <v>11</v>
      </c>
      <c r="B371" s="427" t="str">
        <f>PETUNJUK!B19</f>
        <v>Krasak</v>
      </c>
      <c r="C371" s="428">
        <v>0</v>
      </c>
      <c r="D371" s="428">
        <v>0</v>
      </c>
      <c r="E371" s="428">
        <v>0</v>
      </c>
      <c r="F371" s="428">
        <v>0</v>
      </c>
      <c r="G371" s="428">
        <v>0</v>
      </c>
      <c r="H371" s="428">
        <v>0</v>
      </c>
      <c r="I371" s="428">
        <v>0</v>
      </c>
      <c r="J371" s="428">
        <v>0</v>
      </c>
      <c r="K371" s="428">
        <v>0</v>
      </c>
      <c r="L371" s="428">
        <v>0</v>
      </c>
      <c r="M371" s="428">
        <v>0</v>
      </c>
      <c r="N371" s="428">
        <v>0</v>
      </c>
      <c r="O371" s="428">
        <v>0</v>
      </c>
      <c r="P371" s="428">
        <v>0</v>
      </c>
      <c r="Q371" s="428">
        <v>0</v>
      </c>
      <c r="R371" s="428">
        <v>0</v>
      </c>
      <c r="S371" s="428">
        <v>0</v>
      </c>
      <c r="T371" s="428">
        <v>0</v>
      </c>
      <c r="U371" s="428">
        <v>0</v>
      </c>
      <c r="V371" s="428">
        <v>0</v>
      </c>
      <c r="W371" s="428">
        <v>0</v>
      </c>
      <c r="X371" s="428">
        <v>0</v>
      </c>
      <c r="Y371" s="428">
        <v>0</v>
      </c>
      <c r="Z371" s="428">
        <v>0</v>
      </c>
      <c r="AA371" s="428">
        <v>0</v>
      </c>
      <c r="AB371" s="428">
        <v>0</v>
      </c>
      <c r="AC371" s="428">
        <v>0</v>
      </c>
      <c r="AD371" s="428">
        <v>0</v>
      </c>
      <c r="AE371" s="428">
        <v>0</v>
      </c>
      <c r="AF371" s="428">
        <v>0</v>
      </c>
      <c r="AG371" s="428">
        <v>0</v>
      </c>
      <c r="AH371" s="428">
        <v>0</v>
      </c>
      <c r="AI371" s="428">
        <v>0</v>
      </c>
      <c r="AJ371" s="428">
        <v>0</v>
      </c>
      <c r="AK371" s="428">
        <v>0</v>
      </c>
      <c r="AL371" s="428">
        <v>0</v>
      </c>
      <c r="AM371" s="428">
        <v>0</v>
      </c>
      <c r="AN371" s="428">
        <v>0</v>
      </c>
    </row>
    <row r="372" spans="1:40" ht="19" customHeight="1" x14ac:dyDescent="0.35">
      <c r="A372" s="429">
        <v>12</v>
      </c>
      <c r="B372" s="427" t="str">
        <f>PETUNJUK!B20</f>
        <v>Gerdu</v>
      </c>
      <c r="C372" s="428">
        <v>0</v>
      </c>
      <c r="D372" s="428">
        <v>0</v>
      </c>
      <c r="E372" s="428">
        <v>0</v>
      </c>
      <c r="F372" s="428">
        <v>0</v>
      </c>
      <c r="G372" s="428">
        <v>0</v>
      </c>
      <c r="H372" s="428">
        <v>0</v>
      </c>
      <c r="I372" s="428">
        <v>0</v>
      </c>
      <c r="J372" s="428">
        <v>0</v>
      </c>
      <c r="K372" s="428">
        <v>0</v>
      </c>
      <c r="L372" s="428">
        <v>0</v>
      </c>
      <c r="M372" s="428">
        <v>0</v>
      </c>
      <c r="N372" s="428">
        <v>0</v>
      </c>
      <c r="O372" s="428">
        <v>0</v>
      </c>
      <c r="P372" s="428">
        <v>0</v>
      </c>
      <c r="Q372" s="428">
        <v>0</v>
      </c>
      <c r="R372" s="428">
        <v>0</v>
      </c>
      <c r="S372" s="428">
        <v>0</v>
      </c>
      <c r="T372" s="428">
        <v>0</v>
      </c>
      <c r="U372" s="428">
        <v>0</v>
      </c>
      <c r="V372" s="428">
        <v>0</v>
      </c>
      <c r="W372" s="428">
        <v>0</v>
      </c>
      <c r="X372" s="428">
        <v>0</v>
      </c>
      <c r="Y372" s="428">
        <v>0</v>
      </c>
      <c r="Z372" s="428">
        <v>0</v>
      </c>
      <c r="AA372" s="428">
        <v>0</v>
      </c>
      <c r="AB372" s="428">
        <v>0</v>
      </c>
      <c r="AC372" s="428">
        <v>0</v>
      </c>
      <c r="AD372" s="428">
        <v>0</v>
      </c>
      <c r="AE372" s="428">
        <v>0</v>
      </c>
      <c r="AF372" s="428">
        <v>0</v>
      </c>
      <c r="AG372" s="428">
        <v>0</v>
      </c>
      <c r="AH372" s="428">
        <v>0</v>
      </c>
      <c r="AI372" s="428">
        <v>0</v>
      </c>
      <c r="AJ372" s="428">
        <v>0</v>
      </c>
      <c r="AK372" s="428">
        <v>0</v>
      </c>
      <c r="AL372" s="428">
        <v>0</v>
      </c>
      <c r="AM372" s="428">
        <v>0</v>
      </c>
      <c r="AN372" s="428">
        <v>0</v>
      </c>
    </row>
    <row r="373" spans="1:40" ht="19" customHeight="1" x14ac:dyDescent="0.35">
      <c r="A373" s="429">
        <v>13</v>
      </c>
      <c r="B373" s="427">
        <f>PETUNJUK!B21</f>
        <v>0</v>
      </c>
      <c r="C373" s="428">
        <v>0</v>
      </c>
      <c r="D373" s="428">
        <v>0</v>
      </c>
      <c r="E373" s="428">
        <v>0</v>
      </c>
      <c r="F373" s="428">
        <v>0</v>
      </c>
      <c r="G373" s="428">
        <v>0</v>
      </c>
      <c r="H373" s="428">
        <v>0</v>
      </c>
      <c r="I373" s="428">
        <v>0</v>
      </c>
      <c r="J373" s="428">
        <v>0</v>
      </c>
      <c r="K373" s="428">
        <v>0</v>
      </c>
      <c r="L373" s="428">
        <v>0</v>
      </c>
      <c r="M373" s="428">
        <v>0</v>
      </c>
      <c r="N373" s="428">
        <v>0</v>
      </c>
      <c r="O373" s="428">
        <v>0</v>
      </c>
      <c r="P373" s="428">
        <v>0</v>
      </c>
      <c r="Q373" s="428">
        <v>0</v>
      </c>
      <c r="R373" s="428">
        <v>0</v>
      </c>
      <c r="S373" s="428">
        <v>0</v>
      </c>
      <c r="T373" s="428">
        <v>0</v>
      </c>
      <c r="U373" s="428">
        <v>0</v>
      </c>
      <c r="V373" s="428">
        <v>0</v>
      </c>
      <c r="W373" s="428">
        <v>0</v>
      </c>
      <c r="X373" s="428">
        <v>0</v>
      </c>
      <c r="Y373" s="428">
        <v>0</v>
      </c>
      <c r="Z373" s="428">
        <v>0</v>
      </c>
      <c r="AA373" s="428">
        <v>0</v>
      </c>
      <c r="AB373" s="428">
        <v>0</v>
      </c>
      <c r="AC373" s="428">
        <v>0</v>
      </c>
      <c r="AD373" s="428">
        <v>0</v>
      </c>
      <c r="AE373" s="428">
        <v>0</v>
      </c>
      <c r="AF373" s="428">
        <v>0</v>
      </c>
      <c r="AG373" s="428">
        <v>0</v>
      </c>
      <c r="AH373" s="428">
        <v>0</v>
      </c>
      <c r="AI373" s="428">
        <v>0</v>
      </c>
      <c r="AJ373" s="428">
        <v>0</v>
      </c>
      <c r="AK373" s="428">
        <v>0</v>
      </c>
      <c r="AL373" s="428">
        <v>0</v>
      </c>
      <c r="AM373" s="428">
        <v>0</v>
      </c>
      <c r="AN373" s="428">
        <v>0</v>
      </c>
    </row>
    <row r="374" spans="1:40" ht="19" customHeight="1" x14ac:dyDescent="0.35">
      <c r="A374" s="429">
        <v>14</v>
      </c>
      <c r="B374" s="427">
        <f>PETUNJUK!B22</f>
        <v>0</v>
      </c>
      <c r="C374" s="428">
        <v>0</v>
      </c>
      <c r="D374" s="428">
        <v>0</v>
      </c>
      <c r="E374" s="428">
        <v>0</v>
      </c>
      <c r="F374" s="428">
        <v>0</v>
      </c>
      <c r="G374" s="428">
        <v>0</v>
      </c>
      <c r="H374" s="428">
        <v>0</v>
      </c>
      <c r="I374" s="428">
        <v>0</v>
      </c>
      <c r="J374" s="428">
        <v>0</v>
      </c>
      <c r="K374" s="428">
        <v>0</v>
      </c>
      <c r="L374" s="428">
        <v>0</v>
      </c>
      <c r="M374" s="428">
        <v>0</v>
      </c>
      <c r="N374" s="428">
        <v>0</v>
      </c>
      <c r="O374" s="428">
        <v>0</v>
      </c>
      <c r="P374" s="428">
        <v>0</v>
      </c>
      <c r="Q374" s="428">
        <v>0</v>
      </c>
      <c r="R374" s="428">
        <v>0</v>
      </c>
      <c r="S374" s="428">
        <v>0</v>
      </c>
      <c r="T374" s="428">
        <v>0</v>
      </c>
      <c r="U374" s="428">
        <v>0</v>
      </c>
      <c r="V374" s="428">
        <v>0</v>
      </c>
      <c r="W374" s="428">
        <v>0</v>
      </c>
      <c r="X374" s="428">
        <v>0</v>
      </c>
      <c r="Y374" s="428">
        <v>0</v>
      </c>
      <c r="Z374" s="428">
        <v>0</v>
      </c>
      <c r="AA374" s="428">
        <v>0</v>
      </c>
      <c r="AB374" s="428">
        <v>0</v>
      </c>
      <c r="AC374" s="428">
        <v>0</v>
      </c>
      <c r="AD374" s="428">
        <v>0</v>
      </c>
      <c r="AE374" s="428">
        <v>0</v>
      </c>
      <c r="AF374" s="428">
        <v>0</v>
      </c>
      <c r="AG374" s="428">
        <v>0</v>
      </c>
      <c r="AH374" s="428">
        <v>0</v>
      </c>
      <c r="AI374" s="428">
        <v>0</v>
      </c>
      <c r="AJ374" s="428">
        <v>0</v>
      </c>
      <c r="AK374" s="428">
        <v>0</v>
      </c>
      <c r="AL374" s="428">
        <v>0</v>
      </c>
      <c r="AM374" s="428">
        <v>0</v>
      </c>
      <c r="AN374" s="428">
        <v>0</v>
      </c>
    </row>
    <row r="375" spans="1:40" ht="19" customHeight="1" x14ac:dyDescent="0.35">
      <c r="A375" s="429">
        <v>15</v>
      </c>
      <c r="B375" s="427">
        <f>PETUNJUK!B23</f>
        <v>0</v>
      </c>
      <c r="C375" s="428">
        <v>0</v>
      </c>
      <c r="D375" s="428">
        <v>0</v>
      </c>
      <c r="E375" s="428">
        <v>0</v>
      </c>
      <c r="F375" s="428">
        <v>0</v>
      </c>
      <c r="G375" s="428">
        <v>0</v>
      </c>
      <c r="H375" s="428">
        <v>0</v>
      </c>
      <c r="I375" s="428">
        <v>0</v>
      </c>
      <c r="J375" s="428">
        <v>0</v>
      </c>
      <c r="K375" s="428">
        <v>0</v>
      </c>
      <c r="L375" s="428">
        <v>0</v>
      </c>
      <c r="M375" s="428">
        <v>0</v>
      </c>
      <c r="N375" s="428">
        <v>0</v>
      </c>
      <c r="O375" s="428">
        <v>0</v>
      </c>
      <c r="P375" s="428">
        <v>0</v>
      </c>
      <c r="Q375" s="428">
        <v>0</v>
      </c>
      <c r="R375" s="428">
        <v>0</v>
      </c>
      <c r="S375" s="428">
        <v>0</v>
      </c>
      <c r="T375" s="428">
        <v>0</v>
      </c>
      <c r="U375" s="428">
        <v>0</v>
      </c>
      <c r="V375" s="428">
        <v>0</v>
      </c>
      <c r="W375" s="428">
        <v>0</v>
      </c>
      <c r="X375" s="428">
        <v>0</v>
      </c>
      <c r="Y375" s="428">
        <v>0</v>
      </c>
      <c r="Z375" s="428">
        <v>0</v>
      </c>
      <c r="AA375" s="428">
        <v>0</v>
      </c>
      <c r="AB375" s="428">
        <v>0</v>
      </c>
      <c r="AC375" s="428">
        <v>0</v>
      </c>
      <c r="AD375" s="428">
        <v>0</v>
      </c>
      <c r="AE375" s="428">
        <v>0</v>
      </c>
      <c r="AF375" s="428">
        <v>0</v>
      </c>
      <c r="AG375" s="428">
        <v>0</v>
      </c>
      <c r="AH375" s="428">
        <v>0</v>
      </c>
      <c r="AI375" s="428">
        <v>0</v>
      </c>
      <c r="AJ375" s="428">
        <v>0</v>
      </c>
      <c r="AK375" s="428">
        <v>0</v>
      </c>
      <c r="AL375" s="428">
        <v>0</v>
      </c>
      <c r="AM375" s="428">
        <v>0</v>
      </c>
      <c r="AN375" s="428">
        <v>0</v>
      </c>
    </row>
    <row r="376" spans="1:40" s="160" customFormat="1" ht="19" customHeight="1" x14ac:dyDescent="0.35">
      <c r="A376" s="429">
        <v>16</v>
      </c>
      <c r="B376" s="427">
        <f>PETUNJUK!B24</f>
        <v>0</v>
      </c>
      <c r="C376" s="428">
        <v>0</v>
      </c>
      <c r="D376" s="428">
        <v>0</v>
      </c>
      <c r="E376" s="428">
        <v>0</v>
      </c>
      <c r="F376" s="428">
        <v>0</v>
      </c>
      <c r="G376" s="428">
        <v>0</v>
      </c>
      <c r="H376" s="428">
        <v>0</v>
      </c>
      <c r="I376" s="428">
        <v>0</v>
      </c>
      <c r="J376" s="428">
        <v>0</v>
      </c>
      <c r="K376" s="428">
        <v>0</v>
      </c>
      <c r="L376" s="428">
        <v>0</v>
      </c>
      <c r="M376" s="428">
        <v>0</v>
      </c>
      <c r="N376" s="428">
        <v>0</v>
      </c>
      <c r="O376" s="428">
        <v>0</v>
      </c>
      <c r="P376" s="428">
        <v>0</v>
      </c>
      <c r="Q376" s="428">
        <v>0</v>
      </c>
      <c r="R376" s="428">
        <v>0</v>
      </c>
      <c r="S376" s="428">
        <v>0</v>
      </c>
      <c r="T376" s="428">
        <v>0</v>
      </c>
      <c r="U376" s="428">
        <v>0</v>
      </c>
      <c r="V376" s="428">
        <v>0</v>
      </c>
      <c r="W376" s="428">
        <v>0</v>
      </c>
      <c r="X376" s="428">
        <v>0</v>
      </c>
      <c r="Y376" s="428">
        <v>0</v>
      </c>
      <c r="Z376" s="428">
        <v>0</v>
      </c>
      <c r="AA376" s="428">
        <v>0</v>
      </c>
      <c r="AB376" s="428">
        <v>0</v>
      </c>
      <c r="AC376" s="428">
        <v>0</v>
      </c>
      <c r="AD376" s="428">
        <v>0</v>
      </c>
      <c r="AE376" s="428">
        <v>0</v>
      </c>
      <c r="AF376" s="428">
        <v>0</v>
      </c>
      <c r="AG376" s="428">
        <v>0</v>
      </c>
      <c r="AH376" s="428">
        <v>0</v>
      </c>
      <c r="AI376" s="428">
        <v>0</v>
      </c>
      <c r="AJ376" s="428">
        <v>0</v>
      </c>
      <c r="AK376" s="428">
        <v>0</v>
      </c>
      <c r="AL376" s="428">
        <v>0</v>
      </c>
      <c r="AM376" s="428">
        <v>0</v>
      </c>
      <c r="AN376" s="428">
        <v>0</v>
      </c>
    </row>
    <row r="377" spans="1:40" s="160" customFormat="1" ht="19" customHeight="1" x14ac:dyDescent="0.35">
      <c r="A377" s="429">
        <v>17</v>
      </c>
      <c r="B377" s="427">
        <f>PETUNJUK!B25</f>
        <v>0</v>
      </c>
      <c r="C377" s="428">
        <v>0</v>
      </c>
      <c r="D377" s="428">
        <v>0</v>
      </c>
      <c r="E377" s="428">
        <v>0</v>
      </c>
      <c r="F377" s="428">
        <v>0</v>
      </c>
      <c r="G377" s="428">
        <v>0</v>
      </c>
      <c r="H377" s="428">
        <v>0</v>
      </c>
      <c r="I377" s="428">
        <v>0</v>
      </c>
      <c r="J377" s="428">
        <v>0</v>
      </c>
      <c r="K377" s="428">
        <v>0</v>
      </c>
      <c r="L377" s="428">
        <v>0</v>
      </c>
      <c r="M377" s="428">
        <v>0</v>
      </c>
      <c r="N377" s="428">
        <v>0</v>
      </c>
      <c r="O377" s="428">
        <v>0</v>
      </c>
      <c r="P377" s="428">
        <v>0</v>
      </c>
      <c r="Q377" s="428">
        <v>0</v>
      </c>
      <c r="R377" s="428">
        <v>0</v>
      </c>
      <c r="S377" s="428">
        <v>0</v>
      </c>
      <c r="T377" s="428">
        <v>0</v>
      </c>
      <c r="U377" s="428">
        <v>0</v>
      </c>
      <c r="V377" s="428">
        <v>0</v>
      </c>
      <c r="W377" s="428">
        <v>0</v>
      </c>
      <c r="X377" s="428">
        <v>0</v>
      </c>
      <c r="Y377" s="428">
        <v>0</v>
      </c>
      <c r="Z377" s="428">
        <v>0</v>
      </c>
      <c r="AA377" s="428">
        <v>0</v>
      </c>
      <c r="AB377" s="428">
        <v>0</v>
      </c>
      <c r="AC377" s="428">
        <v>0</v>
      </c>
      <c r="AD377" s="428">
        <v>0</v>
      </c>
      <c r="AE377" s="428">
        <v>0</v>
      </c>
      <c r="AF377" s="428">
        <v>0</v>
      </c>
      <c r="AG377" s="428">
        <v>0</v>
      </c>
      <c r="AH377" s="428">
        <v>0</v>
      </c>
      <c r="AI377" s="428">
        <v>0</v>
      </c>
      <c r="AJ377" s="428">
        <v>0</v>
      </c>
      <c r="AK377" s="428">
        <v>0</v>
      </c>
      <c r="AL377" s="428">
        <v>0</v>
      </c>
      <c r="AM377" s="428">
        <v>0</v>
      </c>
      <c r="AN377" s="428">
        <v>0</v>
      </c>
    </row>
    <row r="378" spans="1:40" s="160" customFormat="1" ht="19" customHeight="1" x14ac:dyDescent="0.35">
      <c r="A378" s="429">
        <v>18</v>
      </c>
      <c r="B378" s="427">
        <f>PETUNJUK!B26</f>
        <v>0</v>
      </c>
      <c r="C378" s="428">
        <v>0</v>
      </c>
      <c r="D378" s="428">
        <v>0</v>
      </c>
      <c r="E378" s="428">
        <v>0</v>
      </c>
      <c r="F378" s="428">
        <v>0</v>
      </c>
      <c r="G378" s="428">
        <v>0</v>
      </c>
      <c r="H378" s="428">
        <v>0</v>
      </c>
      <c r="I378" s="428">
        <v>0</v>
      </c>
      <c r="J378" s="428">
        <v>0</v>
      </c>
      <c r="K378" s="428">
        <v>0</v>
      </c>
      <c r="L378" s="428">
        <v>0</v>
      </c>
      <c r="M378" s="428">
        <v>0</v>
      </c>
      <c r="N378" s="428">
        <v>0</v>
      </c>
      <c r="O378" s="428">
        <v>0</v>
      </c>
      <c r="P378" s="428">
        <v>0</v>
      </c>
      <c r="Q378" s="428">
        <v>0</v>
      </c>
      <c r="R378" s="428">
        <v>0</v>
      </c>
      <c r="S378" s="428">
        <v>0</v>
      </c>
      <c r="T378" s="428">
        <v>0</v>
      </c>
      <c r="U378" s="428">
        <v>0</v>
      </c>
      <c r="V378" s="428">
        <v>0</v>
      </c>
      <c r="W378" s="428">
        <v>0</v>
      </c>
      <c r="X378" s="428">
        <v>0</v>
      </c>
      <c r="Y378" s="428">
        <v>0</v>
      </c>
      <c r="Z378" s="428">
        <v>0</v>
      </c>
      <c r="AA378" s="428">
        <v>0</v>
      </c>
      <c r="AB378" s="428">
        <v>0</v>
      </c>
      <c r="AC378" s="428">
        <v>0</v>
      </c>
      <c r="AD378" s="428">
        <v>0</v>
      </c>
      <c r="AE378" s="428">
        <v>0</v>
      </c>
      <c r="AF378" s="428">
        <v>0</v>
      </c>
      <c r="AG378" s="428">
        <v>0</v>
      </c>
      <c r="AH378" s="428">
        <v>0</v>
      </c>
      <c r="AI378" s="428">
        <v>0</v>
      </c>
      <c r="AJ378" s="428">
        <v>0</v>
      </c>
      <c r="AK378" s="428">
        <v>0</v>
      </c>
      <c r="AL378" s="428">
        <v>0</v>
      </c>
      <c r="AM378" s="428">
        <v>0</v>
      </c>
      <c r="AN378" s="428">
        <v>0</v>
      </c>
    </row>
    <row r="379" spans="1:40" s="160" customFormat="1" ht="19" customHeight="1" x14ac:dyDescent="0.35">
      <c r="A379" s="429">
        <v>19</v>
      </c>
      <c r="B379" s="427">
        <f>PETUNJUK!B27</f>
        <v>0</v>
      </c>
      <c r="C379" s="428">
        <v>0</v>
      </c>
      <c r="D379" s="428">
        <v>0</v>
      </c>
      <c r="E379" s="428">
        <v>0</v>
      </c>
      <c r="F379" s="428">
        <v>0</v>
      </c>
      <c r="G379" s="428">
        <v>0</v>
      </c>
      <c r="H379" s="428">
        <v>0</v>
      </c>
      <c r="I379" s="428">
        <v>0</v>
      </c>
      <c r="J379" s="428">
        <v>0</v>
      </c>
      <c r="K379" s="428">
        <v>0</v>
      </c>
      <c r="L379" s="428">
        <v>0</v>
      </c>
      <c r="M379" s="428">
        <v>0</v>
      </c>
      <c r="N379" s="428">
        <v>0</v>
      </c>
      <c r="O379" s="428">
        <v>0</v>
      </c>
      <c r="P379" s="428">
        <v>0</v>
      </c>
      <c r="Q379" s="428">
        <v>0</v>
      </c>
      <c r="R379" s="428">
        <v>0</v>
      </c>
      <c r="S379" s="428">
        <v>0</v>
      </c>
      <c r="T379" s="428">
        <v>0</v>
      </c>
      <c r="U379" s="428">
        <v>0</v>
      </c>
      <c r="V379" s="428">
        <v>0</v>
      </c>
      <c r="W379" s="428">
        <v>0</v>
      </c>
      <c r="X379" s="428">
        <v>0</v>
      </c>
      <c r="Y379" s="428">
        <v>0</v>
      </c>
      <c r="Z379" s="428">
        <v>0</v>
      </c>
      <c r="AA379" s="428">
        <v>0</v>
      </c>
      <c r="AB379" s="428">
        <v>0</v>
      </c>
      <c r="AC379" s="428">
        <v>0</v>
      </c>
      <c r="AD379" s="428">
        <v>0</v>
      </c>
      <c r="AE379" s="428">
        <v>0</v>
      </c>
      <c r="AF379" s="428">
        <v>0</v>
      </c>
      <c r="AG379" s="428">
        <v>0</v>
      </c>
      <c r="AH379" s="428">
        <v>0</v>
      </c>
      <c r="AI379" s="428">
        <v>0</v>
      </c>
      <c r="AJ379" s="428">
        <v>0</v>
      </c>
      <c r="AK379" s="428">
        <v>0</v>
      </c>
      <c r="AL379" s="428">
        <v>0</v>
      </c>
      <c r="AM379" s="428">
        <v>0</v>
      </c>
      <c r="AN379" s="428">
        <v>0</v>
      </c>
    </row>
    <row r="380" spans="1:40" s="160" customFormat="1" ht="19" customHeight="1" x14ac:dyDescent="0.35">
      <c r="A380" s="429">
        <v>20</v>
      </c>
      <c r="B380" s="427">
        <f>PETUNJUK!B28</f>
        <v>0</v>
      </c>
      <c r="C380" s="428">
        <v>0</v>
      </c>
      <c r="D380" s="428">
        <v>0</v>
      </c>
      <c r="E380" s="428">
        <v>0</v>
      </c>
      <c r="F380" s="428">
        <v>0</v>
      </c>
      <c r="G380" s="428">
        <v>0</v>
      </c>
      <c r="H380" s="428">
        <v>0</v>
      </c>
      <c r="I380" s="428">
        <v>0</v>
      </c>
      <c r="J380" s="428">
        <v>0</v>
      </c>
      <c r="K380" s="428">
        <v>0</v>
      </c>
      <c r="L380" s="428">
        <v>0</v>
      </c>
      <c r="M380" s="428">
        <v>0</v>
      </c>
      <c r="N380" s="428">
        <v>0</v>
      </c>
      <c r="O380" s="428">
        <v>0</v>
      </c>
      <c r="P380" s="428">
        <v>0</v>
      </c>
      <c r="Q380" s="428">
        <v>0</v>
      </c>
      <c r="R380" s="428">
        <v>0</v>
      </c>
      <c r="S380" s="428">
        <v>0</v>
      </c>
      <c r="T380" s="428">
        <v>0</v>
      </c>
      <c r="U380" s="428">
        <v>0</v>
      </c>
      <c r="V380" s="428">
        <v>0</v>
      </c>
      <c r="W380" s="428">
        <v>0</v>
      </c>
      <c r="X380" s="428">
        <v>0</v>
      </c>
      <c r="Y380" s="428">
        <v>0</v>
      </c>
      <c r="Z380" s="428">
        <v>0</v>
      </c>
      <c r="AA380" s="428">
        <v>0</v>
      </c>
      <c r="AB380" s="428">
        <v>0</v>
      </c>
      <c r="AC380" s="428">
        <v>0</v>
      </c>
      <c r="AD380" s="428">
        <v>0</v>
      </c>
      <c r="AE380" s="428">
        <v>0</v>
      </c>
      <c r="AF380" s="428">
        <v>0</v>
      </c>
      <c r="AG380" s="428">
        <v>0</v>
      </c>
      <c r="AH380" s="428">
        <v>0</v>
      </c>
      <c r="AI380" s="428">
        <v>0</v>
      </c>
      <c r="AJ380" s="428">
        <v>0</v>
      </c>
      <c r="AK380" s="428">
        <v>0</v>
      </c>
      <c r="AL380" s="428">
        <v>0</v>
      </c>
      <c r="AM380" s="428">
        <v>0</v>
      </c>
      <c r="AN380" s="428">
        <v>0</v>
      </c>
    </row>
    <row r="381" spans="1:40" ht="19" customHeight="1" x14ac:dyDescent="0.35">
      <c r="A381" s="429">
        <v>21</v>
      </c>
      <c r="B381" s="427">
        <f>PETUNJUK!B29</f>
        <v>0</v>
      </c>
      <c r="C381" s="428">
        <v>0</v>
      </c>
      <c r="D381" s="428">
        <v>0</v>
      </c>
      <c r="E381" s="428">
        <v>0</v>
      </c>
      <c r="F381" s="428">
        <v>0</v>
      </c>
      <c r="G381" s="428">
        <v>0</v>
      </c>
      <c r="H381" s="428">
        <v>0</v>
      </c>
      <c r="I381" s="428">
        <v>0</v>
      </c>
      <c r="J381" s="428">
        <v>0</v>
      </c>
      <c r="K381" s="428">
        <v>0</v>
      </c>
      <c r="L381" s="428">
        <v>0</v>
      </c>
      <c r="M381" s="428">
        <v>0</v>
      </c>
      <c r="N381" s="428">
        <v>0</v>
      </c>
      <c r="O381" s="428">
        <v>0</v>
      </c>
      <c r="P381" s="428">
        <v>0</v>
      </c>
      <c r="Q381" s="428">
        <v>0</v>
      </c>
      <c r="R381" s="428">
        <v>0</v>
      </c>
      <c r="S381" s="428">
        <v>0</v>
      </c>
      <c r="T381" s="428">
        <v>0</v>
      </c>
      <c r="U381" s="428">
        <v>0</v>
      </c>
      <c r="V381" s="428">
        <v>0</v>
      </c>
      <c r="W381" s="428">
        <v>0</v>
      </c>
      <c r="X381" s="428">
        <v>0</v>
      </c>
      <c r="Y381" s="428">
        <v>0</v>
      </c>
      <c r="Z381" s="428">
        <v>0</v>
      </c>
      <c r="AA381" s="428">
        <v>0</v>
      </c>
      <c r="AB381" s="428">
        <v>0</v>
      </c>
      <c r="AC381" s="428">
        <v>0</v>
      </c>
      <c r="AD381" s="428">
        <v>0</v>
      </c>
      <c r="AE381" s="428">
        <v>0</v>
      </c>
      <c r="AF381" s="428">
        <v>0</v>
      </c>
      <c r="AG381" s="428">
        <v>0</v>
      </c>
      <c r="AH381" s="428">
        <v>0</v>
      </c>
      <c r="AI381" s="428">
        <v>0</v>
      </c>
      <c r="AJ381" s="428">
        <v>0</v>
      </c>
      <c r="AK381" s="428">
        <v>0</v>
      </c>
      <c r="AL381" s="428">
        <v>0</v>
      </c>
      <c r="AM381" s="428">
        <v>0</v>
      </c>
      <c r="AN381" s="428">
        <v>0</v>
      </c>
    </row>
    <row r="382" spans="1:40" ht="19" customHeight="1" x14ac:dyDescent="0.35">
      <c r="A382" s="429">
        <v>22</v>
      </c>
      <c r="B382" s="427">
        <f>PETUNJUK!B30</f>
        <v>0</v>
      </c>
      <c r="C382" s="428">
        <v>0</v>
      </c>
      <c r="D382" s="428">
        <v>0</v>
      </c>
      <c r="E382" s="428">
        <v>0</v>
      </c>
      <c r="F382" s="428">
        <v>0</v>
      </c>
      <c r="G382" s="428">
        <v>0</v>
      </c>
      <c r="H382" s="428">
        <v>0</v>
      </c>
      <c r="I382" s="428">
        <v>0</v>
      </c>
      <c r="J382" s="428">
        <v>0</v>
      </c>
      <c r="K382" s="428">
        <v>0</v>
      </c>
      <c r="L382" s="428">
        <v>0</v>
      </c>
      <c r="M382" s="428">
        <v>0</v>
      </c>
      <c r="N382" s="428">
        <v>0</v>
      </c>
      <c r="O382" s="428">
        <v>0</v>
      </c>
      <c r="P382" s="428">
        <v>0</v>
      </c>
      <c r="Q382" s="428">
        <v>0</v>
      </c>
      <c r="R382" s="428">
        <v>0</v>
      </c>
      <c r="S382" s="428">
        <v>0</v>
      </c>
      <c r="T382" s="428">
        <v>0</v>
      </c>
      <c r="U382" s="428">
        <v>0</v>
      </c>
      <c r="V382" s="428">
        <v>0</v>
      </c>
      <c r="W382" s="428">
        <v>0</v>
      </c>
      <c r="X382" s="428">
        <v>0</v>
      </c>
      <c r="Y382" s="428">
        <v>0</v>
      </c>
      <c r="Z382" s="428">
        <v>0</v>
      </c>
      <c r="AA382" s="428">
        <v>0</v>
      </c>
      <c r="AB382" s="428">
        <v>0</v>
      </c>
      <c r="AC382" s="428">
        <v>0</v>
      </c>
      <c r="AD382" s="428">
        <v>0</v>
      </c>
      <c r="AE382" s="428">
        <v>0</v>
      </c>
      <c r="AF382" s="428">
        <v>0</v>
      </c>
      <c r="AG382" s="428">
        <v>0</v>
      </c>
      <c r="AH382" s="428">
        <v>0</v>
      </c>
      <c r="AI382" s="428">
        <v>0</v>
      </c>
      <c r="AJ382" s="428">
        <v>0</v>
      </c>
      <c r="AK382" s="428">
        <v>0</v>
      </c>
      <c r="AL382" s="428">
        <v>0</v>
      </c>
      <c r="AM382" s="428">
        <v>0</v>
      </c>
      <c r="AN382" s="428">
        <v>0</v>
      </c>
    </row>
    <row r="383" spans="1:40" s="421" customFormat="1" ht="19" customHeight="1" x14ac:dyDescent="0.35">
      <c r="A383" s="468"/>
      <c r="B383" s="419" t="s">
        <v>17</v>
      </c>
      <c r="C383" s="465">
        <f>SUM(C361:C382)</f>
        <v>0</v>
      </c>
      <c r="D383" s="465">
        <f t="shared" ref="D383:AI383" si="54">SUM(D361:D382)</f>
        <v>0</v>
      </c>
      <c r="E383" s="465">
        <f t="shared" si="54"/>
        <v>0</v>
      </c>
      <c r="F383" s="465">
        <f t="shared" si="54"/>
        <v>0</v>
      </c>
      <c r="G383" s="465">
        <f t="shared" si="54"/>
        <v>0</v>
      </c>
      <c r="H383" s="465">
        <f t="shared" si="54"/>
        <v>0</v>
      </c>
      <c r="I383" s="465">
        <f t="shared" si="54"/>
        <v>0</v>
      </c>
      <c r="J383" s="465">
        <f t="shared" si="54"/>
        <v>0</v>
      </c>
      <c r="K383" s="465">
        <f t="shared" si="54"/>
        <v>0</v>
      </c>
      <c r="L383" s="465">
        <f t="shared" si="54"/>
        <v>0</v>
      </c>
      <c r="M383" s="465">
        <f t="shared" si="54"/>
        <v>0</v>
      </c>
      <c r="N383" s="465">
        <f t="shared" si="54"/>
        <v>0</v>
      </c>
      <c r="O383" s="465">
        <f t="shared" si="54"/>
        <v>0</v>
      </c>
      <c r="P383" s="465">
        <f t="shared" si="54"/>
        <v>0</v>
      </c>
      <c r="Q383" s="465">
        <f t="shared" si="54"/>
        <v>0</v>
      </c>
      <c r="R383" s="465">
        <f t="shared" si="54"/>
        <v>0</v>
      </c>
      <c r="S383" s="465">
        <f t="shared" si="54"/>
        <v>0</v>
      </c>
      <c r="T383" s="465">
        <f t="shared" si="54"/>
        <v>0</v>
      </c>
      <c r="U383" s="465">
        <f t="shared" si="54"/>
        <v>0</v>
      </c>
      <c r="V383" s="465">
        <f t="shared" si="54"/>
        <v>0</v>
      </c>
      <c r="W383" s="465">
        <f t="shared" si="54"/>
        <v>0</v>
      </c>
      <c r="X383" s="465">
        <f t="shared" si="54"/>
        <v>0</v>
      </c>
      <c r="Y383" s="465">
        <f t="shared" si="54"/>
        <v>0</v>
      </c>
      <c r="Z383" s="465">
        <f t="shared" si="54"/>
        <v>0</v>
      </c>
      <c r="AA383" s="465">
        <f t="shared" si="54"/>
        <v>0</v>
      </c>
      <c r="AB383" s="465">
        <f t="shared" si="54"/>
        <v>0</v>
      </c>
      <c r="AC383" s="465">
        <f t="shared" si="54"/>
        <v>0</v>
      </c>
      <c r="AD383" s="465">
        <f t="shared" si="54"/>
        <v>0</v>
      </c>
      <c r="AE383" s="465">
        <f t="shared" si="54"/>
        <v>0</v>
      </c>
      <c r="AF383" s="465">
        <f t="shared" si="54"/>
        <v>0</v>
      </c>
      <c r="AG383" s="465">
        <f t="shared" si="54"/>
        <v>0</v>
      </c>
      <c r="AH383" s="465">
        <f t="shared" si="54"/>
        <v>0</v>
      </c>
      <c r="AI383" s="465">
        <f t="shared" si="54"/>
        <v>0</v>
      </c>
      <c r="AJ383" s="677">
        <f t="shared" ref="AJ383:AN383" si="55">SUM(AJ361:AJ382)</f>
        <v>0</v>
      </c>
      <c r="AK383" s="677">
        <f t="shared" si="55"/>
        <v>0</v>
      </c>
      <c r="AL383" s="677">
        <f t="shared" si="55"/>
        <v>0</v>
      </c>
      <c r="AM383" s="677">
        <f t="shared" si="55"/>
        <v>0</v>
      </c>
      <c r="AN383" s="677">
        <f t="shared" si="55"/>
        <v>0</v>
      </c>
    </row>
    <row r="384" spans="1:40" ht="19" customHeight="1" x14ac:dyDescent="0.35">
      <c r="A384" s="30"/>
      <c r="B384" s="30"/>
      <c r="C384" s="541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</row>
    <row r="385" spans="1:43" ht="19" customHeight="1" x14ac:dyDescent="0.35">
      <c r="A385" s="30"/>
      <c r="B385" s="30"/>
      <c r="C385" s="541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</row>
    <row r="386" spans="1:43" ht="19" customHeight="1" x14ac:dyDescent="0.35">
      <c r="A386" s="30"/>
      <c r="B386" s="30"/>
      <c r="C386" s="541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</row>
    <row r="387" spans="1:43" s="418" customFormat="1" ht="19" customHeight="1" x14ac:dyDescent="0.35">
      <c r="A387" s="535" t="s">
        <v>147</v>
      </c>
      <c r="B387" s="535"/>
      <c r="C387" s="536" t="s">
        <v>243</v>
      </c>
      <c r="D387" s="535" t="str">
        <f>D2</f>
        <v>PECANGAAN</v>
      </c>
      <c r="E387" s="535"/>
      <c r="F387" s="535"/>
      <c r="G387" s="535"/>
      <c r="H387" s="535"/>
      <c r="I387" s="537"/>
      <c r="J387" s="537"/>
      <c r="K387" s="537"/>
      <c r="L387" s="537"/>
      <c r="M387" s="537"/>
      <c r="N387" s="537"/>
      <c r="O387" s="537"/>
      <c r="P387" s="537"/>
      <c r="Q387" s="537"/>
      <c r="R387" s="537"/>
      <c r="S387" s="537"/>
      <c r="T387" s="537"/>
      <c r="U387" s="537"/>
      <c r="V387" s="537"/>
      <c r="W387" s="537"/>
      <c r="X387" s="537"/>
      <c r="Y387" s="537"/>
      <c r="Z387" s="537"/>
      <c r="AA387" s="537"/>
      <c r="AB387" s="537"/>
      <c r="AC387" s="537"/>
      <c r="AD387" s="537"/>
      <c r="AE387" s="537"/>
      <c r="AF387" s="537"/>
      <c r="AG387" s="537"/>
      <c r="AH387" s="537"/>
      <c r="AI387" s="537"/>
      <c r="AJ387" s="537"/>
      <c r="AK387" s="537"/>
      <c r="AL387" s="537"/>
      <c r="AM387" s="537"/>
    </row>
    <row r="388" spans="1:43" s="418" customFormat="1" ht="19" customHeight="1" x14ac:dyDescent="0.35">
      <c r="A388" s="535" t="s">
        <v>242</v>
      </c>
      <c r="B388" s="535"/>
      <c r="C388" s="536" t="s">
        <v>243</v>
      </c>
      <c r="D388" s="538" t="s">
        <v>388</v>
      </c>
      <c r="E388" s="535"/>
      <c r="F388" s="535"/>
      <c r="G388" s="538"/>
      <c r="H388" s="535"/>
      <c r="I388" s="537"/>
      <c r="J388" s="537"/>
      <c r="K388" s="537"/>
      <c r="L388" s="537"/>
      <c r="M388" s="537"/>
      <c r="N388" s="537"/>
      <c r="O388" s="537"/>
      <c r="P388" s="537"/>
      <c r="Q388" s="537"/>
      <c r="R388" s="537"/>
      <c r="S388" s="537"/>
      <c r="T388" s="537"/>
      <c r="U388" s="537"/>
      <c r="V388" s="537"/>
      <c r="W388" s="537"/>
      <c r="X388" s="537"/>
      <c r="Y388" s="537"/>
      <c r="Z388" s="537"/>
      <c r="AA388" s="537"/>
      <c r="AB388" s="537"/>
      <c r="AC388" s="537"/>
      <c r="AD388" s="537"/>
      <c r="AE388" s="537"/>
      <c r="AF388" s="537"/>
      <c r="AG388" s="537"/>
      <c r="AH388" s="537"/>
      <c r="AI388" s="537"/>
      <c r="AJ388" s="537"/>
      <c r="AK388" s="537"/>
      <c r="AL388" s="537"/>
      <c r="AM388" s="537"/>
    </row>
    <row r="389" spans="1:43" ht="19" customHeight="1" x14ac:dyDescent="0.35">
      <c r="A389" s="539"/>
      <c r="B389" s="539"/>
      <c r="C389" s="540"/>
      <c r="D389" s="539"/>
      <c r="E389" s="539"/>
      <c r="F389" s="539"/>
      <c r="G389" s="539"/>
      <c r="H389" s="539"/>
      <c r="I389" s="416"/>
      <c r="J389" s="416"/>
      <c r="K389" s="416"/>
      <c r="L389" s="416"/>
      <c r="M389" s="416"/>
      <c r="N389" s="416"/>
      <c r="O389" s="416"/>
      <c r="P389" s="416"/>
      <c r="Q389" s="416"/>
      <c r="R389" s="416"/>
      <c r="S389" s="416"/>
      <c r="T389" s="416"/>
      <c r="U389" s="416"/>
      <c r="V389" s="416"/>
      <c r="W389" s="416"/>
      <c r="X389" s="416"/>
      <c r="Y389" s="416"/>
      <c r="Z389" s="416"/>
      <c r="AA389" s="416"/>
      <c r="AB389" s="416"/>
      <c r="AC389" s="416"/>
      <c r="AD389" s="416"/>
      <c r="AE389" s="416"/>
      <c r="AF389" s="416"/>
      <c r="AG389" s="416"/>
      <c r="AH389" s="416"/>
      <c r="AI389" s="416"/>
      <c r="AJ389" s="416"/>
      <c r="AK389" s="416"/>
      <c r="AL389" s="416"/>
      <c r="AM389" s="416"/>
    </row>
    <row r="390" spans="1:43" ht="19" customHeight="1" x14ac:dyDescent="0.35">
      <c r="A390" s="416"/>
      <c r="B390" s="416"/>
      <c r="C390" s="417"/>
      <c r="D390" s="416"/>
      <c r="E390" s="416"/>
      <c r="F390" s="416"/>
      <c r="G390" s="416"/>
      <c r="H390" s="416"/>
      <c r="I390" s="416"/>
      <c r="J390" s="416"/>
      <c r="K390" s="416"/>
      <c r="L390" s="416"/>
      <c r="M390" s="416"/>
      <c r="N390" s="416"/>
      <c r="O390" s="416"/>
      <c r="P390" s="416"/>
      <c r="Q390" s="416"/>
      <c r="R390" s="416"/>
      <c r="S390" s="416"/>
      <c r="T390" s="416"/>
      <c r="U390" s="416"/>
      <c r="V390" s="416"/>
      <c r="W390" s="416"/>
      <c r="X390" s="416"/>
      <c r="Y390" s="416"/>
      <c r="Z390" s="416"/>
      <c r="AA390" s="416"/>
      <c r="AB390" s="416"/>
      <c r="AC390" s="416"/>
      <c r="AD390" s="416"/>
      <c r="AE390" s="416"/>
      <c r="AF390" s="416"/>
      <c r="AG390" s="416"/>
      <c r="AH390" s="416"/>
      <c r="AI390" s="416"/>
      <c r="AJ390" s="416"/>
      <c r="AK390" s="416"/>
      <c r="AL390" s="416"/>
      <c r="AM390" s="416"/>
    </row>
    <row r="391" spans="1:43" s="421" customFormat="1" ht="19" customHeight="1" x14ac:dyDescent="0.35">
      <c r="A391" s="967" t="s">
        <v>244</v>
      </c>
      <c r="B391" s="967" t="s">
        <v>151</v>
      </c>
      <c r="C391" s="960" t="s">
        <v>311</v>
      </c>
      <c r="D391" s="960"/>
      <c r="E391" s="960"/>
      <c r="F391" s="960" t="s">
        <v>312</v>
      </c>
      <c r="G391" s="960"/>
      <c r="H391" s="960"/>
      <c r="I391" s="960" t="s">
        <v>33</v>
      </c>
      <c r="J391" s="960"/>
      <c r="K391" s="970" t="s">
        <v>245</v>
      </c>
      <c r="L391" s="970"/>
      <c r="M391" s="970" t="s">
        <v>246</v>
      </c>
      <c r="N391" s="970"/>
      <c r="O391" s="960" t="s">
        <v>247</v>
      </c>
      <c r="P391" s="960"/>
      <c r="Q391" s="960"/>
      <c r="R391" s="960"/>
      <c r="S391" s="960"/>
      <c r="T391" s="960"/>
      <c r="U391" s="960"/>
      <c r="V391" s="960"/>
      <c r="W391" s="960"/>
      <c r="X391" s="971" t="s">
        <v>247</v>
      </c>
      <c r="Y391" s="960"/>
      <c r="Z391" s="960"/>
      <c r="AA391" s="960"/>
      <c r="AB391" s="960"/>
      <c r="AC391" s="960"/>
      <c r="AD391" s="960"/>
      <c r="AE391" s="960"/>
      <c r="AF391" s="960"/>
      <c r="AG391" s="960"/>
      <c r="AH391" s="960"/>
      <c r="AI391" s="960"/>
      <c r="AJ391" s="975" t="s">
        <v>248</v>
      </c>
      <c r="AK391" s="975"/>
      <c r="AL391" s="975"/>
      <c r="AM391" s="975"/>
      <c r="AN391" s="975"/>
    </row>
    <row r="392" spans="1:43" s="421" customFormat="1" ht="19" customHeight="1" x14ac:dyDescent="0.35">
      <c r="A392" s="968"/>
      <c r="B392" s="968"/>
      <c r="C392" s="961" t="s">
        <v>249</v>
      </c>
      <c r="D392" s="972" t="s">
        <v>250</v>
      </c>
      <c r="E392" s="961" t="s">
        <v>251</v>
      </c>
      <c r="F392" s="961" t="s">
        <v>249</v>
      </c>
      <c r="G392" s="961" t="s">
        <v>250</v>
      </c>
      <c r="H392" s="961" t="s">
        <v>251</v>
      </c>
      <c r="I392" s="961" t="s">
        <v>252</v>
      </c>
      <c r="J392" s="961" t="s">
        <v>253</v>
      </c>
      <c r="K392" s="961" t="s">
        <v>254</v>
      </c>
      <c r="L392" s="961" t="s">
        <v>255</v>
      </c>
      <c r="M392" s="961" t="s">
        <v>254</v>
      </c>
      <c r="N392" s="961" t="s">
        <v>256</v>
      </c>
      <c r="O392" s="965" t="s">
        <v>257</v>
      </c>
      <c r="P392" s="965"/>
      <c r="Q392" s="965"/>
      <c r="R392" s="965"/>
      <c r="S392" s="965"/>
      <c r="T392" s="965" t="s">
        <v>258</v>
      </c>
      <c r="U392" s="965"/>
      <c r="V392" s="965"/>
      <c r="W392" s="965"/>
      <c r="X392" s="966" t="s">
        <v>259</v>
      </c>
      <c r="Y392" s="965"/>
      <c r="Z392" s="965"/>
      <c r="AA392" s="965" t="s">
        <v>260</v>
      </c>
      <c r="AB392" s="965"/>
      <c r="AC392" s="965"/>
      <c r="AD392" s="965" t="s">
        <v>261</v>
      </c>
      <c r="AE392" s="965"/>
      <c r="AF392" s="965"/>
      <c r="AG392" s="965" t="s">
        <v>262</v>
      </c>
      <c r="AH392" s="965"/>
      <c r="AI392" s="965"/>
      <c r="AJ392" s="964" t="s">
        <v>421</v>
      </c>
      <c r="AK392" s="964" t="s">
        <v>263</v>
      </c>
      <c r="AL392" s="964" t="s">
        <v>264</v>
      </c>
      <c r="AM392" s="964" t="s">
        <v>265</v>
      </c>
      <c r="AN392" s="964" t="s">
        <v>424</v>
      </c>
      <c r="AO392" s="423"/>
      <c r="AP392" s="423"/>
      <c r="AQ392" s="423"/>
    </row>
    <row r="393" spans="1:43" s="421" customFormat="1" ht="19" customHeight="1" x14ac:dyDescent="0.35">
      <c r="A393" s="968"/>
      <c r="B393" s="968"/>
      <c r="C393" s="962"/>
      <c r="D393" s="973"/>
      <c r="E393" s="962"/>
      <c r="F393" s="962"/>
      <c r="G393" s="962"/>
      <c r="H393" s="962"/>
      <c r="I393" s="962"/>
      <c r="J393" s="962"/>
      <c r="K393" s="962"/>
      <c r="L393" s="962"/>
      <c r="M393" s="962"/>
      <c r="N393" s="962"/>
      <c r="O393" s="965" t="s">
        <v>266</v>
      </c>
      <c r="P393" s="965" t="s">
        <v>267</v>
      </c>
      <c r="Q393" s="965" t="s">
        <v>268</v>
      </c>
      <c r="R393" s="965" t="s">
        <v>269</v>
      </c>
      <c r="S393" s="965"/>
      <c r="T393" s="965" t="s">
        <v>270</v>
      </c>
      <c r="U393" s="965" t="s">
        <v>271</v>
      </c>
      <c r="V393" s="965" t="s">
        <v>272</v>
      </c>
      <c r="W393" s="965" t="s">
        <v>273</v>
      </c>
      <c r="X393" s="966" t="s">
        <v>274</v>
      </c>
      <c r="Y393" s="965" t="s">
        <v>275</v>
      </c>
      <c r="Z393" s="965" t="s">
        <v>276</v>
      </c>
      <c r="AA393" s="965" t="s">
        <v>277</v>
      </c>
      <c r="AB393" s="965" t="s">
        <v>278</v>
      </c>
      <c r="AC393" s="965" t="s">
        <v>279</v>
      </c>
      <c r="AD393" s="965" t="s">
        <v>280</v>
      </c>
      <c r="AE393" s="965" t="s">
        <v>281</v>
      </c>
      <c r="AF393" s="965" t="s">
        <v>282</v>
      </c>
      <c r="AG393" s="965" t="s">
        <v>283</v>
      </c>
      <c r="AH393" s="965" t="s">
        <v>284</v>
      </c>
      <c r="AI393" s="965" t="s">
        <v>279</v>
      </c>
      <c r="AJ393" s="964"/>
      <c r="AK393" s="964"/>
      <c r="AL393" s="964"/>
      <c r="AM393" s="964"/>
      <c r="AN393" s="964"/>
      <c r="AO393" s="423"/>
      <c r="AP393" s="423"/>
      <c r="AQ393" s="423"/>
    </row>
    <row r="394" spans="1:43" s="421" customFormat="1" ht="19" customHeight="1" x14ac:dyDescent="0.35">
      <c r="A394" s="969"/>
      <c r="B394" s="969"/>
      <c r="C394" s="963"/>
      <c r="D394" s="974"/>
      <c r="E394" s="963"/>
      <c r="F394" s="963"/>
      <c r="G394" s="963"/>
      <c r="H394" s="963"/>
      <c r="I394" s="963"/>
      <c r="J394" s="963"/>
      <c r="K394" s="963"/>
      <c r="L394" s="963"/>
      <c r="M394" s="963"/>
      <c r="N394" s="963"/>
      <c r="O394" s="965"/>
      <c r="P394" s="965"/>
      <c r="Q394" s="965"/>
      <c r="R394" s="422" t="s">
        <v>285</v>
      </c>
      <c r="S394" s="422" t="s">
        <v>286</v>
      </c>
      <c r="T394" s="965"/>
      <c r="U394" s="965"/>
      <c r="V394" s="965"/>
      <c r="W394" s="965"/>
      <c r="X394" s="966"/>
      <c r="Y394" s="965"/>
      <c r="Z394" s="965"/>
      <c r="AA394" s="965"/>
      <c r="AB394" s="965"/>
      <c r="AC394" s="965"/>
      <c r="AD394" s="965"/>
      <c r="AE394" s="965"/>
      <c r="AF394" s="965"/>
      <c r="AG394" s="965"/>
      <c r="AH394" s="965"/>
      <c r="AI394" s="965"/>
      <c r="AJ394" s="964"/>
      <c r="AK394" s="964"/>
      <c r="AL394" s="964"/>
      <c r="AM394" s="964"/>
      <c r="AN394" s="964"/>
      <c r="AO394" s="423"/>
      <c r="AP394" s="423"/>
      <c r="AQ394" s="423"/>
    </row>
    <row r="395" spans="1:43" s="421" customFormat="1" ht="19" customHeight="1" thickBot="1" x14ac:dyDescent="0.4">
      <c r="A395" s="424">
        <v>1</v>
      </c>
      <c r="B395" s="424">
        <v>2</v>
      </c>
      <c r="C395" s="425">
        <v>3</v>
      </c>
      <c r="D395" s="424">
        <v>4</v>
      </c>
      <c r="E395" s="424">
        <v>5</v>
      </c>
      <c r="F395" s="424">
        <v>6</v>
      </c>
      <c r="G395" s="424">
        <v>7</v>
      </c>
      <c r="H395" s="424">
        <v>8</v>
      </c>
      <c r="I395" s="424">
        <v>9</v>
      </c>
      <c r="J395" s="424">
        <v>10</v>
      </c>
      <c r="K395" s="424">
        <v>11</v>
      </c>
      <c r="L395" s="424">
        <v>12</v>
      </c>
      <c r="M395" s="424">
        <v>13</v>
      </c>
      <c r="N395" s="424">
        <v>14</v>
      </c>
      <c r="O395" s="424">
        <v>15</v>
      </c>
      <c r="P395" s="424">
        <v>16</v>
      </c>
      <c r="Q395" s="424">
        <v>17</v>
      </c>
      <c r="R395" s="424">
        <v>18</v>
      </c>
      <c r="S395" s="424">
        <v>19</v>
      </c>
      <c r="T395" s="424">
        <v>20</v>
      </c>
      <c r="U395" s="424">
        <v>21</v>
      </c>
      <c r="V395" s="424">
        <v>22</v>
      </c>
      <c r="W395" s="424">
        <v>23</v>
      </c>
      <c r="X395" s="424">
        <v>24</v>
      </c>
      <c r="Y395" s="424">
        <v>25</v>
      </c>
      <c r="Z395" s="424">
        <v>26</v>
      </c>
      <c r="AA395" s="424">
        <v>27</v>
      </c>
      <c r="AB395" s="424">
        <v>28</v>
      </c>
      <c r="AC395" s="424">
        <v>29</v>
      </c>
      <c r="AD395" s="424">
        <v>30</v>
      </c>
      <c r="AE395" s="424">
        <v>31</v>
      </c>
      <c r="AF395" s="424">
        <v>32</v>
      </c>
      <c r="AG395" s="424">
        <v>33</v>
      </c>
      <c r="AH395" s="424">
        <v>34</v>
      </c>
      <c r="AI395" s="424">
        <v>35</v>
      </c>
      <c r="AJ395" s="424">
        <v>36</v>
      </c>
      <c r="AK395" s="424">
        <v>37</v>
      </c>
      <c r="AL395" s="424">
        <v>38</v>
      </c>
      <c r="AM395" s="424">
        <v>39</v>
      </c>
      <c r="AN395" s="424">
        <v>40</v>
      </c>
    </row>
    <row r="396" spans="1:43" ht="19" customHeight="1" thickTop="1" x14ac:dyDescent="0.35">
      <c r="A396" s="427">
        <v>1</v>
      </c>
      <c r="B396" s="427" t="str">
        <f>PETUNJUK!B9</f>
        <v>Pecangaan Kulon</v>
      </c>
      <c r="C396" s="428">
        <v>0</v>
      </c>
      <c r="D396" s="428">
        <v>0</v>
      </c>
      <c r="E396" s="428">
        <v>0</v>
      </c>
      <c r="F396" s="428">
        <v>0</v>
      </c>
      <c r="G396" s="428">
        <v>0</v>
      </c>
      <c r="H396" s="428">
        <v>0</v>
      </c>
      <c r="I396" s="428">
        <v>0</v>
      </c>
      <c r="J396" s="428">
        <v>0</v>
      </c>
      <c r="K396" s="428">
        <v>0</v>
      </c>
      <c r="L396" s="428">
        <v>0</v>
      </c>
      <c r="M396" s="428">
        <v>0</v>
      </c>
      <c r="N396" s="428">
        <v>0</v>
      </c>
      <c r="O396" s="428">
        <v>0</v>
      </c>
      <c r="P396" s="428">
        <v>0</v>
      </c>
      <c r="Q396" s="428">
        <v>0</v>
      </c>
      <c r="R396" s="428">
        <v>0</v>
      </c>
      <c r="S396" s="428">
        <v>0</v>
      </c>
      <c r="T396" s="428">
        <v>0</v>
      </c>
      <c r="U396" s="428">
        <v>0</v>
      </c>
      <c r="V396" s="428">
        <v>0</v>
      </c>
      <c r="W396" s="428">
        <v>0</v>
      </c>
      <c r="X396" s="428">
        <v>0</v>
      </c>
      <c r="Y396" s="428">
        <v>0</v>
      </c>
      <c r="Z396" s="428">
        <v>0</v>
      </c>
      <c r="AA396" s="428">
        <v>0</v>
      </c>
      <c r="AB396" s="428">
        <v>0</v>
      </c>
      <c r="AC396" s="428">
        <v>0</v>
      </c>
      <c r="AD396" s="428">
        <v>0</v>
      </c>
      <c r="AE396" s="428">
        <v>0</v>
      </c>
      <c r="AF396" s="428">
        <v>0</v>
      </c>
      <c r="AG396" s="428">
        <v>0</v>
      </c>
      <c r="AH396" s="428">
        <v>0</v>
      </c>
      <c r="AI396" s="428">
        <v>0</v>
      </c>
      <c r="AJ396" s="428">
        <v>0</v>
      </c>
      <c r="AK396" s="428">
        <v>0</v>
      </c>
      <c r="AL396" s="428">
        <v>0</v>
      </c>
      <c r="AM396" s="428">
        <v>0</v>
      </c>
      <c r="AN396" s="428">
        <v>0</v>
      </c>
    </row>
    <row r="397" spans="1:43" ht="19" customHeight="1" x14ac:dyDescent="0.35">
      <c r="A397" s="429">
        <v>2</v>
      </c>
      <c r="B397" s="427" t="str">
        <f>PETUNJUK!B10</f>
        <v>Rengging</v>
      </c>
      <c r="C397" s="428">
        <v>0</v>
      </c>
      <c r="D397" s="428">
        <v>0</v>
      </c>
      <c r="E397" s="428">
        <v>0</v>
      </c>
      <c r="F397" s="428">
        <v>0</v>
      </c>
      <c r="G397" s="428">
        <v>0</v>
      </c>
      <c r="H397" s="428">
        <v>0</v>
      </c>
      <c r="I397" s="428">
        <v>0</v>
      </c>
      <c r="J397" s="428">
        <v>0</v>
      </c>
      <c r="K397" s="428">
        <v>0</v>
      </c>
      <c r="L397" s="428">
        <v>0</v>
      </c>
      <c r="M397" s="428">
        <v>0</v>
      </c>
      <c r="N397" s="428">
        <v>0</v>
      </c>
      <c r="O397" s="428">
        <v>0</v>
      </c>
      <c r="P397" s="428">
        <v>0</v>
      </c>
      <c r="Q397" s="428">
        <v>0</v>
      </c>
      <c r="R397" s="428">
        <v>0</v>
      </c>
      <c r="S397" s="428">
        <v>0</v>
      </c>
      <c r="T397" s="428">
        <v>0</v>
      </c>
      <c r="U397" s="428">
        <v>0</v>
      </c>
      <c r="V397" s="428">
        <v>0</v>
      </c>
      <c r="W397" s="428">
        <v>0</v>
      </c>
      <c r="X397" s="428">
        <v>0</v>
      </c>
      <c r="Y397" s="428">
        <v>0</v>
      </c>
      <c r="Z397" s="428">
        <v>0</v>
      </c>
      <c r="AA397" s="428">
        <v>0</v>
      </c>
      <c r="AB397" s="428">
        <v>0</v>
      </c>
      <c r="AC397" s="428">
        <v>0</v>
      </c>
      <c r="AD397" s="428">
        <v>0</v>
      </c>
      <c r="AE397" s="428">
        <v>0</v>
      </c>
      <c r="AF397" s="428">
        <v>0</v>
      </c>
      <c r="AG397" s="428">
        <v>0</v>
      </c>
      <c r="AH397" s="428">
        <v>0</v>
      </c>
      <c r="AI397" s="428">
        <v>0</v>
      </c>
      <c r="AJ397" s="428">
        <v>0</v>
      </c>
      <c r="AK397" s="428">
        <v>0</v>
      </c>
      <c r="AL397" s="428">
        <v>0</v>
      </c>
      <c r="AM397" s="428">
        <v>0</v>
      </c>
      <c r="AN397" s="428">
        <v>0</v>
      </c>
    </row>
    <row r="398" spans="1:43" ht="19" customHeight="1" x14ac:dyDescent="0.35">
      <c r="A398" s="429">
        <v>3</v>
      </c>
      <c r="B398" s="427" t="str">
        <f>PETUNJUK!B11</f>
        <v>Troso</v>
      </c>
      <c r="C398" s="428">
        <v>0</v>
      </c>
      <c r="D398" s="428">
        <v>0</v>
      </c>
      <c r="E398" s="428">
        <v>0</v>
      </c>
      <c r="F398" s="428">
        <v>0</v>
      </c>
      <c r="G398" s="428">
        <v>0</v>
      </c>
      <c r="H398" s="428">
        <v>0</v>
      </c>
      <c r="I398" s="428">
        <v>0</v>
      </c>
      <c r="J398" s="428">
        <v>0</v>
      </c>
      <c r="K398" s="428">
        <v>0</v>
      </c>
      <c r="L398" s="428">
        <v>0</v>
      </c>
      <c r="M398" s="428">
        <v>0</v>
      </c>
      <c r="N398" s="428">
        <v>0</v>
      </c>
      <c r="O398" s="428">
        <v>0</v>
      </c>
      <c r="P398" s="428">
        <v>0</v>
      </c>
      <c r="Q398" s="428">
        <v>0</v>
      </c>
      <c r="R398" s="428">
        <v>0</v>
      </c>
      <c r="S398" s="428">
        <v>0</v>
      </c>
      <c r="T398" s="428">
        <v>0</v>
      </c>
      <c r="U398" s="428">
        <v>0</v>
      </c>
      <c r="V398" s="428">
        <v>0</v>
      </c>
      <c r="W398" s="428">
        <v>0</v>
      </c>
      <c r="X398" s="428">
        <v>0</v>
      </c>
      <c r="Y398" s="428">
        <v>0</v>
      </c>
      <c r="Z398" s="428">
        <v>0</v>
      </c>
      <c r="AA398" s="428">
        <v>0</v>
      </c>
      <c r="AB398" s="428">
        <v>0</v>
      </c>
      <c r="AC398" s="428">
        <v>0</v>
      </c>
      <c r="AD398" s="428">
        <v>0</v>
      </c>
      <c r="AE398" s="428">
        <v>0</v>
      </c>
      <c r="AF398" s="428">
        <v>0</v>
      </c>
      <c r="AG398" s="428">
        <v>0</v>
      </c>
      <c r="AH398" s="428">
        <v>0</v>
      </c>
      <c r="AI398" s="428">
        <v>0</v>
      </c>
      <c r="AJ398" s="428">
        <v>0</v>
      </c>
      <c r="AK398" s="428">
        <v>0</v>
      </c>
      <c r="AL398" s="428">
        <v>0</v>
      </c>
      <c r="AM398" s="428">
        <v>0</v>
      </c>
      <c r="AN398" s="428">
        <v>0</v>
      </c>
    </row>
    <row r="399" spans="1:43" ht="19" customHeight="1" x14ac:dyDescent="0.35">
      <c r="A399" s="429">
        <v>4</v>
      </c>
      <c r="B399" s="427" t="str">
        <f>PETUNJUK!B12</f>
        <v>Ngeling</v>
      </c>
      <c r="C399" s="428">
        <v>0</v>
      </c>
      <c r="D399" s="428">
        <v>0</v>
      </c>
      <c r="E399" s="428">
        <v>0</v>
      </c>
      <c r="F399" s="428">
        <v>0</v>
      </c>
      <c r="G399" s="428">
        <v>0</v>
      </c>
      <c r="H399" s="428">
        <v>0</v>
      </c>
      <c r="I399" s="428">
        <v>0</v>
      </c>
      <c r="J399" s="428">
        <v>0</v>
      </c>
      <c r="K399" s="428">
        <v>0</v>
      </c>
      <c r="L399" s="428">
        <v>0</v>
      </c>
      <c r="M399" s="428">
        <v>0</v>
      </c>
      <c r="N399" s="428">
        <v>0</v>
      </c>
      <c r="O399" s="428">
        <v>0</v>
      </c>
      <c r="P399" s="428">
        <v>0</v>
      </c>
      <c r="Q399" s="428">
        <v>0</v>
      </c>
      <c r="R399" s="428">
        <v>0</v>
      </c>
      <c r="S399" s="428">
        <v>0</v>
      </c>
      <c r="T399" s="428">
        <v>0</v>
      </c>
      <c r="U399" s="428">
        <v>0</v>
      </c>
      <c r="V399" s="428">
        <v>0</v>
      </c>
      <c r="W399" s="428">
        <v>0</v>
      </c>
      <c r="X399" s="428">
        <v>0</v>
      </c>
      <c r="Y399" s="428">
        <v>0</v>
      </c>
      <c r="Z399" s="428">
        <v>0</v>
      </c>
      <c r="AA399" s="428">
        <v>0</v>
      </c>
      <c r="AB399" s="428">
        <v>0</v>
      </c>
      <c r="AC399" s="428">
        <v>0</v>
      </c>
      <c r="AD399" s="428">
        <v>0</v>
      </c>
      <c r="AE399" s="428">
        <v>0</v>
      </c>
      <c r="AF399" s="428">
        <v>0</v>
      </c>
      <c r="AG399" s="428">
        <v>0</v>
      </c>
      <c r="AH399" s="428">
        <v>0</v>
      </c>
      <c r="AI399" s="428">
        <v>0</v>
      </c>
      <c r="AJ399" s="428">
        <v>0</v>
      </c>
      <c r="AK399" s="428">
        <v>0</v>
      </c>
      <c r="AL399" s="428">
        <v>0</v>
      </c>
      <c r="AM399" s="428">
        <v>0</v>
      </c>
      <c r="AN399" s="428">
        <v>0</v>
      </c>
    </row>
    <row r="400" spans="1:43" ht="19" customHeight="1" x14ac:dyDescent="0.35">
      <c r="A400" s="429">
        <v>5</v>
      </c>
      <c r="B400" s="427" t="str">
        <f>PETUNJUK!B13</f>
        <v>Lebuawu</v>
      </c>
      <c r="C400" s="428">
        <v>0</v>
      </c>
      <c r="D400" s="428">
        <v>0</v>
      </c>
      <c r="E400" s="428">
        <v>0</v>
      </c>
      <c r="F400" s="428">
        <v>0</v>
      </c>
      <c r="G400" s="428">
        <v>0</v>
      </c>
      <c r="H400" s="428">
        <v>0</v>
      </c>
      <c r="I400" s="428">
        <v>0</v>
      </c>
      <c r="J400" s="428">
        <v>0</v>
      </c>
      <c r="K400" s="428">
        <v>0</v>
      </c>
      <c r="L400" s="428">
        <v>0</v>
      </c>
      <c r="M400" s="428">
        <v>0</v>
      </c>
      <c r="N400" s="428">
        <v>0</v>
      </c>
      <c r="O400" s="428">
        <v>0</v>
      </c>
      <c r="P400" s="428">
        <v>0</v>
      </c>
      <c r="Q400" s="428">
        <v>0</v>
      </c>
      <c r="R400" s="428">
        <v>0</v>
      </c>
      <c r="S400" s="428">
        <v>0</v>
      </c>
      <c r="T400" s="428">
        <v>0</v>
      </c>
      <c r="U400" s="428">
        <v>0</v>
      </c>
      <c r="V400" s="428">
        <v>0</v>
      </c>
      <c r="W400" s="428">
        <v>0</v>
      </c>
      <c r="X400" s="428">
        <v>0</v>
      </c>
      <c r="Y400" s="428">
        <v>0</v>
      </c>
      <c r="Z400" s="428">
        <v>0</v>
      </c>
      <c r="AA400" s="428">
        <v>0</v>
      </c>
      <c r="AB400" s="428">
        <v>0</v>
      </c>
      <c r="AC400" s="428">
        <v>0</v>
      </c>
      <c r="AD400" s="428">
        <v>0</v>
      </c>
      <c r="AE400" s="428">
        <v>0</v>
      </c>
      <c r="AF400" s="428">
        <v>0</v>
      </c>
      <c r="AG400" s="428">
        <v>0</v>
      </c>
      <c r="AH400" s="428">
        <v>0</v>
      </c>
      <c r="AI400" s="428">
        <v>0</v>
      </c>
      <c r="AJ400" s="428">
        <v>0</v>
      </c>
      <c r="AK400" s="428">
        <v>0</v>
      </c>
      <c r="AL400" s="428">
        <v>0</v>
      </c>
      <c r="AM400" s="428">
        <v>0</v>
      </c>
      <c r="AN400" s="428">
        <v>0</v>
      </c>
    </row>
    <row r="401" spans="1:40" ht="19" customHeight="1" x14ac:dyDescent="0.35">
      <c r="A401" s="429">
        <v>6</v>
      </c>
      <c r="B401" s="427" t="str">
        <f>PETUNJUK!B14</f>
        <v>Pulodarat</v>
      </c>
      <c r="C401" s="428">
        <v>0</v>
      </c>
      <c r="D401" s="428">
        <v>0</v>
      </c>
      <c r="E401" s="428">
        <v>0</v>
      </c>
      <c r="F401" s="428">
        <v>0</v>
      </c>
      <c r="G401" s="428">
        <v>0</v>
      </c>
      <c r="H401" s="428">
        <v>0</v>
      </c>
      <c r="I401" s="428">
        <v>0</v>
      </c>
      <c r="J401" s="428">
        <v>0</v>
      </c>
      <c r="K401" s="428">
        <v>0</v>
      </c>
      <c r="L401" s="428">
        <v>0</v>
      </c>
      <c r="M401" s="428">
        <v>0</v>
      </c>
      <c r="N401" s="428">
        <v>0</v>
      </c>
      <c r="O401" s="428">
        <v>0</v>
      </c>
      <c r="P401" s="428">
        <v>0</v>
      </c>
      <c r="Q401" s="428">
        <v>0</v>
      </c>
      <c r="R401" s="428">
        <v>0</v>
      </c>
      <c r="S401" s="428">
        <v>0</v>
      </c>
      <c r="T401" s="428">
        <v>0</v>
      </c>
      <c r="U401" s="428">
        <v>0</v>
      </c>
      <c r="V401" s="428">
        <v>0</v>
      </c>
      <c r="W401" s="428">
        <v>0</v>
      </c>
      <c r="X401" s="428">
        <v>0</v>
      </c>
      <c r="Y401" s="428">
        <v>0</v>
      </c>
      <c r="Z401" s="428">
        <v>0</v>
      </c>
      <c r="AA401" s="428">
        <v>0</v>
      </c>
      <c r="AB401" s="428">
        <v>0</v>
      </c>
      <c r="AC401" s="428">
        <v>0</v>
      </c>
      <c r="AD401" s="428">
        <v>0</v>
      </c>
      <c r="AE401" s="428">
        <v>0</v>
      </c>
      <c r="AF401" s="428">
        <v>0</v>
      </c>
      <c r="AG401" s="428">
        <v>0</v>
      </c>
      <c r="AH401" s="428">
        <v>0</v>
      </c>
      <c r="AI401" s="428">
        <v>0</v>
      </c>
      <c r="AJ401" s="428">
        <v>0</v>
      </c>
      <c r="AK401" s="428">
        <v>0</v>
      </c>
      <c r="AL401" s="428">
        <v>0</v>
      </c>
      <c r="AM401" s="428">
        <v>0</v>
      </c>
      <c r="AN401" s="428">
        <v>0</v>
      </c>
    </row>
    <row r="402" spans="1:40" ht="19" customHeight="1" x14ac:dyDescent="0.35">
      <c r="A402" s="429">
        <v>7</v>
      </c>
      <c r="B402" s="427" t="str">
        <f>PETUNJUK!B15</f>
        <v>Karangrandu</v>
      </c>
      <c r="C402" s="428">
        <v>0</v>
      </c>
      <c r="D402" s="428">
        <v>0</v>
      </c>
      <c r="E402" s="428">
        <v>0</v>
      </c>
      <c r="F402" s="428">
        <v>0</v>
      </c>
      <c r="G402" s="428">
        <v>0</v>
      </c>
      <c r="H402" s="428">
        <v>0</v>
      </c>
      <c r="I402" s="428">
        <v>0</v>
      </c>
      <c r="J402" s="428">
        <v>0</v>
      </c>
      <c r="K402" s="428">
        <v>0</v>
      </c>
      <c r="L402" s="428">
        <v>0</v>
      </c>
      <c r="M402" s="428">
        <v>0</v>
      </c>
      <c r="N402" s="428">
        <v>0</v>
      </c>
      <c r="O402" s="428">
        <v>0</v>
      </c>
      <c r="P402" s="428">
        <v>0</v>
      </c>
      <c r="Q402" s="428">
        <v>0</v>
      </c>
      <c r="R402" s="428">
        <v>0</v>
      </c>
      <c r="S402" s="428">
        <v>0</v>
      </c>
      <c r="T402" s="428">
        <v>0</v>
      </c>
      <c r="U402" s="428">
        <v>0</v>
      </c>
      <c r="V402" s="428">
        <v>0</v>
      </c>
      <c r="W402" s="428">
        <v>0</v>
      </c>
      <c r="X402" s="428">
        <v>0</v>
      </c>
      <c r="Y402" s="428">
        <v>0</v>
      </c>
      <c r="Z402" s="428">
        <v>0</v>
      </c>
      <c r="AA402" s="428">
        <v>0</v>
      </c>
      <c r="AB402" s="428">
        <v>0</v>
      </c>
      <c r="AC402" s="428">
        <v>0</v>
      </c>
      <c r="AD402" s="428">
        <v>0</v>
      </c>
      <c r="AE402" s="428">
        <v>0</v>
      </c>
      <c r="AF402" s="428">
        <v>0</v>
      </c>
      <c r="AG402" s="428">
        <v>0</v>
      </c>
      <c r="AH402" s="428">
        <v>0</v>
      </c>
      <c r="AI402" s="428">
        <v>0</v>
      </c>
      <c r="AJ402" s="428">
        <v>0</v>
      </c>
      <c r="AK402" s="428">
        <v>0</v>
      </c>
      <c r="AL402" s="428">
        <v>0</v>
      </c>
      <c r="AM402" s="428">
        <v>0</v>
      </c>
      <c r="AN402" s="428">
        <v>0</v>
      </c>
    </row>
    <row r="403" spans="1:40" ht="19" customHeight="1" x14ac:dyDescent="0.35">
      <c r="A403" s="429">
        <v>8</v>
      </c>
      <c r="B403" s="427" t="str">
        <f>PETUNJUK!B16</f>
        <v>Kaliombo</v>
      </c>
      <c r="C403" s="428">
        <v>0</v>
      </c>
      <c r="D403" s="428">
        <v>0</v>
      </c>
      <c r="E403" s="428">
        <v>0</v>
      </c>
      <c r="F403" s="428">
        <v>0</v>
      </c>
      <c r="G403" s="428">
        <v>0</v>
      </c>
      <c r="H403" s="428">
        <v>0</v>
      </c>
      <c r="I403" s="428">
        <v>0</v>
      </c>
      <c r="J403" s="428">
        <v>0</v>
      </c>
      <c r="K403" s="428">
        <v>0</v>
      </c>
      <c r="L403" s="428">
        <v>0</v>
      </c>
      <c r="M403" s="428">
        <v>0</v>
      </c>
      <c r="N403" s="428">
        <v>0</v>
      </c>
      <c r="O403" s="428">
        <v>0</v>
      </c>
      <c r="P403" s="428">
        <v>0</v>
      </c>
      <c r="Q403" s="428">
        <v>0</v>
      </c>
      <c r="R403" s="428">
        <v>0</v>
      </c>
      <c r="S403" s="428">
        <v>0</v>
      </c>
      <c r="T403" s="428">
        <v>0</v>
      </c>
      <c r="U403" s="428">
        <v>0</v>
      </c>
      <c r="V403" s="428">
        <v>0</v>
      </c>
      <c r="W403" s="428">
        <v>0</v>
      </c>
      <c r="X403" s="428">
        <v>0</v>
      </c>
      <c r="Y403" s="428">
        <v>0</v>
      </c>
      <c r="Z403" s="428">
        <v>0</v>
      </c>
      <c r="AA403" s="428">
        <v>0</v>
      </c>
      <c r="AB403" s="428">
        <v>0</v>
      </c>
      <c r="AC403" s="428">
        <v>0</v>
      </c>
      <c r="AD403" s="428">
        <v>0</v>
      </c>
      <c r="AE403" s="428">
        <v>0</v>
      </c>
      <c r="AF403" s="428">
        <v>0</v>
      </c>
      <c r="AG403" s="428">
        <v>0</v>
      </c>
      <c r="AH403" s="428">
        <v>0</v>
      </c>
      <c r="AI403" s="428">
        <v>0</v>
      </c>
      <c r="AJ403" s="428">
        <v>0</v>
      </c>
      <c r="AK403" s="428">
        <v>0</v>
      </c>
      <c r="AL403" s="428">
        <v>0</v>
      </c>
      <c r="AM403" s="428">
        <v>0</v>
      </c>
      <c r="AN403" s="428">
        <v>0</v>
      </c>
    </row>
    <row r="404" spans="1:40" ht="19" customHeight="1" x14ac:dyDescent="0.35">
      <c r="A404" s="429">
        <v>9</v>
      </c>
      <c r="B404" s="427" t="str">
        <f>PETUNJUK!B17</f>
        <v>Gemulung</v>
      </c>
      <c r="C404" s="428">
        <v>0</v>
      </c>
      <c r="D404" s="428">
        <v>0</v>
      </c>
      <c r="E404" s="428">
        <v>0</v>
      </c>
      <c r="F404" s="428">
        <v>0</v>
      </c>
      <c r="G404" s="428">
        <v>0</v>
      </c>
      <c r="H404" s="428">
        <v>0</v>
      </c>
      <c r="I404" s="428">
        <v>0</v>
      </c>
      <c r="J404" s="428">
        <v>0</v>
      </c>
      <c r="K404" s="428">
        <v>0</v>
      </c>
      <c r="L404" s="428">
        <v>0</v>
      </c>
      <c r="M404" s="428">
        <v>0</v>
      </c>
      <c r="N404" s="428">
        <v>0</v>
      </c>
      <c r="O404" s="428">
        <v>0</v>
      </c>
      <c r="P404" s="428">
        <v>0</v>
      </c>
      <c r="Q404" s="428">
        <v>0</v>
      </c>
      <c r="R404" s="428">
        <v>0</v>
      </c>
      <c r="S404" s="428">
        <v>0</v>
      </c>
      <c r="T404" s="428">
        <v>0</v>
      </c>
      <c r="U404" s="428">
        <v>0</v>
      </c>
      <c r="V404" s="428">
        <v>0</v>
      </c>
      <c r="W404" s="428">
        <v>0</v>
      </c>
      <c r="X404" s="428">
        <v>0</v>
      </c>
      <c r="Y404" s="428">
        <v>0</v>
      </c>
      <c r="Z404" s="428">
        <v>0</v>
      </c>
      <c r="AA404" s="428">
        <v>0</v>
      </c>
      <c r="AB404" s="428">
        <v>0</v>
      </c>
      <c r="AC404" s="428">
        <v>0</v>
      </c>
      <c r="AD404" s="428">
        <v>0</v>
      </c>
      <c r="AE404" s="428">
        <v>0</v>
      </c>
      <c r="AF404" s="428">
        <v>0</v>
      </c>
      <c r="AG404" s="428">
        <v>0</v>
      </c>
      <c r="AH404" s="428">
        <v>0</v>
      </c>
      <c r="AI404" s="428">
        <v>0</v>
      </c>
      <c r="AJ404" s="428">
        <v>0</v>
      </c>
      <c r="AK404" s="428">
        <v>0</v>
      </c>
      <c r="AL404" s="428">
        <v>0</v>
      </c>
      <c r="AM404" s="428">
        <v>0</v>
      </c>
      <c r="AN404" s="428">
        <v>0</v>
      </c>
    </row>
    <row r="405" spans="1:40" ht="19" customHeight="1" x14ac:dyDescent="0.35">
      <c r="A405" s="429">
        <v>10</v>
      </c>
      <c r="B405" s="427" t="str">
        <f>PETUNJUK!B18</f>
        <v>Pecangaan Wetan</v>
      </c>
      <c r="C405" s="428">
        <v>0</v>
      </c>
      <c r="D405" s="428">
        <v>0</v>
      </c>
      <c r="E405" s="428">
        <v>0</v>
      </c>
      <c r="F405" s="428">
        <v>0</v>
      </c>
      <c r="G405" s="428">
        <v>0</v>
      </c>
      <c r="H405" s="428">
        <v>0</v>
      </c>
      <c r="I405" s="428">
        <v>0</v>
      </c>
      <c r="J405" s="428">
        <v>0</v>
      </c>
      <c r="K405" s="428">
        <v>0</v>
      </c>
      <c r="L405" s="428">
        <v>0</v>
      </c>
      <c r="M405" s="428">
        <v>0</v>
      </c>
      <c r="N405" s="428">
        <v>0</v>
      </c>
      <c r="O405" s="428">
        <v>0</v>
      </c>
      <c r="P405" s="428">
        <v>0</v>
      </c>
      <c r="Q405" s="428">
        <v>0</v>
      </c>
      <c r="R405" s="428">
        <v>0</v>
      </c>
      <c r="S405" s="428">
        <v>0</v>
      </c>
      <c r="T405" s="428">
        <v>0</v>
      </c>
      <c r="U405" s="428">
        <v>0</v>
      </c>
      <c r="V405" s="428">
        <v>0</v>
      </c>
      <c r="W405" s="428">
        <v>0</v>
      </c>
      <c r="X405" s="428">
        <v>0</v>
      </c>
      <c r="Y405" s="428">
        <v>0</v>
      </c>
      <c r="Z405" s="428">
        <v>0</v>
      </c>
      <c r="AA405" s="428">
        <v>0</v>
      </c>
      <c r="AB405" s="428">
        <v>0</v>
      </c>
      <c r="AC405" s="428">
        <v>0</v>
      </c>
      <c r="AD405" s="428">
        <v>0</v>
      </c>
      <c r="AE405" s="428">
        <v>0</v>
      </c>
      <c r="AF405" s="428">
        <v>0</v>
      </c>
      <c r="AG405" s="428">
        <v>0</v>
      </c>
      <c r="AH405" s="428">
        <v>0</v>
      </c>
      <c r="AI405" s="428">
        <v>0</v>
      </c>
      <c r="AJ405" s="428">
        <v>0</v>
      </c>
      <c r="AK405" s="428">
        <v>0</v>
      </c>
      <c r="AL405" s="428">
        <v>0</v>
      </c>
      <c r="AM405" s="428">
        <v>0</v>
      </c>
      <c r="AN405" s="428">
        <v>0</v>
      </c>
    </row>
    <row r="406" spans="1:40" ht="19" customHeight="1" x14ac:dyDescent="0.35">
      <c r="A406" s="429">
        <v>11</v>
      </c>
      <c r="B406" s="427" t="str">
        <f>PETUNJUK!B19</f>
        <v>Krasak</v>
      </c>
      <c r="C406" s="428">
        <v>0</v>
      </c>
      <c r="D406" s="428">
        <v>0</v>
      </c>
      <c r="E406" s="428">
        <v>0</v>
      </c>
      <c r="F406" s="428">
        <v>0</v>
      </c>
      <c r="G406" s="428">
        <v>0</v>
      </c>
      <c r="H406" s="428">
        <v>0</v>
      </c>
      <c r="I406" s="428">
        <v>0</v>
      </c>
      <c r="J406" s="428">
        <v>0</v>
      </c>
      <c r="K406" s="428">
        <v>0</v>
      </c>
      <c r="L406" s="428">
        <v>0</v>
      </c>
      <c r="M406" s="428">
        <v>0</v>
      </c>
      <c r="N406" s="428">
        <v>0</v>
      </c>
      <c r="O406" s="428">
        <v>0</v>
      </c>
      <c r="P406" s="428">
        <v>0</v>
      </c>
      <c r="Q406" s="428">
        <v>0</v>
      </c>
      <c r="R406" s="428">
        <v>0</v>
      </c>
      <c r="S406" s="428">
        <v>0</v>
      </c>
      <c r="T406" s="428">
        <v>0</v>
      </c>
      <c r="U406" s="428">
        <v>0</v>
      </c>
      <c r="V406" s="428">
        <v>0</v>
      </c>
      <c r="W406" s="428">
        <v>0</v>
      </c>
      <c r="X406" s="428">
        <v>0</v>
      </c>
      <c r="Y406" s="428">
        <v>0</v>
      </c>
      <c r="Z406" s="428">
        <v>0</v>
      </c>
      <c r="AA406" s="428">
        <v>0</v>
      </c>
      <c r="AB406" s="428">
        <v>0</v>
      </c>
      <c r="AC406" s="428">
        <v>0</v>
      </c>
      <c r="AD406" s="428">
        <v>0</v>
      </c>
      <c r="AE406" s="428">
        <v>0</v>
      </c>
      <c r="AF406" s="428">
        <v>0</v>
      </c>
      <c r="AG406" s="428">
        <v>0</v>
      </c>
      <c r="AH406" s="428">
        <v>0</v>
      </c>
      <c r="AI406" s="428">
        <v>0</v>
      </c>
      <c r="AJ406" s="428">
        <v>0</v>
      </c>
      <c r="AK406" s="428">
        <v>0</v>
      </c>
      <c r="AL406" s="428">
        <v>0</v>
      </c>
      <c r="AM406" s="428">
        <v>0</v>
      </c>
      <c r="AN406" s="428">
        <v>0</v>
      </c>
    </row>
    <row r="407" spans="1:40" ht="19" customHeight="1" x14ac:dyDescent="0.35">
      <c r="A407" s="429">
        <v>12</v>
      </c>
      <c r="B407" s="427" t="str">
        <f>PETUNJUK!B20</f>
        <v>Gerdu</v>
      </c>
      <c r="C407" s="428">
        <v>0</v>
      </c>
      <c r="D407" s="428">
        <v>0</v>
      </c>
      <c r="E407" s="428">
        <v>0</v>
      </c>
      <c r="F407" s="428">
        <v>0</v>
      </c>
      <c r="G407" s="428">
        <v>0</v>
      </c>
      <c r="H407" s="428">
        <v>0</v>
      </c>
      <c r="I407" s="428">
        <v>0</v>
      </c>
      <c r="J407" s="428">
        <v>0</v>
      </c>
      <c r="K407" s="428">
        <v>0</v>
      </c>
      <c r="L407" s="428">
        <v>0</v>
      </c>
      <c r="M407" s="428">
        <v>0</v>
      </c>
      <c r="N407" s="428">
        <v>0</v>
      </c>
      <c r="O407" s="428">
        <v>0</v>
      </c>
      <c r="P407" s="428">
        <v>0</v>
      </c>
      <c r="Q407" s="428">
        <v>0</v>
      </c>
      <c r="R407" s="428">
        <v>0</v>
      </c>
      <c r="S407" s="428">
        <v>0</v>
      </c>
      <c r="T407" s="428">
        <v>0</v>
      </c>
      <c r="U407" s="428">
        <v>0</v>
      </c>
      <c r="V407" s="428">
        <v>0</v>
      </c>
      <c r="W407" s="428">
        <v>0</v>
      </c>
      <c r="X407" s="428">
        <v>0</v>
      </c>
      <c r="Y407" s="428">
        <v>0</v>
      </c>
      <c r="Z407" s="428">
        <v>0</v>
      </c>
      <c r="AA407" s="428">
        <v>0</v>
      </c>
      <c r="AB407" s="428">
        <v>0</v>
      </c>
      <c r="AC407" s="428">
        <v>0</v>
      </c>
      <c r="AD407" s="428">
        <v>0</v>
      </c>
      <c r="AE407" s="428">
        <v>0</v>
      </c>
      <c r="AF407" s="428">
        <v>0</v>
      </c>
      <c r="AG407" s="428">
        <v>0</v>
      </c>
      <c r="AH407" s="428">
        <v>0</v>
      </c>
      <c r="AI407" s="428">
        <v>0</v>
      </c>
      <c r="AJ407" s="428">
        <v>0</v>
      </c>
      <c r="AK407" s="428">
        <v>0</v>
      </c>
      <c r="AL407" s="428">
        <v>0</v>
      </c>
      <c r="AM407" s="428">
        <v>0</v>
      </c>
      <c r="AN407" s="428">
        <v>0</v>
      </c>
    </row>
    <row r="408" spans="1:40" ht="19" customHeight="1" x14ac:dyDescent="0.35">
      <c r="A408" s="429">
        <v>13</v>
      </c>
      <c r="B408" s="427">
        <f>PETUNJUK!B21</f>
        <v>0</v>
      </c>
      <c r="C408" s="428">
        <v>0</v>
      </c>
      <c r="D408" s="428">
        <v>0</v>
      </c>
      <c r="E408" s="428">
        <v>0</v>
      </c>
      <c r="F408" s="428">
        <v>0</v>
      </c>
      <c r="G408" s="428">
        <v>0</v>
      </c>
      <c r="H408" s="428">
        <v>0</v>
      </c>
      <c r="I408" s="428">
        <v>0</v>
      </c>
      <c r="J408" s="428">
        <v>0</v>
      </c>
      <c r="K408" s="428">
        <v>0</v>
      </c>
      <c r="L408" s="428">
        <v>0</v>
      </c>
      <c r="M408" s="428">
        <v>0</v>
      </c>
      <c r="N408" s="428">
        <v>0</v>
      </c>
      <c r="O408" s="428">
        <v>0</v>
      </c>
      <c r="P408" s="428">
        <v>0</v>
      </c>
      <c r="Q408" s="428">
        <v>0</v>
      </c>
      <c r="R408" s="428">
        <v>0</v>
      </c>
      <c r="S408" s="428">
        <v>0</v>
      </c>
      <c r="T408" s="428">
        <v>0</v>
      </c>
      <c r="U408" s="428">
        <v>0</v>
      </c>
      <c r="V408" s="428">
        <v>0</v>
      </c>
      <c r="W408" s="428">
        <v>0</v>
      </c>
      <c r="X408" s="428">
        <v>0</v>
      </c>
      <c r="Y408" s="428">
        <v>0</v>
      </c>
      <c r="Z408" s="428">
        <v>0</v>
      </c>
      <c r="AA408" s="428">
        <v>0</v>
      </c>
      <c r="AB408" s="428">
        <v>0</v>
      </c>
      <c r="AC408" s="428">
        <v>0</v>
      </c>
      <c r="AD408" s="428">
        <v>0</v>
      </c>
      <c r="AE408" s="428">
        <v>0</v>
      </c>
      <c r="AF408" s="428">
        <v>0</v>
      </c>
      <c r="AG408" s="428">
        <v>0</v>
      </c>
      <c r="AH408" s="428">
        <v>0</v>
      </c>
      <c r="AI408" s="428">
        <v>0</v>
      </c>
      <c r="AJ408" s="428">
        <v>0</v>
      </c>
      <c r="AK408" s="428">
        <v>0</v>
      </c>
      <c r="AL408" s="428">
        <v>0</v>
      </c>
      <c r="AM408" s="428">
        <v>0</v>
      </c>
      <c r="AN408" s="428">
        <v>0</v>
      </c>
    </row>
    <row r="409" spans="1:40" ht="19" customHeight="1" x14ac:dyDescent="0.35">
      <c r="A409" s="429">
        <v>14</v>
      </c>
      <c r="B409" s="427">
        <f>PETUNJUK!B22</f>
        <v>0</v>
      </c>
      <c r="C409" s="428">
        <v>0</v>
      </c>
      <c r="D409" s="428">
        <v>0</v>
      </c>
      <c r="E409" s="428">
        <v>0</v>
      </c>
      <c r="F409" s="428">
        <v>0</v>
      </c>
      <c r="G409" s="428">
        <v>0</v>
      </c>
      <c r="H409" s="428">
        <v>0</v>
      </c>
      <c r="I409" s="428">
        <v>0</v>
      </c>
      <c r="J409" s="428">
        <v>0</v>
      </c>
      <c r="K409" s="428">
        <v>0</v>
      </c>
      <c r="L409" s="428">
        <v>0</v>
      </c>
      <c r="M409" s="428">
        <v>0</v>
      </c>
      <c r="N409" s="428">
        <v>0</v>
      </c>
      <c r="O409" s="428">
        <v>0</v>
      </c>
      <c r="P409" s="428">
        <v>0</v>
      </c>
      <c r="Q409" s="428">
        <v>0</v>
      </c>
      <c r="R409" s="428">
        <v>0</v>
      </c>
      <c r="S409" s="428">
        <v>0</v>
      </c>
      <c r="T409" s="428">
        <v>0</v>
      </c>
      <c r="U409" s="428">
        <v>0</v>
      </c>
      <c r="V409" s="428">
        <v>0</v>
      </c>
      <c r="W409" s="428">
        <v>0</v>
      </c>
      <c r="X409" s="428">
        <v>0</v>
      </c>
      <c r="Y409" s="428">
        <v>0</v>
      </c>
      <c r="Z409" s="428">
        <v>0</v>
      </c>
      <c r="AA409" s="428">
        <v>0</v>
      </c>
      <c r="AB409" s="428">
        <v>0</v>
      </c>
      <c r="AC409" s="428">
        <v>0</v>
      </c>
      <c r="AD409" s="428">
        <v>0</v>
      </c>
      <c r="AE409" s="428">
        <v>0</v>
      </c>
      <c r="AF409" s="428">
        <v>0</v>
      </c>
      <c r="AG409" s="428">
        <v>0</v>
      </c>
      <c r="AH409" s="428">
        <v>0</v>
      </c>
      <c r="AI409" s="428">
        <v>0</v>
      </c>
      <c r="AJ409" s="428">
        <v>0</v>
      </c>
      <c r="AK409" s="428">
        <v>0</v>
      </c>
      <c r="AL409" s="428">
        <v>0</v>
      </c>
      <c r="AM409" s="428">
        <v>0</v>
      </c>
      <c r="AN409" s="428">
        <v>0</v>
      </c>
    </row>
    <row r="410" spans="1:40" ht="19" customHeight="1" x14ac:dyDescent="0.35">
      <c r="A410" s="429">
        <v>15</v>
      </c>
      <c r="B410" s="427">
        <f>PETUNJUK!B23</f>
        <v>0</v>
      </c>
      <c r="C410" s="428">
        <v>0</v>
      </c>
      <c r="D410" s="428">
        <v>0</v>
      </c>
      <c r="E410" s="428">
        <v>0</v>
      </c>
      <c r="F410" s="428">
        <v>0</v>
      </c>
      <c r="G410" s="428">
        <v>0</v>
      </c>
      <c r="H410" s="428">
        <v>0</v>
      </c>
      <c r="I410" s="428">
        <v>0</v>
      </c>
      <c r="J410" s="428">
        <v>0</v>
      </c>
      <c r="K410" s="428">
        <v>0</v>
      </c>
      <c r="L410" s="428">
        <v>0</v>
      </c>
      <c r="M410" s="428">
        <v>0</v>
      </c>
      <c r="N410" s="428">
        <v>0</v>
      </c>
      <c r="O410" s="428">
        <v>0</v>
      </c>
      <c r="P410" s="428">
        <v>0</v>
      </c>
      <c r="Q410" s="428">
        <v>0</v>
      </c>
      <c r="R410" s="428">
        <v>0</v>
      </c>
      <c r="S410" s="428">
        <v>0</v>
      </c>
      <c r="T410" s="428">
        <v>0</v>
      </c>
      <c r="U410" s="428">
        <v>0</v>
      </c>
      <c r="V410" s="428">
        <v>0</v>
      </c>
      <c r="W410" s="428">
        <v>0</v>
      </c>
      <c r="X410" s="428">
        <v>0</v>
      </c>
      <c r="Y410" s="428">
        <v>0</v>
      </c>
      <c r="Z410" s="428">
        <v>0</v>
      </c>
      <c r="AA410" s="428">
        <v>0</v>
      </c>
      <c r="AB410" s="428">
        <v>0</v>
      </c>
      <c r="AC410" s="428">
        <v>0</v>
      </c>
      <c r="AD410" s="428">
        <v>0</v>
      </c>
      <c r="AE410" s="428">
        <v>0</v>
      </c>
      <c r="AF410" s="428">
        <v>0</v>
      </c>
      <c r="AG410" s="428">
        <v>0</v>
      </c>
      <c r="AH410" s="428">
        <v>0</v>
      </c>
      <c r="AI410" s="428">
        <v>0</v>
      </c>
      <c r="AJ410" s="428">
        <v>0</v>
      </c>
      <c r="AK410" s="428">
        <v>0</v>
      </c>
      <c r="AL410" s="428">
        <v>0</v>
      </c>
      <c r="AM410" s="428">
        <v>0</v>
      </c>
      <c r="AN410" s="428">
        <v>0</v>
      </c>
    </row>
    <row r="411" spans="1:40" ht="19" customHeight="1" x14ac:dyDescent="0.35">
      <c r="A411" s="429">
        <v>16</v>
      </c>
      <c r="B411" s="427">
        <f>PETUNJUK!B24</f>
        <v>0</v>
      </c>
      <c r="C411" s="428">
        <v>0</v>
      </c>
      <c r="D411" s="428">
        <v>0</v>
      </c>
      <c r="E411" s="428">
        <v>0</v>
      </c>
      <c r="F411" s="428">
        <v>0</v>
      </c>
      <c r="G411" s="428">
        <v>0</v>
      </c>
      <c r="H411" s="428">
        <v>0</v>
      </c>
      <c r="I411" s="428">
        <v>0</v>
      </c>
      <c r="J411" s="428">
        <v>0</v>
      </c>
      <c r="K411" s="428">
        <v>0</v>
      </c>
      <c r="L411" s="428">
        <v>0</v>
      </c>
      <c r="M411" s="428">
        <v>0</v>
      </c>
      <c r="N411" s="428">
        <v>0</v>
      </c>
      <c r="O411" s="428">
        <v>0</v>
      </c>
      <c r="P411" s="428">
        <v>0</v>
      </c>
      <c r="Q411" s="428">
        <v>0</v>
      </c>
      <c r="R411" s="428">
        <v>0</v>
      </c>
      <c r="S411" s="428">
        <v>0</v>
      </c>
      <c r="T411" s="428">
        <v>0</v>
      </c>
      <c r="U411" s="428">
        <v>0</v>
      </c>
      <c r="V411" s="428">
        <v>0</v>
      </c>
      <c r="W411" s="428">
        <v>0</v>
      </c>
      <c r="X411" s="428">
        <v>0</v>
      </c>
      <c r="Y411" s="428">
        <v>0</v>
      </c>
      <c r="Z411" s="428">
        <v>0</v>
      </c>
      <c r="AA411" s="428">
        <v>0</v>
      </c>
      <c r="AB411" s="428">
        <v>0</v>
      </c>
      <c r="AC411" s="428">
        <v>0</v>
      </c>
      <c r="AD411" s="428">
        <v>0</v>
      </c>
      <c r="AE411" s="428">
        <v>0</v>
      </c>
      <c r="AF411" s="428">
        <v>0</v>
      </c>
      <c r="AG411" s="428">
        <v>0</v>
      </c>
      <c r="AH411" s="428">
        <v>0</v>
      </c>
      <c r="AI411" s="428">
        <v>0</v>
      </c>
      <c r="AJ411" s="428">
        <v>0</v>
      </c>
      <c r="AK411" s="428">
        <v>0</v>
      </c>
      <c r="AL411" s="428">
        <v>0</v>
      </c>
      <c r="AM411" s="428">
        <v>0</v>
      </c>
      <c r="AN411" s="428">
        <v>0</v>
      </c>
    </row>
    <row r="412" spans="1:40" ht="19" customHeight="1" x14ac:dyDescent="0.35">
      <c r="A412" s="429">
        <v>17</v>
      </c>
      <c r="B412" s="427">
        <f>PETUNJUK!B25</f>
        <v>0</v>
      </c>
      <c r="C412" s="428">
        <v>0</v>
      </c>
      <c r="D412" s="428">
        <v>0</v>
      </c>
      <c r="E412" s="428">
        <v>0</v>
      </c>
      <c r="F412" s="428">
        <v>0</v>
      </c>
      <c r="G412" s="428">
        <v>0</v>
      </c>
      <c r="H412" s="428">
        <v>0</v>
      </c>
      <c r="I412" s="428">
        <v>0</v>
      </c>
      <c r="J412" s="428">
        <v>0</v>
      </c>
      <c r="K412" s="428">
        <v>0</v>
      </c>
      <c r="L412" s="428">
        <v>0</v>
      </c>
      <c r="M412" s="428">
        <v>0</v>
      </c>
      <c r="N412" s="428">
        <v>0</v>
      </c>
      <c r="O412" s="428">
        <v>0</v>
      </c>
      <c r="P412" s="428">
        <v>0</v>
      </c>
      <c r="Q412" s="428">
        <v>0</v>
      </c>
      <c r="R412" s="428">
        <v>0</v>
      </c>
      <c r="S412" s="428">
        <v>0</v>
      </c>
      <c r="T412" s="428">
        <v>0</v>
      </c>
      <c r="U412" s="428">
        <v>0</v>
      </c>
      <c r="V412" s="428">
        <v>0</v>
      </c>
      <c r="W412" s="428">
        <v>0</v>
      </c>
      <c r="X412" s="428">
        <v>0</v>
      </c>
      <c r="Y412" s="428">
        <v>0</v>
      </c>
      <c r="Z412" s="428">
        <v>0</v>
      </c>
      <c r="AA412" s="428">
        <v>0</v>
      </c>
      <c r="AB412" s="428">
        <v>0</v>
      </c>
      <c r="AC412" s="428">
        <v>0</v>
      </c>
      <c r="AD412" s="428">
        <v>0</v>
      </c>
      <c r="AE412" s="428">
        <v>0</v>
      </c>
      <c r="AF412" s="428">
        <v>0</v>
      </c>
      <c r="AG412" s="428">
        <v>0</v>
      </c>
      <c r="AH412" s="428">
        <v>0</v>
      </c>
      <c r="AI412" s="428">
        <v>0</v>
      </c>
      <c r="AJ412" s="428">
        <v>0</v>
      </c>
      <c r="AK412" s="428">
        <v>0</v>
      </c>
      <c r="AL412" s="428">
        <v>0</v>
      </c>
      <c r="AM412" s="428">
        <v>0</v>
      </c>
      <c r="AN412" s="428">
        <v>0</v>
      </c>
    </row>
    <row r="413" spans="1:40" ht="19" customHeight="1" x14ac:dyDescent="0.35">
      <c r="A413" s="429">
        <v>18</v>
      </c>
      <c r="B413" s="427">
        <f>PETUNJUK!B26</f>
        <v>0</v>
      </c>
      <c r="C413" s="428">
        <v>0</v>
      </c>
      <c r="D413" s="428">
        <v>0</v>
      </c>
      <c r="E413" s="428">
        <v>0</v>
      </c>
      <c r="F413" s="428">
        <v>0</v>
      </c>
      <c r="G413" s="428">
        <v>0</v>
      </c>
      <c r="H413" s="428">
        <v>0</v>
      </c>
      <c r="I413" s="428">
        <v>0</v>
      </c>
      <c r="J413" s="428">
        <v>0</v>
      </c>
      <c r="K413" s="428">
        <v>0</v>
      </c>
      <c r="L413" s="428">
        <v>0</v>
      </c>
      <c r="M413" s="428">
        <v>0</v>
      </c>
      <c r="N413" s="428">
        <v>0</v>
      </c>
      <c r="O413" s="428">
        <v>0</v>
      </c>
      <c r="P413" s="428">
        <v>0</v>
      </c>
      <c r="Q413" s="428">
        <v>0</v>
      </c>
      <c r="R413" s="428">
        <v>0</v>
      </c>
      <c r="S413" s="428">
        <v>0</v>
      </c>
      <c r="T413" s="428">
        <v>0</v>
      </c>
      <c r="U413" s="428">
        <v>0</v>
      </c>
      <c r="V413" s="428">
        <v>0</v>
      </c>
      <c r="W413" s="428">
        <v>0</v>
      </c>
      <c r="X413" s="428">
        <v>0</v>
      </c>
      <c r="Y413" s="428">
        <v>0</v>
      </c>
      <c r="Z413" s="428">
        <v>0</v>
      </c>
      <c r="AA413" s="428">
        <v>0</v>
      </c>
      <c r="AB413" s="428">
        <v>0</v>
      </c>
      <c r="AC413" s="428">
        <v>0</v>
      </c>
      <c r="AD413" s="428">
        <v>0</v>
      </c>
      <c r="AE413" s="428">
        <v>0</v>
      </c>
      <c r="AF413" s="428">
        <v>0</v>
      </c>
      <c r="AG413" s="428">
        <v>0</v>
      </c>
      <c r="AH413" s="428">
        <v>0</v>
      </c>
      <c r="AI413" s="428">
        <v>0</v>
      </c>
      <c r="AJ413" s="428">
        <v>0</v>
      </c>
      <c r="AK413" s="428">
        <v>0</v>
      </c>
      <c r="AL413" s="428">
        <v>0</v>
      </c>
      <c r="AM413" s="428">
        <v>0</v>
      </c>
      <c r="AN413" s="428">
        <v>0</v>
      </c>
    </row>
    <row r="414" spans="1:40" ht="19" customHeight="1" x14ac:dyDescent="0.35">
      <c r="A414" s="429">
        <v>19</v>
      </c>
      <c r="B414" s="427">
        <f>PETUNJUK!B27</f>
        <v>0</v>
      </c>
      <c r="C414" s="428">
        <v>0</v>
      </c>
      <c r="D414" s="428">
        <v>0</v>
      </c>
      <c r="E414" s="428">
        <v>0</v>
      </c>
      <c r="F414" s="428">
        <v>0</v>
      </c>
      <c r="G414" s="428">
        <v>0</v>
      </c>
      <c r="H414" s="428">
        <v>0</v>
      </c>
      <c r="I414" s="428">
        <v>0</v>
      </c>
      <c r="J414" s="428">
        <v>0</v>
      </c>
      <c r="K414" s="428">
        <v>0</v>
      </c>
      <c r="L414" s="428">
        <v>0</v>
      </c>
      <c r="M414" s="428">
        <v>0</v>
      </c>
      <c r="N414" s="428">
        <v>0</v>
      </c>
      <c r="O414" s="428">
        <v>0</v>
      </c>
      <c r="P414" s="428">
        <v>0</v>
      </c>
      <c r="Q414" s="428">
        <v>0</v>
      </c>
      <c r="R414" s="428">
        <v>0</v>
      </c>
      <c r="S414" s="428">
        <v>0</v>
      </c>
      <c r="T414" s="428">
        <v>0</v>
      </c>
      <c r="U414" s="428">
        <v>0</v>
      </c>
      <c r="V414" s="428">
        <v>0</v>
      </c>
      <c r="W414" s="428">
        <v>0</v>
      </c>
      <c r="X414" s="428">
        <v>0</v>
      </c>
      <c r="Y414" s="428">
        <v>0</v>
      </c>
      <c r="Z414" s="428">
        <v>0</v>
      </c>
      <c r="AA414" s="428">
        <v>0</v>
      </c>
      <c r="AB414" s="428">
        <v>0</v>
      </c>
      <c r="AC414" s="428">
        <v>0</v>
      </c>
      <c r="AD414" s="428">
        <v>0</v>
      </c>
      <c r="AE414" s="428">
        <v>0</v>
      </c>
      <c r="AF414" s="428">
        <v>0</v>
      </c>
      <c r="AG414" s="428">
        <v>0</v>
      </c>
      <c r="AH414" s="428">
        <v>0</v>
      </c>
      <c r="AI414" s="428">
        <v>0</v>
      </c>
      <c r="AJ414" s="428">
        <v>0</v>
      </c>
      <c r="AK414" s="428">
        <v>0</v>
      </c>
      <c r="AL414" s="428">
        <v>0</v>
      </c>
      <c r="AM414" s="428">
        <v>0</v>
      </c>
      <c r="AN414" s="428">
        <v>0</v>
      </c>
    </row>
    <row r="415" spans="1:40" ht="19" customHeight="1" x14ac:dyDescent="0.35">
      <c r="A415" s="429">
        <v>20</v>
      </c>
      <c r="B415" s="427">
        <f>PETUNJUK!B28</f>
        <v>0</v>
      </c>
      <c r="C415" s="428">
        <v>0</v>
      </c>
      <c r="D415" s="428">
        <v>0</v>
      </c>
      <c r="E415" s="428">
        <v>0</v>
      </c>
      <c r="F415" s="428">
        <v>0</v>
      </c>
      <c r="G415" s="428">
        <v>0</v>
      </c>
      <c r="H415" s="428">
        <v>0</v>
      </c>
      <c r="I415" s="428">
        <v>0</v>
      </c>
      <c r="J415" s="428">
        <v>0</v>
      </c>
      <c r="K415" s="428">
        <v>0</v>
      </c>
      <c r="L415" s="428">
        <v>0</v>
      </c>
      <c r="M415" s="428">
        <v>0</v>
      </c>
      <c r="N415" s="428">
        <v>0</v>
      </c>
      <c r="O415" s="428">
        <v>0</v>
      </c>
      <c r="P415" s="428">
        <v>0</v>
      </c>
      <c r="Q415" s="428">
        <v>0</v>
      </c>
      <c r="R415" s="428">
        <v>0</v>
      </c>
      <c r="S415" s="428">
        <v>0</v>
      </c>
      <c r="T415" s="428">
        <v>0</v>
      </c>
      <c r="U415" s="428">
        <v>0</v>
      </c>
      <c r="V415" s="428">
        <v>0</v>
      </c>
      <c r="W415" s="428">
        <v>0</v>
      </c>
      <c r="X415" s="428">
        <v>0</v>
      </c>
      <c r="Y415" s="428">
        <v>0</v>
      </c>
      <c r="Z415" s="428">
        <v>0</v>
      </c>
      <c r="AA415" s="428">
        <v>0</v>
      </c>
      <c r="AB415" s="428">
        <v>0</v>
      </c>
      <c r="AC415" s="428">
        <v>0</v>
      </c>
      <c r="AD415" s="428">
        <v>0</v>
      </c>
      <c r="AE415" s="428">
        <v>0</v>
      </c>
      <c r="AF415" s="428">
        <v>0</v>
      </c>
      <c r="AG415" s="428">
        <v>0</v>
      </c>
      <c r="AH415" s="428">
        <v>0</v>
      </c>
      <c r="AI415" s="428">
        <v>0</v>
      </c>
      <c r="AJ415" s="428">
        <v>0</v>
      </c>
      <c r="AK415" s="428">
        <v>0</v>
      </c>
      <c r="AL415" s="428">
        <v>0</v>
      </c>
      <c r="AM415" s="428">
        <v>0</v>
      </c>
      <c r="AN415" s="428">
        <v>0</v>
      </c>
    </row>
    <row r="416" spans="1:40" ht="19" customHeight="1" x14ac:dyDescent="0.35">
      <c r="A416" s="429">
        <v>21</v>
      </c>
      <c r="B416" s="427">
        <f>PETUNJUK!B29</f>
        <v>0</v>
      </c>
      <c r="C416" s="428">
        <v>0</v>
      </c>
      <c r="D416" s="428">
        <v>0</v>
      </c>
      <c r="E416" s="428">
        <v>0</v>
      </c>
      <c r="F416" s="428">
        <v>0</v>
      </c>
      <c r="G416" s="428">
        <v>0</v>
      </c>
      <c r="H416" s="428">
        <v>0</v>
      </c>
      <c r="I416" s="428">
        <v>0</v>
      </c>
      <c r="J416" s="428">
        <v>0</v>
      </c>
      <c r="K416" s="428">
        <v>0</v>
      </c>
      <c r="L416" s="428">
        <v>0</v>
      </c>
      <c r="M416" s="428">
        <v>0</v>
      </c>
      <c r="N416" s="428">
        <v>0</v>
      </c>
      <c r="O416" s="428">
        <v>0</v>
      </c>
      <c r="P416" s="428">
        <v>0</v>
      </c>
      <c r="Q416" s="428">
        <v>0</v>
      </c>
      <c r="R416" s="428">
        <v>0</v>
      </c>
      <c r="S416" s="428">
        <v>0</v>
      </c>
      <c r="T416" s="428">
        <v>0</v>
      </c>
      <c r="U416" s="428">
        <v>0</v>
      </c>
      <c r="V416" s="428">
        <v>0</v>
      </c>
      <c r="W416" s="428">
        <v>0</v>
      </c>
      <c r="X416" s="428">
        <v>0</v>
      </c>
      <c r="Y416" s="428">
        <v>0</v>
      </c>
      <c r="Z416" s="428">
        <v>0</v>
      </c>
      <c r="AA416" s="428">
        <v>0</v>
      </c>
      <c r="AB416" s="428">
        <v>0</v>
      </c>
      <c r="AC416" s="428">
        <v>0</v>
      </c>
      <c r="AD416" s="428">
        <v>0</v>
      </c>
      <c r="AE416" s="428">
        <v>0</v>
      </c>
      <c r="AF416" s="428">
        <v>0</v>
      </c>
      <c r="AG416" s="428">
        <v>0</v>
      </c>
      <c r="AH416" s="428">
        <v>0</v>
      </c>
      <c r="AI416" s="428">
        <v>0</v>
      </c>
      <c r="AJ416" s="428">
        <v>0</v>
      </c>
      <c r="AK416" s="428">
        <v>0</v>
      </c>
      <c r="AL416" s="428">
        <v>0</v>
      </c>
      <c r="AM416" s="428">
        <v>0</v>
      </c>
      <c r="AN416" s="428">
        <v>0</v>
      </c>
    </row>
    <row r="417" spans="1:43" ht="19" customHeight="1" x14ac:dyDescent="0.35">
      <c r="A417" s="429">
        <v>22</v>
      </c>
      <c r="B417" s="427">
        <f>PETUNJUK!B30</f>
        <v>0</v>
      </c>
      <c r="C417" s="428">
        <v>0</v>
      </c>
      <c r="D417" s="428">
        <v>0</v>
      </c>
      <c r="E417" s="428">
        <v>0</v>
      </c>
      <c r="F417" s="428">
        <v>0</v>
      </c>
      <c r="G417" s="428">
        <v>0</v>
      </c>
      <c r="H417" s="428">
        <v>0</v>
      </c>
      <c r="I417" s="428">
        <v>0</v>
      </c>
      <c r="J417" s="428">
        <v>0</v>
      </c>
      <c r="K417" s="428">
        <v>0</v>
      </c>
      <c r="L417" s="428">
        <v>0</v>
      </c>
      <c r="M417" s="428">
        <v>0</v>
      </c>
      <c r="N417" s="428">
        <v>0</v>
      </c>
      <c r="O417" s="428">
        <v>0</v>
      </c>
      <c r="P417" s="428">
        <v>0</v>
      </c>
      <c r="Q417" s="428">
        <v>0</v>
      </c>
      <c r="R417" s="428">
        <v>0</v>
      </c>
      <c r="S417" s="428">
        <v>0</v>
      </c>
      <c r="T417" s="428">
        <v>0</v>
      </c>
      <c r="U417" s="428">
        <v>0</v>
      </c>
      <c r="V417" s="428">
        <v>0</v>
      </c>
      <c r="W417" s="428">
        <v>0</v>
      </c>
      <c r="X417" s="428">
        <v>0</v>
      </c>
      <c r="Y417" s="428">
        <v>0</v>
      </c>
      <c r="Z417" s="428">
        <v>0</v>
      </c>
      <c r="AA417" s="428">
        <v>0</v>
      </c>
      <c r="AB417" s="428">
        <v>0</v>
      </c>
      <c r="AC417" s="428">
        <v>0</v>
      </c>
      <c r="AD417" s="428">
        <v>0</v>
      </c>
      <c r="AE417" s="428">
        <v>0</v>
      </c>
      <c r="AF417" s="428">
        <v>0</v>
      </c>
      <c r="AG417" s="428">
        <v>0</v>
      </c>
      <c r="AH417" s="428">
        <v>0</v>
      </c>
      <c r="AI417" s="428">
        <v>0</v>
      </c>
      <c r="AJ417" s="428">
        <v>0</v>
      </c>
      <c r="AK417" s="428">
        <v>0</v>
      </c>
      <c r="AL417" s="428">
        <v>0</v>
      </c>
      <c r="AM417" s="428">
        <v>0</v>
      </c>
      <c r="AN417" s="428">
        <v>0</v>
      </c>
    </row>
    <row r="418" spans="1:43" s="433" customFormat="1" ht="19" customHeight="1" x14ac:dyDescent="0.35">
      <c r="A418" s="419"/>
      <c r="B418" s="419" t="s">
        <v>17</v>
      </c>
      <c r="C418" s="420">
        <f>SUM(C396:C417)</f>
        <v>0</v>
      </c>
      <c r="D418" s="419">
        <f t="shared" ref="D418:AI418" si="56">SUM(D396:D417)</f>
        <v>0</v>
      </c>
      <c r="E418" s="419">
        <f t="shared" si="56"/>
        <v>0</v>
      </c>
      <c r="F418" s="419">
        <f>SUM(F396:F417)</f>
        <v>0</v>
      </c>
      <c r="G418" s="419">
        <f t="shared" ref="G418:H418" si="57">SUM(G396:G417)</f>
        <v>0</v>
      </c>
      <c r="H418" s="419">
        <f t="shared" si="57"/>
        <v>0</v>
      </c>
      <c r="I418" s="419">
        <f t="shared" si="56"/>
        <v>0</v>
      </c>
      <c r="J418" s="419">
        <f t="shared" si="56"/>
        <v>0</v>
      </c>
      <c r="K418" s="419">
        <f t="shared" si="56"/>
        <v>0</v>
      </c>
      <c r="L418" s="419">
        <f t="shared" si="56"/>
        <v>0</v>
      </c>
      <c r="M418" s="419">
        <f t="shared" si="56"/>
        <v>0</v>
      </c>
      <c r="N418" s="419">
        <f t="shared" si="56"/>
        <v>0</v>
      </c>
      <c r="O418" s="419">
        <f t="shared" si="56"/>
        <v>0</v>
      </c>
      <c r="P418" s="419">
        <f t="shared" si="56"/>
        <v>0</v>
      </c>
      <c r="Q418" s="419">
        <f t="shared" si="56"/>
        <v>0</v>
      </c>
      <c r="R418" s="419">
        <f t="shared" si="56"/>
        <v>0</v>
      </c>
      <c r="S418" s="419">
        <f t="shared" si="56"/>
        <v>0</v>
      </c>
      <c r="T418" s="419">
        <f t="shared" si="56"/>
        <v>0</v>
      </c>
      <c r="U418" s="419">
        <f t="shared" si="56"/>
        <v>0</v>
      </c>
      <c r="V418" s="419">
        <f t="shared" si="56"/>
        <v>0</v>
      </c>
      <c r="W418" s="419">
        <f t="shared" si="56"/>
        <v>0</v>
      </c>
      <c r="X418" s="419">
        <f t="shared" si="56"/>
        <v>0</v>
      </c>
      <c r="Y418" s="419">
        <f t="shared" si="56"/>
        <v>0</v>
      </c>
      <c r="Z418" s="419">
        <f t="shared" si="56"/>
        <v>0</v>
      </c>
      <c r="AA418" s="419">
        <f t="shared" si="56"/>
        <v>0</v>
      </c>
      <c r="AB418" s="419">
        <f t="shared" si="56"/>
        <v>0</v>
      </c>
      <c r="AC418" s="419">
        <f t="shared" si="56"/>
        <v>0</v>
      </c>
      <c r="AD418" s="419">
        <f t="shared" si="56"/>
        <v>0</v>
      </c>
      <c r="AE418" s="419">
        <f t="shared" si="56"/>
        <v>0</v>
      </c>
      <c r="AF418" s="419">
        <f t="shared" si="56"/>
        <v>0</v>
      </c>
      <c r="AG418" s="419">
        <f t="shared" si="56"/>
        <v>0</v>
      </c>
      <c r="AH418" s="419">
        <f t="shared" si="56"/>
        <v>0</v>
      </c>
      <c r="AI418" s="419">
        <f t="shared" si="56"/>
        <v>0</v>
      </c>
      <c r="AJ418" s="677">
        <f t="shared" ref="AJ418:AN418" si="58">SUM(AJ396:AJ417)</f>
        <v>0</v>
      </c>
      <c r="AK418" s="677">
        <f t="shared" si="58"/>
        <v>0</v>
      </c>
      <c r="AL418" s="677">
        <f t="shared" si="58"/>
        <v>0</v>
      </c>
      <c r="AM418" s="677">
        <f t="shared" si="58"/>
        <v>0</v>
      </c>
      <c r="AN418" s="677">
        <f t="shared" si="58"/>
        <v>0</v>
      </c>
    </row>
    <row r="419" spans="1:43" ht="19" customHeight="1" x14ac:dyDescent="0.35">
      <c r="A419" s="30"/>
      <c r="B419" s="30"/>
      <c r="C419" s="541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</row>
    <row r="420" spans="1:43" ht="19" customHeight="1" x14ac:dyDescent="0.35">
      <c r="A420" s="30"/>
      <c r="B420" s="30"/>
      <c r="C420" s="541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</row>
    <row r="421" spans="1:43" ht="19" customHeight="1" x14ac:dyDescent="0.35">
      <c r="A421" s="30"/>
      <c r="B421" s="30"/>
      <c r="C421" s="541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</row>
    <row r="422" spans="1:43" s="418" customFormat="1" ht="19" customHeight="1" x14ac:dyDescent="0.35">
      <c r="A422" s="535" t="s">
        <v>147</v>
      </c>
      <c r="B422" s="535"/>
      <c r="C422" s="536" t="s">
        <v>243</v>
      </c>
      <c r="D422" s="535" t="str">
        <f>D2</f>
        <v>PECANGAAN</v>
      </c>
      <c r="E422" s="535"/>
      <c r="F422" s="535"/>
      <c r="G422" s="535"/>
      <c r="H422" s="535"/>
      <c r="I422" s="537"/>
      <c r="J422" s="537"/>
      <c r="K422" s="537"/>
      <c r="L422" s="537"/>
      <c r="M422" s="537"/>
      <c r="N422" s="537"/>
      <c r="O422" s="537"/>
      <c r="P422" s="537"/>
      <c r="Q422" s="537"/>
      <c r="R422" s="537"/>
      <c r="S422" s="537"/>
      <c r="T422" s="537"/>
      <c r="U422" s="537"/>
      <c r="V422" s="537"/>
      <c r="W422" s="537"/>
      <c r="X422" s="537"/>
      <c r="Y422" s="537"/>
      <c r="Z422" s="537"/>
      <c r="AA422" s="537"/>
      <c r="AB422" s="537"/>
      <c r="AC422" s="537"/>
      <c r="AD422" s="537"/>
      <c r="AE422" s="537"/>
      <c r="AF422" s="537"/>
      <c r="AG422" s="537"/>
      <c r="AH422" s="537"/>
      <c r="AI422" s="537"/>
      <c r="AJ422" s="537"/>
      <c r="AK422" s="537"/>
      <c r="AL422" s="537"/>
      <c r="AM422" s="537"/>
    </row>
    <row r="423" spans="1:43" s="418" customFormat="1" ht="19" customHeight="1" x14ac:dyDescent="0.35">
      <c r="A423" s="535" t="s">
        <v>242</v>
      </c>
      <c r="B423" s="535"/>
      <c r="C423" s="536" t="s">
        <v>243</v>
      </c>
      <c r="D423" s="538" t="s">
        <v>400</v>
      </c>
      <c r="E423" s="535"/>
      <c r="F423" s="535"/>
      <c r="G423" s="538"/>
      <c r="H423" s="535"/>
      <c r="I423" s="537"/>
      <c r="J423" s="537"/>
      <c r="K423" s="537"/>
      <c r="L423" s="537"/>
      <c r="M423" s="537"/>
      <c r="N423" s="537"/>
      <c r="O423" s="537"/>
      <c r="P423" s="537"/>
      <c r="Q423" s="537"/>
      <c r="R423" s="537"/>
      <c r="S423" s="537"/>
      <c r="T423" s="537"/>
      <c r="U423" s="537"/>
      <c r="V423" s="537"/>
      <c r="W423" s="537"/>
      <c r="X423" s="537"/>
      <c r="Y423" s="537"/>
      <c r="Z423" s="537"/>
      <c r="AA423" s="537"/>
      <c r="AB423" s="537"/>
      <c r="AC423" s="537"/>
      <c r="AD423" s="537"/>
      <c r="AE423" s="537"/>
      <c r="AF423" s="537"/>
      <c r="AG423" s="537"/>
      <c r="AH423" s="537"/>
      <c r="AI423" s="537"/>
      <c r="AJ423" s="537"/>
      <c r="AK423" s="537"/>
      <c r="AL423" s="537"/>
      <c r="AM423" s="537"/>
    </row>
    <row r="424" spans="1:43" ht="19" customHeight="1" x14ac:dyDescent="0.35">
      <c r="A424" s="539"/>
      <c r="B424" s="539"/>
      <c r="C424" s="540"/>
      <c r="D424" s="539"/>
      <c r="E424" s="539"/>
      <c r="F424" s="539"/>
      <c r="G424" s="539"/>
      <c r="H424" s="539"/>
      <c r="I424" s="416"/>
      <c r="J424" s="416"/>
      <c r="K424" s="416"/>
      <c r="L424" s="416"/>
      <c r="M424" s="416"/>
      <c r="N424" s="416"/>
      <c r="O424" s="416"/>
      <c r="P424" s="416"/>
      <c r="Q424" s="416"/>
      <c r="R424" s="416"/>
      <c r="S424" s="416"/>
      <c r="T424" s="416"/>
      <c r="U424" s="416"/>
      <c r="V424" s="416"/>
      <c r="W424" s="416"/>
      <c r="X424" s="416"/>
      <c r="Y424" s="416"/>
      <c r="Z424" s="416"/>
      <c r="AA424" s="416"/>
      <c r="AB424" s="416"/>
      <c r="AC424" s="416"/>
      <c r="AD424" s="416"/>
      <c r="AE424" s="416"/>
      <c r="AF424" s="416"/>
      <c r="AG424" s="416"/>
      <c r="AH424" s="416"/>
      <c r="AI424" s="416"/>
      <c r="AJ424" s="416"/>
      <c r="AK424" s="416"/>
      <c r="AL424" s="416"/>
      <c r="AM424" s="416"/>
    </row>
    <row r="425" spans="1:43" ht="19" customHeight="1" x14ac:dyDescent="0.35">
      <c r="A425" s="416"/>
      <c r="B425" s="416"/>
      <c r="C425" s="417"/>
      <c r="D425" s="416"/>
      <c r="E425" s="416"/>
      <c r="F425" s="416"/>
      <c r="G425" s="416"/>
      <c r="H425" s="416"/>
      <c r="I425" s="416"/>
      <c r="J425" s="416"/>
      <c r="K425" s="416"/>
      <c r="L425" s="416"/>
      <c r="M425" s="416"/>
      <c r="N425" s="416"/>
      <c r="O425" s="416"/>
      <c r="P425" s="416"/>
      <c r="Q425" s="416"/>
      <c r="R425" s="416"/>
      <c r="S425" s="416"/>
      <c r="T425" s="416"/>
      <c r="U425" s="416"/>
      <c r="V425" s="416"/>
      <c r="W425" s="416"/>
      <c r="X425" s="416"/>
      <c r="Y425" s="416"/>
      <c r="Z425" s="416"/>
      <c r="AA425" s="416"/>
      <c r="AB425" s="416"/>
      <c r="AC425" s="416"/>
      <c r="AD425" s="416"/>
      <c r="AE425" s="416"/>
      <c r="AF425" s="416"/>
      <c r="AG425" s="416"/>
      <c r="AH425" s="416"/>
      <c r="AI425" s="416"/>
      <c r="AJ425" s="416"/>
      <c r="AK425" s="416"/>
      <c r="AL425" s="416"/>
      <c r="AM425" s="416"/>
    </row>
    <row r="426" spans="1:43" s="421" customFormat="1" ht="19" customHeight="1" x14ac:dyDescent="0.35">
      <c r="A426" s="967" t="s">
        <v>244</v>
      </c>
      <c r="B426" s="967" t="s">
        <v>151</v>
      </c>
      <c r="C426" s="960" t="s">
        <v>311</v>
      </c>
      <c r="D426" s="960"/>
      <c r="E426" s="960"/>
      <c r="F426" s="960" t="s">
        <v>312</v>
      </c>
      <c r="G426" s="960"/>
      <c r="H426" s="960"/>
      <c r="I426" s="960" t="s">
        <v>33</v>
      </c>
      <c r="J426" s="960"/>
      <c r="K426" s="970" t="s">
        <v>245</v>
      </c>
      <c r="L426" s="970"/>
      <c r="M426" s="970" t="s">
        <v>246</v>
      </c>
      <c r="N426" s="970"/>
      <c r="O426" s="960" t="s">
        <v>247</v>
      </c>
      <c r="P426" s="960"/>
      <c r="Q426" s="960"/>
      <c r="R426" s="960"/>
      <c r="S426" s="960"/>
      <c r="T426" s="960"/>
      <c r="U426" s="960"/>
      <c r="V426" s="960"/>
      <c r="W426" s="960"/>
      <c r="X426" s="971" t="s">
        <v>247</v>
      </c>
      <c r="Y426" s="960"/>
      <c r="Z426" s="960"/>
      <c r="AA426" s="960"/>
      <c r="AB426" s="960"/>
      <c r="AC426" s="960"/>
      <c r="AD426" s="960"/>
      <c r="AE426" s="960"/>
      <c r="AF426" s="960"/>
      <c r="AG426" s="960"/>
      <c r="AH426" s="960"/>
      <c r="AI426" s="960"/>
      <c r="AJ426" s="975" t="s">
        <v>248</v>
      </c>
      <c r="AK426" s="975"/>
      <c r="AL426" s="975"/>
      <c r="AM426" s="975"/>
      <c r="AN426" s="975"/>
    </row>
    <row r="427" spans="1:43" s="421" customFormat="1" ht="19" customHeight="1" x14ac:dyDescent="0.35">
      <c r="A427" s="968"/>
      <c r="B427" s="968"/>
      <c r="C427" s="961" t="s">
        <v>249</v>
      </c>
      <c r="D427" s="972" t="s">
        <v>250</v>
      </c>
      <c r="E427" s="961" t="s">
        <v>251</v>
      </c>
      <c r="F427" s="961" t="s">
        <v>249</v>
      </c>
      <c r="G427" s="961" t="s">
        <v>250</v>
      </c>
      <c r="H427" s="961" t="s">
        <v>251</v>
      </c>
      <c r="I427" s="961" t="s">
        <v>252</v>
      </c>
      <c r="J427" s="961" t="s">
        <v>253</v>
      </c>
      <c r="K427" s="961" t="s">
        <v>254</v>
      </c>
      <c r="L427" s="961" t="s">
        <v>255</v>
      </c>
      <c r="M427" s="961" t="s">
        <v>254</v>
      </c>
      <c r="N427" s="961" t="s">
        <v>256</v>
      </c>
      <c r="O427" s="965" t="s">
        <v>257</v>
      </c>
      <c r="P427" s="965"/>
      <c r="Q427" s="965"/>
      <c r="R427" s="965"/>
      <c r="S427" s="965"/>
      <c r="T427" s="965" t="s">
        <v>258</v>
      </c>
      <c r="U427" s="965"/>
      <c r="V427" s="965"/>
      <c r="W427" s="965"/>
      <c r="X427" s="966" t="s">
        <v>259</v>
      </c>
      <c r="Y427" s="965"/>
      <c r="Z427" s="965"/>
      <c r="AA427" s="965" t="s">
        <v>260</v>
      </c>
      <c r="AB427" s="965"/>
      <c r="AC427" s="965"/>
      <c r="AD427" s="965" t="s">
        <v>261</v>
      </c>
      <c r="AE427" s="965"/>
      <c r="AF427" s="965"/>
      <c r="AG427" s="965" t="s">
        <v>262</v>
      </c>
      <c r="AH427" s="965"/>
      <c r="AI427" s="965"/>
      <c r="AJ427" s="964" t="s">
        <v>421</v>
      </c>
      <c r="AK427" s="964" t="s">
        <v>263</v>
      </c>
      <c r="AL427" s="964" t="s">
        <v>264</v>
      </c>
      <c r="AM427" s="964" t="s">
        <v>265</v>
      </c>
      <c r="AN427" s="964" t="s">
        <v>424</v>
      </c>
      <c r="AO427" s="423"/>
      <c r="AP427" s="423"/>
      <c r="AQ427" s="423"/>
    </row>
    <row r="428" spans="1:43" s="421" customFormat="1" ht="19" customHeight="1" x14ac:dyDescent="0.35">
      <c r="A428" s="968"/>
      <c r="B428" s="968"/>
      <c r="C428" s="962"/>
      <c r="D428" s="973"/>
      <c r="E428" s="962"/>
      <c r="F428" s="962"/>
      <c r="G428" s="962"/>
      <c r="H428" s="962"/>
      <c r="I428" s="962"/>
      <c r="J428" s="962"/>
      <c r="K428" s="962"/>
      <c r="L428" s="962"/>
      <c r="M428" s="962"/>
      <c r="N428" s="962"/>
      <c r="O428" s="965" t="s">
        <v>266</v>
      </c>
      <c r="P428" s="965" t="s">
        <v>267</v>
      </c>
      <c r="Q428" s="965" t="s">
        <v>268</v>
      </c>
      <c r="R428" s="965" t="s">
        <v>269</v>
      </c>
      <c r="S428" s="965"/>
      <c r="T428" s="965" t="s">
        <v>270</v>
      </c>
      <c r="U428" s="965" t="s">
        <v>271</v>
      </c>
      <c r="V428" s="965" t="s">
        <v>272</v>
      </c>
      <c r="W428" s="965" t="s">
        <v>273</v>
      </c>
      <c r="X428" s="966" t="s">
        <v>274</v>
      </c>
      <c r="Y428" s="965" t="s">
        <v>275</v>
      </c>
      <c r="Z428" s="965" t="s">
        <v>276</v>
      </c>
      <c r="AA428" s="965" t="s">
        <v>277</v>
      </c>
      <c r="AB428" s="965" t="s">
        <v>278</v>
      </c>
      <c r="AC428" s="965" t="s">
        <v>279</v>
      </c>
      <c r="AD428" s="965" t="s">
        <v>280</v>
      </c>
      <c r="AE428" s="965" t="s">
        <v>281</v>
      </c>
      <c r="AF428" s="965" t="s">
        <v>282</v>
      </c>
      <c r="AG428" s="965" t="s">
        <v>283</v>
      </c>
      <c r="AH428" s="965" t="s">
        <v>284</v>
      </c>
      <c r="AI428" s="965" t="s">
        <v>279</v>
      </c>
      <c r="AJ428" s="964"/>
      <c r="AK428" s="964"/>
      <c r="AL428" s="964"/>
      <c r="AM428" s="964"/>
      <c r="AN428" s="964"/>
      <c r="AO428" s="423"/>
      <c r="AP428" s="423"/>
      <c r="AQ428" s="423"/>
    </row>
    <row r="429" spans="1:43" s="421" customFormat="1" ht="19" customHeight="1" x14ac:dyDescent="0.35">
      <c r="A429" s="969"/>
      <c r="B429" s="969"/>
      <c r="C429" s="963"/>
      <c r="D429" s="974"/>
      <c r="E429" s="963"/>
      <c r="F429" s="963"/>
      <c r="G429" s="963"/>
      <c r="H429" s="963"/>
      <c r="I429" s="963"/>
      <c r="J429" s="963"/>
      <c r="K429" s="963"/>
      <c r="L429" s="963"/>
      <c r="M429" s="963"/>
      <c r="N429" s="963"/>
      <c r="O429" s="965"/>
      <c r="P429" s="965"/>
      <c r="Q429" s="965"/>
      <c r="R429" s="422" t="s">
        <v>285</v>
      </c>
      <c r="S429" s="422" t="s">
        <v>286</v>
      </c>
      <c r="T429" s="965"/>
      <c r="U429" s="965"/>
      <c r="V429" s="965"/>
      <c r="W429" s="965"/>
      <c r="X429" s="966"/>
      <c r="Y429" s="965"/>
      <c r="Z429" s="965"/>
      <c r="AA429" s="965"/>
      <c r="AB429" s="965"/>
      <c r="AC429" s="965"/>
      <c r="AD429" s="965"/>
      <c r="AE429" s="965"/>
      <c r="AF429" s="965"/>
      <c r="AG429" s="965"/>
      <c r="AH429" s="965"/>
      <c r="AI429" s="965"/>
      <c r="AJ429" s="964"/>
      <c r="AK429" s="964"/>
      <c r="AL429" s="964"/>
      <c r="AM429" s="964"/>
      <c r="AN429" s="964"/>
      <c r="AO429" s="423"/>
      <c r="AP429" s="423"/>
      <c r="AQ429" s="423"/>
    </row>
    <row r="430" spans="1:43" s="421" customFormat="1" ht="19" customHeight="1" thickBot="1" x14ac:dyDescent="0.4">
      <c r="A430" s="424">
        <v>1</v>
      </c>
      <c r="B430" s="424">
        <v>2</v>
      </c>
      <c r="C430" s="631">
        <v>3</v>
      </c>
      <c r="D430" s="621">
        <v>4</v>
      </c>
      <c r="E430" s="621">
        <v>5</v>
      </c>
      <c r="F430" s="621">
        <v>6</v>
      </c>
      <c r="G430" s="621">
        <v>7</v>
      </c>
      <c r="H430" s="621">
        <v>8</v>
      </c>
      <c r="I430" s="621">
        <v>9</v>
      </c>
      <c r="J430" s="621">
        <v>10</v>
      </c>
      <c r="K430" s="621">
        <v>11</v>
      </c>
      <c r="L430" s="621">
        <v>12</v>
      </c>
      <c r="M430" s="621">
        <v>13</v>
      </c>
      <c r="N430" s="621">
        <v>14</v>
      </c>
      <c r="O430" s="621">
        <v>15</v>
      </c>
      <c r="P430" s="621">
        <v>16</v>
      </c>
      <c r="Q430" s="621">
        <v>17</v>
      </c>
      <c r="R430" s="621">
        <v>18</v>
      </c>
      <c r="S430" s="621">
        <v>19</v>
      </c>
      <c r="T430" s="621">
        <v>20</v>
      </c>
      <c r="U430" s="621">
        <v>21</v>
      </c>
      <c r="V430" s="621">
        <v>22</v>
      </c>
      <c r="W430" s="621">
        <v>23</v>
      </c>
      <c r="X430" s="621">
        <v>24</v>
      </c>
      <c r="Y430" s="621">
        <v>25</v>
      </c>
      <c r="Z430" s="621">
        <v>26</v>
      </c>
      <c r="AA430" s="621">
        <v>27</v>
      </c>
      <c r="AB430" s="621">
        <v>28</v>
      </c>
      <c r="AC430" s="621">
        <v>29</v>
      </c>
      <c r="AD430" s="621">
        <v>30</v>
      </c>
      <c r="AE430" s="621">
        <v>31</v>
      </c>
      <c r="AF430" s="621">
        <v>32</v>
      </c>
      <c r="AG430" s="621">
        <v>33</v>
      </c>
      <c r="AH430" s="621">
        <v>34</v>
      </c>
      <c r="AI430" s="621">
        <v>35</v>
      </c>
      <c r="AJ430" s="677">
        <v>36</v>
      </c>
      <c r="AK430" s="677">
        <v>37</v>
      </c>
      <c r="AL430" s="677">
        <v>38</v>
      </c>
      <c r="AM430" s="677">
        <v>39</v>
      </c>
      <c r="AN430" s="677">
        <v>40</v>
      </c>
    </row>
    <row r="431" spans="1:43" ht="19" customHeight="1" thickTop="1" x14ac:dyDescent="0.35">
      <c r="A431" s="427">
        <v>1</v>
      </c>
      <c r="B431" s="427" t="str">
        <f>PETUNJUK!B9</f>
        <v>Pecangaan Kulon</v>
      </c>
      <c r="C431" s="428">
        <v>0</v>
      </c>
      <c r="D431" s="428">
        <v>0</v>
      </c>
      <c r="E431" s="428">
        <v>0</v>
      </c>
      <c r="F431" s="428">
        <v>0</v>
      </c>
      <c r="G431" s="428">
        <v>0</v>
      </c>
      <c r="H431" s="428">
        <v>0</v>
      </c>
      <c r="I431" s="428">
        <v>0</v>
      </c>
      <c r="J431" s="428">
        <v>0</v>
      </c>
      <c r="K431" s="428">
        <v>0</v>
      </c>
      <c r="L431" s="428">
        <v>0</v>
      </c>
      <c r="M431" s="428">
        <v>0</v>
      </c>
      <c r="N431" s="428">
        <v>0</v>
      </c>
      <c r="O431" s="428">
        <v>0</v>
      </c>
      <c r="P431" s="428">
        <v>0</v>
      </c>
      <c r="Q431" s="428">
        <v>0</v>
      </c>
      <c r="R431" s="428">
        <v>0</v>
      </c>
      <c r="S431" s="428">
        <v>0</v>
      </c>
      <c r="T431" s="428">
        <v>0</v>
      </c>
      <c r="U431" s="428">
        <v>0</v>
      </c>
      <c r="V431" s="428">
        <v>0</v>
      </c>
      <c r="W431" s="428">
        <v>0</v>
      </c>
      <c r="X431" s="428">
        <v>0</v>
      </c>
      <c r="Y431" s="428">
        <v>0</v>
      </c>
      <c r="Z431" s="428">
        <v>0</v>
      </c>
      <c r="AA431" s="428">
        <v>0</v>
      </c>
      <c r="AB431" s="428">
        <v>0</v>
      </c>
      <c r="AC431" s="428">
        <v>0</v>
      </c>
      <c r="AD431" s="428">
        <v>0</v>
      </c>
      <c r="AE431" s="428">
        <v>0</v>
      </c>
      <c r="AF431" s="428">
        <v>0</v>
      </c>
      <c r="AG431" s="428">
        <v>0</v>
      </c>
      <c r="AH431" s="428">
        <v>0</v>
      </c>
      <c r="AI431" s="428">
        <v>0</v>
      </c>
      <c r="AJ431" s="428">
        <v>0</v>
      </c>
      <c r="AK431" s="428">
        <v>0</v>
      </c>
      <c r="AL431" s="428">
        <v>0</v>
      </c>
      <c r="AM431" s="428">
        <v>0</v>
      </c>
      <c r="AN431" s="428">
        <v>0</v>
      </c>
    </row>
    <row r="432" spans="1:43" ht="19" customHeight="1" x14ac:dyDescent="0.35">
      <c r="A432" s="429">
        <v>2</v>
      </c>
      <c r="B432" s="427" t="str">
        <f>PETUNJUK!B10</f>
        <v>Rengging</v>
      </c>
      <c r="C432" s="428">
        <v>0</v>
      </c>
      <c r="D432" s="428">
        <v>0</v>
      </c>
      <c r="E432" s="428">
        <v>0</v>
      </c>
      <c r="F432" s="428">
        <v>0</v>
      </c>
      <c r="G432" s="428">
        <v>0</v>
      </c>
      <c r="H432" s="428">
        <v>0</v>
      </c>
      <c r="I432" s="428">
        <v>0</v>
      </c>
      <c r="J432" s="428">
        <v>0</v>
      </c>
      <c r="K432" s="428">
        <v>0</v>
      </c>
      <c r="L432" s="428">
        <v>0</v>
      </c>
      <c r="M432" s="428">
        <v>0</v>
      </c>
      <c r="N432" s="428">
        <v>0</v>
      </c>
      <c r="O432" s="428">
        <v>0</v>
      </c>
      <c r="P432" s="428">
        <v>0</v>
      </c>
      <c r="Q432" s="428">
        <v>0</v>
      </c>
      <c r="R432" s="428">
        <v>0</v>
      </c>
      <c r="S432" s="428">
        <v>0</v>
      </c>
      <c r="T432" s="428">
        <v>0</v>
      </c>
      <c r="U432" s="428">
        <v>0</v>
      </c>
      <c r="V432" s="428">
        <v>0</v>
      </c>
      <c r="W432" s="428">
        <v>0</v>
      </c>
      <c r="X432" s="428">
        <v>0</v>
      </c>
      <c r="Y432" s="428">
        <v>0</v>
      </c>
      <c r="Z432" s="428">
        <v>0</v>
      </c>
      <c r="AA432" s="428">
        <v>0</v>
      </c>
      <c r="AB432" s="428">
        <v>0</v>
      </c>
      <c r="AC432" s="428">
        <v>0</v>
      </c>
      <c r="AD432" s="428">
        <v>0</v>
      </c>
      <c r="AE432" s="428">
        <v>0</v>
      </c>
      <c r="AF432" s="428">
        <v>0</v>
      </c>
      <c r="AG432" s="428">
        <v>0</v>
      </c>
      <c r="AH432" s="428">
        <v>0</v>
      </c>
      <c r="AI432" s="428">
        <v>0</v>
      </c>
      <c r="AJ432" s="428">
        <v>0</v>
      </c>
      <c r="AK432" s="428">
        <v>0</v>
      </c>
      <c r="AL432" s="428">
        <v>0</v>
      </c>
      <c r="AM432" s="428">
        <v>0</v>
      </c>
      <c r="AN432" s="428">
        <v>0</v>
      </c>
    </row>
    <row r="433" spans="1:40" ht="19" customHeight="1" x14ac:dyDescent="0.35">
      <c r="A433" s="429">
        <v>3</v>
      </c>
      <c r="B433" s="427" t="str">
        <f>PETUNJUK!B11</f>
        <v>Troso</v>
      </c>
      <c r="C433" s="428">
        <v>0</v>
      </c>
      <c r="D433" s="428">
        <v>0</v>
      </c>
      <c r="E433" s="428">
        <v>0</v>
      </c>
      <c r="F433" s="428">
        <v>0</v>
      </c>
      <c r="G433" s="428">
        <v>0</v>
      </c>
      <c r="H433" s="428">
        <v>0</v>
      </c>
      <c r="I433" s="428">
        <v>0</v>
      </c>
      <c r="J433" s="428">
        <v>0</v>
      </c>
      <c r="K433" s="428">
        <v>0</v>
      </c>
      <c r="L433" s="428">
        <v>0</v>
      </c>
      <c r="M433" s="428">
        <v>0</v>
      </c>
      <c r="N433" s="428">
        <v>0</v>
      </c>
      <c r="O433" s="428">
        <v>0</v>
      </c>
      <c r="P433" s="428">
        <v>0</v>
      </c>
      <c r="Q433" s="428">
        <v>0</v>
      </c>
      <c r="R433" s="428">
        <v>0</v>
      </c>
      <c r="S433" s="428">
        <v>0</v>
      </c>
      <c r="T433" s="428">
        <v>0</v>
      </c>
      <c r="U433" s="428">
        <v>0</v>
      </c>
      <c r="V433" s="428">
        <v>0</v>
      </c>
      <c r="W433" s="428">
        <v>0</v>
      </c>
      <c r="X433" s="428">
        <v>0</v>
      </c>
      <c r="Y433" s="428">
        <v>0</v>
      </c>
      <c r="Z433" s="428">
        <v>0</v>
      </c>
      <c r="AA433" s="428">
        <v>0</v>
      </c>
      <c r="AB433" s="428">
        <v>0</v>
      </c>
      <c r="AC433" s="428">
        <v>0</v>
      </c>
      <c r="AD433" s="428">
        <v>0</v>
      </c>
      <c r="AE433" s="428">
        <v>0</v>
      </c>
      <c r="AF433" s="428">
        <v>0</v>
      </c>
      <c r="AG433" s="428">
        <v>0</v>
      </c>
      <c r="AH433" s="428">
        <v>0</v>
      </c>
      <c r="AI433" s="428">
        <v>0</v>
      </c>
      <c r="AJ433" s="428">
        <v>0</v>
      </c>
      <c r="AK433" s="428">
        <v>0</v>
      </c>
      <c r="AL433" s="428">
        <v>0</v>
      </c>
      <c r="AM433" s="428">
        <v>0</v>
      </c>
      <c r="AN433" s="428">
        <v>0</v>
      </c>
    </row>
    <row r="434" spans="1:40" ht="19" customHeight="1" x14ac:dyDescent="0.35">
      <c r="A434" s="429">
        <v>4</v>
      </c>
      <c r="B434" s="427" t="str">
        <f>PETUNJUK!B12</f>
        <v>Ngeling</v>
      </c>
      <c r="C434" s="428">
        <v>0</v>
      </c>
      <c r="D434" s="428">
        <v>0</v>
      </c>
      <c r="E434" s="428">
        <v>0</v>
      </c>
      <c r="F434" s="428">
        <v>0</v>
      </c>
      <c r="G434" s="428">
        <v>0</v>
      </c>
      <c r="H434" s="428">
        <v>0</v>
      </c>
      <c r="I434" s="428">
        <v>0</v>
      </c>
      <c r="J434" s="428">
        <v>0</v>
      </c>
      <c r="K434" s="428">
        <v>0</v>
      </c>
      <c r="L434" s="428">
        <v>0</v>
      </c>
      <c r="M434" s="428">
        <v>0</v>
      </c>
      <c r="N434" s="428">
        <v>0</v>
      </c>
      <c r="O434" s="428">
        <v>0</v>
      </c>
      <c r="P434" s="428">
        <v>0</v>
      </c>
      <c r="Q434" s="428">
        <v>0</v>
      </c>
      <c r="R434" s="428">
        <v>0</v>
      </c>
      <c r="S434" s="428">
        <v>0</v>
      </c>
      <c r="T434" s="428">
        <v>0</v>
      </c>
      <c r="U434" s="428">
        <v>0</v>
      </c>
      <c r="V434" s="428">
        <v>0</v>
      </c>
      <c r="W434" s="428">
        <v>0</v>
      </c>
      <c r="X434" s="428">
        <v>0</v>
      </c>
      <c r="Y434" s="428">
        <v>0</v>
      </c>
      <c r="Z434" s="428">
        <v>0</v>
      </c>
      <c r="AA434" s="428">
        <v>0</v>
      </c>
      <c r="AB434" s="428">
        <v>0</v>
      </c>
      <c r="AC434" s="428">
        <v>0</v>
      </c>
      <c r="AD434" s="428">
        <v>0</v>
      </c>
      <c r="AE434" s="428">
        <v>0</v>
      </c>
      <c r="AF434" s="428">
        <v>0</v>
      </c>
      <c r="AG434" s="428">
        <v>0</v>
      </c>
      <c r="AH434" s="428">
        <v>0</v>
      </c>
      <c r="AI434" s="428">
        <v>0</v>
      </c>
      <c r="AJ434" s="428">
        <v>0</v>
      </c>
      <c r="AK434" s="428">
        <v>0</v>
      </c>
      <c r="AL434" s="428">
        <v>0</v>
      </c>
      <c r="AM434" s="428">
        <v>0</v>
      </c>
      <c r="AN434" s="428">
        <v>0</v>
      </c>
    </row>
    <row r="435" spans="1:40" ht="19" customHeight="1" x14ac:dyDescent="0.35">
      <c r="A435" s="429">
        <v>5</v>
      </c>
      <c r="B435" s="427" t="str">
        <f>PETUNJUK!B13</f>
        <v>Lebuawu</v>
      </c>
      <c r="C435" s="428">
        <v>0</v>
      </c>
      <c r="D435" s="428">
        <v>0</v>
      </c>
      <c r="E435" s="428">
        <v>0</v>
      </c>
      <c r="F435" s="428">
        <v>0</v>
      </c>
      <c r="G435" s="428">
        <v>0</v>
      </c>
      <c r="H435" s="428">
        <v>0</v>
      </c>
      <c r="I435" s="428">
        <v>0</v>
      </c>
      <c r="J435" s="428">
        <v>0</v>
      </c>
      <c r="K435" s="428">
        <v>0</v>
      </c>
      <c r="L435" s="428">
        <v>0</v>
      </c>
      <c r="M435" s="428">
        <v>0</v>
      </c>
      <c r="N435" s="428">
        <v>0</v>
      </c>
      <c r="O435" s="428">
        <v>0</v>
      </c>
      <c r="P435" s="428">
        <v>0</v>
      </c>
      <c r="Q435" s="428">
        <v>0</v>
      </c>
      <c r="R435" s="428">
        <v>0</v>
      </c>
      <c r="S435" s="428">
        <v>0</v>
      </c>
      <c r="T435" s="428">
        <v>0</v>
      </c>
      <c r="U435" s="428">
        <v>0</v>
      </c>
      <c r="V435" s="428">
        <v>0</v>
      </c>
      <c r="W435" s="428">
        <v>0</v>
      </c>
      <c r="X435" s="428">
        <v>0</v>
      </c>
      <c r="Y435" s="428">
        <v>0</v>
      </c>
      <c r="Z435" s="428">
        <v>0</v>
      </c>
      <c r="AA435" s="428">
        <v>0</v>
      </c>
      <c r="AB435" s="428">
        <v>0</v>
      </c>
      <c r="AC435" s="428">
        <v>0</v>
      </c>
      <c r="AD435" s="428">
        <v>0</v>
      </c>
      <c r="AE435" s="428">
        <v>0</v>
      </c>
      <c r="AF435" s="428">
        <v>0</v>
      </c>
      <c r="AG435" s="428">
        <v>0</v>
      </c>
      <c r="AH435" s="428">
        <v>0</v>
      </c>
      <c r="AI435" s="428">
        <v>0</v>
      </c>
      <c r="AJ435" s="428">
        <v>0</v>
      </c>
      <c r="AK435" s="428">
        <v>0</v>
      </c>
      <c r="AL435" s="428">
        <v>0</v>
      </c>
      <c r="AM435" s="428">
        <v>0</v>
      </c>
      <c r="AN435" s="428">
        <v>0</v>
      </c>
    </row>
    <row r="436" spans="1:40" ht="19" customHeight="1" x14ac:dyDescent="0.35">
      <c r="A436" s="429">
        <v>6</v>
      </c>
      <c r="B436" s="427" t="str">
        <f>PETUNJUK!B14</f>
        <v>Pulodarat</v>
      </c>
      <c r="C436" s="428">
        <v>0</v>
      </c>
      <c r="D436" s="428">
        <v>0</v>
      </c>
      <c r="E436" s="428">
        <v>0</v>
      </c>
      <c r="F436" s="428">
        <v>0</v>
      </c>
      <c r="G436" s="428">
        <v>0</v>
      </c>
      <c r="H436" s="428">
        <v>0</v>
      </c>
      <c r="I436" s="428">
        <v>0</v>
      </c>
      <c r="J436" s="428">
        <v>0</v>
      </c>
      <c r="K436" s="428">
        <v>0</v>
      </c>
      <c r="L436" s="428">
        <v>0</v>
      </c>
      <c r="M436" s="428">
        <v>0</v>
      </c>
      <c r="N436" s="428">
        <v>0</v>
      </c>
      <c r="O436" s="428">
        <v>0</v>
      </c>
      <c r="P436" s="428">
        <v>0</v>
      </c>
      <c r="Q436" s="428">
        <v>0</v>
      </c>
      <c r="R436" s="428">
        <v>0</v>
      </c>
      <c r="S436" s="428">
        <v>0</v>
      </c>
      <c r="T436" s="428">
        <v>0</v>
      </c>
      <c r="U436" s="428">
        <v>0</v>
      </c>
      <c r="V436" s="428">
        <v>0</v>
      </c>
      <c r="W436" s="428">
        <v>0</v>
      </c>
      <c r="X436" s="428">
        <v>0</v>
      </c>
      <c r="Y436" s="428">
        <v>0</v>
      </c>
      <c r="Z436" s="428">
        <v>0</v>
      </c>
      <c r="AA436" s="428">
        <v>0</v>
      </c>
      <c r="AB436" s="428">
        <v>0</v>
      </c>
      <c r="AC436" s="428">
        <v>0</v>
      </c>
      <c r="AD436" s="428">
        <v>0</v>
      </c>
      <c r="AE436" s="428">
        <v>0</v>
      </c>
      <c r="AF436" s="428">
        <v>0</v>
      </c>
      <c r="AG436" s="428">
        <v>0</v>
      </c>
      <c r="AH436" s="428">
        <v>0</v>
      </c>
      <c r="AI436" s="428">
        <v>0</v>
      </c>
      <c r="AJ436" s="428">
        <v>0</v>
      </c>
      <c r="AK436" s="428">
        <v>0</v>
      </c>
      <c r="AL436" s="428">
        <v>0</v>
      </c>
      <c r="AM436" s="428">
        <v>0</v>
      </c>
      <c r="AN436" s="428">
        <v>0</v>
      </c>
    </row>
    <row r="437" spans="1:40" ht="19" customHeight="1" x14ac:dyDescent="0.35">
      <c r="A437" s="429">
        <v>7</v>
      </c>
      <c r="B437" s="427" t="str">
        <f>PETUNJUK!B15</f>
        <v>Karangrandu</v>
      </c>
      <c r="C437" s="428">
        <v>0</v>
      </c>
      <c r="D437" s="428">
        <v>0</v>
      </c>
      <c r="E437" s="428">
        <v>0</v>
      </c>
      <c r="F437" s="428">
        <v>0</v>
      </c>
      <c r="G437" s="428">
        <v>0</v>
      </c>
      <c r="H437" s="428">
        <v>0</v>
      </c>
      <c r="I437" s="428">
        <v>0</v>
      </c>
      <c r="J437" s="428">
        <v>0</v>
      </c>
      <c r="K437" s="428">
        <v>0</v>
      </c>
      <c r="L437" s="428">
        <v>0</v>
      </c>
      <c r="M437" s="428">
        <v>0</v>
      </c>
      <c r="N437" s="428">
        <v>0</v>
      </c>
      <c r="O437" s="428">
        <v>0</v>
      </c>
      <c r="P437" s="428">
        <v>0</v>
      </c>
      <c r="Q437" s="428">
        <v>0</v>
      </c>
      <c r="R437" s="428">
        <v>0</v>
      </c>
      <c r="S437" s="428">
        <v>0</v>
      </c>
      <c r="T437" s="428">
        <v>0</v>
      </c>
      <c r="U437" s="428">
        <v>0</v>
      </c>
      <c r="V437" s="428">
        <v>0</v>
      </c>
      <c r="W437" s="428">
        <v>0</v>
      </c>
      <c r="X437" s="428">
        <v>0</v>
      </c>
      <c r="Y437" s="428">
        <v>0</v>
      </c>
      <c r="Z437" s="428">
        <v>0</v>
      </c>
      <c r="AA437" s="428">
        <v>0</v>
      </c>
      <c r="AB437" s="428">
        <v>0</v>
      </c>
      <c r="AC437" s="428">
        <v>0</v>
      </c>
      <c r="AD437" s="428">
        <v>0</v>
      </c>
      <c r="AE437" s="428">
        <v>0</v>
      </c>
      <c r="AF437" s="428">
        <v>0</v>
      </c>
      <c r="AG437" s="428">
        <v>0</v>
      </c>
      <c r="AH437" s="428">
        <v>0</v>
      </c>
      <c r="AI437" s="428">
        <v>0</v>
      </c>
      <c r="AJ437" s="428">
        <v>0</v>
      </c>
      <c r="AK437" s="428">
        <v>0</v>
      </c>
      <c r="AL437" s="428">
        <v>0</v>
      </c>
      <c r="AM437" s="428">
        <v>0</v>
      </c>
      <c r="AN437" s="428">
        <v>0</v>
      </c>
    </row>
    <row r="438" spans="1:40" ht="19" customHeight="1" x14ac:dyDescent="0.35">
      <c r="A438" s="429">
        <v>8</v>
      </c>
      <c r="B438" s="427" t="str">
        <f>PETUNJUK!B16</f>
        <v>Kaliombo</v>
      </c>
      <c r="C438" s="428">
        <v>0</v>
      </c>
      <c r="D438" s="428">
        <v>0</v>
      </c>
      <c r="E438" s="428">
        <v>0</v>
      </c>
      <c r="F438" s="428">
        <v>0</v>
      </c>
      <c r="G438" s="428">
        <v>0</v>
      </c>
      <c r="H438" s="428">
        <v>0</v>
      </c>
      <c r="I438" s="428">
        <v>0</v>
      </c>
      <c r="J438" s="428">
        <v>0</v>
      </c>
      <c r="K438" s="428">
        <v>0</v>
      </c>
      <c r="L438" s="428">
        <v>0</v>
      </c>
      <c r="M438" s="428">
        <v>0</v>
      </c>
      <c r="N438" s="428">
        <v>0</v>
      </c>
      <c r="O438" s="428">
        <v>0</v>
      </c>
      <c r="P438" s="428">
        <v>0</v>
      </c>
      <c r="Q438" s="428">
        <v>0</v>
      </c>
      <c r="R438" s="428">
        <v>0</v>
      </c>
      <c r="S438" s="428">
        <v>0</v>
      </c>
      <c r="T438" s="428">
        <v>0</v>
      </c>
      <c r="U438" s="428">
        <v>0</v>
      </c>
      <c r="V438" s="428">
        <v>0</v>
      </c>
      <c r="W438" s="428">
        <v>0</v>
      </c>
      <c r="X438" s="428">
        <v>0</v>
      </c>
      <c r="Y438" s="428">
        <v>0</v>
      </c>
      <c r="Z438" s="428">
        <v>0</v>
      </c>
      <c r="AA438" s="428">
        <v>0</v>
      </c>
      <c r="AB438" s="428">
        <v>0</v>
      </c>
      <c r="AC438" s="428">
        <v>0</v>
      </c>
      <c r="AD438" s="428">
        <v>0</v>
      </c>
      <c r="AE438" s="428">
        <v>0</v>
      </c>
      <c r="AF438" s="428">
        <v>0</v>
      </c>
      <c r="AG438" s="428">
        <v>0</v>
      </c>
      <c r="AH438" s="428">
        <v>0</v>
      </c>
      <c r="AI438" s="428">
        <v>0</v>
      </c>
      <c r="AJ438" s="428">
        <v>0</v>
      </c>
      <c r="AK438" s="428">
        <v>0</v>
      </c>
      <c r="AL438" s="428">
        <v>0</v>
      </c>
      <c r="AM438" s="428">
        <v>0</v>
      </c>
      <c r="AN438" s="428">
        <v>0</v>
      </c>
    </row>
    <row r="439" spans="1:40" ht="19" customHeight="1" x14ac:dyDescent="0.35">
      <c r="A439" s="429">
        <v>9</v>
      </c>
      <c r="B439" s="427" t="str">
        <f>PETUNJUK!B17</f>
        <v>Gemulung</v>
      </c>
      <c r="C439" s="428">
        <v>0</v>
      </c>
      <c r="D439" s="428">
        <v>0</v>
      </c>
      <c r="E439" s="428">
        <v>0</v>
      </c>
      <c r="F439" s="428">
        <v>0</v>
      </c>
      <c r="G439" s="428">
        <v>0</v>
      </c>
      <c r="H439" s="428">
        <v>0</v>
      </c>
      <c r="I439" s="428">
        <v>0</v>
      </c>
      <c r="J439" s="428">
        <v>0</v>
      </c>
      <c r="K439" s="428">
        <v>0</v>
      </c>
      <c r="L439" s="428">
        <v>0</v>
      </c>
      <c r="M439" s="428">
        <v>0</v>
      </c>
      <c r="N439" s="428">
        <v>0</v>
      </c>
      <c r="O439" s="428">
        <v>0</v>
      </c>
      <c r="P439" s="428">
        <v>0</v>
      </c>
      <c r="Q439" s="428">
        <v>0</v>
      </c>
      <c r="R439" s="428">
        <v>0</v>
      </c>
      <c r="S439" s="428">
        <v>0</v>
      </c>
      <c r="T439" s="428">
        <v>0</v>
      </c>
      <c r="U439" s="428">
        <v>0</v>
      </c>
      <c r="V439" s="428">
        <v>0</v>
      </c>
      <c r="W439" s="428">
        <v>0</v>
      </c>
      <c r="X439" s="428">
        <v>0</v>
      </c>
      <c r="Y439" s="428">
        <v>0</v>
      </c>
      <c r="Z439" s="428">
        <v>0</v>
      </c>
      <c r="AA439" s="428">
        <v>0</v>
      </c>
      <c r="AB439" s="428">
        <v>0</v>
      </c>
      <c r="AC439" s="428">
        <v>0</v>
      </c>
      <c r="AD439" s="428">
        <v>0</v>
      </c>
      <c r="AE439" s="428">
        <v>0</v>
      </c>
      <c r="AF439" s="428">
        <v>0</v>
      </c>
      <c r="AG439" s="428">
        <v>0</v>
      </c>
      <c r="AH439" s="428">
        <v>0</v>
      </c>
      <c r="AI439" s="428">
        <v>0</v>
      </c>
      <c r="AJ439" s="428">
        <v>0</v>
      </c>
      <c r="AK439" s="428">
        <v>0</v>
      </c>
      <c r="AL439" s="428">
        <v>0</v>
      </c>
      <c r="AM439" s="428">
        <v>0</v>
      </c>
      <c r="AN439" s="428">
        <v>0</v>
      </c>
    </row>
    <row r="440" spans="1:40" ht="19" customHeight="1" x14ac:dyDescent="0.35">
      <c r="A440" s="429">
        <v>10</v>
      </c>
      <c r="B440" s="427" t="str">
        <f>PETUNJUK!B18</f>
        <v>Pecangaan Wetan</v>
      </c>
      <c r="C440" s="428">
        <v>0</v>
      </c>
      <c r="D440" s="428">
        <v>0</v>
      </c>
      <c r="E440" s="428">
        <v>0</v>
      </c>
      <c r="F440" s="428">
        <v>0</v>
      </c>
      <c r="G440" s="428">
        <v>0</v>
      </c>
      <c r="H440" s="428">
        <v>0</v>
      </c>
      <c r="I440" s="428">
        <v>0</v>
      </c>
      <c r="J440" s="428">
        <v>0</v>
      </c>
      <c r="K440" s="428">
        <v>0</v>
      </c>
      <c r="L440" s="428">
        <v>0</v>
      </c>
      <c r="M440" s="428">
        <v>0</v>
      </c>
      <c r="N440" s="428">
        <v>0</v>
      </c>
      <c r="O440" s="428">
        <v>0</v>
      </c>
      <c r="P440" s="428">
        <v>0</v>
      </c>
      <c r="Q440" s="428">
        <v>0</v>
      </c>
      <c r="R440" s="428">
        <v>0</v>
      </c>
      <c r="S440" s="428">
        <v>0</v>
      </c>
      <c r="T440" s="428">
        <v>0</v>
      </c>
      <c r="U440" s="428">
        <v>0</v>
      </c>
      <c r="V440" s="428">
        <v>0</v>
      </c>
      <c r="W440" s="428">
        <v>0</v>
      </c>
      <c r="X440" s="428">
        <v>0</v>
      </c>
      <c r="Y440" s="428">
        <v>0</v>
      </c>
      <c r="Z440" s="428">
        <v>0</v>
      </c>
      <c r="AA440" s="428">
        <v>0</v>
      </c>
      <c r="AB440" s="428">
        <v>0</v>
      </c>
      <c r="AC440" s="428">
        <v>0</v>
      </c>
      <c r="AD440" s="428">
        <v>0</v>
      </c>
      <c r="AE440" s="428">
        <v>0</v>
      </c>
      <c r="AF440" s="428">
        <v>0</v>
      </c>
      <c r="AG440" s="428">
        <v>0</v>
      </c>
      <c r="AH440" s="428">
        <v>0</v>
      </c>
      <c r="AI440" s="428">
        <v>0</v>
      </c>
      <c r="AJ440" s="428">
        <v>0</v>
      </c>
      <c r="AK440" s="428">
        <v>0</v>
      </c>
      <c r="AL440" s="428">
        <v>0</v>
      </c>
      <c r="AM440" s="428">
        <v>0</v>
      </c>
      <c r="AN440" s="428">
        <v>0</v>
      </c>
    </row>
    <row r="441" spans="1:40" ht="19" customHeight="1" x14ac:dyDescent="0.35">
      <c r="A441" s="429">
        <v>11</v>
      </c>
      <c r="B441" s="427" t="str">
        <f>PETUNJUK!B19</f>
        <v>Krasak</v>
      </c>
      <c r="C441" s="428">
        <v>0</v>
      </c>
      <c r="D441" s="428">
        <v>0</v>
      </c>
      <c r="E441" s="428">
        <v>0</v>
      </c>
      <c r="F441" s="428">
        <v>0</v>
      </c>
      <c r="G441" s="428">
        <v>0</v>
      </c>
      <c r="H441" s="428">
        <v>0</v>
      </c>
      <c r="I441" s="428">
        <v>0</v>
      </c>
      <c r="J441" s="428">
        <v>0</v>
      </c>
      <c r="K441" s="428">
        <v>0</v>
      </c>
      <c r="L441" s="428">
        <v>0</v>
      </c>
      <c r="M441" s="428">
        <v>0</v>
      </c>
      <c r="N441" s="428">
        <v>0</v>
      </c>
      <c r="O441" s="428">
        <v>0</v>
      </c>
      <c r="P441" s="428">
        <v>0</v>
      </c>
      <c r="Q441" s="428">
        <v>0</v>
      </c>
      <c r="R441" s="428">
        <v>0</v>
      </c>
      <c r="S441" s="428">
        <v>0</v>
      </c>
      <c r="T441" s="428">
        <v>0</v>
      </c>
      <c r="U441" s="428">
        <v>0</v>
      </c>
      <c r="V441" s="428">
        <v>0</v>
      </c>
      <c r="W441" s="428">
        <v>0</v>
      </c>
      <c r="X441" s="428">
        <v>0</v>
      </c>
      <c r="Y441" s="428">
        <v>0</v>
      </c>
      <c r="Z441" s="428">
        <v>0</v>
      </c>
      <c r="AA441" s="428">
        <v>0</v>
      </c>
      <c r="AB441" s="428">
        <v>0</v>
      </c>
      <c r="AC441" s="428">
        <v>0</v>
      </c>
      <c r="AD441" s="428">
        <v>0</v>
      </c>
      <c r="AE441" s="428">
        <v>0</v>
      </c>
      <c r="AF441" s="428">
        <v>0</v>
      </c>
      <c r="AG441" s="428">
        <v>0</v>
      </c>
      <c r="AH441" s="428">
        <v>0</v>
      </c>
      <c r="AI441" s="428">
        <v>0</v>
      </c>
      <c r="AJ441" s="428">
        <v>0</v>
      </c>
      <c r="AK441" s="428">
        <v>0</v>
      </c>
      <c r="AL441" s="428">
        <v>0</v>
      </c>
      <c r="AM441" s="428">
        <v>0</v>
      </c>
      <c r="AN441" s="428">
        <v>0</v>
      </c>
    </row>
    <row r="442" spans="1:40" ht="19" customHeight="1" x14ac:dyDescent="0.35">
      <c r="A442" s="429">
        <v>12</v>
      </c>
      <c r="B442" s="427" t="str">
        <f>PETUNJUK!B20</f>
        <v>Gerdu</v>
      </c>
      <c r="C442" s="428">
        <v>0</v>
      </c>
      <c r="D442" s="428">
        <v>0</v>
      </c>
      <c r="E442" s="428">
        <v>0</v>
      </c>
      <c r="F442" s="428">
        <v>0</v>
      </c>
      <c r="G442" s="428">
        <v>0</v>
      </c>
      <c r="H442" s="428">
        <v>0</v>
      </c>
      <c r="I442" s="428">
        <v>0</v>
      </c>
      <c r="J442" s="428">
        <v>0</v>
      </c>
      <c r="K442" s="428">
        <v>0</v>
      </c>
      <c r="L442" s="428">
        <v>0</v>
      </c>
      <c r="M442" s="428">
        <v>0</v>
      </c>
      <c r="N442" s="428">
        <v>0</v>
      </c>
      <c r="O442" s="428">
        <v>0</v>
      </c>
      <c r="P442" s="428">
        <v>0</v>
      </c>
      <c r="Q442" s="428">
        <v>0</v>
      </c>
      <c r="R442" s="428">
        <v>0</v>
      </c>
      <c r="S442" s="428">
        <v>0</v>
      </c>
      <c r="T442" s="428">
        <v>0</v>
      </c>
      <c r="U442" s="428">
        <v>0</v>
      </c>
      <c r="V442" s="428">
        <v>0</v>
      </c>
      <c r="W442" s="428">
        <v>0</v>
      </c>
      <c r="X442" s="428">
        <v>0</v>
      </c>
      <c r="Y442" s="428">
        <v>0</v>
      </c>
      <c r="Z442" s="428">
        <v>0</v>
      </c>
      <c r="AA442" s="428">
        <v>0</v>
      </c>
      <c r="AB442" s="428">
        <v>0</v>
      </c>
      <c r="AC442" s="428">
        <v>0</v>
      </c>
      <c r="AD442" s="428">
        <v>0</v>
      </c>
      <c r="AE442" s="428">
        <v>0</v>
      </c>
      <c r="AF442" s="428">
        <v>0</v>
      </c>
      <c r="AG442" s="428">
        <v>0</v>
      </c>
      <c r="AH442" s="428">
        <v>0</v>
      </c>
      <c r="AI442" s="428">
        <v>0</v>
      </c>
      <c r="AJ442" s="428">
        <v>0</v>
      </c>
      <c r="AK442" s="428">
        <v>0</v>
      </c>
      <c r="AL442" s="428">
        <v>0</v>
      </c>
      <c r="AM442" s="428">
        <v>0</v>
      </c>
      <c r="AN442" s="428">
        <v>0</v>
      </c>
    </row>
    <row r="443" spans="1:40" ht="19" customHeight="1" x14ac:dyDescent="0.35">
      <c r="A443" s="429">
        <v>13</v>
      </c>
      <c r="B443" s="427">
        <f>PETUNJUK!B21</f>
        <v>0</v>
      </c>
      <c r="C443" s="428">
        <v>0</v>
      </c>
      <c r="D443" s="428">
        <v>0</v>
      </c>
      <c r="E443" s="428">
        <v>0</v>
      </c>
      <c r="F443" s="428">
        <v>0</v>
      </c>
      <c r="G443" s="428">
        <v>0</v>
      </c>
      <c r="H443" s="428">
        <v>0</v>
      </c>
      <c r="I443" s="428">
        <v>0</v>
      </c>
      <c r="J443" s="428">
        <v>0</v>
      </c>
      <c r="K443" s="428">
        <v>0</v>
      </c>
      <c r="L443" s="428">
        <v>0</v>
      </c>
      <c r="M443" s="428">
        <v>0</v>
      </c>
      <c r="N443" s="428">
        <v>0</v>
      </c>
      <c r="O443" s="428">
        <v>0</v>
      </c>
      <c r="P443" s="428">
        <v>0</v>
      </c>
      <c r="Q443" s="428">
        <v>0</v>
      </c>
      <c r="R443" s="428">
        <v>0</v>
      </c>
      <c r="S443" s="428">
        <v>0</v>
      </c>
      <c r="T443" s="428">
        <v>0</v>
      </c>
      <c r="U443" s="428">
        <v>0</v>
      </c>
      <c r="V443" s="428">
        <v>0</v>
      </c>
      <c r="W443" s="428">
        <v>0</v>
      </c>
      <c r="X443" s="428">
        <v>0</v>
      </c>
      <c r="Y443" s="428">
        <v>0</v>
      </c>
      <c r="Z443" s="428">
        <v>0</v>
      </c>
      <c r="AA443" s="428">
        <v>0</v>
      </c>
      <c r="AB443" s="428">
        <v>0</v>
      </c>
      <c r="AC443" s="428">
        <v>0</v>
      </c>
      <c r="AD443" s="428">
        <v>0</v>
      </c>
      <c r="AE443" s="428">
        <v>0</v>
      </c>
      <c r="AF443" s="428">
        <v>0</v>
      </c>
      <c r="AG443" s="428">
        <v>0</v>
      </c>
      <c r="AH443" s="428">
        <v>0</v>
      </c>
      <c r="AI443" s="428">
        <v>0</v>
      </c>
      <c r="AJ443" s="428">
        <v>0</v>
      </c>
      <c r="AK443" s="428">
        <v>0</v>
      </c>
      <c r="AL443" s="428">
        <v>0</v>
      </c>
      <c r="AM443" s="428">
        <v>0</v>
      </c>
      <c r="AN443" s="428">
        <v>0</v>
      </c>
    </row>
    <row r="444" spans="1:40" ht="19" customHeight="1" x14ac:dyDescent="0.35">
      <c r="A444" s="429">
        <v>14</v>
      </c>
      <c r="B444" s="427">
        <f>PETUNJUK!B22</f>
        <v>0</v>
      </c>
      <c r="C444" s="428">
        <v>0</v>
      </c>
      <c r="D444" s="428">
        <v>0</v>
      </c>
      <c r="E444" s="428">
        <v>0</v>
      </c>
      <c r="F444" s="428">
        <v>0</v>
      </c>
      <c r="G444" s="428">
        <v>0</v>
      </c>
      <c r="H444" s="428">
        <v>0</v>
      </c>
      <c r="I444" s="428">
        <v>0</v>
      </c>
      <c r="J444" s="428">
        <v>0</v>
      </c>
      <c r="K444" s="428">
        <v>0</v>
      </c>
      <c r="L444" s="428">
        <v>0</v>
      </c>
      <c r="M444" s="428">
        <v>0</v>
      </c>
      <c r="N444" s="428">
        <v>0</v>
      </c>
      <c r="O444" s="428">
        <v>0</v>
      </c>
      <c r="P444" s="428">
        <v>0</v>
      </c>
      <c r="Q444" s="428">
        <v>0</v>
      </c>
      <c r="R444" s="428">
        <v>0</v>
      </c>
      <c r="S444" s="428">
        <v>0</v>
      </c>
      <c r="T444" s="428">
        <v>0</v>
      </c>
      <c r="U444" s="428">
        <v>0</v>
      </c>
      <c r="V444" s="428">
        <v>0</v>
      </c>
      <c r="W444" s="428">
        <v>0</v>
      </c>
      <c r="X444" s="428">
        <v>0</v>
      </c>
      <c r="Y444" s="428">
        <v>0</v>
      </c>
      <c r="Z444" s="428">
        <v>0</v>
      </c>
      <c r="AA444" s="428">
        <v>0</v>
      </c>
      <c r="AB444" s="428">
        <v>0</v>
      </c>
      <c r="AC444" s="428">
        <v>0</v>
      </c>
      <c r="AD444" s="428">
        <v>0</v>
      </c>
      <c r="AE444" s="428">
        <v>0</v>
      </c>
      <c r="AF444" s="428">
        <v>0</v>
      </c>
      <c r="AG444" s="428">
        <v>0</v>
      </c>
      <c r="AH444" s="428">
        <v>0</v>
      </c>
      <c r="AI444" s="428">
        <v>0</v>
      </c>
      <c r="AJ444" s="428">
        <v>0</v>
      </c>
      <c r="AK444" s="428">
        <v>0</v>
      </c>
      <c r="AL444" s="428">
        <v>0</v>
      </c>
      <c r="AM444" s="428">
        <v>0</v>
      </c>
      <c r="AN444" s="428">
        <v>0</v>
      </c>
    </row>
    <row r="445" spans="1:40" ht="19" customHeight="1" x14ac:dyDescent="0.35">
      <c r="A445" s="429">
        <v>15</v>
      </c>
      <c r="B445" s="427">
        <f>PETUNJUK!B23</f>
        <v>0</v>
      </c>
      <c r="C445" s="428">
        <v>0</v>
      </c>
      <c r="D445" s="428">
        <v>0</v>
      </c>
      <c r="E445" s="428">
        <v>0</v>
      </c>
      <c r="F445" s="428">
        <v>0</v>
      </c>
      <c r="G445" s="428">
        <v>0</v>
      </c>
      <c r="H445" s="428">
        <v>0</v>
      </c>
      <c r="I445" s="428">
        <v>0</v>
      </c>
      <c r="J445" s="428">
        <v>0</v>
      </c>
      <c r="K445" s="428">
        <v>0</v>
      </c>
      <c r="L445" s="428">
        <v>0</v>
      </c>
      <c r="M445" s="428">
        <v>0</v>
      </c>
      <c r="N445" s="428">
        <v>0</v>
      </c>
      <c r="O445" s="428">
        <v>0</v>
      </c>
      <c r="P445" s="428">
        <v>0</v>
      </c>
      <c r="Q445" s="428">
        <v>0</v>
      </c>
      <c r="R445" s="428">
        <v>0</v>
      </c>
      <c r="S445" s="428">
        <v>0</v>
      </c>
      <c r="T445" s="428">
        <v>0</v>
      </c>
      <c r="U445" s="428">
        <v>0</v>
      </c>
      <c r="V445" s="428">
        <v>0</v>
      </c>
      <c r="W445" s="428">
        <v>0</v>
      </c>
      <c r="X445" s="428">
        <v>0</v>
      </c>
      <c r="Y445" s="428">
        <v>0</v>
      </c>
      <c r="Z445" s="428">
        <v>0</v>
      </c>
      <c r="AA445" s="428">
        <v>0</v>
      </c>
      <c r="AB445" s="428">
        <v>0</v>
      </c>
      <c r="AC445" s="428">
        <v>0</v>
      </c>
      <c r="AD445" s="428">
        <v>0</v>
      </c>
      <c r="AE445" s="428">
        <v>0</v>
      </c>
      <c r="AF445" s="428">
        <v>0</v>
      </c>
      <c r="AG445" s="428">
        <v>0</v>
      </c>
      <c r="AH445" s="428">
        <v>0</v>
      </c>
      <c r="AI445" s="428">
        <v>0</v>
      </c>
      <c r="AJ445" s="428">
        <v>0</v>
      </c>
      <c r="AK445" s="428">
        <v>0</v>
      </c>
      <c r="AL445" s="428">
        <v>0</v>
      </c>
      <c r="AM445" s="428">
        <v>0</v>
      </c>
      <c r="AN445" s="428">
        <v>0</v>
      </c>
    </row>
    <row r="446" spans="1:40" ht="19" customHeight="1" x14ac:dyDescent="0.35">
      <c r="A446" s="429">
        <v>16</v>
      </c>
      <c r="B446" s="427">
        <f>PETUNJUK!B24</f>
        <v>0</v>
      </c>
      <c r="C446" s="428">
        <v>0</v>
      </c>
      <c r="D446" s="428">
        <v>0</v>
      </c>
      <c r="E446" s="428">
        <v>0</v>
      </c>
      <c r="F446" s="428">
        <v>0</v>
      </c>
      <c r="G446" s="428">
        <v>0</v>
      </c>
      <c r="H446" s="428">
        <v>0</v>
      </c>
      <c r="I446" s="428">
        <v>0</v>
      </c>
      <c r="J446" s="428">
        <v>0</v>
      </c>
      <c r="K446" s="428">
        <v>0</v>
      </c>
      <c r="L446" s="428">
        <v>0</v>
      </c>
      <c r="M446" s="428">
        <v>0</v>
      </c>
      <c r="N446" s="428">
        <v>0</v>
      </c>
      <c r="O446" s="428">
        <v>0</v>
      </c>
      <c r="P446" s="428">
        <v>0</v>
      </c>
      <c r="Q446" s="428">
        <v>0</v>
      </c>
      <c r="R446" s="428">
        <v>0</v>
      </c>
      <c r="S446" s="428">
        <v>0</v>
      </c>
      <c r="T446" s="428">
        <v>0</v>
      </c>
      <c r="U446" s="428">
        <v>0</v>
      </c>
      <c r="V446" s="428">
        <v>0</v>
      </c>
      <c r="W446" s="428">
        <v>0</v>
      </c>
      <c r="X446" s="428">
        <v>0</v>
      </c>
      <c r="Y446" s="428">
        <v>0</v>
      </c>
      <c r="Z446" s="428">
        <v>0</v>
      </c>
      <c r="AA446" s="428">
        <v>0</v>
      </c>
      <c r="AB446" s="428">
        <v>0</v>
      </c>
      <c r="AC446" s="428">
        <v>0</v>
      </c>
      <c r="AD446" s="428">
        <v>0</v>
      </c>
      <c r="AE446" s="428">
        <v>0</v>
      </c>
      <c r="AF446" s="428">
        <v>0</v>
      </c>
      <c r="AG446" s="428">
        <v>0</v>
      </c>
      <c r="AH446" s="428">
        <v>0</v>
      </c>
      <c r="AI446" s="428">
        <v>0</v>
      </c>
      <c r="AJ446" s="428">
        <v>0</v>
      </c>
      <c r="AK446" s="428">
        <v>0</v>
      </c>
      <c r="AL446" s="428">
        <v>0</v>
      </c>
      <c r="AM446" s="428">
        <v>0</v>
      </c>
      <c r="AN446" s="428">
        <v>0</v>
      </c>
    </row>
    <row r="447" spans="1:40" ht="19" customHeight="1" x14ac:dyDescent="0.35">
      <c r="A447" s="429">
        <v>17</v>
      </c>
      <c r="B447" s="427">
        <f>PETUNJUK!B25</f>
        <v>0</v>
      </c>
      <c r="C447" s="428">
        <v>0</v>
      </c>
      <c r="D447" s="428">
        <v>0</v>
      </c>
      <c r="E447" s="428">
        <v>0</v>
      </c>
      <c r="F447" s="428">
        <v>0</v>
      </c>
      <c r="G447" s="428">
        <v>0</v>
      </c>
      <c r="H447" s="428">
        <v>0</v>
      </c>
      <c r="I447" s="428">
        <v>0</v>
      </c>
      <c r="J447" s="428">
        <v>0</v>
      </c>
      <c r="K447" s="428">
        <v>0</v>
      </c>
      <c r="L447" s="428">
        <v>0</v>
      </c>
      <c r="M447" s="428">
        <v>0</v>
      </c>
      <c r="N447" s="428">
        <v>0</v>
      </c>
      <c r="O447" s="428">
        <v>0</v>
      </c>
      <c r="P447" s="428">
        <v>0</v>
      </c>
      <c r="Q447" s="428">
        <v>0</v>
      </c>
      <c r="R447" s="428">
        <v>0</v>
      </c>
      <c r="S447" s="428">
        <v>0</v>
      </c>
      <c r="T447" s="428">
        <v>0</v>
      </c>
      <c r="U447" s="428">
        <v>0</v>
      </c>
      <c r="V447" s="428">
        <v>0</v>
      </c>
      <c r="W447" s="428">
        <v>0</v>
      </c>
      <c r="X447" s="428">
        <v>0</v>
      </c>
      <c r="Y447" s="428">
        <v>0</v>
      </c>
      <c r="Z447" s="428">
        <v>0</v>
      </c>
      <c r="AA447" s="428">
        <v>0</v>
      </c>
      <c r="AB447" s="428">
        <v>0</v>
      </c>
      <c r="AC447" s="428">
        <v>0</v>
      </c>
      <c r="AD447" s="428">
        <v>0</v>
      </c>
      <c r="AE447" s="428">
        <v>0</v>
      </c>
      <c r="AF447" s="428">
        <v>0</v>
      </c>
      <c r="AG447" s="428">
        <v>0</v>
      </c>
      <c r="AH447" s="428">
        <v>0</v>
      </c>
      <c r="AI447" s="428">
        <v>0</v>
      </c>
      <c r="AJ447" s="428">
        <v>0</v>
      </c>
      <c r="AK447" s="428">
        <v>0</v>
      </c>
      <c r="AL447" s="428">
        <v>0</v>
      </c>
      <c r="AM447" s="428">
        <v>0</v>
      </c>
      <c r="AN447" s="428">
        <v>0</v>
      </c>
    </row>
    <row r="448" spans="1:40" ht="19" customHeight="1" x14ac:dyDescent="0.35">
      <c r="A448" s="429">
        <v>18</v>
      </c>
      <c r="B448" s="427">
        <f>PETUNJUK!B26</f>
        <v>0</v>
      </c>
      <c r="C448" s="428">
        <v>0</v>
      </c>
      <c r="D448" s="428">
        <v>0</v>
      </c>
      <c r="E448" s="428">
        <v>0</v>
      </c>
      <c r="F448" s="428">
        <v>0</v>
      </c>
      <c r="G448" s="428">
        <v>0</v>
      </c>
      <c r="H448" s="428">
        <v>0</v>
      </c>
      <c r="I448" s="428">
        <v>0</v>
      </c>
      <c r="J448" s="428">
        <v>0</v>
      </c>
      <c r="K448" s="428">
        <v>0</v>
      </c>
      <c r="L448" s="428">
        <v>0</v>
      </c>
      <c r="M448" s="428">
        <v>0</v>
      </c>
      <c r="N448" s="428">
        <v>0</v>
      </c>
      <c r="O448" s="428">
        <v>0</v>
      </c>
      <c r="P448" s="428">
        <v>0</v>
      </c>
      <c r="Q448" s="428">
        <v>0</v>
      </c>
      <c r="R448" s="428">
        <v>0</v>
      </c>
      <c r="S448" s="428">
        <v>0</v>
      </c>
      <c r="T448" s="428">
        <v>0</v>
      </c>
      <c r="U448" s="428">
        <v>0</v>
      </c>
      <c r="V448" s="428">
        <v>0</v>
      </c>
      <c r="W448" s="428">
        <v>0</v>
      </c>
      <c r="X448" s="428">
        <v>0</v>
      </c>
      <c r="Y448" s="428">
        <v>0</v>
      </c>
      <c r="Z448" s="428">
        <v>0</v>
      </c>
      <c r="AA448" s="428">
        <v>0</v>
      </c>
      <c r="AB448" s="428">
        <v>0</v>
      </c>
      <c r="AC448" s="428">
        <v>0</v>
      </c>
      <c r="AD448" s="428">
        <v>0</v>
      </c>
      <c r="AE448" s="428">
        <v>0</v>
      </c>
      <c r="AF448" s="428">
        <v>0</v>
      </c>
      <c r="AG448" s="428">
        <v>0</v>
      </c>
      <c r="AH448" s="428">
        <v>0</v>
      </c>
      <c r="AI448" s="428">
        <v>0</v>
      </c>
      <c r="AJ448" s="428">
        <v>0</v>
      </c>
      <c r="AK448" s="428">
        <v>0</v>
      </c>
      <c r="AL448" s="428">
        <v>0</v>
      </c>
      <c r="AM448" s="428">
        <v>0</v>
      </c>
      <c r="AN448" s="428">
        <v>0</v>
      </c>
    </row>
    <row r="449" spans="1:43" ht="19" customHeight="1" x14ac:dyDescent="0.35">
      <c r="A449" s="429">
        <v>19</v>
      </c>
      <c r="B449" s="427">
        <f>PETUNJUK!B27</f>
        <v>0</v>
      </c>
      <c r="C449" s="428">
        <v>0</v>
      </c>
      <c r="D449" s="428">
        <v>0</v>
      </c>
      <c r="E449" s="428">
        <v>0</v>
      </c>
      <c r="F449" s="428">
        <v>0</v>
      </c>
      <c r="G449" s="428">
        <v>0</v>
      </c>
      <c r="H449" s="428">
        <v>0</v>
      </c>
      <c r="I449" s="428">
        <v>0</v>
      </c>
      <c r="J449" s="428">
        <v>0</v>
      </c>
      <c r="K449" s="428">
        <v>0</v>
      </c>
      <c r="L449" s="428">
        <v>0</v>
      </c>
      <c r="M449" s="428">
        <v>0</v>
      </c>
      <c r="N449" s="428">
        <v>0</v>
      </c>
      <c r="O449" s="428">
        <v>0</v>
      </c>
      <c r="P449" s="428">
        <v>0</v>
      </c>
      <c r="Q449" s="428">
        <v>0</v>
      </c>
      <c r="R449" s="428">
        <v>0</v>
      </c>
      <c r="S449" s="428">
        <v>0</v>
      </c>
      <c r="T449" s="428">
        <v>0</v>
      </c>
      <c r="U449" s="428">
        <v>0</v>
      </c>
      <c r="V449" s="428">
        <v>0</v>
      </c>
      <c r="W449" s="428">
        <v>0</v>
      </c>
      <c r="X449" s="428">
        <v>0</v>
      </c>
      <c r="Y449" s="428">
        <v>0</v>
      </c>
      <c r="Z449" s="428">
        <v>0</v>
      </c>
      <c r="AA449" s="428">
        <v>0</v>
      </c>
      <c r="AB449" s="428">
        <v>0</v>
      </c>
      <c r="AC449" s="428">
        <v>0</v>
      </c>
      <c r="AD449" s="428">
        <v>0</v>
      </c>
      <c r="AE449" s="428">
        <v>0</v>
      </c>
      <c r="AF449" s="428">
        <v>0</v>
      </c>
      <c r="AG449" s="428">
        <v>0</v>
      </c>
      <c r="AH449" s="428">
        <v>0</v>
      </c>
      <c r="AI449" s="428">
        <v>0</v>
      </c>
      <c r="AJ449" s="428">
        <v>0</v>
      </c>
      <c r="AK449" s="428">
        <v>0</v>
      </c>
      <c r="AL449" s="428">
        <v>0</v>
      </c>
      <c r="AM449" s="428">
        <v>0</v>
      </c>
      <c r="AN449" s="428">
        <v>0</v>
      </c>
    </row>
    <row r="450" spans="1:43" ht="19" customHeight="1" x14ac:dyDescent="0.35">
      <c r="A450" s="429">
        <v>20</v>
      </c>
      <c r="B450" s="427">
        <f>PETUNJUK!B28</f>
        <v>0</v>
      </c>
      <c r="C450" s="428">
        <v>0</v>
      </c>
      <c r="D450" s="428">
        <v>0</v>
      </c>
      <c r="E450" s="428">
        <v>0</v>
      </c>
      <c r="F450" s="428">
        <v>0</v>
      </c>
      <c r="G450" s="428">
        <v>0</v>
      </c>
      <c r="H450" s="428">
        <v>0</v>
      </c>
      <c r="I450" s="428">
        <v>0</v>
      </c>
      <c r="J450" s="428">
        <v>0</v>
      </c>
      <c r="K450" s="428">
        <v>0</v>
      </c>
      <c r="L450" s="428">
        <v>0</v>
      </c>
      <c r="M450" s="428">
        <v>0</v>
      </c>
      <c r="N450" s="428">
        <v>0</v>
      </c>
      <c r="O450" s="428">
        <v>0</v>
      </c>
      <c r="P450" s="428">
        <v>0</v>
      </c>
      <c r="Q450" s="428">
        <v>0</v>
      </c>
      <c r="R450" s="428">
        <v>0</v>
      </c>
      <c r="S450" s="428">
        <v>0</v>
      </c>
      <c r="T450" s="428">
        <v>0</v>
      </c>
      <c r="U450" s="428">
        <v>0</v>
      </c>
      <c r="V450" s="428">
        <v>0</v>
      </c>
      <c r="W450" s="428">
        <v>0</v>
      </c>
      <c r="X450" s="428">
        <v>0</v>
      </c>
      <c r="Y450" s="428">
        <v>0</v>
      </c>
      <c r="Z450" s="428">
        <v>0</v>
      </c>
      <c r="AA450" s="428">
        <v>0</v>
      </c>
      <c r="AB450" s="428">
        <v>0</v>
      </c>
      <c r="AC450" s="428">
        <v>0</v>
      </c>
      <c r="AD450" s="428">
        <v>0</v>
      </c>
      <c r="AE450" s="428">
        <v>0</v>
      </c>
      <c r="AF450" s="428">
        <v>0</v>
      </c>
      <c r="AG450" s="428">
        <v>0</v>
      </c>
      <c r="AH450" s="428">
        <v>0</v>
      </c>
      <c r="AI450" s="428">
        <v>0</v>
      </c>
      <c r="AJ450" s="428">
        <v>0</v>
      </c>
      <c r="AK450" s="428">
        <v>0</v>
      </c>
      <c r="AL450" s="428">
        <v>0</v>
      </c>
      <c r="AM450" s="428">
        <v>0</v>
      </c>
      <c r="AN450" s="428">
        <v>0</v>
      </c>
    </row>
    <row r="451" spans="1:43" ht="19" customHeight="1" x14ac:dyDescent="0.35">
      <c r="A451" s="429">
        <v>21</v>
      </c>
      <c r="B451" s="427">
        <f>PETUNJUK!B29</f>
        <v>0</v>
      </c>
      <c r="C451" s="428">
        <v>0</v>
      </c>
      <c r="D451" s="428">
        <v>0</v>
      </c>
      <c r="E451" s="428">
        <v>0</v>
      </c>
      <c r="F451" s="428">
        <v>0</v>
      </c>
      <c r="G451" s="428">
        <v>0</v>
      </c>
      <c r="H451" s="428">
        <v>0</v>
      </c>
      <c r="I451" s="428">
        <v>0</v>
      </c>
      <c r="J451" s="428">
        <v>0</v>
      </c>
      <c r="K451" s="428">
        <v>0</v>
      </c>
      <c r="L451" s="428">
        <v>0</v>
      </c>
      <c r="M451" s="428">
        <v>0</v>
      </c>
      <c r="N451" s="428">
        <v>0</v>
      </c>
      <c r="O451" s="428">
        <v>0</v>
      </c>
      <c r="P451" s="428">
        <v>0</v>
      </c>
      <c r="Q451" s="428">
        <v>0</v>
      </c>
      <c r="R451" s="428">
        <v>0</v>
      </c>
      <c r="S451" s="428">
        <v>0</v>
      </c>
      <c r="T451" s="428">
        <v>0</v>
      </c>
      <c r="U451" s="428">
        <v>0</v>
      </c>
      <c r="V451" s="428">
        <v>0</v>
      </c>
      <c r="W451" s="428">
        <v>0</v>
      </c>
      <c r="X451" s="428">
        <v>0</v>
      </c>
      <c r="Y451" s="428">
        <v>0</v>
      </c>
      <c r="Z451" s="428">
        <v>0</v>
      </c>
      <c r="AA451" s="428">
        <v>0</v>
      </c>
      <c r="AB451" s="428">
        <v>0</v>
      </c>
      <c r="AC451" s="428">
        <v>0</v>
      </c>
      <c r="AD451" s="428">
        <v>0</v>
      </c>
      <c r="AE451" s="428">
        <v>0</v>
      </c>
      <c r="AF451" s="428">
        <v>0</v>
      </c>
      <c r="AG451" s="428">
        <v>0</v>
      </c>
      <c r="AH451" s="428">
        <v>0</v>
      </c>
      <c r="AI451" s="428">
        <v>0</v>
      </c>
      <c r="AJ451" s="428">
        <v>0</v>
      </c>
      <c r="AK451" s="428">
        <v>0</v>
      </c>
      <c r="AL451" s="428">
        <v>0</v>
      </c>
      <c r="AM451" s="428">
        <v>0</v>
      </c>
      <c r="AN451" s="428">
        <v>0</v>
      </c>
    </row>
    <row r="452" spans="1:43" ht="19" customHeight="1" x14ac:dyDescent="0.35">
      <c r="A452" s="429">
        <v>22</v>
      </c>
      <c r="B452" s="427">
        <f>PETUNJUK!B30</f>
        <v>0</v>
      </c>
      <c r="C452" s="428">
        <v>0</v>
      </c>
      <c r="D452" s="428">
        <v>0</v>
      </c>
      <c r="E452" s="428">
        <v>0</v>
      </c>
      <c r="F452" s="428">
        <v>0</v>
      </c>
      <c r="G452" s="428">
        <v>0</v>
      </c>
      <c r="H452" s="428">
        <v>0</v>
      </c>
      <c r="I452" s="428">
        <v>0</v>
      </c>
      <c r="J452" s="428">
        <v>0</v>
      </c>
      <c r="K452" s="428">
        <v>0</v>
      </c>
      <c r="L452" s="428">
        <v>0</v>
      </c>
      <c r="M452" s="428">
        <v>0</v>
      </c>
      <c r="N452" s="428">
        <v>0</v>
      </c>
      <c r="O452" s="428">
        <v>0</v>
      </c>
      <c r="P452" s="428">
        <v>0</v>
      </c>
      <c r="Q452" s="428">
        <v>0</v>
      </c>
      <c r="R452" s="428">
        <v>0</v>
      </c>
      <c r="S452" s="428">
        <v>0</v>
      </c>
      <c r="T452" s="428">
        <v>0</v>
      </c>
      <c r="U452" s="428">
        <v>0</v>
      </c>
      <c r="V452" s="428">
        <v>0</v>
      </c>
      <c r="W452" s="428">
        <v>0</v>
      </c>
      <c r="X452" s="428">
        <v>0</v>
      </c>
      <c r="Y452" s="428">
        <v>0</v>
      </c>
      <c r="Z452" s="428">
        <v>0</v>
      </c>
      <c r="AA452" s="428">
        <v>0</v>
      </c>
      <c r="AB452" s="428">
        <v>0</v>
      </c>
      <c r="AC452" s="428">
        <v>0</v>
      </c>
      <c r="AD452" s="428">
        <v>0</v>
      </c>
      <c r="AE452" s="428">
        <v>0</v>
      </c>
      <c r="AF452" s="428">
        <v>0</v>
      </c>
      <c r="AG452" s="428">
        <v>0</v>
      </c>
      <c r="AH452" s="428">
        <v>0</v>
      </c>
      <c r="AI452" s="428">
        <v>0</v>
      </c>
      <c r="AJ452" s="428">
        <v>0</v>
      </c>
      <c r="AK452" s="428">
        <v>0</v>
      </c>
      <c r="AL452" s="428">
        <v>0</v>
      </c>
      <c r="AM452" s="428">
        <v>0</v>
      </c>
      <c r="AN452" s="428">
        <v>0</v>
      </c>
    </row>
    <row r="453" spans="1:43" s="421" customFormat="1" ht="19" customHeight="1" x14ac:dyDescent="0.35">
      <c r="A453" s="468"/>
      <c r="B453" s="419" t="s">
        <v>17</v>
      </c>
      <c r="C453" s="422">
        <f>SUM(C431:C452)</f>
        <v>0</v>
      </c>
      <c r="D453" s="422">
        <f t="shared" ref="D453:AI453" si="59">SUM(D431:D452)</f>
        <v>0</v>
      </c>
      <c r="E453" s="422">
        <f t="shared" si="59"/>
        <v>0</v>
      </c>
      <c r="F453" s="422">
        <f t="shared" si="59"/>
        <v>0</v>
      </c>
      <c r="G453" s="422">
        <f t="shared" si="59"/>
        <v>0</v>
      </c>
      <c r="H453" s="422">
        <f t="shared" si="59"/>
        <v>0</v>
      </c>
      <c r="I453" s="422">
        <f t="shared" si="59"/>
        <v>0</v>
      </c>
      <c r="J453" s="422">
        <f t="shared" si="59"/>
        <v>0</v>
      </c>
      <c r="K453" s="422">
        <f t="shared" si="59"/>
        <v>0</v>
      </c>
      <c r="L453" s="422">
        <f t="shared" si="59"/>
        <v>0</v>
      </c>
      <c r="M453" s="422">
        <f t="shared" si="59"/>
        <v>0</v>
      </c>
      <c r="N453" s="422">
        <f t="shared" si="59"/>
        <v>0</v>
      </c>
      <c r="O453" s="422">
        <f t="shared" si="59"/>
        <v>0</v>
      </c>
      <c r="P453" s="422">
        <f t="shared" si="59"/>
        <v>0</v>
      </c>
      <c r="Q453" s="422">
        <f t="shared" si="59"/>
        <v>0</v>
      </c>
      <c r="R453" s="422">
        <f t="shared" si="59"/>
        <v>0</v>
      </c>
      <c r="S453" s="422">
        <f t="shared" si="59"/>
        <v>0</v>
      </c>
      <c r="T453" s="422">
        <f t="shared" si="59"/>
        <v>0</v>
      </c>
      <c r="U453" s="422">
        <f t="shared" si="59"/>
        <v>0</v>
      </c>
      <c r="V453" s="422">
        <f t="shared" si="59"/>
        <v>0</v>
      </c>
      <c r="W453" s="422">
        <f t="shared" si="59"/>
        <v>0</v>
      </c>
      <c r="X453" s="422">
        <f t="shared" si="59"/>
        <v>0</v>
      </c>
      <c r="Y453" s="422">
        <f t="shared" si="59"/>
        <v>0</v>
      </c>
      <c r="Z453" s="422">
        <f t="shared" si="59"/>
        <v>0</v>
      </c>
      <c r="AA453" s="422">
        <f t="shared" si="59"/>
        <v>0</v>
      </c>
      <c r="AB453" s="422">
        <f t="shared" si="59"/>
        <v>0</v>
      </c>
      <c r="AC453" s="422">
        <f t="shared" si="59"/>
        <v>0</v>
      </c>
      <c r="AD453" s="422">
        <f t="shared" si="59"/>
        <v>0</v>
      </c>
      <c r="AE453" s="422">
        <f t="shared" si="59"/>
        <v>0</v>
      </c>
      <c r="AF453" s="422">
        <f t="shared" si="59"/>
        <v>0</v>
      </c>
      <c r="AG453" s="422">
        <f t="shared" si="59"/>
        <v>0</v>
      </c>
      <c r="AH453" s="422">
        <f t="shared" si="59"/>
        <v>0</v>
      </c>
      <c r="AI453" s="422">
        <f t="shared" si="59"/>
        <v>0</v>
      </c>
      <c r="AJ453" s="677">
        <f t="shared" ref="AJ453:AN453" si="60">SUM(AJ431:AJ452)</f>
        <v>0</v>
      </c>
      <c r="AK453" s="677">
        <f t="shared" si="60"/>
        <v>0</v>
      </c>
      <c r="AL453" s="677">
        <f t="shared" si="60"/>
        <v>0</v>
      </c>
      <c r="AM453" s="677">
        <f t="shared" si="60"/>
        <v>0</v>
      </c>
      <c r="AN453" s="677">
        <f t="shared" si="60"/>
        <v>0</v>
      </c>
    </row>
    <row r="454" spans="1:43" ht="19" customHeight="1" x14ac:dyDescent="0.35">
      <c r="A454" s="29"/>
      <c r="D454" s="29"/>
    </row>
    <row r="455" spans="1:43" ht="19" customHeight="1" x14ac:dyDescent="0.35">
      <c r="A455" s="29"/>
      <c r="D455" s="29"/>
    </row>
    <row r="456" spans="1:43" ht="19" customHeight="1" x14ac:dyDescent="0.35">
      <c r="A456" s="29"/>
      <c r="D456" s="29"/>
    </row>
    <row r="457" spans="1:43" s="418" customFormat="1" ht="19" customHeight="1" x14ac:dyDescent="0.35">
      <c r="A457" s="535" t="s">
        <v>147</v>
      </c>
      <c r="B457" s="535"/>
      <c r="C457" s="536" t="s">
        <v>243</v>
      </c>
      <c r="D457" s="535" t="s">
        <v>288</v>
      </c>
      <c r="E457" s="535"/>
      <c r="F457" s="535"/>
      <c r="G457" s="535"/>
      <c r="H457" s="535"/>
      <c r="I457" s="537"/>
      <c r="J457" s="537"/>
      <c r="K457" s="537"/>
      <c r="L457" s="537"/>
      <c r="M457" s="537"/>
      <c r="N457" s="537"/>
      <c r="O457" s="537"/>
      <c r="P457" s="537"/>
      <c r="Q457" s="537"/>
      <c r="R457" s="537"/>
      <c r="S457" s="537"/>
      <c r="T457" s="537"/>
      <c r="U457" s="537"/>
      <c r="V457" s="537"/>
      <c r="W457" s="537"/>
      <c r="X457" s="537"/>
      <c r="Y457" s="537"/>
      <c r="Z457" s="537"/>
      <c r="AA457" s="537"/>
      <c r="AB457" s="537"/>
      <c r="AC457" s="537"/>
      <c r="AD457" s="537"/>
      <c r="AE457" s="537"/>
      <c r="AF457" s="537"/>
      <c r="AG457" s="537"/>
      <c r="AH457" s="537"/>
      <c r="AI457" s="537"/>
      <c r="AJ457" s="537"/>
      <c r="AK457" s="537"/>
      <c r="AL457" s="537"/>
      <c r="AM457" s="537"/>
    </row>
    <row r="458" spans="1:43" s="418" customFormat="1" ht="19" customHeight="1" x14ac:dyDescent="0.35">
      <c r="A458" s="535" t="s">
        <v>242</v>
      </c>
      <c r="B458" s="535"/>
      <c r="C458" s="536" t="s">
        <v>243</v>
      </c>
      <c r="D458" s="538" t="s">
        <v>405</v>
      </c>
      <c r="E458" s="535"/>
      <c r="F458" s="535"/>
      <c r="G458" s="538"/>
      <c r="H458" s="535"/>
      <c r="I458" s="537"/>
      <c r="J458" s="537"/>
      <c r="K458" s="537"/>
      <c r="L458" s="537"/>
      <c r="M458" s="537"/>
      <c r="N458" s="537"/>
      <c r="O458" s="537"/>
      <c r="P458" s="537"/>
      <c r="Q458" s="537"/>
      <c r="R458" s="537"/>
      <c r="S458" s="537"/>
      <c r="T458" s="537"/>
      <c r="U458" s="537"/>
      <c r="V458" s="537"/>
      <c r="W458" s="537"/>
      <c r="X458" s="537"/>
      <c r="Y458" s="537"/>
      <c r="Z458" s="537"/>
      <c r="AA458" s="537"/>
      <c r="AB458" s="537"/>
      <c r="AC458" s="537"/>
      <c r="AD458" s="537"/>
      <c r="AE458" s="537"/>
      <c r="AF458" s="537"/>
      <c r="AG458" s="537"/>
      <c r="AH458" s="537"/>
      <c r="AI458" s="537"/>
      <c r="AJ458" s="537"/>
      <c r="AK458" s="537"/>
      <c r="AL458" s="537"/>
      <c r="AM458" s="537"/>
    </row>
    <row r="459" spans="1:43" ht="19" customHeight="1" x14ac:dyDescent="0.35">
      <c r="A459" s="539"/>
      <c r="B459" s="539"/>
      <c r="C459" s="540"/>
      <c r="D459" s="539"/>
      <c r="E459" s="539"/>
      <c r="F459" s="539"/>
      <c r="G459" s="539"/>
      <c r="H459" s="539"/>
      <c r="I459" s="416"/>
      <c r="J459" s="416"/>
      <c r="K459" s="416"/>
      <c r="L459" s="416"/>
      <c r="M459" s="416"/>
      <c r="N459" s="416"/>
      <c r="O459" s="416"/>
      <c r="P459" s="416"/>
      <c r="Q459" s="416"/>
      <c r="R459" s="416"/>
      <c r="S459" s="416"/>
      <c r="T459" s="416"/>
      <c r="U459" s="416"/>
      <c r="V459" s="416"/>
      <c r="W459" s="416"/>
      <c r="X459" s="416"/>
      <c r="Y459" s="416"/>
      <c r="Z459" s="416"/>
      <c r="AA459" s="416"/>
      <c r="AB459" s="416"/>
      <c r="AC459" s="416"/>
      <c r="AD459" s="416"/>
      <c r="AE459" s="416"/>
      <c r="AF459" s="416"/>
      <c r="AG459" s="416"/>
      <c r="AH459" s="416"/>
      <c r="AI459" s="416"/>
      <c r="AJ459" s="416"/>
      <c r="AK459" s="416"/>
      <c r="AL459" s="416"/>
      <c r="AM459" s="416"/>
    </row>
    <row r="460" spans="1:43" ht="19" customHeight="1" x14ac:dyDescent="0.35">
      <c r="A460" s="416"/>
      <c r="B460" s="416"/>
      <c r="C460" s="417"/>
      <c r="D460" s="416"/>
      <c r="E460" s="416"/>
      <c r="F460" s="416"/>
      <c r="G460" s="416"/>
      <c r="H460" s="416"/>
      <c r="I460" s="416"/>
      <c r="J460" s="416"/>
      <c r="K460" s="416"/>
      <c r="L460" s="416"/>
      <c r="M460" s="416"/>
      <c r="N460" s="416"/>
      <c r="O460" s="416"/>
      <c r="P460" s="416"/>
      <c r="Q460" s="416"/>
      <c r="R460" s="416"/>
      <c r="S460" s="416"/>
      <c r="T460" s="416"/>
      <c r="U460" s="416"/>
      <c r="V460" s="416"/>
      <c r="W460" s="416"/>
      <c r="X460" s="416"/>
      <c r="Y460" s="416"/>
      <c r="Z460" s="416"/>
      <c r="AA460" s="416"/>
      <c r="AB460" s="416"/>
      <c r="AC460" s="416"/>
      <c r="AD460" s="416"/>
      <c r="AE460" s="416"/>
      <c r="AF460" s="416"/>
      <c r="AG460" s="416"/>
      <c r="AH460" s="416"/>
      <c r="AI460" s="416"/>
      <c r="AJ460" s="416"/>
      <c r="AK460" s="416"/>
      <c r="AL460" s="416"/>
      <c r="AM460" s="416"/>
    </row>
    <row r="461" spans="1:43" s="421" customFormat="1" ht="19" customHeight="1" x14ac:dyDescent="0.35">
      <c r="A461" s="967" t="s">
        <v>244</v>
      </c>
      <c r="B461" s="967" t="s">
        <v>151</v>
      </c>
      <c r="C461" s="960" t="s">
        <v>311</v>
      </c>
      <c r="D461" s="960"/>
      <c r="E461" s="960"/>
      <c r="F461" s="960" t="s">
        <v>312</v>
      </c>
      <c r="G461" s="960"/>
      <c r="H461" s="960"/>
      <c r="I461" s="960" t="s">
        <v>33</v>
      </c>
      <c r="J461" s="960"/>
      <c r="K461" s="970" t="s">
        <v>245</v>
      </c>
      <c r="L461" s="970"/>
      <c r="M461" s="970" t="s">
        <v>246</v>
      </c>
      <c r="N461" s="970"/>
      <c r="O461" s="960" t="s">
        <v>247</v>
      </c>
      <c r="P461" s="960"/>
      <c r="Q461" s="960"/>
      <c r="R461" s="960"/>
      <c r="S461" s="960"/>
      <c r="T461" s="960"/>
      <c r="U461" s="960"/>
      <c r="V461" s="960"/>
      <c r="W461" s="960"/>
      <c r="X461" s="971" t="s">
        <v>247</v>
      </c>
      <c r="Y461" s="960"/>
      <c r="Z461" s="960"/>
      <c r="AA461" s="960"/>
      <c r="AB461" s="960"/>
      <c r="AC461" s="960"/>
      <c r="AD461" s="960"/>
      <c r="AE461" s="960"/>
      <c r="AF461" s="960"/>
      <c r="AG461" s="960"/>
      <c r="AH461" s="960"/>
      <c r="AI461" s="960"/>
      <c r="AJ461" s="975" t="s">
        <v>248</v>
      </c>
      <c r="AK461" s="975"/>
      <c r="AL461" s="975"/>
      <c r="AM461" s="975"/>
      <c r="AN461" s="975"/>
    </row>
    <row r="462" spans="1:43" s="421" customFormat="1" ht="19" customHeight="1" x14ac:dyDescent="0.35">
      <c r="A462" s="968"/>
      <c r="B462" s="968"/>
      <c r="C462" s="961" t="s">
        <v>249</v>
      </c>
      <c r="D462" s="972" t="s">
        <v>250</v>
      </c>
      <c r="E462" s="961" t="s">
        <v>251</v>
      </c>
      <c r="F462" s="961" t="s">
        <v>249</v>
      </c>
      <c r="G462" s="961" t="s">
        <v>250</v>
      </c>
      <c r="H462" s="961" t="s">
        <v>251</v>
      </c>
      <c r="I462" s="961" t="s">
        <v>252</v>
      </c>
      <c r="J462" s="961" t="s">
        <v>253</v>
      </c>
      <c r="K462" s="961" t="s">
        <v>254</v>
      </c>
      <c r="L462" s="961" t="s">
        <v>255</v>
      </c>
      <c r="M462" s="961" t="s">
        <v>254</v>
      </c>
      <c r="N462" s="961" t="s">
        <v>256</v>
      </c>
      <c r="O462" s="965" t="s">
        <v>257</v>
      </c>
      <c r="P462" s="965"/>
      <c r="Q462" s="965"/>
      <c r="R462" s="965"/>
      <c r="S462" s="965"/>
      <c r="T462" s="965" t="s">
        <v>258</v>
      </c>
      <c r="U462" s="965"/>
      <c r="V462" s="965"/>
      <c r="W462" s="965"/>
      <c r="X462" s="966" t="s">
        <v>259</v>
      </c>
      <c r="Y462" s="965"/>
      <c r="Z462" s="965"/>
      <c r="AA462" s="965" t="s">
        <v>260</v>
      </c>
      <c r="AB462" s="965"/>
      <c r="AC462" s="965"/>
      <c r="AD462" s="965" t="s">
        <v>261</v>
      </c>
      <c r="AE462" s="965"/>
      <c r="AF462" s="965"/>
      <c r="AG462" s="965" t="s">
        <v>262</v>
      </c>
      <c r="AH462" s="965"/>
      <c r="AI462" s="965"/>
      <c r="AJ462" s="964" t="s">
        <v>421</v>
      </c>
      <c r="AK462" s="964" t="s">
        <v>263</v>
      </c>
      <c r="AL462" s="964" t="s">
        <v>264</v>
      </c>
      <c r="AM462" s="964" t="s">
        <v>265</v>
      </c>
      <c r="AN462" s="964" t="s">
        <v>424</v>
      </c>
      <c r="AO462" s="423"/>
      <c r="AP462" s="423"/>
      <c r="AQ462" s="423"/>
    </row>
    <row r="463" spans="1:43" s="421" customFormat="1" ht="19" customHeight="1" x14ac:dyDescent="0.35">
      <c r="A463" s="968"/>
      <c r="B463" s="968"/>
      <c r="C463" s="962"/>
      <c r="D463" s="973"/>
      <c r="E463" s="962"/>
      <c r="F463" s="962"/>
      <c r="G463" s="962"/>
      <c r="H463" s="962"/>
      <c r="I463" s="962"/>
      <c r="J463" s="962"/>
      <c r="K463" s="962"/>
      <c r="L463" s="962"/>
      <c r="M463" s="962"/>
      <c r="N463" s="962"/>
      <c r="O463" s="965" t="s">
        <v>266</v>
      </c>
      <c r="P463" s="965" t="s">
        <v>267</v>
      </c>
      <c r="Q463" s="965" t="s">
        <v>268</v>
      </c>
      <c r="R463" s="965" t="s">
        <v>269</v>
      </c>
      <c r="S463" s="965"/>
      <c r="T463" s="965" t="s">
        <v>270</v>
      </c>
      <c r="U463" s="965" t="s">
        <v>271</v>
      </c>
      <c r="V463" s="965" t="s">
        <v>272</v>
      </c>
      <c r="W463" s="965" t="s">
        <v>273</v>
      </c>
      <c r="X463" s="966" t="s">
        <v>274</v>
      </c>
      <c r="Y463" s="965" t="s">
        <v>275</v>
      </c>
      <c r="Z463" s="965" t="s">
        <v>276</v>
      </c>
      <c r="AA463" s="965" t="s">
        <v>277</v>
      </c>
      <c r="AB463" s="965" t="s">
        <v>278</v>
      </c>
      <c r="AC463" s="965" t="s">
        <v>279</v>
      </c>
      <c r="AD463" s="965" t="s">
        <v>280</v>
      </c>
      <c r="AE463" s="965" t="s">
        <v>281</v>
      </c>
      <c r="AF463" s="965" t="s">
        <v>282</v>
      </c>
      <c r="AG463" s="965" t="s">
        <v>283</v>
      </c>
      <c r="AH463" s="965" t="s">
        <v>284</v>
      </c>
      <c r="AI463" s="965" t="s">
        <v>279</v>
      </c>
      <c r="AJ463" s="964"/>
      <c r="AK463" s="964"/>
      <c r="AL463" s="964"/>
      <c r="AM463" s="964"/>
      <c r="AN463" s="964"/>
      <c r="AO463" s="423"/>
      <c r="AP463" s="423"/>
      <c r="AQ463" s="423"/>
    </row>
    <row r="464" spans="1:43" s="421" customFormat="1" ht="30.65" customHeight="1" x14ac:dyDescent="0.35">
      <c r="A464" s="969"/>
      <c r="B464" s="969"/>
      <c r="C464" s="963"/>
      <c r="D464" s="974"/>
      <c r="E464" s="963"/>
      <c r="F464" s="963"/>
      <c r="G464" s="963"/>
      <c r="H464" s="963"/>
      <c r="I464" s="963"/>
      <c r="J464" s="963"/>
      <c r="K464" s="963"/>
      <c r="L464" s="963"/>
      <c r="M464" s="963"/>
      <c r="N464" s="963"/>
      <c r="O464" s="965"/>
      <c r="P464" s="965"/>
      <c r="Q464" s="965"/>
      <c r="R464" s="422" t="s">
        <v>285</v>
      </c>
      <c r="S464" s="422" t="s">
        <v>286</v>
      </c>
      <c r="T464" s="965"/>
      <c r="U464" s="965"/>
      <c r="V464" s="965"/>
      <c r="W464" s="965"/>
      <c r="X464" s="966"/>
      <c r="Y464" s="965"/>
      <c r="Z464" s="965"/>
      <c r="AA464" s="965"/>
      <c r="AB464" s="965"/>
      <c r="AC464" s="965"/>
      <c r="AD464" s="965"/>
      <c r="AE464" s="965"/>
      <c r="AF464" s="965"/>
      <c r="AG464" s="965"/>
      <c r="AH464" s="965"/>
      <c r="AI464" s="965"/>
      <c r="AJ464" s="964"/>
      <c r="AK464" s="964"/>
      <c r="AL464" s="964"/>
      <c r="AM464" s="964"/>
      <c r="AN464" s="964"/>
      <c r="AO464" s="423"/>
      <c r="AP464" s="423"/>
      <c r="AQ464" s="423"/>
    </row>
    <row r="465" spans="1:40" s="421" customFormat="1" ht="19" customHeight="1" thickBot="1" x14ac:dyDescent="0.4">
      <c r="A465" s="424">
        <v>1</v>
      </c>
      <c r="B465" s="424">
        <v>2</v>
      </c>
      <c r="C465" s="425">
        <v>3</v>
      </c>
      <c r="D465" s="424">
        <v>4</v>
      </c>
      <c r="E465" s="424">
        <v>5</v>
      </c>
      <c r="F465" s="424">
        <v>6</v>
      </c>
      <c r="G465" s="424">
        <v>7</v>
      </c>
      <c r="H465" s="424">
        <v>8</v>
      </c>
      <c r="I465" s="424">
        <v>9</v>
      </c>
      <c r="J465" s="424">
        <v>10</v>
      </c>
      <c r="K465" s="424">
        <v>11</v>
      </c>
      <c r="L465" s="424">
        <v>12</v>
      </c>
      <c r="M465" s="424">
        <v>13</v>
      </c>
      <c r="N465" s="424">
        <v>14</v>
      </c>
      <c r="O465" s="424">
        <v>15</v>
      </c>
      <c r="P465" s="424">
        <v>16</v>
      </c>
      <c r="Q465" s="424">
        <v>17</v>
      </c>
      <c r="R465" s="424">
        <v>18</v>
      </c>
      <c r="S465" s="424">
        <v>19</v>
      </c>
      <c r="T465" s="424">
        <v>20</v>
      </c>
      <c r="U465" s="424">
        <v>21</v>
      </c>
      <c r="V465" s="424">
        <v>22</v>
      </c>
      <c r="W465" s="424">
        <v>23</v>
      </c>
      <c r="X465" s="424">
        <v>24</v>
      </c>
      <c r="Y465" s="424">
        <v>25</v>
      </c>
      <c r="Z465" s="424">
        <v>26</v>
      </c>
      <c r="AA465" s="424">
        <v>27</v>
      </c>
      <c r="AB465" s="424">
        <v>28</v>
      </c>
      <c r="AC465" s="424">
        <v>29</v>
      </c>
      <c r="AD465" s="424">
        <v>30</v>
      </c>
      <c r="AE465" s="424">
        <v>31</v>
      </c>
      <c r="AF465" s="424">
        <v>32</v>
      </c>
      <c r="AG465" s="424">
        <v>33</v>
      </c>
      <c r="AH465" s="424">
        <v>34</v>
      </c>
      <c r="AI465" s="424">
        <v>35</v>
      </c>
      <c r="AJ465" s="677">
        <v>36</v>
      </c>
      <c r="AK465" s="677">
        <v>37</v>
      </c>
      <c r="AL465" s="677">
        <v>38</v>
      </c>
      <c r="AM465" s="677">
        <v>39</v>
      </c>
      <c r="AN465" s="677">
        <v>40</v>
      </c>
    </row>
    <row r="466" spans="1:40" s="436" customFormat="1" ht="19" customHeight="1" thickTop="1" x14ac:dyDescent="0.35">
      <c r="A466" s="435">
        <v>1</v>
      </c>
      <c r="B466" s="435" t="str">
        <f>PETUNJUK!B9</f>
        <v>Pecangaan Kulon</v>
      </c>
      <c r="C466" s="439">
        <f>C11+C45+C80+C115+C150+C185+C256+C291+C326+C361+C396+C431</f>
        <v>30</v>
      </c>
      <c r="D466" s="439">
        <f>D11+D45+D80+D115+D150+D185+D256+D291+D326+D361+D396+D431</f>
        <v>3</v>
      </c>
      <c r="E466" s="439">
        <f>E11+E45+E80+E115+E150+E185+E256+E291+E326+E361+E396+E431</f>
        <v>0</v>
      </c>
      <c r="F466" s="439">
        <f>F11+F45+F80+F115+F150+F185+F256+F291+F326+F361+F396+F431</f>
        <v>28</v>
      </c>
      <c r="G466" s="439">
        <f t="shared" ref="G466:AI466" si="61">G11+G45+G80+G115+G150+G185+G256+G291+G326+G361+G396+G431</f>
        <v>6</v>
      </c>
      <c r="H466" s="439">
        <f t="shared" si="61"/>
        <v>0</v>
      </c>
      <c r="I466" s="439">
        <f t="shared" si="61"/>
        <v>30</v>
      </c>
      <c r="J466" s="439">
        <f t="shared" si="61"/>
        <v>1</v>
      </c>
      <c r="K466" s="439">
        <f t="shared" si="61"/>
        <v>28</v>
      </c>
      <c r="L466" s="439">
        <f t="shared" si="61"/>
        <v>4</v>
      </c>
      <c r="M466" s="439">
        <f t="shared" si="61"/>
        <v>30</v>
      </c>
      <c r="N466" s="439">
        <f t="shared" si="61"/>
        <v>6</v>
      </c>
      <c r="O466" s="439">
        <f t="shared" si="61"/>
        <v>0</v>
      </c>
      <c r="P466" s="439">
        <f t="shared" si="61"/>
        <v>0</v>
      </c>
      <c r="Q466" s="439">
        <f t="shared" si="61"/>
        <v>30</v>
      </c>
      <c r="R466" s="439">
        <f t="shared" si="61"/>
        <v>0</v>
      </c>
      <c r="S466" s="439">
        <f t="shared" si="61"/>
        <v>0</v>
      </c>
      <c r="T466" s="439">
        <f t="shared" si="61"/>
        <v>0</v>
      </c>
      <c r="U466" s="439">
        <f t="shared" si="61"/>
        <v>0</v>
      </c>
      <c r="V466" s="439">
        <f t="shared" si="61"/>
        <v>0</v>
      </c>
      <c r="W466" s="439">
        <f t="shared" si="61"/>
        <v>0</v>
      </c>
      <c r="X466" s="439">
        <f t="shared" si="61"/>
        <v>0</v>
      </c>
      <c r="Y466" s="439">
        <f t="shared" si="61"/>
        <v>0</v>
      </c>
      <c r="Z466" s="439">
        <f t="shared" si="61"/>
        <v>0</v>
      </c>
      <c r="AA466" s="439">
        <f t="shared" si="61"/>
        <v>0</v>
      </c>
      <c r="AB466" s="439">
        <f t="shared" si="61"/>
        <v>0</v>
      </c>
      <c r="AC466" s="439">
        <f t="shared" si="61"/>
        <v>0</v>
      </c>
      <c r="AD466" s="439">
        <f t="shared" si="61"/>
        <v>30</v>
      </c>
      <c r="AE466" s="439">
        <f t="shared" si="61"/>
        <v>0</v>
      </c>
      <c r="AF466" s="439">
        <f t="shared" si="61"/>
        <v>0</v>
      </c>
      <c r="AG466" s="439">
        <f t="shared" si="61"/>
        <v>22</v>
      </c>
      <c r="AH466" s="439">
        <f t="shared" si="61"/>
        <v>10</v>
      </c>
      <c r="AI466" s="439">
        <f t="shared" si="61"/>
        <v>0</v>
      </c>
      <c r="AJ466" s="678"/>
      <c r="AK466" s="678"/>
      <c r="AL466" s="678"/>
      <c r="AM466" s="678"/>
      <c r="AN466" s="678"/>
    </row>
    <row r="467" spans="1:40" s="436" customFormat="1" ht="19" customHeight="1" x14ac:dyDescent="0.35">
      <c r="A467" s="437">
        <v>2</v>
      </c>
      <c r="B467" s="435" t="str">
        <f>PETUNJUK!B10</f>
        <v>Rengging</v>
      </c>
      <c r="C467" s="439">
        <f t="shared" ref="C467:D487" si="62">C12+C46+C81+C116+C151+C186+C257+C292+C327+C362+C397+C432</f>
        <v>54</v>
      </c>
      <c r="D467" s="439">
        <f t="shared" si="62"/>
        <v>6</v>
      </c>
      <c r="E467" s="439">
        <f t="shared" ref="E467:H467" si="63">E12+E46+E81+E116+E151+E186+E257+E292+E327+E362+E397+E432</f>
        <v>0</v>
      </c>
      <c r="F467" s="439">
        <f t="shared" si="63"/>
        <v>21</v>
      </c>
      <c r="G467" s="439">
        <f t="shared" si="63"/>
        <v>12</v>
      </c>
      <c r="H467" s="439">
        <f t="shared" si="63"/>
        <v>0</v>
      </c>
      <c r="I467" s="439">
        <f t="shared" ref="I467:AI467" si="64">I12+I46+I81+I116+I151+I186+I257+I292+I327+I362+I397+I432</f>
        <v>54</v>
      </c>
      <c r="J467" s="439">
        <f t="shared" si="64"/>
        <v>8</v>
      </c>
      <c r="K467" s="439">
        <f t="shared" si="64"/>
        <v>21</v>
      </c>
      <c r="L467" s="439">
        <f t="shared" si="64"/>
        <v>0</v>
      </c>
      <c r="M467" s="439">
        <f t="shared" si="64"/>
        <v>54</v>
      </c>
      <c r="N467" s="439">
        <f t="shared" si="64"/>
        <v>4</v>
      </c>
      <c r="O467" s="439">
        <f t="shared" si="64"/>
        <v>0</v>
      </c>
      <c r="P467" s="439">
        <f t="shared" si="64"/>
        <v>0</v>
      </c>
      <c r="Q467" s="439">
        <f t="shared" si="64"/>
        <v>54</v>
      </c>
      <c r="R467" s="439">
        <f t="shared" si="64"/>
        <v>0</v>
      </c>
      <c r="S467" s="439">
        <f t="shared" si="64"/>
        <v>0</v>
      </c>
      <c r="T467" s="439">
        <f t="shared" si="64"/>
        <v>0</v>
      </c>
      <c r="U467" s="439">
        <f t="shared" si="64"/>
        <v>0</v>
      </c>
      <c r="V467" s="439">
        <f t="shared" si="64"/>
        <v>0</v>
      </c>
      <c r="W467" s="439">
        <f t="shared" si="64"/>
        <v>0</v>
      </c>
      <c r="X467" s="439">
        <f t="shared" si="64"/>
        <v>0</v>
      </c>
      <c r="Y467" s="439">
        <f t="shared" si="64"/>
        <v>0</v>
      </c>
      <c r="Z467" s="439">
        <f t="shared" si="64"/>
        <v>0</v>
      </c>
      <c r="AA467" s="439">
        <f t="shared" si="64"/>
        <v>0</v>
      </c>
      <c r="AB467" s="439">
        <f t="shared" si="64"/>
        <v>0</v>
      </c>
      <c r="AC467" s="439">
        <f t="shared" si="64"/>
        <v>0</v>
      </c>
      <c r="AD467" s="439">
        <f t="shared" si="64"/>
        <v>54</v>
      </c>
      <c r="AE467" s="439">
        <f t="shared" si="64"/>
        <v>0</v>
      </c>
      <c r="AF467" s="439">
        <f t="shared" si="64"/>
        <v>0</v>
      </c>
      <c r="AG467" s="439">
        <f t="shared" si="64"/>
        <v>35</v>
      </c>
      <c r="AH467" s="439">
        <f t="shared" si="64"/>
        <v>20</v>
      </c>
      <c r="AI467" s="439">
        <f t="shared" si="64"/>
        <v>0</v>
      </c>
      <c r="AJ467" s="678"/>
      <c r="AK467" s="678"/>
      <c r="AL467" s="678"/>
      <c r="AM467" s="678"/>
      <c r="AN467" s="678"/>
    </row>
    <row r="468" spans="1:40" s="436" customFormat="1" ht="19" customHeight="1" x14ac:dyDescent="0.35">
      <c r="A468" s="437">
        <v>3</v>
      </c>
      <c r="B468" s="435" t="str">
        <f>PETUNJUK!B11</f>
        <v>Troso</v>
      </c>
      <c r="C468" s="439">
        <f t="shared" si="62"/>
        <v>78</v>
      </c>
      <c r="D468" s="439">
        <f t="shared" si="62"/>
        <v>3</v>
      </c>
      <c r="E468" s="439">
        <f t="shared" ref="E468:H468" si="65">E13+E47+E82+E117+E152+E187+E258+E293+E328+E363+E398+E433</f>
        <v>0</v>
      </c>
      <c r="F468" s="439">
        <f t="shared" si="65"/>
        <v>64</v>
      </c>
      <c r="G468" s="439">
        <f t="shared" si="65"/>
        <v>13</v>
      </c>
      <c r="H468" s="439">
        <f t="shared" si="65"/>
        <v>1</v>
      </c>
      <c r="I468" s="439">
        <f t="shared" ref="I468:AI468" si="66">I13+I47+I82+I117+I152+I187+I258+I293+I328+I363+I398+I433</f>
        <v>78</v>
      </c>
      <c r="J468" s="439">
        <f t="shared" si="66"/>
        <v>11</v>
      </c>
      <c r="K468" s="439">
        <f t="shared" si="66"/>
        <v>64</v>
      </c>
      <c r="L468" s="439">
        <f t="shared" si="66"/>
        <v>5</v>
      </c>
      <c r="M468" s="439">
        <f t="shared" si="66"/>
        <v>78</v>
      </c>
      <c r="N468" s="439">
        <f t="shared" si="66"/>
        <v>11</v>
      </c>
      <c r="O468" s="439">
        <f t="shared" si="66"/>
        <v>0</v>
      </c>
      <c r="P468" s="439">
        <f t="shared" si="66"/>
        <v>0</v>
      </c>
      <c r="Q468" s="439">
        <f t="shared" si="66"/>
        <v>78</v>
      </c>
      <c r="R468" s="439">
        <f t="shared" si="66"/>
        <v>0</v>
      </c>
      <c r="S468" s="439">
        <f t="shared" si="66"/>
        <v>0</v>
      </c>
      <c r="T468" s="439">
        <f t="shared" si="66"/>
        <v>0</v>
      </c>
      <c r="U468" s="439">
        <f t="shared" si="66"/>
        <v>0</v>
      </c>
      <c r="V468" s="439">
        <f t="shared" si="66"/>
        <v>0</v>
      </c>
      <c r="W468" s="439">
        <f t="shared" si="66"/>
        <v>0</v>
      </c>
      <c r="X468" s="439">
        <f t="shared" si="66"/>
        <v>0</v>
      </c>
      <c r="Y468" s="439">
        <f t="shared" si="66"/>
        <v>0</v>
      </c>
      <c r="Z468" s="439">
        <f t="shared" si="66"/>
        <v>0</v>
      </c>
      <c r="AA468" s="439">
        <f t="shared" si="66"/>
        <v>0</v>
      </c>
      <c r="AB468" s="439">
        <f t="shared" si="66"/>
        <v>0</v>
      </c>
      <c r="AC468" s="439">
        <f t="shared" si="66"/>
        <v>0</v>
      </c>
      <c r="AD468" s="439">
        <f t="shared" si="66"/>
        <v>78</v>
      </c>
      <c r="AE468" s="439">
        <f t="shared" si="66"/>
        <v>0</v>
      </c>
      <c r="AF468" s="439">
        <f t="shared" si="66"/>
        <v>0</v>
      </c>
      <c r="AG468" s="439">
        <f t="shared" si="66"/>
        <v>52</v>
      </c>
      <c r="AH468" s="439">
        <f t="shared" si="66"/>
        <v>27</v>
      </c>
      <c r="AI468" s="439">
        <f t="shared" si="66"/>
        <v>0</v>
      </c>
      <c r="AJ468" s="678"/>
      <c r="AK468" s="678"/>
      <c r="AL468" s="678"/>
      <c r="AM468" s="678"/>
      <c r="AN468" s="678"/>
    </row>
    <row r="469" spans="1:40" s="436" customFormat="1" ht="19" customHeight="1" x14ac:dyDescent="0.35">
      <c r="A469" s="437">
        <v>4</v>
      </c>
      <c r="B469" s="435" t="str">
        <f>PETUNJUK!B12</f>
        <v>Ngeling</v>
      </c>
      <c r="C469" s="439">
        <f t="shared" si="62"/>
        <v>30</v>
      </c>
      <c r="D469" s="439">
        <f t="shared" si="62"/>
        <v>4</v>
      </c>
      <c r="E469" s="439">
        <f t="shared" ref="E469:H469" si="67">E14+E48+E83+E118+E153+E188+E259+E294+E329+E364+E399+E434</f>
        <v>1</v>
      </c>
      <c r="F469" s="439">
        <f t="shared" si="67"/>
        <v>28</v>
      </c>
      <c r="G469" s="439">
        <f t="shared" si="67"/>
        <v>5</v>
      </c>
      <c r="H469" s="439">
        <f t="shared" si="67"/>
        <v>0</v>
      </c>
      <c r="I469" s="439">
        <f t="shared" ref="I469:AI469" si="68">I14+I48+I83+I118+I153+I188+I259+I294+I329+I364+I399+I434</f>
        <v>30</v>
      </c>
      <c r="J469" s="439">
        <f t="shared" si="68"/>
        <v>5</v>
      </c>
      <c r="K469" s="439">
        <f t="shared" si="68"/>
        <v>28</v>
      </c>
      <c r="L469" s="439">
        <f t="shared" si="68"/>
        <v>2</v>
      </c>
      <c r="M469" s="439">
        <f t="shared" si="68"/>
        <v>30</v>
      </c>
      <c r="N469" s="439">
        <f t="shared" si="68"/>
        <v>6</v>
      </c>
      <c r="O469" s="439">
        <f t="shared" si="68"/>
        <v>0</v>
      </c>
      <c r="P469" s="439">
        <f t="shared" si="68"/>
        <v>0</v>
      </c>
      <c r="Q469" s="439">
        <f t="shared" si="68"/>
        <v>30</v>
      </c>
      <c r="R469" s="439">
        <f t="shared" si="68"/>
        <v>0</v>
      </c>
      <c r="S469" s="439">
        <f t="shared" si="68"/>
        <v>0</v>
      </c>
      <c r="T469" s="439">
        <f t="shared" si="68"/>
        <v>0</v>
      </c>
      <c r="U469" s="439">
        <f t="shared" si="68"/>
        <v>0</v>
      </c>
      <c r="V469" s="439">
        <f t="shared" si="68"/>
        <v>0</v>
      </c>
      <c r="W469" s="439">
        <f t="shared" si="68"/>
        <v>0</v>
      </c>
      <c r="X469" s="439">
        <f t="shared" si="68"/>
        <v>0</v>
      </c>
      <c r="Y469" s="439">
        <f t="shared" si="68"/>
        <v>0</v>
      </c>
      <c r="Z469" s="439">
        <f t="shared" si="68"/>
        <v>0</v>
      </c>
      <c r="AA469" s="439">
        <f t="shared" si="68"/>
        <v>0</v>
      </c>
      <c r="AB469" s="439">
        <f t="shared" si="68"/>
        <v>0</v>
      </c>
      <c r="AC469" s="439">
        <f t="shared" si="68"/>
        <v>0</v>
      </c>
      <c r="AD469" s="439">
        <f t="shared" si="68"/>
        <v>30</v>
      </c>
      <c r="AE469" s="439">
        <f t="shared" si="68"/>
        <v>0</v>
      </c>
      <c r="AF469" s="439">
        <f t="shared" si="68"/>
        <v>0</v>
      </c>
      <c r="AG469" s="439">
        <f t="shared" si="68"/>
        <v>21</v>
      </c>
      <c r="AH469" s="439">
        <f t="shared" si="68"/>
        <v>9</v>
      </c>
      <c r="AI469" s="439">
        <f t="shared" si="68"/>
        <v>1</v>
      </c>
      <c r="AJ469" s="678"/>
      <c r="AK469" s="678"/>
      <c r="AL469" s="678"/>
      <c r="AM469" s="678"/>
      <c r="AN469" s="678"/>
    </row>
    <row r="470" spans="1:40" s="436" customFormat="1" ht="19" customHeight="1" x14ac:dyDescent="0.35">
      <c r="A470" s="437">
        <v>5</v>
      </c>
      <c r="B470" s="435" t="str">
        <f>PETUNJUK!B13</f>
        <v>Lebuawu</v>
      </c>
      <c r="C470" s="439">
        <f t="shared" si="62"/>
        <v>33</v>
      </c>
      <c r="D470" s="439">
        <f t="shared" si="62"/>
        <v>2</v>
      </c>
      <c r="E470" s="439">
        <f t="shared" ref="E470:H470" si="69">E15+E49+E84+E119+E154+E189+E260+E295+E330+E365+E400+E435</f>
        <v>0</v>
      </c>
      <c r="F470" s="439">
        <f t="shared" si="69"/>
        <v>25</v>
      </c>
      <c r="G470" s="439">
        <f t="shared" si="69"/>
        <v>3</v>
      </c>
      <c r="H470" s="439">
        <f t="shared" si="69"/>
        <v>0</v>
      </c>
      <c r="I470" s="439">
        <f t="shared" ref="I470:AI470" si="70">I15+I49+I84+I119+I154+I189+I260+I295+I330+I365+I400+I435</f>
        <v>33</v>
      </c>
      <c r="J470" s="439">
        <f t="shared" si="70"/>
        <v>3</v>
      </c>
      <c r="K470" s="439">
        <f t="shared" si="70"/>
        <v>25</v>
      </c>
      <c r="L470" s="439">
        <f t="shared" si="70"/>
        <v>2</v>
      </c>
      <c r="M470" s="439">
        <f t="shared" si="70"/>
        <v>33</v>
      </c>
      <c r="N470" s="439">
        <f t="shared" si="70"/>
        <v>3</v>
      </c>
      <c r="O470" s="439">
        <f t="shared" si="70"/>
        <v>0</v>
      </c>
      <c r="P470" s="439">
        <f t="shared" si="70"/>
        <v>0</v>
      </c>
      <c r="Q470" s="439">
        <f t="shared" si="70"/>
        <v>33</v>
      </c>
      <c r="R470" s="439">
        <f t="shared" si="70"/>
        <v>0</v>
      </c>
      <c r="S470" s="439">
        <f t="shared" si="70"/>
        <v>0</v>
      </c>
      <c r="T470" s="439">
        <f t="shared" si="70"/>
        <v>0</v>
      </c>
      <c r="U470" s="439">
        <f t="shared" si="70"/>
        <v>0</v>
      </c>
      <c r="V470" s="439">
        <f t="shared" si="70"/>
        <v>0</v>
      </c>
      <c r="W470" s="439">
        <f t="shared" si="70"/>
        <v>0</v>
      </c>
      <c r="X470" s="439">
        <f t="shared" si="70"/>
        <v>0</v>
      </c>
      <c r="Y470" s="439">
        <f t="shared" si="70"/>
        <v>0</v>
      </c>
      <c r="Z470" s="439">
        <f t="shared" si="70"/>
        <v>0</v>
      </c>
      <c r="AA470" s="439">
        <f t="shared" si="70"/>
        <v>0</v>
      </c>
      <c r="AB470" s="439">
        <f t="shared" si="70"/>
        <v>0</v>
      </c>
      <c r="AC470" s="439">
        <f t="shared" si="70"/>
        <v>0</v>
      </c>
      <c r="AD470" s="439">
        <f t="shared" si="70"/>
        <v>33</v>
      </c>
      <c r="AE470" s="439">
        <f t="shared" si="70"/>
        <v>0</v>
      </c>
      <c r="AF470" s="439">
        <f t="shared" si="70"/>
        <v>0</v>
      </c>
      <c r="AG470" s="439">
        <f t="shared" si="70"/>
        <v>25</v>
      </c>
      <c r="AH470" s="439">
        <f t="shared" si="70"/>
        <v>8</v>
      </c>
      <c r="AI470" s="439">
        <f t="shared" si="70"/>
        <v>0</v>
      </c>
      <c r="AJ470" s="678"/>
      <c r="AK470" s="678"/>
      <c r="AL470" s="678"/>
      <c r="AM470" s="678"/>
      <c r="AN470" s="678"/>
    </row>
    <row r="471" spans="1:40" s="436" customFormat="1" ht="19" customHeight="1" x14ac:dyDescent="0.35">
      <c r="A471" s="437">
        <v>6</v>
      </c>
      <c r="B471" s="435" t="str">
        <f>PETUNJUK!B14</f>
        <v>Pulodarat</v>
      </c>
      <c r="C471" s="439">
        <f t="shared" si="62"/>
        <v>18</v>
      </c>
      <c r="D471" s="439">
        <f t="shared" si="62"/>
        <v>3</v>
      </c>
      <c r="E471" s="439">
        <f t="shared" ref="E471:H471" si="71">E16+E50+E85+E120+E155+E190+E261+E296+E331+E366+E401+E436</f>
        <v>0</v>
      </c>
      <c r="F471" s="439">
        <f t="shared" si="71"/>
        <v>19</v>
      </c>
      <c r="G471" s="439">
        <f t="shared" si="71"/>
        <v>3</v>
      </c>
      <c r="H471" s="439">
        <f t="shared" si="71"/>
        <v>0</v>
      </c>
      <c r="I471" s="439">
        <f t="shared" ref="I471:AI471" si="72">I16+I50+I85+I120+I155+I190+I261+I296+I331+I366+I401+I436</f>
        <v>18</v>
      </c>
      <c r="J471" s="439">
        <f t="shared" si="72"/>
        <v>0</v>
      </c>
      <c r="K471" s="439">
        <f t="shared" si="72"/>
        <v>19</v>
      </c>
      <c r="L471" s="439">
        <f t="shared" si="72"/>
        <v>2</v>
      </c>
      <c r="M471" s="439">
        <f t="shared" si="72"/>
        <v>18</v>
      </c>
      <c r="N471" s="439">
        <f t="shared" si="72"/>
        <v>1</v>
      </c>
      <c r="O471" s="439">
        <f t="shared" si="72"/>
        <v>0</v>
      </c>
      <c r="P471" s="439">
        <f t="shared" si="72"/>
        <v>0</v>
      </c>
      <c r="Q471" s="439">
        <f t="shared" si="72"/>
        <v>18</v>
      </c>
      <c r="R471" s="439">
        <f t="shared" si="72"/>
        <v>0</v>
      </c>
      <c r="S471" s="439">
        <f t="shared" si="72"/>
        <v>0</v>
      </c>
      <c r="T471" s="439">
        <f t="shared" si="72"/>
        <v>0</v>
      </c>
      <c r="U471" s="439">
        <f t="shared" si="72"/>
        <v>0</v>
      </c>
      <c r="V471" s="439">
        <f t="shared" si="72"/>
        <v>0</v>
      </c>
      <c r="W471" s="439">
        <f t="shared" si="72"/>
        <v>0</v>
      </c>
      <c r="X471" s="439">
        <f t="shared" si="72"/>
        <v>0</v>
      </c>
      <c r="Y471" s="439">
        <f t="shared" si="72"/>
        <v>0</v>
      </c>
      <c r="Z471" s="439">
        <f t="shared" si="72"/>
        <v>0</v>
      </c>
      <c r="AA471" s="439">
        <f t="shared" si="72"/>
        <v>0</v>
      </c>
      <c r="AB471" s="439">
        <f t="shared" si="72"/>
        <v>0</v>
      </c>
      <c r="AC471" s="439">
        <f t="shared" si="72"/>
        <v>0</v>
      </c>
      <c r="AD471" s="439">
        <f t="shared" si="72"/>
        <v>18</v>
      </c>
      <c r="AE471" s="439">
        <f t="shared" si="72"/>
        <v>0</v>
      </c>
      <c r="AF471" s="439">
        <f t="shared" si="72"/>
        <v>0</v>
      </c>
      <c r="AG471" s="439">
        <f t="shared" si="72"/>
        <v>14</v>
      </c>
      <c r="AH471" s="439">
        <f t="shared" si="72"/>
        <v>4</v>
      </c>
      <c r="AI471" s="439">
        <f t="shared" si="72"/>
        <v>1</v>
      </c>
      <c r="AJ471" s="678"/>
      <c r="AK471" s="678"/>
      <c r="AL471" s="678"/>
      <c r="AM471" s="678"/>
      <c r="AN471" s="678"/>
    </row>
    <row r="472" spans="1:40" s="436" customFormat="1" ht="19" customHeight="1" x14ac:dyDescent="0.35">
      <c r="A472" s="437">
        <v>7</v>
      </c>
      <c r="B472" s="435" t="str">
        <f>PETUNJUK!B15</f>
        <v>Karangrandu</v>
      </c>
      <c r="C472" s="439">
        <f t="shared" si="62"/>
        <v>31</v>
      </c>
      <c r="D472" s="439">
        <f t="shared" si="62"/>
        <v>3</v>
      </c>
      <c r="E472" s="439">
        <f t="shared" ref="E472:H472" si="73">E17+E51+E86+E121+E156+E191+E262+E297+E332+E367+E402+E437</f>
        <v>0</v>
      </c>
      <c r="F472" s="439">
        <f t="shared" si="73"/>
        <v>24</v>
      </c>
      <c r="G472" s="439">
        <f t="shared" si="73"/>
        <v>6</v>
      </c>
      <c r="H472" s="439">
        <f t="shared" si="73"/>
        <v>0</v>
      </c>
      <c r="I472" s="439">
        <f t="shared" ref="I472:AI472" si="74">I17+I51+I86+I121+I156+I191+I262+I297+I332+I367+I402+I437</f>
        <v>31</v>
      </c>
      <c r="J472" s="439">
        <f t="shared" si="74"/>
        <v>2</v>
      </c>
      <c r="K472" s="439">
        <f t="shared" si="74"/>
        <v>24</v>
      </c>
      <c r="L472" s="439">
        <f t="shared" si="74"/>
        <v>0</v>
      </c>
      <c r="M472" s="439">
        <f t="shared" si="74"/>
        <v>31</v>
      </c>
      <c r="N472" s="439">
        <f t="shared" si="74"/>
        <v>7</v>
      </c>
      <c r="O472" s="439">
        <f t="shared" si="74"/>
        <v>0</v>
      </c>
      <c r="P472" s="439">
        <f t="shared" si="74"/>
        <v>0</v>
      </c>
      <c r="Q472" s="439">
        <f t="shared" si="74"/>
        <v>31</v>
      </c>
      <c r="R472" s="439">
        <f t="shared" si="74"/>
        <v>0</v>
      </c>
      <c r="S472" s="439">
        <f t="shared" si="74"/>
        <v>0</v>
      </c>
      <c r="T472" s="439">
        <f t="shared" si="74"/>
        <v>0</v>
      </c>
      <c r="U472" s="439">
        <f t="shared" si="74"/>
        <v>0</v>
      </c>
      <c r="V472" s="439">
        <f t="shared" si="74"/>
        <v>0</v>
      </c>
      <c r="W472" s="439">
        <f t="shared" si="74"/>
        <v>0</v>
      </c>
      <c r="X472" s="439">
        <f t="shared" si="74"/>
        <v>0</v>
      </c>
      <c r="Y472" s="439">
        <f t="shared" si="74"/>
        <v>0</v>
      </c>
      <c r="Z472" s="439">
        <f t="shared" si="74"/>
        <v>0</v>
      </c>
      <c r="AA472" s="439">
        <f t="shared" si="74"/>
        <v>0</v>
      </c>
      <c r="AB472" s="439">
        <f t="shared" si="74"/>
        <v>0</v>
      </c>
      <c r="AC472" s="439">
        <f t="shared" si="74"/>
        <v>0</v>
      </c>
      <c r="AD472" s="439">
        <f t="shared" si="74"/>
        <v>31</v>
      </c>
      <c r="AE472" s="439">
        <f t="shared" si="74"/>
        <v>0</v>
      </c>
      <c r="AF472" s="439">
        <f t="shared" si="74"/>
        <v>0</v>
      </c>
      <c r="AG472" s="439">
        <f t="shared" si="74"/>
        <v>22</v>
      </c>
      <c r="AH472" s="439">
        <f t="shared" si="74"/>
        <v>9</v>
      </c>
      <c r="AI472" s="439">
        <f t="shared" si="74"/>
        <v>0</v>
      </c>
      <c r="AJ472" s="678"/>
      <c r="AK472" s="678"/>
      <c r="AL472" s="678"/>
      <c r="AM472" s="678"/>
      <c r="AN472" s="678"/>
    </row>
    <row r="473" spans="1:40" s="436" customFormat="1" ht="19" customHeight="1" x14ac:dyDescent="0.35">
      <c r="A473" s="437">
        <v>8</v>
      </c>
      <c r="B473" s="435" t="str">
        <f>PETUNJUK!B16</f>
        <v>Kaliombo</v>
      </c>
      <c r="C473" s="439">
        <f t="shared" si="62"/>
        <v>13</v>
      </c>
      <c r="D473" s="439">
        <f t="shared" si="62"/>
        <v>0</v>
      </c>
      <c r="E473" s="439">
        <f t="shared" ref="E473:H473" si="75">E18+E52+E87+E122+E157+E192+E263+E298+E333+E368+E403+E438</f>
        <v>0</v>
      </c>
      <c r="F473" s="439">
        <f t="shared" si="75"/>
        <v>13</v>
      </c>
      <c r="G473" s="439">
        <f t="shared" si="75"/>
        <v>0</v>
      </c>
      <c r="H473" s="439">
        <f t="shared" si="75"/>
        <v>0</v>
      </c>
      <c r="I473" s="439">
        <f t="shared" ref="I473:AI473" si="76">I18+I52+I87+I122+I157+I192+I263+I298+I333+I368+I403+I438</f>
        <v>13</v>
      </c>
      <c r="J473" s="439">
        <f t="shared" si="76"/>
        <v>1</v>
      </c>
      <c r="K473" s="439">
        <f t="shared" si="76"/>
        <v>13</v>
      </c>
      <c r="L473" s="439">
        <f t="shared" si="76"/>
        <v>0</v>
      </c>
      <c r="M473" s="439">
        <f t="shared" si="76"/>
        <v>13</v>
      </c>
      <c r="N473" s="439">
        <f t="shared" si="76"/>
        <v>3</v>
      </c>
      <c r="O473" s="439">
        <f t="shared" si="76"/>
        <v>0</v>
      </c>
      <c r="P473" s="439">
        <f t="shared" si="76"/>
        <v>0</v>
      </c>
      <c r="Q473" s="439">
        <f t="shared" si="76"/>
        <v>13</v>
      </c>
      <c r="R473" s="439">
        <f t="shared" si="76"/>
        <v>0</v>
      </c>
      <c r="S473" s="439">
        <f t="shared" si="76"/>
        <v>0</v>
      </c>
      <c r="T473" s="439">
        <f t="shared" si="76"/>
        <v>0</v>
      </c>
      <c r="U473" s="439">
        <f t="shared" si="76"/>
        <v>0</v>
      </c>
      <c r="V473" s="439">
        <f t="shared" si="76"/>
        <v>0</v>
      </c>
      <c r="W473" s="439">
        <f t="shared" si="76"/>
        <v>0</v>
      </c>
      <c r="X473" s="439">
        <f t="shared" si="76"/>
        <v>0</v>
      </c>
      <c r="Y473" s="439">
        <f t="shared" si="76"/>
        <v>0</v>
      </c>
      <c r="Z473" s="439">
        <f t="shared" si="76"/>
        <v>0</v>
      </c>
      <c r="AA473" s="439">
        <f t="shared" si="76"/>
        <v>0</v>
      </c>
      <c r="AB473" s="439">
        <f t="shared" si="76"/>
        <v>0</v>
      </c>
      <c r="AC473" s="439">
        <f t="shared" si="76"/>
        <v>0</v>
      </c>
      <c r="AD473" s="439">
        <f t="shared" si="76"/>
        <v>13</v>
      </c>
      <c r="AE473" s="439">
        <f t="shared" si="76"/>
        <v>0</v>
      </c>
      <c r="AF473" s="439">
        <f t="shared" si="76"/>
        <v>0</v>
      </c>
      <c r="AG473" s="439">
        <f t="shared" si="76"/>
        <v>8</v>
      </c>
      <c r="AH473" s="439">
        <f t="shared" si="76"/>
        <v>5</v>
      </c>
      <c r="AI473" s="439">
        <f t="shared" si="76"/>
        <v>0</v>
      </c>
      <c r="AJ473" s="678"/>
      <c r="AK473" s="678"/>
      <c r="AL473" s="678"/>
      <c r="AM473" s="678"/>
      <c r="AN473" s="678"/>
    </row>
    <row r="474" spans="1:40" s="436" customFormat="1" ht="19" customHeight="1" x14ac:dyDescent="0.35">
      <c r="A474" s="437">
        <v>9</v>
      </c>
      <c r="B474" s="435" t="str">
        <f>PETUNJUK!B17</f>
        <v>Gemulung</v>
      </c>
      <c r="C474" s="439">
        <f t="shared" si="62"/>
        <v>19</v>
      </c>
      <c r="D474" s="439">
        <f t="shared" si="62"/>
        <v>4</v>
      </c>
      <c r="E474" s="439">
        <f t="shared" ref="E474:H474" si="77">E19+E53+E88+E123+E158+E193+E264+E299+E334+E369+E404+E439</f>
        <v>0</v>
      </c>
      <c r="F474" s="439">
        <f t="shared" si="77"/>
        <v>19</v>
      </c>
      <c r="G474" s="439">
        <f t="shared" si="77"/>
        <v>2</v>
      </c>
      <c r="H474" s="439">
        <f t="shared" si="77"/>
        <v>0</v>
      </c>
      <c r="I474" s="439">
        <f t="shared" ref="I474:AI474" si="78">I19+I53+I88+I123+I158+I193+I264+I299+I334+I369+I404+I439</f>
        <v>19</v>
      </c>
      <c r="J474" s="439">
        <f t="shared" si="78"/>
        <v>1</v>
      </c>
      <c r="K474" s="439">
        <f t="shared" si="78"/>
        <v>19</v>
      </c>
      <c r="L474" s="439">
        <f t="shared" si="78"/>
        <v>0</v>
      </c>
      <c r="M474" s="439">
        <f t="shared" si="78"/>
        <v>19</v>
      </c>
      <c r="N474" s="439">
        <f t="shared" si="78"/>
        <v>2</v>
      </c>
      <c r="O474" s="439">
        <f t="shared" si="78"/>
        <v>0</v>
      </c>
      <c r="P474" s="439">
        <f t="shared" si="78"/>
        <v>0</v>
      </c>
      <c r="Q474" s="439">
        <f t="shared" si="78"/>
        <v>19</v>
      </c>
      <c r="R474" s="439">
        <f t="shared" si="78"/>
        <v>0</v>
      </c>
      <c r="S474" s="439">
        <f t="shared" si="78"/>
        <v>0</v>
      </c>
      <c r="T474" s="439">
        <f t="shared" si="78"/>
        <v>0</v>
      </c>
      <c r="U474" s="439">
        <f t="shared" si="78"/>
        <v>0</v>
      </c>
      <c r="V474" s="439">
        <f t="shared" si="78"/>
        <v>0</v>
      </c>
      <c r="W474" s="439">
        <f t="shared" si="78"/>
        <v>0</v>
      </c>
      <c r="X474" s="439">
        <f t="shared" si="78"/>
        <v>0</v>
      </c>
      <c r="Y474" s="439">
        <f t="shared" si="78"/>
        <v>0</v>
      </c>
      <c r="Z474" s="439">
        <f t="shared" si="78"/>
        <v>0</v>
      </c>
      <c r="AA474" s="439">
        <f t="shared" si="78"/>
        <v>0</v>
      </c>
      <c r="AB474" s="439">
        <f t="shared" si="78"/>
        <v>0</v>
      </c>
      <c r="AC474" s="439">
        <f t="shared" si="78"/>
        <v>0</v>
      </c>
      <c r="AD474" s="439">
        <f t="shared" si="78"/>
        <v>19</v>
      </c>
      <c r="AE474" s="439">
        <f t="shared" si="78"/>
        <v>0</v>
      </c>
      <c r="AF474" s="439">
        <f t="shared" si="78"/>
        <v>0</v>
      </c>
      <c r="AG474" s="439">
        <f t="shared" si="78"/>
        <v>14</v>
      </c>
      <c r="AH474" s="439">
        <f t="shared" si="78"/>
        <v>5</v>
      </c>
      <c r="AI474" s="439">
        <f t="shared" si="78"/>
        <v>0</v>
      </c>
      <c r="AJ474" s="678"/>
      <c r="AK474" s="678"/>
      <c r="AL474" s="678"/>
      <c r="AM474" s="678"/>
      <c r="AN474" s="678"/>
    </row>
    <row r="475" spans="1:40" s="436" customFormat="1" ht="19" customHeight="1" x14ac:dyDescent="0.35">
      <c r="A475" s="437">
        <v>10</v>
      </c>
      <c r="B475" s="435" t="str">
        <f>PETUNJUK!B18</f>
        <v>Pecangaan Wetan</v>
      </c>
      <c r="C475" s="439">
        <f t="shared" si="62"/>
        <v>15</v>
      </c>
      <c r="D475" s="439">
        <f t="shared" si="62"/>
        <v>0</v>
      </c>
      <c r="E475" s="439">
        <f t="shared" ref="E475:H475" si="79">E20+E54+E89+E124+E159+E194+E265+E300+E335+E370+E405+E440</f>
        <v>0</v>
      </c>
      <c r="F475" s="439">
        <f t="shared" si="79"/>
        <v>12</v>
      </c>
      <c r="G475" s="439">
        <f t="shared" si="79"/>
        <v>1</v>
      </c>
      <c r="H475" s="439">
        <f t="shared" si="79"/>
        <v>0</v>
      </c>
      <c r="I475" s="439">
        <f t="shared" ref="I475:AI475" si="80">I20+I54+I89+I124+I159+I194+I265+I300+I335+I370+I405+I440</f>
        <v>15</v>
      </c>
      <c r="J475" s="439">
        <f t="shared" si="80"/>
        <v>5</v>
      </c>
      <c r="K475" s="439">
        <f t="shared" si="80"/>
        <v>12</v>
      </c>
      <c r="L475" s="439">
        <f t="shared" si="80"/>
        <v>3</v>
      </c>
      <c r="M475" s="439">
        <f t="shared" si="80"/>
        <v>15</v>
      </c>
      <c r="N475" s="439">
        <f t="shared" si="80"/>
        <v>2</v>
      </c>
      <c r="O475" s="439">
        <f t="shared" si="80"/>
        <v>0</v>
      </c>
      <c r="P475" s="439">
        <f t="shared" si="80"/>
        <v>0</v>
      </c>
      <c r="Q475" s="439">
        <f t="shared" si="80"/>
        <v>15</v>
      </c>
      <c r="R475" s="439">
        <f t="shared" si="80"/>
        <v>0</v>
      </c>
      <c r="S475" s="439">
        <f t="shared" si="80"/>
        <v>0</v>
      </c>
      <c r="T475" s="439">
        <f t="shared" si="80"/>
        <v>0</v>
      </c>
      <c r="U475" s="439">
        <f t="shared" si="80"/>
        <v>0</v>
      </c>
      <c r="V475" s="439">
        <f t="shared" si="80"/>
        <v>0</v>
      </c>
      <c r="W475" s="439">
        <f t="shared" si="80"/>
        <v>0</v>
      </c>
      <c r="X475" s="439">
        <f t="shared" si="80"/>
        <v>0</v>
      </c>
      <c r="Y475" s="439">
        <f t="shared" si="80"/>
        <v>0</v>
      </c>
      <c r="Z475" s="439">
        <f t="shared" si="80"/>
        <v>0</v>
      </c>
      <c r="AA475" s="439">
        <f t="shared" si="80"/>
        <v>0</v>
      </c>
      <c r="AB475" s="439">
        <f t="shared" si="80"/>
        <v>0</v>
      </c>
      <c r="AC475" s="439">
        <f t="shared" si="80"/>
        <v>0</v>
      </c>
      <c r="AD475" s="439">
        <f t="shared" si="80"/>
        <v>15</v>
      </c>
      <c r="AE475" s="439">
        <f t="shared" si="80"/>
        <v>0</v>
      </c>
      <c r="AF475" s="439">
        <f t="shared" si="80"/>
        <v>0</v>
      </c>
      <c r="AG475" s="439">
        <f t="shared" si="80"/>
        <v>12</v>
      </c>
      <c r="AH475" s="439">
        <f t="shared" si="80"/>
        <v>3</v>
      </c>
      <c r="AI475" s="439">
        <f t="shared" si="80"/>
        <v>0</v>
      </c>
      <c r="AJ475" s="678"/>
      <c r="AK475" s="678"/>
      <c r="AL475" s="678"/>
      <c r="AM475" s="678"/>
      <c r="AN475" s="678"/>
    </row>
    <row r="476" spans="1:40" s="436" customFormat="1" ht="19" customHeight="1" x14ac:dyDescent="0.35">
      <c r="A476" s="437">
        <v>11</v>
      </c>
      <c r="B476" s="435" t="str">
        <f>PETUNJUK!B19</f>
        <v>Krasak</v>
      </c>
      <c r="C476" s="439">
        <f t="shared" si="62"/>
        <v>45</v>
      </c>
      <c r="D476" s="439">
        <f t="shared" si="62"/>
        <v>3</v>
      </c>
      <c r="E476" s="439">
        <f t="shared" ref="E476:H476" si="81">E21+E55+E90+E125+E160+E195+E266+E301+E336+E371+E406+E441</f>
        <v>0</v>
      </c>
      <c r="F476" s="439">
        <f t="shared" si="81"/>
        <v>22</v>
      </c>
      <c r="G476" s="439">
        <f t="shared" si="81"/>
        <v>1</v>
      </c>
      <c r="H476" s="439">
        <f t="shared" si="81"/>
        <v>0</v>
      </c>
      <c r="I476" s="439">
        <f t="shared" ref="I476:AI476" si="82">I21+I55+I90+I125+I160+I195+I266+I301+I336+I371+I406+I441</f>
        <v>45</v>
      </c>
      <c r="J476" s="439">
        <f t="shared" si="82"/>
        <v>4</v>
      </c>
      <c r="K476" s="439">
        <f t="shared" si="82"/>
        <v>22</v>
      </c>
      <c r="L476" s="439">
        <f t="shared" si="82"/>
        <v>2</v>
      </c>
      <c r="M476" s="439">
        <f t="shared" si="82"/>
        <v>45</v>
      </c>
      <c r="N476" s="439">
        <f t="shared" si="82"/>
        <v>1</v>
      </c>
      <c r="O476" s="439">
        <f t="shared" si="82"/>
        <v>0</v>
      </c>
      <c r="P476" s="439">
        <f t="shared" si="82"/>
        <v>0</v>
      </c>
      <c r="Q476" s="439">
        <f t="shared" si="82"/>
        <v>45</v>
      </c>
      <c r="R476" s="439">
        <f t="shared" si="82"/>
        <v>0</v>
      </c>
      <c r="S476" s="439">
        <f t="shared" si="82"/>
        <v>0</v>
      </c>
      <c r="T476" s="439">
        <f t="shared" si="82"/>
        <v>0</v>
      </c>
      <c r="U476" s="439">
        <f t="shared" si="82"/>
        <v>0</v>
      </c>
      <c r="V476" s="439">
        <f t="shared" si="82"/>
        <v>0</v>
      </c>
      <c r="W476" s="439">
        <f t="shared" si="82"/>
        <v>0</v>
      </c>
      <c r="X476" s="439">
        <f t="shared" si="82"/>
        <v>0</v>
      </c>
      <c r="Y476" s="439">
        <f t="shared" si="82"/>
        <v>0</v>
      </c>
      <c r="Z476" s="439">
        <f t="shared" si="82"/>
        <v>0</v>
      </c>
      <c r="AA476" s="439">
        <f t="shared" si="82"/>
        <v>0</v>
      </c>
      <c r="AB476" s="439">
        <f t="shared" si="82"/>
        <v>0</v>
      </c>
      <c r="AC476" s="439">
        <f t="shared" si="82"/>
        <v>0</v>
      </c>
      <c r="AD476" s="439">
        <f t="shared" si="82"/>
        <v>45</v>
      </c>
      <c r="AE476" s="439">
        <f t="shared" si="82"/>
        <v>0</v>
      </c>
      <c r="AF476" s="439">
        <f t="shared" si="82"/>
        <v>0</v>
      </c>
      <c r="AG476" s="439">
        <f t="shared" si="82"/>
        <v>34</v>
      </c>
      <c r="AH476" s="439">
        <f t="shared" si="82"/>
        <v>13</v>
      </c>
      <c r="AI476" s="439">
        <f t="shared" si="82"/>
        <v>2</v>
      </c>
      <c r="AJ476" s="678"/>
      <c r="AK476" s="678"/>
      <c r="AL476" s="678"/>
      <c r="AM476" s="678"/>
      <c r="AN476" s="678"/>
    </row>
    <row r="477" spans="1:40" s="436" customFormat="1" ht="19" customHeight="1" x14ac:dyDescent="0.35">
      <c r="A477" s="437">
        <v>12</v>
      </c>
      <c r="B477" s="435" t="str">
        <f>PETUNJUK!B20</f>
        <v>Gerdu</v>
      </c>
      <c r="C477" s="439">
        <f t="shared" si="62"/>
        <v>8</v>
      </c>
      <c r="D477" s="439">
        <f t="shared" si="62"/>
        <v>0</v>
      </c>
      <c r="E477" s="439">
        <f t="shared" ref="E477:H477" si="83">E22+E56+E91+E126+E161+E196+E267+E302+E337+E372+E407+E442</f>
        <v>0</v>
      </c>
      <c r="F477" s="439">
        <f t="shared" si="83"/>
        <v>8</v>
      </c>
      <c r="G477" s="439">
        <f t="shared" si="83"/>
        <v>0</v>
      </c>
      <c r="H477" s="439">
        <f t="shared" si="83"/>
        <v>0</v>
      </c>
      <c r="I477" s="439">
        <f t="shared" ref="I477:AI477" si="84">I22+I56+I91+I126+I161+I196+I267+I302+I337+I372+I407+I442</f>
        <v>8</v>
      </c>
      <c r="J477" s="439">
        <f t="shared" si="84"/>
        <v>1</v>
      </c>
      <c r="K477" s="439">
        <f t="shared" si="84"/>
        <v>8</v>
      </c>
      <c r="L477" s="439">
        <f t="shared" si="84"/>
        <v>0</v>
      </c>
      <c r="M477" s="439">
        <f t="shared" si="84"/>
        <v>8</v>
      </c>
      <c r="N477" s="439">
        <f t="shared" si="84"/>
        <v>0</v>
      </c>
      <c r="O477" s="439">
        <f t="shared" si="84"/>
        <v>0</v>
      </c>
      <c r="P477" s="439">
        <f t="shared" si="84"/>
        <v>0</v>
      </c>
      <c r="Q477" s="439">
        <f t="shared" si="84"/>
        <v>8</v>
      </c>
      <c r="R477" s="439">
        <f t="shared" si="84"/>
        <v>0</v>
      </c>
      <c r="S477" s="439">
        <f t="shared" si="84"/>
        <v>0</v>
      </c>
      <c r="T477" s="439">
        <f t="shared" si="84"/>
        <v>0</v>
      </c>
      <c r="U477" s="439">
        <f t="shared" si="84"/>
        <v>0</v>
      </c>
      <c r="V477" s="439">
        <f t="shared" si="84"/>
        <v>0</v>
      </c>
      <c r="W477" s="439">
        <f t="shared" si="84"/>
        <v>0</v>
      </c>
      <c r="X477" s="439">
        <f t="shared" si="84"/>
        <v>0</v>
      </c>
      <c r="Y477" s="439">
        <f t="shared" si="84"/>
        <v>0</v>
      </c>
      <c r="Z477" s="439">
        <f t="shared" si="84"/>
        <v>0</v>
      </c>
      <c r="AA477" s="439">
        <f t="shared" si="84"/>
        <v>0</v>
      </c>
      <c r="AB477" s="439">
        <f t="shared" si="84"/>
        <v>0</v>
      </c>
      <c r="AC477" s="439">
        <f t="shared" si="84"/>
        <v>0</v>
      </c>
      <c r="AD477" s="439">
        <f t="shared" si="84"/>
        <v>8</v>
      </c>
      <c r="AE477" s="439">
        <f t="shared" si="84"/>
        <v>0</v>
      </c>
      <c r="AF477" s="439">
        <f t="shared" si="84"/>
        <v>0</v>
      </c>
      <c r="AG477" s="439">
        <f t="shared" si="84"/>
        <v>5</v>
      </c>
      <c r="AH477" s="439">
        <f t="shared" si="84"/>
        <v>3</v>
      </c>
      <c r="AI477" s="439">
        <f t="shared" si="84"/>
        <v>0</v>
      </c>
      <c r="AJ477" s="678"/>
      <c r="AK477" s="678"/>
      <c r="AL477" s="678"/>
      <c r="AM477" s="678"/>
      <c r="AN477" s="678"/>
    </row>
    <row r="478" spans="1:40" s="436" customFormat="1" ht="19" customHeight="1" x14ac:dyDescent="0.35">
      <c r="A478" s="437">
        <v>13</v>
      </c>
      <c r="B478" s="435">
        <f>PETUNJUK!B21</f>
        <v>0</v>
      </c>
      <c r="C478" s="439">
        <f t="shared" si="62"/>
        <v>0</v>
      </c>
      <c r="D478" s="439">
        <f t="shared" si="62"/>
        <v>0</v>
      </c>
      <c r="E478" s="439">
        <f t="shared" ref="E478:H478" si="85">E23+E57+E92+E127+E162+E197+E268+E303+E338+E373+E408+E443</f>
        <v>0</v>
      </c>
      <c r="F478" s="439">
        <f t="shared" si="85"/>
        <v>0</v>
      </c>
      <c r="G478" s="439">
        <f t="shared" si="85"/>
        <v>0</v>
      </c>
      <c r="H478" s="439">
        <f t="shared" si="85"/>
        <v>0</v>
      </c>
      <c r="I478" s="439">
        <f t="shared" ref="I478:AI478" si="86">I23+I57+I92+I127+I162+I197+I268+I303+I338+I373+I408+I443</f>
        <v>0</v>
      </c>
      <c r="J478" s="439">
        <f t="shared" si="86"/>
        <v>0</v>
      </c>
      <c r="K478" s="439">
        <f t="shared" si="86"/>
        <v>0</v>
      </c>
      <c r="L478" s="439">
        <f t="shared" si="86"/>
        <v>0</v>
      </c>
      <c r="M478" s="439">
        <f t="shared" si="86"/>
        <v>0</v>
      </c>
      <c r="N478" s="439">
        <f t="shared" si="86"/>
        <v>0</v>
      </c>
      <c r="O478" s="439">
        <f t="shared" si="86"/>
        <v>0</v>
      </c>
      <c r="P478" s="439">
        <f t="shared" si="86"/>
        <v>0</v>
      </c>
      <c r="Q478" s="439">
        <f t="shared" si="86"/>
        <v>0</v>
      </c>
      <c r="R478" s="439">
        <f t="shared" si="86"/>
        <v>0</v>
      </c>
      <c r="S478" s="439">
        <f t="shared" si="86"/>
        <v>0</v>
      </c>
      <c r="T478" s="439">
        <f t="shared" si="86"/>
        <v>0</v>
      </c>
      <c r="U478" s="439">
        <f t="shared" si="86"/>
        <v>0</v>
      </c>
      <c r="V478" s="439">
        <f t="shared" si="86"/>
        <v>0</v>
      </c>
      <c r="W478" s="439">
        <f t="shared" si="86"/>
        <v>0</v>
      </c>
      <c r="X478" s="439">
        <f t="shared" si="86"/>
        <v>0</v>
      </c>
      <c r="Y478" s="439">
        <f t="shared" si="86"/>
        <v>0</v>
      </c>
      <c r="Z478" s="439">
        <f t="shared" si="86"/>
        <v>0</v>
      </c>
      <c r="AA478" s="439">
        <f t="shared" si="86"/>
        <v>0</v>
      </c>
      <c r="AB478" s="439">
        <f t="shared" si="86"/>
        <v>0</v>
      </c>
      <c r="AC478" s="439">
        <f t="shared" si="86"/>
        <v>0</v>
      </c>
      <c r="AD478" s="439">
        <f t="shared" si="86"/>
        <v>0</v>
      </c>
      <c r="AE478" s="439">
        <f t="shared" si="86"/>
        <v>0</v>
      </c>
      <c r="AF478" s="439">
        <f t="shared" si="86"/>
        <v>0</v>
      </c>
      <c r="AG478" s="439">
        <f t="shared" si="86"/>
        <v>0</v>
      </c>
      <c r="AH478" s="439">
        <f t="shared" si="86"/>
        <v>0</v>
      </c>
      <c r="AI478" s="439">
        <f t="shared" si="86"/>
        <v>0</v>
      </c>
      <c r="AJ478" s="678"/>
      <c r="AK478" s="678"/>
      <c r="AL478" s="678"/>
      <c r="AM478" s="678"/>
      <c r="AN478" s="678"/>
    </row>
    <row r="479" spans="1:40" s="436" customFormat="1" ht="19" customHeight="1" x14ac:dyDescent="0.35">
      <c r="A479" s="437">
        <v>14</v>
      </c>
      <c r="B479" s="435">
        <f>PETUNJUK!B22</f>
        <v>0</v>
      </c>
      <c r="C479" s="439">
        <f t="shared" si="62"/>
        <v>0</v>
      </c>
      <c r="D479" s="439">
        <f t="shared" si="62"/>
        <v>0</v>
      </c>
      <c r="E479" s="439">
        <f t="shared" ref="E479:H479" si="87">E24+E58+E93+E128+E163+E198+E269+E304+E339+E374+E409+E444</f>
        <v>0</v>
      </c>
      <c r="F479" s="439">
        <f t="shared" si="87"/>
        <v>0</v>
      </c>
      <c r="G479" s="439">
        <f t="shared" si="87"/>
        <v>0</v>
      </c>
      <c r="H479" s="439">
        <f t="shared" si="87"/>
        <v>0</v>
      </c>
      <c r="I479" s="439">
        <f t="shared" ref="I479:AI479" si="88">I24+I58+I93+I128+I163+I198+I269+I304+I339+I374+I409+I444</f>
        <v>0</v>
      </c>
      <c r="J479" s="439">
        <f t="shared" si="88"/>
        <v>0</v>
      </c>
      <c r="K479" s="439">
        <f t="shared" si="88"/>
        <v>0</v>
      </c>
      <c r="L479" s="439">
        <f t="shared" si="88"/>
        <v>0</v>
      </c>
      <c r="M479" s="439">
        <f t="shared" si="88"/>
        <v>0</v>
      </c>
      <c r="N479" s="439">
        <f t="shared" si="88"/>
        <v>0</v>
      </c>
      <c r="O479" s="439">
        <f t="shared" si="88"/>
        <v>0</v>
      </c>
      <c r="P479" s="439">
        <f t="shared" si="88"/>
        <v>0</v>
      </c>
      <c r="Q479" s="439">
        <f t="shared" si="88"/>
        <v>0</v>
      </c>
      <c r="R479" s="439">
        <f t="shared" si="88"/>
        <v>0</v>
      </c>
      <c r="S479" s="439">
        <f t="shared" si="88"/>
        <v>0</v>
      </c>
      <c r="T479" s="439">
        <f t="shared" si="88"/>
        <v>0</v>
      </c>
      <c r="U479" s="439">
        <f t="shared" si="88"/>
        <v>0</v>
      </c>
      <c r="V479" s="439">
        <f t="shared" si="88"/>
        <v>0</v>
      </c>
      <c r="W479" s="439">
        <f t="shared" si="88"/>
        <v>0</v>
      </c>
      <c r="X479" s="439">
        <f t="shared" si="88"/>
        <v>0</v>
      </c>
      <c r="Y479" s="439">
        <f t="shared" si="88"/>
        <v>0</v>
      </c>
      <c r="Z479" s="439">
        <f t="shared" si="88"/>
        <v>0</v>
      </c>
      <c r="AA479" s="439">
        <f t="shared" si="88"/>
        <v>0</v>
      </c>
      <c r="AB479" s="439">
        <f t="shared" si="88"/>
        <v>0</v>
      </c>
      <c r="AC479" s="439">
        <f t="shared" si="88"/>
        <v>0</v>
      </c>
      <c r="AD479" s="439">
        <f t="shared" si="88"/>
        <v>0</v>
      </c>
      <c r="AE479" s="439">
        <f t="shared" si="88"/>
        <v>0</v>
      </c>
      <c r="AF479" s="439">
        <f t="shared" si="88"/>
        <v>0</v>
      </c>
      <c r="AG479" s="439">
        <f t="shared" si="88"/>
        <v>0</v>
      </c>
      <c r="AH479" s="439">
        <f t="shared" si="88"/>
        <v>0</v>
      </c>
      <c r="AI479" s="439">
        <f t="shared" si="88"/>
        <v>0</v>
      </c>
      <c r="AJ479" s="678"/>
      <c r="AK479" s="678"/>
      <c r="AL479" s="678"/>
      <c r="AM479" s="678"/>
      <c r="AN479" s="678"/>
    </row>
    <row r="480" spans="1:40" s="436" customFormat="1" ht="19" customHeight="1" x14ac:dyDescent="0.35">
      <c r="A480" s="437">
        <v>15</v>
      </c>
      <c r="B480" s="435">
        <f>PETUNJUK!B23</f>
        <v>0</v>
      </c>
      <c r="C480" s="439">
        <f t="shared" si="62"/>
        <v>0</v>
      </c>
      <c r="D480" s="439">
        <f t="shared" si="62"/>
        <v>0</v>
      </c>
      <c r="E480" s="439">
        <f t="shared" ref="E480:H480" si="89">E25+E59+E94+E129+E164+E199+E270+E305+E340+E375+E410+E445</f>
        <v>0</v>
      </c>
      <c r="F480" s="439">
        <f t="shared" si="89"/>
        <v>0</v>
      </c>
      <c r="G480" s="439">
        <f t="shared" si="89"/>
        <v>0</v>
      </c>
      <c r="H480" s="439">
        <f t="shared" si="89"/>
        <v>0</v>
      </c>
      <c r="I480" s="439">
        <f t="shared" ref="I480:AI480" si="90">I25+I59+I94+I129+I164+I199+I270+I305+I340+I375+I410+I445</f>
        <v>0</v>
      </c>
      <c r="J480" s="439">
        <f t="shared" si="90"/>
        <v>0</v>
      </c>
      <c r="K480" s="439">
        <f t="shared" si="90"/>
        <v>0</v>
      </c>
      <c r="L480" s="439">
        <f t="shared" si="90"/>
        <v>0</v>
      </c>
      <c r="M480" s="439">
        <f t="shared" si="90"/>
        <v>0</v>
      </c>
      <c r="N480" s="439">
        <f t="shared" si="90"/>
        <v>0</v>
      </c>
      <c r="O480" s="439">
        <f t="shared" si="90"/>
        <v>0</v>
      </c>
      <c r="P480" s="439">
        <f t="shared" si="90"/>
        <v>0</v>
      </c>
      <c r="Q480" s="439">
        <f t="shared" si="90"/>
        <v>0</v>
      </c>
      <c r="R480" s="439">
        <f t="shared" si="90"/>
        <v>0</v>
      </c>
      <c r="S480" s="439">
        <f t="shared" si="90"/>
        <v>0</v>
      </c>
      <c r="T480" s="439">
        <f t="shared" si="90"/>
        <v>0</v>
      </c>
      <c r="U480" s="439">
        <f t="shared" si="90"/>
        <v>0</v>
      </c>
      <c r="V480" s="439">
        <f t="shared" si="90"/>
        <v>0</v>
      </c>
      <c r="W480" s="439">
        <f t="shared" si="90"/>
        <v>0</v>
      </c>
      <c r="X480" s="439">
        <f t="shared" si="90"/>
        <v>0</v>
      </c>
      <c r="Y480" s="439">
        <f t="shared" si="90"/>
        <v>0</v>
      </c>
      <c r="Z480" s="439">
        <f t="shared" si="90"/>
        <v>0</v>
      </c>
      <c r="AA480" s="439">
        <f t="shared" si="90"/>
        <v>0</v>
      </c>
      <c r="AB480" s="439">
        <f t="shared" si="90"/>
        <v>0</v>
      </c>
      <c r="AC480" s="439">
        <f t="shared" si="90"/>
        <v>0</v>
      </c>
      <c r="AD480" s="439">
        <f t="shared" si="90"/>
        <v>0</v>
      </c>
      <c r="AE480" s="439">
        <f t="shared" si="90"/>
        <v>0</v>
      </c>
      <c r="AF480" s="439">
        <f t="shared" si="90"/>
        <v>0</v>
      </c>
      <c r="AG480" s="439">
        <f t="shared" si="90"/>
        <v>0</v>
      </c>
      <c r="AH480" s="439">
        <f t="shared" si="90"/>
        <v>0</v>
      </c>
      <c r="AI480" s="439">
        <f t="shared" si="90"/>
        <v>0</v>
      </c>
      <c r="AJ480" s="678"/>
      <c r="AK480" s="678"/>
      <c r="AL480" s="678"/>
      <c r="AM480" s="678"/>
      <c r="AN480" s="678"/>
    </row>
    <row r="481" spans="1:43" s="436" customFormat="1" ht="19" customHeight="1" x14ac:dyDescent="0.35">
      <c r="A481" s="437">
        <v>16</v>
      </c>
      <c r="B481" s="435">
        <f>PETUNJUK!B24</f>
        <v>0</v>
      </c>
      <c r="C481" s="439">
        <f t="shared" si="62"/>
        <v>0</v>
      </c>
      <c r="D481" s="439">
        <f t="shared" si="62"/>
        <v>0</v>
      </c>
      <c r="E481" s="439">
        <f t="shared" ref="E481:H481" si="91">E26+E60+E95+E130+E165+E200+E271+E306+E341+E376+E411+E446</f>
        <v>0</v>
      </c>
      <c r="F481" s="439">
        <f t="shared" si="91"/>
        <v>0</v>
      </c>
      <c r="G481" s="439">
        <f t="shared" si="91"/>
        <v>0</v>
      </c>
      <c r="H481" s="439">
        <f t="shared" si="91"/>
        <v>0</v>
      </c>
      <c r="I481" s="439">
        <f t="shared" ref="I481:AI481" si="92">I26+I60+I95+I130+I165+I200+I271+I306+I341+I376+I411+I446</f>
        <v>0</v>
      </c>
      <c r="J481" s="439">
        <f t="shared" si="92"/>
        <v>0</v>
      </c>
      <c r="K481" s="439">
        <f t="shared" si="92"/>
        <v>0</v>
      </c>
      <c r="L481" s="439">
        <f t="shared" si="92"/>
        <v>0</v>
      </c>
      <c r="M481" s="439">
        <f t="shared" si="92"/>
        <v>0</v>
      </c>
      <c r="N481" s="439">
        <f t="shared" si="92"/>
        <v>0</v>
      </c>
      <c r="O481" s="439">
        <f t="shared" si="92"/>
        <v>0</v>
      </c>
      <c r="P481" s="439">
        <f t="shared" si="92"/>
        <v>0</v>
      </c>
      <c r="Q481" s="439">
        <f t="shared" si="92"/>
        <v>0</v>
      </c>
      <c r="R481" s="439">
        <f t="shared" si="92"/>
        <v>0</v>
      </c>
      <c r="S481" s="439">
        <f t="shared" si="92"/>
        <v>0</v>
      </c>
      <c r="T481" s="439">
        <f t="shared" si="92"/>
        <v>0</v>
      </c>
      <c r="U481" s="439">
        <f t="shared" si="92"/>
        <v>0</v>
      </c>
      <c r="V481" s="439">
        <f t="shared" si="92"/>
        <v>0</v>
      </c>
      <c r="W481" s="439">
        <f t="shared" si="92"/>
        <v>0</v>
      </c>
      <c r="X481" s="439">
        <f t="shared" si="92"/>
        <v>0</v>
      </c>
      <c r="Y481" s="439">
        <f t="shared" si="92"/>
        <v>0</v>
      </c>
      <c r="Z481" s="439">
        <f t="shared" si="92"/>
        <v>0</v>
      </c>
      <c r="AA481" s="439">
        <f t="shared" si="92"/>
        <v>0</v>
      </c>
      <c r="AB481" s="439">
        <f t="shared" si="92"/>
        <v>0</v>
      </c>
      <c r="AC481" s="439">
        <f t="shared" si="92"/>
        <v>0</v>
      </c>
      <c r="AD481" s="439">
        <f t="shared" si="92"/>
        <v>0</v>
      </c>
      <c r="AE481" s="439">
        <f t="shared" si="92"/>
        <v>0</v>
      </c>
      <c r="AF481" s="439">
        <f t="shared" si="92"/>
        <v>0</v>
      </c>
      <c r="AG481" s="439">
        <f t="shared" si="92"/>
        <v>0</v>
      </c>
      <c r="AH481" s="439">
        <f t="shared" si="92"/>
        <v>0</v>
      </c>
      <c r="AI481" s="439">
        <f t="shared" si="92"/>
        <v>0</v>
      </c>
      <c r="AJ481" s="678"/>
      <c r="AK481" s="678"/>
      <c r="AL481" s="678"/>
      <c r="AM481" s="678"/>
      <c r="AN481" s="678"/>
    </row>
    <row r="482" spans="1:43" s="436" customFormat="1" ht="19" customHeight="1" x14ac:dyDescent="0.35">
      <c r="A482" s="437">
        <v>17</v>
      </c>
      <c r="B482" s="435">
        <f>PETUNJUK!B25</f>
        <v>0</v>
      </c>
      <c r="C482" s="439">
        <f t="shared" si="62"/>
        <v>0</v>
      </c>
      <c r="D482" s="439">
        <f t="shared" si="62"/>
        <v>0</v>
      </c>
      <c r="E482" s="439">
        <f t="shared" ref="E482:H482" si="93">E27+E61+E96+E131+E166+E201+E272+E307+E342+E377+E412+E447</f>
        <v>0</v>
      </c>
      <c r="F482" s="439">
        <f t="shared" si="93"/>
        <v>0</v>
      </c>
      <c r="G482" s="439">
        <f t="shared" si="93"/>
        <v>0</v>
      </c>
      <c r="H482" s="439">
        <f t="shared" si="93"/>
        <v>0</v>
      </c>
      <c r="I482" s="439">
        <f t="shared" ref="I482:AI482" si="94">I27+I61+I96+I131+I166+I201+I272+I307+I342+I377+I412+I447</f>
        <v>0</v>
      </c>
      <c r="J482" s="439">
        <f t="shared" si="94"/>
        <v>0</v>
      </c>
      <c r="K482" s="439">
        <f t="shared" si="94"/>
        <v>0</v>
      </c>
      <c r="L482" s="439">
        <f t="shared" si="94"/>
        <v>0</v>
      </c>
      <c r="M482" s="439">
        <f t="shared" si="94"/>
        <v>0</v>
      </c>
      <c r="N482" s="439">
        <f t="shared" si="94"/>
        <v>0</v>
      </c>
      <c r="O482" s="439">
        <f t="shared" si="94"/>
        <v>0</v>
      </c>
      <c r="P482" s="439">
        <f t="shared" si="94"/>
        <v>0</v>
      </c>
      <c r="Q482" s="439">
        <f t="shared" si="94"/>
        <v>0</v>
      </c>
      <c r="R482" s="439">
        <f t="shared" si="94"/>
        <v>0</v>
      </c>
      <c r="S482" s="439">
        <f t="shared" si="94"/>
        <v>0</v>
      </c>
      <c r="T482" s="439">
        <f t="shared" si="94"/>
        <v>0</v>
      </c>
      <c r="U482" s="439">
        <f t="shared" si="94"/>
        <v>0</v>
      </c>
      <c r="V482" s="439">
        <f t="shared" si="94"/>
        <v>0</v>
      </c>
      <c r="W482" s="439">
        <f t="shared" si="94"/>
        <v>0</v>
      </c>
      <c r="X482" s="439">
        <f t="shared" si="94"/>
        <v>0</v>
      </c>
      <c r="Y482" s="439">
        <f t="shared" si="94"/>
        <v>0</v>
      </c>
      <c r="Z482" s="439">
        <f t="shared" si="94"/>
        <v>0</v>
      </c>
      <c r="AA482" s="439">
        <f t="shared" si="94"/>
        <v>0</v>
      </c>
      <c r="AB482" s="439">
        <f t="shared" si="94"/>
        <v>0</v>
      </c>
      <c r="AC482" s="439">
        <f t="shared" si="94"/>
        <v>0</v>
      </c>
      <c r="AD482" s="439">
        <f t="shared" si="94"/>
        <v>0</v>
      </c>
      <c r="AE482" s="439">
        <f t="shared" si="94"/>
        <v>0</v>
      </c>
      <c r="AF482" s="439">
        <f t="shared" si="94"/>
        <v>0</v>
      </c>
      <c r="AG482" s="439">
        <f t="shared" si="94"/>
        <v>0</v>
      </c>
      <c r="AH482" s="439">
        <f t="shared" si="94"/>
        <v>0</v>
      </c>
      <c r="AI482" s="439">
        <f t="shared" si="94"/>
        <v>0</v>
      </c>
      <c r="AJ482" s="678"/>
      <c r="AK482" s="678"/>
      <c r="AL482" s="678"/>
      <c r="AM482" s="678"/>
      <c r="AN482" s="678"/>
    </row>
    <row r="483" spans="1:43" s="436" customFormat="1" ht="19" customHeight="1" x14ac:dyDescent="0.35">
      <c r="A483" s="437">
        <v>18</v>
      </c>
      <c r="B483" s="435">
        <f>PETUNJUK!B26</f>
        <v>0</v>
      </c>
      <c r="C483" s="439">
        <f t="shared" si="62"/>
        <v>0</v>
      </c>
      <c r="D483" s="439">
        <f t="shared" si="62"/>
        <v>0</v>
      </c>
      <c r="E483" s="439">
        <f t="shared" ref="E483:H483" si="95">E28+E62+E97+E132+E167+E202+E273+E308+E343+E378+E413+E448</f>
        <v>0</v>
      </c>
      <c r="F483" s="439">
        <f t="shared" si="95"/>
        <v>0</v>
      </c>
      <c r="G483" s="439">
        <f t="shared" si="95"/>
        <v>0</v>
      </c>
      <c r="H483" s="439">
        <f t="shared" si="95"/>
        <v>0</v>
      </c>
      <c r="I483" s="439">
        <f t="shared" ref="I483:AI483" si="96">I28+I62+I97+I132+I167+I202+I273+I308+I343+I378+I413+I448</f>
        <v>0</v>
      </c>
      <c r="J483" s="439">
        <f t="shared" si="96"/>
        <v>0</v>
      </c>
      <c r="K483" s="439">
        <f t="shared" si="96"/>
        <v>0</v>
      </c>
      <c r="L483" s="439">
        <f t="shared" si="96"/>
        <v>0</v>
      </c>
      <c r="M483" s="439">
        <f t="shared" si="96"/>
        <v>0</v>
      </c>
      <c r="N483" s="439">
        <f t="shared" si="96"/>
        <v>0</v>
      </c>
      <c r="O483" s="439">
        <f t="shared" si="96"/>
        <v>0</v>
      </c>
      <c r="P483" s="439">
        <f t="shared" si="96"/>
        <v>0</v>
      </c>
      <c r="Q483" s="439">
        <f t="shared" si="96"/>
        <v>0</v>
      </c>
      <c r="R483" s="439">
        <f t="shared" si="96"/>
        <v>0</v>
      </c>
      <c r="S483" s="439">
        <f t="shared" si="96"/>
        <v>0</v>
      </c>
      <c r="T483" s="439">
        <f t="shared" si="96"/>
        <v>0</v>
      </c>
      <c r="U483" s="439">
        <f t="shared" si="96"/>
        <v>0</v>
      </c>
      <c r="V483" s="439">
        <f t="shared" si="96"/>
        <v>0</v>
      </c>
      <c r="W483" s="439">
        <f t="shared" si="96"/>
        <v>0</v>
      </c>
      <c r="X483" s="439">
        <f t="shared" si="96"/>
        <v>0</v>
      </c>
      <c r="Y483" s="439">
        <f t="shared" si="96"/>
        <v>0</v>
      </c>
      <c r="Z483" s="439">
        <f t="shared" si="96"/>
        <v>0</v>
      </c>
      <c r="AA483" s="439">
        <f t="shared" si="96"/>
        <v>0</v>
      </c>
      <c r="AB483" s="439">
        <f t="shared" si="96"/>
        <v>0</v>
      </c>
      <c r="AC483" s="439">
        <f t="shared" si="96"/>
        <v>0</v>
      </c>
      <c r="AD483" s="439">
        <f t="shared" si="96"/>
        <v>0</v>
      </c>
      <c r="AE483" s="439">
        <f t="shared" si="96"/>
        <v>0</v>
      </c>
      <c r="AF483" s="439">
        <f t="shared" si="96"/>
        <v>0</v>
      </c>
      <c r="AG483" s="439">
        <f t="shared" si="96"/>
        <v>0</v>
      </c>
      <c r="AH483" s="439">
        <f t="shared" si="96"/>
        <v>0</v>
      </c>
      <c r="AI483" s="439">
        <f t="shared" si="96"/>
        <v>0</v>
      </c>
      <c r="AJ483" s="678"/>
      <c r="AK483" s="678"/>
      <c r="AL483" s="678"/>
      <c r="AM483" s="678"/>
      <c r="AN483" s="678"/>
    </row>
    <row r="484" spans="1:43" s="436" customFormat="1" ht="19" customHeight="1" x14ac:dyDescent="0.35">
      <c r="A484" s="437">
        <v>19</v>
      </c>
      <c r="B484" s="435">
        <f>PETUNJUK!B27</f>
        <v>0</v>
      </c>
      <c r="C484" s="439">
        <f t="shared" si="62"/>
        <v>0</v>
      </c>
      <c r="D484" s="439">
        <f t="shared" si="62"/>
        <v>0</v>
      </c>
      <c r="E484" s="439">
        <f t="shared" ref="E484:H484" si="97">E29+E63+E98+E133+E168+E203+E274+E309+E344+E379+E414+E449</f>
        <v>0</v>
      </c>
      <c r="F484" s="439">
        <f t="shared" si="97"/>
        <v>0</v>
      </c>
      <c r="G484" s="439">
        <f t="shared" si="97"/>
        <v>0</v>
      </c>
      <c r="H484" s="439">
        <f t="shared" si="97"/>
        <v>0</v>
      </c>
      <c r="I484" s="439">
        <f t="shared" ref="I484:AI484" si="98">I29+I63+I98+I133+I168+I203+I274+I309+I344+I379+I414+I449</f>
        <v>0</v>
      </c>
      <c r="J484" s="439">
        <f t="shared" si="98"/>
        <v>0</v>
      </c>
      <c r="K484" s="439">
        <f t="shared" si="98"/>
        <v>0</v>
      </c>
      <c r="L484" s="439">
        <f t="shared" si="98"/>
        <v>0</v>
      </c>
      <c r="M484" s="439">
        <f t="shared" si="98"/>
        <v>0</v>
      </c>
      <c r="N484" s="439">
        <f t="shared" si="98"/>
        <v>0</v>
      </c>
      <c r="O484" s="439">
        <f t="shared" si="98"/>
        <v>0</v>
      </c>
      <c r="P484" s="439">
        <f t="shared" si="98"/>
        <v>0</v>
      </c>
      <c r="Q484" s="439">
        <f t="shared" si="98"/>
        <v>0</v>
      </c>
      <c r="R484" s="439">
        <f t="shared" si="98"/>
        <v>0</v>
      </c>
      <c r="S484" s="439">
        <f t="shared" si="98"/>
        <v>0</v>
      </c>
      <c r="T484" s="439">
        <f t="shared" si="98"/>
        <v>0</v>
      </c>
      <c r="U484" s="439">
        <f t="shared" si="98"/>
        <v>0</v>
      </c>
      <c r="V484" s="439">
        <f t="shared" si="98"/>
        <v>0</v>
      </c>
      <c r="W484" s="439">
        <f t="shared" si="98"/>
        <v>0</v>
      </c>
      <c r="X484" s="439">
        <f t="shared" si="98"/>
        <v>0</v>
      </c>
      <c r="Y484" s="439">
        <f t="shared" si="98"/>
        <v>0</v>
      </c>
      <c r="Z484" s="439">
        <f t="shared" si="98"/>
        <v>0</v>
      </c>
      <c r="AA484" s="439">
        <f t="shared" si="98"/>
        <v>0</v>
      </c>
      <c r="AB484" s="439">
        <f t="shared" si="98"/>
        <v>0</v>
      </c>
      <c r="AC484" s="439">
        <f t="shared" si="98"/>
        <v>0</v>
      </c>
      <c r="AD484" s="439">
        <f t="shared" si="98"/>
        <v>0</v>
      </c>
      <c r="AE484" s="439">
        <f t="shared" si="98"/>
        <v>0</v>
      </c>
      <c r="AF484" s="439">
        <f t="shared" si="98"/>
        <v>0</v>
      </c>
      <c r="AG484" s="439">
        <f t="shared" si="98"/>
        <v>0</v>
      </c>
      <c r="AH484" s="439">
        <f t="shared" si="98"/>
        <v>0</v>
      </c>
      <c r="AI484" s="439">
        <f t="shared" si="98"/>
        <v>0</v>
      </c>
      <c r="AJ484" s="678"/>
      <c r="AK484" s="678"/>
      <c r="AL484" s="678"/>
      <c r="AM484" s="678"/>
      <c r="AN484" s="678"/>
    </row>
    <row r="485" spans="1:43" s="436" customFormat="1" ht="19" customHeight="1" x14ac:dyDescent="0.35">
      <c r="A485" s="437">
        <v>20</v>
      </c>
      <c r="B485" s="435">
        <f>PETUNJUK!B28</f>
        <v>0</v>
      </c>
      <c r="C485" s="439">
        <f t="shared" si="62"/>
        <v>0</v>
      </c>
      <c r="D485" s="439">
        <f t="shared" si="62"/>
        <v>0</v>
      </c>
      <c r="E485" s="439">
        <f t="shared" ref="E485:H485" si="99">E30+E64+E99+E134+E169+E204+E275+E310+E345+E380+E415+E450</f>
        <v>0</v>
      </c>
      <c r="F485" s="439">
        <f t="shared" si="99"/>
        <v>0</v>
      </c>
      <c r="G485" s="439">
        <f t="shared" si="99"/>
        <v>0</v>
      </c>
      <c r="H485" s="439">
        <f t="shared" si="99"/>
        <v>0</v>
      </c>
      <c r="I485" s="439">
        <f t="shared" ref="I485:AI485" si="100">I30+I64+I99+I134+I169+I204+I275+I310+I345+I380+I415+I450</f>
        <v>0</v>
      </c>
      <c r="J485" s="439">
        <f t="shared" si="100"/>
        <v>0</v>
      </c>
      <c r="K485" s="439">
        <f t="shared" si="100"/>
        <v>0</v>
      </c>
      <c r="L485" s="439">
        <f t="shared" si="100"/>
        <v>0</v>
      </c>
      <c r="M485" s="439">
        <f t="shared" si="100"/>
        <v>0</v>
      </c>
      <c r="N485" s="439">
        <f t="shared" si="100"/>
        <v>0</v>
      </c>
      <c r="O485" s="439">
        <f t="shared" si="100"/>
        <v>0</v>
      </c>
      <c r="P485" s="439">
        <f t="shared" si="100"/>
        <v>0</v>
      </c>
      <c r="Q485" s="439">
        <f t="shared" si="100"/>
        <v>0</v>
      </c>
      <c r="R485" s="439">
        <f t="shared" si="100"/>
        <v>0</v>
      </c>
      <c r="S485" s="439">
        <f t="shared" si="100"/>
        <v>0</v>
      </c>
      <c r="T485" s="439">
        <f t="shared" si="100"/>
        <v>0</v>
      </c>
      <c r="U485" s="439">
        <f t="shared" si="100"/>
        <v>0</v>
      </c>
      <c r="V485" s="439">
        <f t="shared" si="100"/>
        <v>0</v>
      </c>
      <c r="W485" s="439">
        <f t="shared" si="100"/>
        <v>0</v>
      </c>
      <c r="X485" s="439">
        <f t="shared" si="100"/>
        <v>0</v>
      </c>
      <c r="Y485" s="439">
        <f t="shared" si="100"/>
        <v>0</v>
      </c>
      <c r="Z485" s="439">
        <f t="shared" si="100"/>
        <v>0</v>
      </c>
      <c r="AA485" s="439">
        <f t="shared" si="100"/>
        <v>0</v>
      </c>
      <c r="AB485" s="439">
        <f t="shared" si="100"/>
        <v>0</v>
      </c>
      <c r="AC485" s="439">
        <f t="shared" si="100"/>
        <v>0</v>
      </c>
      <c r="AD485" s="439">
        <f t="shared" si="100"/>
        <v>0</v>
      </c>
      <c r="AE485" s="439">
        <f t="shared" si="100"/>
        <v>0</v>
      </c>
      <c r="AF485" s="439">
        <f t="shared" si="100"/>
        <v>0</v>
      </c>
      <c r="AG485" s="439">
        <f t="shared" si="100"/>
        <v>0</v>
      </c>
      <c r="AH485" s="439">
        <f t="shared" si="100"/>
        <v>0</v>
      </c>
      <c r="AI485" s="439">
        <f t="shared" si="100"/>
        <v>0</v>
      </c>
      <c r="AJ485" s="678"/>
      <c r="AK485" s="678"/>
      <c r="AL485" s="678"/>
      <c r="AM485" s="678"/>
      <c r="AN485" s="678"/>
    </row>
    <row r="486" spans="1:43" s="436" customFormat="1" ht="19" customHeight="1" x14ac:dyDescent="0.35">
      <c r="A486" s="437">
        <v>21</v>
      </c>
      <c r="B486" s="435">
        <f>PETUNJUK!B29</f>
        <v>0</v>
      </c>
      <c r="C486" s="439">
        <f t="shared" si="62"/>
        <v>0</v>
      </c>
      <c r="D486" s="439">
        <f t="shared" si="62"/>
        <v>0</v>
      </c>
      <c r="E486" s="439">
        <f t="shared" ref="E486:H486" si="101">E31+E65+E100+E135+E170+E205+E276+E311+E346+E381+E416+E451</f>
        <v>0</v>
      </c>
      <c r="F486" s="439">
        <f t="shared" si="101"/>
        <v>0</v>
      </c>
      <c r="G486" s="439">
        <f t="shared" si="101"/>
        <v>0</v>
      </c>
      <c r="H486" s="439">
        <f t="shared" si="101"/>
        <v>0</v>
      </c>
      <c r="I486" s="439">
        <f t="shared" ref="I486:AI486" si="102">I31+I65+I100+I135+I170+I205+I276+I311+I346+I381+I416+I451</f>
        <v>0</v>
      </c>
      <c r="J486" s="439">
        <f t="shared" si="102"/>
        <v>0</v>
      </c>
      <c r="K486" s="439">
        <f t="shared" si="102"/>
        <v>0</v>
      </c>
      <c r="L486" s="439">
        <f t="shared" si="102"/>
        <v>0</v>
      </c>
      <c r="M486" s="439">
        <f t="shared" si="102"/>
        <v>0</v>
      </c>
      <c r="N486" s="439">
        <f t="shared" si="102"/>
        <v>0</v>
      </c>
      <c r="O486" s="439">
        <f t="shared" si="102"/>
        <v>0</v>
      </c>
      <c r="P486" s="439">
        <f t="shared" si="102"/>
        <v>0</v>
      </c>
      <c r="Q486" s="439">
        <f t="shared" si="102"/>
        <v>0</v>
      </c>
      <c r="R486" s="439">
        <f t="shared" si="102"/>
        <v>0</v>
      </c>
      <c r="S486" s="439">
        <f t="shared" si="102"/>
        <v>0</v>
      </c>
      <c r="T486" s="439">
        <f t="shared" si="102"/>
        <v>0</v>
      </c>
      <c r="U486" s="439">
        <f t="shared" si="102"/>
        <v>0</v>
      </c>
      <c r="V486" s="439">
        <f t="shared" si="102"/>
        <v>0</v>
      </c>
      <c r="W486" s="439">
        <f t="shared" si="102"/>
        <v>0</v>
      </c>
      <c r="X486" s="439">
        <f t="shared" si="102"/>
        <v>0</v>
      </c>
      <c r="Y486" s="439">
        <f t="shared" si="102"/>
        <v>0</v>
      </c>
      <c r="Z486" s="439">
        <f t="shared" si="102"/>
        <v>0</v>
      </c>
      <c r="AA486" s="439">
        <f t="shared" si="102"/>
        <v>0</v>
      </c>
      <c r="AB486" s="439">
        <f t="shared" si="102"/>
        <v>0</v>
      </c>
      <c r="AC486" s="439">
        <f t="shared" si="102"/>
        <v>0</v>
      </c>
      <c r="AD486" s="439">
        <f t="shared" si="102"/>
        <v>0</v>
      </c>
      <c r="AE486" s="439">
        <f t="shared" si="102"/>
        <v>0</v>
      </c>
      <c r="AF486" s="439">
        <f t="shared" si="102"/>
        <v>0</v>
      </c>
      <c r="AG486" s="439">
        <f t="shared" si="102"/>
        <v>0</v>
      </c>
      <c r="AH486" s="439">
        <f t="shared" si="102"/>
        <v>0</v>
      </c>
      <c r="AI486" s="439">
        <f t="shared" si="102"/>
        <v>0</v>
      </c>
      <c r="AJ486" s="678"/>
      <c r="AK486" s="678"/>
      <c r="AL486" s="678"/>
      <c r="AM486" s="678"/>
      <c r="AN486" s="678"/>
    </row>
    <row r="487" spans="1:43" s="436" customFormat="1" ht="19" customHeight="1" x14ac:dyDescent="0.35">
      <c r="A487" s="437">
        <v>22</v>
      </c>
      <c r="B487" s="435">
        <f>PETUNJUK!B30</f>
        <v>0</v>
      </c>
      <c r="C487" s="439">
        <f t="shared" si="62"/>
        <v>0</v>
      </c>
      <c r="D487" s="439">
        <f t="shared" si="62"/>
        <v>0</v>
      </c>
      <c r="E487" s="439">
        <f t="shared" ref="E487:H487" si="103">E32+E66+E101+E136+E171+E206+E277+E312+E347+E382+E417+E452</f>
        <v>0</v>
      </c>
      <c r="F487" s="439">
        <f t="shared" si="103"/>
        <v>0</v>
      </c>
      <c r="G487" s="439">
        <f t="shared" si="103"/>
        <v>0</v>
      </c>
      <c r="H487" s="439">
        <f t="shared" si="103"/>
        <v>0</v>
      </c>
      <c r="I487" s="439">
        <f t="shared" ref="I487:AI487" si="104">I32+I66+I101+I136+I171+I206+I277+I312+I347+I382+I417+I452</f>
        <v>0</v>
      </c>
      <c r="J487" s="439">
        <f t="shared" si="104"/>
        <v>0</v>
      </c>
      <c r="K487" s="439">
        <f t="shared" si="104"/>
        <v>0</v>
      </c>
      <c r="L487" s="439">
        <f t="shared" si="104"/>
        <v>0</v>
      </c>
      <c r="M487" s="439">
        <f t="shared" si="104"/>
        <v>0</v>
      </c>
      <c r="N487" s="439">
        <f t="shared" si="104"/>
        <v>0</v>
      </c>
      <c r="O487" s="439">
        <f t="shared" si="104"/>
        <v>0</v>
      </c>
      <c r="P487" s="439">
        <f t="shared" si="104"/>
        <v>0</v>
      </c>
      <c r="Q487" s="439">
        <f t="shared" si="104"/>
        <v>0</v>
      </c>
      <c r="R487" s="439">
        <f t="shared" si="104"/>
        <v>0</v>
      </c>
      <c r="S487" s="439">
        <f t="shared" si="104"/>
        <v>0</v>
      </c>
      <c r="T487" s="439">
        <f t="shared" si="104"/>
        <v>0</v>
      </c>
      <c r="U487" s="439">
        <f t="shared" si="104"/>
        <v>0</v>
      </c>
      <c r="V487" s="439">
        <f t="shared" si="104"/>
        <v>0</v>
      </c>
      <c r="W487" s="439">
        <f t="shared" si="104"/>
        <v>0</v>
      </c>
      <c r="X487" s="439">
        <f t="shared" si="104"/>
        <v>0</v>
      </c>
      <c r="Y487" s="439">
        <f t="shared" si="104"/>
        <v>0</v>
      </c>
      <c r="Z487" s="439">
        <f t="shared" si="104"/>
        <v>0</v>
      </c>
      <c r="AA487" s="439">
        <f t="shared" si="104"/>
        <v>0</v>
      </c>
      <c r="AB487" s="439">
        <f t="shared" si="104"/>
        <v>0</v>
      </c>
      <c r="AC487" s="439">
        <f t="shared" si="104"/>
        <v>0</v>
      </c>
      <c r="AD487" s="439">
        <f t="shared" si="104"/>
        <v>0</v>
      </c>
      <c r="AE487" s="439">
        <f t="shared" si="104"/>
        <v>0</v>
      </c>
      <c r="AF487" s="439">
        <f t="shared" si="104"/>
        <v>0</v>
      </c>
      <c r="AG487" s="439">
        <f t="shared" si="104"/>
        <v>0</v>
      </c>
      <c r="AH487" s="439">
        <f t="shared" si="104"/>
        <v>0</v>
      </c>
      <c r="AI487" s="439">
        <f t="shared" si="104"/>
        <v>0</v>
      </c>
      <c r="AJ487" s="678"/>
      <c r="AK487" s="678"/>
      <c r="AL487" s="678"/>
      <c r="AM487" s="678"/>
      <c r="AN487" s="678"/>
    </row>
    <row r="488" spans="1:43" s="438" customFormat="1" ht="19" customHeight="1" x14ac:dyDescent="0.35">
      <c r="A488" s="543"/>
      <c r="B488" s="543" t="s">
        <v>17</v>
      </c>
      <c r="C488" s="544">
        <f>SUM(C466:C487)</f>
        <v>374</v>
      </c>
      <c r="D488" s="543">
        <f t="shared" ref="D488:AN488" si="105">SUM(D466:D487)</f>
        <v>31</v>
      </c>
      <c r="E488" s="543">
        <f t="shared" si="105"/>
        <v>1</v>
      </c>
      <c r="F488" s="543">
        <f>SUM(F466:F487)</f>
        <v>283</v>
      </c>
      <c r="G488" s="543">
        <f t="shared" ref="G488:H488" si="106">SUM(G466:G487)</f>
        <v>52</v>
      </c>
      <c r="H488" s="543">
        <f t="shared" si="106"/>
        <v>1</v>
      </c>
      <c r="I488" s="543">
        <f t="shared" si="105"/>
        <v>374</v>
      </c>
      <c r="J488" s="543">
        <f t="shared" si="105"/>
        <v>42</v>
      </c>
      <c r="K488" s="543">
        <f t="shared" si="105"/>
        <v>283</v>
      </c>
      <c r="L488" s="543">
        <f t="shared" si="105"/>
        <v>20</v>
      </c>
      <c r="M488" s="543">
        <f t="shared" si="105"/>
        <v>374</v>
      </c>
      <c r="N488" s="543">
        <f t="shared" si="105"/>
        <v>46</v>
      </c>
      <c r="O488" s="543">
        <f t="shared" si="105"/>
        <v>0</v>
      </c>
      <c r="P488" s="543">
        <f t="shared" si="105"/>
        <v>0</v>
      </c>
      <c r="Q488" s="543">
        <f t="shared" si="105"/>
        <v>374</v>
      </c>
      <c r="R488" s="543">
        <f t="shared" si="105"/>
        <v>0</v>
      </c>
      <c r="S488" s="543">
        <f t="shared" si="105"/>
        <v>0</v>
      </c>
      <c r="T488" s="543">
        <f t="shared" si="105"/>
        <v>0</v>
      </c>
      <c r="U488" s="543">
        <f t="shared" si="105"/>
        <v>0</v>
      </c>
      <c r="V488" s="543">
        <f t="shared" si="105"/>
        <v>0</v>
      </c>
      <c r="W488" s="543">
        <f t="shared" si="105"/>
        <v>0</v>
      </c>
      <c r="X488" s="543">
        <f t="shared" si="105"/>
        <v>0</v>
      </c>
      <c r="Y488" s="543">
        <f t="shared" si="105"/>
        <v>0</v>
      </c>
      <c r="Z488" s="543">
        <f t="shared" si="105"/>
        <v>0</v>
      </c>
      <c r="AA488" s="543">
        <f t="shared" si="105"/>
        <v>0</v>
      </c>
      <c r="AB488" s="543">
        <f t="shared" si="105"/>
        <v>0</v>
      </c>
      <c r="AC488" s="543">
        <f t="shared" si="105"/>
        <v>0</v>
      </c>
      <c r="AD488" s="543">
        <f t="shared" si="105"/>
        <v>374</v>
      </c>
      <c r="AE488" s="543">
        <f t="shared" si="105"/>
        <v>0</v>
      </c>
      <c r="AF488" s="543">
        <f t="shared" si="105"/>
        <v>0</v>
      </c>
      <c r="AG488" s="543">
        <f t="shared" si="105"/>
        <v>264</v>
      </c>
      <c r="AH488" s="543">
        <f t="shared" si="105"/>
        <v>116</v>
      </c>
      <c r="AI488" s="543">
        <f t="shared" si="105"/>
        <v>4</v>
      </c>
      <c r="AJ488" s="677">
        <f t="shared" si="105"/>
        <v>0</v>
      </c>
      <c r="AK488" s="677">
        <f t="shared" si="105"/>
        <v>0</v>
      </c>
      <c r="AL488" s="677">
        <f t="shared" si="105"/>
        <v>0</v>
      </c>
      <c r="AM488" s="677">
        <f t="shared" si="105"/>
        <v>0</v>
      </c>
      <c r="AN488" s="677">
        <f t="shared" si="105"/>
        <v>0</v>
      </c>
    </row>
    <row r="489" spans="1:43" s="438" customFormat="1" ht="19" customHeight="1" x14ac:dyDescent="0.35">
      <c r="A489" s="548"/>
      <c r="B489" s="548"/>
      <c r="C489" s="549"/>
      <c r="D489" s="548"/>
      <c r="E489" s="548"/>
      <c r="F489" s="548"/>
      <c r="G489" s="548"/>
      <c r="H489" s="548"/>
      <c r="I489" s="548"/>
      <c r="J489" s="548"/>
      <c r="K489" s="548"/>
      <c r="L489" s="548"/>
      <c r="M489" s="548"/>
      <c r="N489" s="548"/>
      <c r="O489" s="548"/>
      <c r="P489" s="548"/>
      <c r="Q489" s="548"/>
      <c r="R489" s="548"/>
      <c r="S489" s="548"/>
      <c r="T489" s="548"/>
      <c r="U489" s="548"/>
      <c r="V489" s="548"/>
      <c r="W489" s="548"/>
      <c r="X489" s="548"/>
      <c r="Y489" s="548"/>
      <c r="Z489" s="548"/>
      <c r="AA489" s="548"/>
      <c r="AB489" s="548"/>
      <c r="AC489" s="548"/>
      <c r="AD489" s="548"/>
      <c r="AE489" s="548"/>
      <c r="AF489" s="548"/>
      <c r="AG489" s="548"/>
      <c r="AH489" s="548"/>
      <c r="AI489" s="548"/>
      <c r="AJ489" s="548"/>
      <c r="AK489" s="548"/>
      <c r="AL489" s="548"/>
      <c r="AM489" s="548"/>
    </row>
    <row r="490" spans="1:43" ht="19" customHeight="1" x14ac:dyDescent="0.35">
      <c r="A490" s="29"/>
      <c r="D490" s="29"/>
    </row>
    <row r="491" spans="1:43" s="418" customFormat="1" ht="19" customHeight="1" x14ac:dyDescent="0.35">
      <c r="A491" s="535" t="s">
        <v>147</v>
      </c>
      <c r="B491" s="535"/>
      <c r="C491" s="536" t="s">
        <v>243</v>
      </c>
      <c r="D491" s="535" t="s">
        <v>288</v>
      </c>
      <c r="E491" s="535"/>
      <c r="F491" s="535"/>
      <c r="G491" s="535"/>
      <c r="H491" s="535"/>
      <c r="I491" s="537"/>
      <c r="J491" s="537"/>
      <c r="K491" s="537"/>
      <c r="L491" s="537"/>
      <c r="M491" s="537"/>
      <c r="N491" s="537"/>
      <c r="O491" s="537"/>
      <c r="P491" s="537"/>
      <c r="Q491" s="537"/>
      <c r="R491" s="537"/>
      <c r="S491" s="537"/>
      <c r="T491" s="537"/>
      <c r="U491" s="537"/>
      <c r="V491" s="537"/>
      <c r="W491" s="537"/>
      <c r="X491" s="537"/>
      <c r="Y491" s="537"/>
      <c r="Z491" s="537"/>
      <c r="AA491" s="537"/>
      <c r="AB491" s="537"/>
      <c r="AC491" s="537"/>
      <c r="AD491" s="537"/>
      <c r="AE491" s="537"/>
      <c r="AF491" s="537"/>
      <c r="AG491" s="537"/>
      <c r="AH491" s="537"/>
      <c r="AI491" s="537"/>
      <c r="AJ491" s="537"/>
      <c r="AK491" s="537"/>
      <c r="AL491" s="537"/>
      <c r="AM491" s="537"/>
    </row>
    <row r="492" spans="1:43" s="418" customFormat="1" ht="19" customHeight="1" x14ac:dyDescent="0.35">
      <c r="A492" s="535" t="s">
        <v>242</v>
      </c>
      <c r="B492" s="535"/>
      <c r="C492" s="536" t="s">
        <v>243</v>
      </c>
      <c r="D492" s="538" t="s">
        <v>405</v>
      </c>
      <c r="E492" s="535"/>
      <c r="F492" s="535"/>
      <c r="G492" s="538"/>
      <c r="H492" s="535"/>
      <c r="I492" s="537"/>
      <c r="J492" s="537"/>
      <c r="K492" s="537"/>
      <c r="L492" s="537"/>
      <c r="M492" s="537"/>
      <c r="N492" s="537"/>
      <c r="O492" s="537"/>
      <c r="P492" s="537"/>
      <c r="Q492" s="537"/>
      <c r="R492" s="537"/>
      <c r="S492" s="537"/>
      <c r="T492" s="537"/>
      <c r="U492" s="537"/>
      <c r="V492" s="537"/>
      <c r="W492" s="537"/>
      <c r="X492" s="537"/>
      <c r="Y492" s="537"/>
      <c r="Z492" s="537"/>
      <c r="AA492" s="537"/>
      <c r="AB492" s="537"/>
      <c r="AC492" s="537"/>
      <c r="AD492" s="537"/>
      <c r="AE492" s="537"/>
      <c r="AF492" s="537"/>
      <c r="AG492" s="537"/>
      <c r="AH492" s="537"/>
      <c r="AI492" s="537"/>
      <c r="AJ492" s="537"/>
      <c r="AK492" s="537"/>
      <c r="AL492" s="537"/>
      <c r="AM492" s="537"/>
    </row>
    <row r="493" spans="1:43" ht="19" customHeight="1" x14ac:dyDescent="0.35">
      <c r="A493" s="539"/>
      <c r="B493" s="539"/>
      <c r="C493" s="540"/>
      <c r="D493" s="539"/>
      <c r="E493" s="539"/>
      <c r="F493" s="539"/>
      <c r="G493" s="539"/>
      <c r="H493" s="539"/>
      <c r="I493" s="416"/>
      <c r="J493" s="416"/>
      <c r="K493" s="416"/>
      <c r="L493" s="416"/>
      <c r="M493" s="416"/>
      <c r="N493" s="416"/>
      <c r="O493" s="416"/>
      <c r="P493" s="416"/>
      <c r="Q493" s="416"/>
      <c r="R493" s="416"/>
      <c r="S493" s="416"/>
      <c r="T493" s="416"/>
      <c r="U493" s="416"/>
      <c r="V493" s="416"/>
      <c r="W493" s="416"/>
      <c r="X493" s="416"/>
      <c r="Y493" s="416"/>
      <c r="Z493" s="416"/>
      <c r="AA493" s="416"/>
      <c r="AB493" s="416"/>
      <c r="AC493" s="416"/>
      <c r="AD493" s="416"/>
      <c r="AE493" s="416"/>
      <c r="AF493" s="416"/>
      <c r="AG493" s="416"/>
      <c r="AH493" s="416"/>
      <c r="AI493" s="416"/>
      <c r="AJ493" s="416"/>
      <c r="AK493" s="416"/>
      <c r="AL493" s="416"/>
      <c r="AM493" s="416"/>
    </row>
    <row r="494" spans="1:43" ht="19" customHeight="1" x14ac:dyDescent="0.35">
      <c r="A494" s="416"/>
      <c r="B494" s="416"/>
      <c r="C494" s="417"/>
      <c r="D494" s="416"/>
      <c r="E494" s="416"/>
      <c r="F494" s="416"/>
      <c r="G494" s="416"/>
      <c r="H494" s="416"/>
      <c r="I494" s="416"/>
      <c r="J494" s="416"/>
      <c r="K494" s="416"/>
      <c r="L494" s="416"/>
      <c r="M494" s="416"/>
      <c r="N494" s="416"/>
      <c r="O494" s="416"/>
      <c r="P494" s="416"/>
      <c r="Q494" s="416"/>
      <c r="R494" s="416"/>
      <c r="S494" s="416"/>
      <c r="T494" s="416"/>
      <c r="U494" s="416"/>
      <c r="V494" s="416"/>
      <c r="W494" s="416"/>
      <c r="X494" s="416"/>
      <c r="Y494" s="416"/>
      <c r="Z494" s="416"/>
      <c r="AA494" s="416"/>
      <c r="AB494" s="416"/>
      <c r="AC494" s="416"/>
      <c r="AD494" s="416"/>
      <c r="AE494" s="416"/>
      <c r="AF494" s="416"/>
      <c r="AG494" s="416"/>
      <c r="AH494" s="416"/>
      <c r="AI494" s="416"/>
      <c r="AJ494" s="416"/>
      <c r="AK494" s="416"/>
      <c r="AL494" s="416"/>
      <c r="AM494" s="416"/>
    </row>
    <row r="495" spans="1:43" s="421" customFormat="1" ht="19" customHeight="1" x14ac:dyDescent="0.35">
      <c r="A495" s="967" t="s">
        <v>244</v>
      </c>
      <c r="B495" s="967" t="s">
        <v>151</v>
      </c>
      <c r="C495" s="960" t="s">
        <v>311</v>
      </c>
      <c r="D495" s="960"/>
      <c r="E495" s="960"/>
      <c r="F495" s="960" t="s">
        <v>312</v>
      </c>
      <c r="G495" s="960"/>
      <c r="H495" s="960"/>
      <c r="I495" s="960" t="s">
        <v>33</v>
      </c>
      <c r="J495" s="960"/>
      <c r="K495" s="970" t="s">
        <v>245</v>
      </c>
      <c r="L495" s="970"/>
      <c r="M495" s="970" t="s">
        <v>246</v>
      </c>
      <c r="N495" s="970"/>
      <c r="O495" s="960" t="s">
        <v>247</v>
      </c>
      <c r="P495" s="960"/>
      <c r="Q495" s="960"/>
      <c r="R495" s="960"/>
      <c r="S495" s="960"/>
      <c r="T495" s="960"/>
      <c r="U495" s="960"/>
      <c r="V495" s="960"/>
      <c r="W495" s="960"/>
      <c r="X495" s="971" t="s">
        <v>247</v>
      </c>
      <c r="Y495" s="960"/>
      <c r="Z495" s="960"/>
      <c r="AA495" s="960"/>
      <c r="AB495" s="960"/>
      <c r="AC495" s="960"/>
      <c r="AD495" s="960"/>
      <c r="AE495" s="960"/>
      <c r="AF495" s="960"/>
      <c r="AG495" s="960"/>
      <c r="AH495" s="960"/>
      <c r="AI495" s="960"/>
      <c r="AJ495" s="976" t="s">
        <v>248</v>
      </c>
      <c r="AK495" s="977"/>
      <c r="AL495" s="977"/>
      <c r="AM495" s="977"/>
      <c r="AN495" s="977"/>
    </row>
    <row r="496" spans="1:43" s="421" customFormat="1" ht="19" customHeight="1" x14ac:dyDescent="0.35">
      <c r="A496" s="968"/>
      <c r="B496" s="968"/>
      <c r="C496" s="961" t="s">
        <v>249</v>
      </c>
      <c r="D496" s="972" t="s">
        <v>250</v>
      </c>
      <c r="E496" s="961" t="s">
        <v>251</v>
      </c>
      <c r="F496" s="961" t="s">
        <v>249</v>
      </c>
      <c r="G496" s="961" t="s">
        <v>250</v>
      </c>
      <c r="H496" s="961" t="s">
        <v>251</v>
      </c>
      <c r="I496" s="961" t="s">
        <v>252</v>
      </c>
      <c r="J496" s="961" t="s">
        <v>253</v>
      </c>
      <c r="K496" s="961" t="s">
        <v>254</v>
      </c>
      <c r="L496" s="961" t="s">
        <v>255</v>
      </c>
      <c r="M496" s="961" t="s">
        <v>254</v>
      </c>
      <c r="N496" s="961" t="s">
        <v>256</v>
      </c>
      <c r="O496" s="965" t="s">
        <v>257</v>
      </c>
      <c r="P496" s="965"/>
      <c r="Q496" s="965"/>
      <c r="R496" s="965"/>
      <c r="S496" s="965"/>
      <c r="T496" s="965" t="s">
        <v>258</v>
      </c>
      <c r="U496" s="965"/>
      <c r="V496" s="965"/>
      <c r="W496" s="965"/>
      <c r="X496" s="966" t="s">
        <v>259</v>
      </c>
      <c r="Y496" s="965"/>
      <c r="Z496" s="965"/>
      <c r="AA496" s="965" t="s">
        <v>260</v>
      </c>
      <c r="AB496" s="965"/>
      <c r="AC496" s="965"/>
      <c r="AD496" s="965" t="s">
        <v>261</v>
      </c>
      <c r="AE496" s="965"/>
      <c r="AF496" s="965"/>
      <c r="AG496" s="965" t="s">
        <v>262</v>
      </c>
      <c r="AH496" s="965"/>
      <c r="AI496" s="965"/>
      <c r="AJ496" s="961" t="s">
        <v>421</v>
      </c>
      <c r="AK496" s="961" t="s">
        <v>263</v>
      </c>
      <c r="AL496" s="961" t="s">
        <v>264</v>
      </c>
      <c r="AM496" s="961" t="s">
        <v>265</v>
      </c>
      <c r="AN496" s="964" t="s">
        <v>424</v>
      </c>
      <c r="AO496" s="423"/>
      <c r="AP496" s="423"/>
      <c r="AQ496" s="423"/>
    </row>
    <row r="497" spans="1:43" s="421" customFormat="1" ht="19" customHeight="1" x14ac:dyDescent="0.35">
      <c r="A497" s="968"/>
      <c r="B497" s="968"/>
      <c r="C497" s="962"/>
      <c r="D497" s="973"/>
      <c r="E497" s="962"/>
      <c r="F497" s="962"/>
      <c r="G497" s="962"/>
      <c r="H497" s="962"/>
      <c r="I497" s="962"/>
      <c r="J497" s="962"/>
      <c r="K497" s="962"/>
      <c r="L497" s="962"/>
      <c r="M497" s="962"/>
      <c r="N497" s="962"/>
      <c r="O497" s="965" t="s">
        <v>266</v>
      </c>
      <c r="P497" s="965" t="s">
        <v>267</v>
      </c>
      <c r="Q497" s="965" t="s">
        <v>268</v>
      </c>
      <c r="R497" s="965" t="s">
        <v>269</v>
      </c>
      <c r="S497" s="965"/>
      <c r="T497" s="965" t="s">
        <v>270</v>
      </c>
      <c r="U497" s="965" t="s">
        <v>271</v>
      </c>
      <c r="V497" s="965" t="s">
        <v>272</v>
      </c>
      <c r="W497" s="965" t="s">
        <v>273</v>
      </c>
      <c r="X497" s="966" t="s">
        <v>274</v>
      </c>
      <c r="Y497" s="965" t="s">
        <v>275</v>
      </c>
      <c r="Z497" s="965" t="s">
        <v>276</v>
      </c>
      <c r="AA497" s="965" t="s">
        <v>277</v>
      </c>
      <c r="AB497" s="965" t="s">
        <v>278</v>
      </c>
      <c r="AC497" s="965" t="s">
        <v>279</v>
      </c>
      <c r="AD497" s="965" t="s">
        <v>280</v>
      </c>
      <c r="AE497" s="965" t="s">
        <v>281</v>
      </c>
      <c r="AF497" s="965" t="s">
        <v>282</v>
      </c>
      <c r="AG497" s="965" t="s">
        <v>283</v>
      </c>
      <c r="AH497" s="965" t="s">
        <v>284</v>
      </c>
      <c r="AI497" s="965" t="s">
        <v>279</v>
      </c>
      <c r="AJ497" s="962"/>
      <c r="AK497" s="962"/>
      <c r="AL497" s="962"/>
      <c r="AM497" s="962"/>
      <c r="AN497" s="964"/>
      <c r="AO497" s="423"/>
      <c r="AP497" s="423"/>
      <c r="AQ497" s="423"/>
    </row>
    <row r="498" spans="1:43" s="421" customFormat="1" ht="26.15" customHeight="1" x14ac:dyDescent="0.35">
      <c r="A498" s="969"/>
      <c r="B498" s="969"/>
      <c r="C498" s="963"/>
      <c r="D498" s="974"/>
      <c r="E498" s="963"/>
      <c r="F498" s="963"/>
      <c r="G498" s="963"/>
      <c r="H498" s="963"/>
      <c r="I498" s="963"/>
      <c r="J498" s="963"/>
      <c r="K498" s="963"/>
      <c r="L498" s="963"/>
      <c r="M498" s="963"/>
      <c r="N498" s="963"/>
      <c r="O498" s="965"/>
      <c r="P498" s="965"/>
      <c r="Q498" s="965"/>
      <c r="R498" s="422" t="s">
        <v>285</v>
      </c>
      <c r="S498" s="422" t="s">
        <v>286</v>
      </c>
      <c r="T498" s="965"/>
      <c r="U498" s="965"/>
      <c r="V498" s="965"/>
      <c r="W498" s="965"/>
      <c r="X498" s="966"/>
      <c r="Y498" s="965"/>
      <c r="Z498" s="965"/>
      <c r="AA498" s="965"/>
      <c r="AB498" s="965"/>
      <c r="AC498" s="965"/>
      <c r="AD498" s="965"/>
      <c r="AE498" s="965"/>
      <c r="AF498" s="965"/>
      <c r="AG498" s="965"/>
      <c r="AH498" s="965"/>
      <c r="AI498" s="965"/>
      <c r="AJ498" s="963"/>
      <c r="AK498" s="963"/>
      <c r="AL498" s="963"/>
      <c r="AM498" s="963"/>
      <c r="AN498" s="964"/>
      <c r="AO498" s="423"/>
      <c r="AP498" s="423"/>
      <c r="AQ498" s="423"/>
    </row>
    <row r="499" spans="1:43" s="421" customFormat="1" ht="19" customHeight="1" thickBot="1" x14ac:dyDescent="0.4">
      <c r="A499" s="424">
        <v>1</v>
      </c>
      <c r="B499" s="424">
        <v>2</v>
      </c>
      <c r="C499" s="425">
        <v>3</v>
      </c>
      <c r="D499" s="424">
        <v>4</v>
      </c>
      <c r="E499" s="424">
        <v>5</v>
      </c>
      <c r="F499" s="424">
        <v>6</v>
      </c>
      <c r="G499" s="424">
        <v>7</v>
      </c>
      <c r="H499" s="424">
        <v>8</v>
      </c>
      <c r="I499" s="424">
        <v>9</v>
      </c>
      <c r="J499" s="424">
        <v>10</v>
      </c>
      <c r="K499" s="424">
        <v>11</v>
      </c>
      <c r="L499" s="424">
        <v>12</v>
      </c>
      <c r="M499" s="424">
        <v>13</v>
      </c>
      <c r="N499" s="424">
        <v>14</v>
      </c>
      <c r="O499" s="424">
        <v>15</v>
      </c>
      <c r="P499" s="424">
        <v>16</v>
      </c>
      <c r="Q499" s="424">
        <v>17</v>
      </c>
      <c r="R499" s="424">
        <v>18</v>
      </c>
      <c r="S499" s="424">
        <v>19</v>
      </c>
      <c r="T499" s="424">
        <v>20</v>
      </c>
      <c r="U499" s="424">
        <v>21</v>
      </c>
      <c r="V499" s="424">
        <v>22</v>
      </c>
      <c r="W499" s="424">
        <v>23</v>
      </c>
      <c r="X499" s="424">
        <v>24</v>
      </c>
      <c r="Y499" s="424">
        <v>25</v>
      </c>
      <c r="Z499" s="424">
        <v>26</v>
      </c>
      <c r="AA499" s="424">
        <v>27</v>
      </c>
      <c r="AB499" s="424">
        <v>28</v>
      </c>
      <c r="AC499" s="424">
        <v>29</v>
      </c>
      <c r="AD499" s="424">
        <v>30</v>
      </c>
      <c r="AE499" s="424">
        <v>31</v>
      </c>
      <c r="AF499" s="424">
        <v>32</v>
      </c>
      <c r="AG499" s="424">
        <v>33</v>
      </c>
      <c r="AH499" s="424">
        <v>34</v>
      </c>
      <c r="AI499" s="424">
        <v>35</v>
      </c>
      <c r="AJ499" s="424">
        <v>36</v>
      </c>
      <c r="AK499" s="424">
        <v>37</v>
      </c>
      <c r="AL499" s="424">
        <v>38</v>
      </c>
      <c r="AM499" s="424">
        <v>38</v>
      </c>
      <c r="AN499" s="424">
        <v>38</v>
      </c>
    </row>
    <row r="500" spans="1:43" s="440" customFormat="1" ht="19" customHeight="1" thickTop="1" x14ac:dyDescent="0.35">
      <c r="A500" s="435">
        <v>1</v>
      </c>
      <c r="B500" s="435" t="s">
        <v>137</v>
      </c>
      <c r="C500" s="439">
        <f>C33</f>
        <v>101</v>
      </c>
      <c r="D500" s="439">
        <f t="shared" ref="D500:AM500" si="107">D33</f>
        <v>10</v>
      </c>
      <c r="E500" s="439">
        <f t="shared" si="107"/>
        <v>0</v>
      </c>
      <c r="F500" s="439">
        <f t="shared" si="107"/>
        <v>72</v>
      </c>
      <c r="G500" s="439">
        <f t="shared" si="107"/>
        <v>15</v>
      </c>
      <c r="H500" s="439">
        <f t="shared" si="107"/>
        <v>0</v>
      </c>
      <c r="I500" s="439">
        <f t="shared" si="107"/>
        <v>101</v>
      </c>
      <c r="J500" s="439">
        <f t="shared" si="107"/>
        <v>12</v>
      </c>
      <c r="K500" s="439">
        <f t="shared" si="107"/>
        <v>72</v>
      </c>
      <c r="L500" s="439">
        <f t="shared" si="107"/>
        <v>6</v>
      </c>
      <c r="M500" s="439">
        <f t="shared" si="107"/>
        <v>101</v>
      </c>
      <c r="N500" s="439">
        <f t="shared" si="107"/>
        <v>15</v>
      </c>
      <c r="O500" s="439">
        <f t="shared" si="107"/>
        <v>0</v>
      </c>
      <c r="P500" s="439">
        <f t="shared" si="107"/>
        <v>0</v>
      </c>
      <c r="Q500" s="439">
        <f t="shared" si="107"/>
        <v>101</v>
      </c>
      <c r="R500" s="439">
        <f t="shared" si="107"/>
        <v>0</v>
      </c>
      <c r="S500" s="439">
        <f t="shared" si="107"/>
        <v>0</v>
      </c>
      <c r="T500" s="439">
        <f t="shared" si="107"/>
        <v>0</v>
      </c>
      <c r="U500" s="439">
        <f t="shared" si="107"/>
        <v>0</v>
      </c>
      <c r="V500" s="439">
        <f t="shared" si="107"/>
        <v>0</v>
      </c>
      <c r="W500" s="439">
        <f t="shared" si="107"/>
        <v>0</v>
      </c>
      <c r="X500" s="439">
        <f t="shared" si="107"/>
        <v>0</v>
      </c>
      <c r="Y500" s="439">
        <f t="shared" si="107"/>
        <v>0</v>
      </c>
      <c r="Z500" s="439">
        <f t="shared" si="107"/>
        <v>0</v>
      </c>
      <c r="AA500" s="439">
        <f t="shared" si="107"/>
        <v>0</v>
      </c>
      <c r="AB500" s="439">
        <f t="shared" si="107"/>
        <v>0</v>
      </c>
      <c r="AC500" s="439">
        <f t="shared" si="107"/>
        <v>0</v>
      </c>
      <c r="AD500" s="439">
        <f t="shared" si="107"/>
        <v>101</v>
      </c>
      <c r="AE500" s="439">
        <f t="shared" si="107"/>
        <v>0</v>
      </c>
      <c r="AF500" s="439">
        <f t="shared" si="107"/>
        <v>0</v>
      </c>
      <c r="AG500" s="439">
        <f t="shared" si="107"/>
        <v>101</v>
      </c>
      <c r="AH500" s="439">
        <f t="shared" si="107"/>
        <v>2</v>
      </c>
      <c r="AI500" s="439">
        <f t="shared" si="107"/>
        <v>1</v>
      </c>
      <c r="AJ500" s="439">
        <f t="shared" si="107"/>
        <v>0</v>
      </c>
      <c r="AK500" s="439">
        <f t="shared" si="107"/>
        <v>0</v>
      </c>
      <c r="AL500" s="439">
        <f t="shared" si="107"/>
        <v>0</v>
      </c>
      <c r="AM500" s="439">
        <f t="shared" si="107"/>
        <v>0</v>
      </c>
      <c r="AN500" s="678"/>
    </row>
    <row r="501" spans="1:43" s="440" customFormat="1" ht="19" customHeight="1" x14ac:dyDescent="0.35">
      <c r="A501" s="437">
        <v>2</v>
      </c>
      <c r="B501" s="435" t="s">
        <v>172</v>
      </c>
      <c r="C501" s="439">
        <f>C67</f>
        <v>85</v>
      </c>
      <c r="D501" s="439">
        <f t="shared" ref="D501:AM501" si="108">D67</f>
        <v>9</v>
      </c>
      <c r="E501" s="439">
        <f t="shared" si="108"/>
        <v>1</v>
      </c>
      <c r="F501" s="439">
        <f t="shared" si="108"/>
        <v>70</v>
      </c>
      <c r="G501" s="439">
        <f t="shared" si="108"/>
        <v>10</v>
      </c>
      <c r="H501" s="439">
        <f t="shared" si="108"/>
        <v>0</v>
      </c>
      <c r="I501" s="439">
        <f t="shared" si="108"/>
        <v>85</v>
      </c>
      <c r="J501" s="439">
        <f t="shared" si="108"/>
        <v>13</v>
      </c>
      <c r="K501" s="439">
        <f t="shared" si="108"/>
        <v>70</v>
      </c>
      <c r="L501" s="439">
        <f t="shared" si="108"/>
        <v>3</v>
      </c>
      <c r="M501" s="439">
        <f t="shared" si="108"/>
        <v>85</v>
      </c>
      <c r="N501" s="439">
        <f t="shared" si="108"/>
        <v>6</v>
      </c>
      <c r="O501" s="439">
        <f t="shared" si="108"/>
        <v>0</v>
      </c>
      <c r="P501" s="439">
        <f t="shared" si="108"/>
        <v>0</v>
      </c>
      <c r="Q501" s="439">
        <f t="shared" si="108"/>
        <v>85</v>
      </c>
      <c r="R501" s="439">
        <f t="shared" si="108"/>
        <v>0</v>
      </c>
      <c r="S501" s="439">
        <f t="shared" si="108"/>
        <v>0</v>
      </c>
      <c r="T501" s="439">
        <f t="shared" si="108"/>
        <v>0</v>
      </c>
      <c r="U501" s="439">
        <f t="shared" si="108"/>
        <v>0</v>
      </c>
      <c r="V501" s="439">
        <f t="shared" si="108"/>
        <v>0</v>
      </c>
      <c r="W501" s="439">
        <f t="shared" si="108"/>
        <v>0</v>
      </c>
      <c r="X501" s="439">
        <f t="shared" si="108"/>
        <v>0</v>
      </c>
      <c r="Y501" s="439">
        <f t="shared" si="108"/>
        <v>0</v>
      </c>
      <c r="Z501" s="439">
        <f t="shared" si="108"/>
        <v>0</v>
      </c>
      <c r="AA501" s="439">
        <f t="shared" si="108"/>
        <v>0</v>
      </c>
      <c r="AB501" s="439">
        <f t="shared" si="108"/>
        <v>0</v>
      </c>
      <c r="AC501" s="439">
        <f t="shared" si="108"/>
        <v>0</v>
      </c>
      <c r="AD501" s="439">
        <f t="shared" si="108"/>
        <v>85</v>
      </c>
      <c r="AE501" s="439">
        <f t="shared" si="108"/>
        <v>0</v>
      </c>
      <c r="AF501" s="439">
        <f t="shared" si="108"/>
        <v>0</v>
      </c>
      <c r="AG501" s="439">
        <f t="shared" si="108"/>
        <v>85</v>
      </c>
      <c r="AH501" s="439">
        <f t="shared" si="108"/>
        <v>2</v>
      </c>
      <c r="AI501" s="439">
        <f t="shared" si="108"/>
        <v>1</v>
      </c>
      <c r="AJ501" s="439">
        <f t="shared" si="108"/>
        <v>0</v>
      </c>
      <c r="AK501" s="439">
        <f t="shared" si="108"/>
        <v>0</v>
      </c>
      <c r="AL501" s="439">
        <f t="shared" si="108"/>
        <v>0</v>
      </c>
      <c r="AM501" s="439">
        <f t="shared" si="108"/>
        <v>0</v>
      </c>
      <c r="AN501" s="678"/>
    </row>
    <row r="502" spans="1:43" s="440" customFormat="1" ht="19" customHeight="1" x14ac:dyDescent="0.35">
      <c r="A502" s="437">
        <v>3</v>
      </c>
      <c r="B502" s="435" t="s">
        <v>138</v>
      </c>
      <c r="C502" s="439">
        <f>C102</f>
        <v>78</v>
      </c>
      <c r="D502" s="439">
        <f t="shared" ref="D502:AM502" si="109">D102</f>
        <v>9</v>
      </c>
      <c r="E502" s="439">
        <f t="shared" si="109"/>
        <v>0</v>
      </c>
      <c r="F502" s="439">
        <f t="shared" si="109"/>
        <v>65</v>
      </c>
      <c r="G502" s="439">
        <f t="shared" si="109"/>
        <v>13</v>
      </c>
      <c r="H502" s="439">
        <f t="shared" si="109"/>
        <v>0</v>
      </c>
      <c r="I502" s="439">
        <f t="shared" si="109"/>
        <v>78</v>
      </c>
      <c r="J502" s="439">
        <f t="shared" si="109"/>
        <v>7</v>
      </c>
      <c r="K502" s="439">
        <f t="shared" si="109"/>
        <v>65</v>
      </c>
      <c r="L502" s="439">
        <f t="shared" si="109"/>
        <v>6</v>
      </c>
      <c r="M502" s="439">
        <f t="shared" si="109"/>
        <v>78</v>
      </c>
      <c r="N502" s="439">
        <f t="shared" si="109"/>
        <v>14</v>
      </c>
      <c r="O502" s="439">
        <f t="shared" si="109"/>
        <v>0</v>
      </c>
      <c r="P502" s="439">
        <f t="shared" si="109"/>
        <v>0</v>
      </c>
      <c r="Q502" s="439">
        <f t="shared" si="109"/>
        <v>78</v>
      </c>
      <c r="R502" s="439">
        <f t="shared" si="109"/>
        <v>0</v>
      </c>
      <c r="S502" s="439">
        <f t="shared" si="109"/>
        <v>0</v>
      </c>
      <c r="T502" s="439">
        <f t="shared" si="109"/>
        <v>0</v>
      </c>
      <c r="U502" s="439">
        <f t="shared" si="109"/>
        <v>0</v>
      </c>
      <c r="V502" s="439">
        <f t="shared" si="109"/>
        <v>0</v>
      </c>
      <c r="W502" s="439">
        <f t="shared" si="109"/>
        <v>0</v>
      </c>
      <c r="X502" s="439">
        <f t="shared" si="109"/>
        <v>0</v>
      </c>
      <c r="Y502" s="439">
        <f t="shared" si="109"/>
        <v>0</v>
      </c>
      <c r="Z502" s="439">
        <f t="shared" si="109"/>
        <v>0</v>
      </c>
      <c r="AA502" s="439">
        <f t="shared" si="109"/>
        <v>0</v>
      </c>
      <c r="AB502" s="439">
        <f t="shared" si="109"/>
        <v>0</v>
      </c>
      <c r="AC502" s="439">
        <f t="shared" si="109"/>
        <v>0</v>
      </c>
      <c r="AD502" s="439">
        <f t="shared" si="109"/>
        <v>78</v>
      </c>
      <c r="AE502" s="439">
        <f t="shared" si="109"/>
        <v>0</v>
      </c>
      <c r="AF502" s="439">
        <f t="shared" si="109"/>
        <v>0</v>
      </c>
      <c r="AG502" s="439">
        <f t="shared" si="109"/>
        <v>78</v>
      </c>
      <c r="AH502" s="439">
        <f t="shared" si="109"/>
        <v>2</v>
      </c>
      <c r="AI502" s="439">
        <f t="shared" si="109"/>
        <v>0</v>
      </c>
      <c r="AJ502" s="439">
        <f t="shared" si="109"/>
        <v>0</v>
      </c>
      <c r="AK502" s="439">
        <f t="shared" si="109"/>
        <v>0</v>
      </c>
      <c r="AL502" s="439">
        <f t="shared" si="109"/>
        <v>0</v>
      </c>
      <c r="AM502" s="439">
        <f t="shared" si="109"/>
        <v>0</v>
      </c>
      <c r="AN502" s="678"/>
    </row>
    <row r="503" spans="1:43" s="440" customFormat="1" ht="19" customHeight="1" x14ac:dyDescent="0.35">
      <c r="A503" s="437">
        <v>4</v>
      </c>
      <c r="B503" s="435" t="s">
        <v>139</v>
      </c>
      <c r="C503" s="439">
        <f>C137</f>
        <v>110</v>
      </c>
      <c r="D503" s="439">
        <f t="shared" ref="D503:AM503" si="110">D137</f>
        <v>3</v>
      </c>
      <c r="E503" s="439">
        <f t="shared" si="110"/>
        <v>0</v>
      </c>
      <c r="F503" s="439">
        <f t="shared" si="110"/>
        <v>76</v>
      </c>
      <c r="G503" s="439">
        <f t="shared" si="110"/>
        <v>14</v>
      </c>
      <c r="H503" s="439">
        <f t="shared" si="110"/>
        <v>1</v>
      </c>
      <c r="I503" s="439">
        <f t="shared" si="110"/>
        <v>110</v>
      </c>
      <c r="J503" s="439">
        <f t="shared" si="110"/>
        <v>10</v>
      </c>
      <c r="K503" s="439">
        <f t="shared" si="110"/>
        <v>76</v>
      </c>
      <c r="L503" s="439">
        <f t="shared" si="110"/>
        <v>5</v>
      </c>
      <c r="M503" s="439">
        <f t="shared" si="110"/>
        <v>110</v>
      </c>
      <c r="N503" s="439">
        <f t="shared" si="110"/>
        <v>11</v>
      </c>
      <c r="O503" s="439">
        <f t="shared" si="110"/>
        <v>0</v>
      </c>
      <c r="P503" s="439">
        <f t="shared" si="110"/>
        <v>0</v>
      </c>
      <c r="Q503" s="439">
        <f t="shared" si="110"/>
        <v>110</v>
      </c>
      <c r="R503" s="439">
        <f t="shared" si="110"/>
        <v>0</v>
      </c>
      <c r="S503" s="439">
        <f t="shared" si="110"/>
        <v>0</v>
      </c>
      <c r="T503" s="439">
        <f t="shared" si="110"/>
        <v>0</v>
      </c>
      <c r="U503" s="439">
        <f t="shared" si="110"/>
        <v>0</v>
      </c>
      <c r="V503" s="439">
        <f t="shared" si="110"/>
        <v>0</v>
      </c>
      <c r="W503" s="439">
        <f t="shared" si="110"/>
        <v>0</v>
      </c>
      <c r="X503" s="439">
        <f t="shared" si="110"/>
        <v>0</v>
      </c>
      <c r="Y503" s="439">
        <f t="shared" si="110"/>
        <v>0</v>
      </c>
      <c r="Z503" s="439">
        <f t="shared" si="110"/>
        <v>0</v>
      </c>
      <c r="AA503" s="439">
        <f t="shared" si="110"/>
        <v>0</v>
      </c>
      <c r="AB503" s="439">
        <f t="shared" si="110"/>
        <v>0</v>
      </c>
      <c r="AC503" s="439">
        <f t="shared" si="110"/>
        <v>0</v>
      </c>
      <c r="AD503" s="439">
        <f t="shared" si="110"/>
        <v>110</v>
      </c>
      <c r="AE503" s="439">
        <f t="shared" si="110"/>
        <v>0</v>
      </c>
      <c r="AF503" s="439">
        <f t="shared" si="110"/>
        <v>0</v>
      </c>
      <c r="AG503" s="439">
        <f t="shared" si="110"/>
        <v>0</v>
      </c>
      <c r="AH503" s="439">
        <f t="shared" si="110"/>
        <v>110</v>
      </c>
      <c r="AI503" s="439">
        <f t="shared" si="110"/>
        <v>2</v>
      </c>
      <c r="AJ503" s="439">
        <f t="shared" si="110"/>
        <v>0</v>
      </c>
      <c r="AK503" s="439">
        <f t="shared" si="110"/>
        <v>0</v>
      </c>
      <c r="AL503" s="439">
        <f t="shared" si="110"/>
        <v>0</v>
      </c>
      <c r="AM503" s="439">
        <f t="shared" si="110"/>
        <v>0</v>
      </c>
      <c r="AN503" s="678"/>
    </row>
    <row r="504" spans="1:43" s="440" customFormat="1" ht="19" customHeight="1" x14ac:dyDescent="0.35">
      <c r="A504" s="437">
        <v>5</v>
      </c>
      <c r="B504" s="435" t="s">
        <v>140</v>
      </c>
      <c r="C504" s="439">
        <f>C172</f>
        <v>0</v>
      </c>
      <c r="D504" s="439">
        <f t="shared" ref="D504:AM504" si="111">D172</f>
        <v>0</v>
      </c>
      <c r="E504" s="439">
        <f t="shared" si="111"/>
        <v>0</v>
      </c>
      <c r="F504" s="439">
        <f t="shared" si="111"/>
        <v>0</v>
      </c>
      <c r="G504" s="439">
        <f t="shared" si="111"/>
        <v>0</v>
      </c>
      <c r="H504" s="439">
        <f t="shared" si="111"/>
        <v>0</v>
      </c>
      <c r="I504" s="439">
        <f t="shared" si="111"/>
        <v>0</v>
      </c>
      <c r="J504" s="439">
        <f t="shared" si="111"/>
        <v>0</v>
      </c>
      <c r="K504" s="439">
        <f t="shared" si="111"/>
        <v>0</v>
      </c>
      <c r="L504" s="439">
        <f t="shared" si="111"/>
        <v>0</v>
      </c>
      <c r="M504" s="439">
        <f t="shared" si="111"/>
        <v>0</v>
      </c>
      <c r="N504" s="439">
        <f t="shared" si="111"/>
        <v>0</v>
      </c>
      <c r="O504" s="439">
        <f t="shared" si="111"/>
        <v>0</v>
      </c>
      <c r="P504" s="439">
        <f t="shared" si="111"/>
        <v>0</v>
      </c>
      <c r="Q504" s="439">
        <f t="shared" si="111"/>
        <v>0</v>
      </c>
      <c r="R504" s="439">
        <f t="shared" si="111"/>
        <v>0</v>
      </c>
      <c r="S504" s="439">
        <f t="shared" si="111"/>
        <v>0</v>
      </c>
      <c r="T504" s="439">
        <f t="shared" si="111"/>
        <v>0</v>
      </c>
      <c r="U504" s="439">
        <f t="shared" si="111"/>
        <v>0</v>
      </c>
      <c r="V504" s="439">
        <f t="shared" si="111"/>
        <v>0</v>
      </c>
      <c r="W504" s="439">
        <f t="shared" si="111"/>
        <v>0</v>
      </c>
      <c r="X504" s="439">
        <f t="shared" si="111"/>
        <v>0</v>
      </c>
      <c r="Y504" s="439">
        <f t="shared" si="111"/>
        <v>0</v>
      </c>
      <c r="Z504" s="439">
        <f t="shared" si="111"/>
        <v>0</v>
      </c>
      <c r="AA504" s="439">
        <f t="shared" si="111"/>
        <v>0</v>
      </c>
      <c r="AB504" s="439">
        <f t="shared" si="111"/>
        <v>0</v>
      </c>
      <c r="AC504" s="439">
        <f t="shared" si="111"/>
        <v>0</v>
      </c>
      <c r="AD504" s="439">
        <f t="shared" si="111"/>
        <v>0</v>
      </c>
      <c r="AE504" s="439">
        <f t="shared" si="111"/>
        <v>0</v>
      </c>
      <c r="AF504" s="439">
        <f t="shared" si="111"/>
        <v>0</v>
      </c>
      <c r="AG504" s="439">
        <f t="shared" si="111"/>
        <v>0</v>
      </c>
      <c r="AH504" s="439">
        <f t="shared" si="111"/>
        <v>0</v>
      </c>
      <c r="AI504" s="439">
        <f t="shared" si="111"/>
        <v>0</v>
      </c>
      <c r="AJ504" s="439">
        <f t="shared" si="111"/>
        <v>0</v>
      </c>
      <c r="AK504" s="439">
        <f t="shared" si="111"/>
        <v>0</v>
      </c>
      <c r="AL504" s="439">
        <f t="shared" si="111"/>
        <v>0</v>
      </c>
      <c r="AM504" s="439">
        <f t="shared" si="111"/>
        <v>0</v>
      </c>
      <c r="AN504" s="678"/>
    </row>
    <row r="505" spans="1:43" s="440" customFormat="1" ht="19" customHeight="1" x14ac:dyDescent="0.35">
      <c r="A505" s="437">
        <v>6</v>
      </c>
      <c r="B505" s="435" t="s">
        <v>141</v>
      </c>
      <c r="C505" s="439">
        <f>C207</f>
        <v>0</v>
      </c>
      <c r="D505" s="439">
        <f t="shared" ref="D505:AM505" si="112">D207</f>
        <v>0</v>
      </c>
      <c r="E505" s="439">
        <f t="shared" si="112"/>
        <v>0</v>
      </c>
      <c r="F505" s="439">
        <f t="shared" si="112"/>
        <v>0</v>
      </c>
      <c r="G505" s="439">
        <f t="shared" si="112"/>
        <v>0</v>
      </c>
      <c r="H505" s="439">
        <f t="shared" si="112"/>
        <v>0</v>
      </c>
      <c r="I505" s="439">
        <f t="shared" si="112"/>
        <v>0</v>
      </c>
      <c r="J505" s="439">
        <f t="shared" si="112"/>
        <v>0</v>
      </c>
      <c r="K505" s="439">
        <f t="shared" si="112"/>
        <v>0</v>
      </c>
      <c r="L505" s="439">
        <f t="shared" si="112"/>
        <v>0</v>
      </c>
      <c r="M505" s="439">
        <f t="shared" si="112"/>
        <v>0</v>
      </c>
      <c r="N505" s="439">
        <f t="shared" si="112"/>
        <v>0</v>
      </c>
      <c r="O505" s="439">
        <f t="shared" si="112"/>
        <v>0</v>
      </c>
      <c r="P505" s="439">
        <f t="shared" si="112"/>
        <v>0</v>
      </c>
      <c r="Q505" s="439">
        <f t="shared" si="112"/>
        <v>0</v>
      </c>
      <c r="R505" s="439">
        <f t="shared" si="112"/>
        <v>0</v>
      </c>
      <c r="S505" s="439">
        <f t="shared" si="112"/>
        <v>0</v>
      </c>
      <c r="T505" s="439">
        <f t="shared" si="112"/>
        <v>0</v>
      </c>
      <c r="U505" s="439">
        <f t="shared" si="112"/>
        <v>0</v>
      </c>
      <c r="V505" s="439">
        <f t="shared" si="112"/>
        <v>0</v>
      </c>
      <c r="W505" s="439">
        <f t="shared" si="112"/>
        <v>0</v>
      </c>
      <c r="X505" s="439">
        <f t="shared" si="112"/>
        <v>0</v>
      </c>
      <c r="Y505" s="439">
        <f t="shared" si="112"/>
        <v>0</v>
      </c>
      <c r="Z505" s="439">
        <f t="shared" si="112"/>
        <v>0</v>
      </c>
      <c r="AA505" s="439">
        <f t="shared" si="112"/>
        <v>0</v>
      </c>
      <c r="AB505" s="439">
        <f t="shared" si="112"/>
        <v>0</v>
      </c>
      <c r="AC505" s="439">
        <f t="shared" si="112"/>
        <v>0</v>
      </c>
      <c r="AD505" s="439">
        <f t="shared" si="112"/>
        <v>0</v>
      </c>
      <c r="AE505" s="439">
        <f t="shared" si="112"/>
        <v>0</v>
      </c>
      <c r="AF505" s="439">
        <f t="shared" si="112"/>
        <v>0</v>
      </c>
      <c r="AG505" s="439">
        <f t="shared" si="112"/>
        <v>0</v>
      </c>
      <c r="AH505" s="439">
        <f t="shared" si="112"/>
        <v>0</v>
      </c>
      <c r="AI505" s="439">
        <f t="shared" si="112"/>
        <v>0</v>
      </c>
      <c r="AJ505" s="439">
        <f t="shared" si="112"/>
        <v>0</v>
      </c>
      <c r="AK505" s="439">
        <f t="shared" si="112"/>
        <v>0</v>
      </c>
      <c r="AL505" s="439">
        <f t="shared" si="112"/>
        <v>0</v>
      </c>
      <c r="AM505" s="439">
        <f t="shared" si="112"/>
        <v>0</v>
      </c>
      <c r="AN505" s="678"/>
    </row>
    <row r="506" spans="1:43" s="440" customFormat="1" ht="19" customHeight="1" x14ac:dyDescent="0.35">
      <c r="A506" s="437">
        <v>7</v>
      </c>
      <c r="B506" s="435" t="s">
        <v>142</v>
      </c>
      <c r="C506" s="439">
        <f>C278</f>
        <v>0</v>
      </c>
      <c r="D506" s="439">
        <f t="shared" ref="D506:AM506" si="113">D278</f>
        <v>0</v>
      </c>
      <c r="E506" s="439">
        <f t="shared" si="113"/>
        <v>0</v>
      </c>
      <c r="F506" s="439">
        <f t="shared" si="113"/>
        <v>0</v>
      </c>
      <c r="G506" s="439">
        <f t="shared" si="113"/>
        <v>0</v>
      </c>
      <c r="H506" s="439">
        <f t="shared" si="113"/>
        <v>0</v>
      </c>
      <c r="I506" s="439">
        <f t="shared" si="113"/>
        <v>0</v>
      </c>
      <c r="J506" s="439">
        <f t="shared" si="113"/>
        <v>0</v>
      </c>
      <c r="K506" s="439">
        <f t="shared" si="113"/>
        <v>0</v>
      </c>
      <c r="L506" s="439">
        <f t="shared" si="113"/>
        <v>0</v>
      </c>
      <c r="M506" s="439">
        <f t="shared" si="113"/>
        <v>0</v>
      </c>
      <c r="N506" s="439">
        <f t="shared" si="113"/>
        <v>0</v>
      </c>
      <c r="O506" s="439">
        <f t="shared" si="113"/>
        <v>0</v>
      </c>
      <c r="P506" s="439">
        <f t="shared" si="113"/>
        <v>0</v>
      </c>
      <c r="Q506" s="439">
        <f t="shared" si="113"/>
        <v>0</v>
      </c>
      <c r="R506" s="439">
        <f t="shared" si="113"/>
        <v>0</v>
      </c>
      <c r="S506" s="439">
        <f t="shared" si="113"/>
        <v>0</v>
      </c>
      <c r="T506" s="439">
        <f t="shared" si="113"/>
        <v>0</v>
      </c>
      <c r="U506" s="439">
        <f t="shared" si="113"/>
        <v>0</v>
      </c>
      <c r="V506" s="439">
        <f t="shared" si="113"/>
        <v>0</v>
      </c>
      <c r="W506" s="439">
        <f t="shared" si="113"/>
        <v>0</v>
      </c>
      <c r="X506" s="439">
        <f t="shared" si="113"/>
        <v>0</v>
      </c>
      <c r="Y506" s="439">
        <f t="shared" si="113"/>
        <v>0</v>
      </c>
      <c r="Z506" s="439">
        <f t="shared" si="113"/>
        <v>0</v>
      </c>
      <c r="AA506" s="439">
        <f t="shared" si="113"/>
        <v>0</v>
      </c>
      <c r="AB506" s="439">
        <f t="shared" si="113"/>
        <v>0</v>
      </c>
      <c r="AC506" s="439">
        <f t="shared" si="113"/>
        <v>0</v>
      </c>
      <c r="AD506" s="439">
        <f t="shared" si="113"/>
        <v>0</v>
      </c>
      <c r="AE506" s="439">
        <f t="shared" si="113"/>
        <v>0</v>
      </c>
      <c r="AF506" s="439">
        <f t="shared" si="113"/>
        <v>0</v>
      </c>
      <c r="AG506" s="439">
        <f t="shared" si="113"/>
        <v>0</v>
      </c>
      <c r="AH506" s="439">
        <f t="shared" si="113"/>
        <v>0</v>
      </c>
      <c r="AI506" s="439">
        <f t="shared" si="113"/>
        <v>0</v>
      </c>
      <c r="AJ506" s="439">
        <f t="shared" si="113"/>
        <v>0</v>
      </c>
      <c r="AK506" s="439">
        <f t="shared" si="113"/>
        <v>0</v>
      </c>
      <c r="AL506" s="439">
        <f t="shared" si="113"/>
        <v>0</v>
      </c>
      <c r="AM506" s="439">
        <f t="shared" si="113"/>
        <v>0</v>
      </c>
      <c r="AN506" s="678"/>
    </row>
    <row r="507" spans="1:43" s="440" customFormat="1" ht="19" customHeight="1" x14ac:dyDescent="0.35">
      <c r="A507" s="437">
        <v>8</v>
      </c>
      <c r="B507" s="435" t="s">
        <v>143</v>
      </c>
      <c r="C507" s="439">
        <f>C313</f>
        <v>0</v>
      </c>
      <c r="D507" s="439">
        <f t="shared" ref="D507:AM507" si="114">D313</f>
        <v>0</v>
      </c>
      <c r="E507" s="439">
        <f t="shared" si="114"/>
        <v>0</v>
      </c>
      <c r="F507" s="439">
        <f t="shared" si="114"/>
        <v>0</v>
      </c>
      <c r="G507" s="439">
        <f t="shared" si="114"/>
        <v>0</v>
      </c>
      <c r="H507" s="439">
        <f t="shared" si="114"/>
        <v>0</v>
      </c>
      <c r="I507" s="439">
        <f t="shared" si="114"/>
        <v>0</v>
      </c>
      <c r="J507" s="439">
        <f t="shared" si="114"/>
        <v>0</v>
      </c>
      <c r="K507" s="439">
        <f t="shared" si="114"/>
        <v>0</v>
      </c>
      <c r="L507" s="439">
        <f t="shared" si="114"/>
        <v>0</v>
      </c>
      <c r="M507" s="439">
        <f t="shared" si="114"/>
        <v>0</v>
      </c>
      <c r="N507" s="439">
        <f t="shared" si="114"/>
        <v>0</v>
      </c>
      <c r="O507" s="439">
        <f t="shared" si="114"/>
        <v>0</v>
      </c>
      <c r="P507" s="439">
        <f t="shared" si="114"/>
        <v>0</v>
      </c>
      <c r="Q507" s="439">
        <f t="shared" si="114"/>
        <v>0</v>
      </c>
      <c r="R507" s="439">
        <f t="shared" si="114"/>
        <v>0</v>
      </c>
      <c r="S507" s="439">
        <f t="shared" si="114"/>
        <v>0</v>
      </c>
      <c r="T507" s="439">
        <f t="shared" si="114"/>
        <v>0</v>
      </c>
      <c r="U507" s="439">
        <f t="shared" si="114"/>
        <v>0</v>
      </c>
      <c r="V507" s="439">
        <f t="shared" si="114"/>
        <v>0</v>
      </c>
      <c r="W507" s="439">
        <f t="shared" si="114"/>
        <v>0</v>
      </c>
      <c r="X507" s="439">
        <f t="shared" si="114"/>
        <v>0</v>
      </c>
      <c r="Y507" s="439">
        <f t="shared" si="114"/>
        <v>0</v>
      </c>
      <c r="Z507" s="439">
        <f t="shared" si="114"/>
        <v>0</v>
      </c>
      <c r="AA507" s="439">
        <f t="shared" si="114"/>
        <v>0</v>
      </c>
      <c r="AB507" s="439">
        <f t="shared" si="114"/>
        <v>0</v>
      </c>
      <c r="AC507" s="439">
        <f t="shared" si="114"/>
        <v>0</v>
      </c>
      <c r="AD507" s="439">
        <f t="shared" si="114"/>
        <v>0</v>
      </c>
      <c r="AE507" s="439">
        <f t="shared" si="114"/>
        <v>0</v>
      </c>
      <c r="AF507" s="439">
        <f t="shared" si="114"/>
        <v>0</v>
      </c>
      <c r="AG507" s="439">
        <f t="shared" si="114"/>
        <v>0</v>
      </c>
      <c r="AH507" s="439">
        <f t="shared" si="114"/>
        <v>0</v>
      </c>
      <c r="AI507" s="439">
        <f t="shared" si="114"/>
        <v>0</v>
      </c>
      <c r="AJ507" s="439">
        <f t="shared" si="114"/>
        <v>0</v>
      </c>
      <c r="AK507" s="439">
        <f t="shared" si="114"/>
        <v>0</v>
      </c>
      <c r="AL507" s="439">
        <f t="shared" si="114"/>
        <v>0</v>
      </c>
      <c r="AM507" s="439">
        <f t="shared" si="114"/>
        <v>0</v>
      </c>
      <c r="AN507" s="678"/>
    </row>
    <row r="508" spans="1:43" s="440" customFormat="1" ht="19" customHeight="1" x14ac:dyDescent="0.35">
      <c r="A508" s="437">
        <v>9</v>
      </c>
      <c r="B508" s="435" t="s">
        <v>144</v>
      </c>
      <c r="C508" s="439">
        <f>C348</f>
        <v>0</v>
      </c>
      <c r="D508" s="439">
        <f t="shared" ref="D508:AM508" si="115">D348</f>
        <v>0</v>
      </c>
      <c r="E508" s="439">
        <f t="shared" si="115"/>
        <v>0</v>
      </c>
      <c r="F508" s="439">
        <f t="shared" si="115"/>
        <v>0</v>
      </c>
      <c r="G508" s="439">
        <f t="shared" si="115"/>
        <v>0</v>
      </c>
      <c r="H508" s="439">
        <f t="shared" si="115"/>
        <v>0</v>
      </c>
      <c r="I508" s="439">
        <f t="shared" si="115"/>
        <v>0</v>
      </c>
      <c r="J508" s="439">
        <f t="shared" si="115"/>
        <v>0</v>
      </c>
      <c r="K508" s="439">
        <f t="shared" si="115"/>
        <v>0</v>
      </c>
      <c r="L508" s="439">
        <f t="shared" si="115"/>
        <v>0</v>
      </c>
      <c r="M508" s="439">
        <f t="shared" si="115"/>
        <v>0</v>
      </c>
      <c r="N508" s="439">
        <f t="shared" si="115"/>
        <v>0</v>
      </c>
      <c r="O508" s="439">
        <f t="shared" si="115"/>
        <v>0</v>
      </c>
      <c r="P508" s="439">
        <f t="shared" si="115"/>
        <v>0</v>
      </c>
      <c r="Q508" s="439">
        <f t="shared" si="115"/>
        <v>0</v>
      </c>
      <c r="R508" s="439">
        <f t="shared" si="115"/>
        <v>0</v>
      </c>
      <c r="S508" s="439">
        <f t="shared" si="115"/>
        <v>0</v>
      </c>
      <c r="T508" s="439">
        <f t="shared" si="115"/>
        <v>0</v>
      </c>
      <c r="U508" s="439">
        <f t="shared" si="115"/>
        <v>0</v>
      </c>
      <c r="V508" s="439">
        <f t="shared" si="115"/>
        <v>0</v>
      </c>
      <c r="W508" s="439">
        <f t="shared" si="115"/>
        <v>0</v>
      </c>
      <c r="X508" s="439">
        <f t="shared" si="115"/>
        <v>0</v>
      </c>
      <c r="Y508" s="439">
        <f t="shared" si="115"/>
        <v>0</v>
      </c>
      <c r="Z508" s="439">
        <f t="shared" si="115"/>
        <v>0</v>
      </c>
      <c r="AA508" s="439">
        <f t="shared" si="115"/>
        <v>0</v>
      </c>
      <c r="AB508" s="439">
        <f t="shared" si="115"/>
        <v>0</v>
      </c>
      <c r="AC508" s="439">
        <f t="shared" si="115"/>
        <v>0</v>
      </c>
      <c r="AD508" s="439">
        <f t="shared" si="115"/>
        <v>0</v>
      </c>
      <c r="AE508" s="439">
        <f t="shared" si="115"/>
        <v>0</v>
      </c>
      <c r="AF508" s="439">
        <f t="shared" si="115"/>
        <v>0</v>
      </c>
      <c r="AG508" s="439">
        <f t="shared" si="115"/>
        <v>0</v>
      </c>
      <c r="AH508" s="439">
        <f t="shared" si="115"/>
        <v>0</v>
      </c>
      <c r="AI508" s="439">
        <f t="shared" si="115"/>
        <v>0</v>
      </c>
      <c r="AJ508" s="439">
        <f t="shared" si="115"/>
        <v>0</v>
      </c>
      <c r="AK508" s="439">
        <f t="shared" si="115"/>
        <v>0</v>
      </c>
      <c r="AL508" s="439">
        <f t="shared" si="115"/>
        <v>0</v>
      </c>
      <c r="AM508" s="439">
        <f t="shared" si="115"/>
        <v>0</v>
      </c>
      <c r="AN508" s="678"/>
    </row>
    <row r="509" spans="1:43" s="440" customFormat="1" ht="19" customHeight="1" x14ac:dyDescent="0.35">
      <c r="A509" s="437">
        <v>10</v>
      </c>
      <c r="B509" s="435" t="s">
        <v>146</v>
      </c>
      <c r="C509" s="439">
        <f>C383</f>
        <v>0</v>
      </c>
      <c r="D509" s="439">
        <f t="shared" ref="D509:AM509" si="116">D383</f>
        <v>0</v>
      </c>
      <c r="E509" s="439">
        <f t="shared" si="116"/>
        <v>0</v>
      </c>
      <c r="F509" s="439">
        <f t="shared" si="116"/>
        <v>0</v>
      </c>
      <c r="G509" s="439">
        <f t="shared" si="116"/>
        <v>0</v>
      </c>
      <c r="H509" s="439">
        <f t="shared" si="116"/>
        <v>0</v>
      </c>
      <c r="I509" s="439">
        <f t="shared" si="116"/>
        <v>0</v>
      </c>
      <c r="J509" s="439">
        <f t="shared" si="116"/>
        <v>0</v>
      </c>
      <c r="K509" s="439">
        <f t="shared" si="116"/>
        <v>0</v>
      </c>
      <c r="L509" s="439">
        <f t="shared" si="116"/>
        <v>0</v>
      </c>
      <c r="M509" s="439">
        <f t="shared" si="116"/>
        <v>0</v>
      </c>
      <c r="N509" s="439">
        <f t="shared" si="116"/>
        <v>0</v>
      </c>
      <c r="O509" s="439">
        <f t="shared" si="116"/>
        <v>0</v>
      </c>
      <c r="P509" s="439">
        <f t="shared" si="116"/>
        <v>0</v>
      </c>
      <c r="Q509" s="439">
        <f t="shared" si="116"/>
        <v>0</v>
      </c>
      <c r="R509" s="439">
        <f t="shared" si="116"/>
        <v>0</v>
      </c>
      <c r="S509" s="439">
        <f t="shared" si="116"/>
        <v>0</v>
      </c>
      <c r="T509" s="439">
        <f t="shared" si="116"/>
        <v>0</v>
      </c>
      <c r="U509" s="439">
        <f t="shared" si="116"/>
        <v>0</v>
      </c>
      <c r="V509" s="439">
        <f t="shared" si="116"/>
        <v>0</v>
      </c>
      <c r="W509" s="439">
        <f t="shared" si="116"/>
        <v>0</v>
      </c>
      <c r="X509" s="439">
        <f t="shared" si="116"/>
        <v>0</v>
      </c>
      <c r="Y509" s="439">
        <f t="shared" si="116"/>
        <v>0</v>
      </c>
      <c r="Z509" s="439">
        <f t="shared" si="116"/>
        <v>0</v>
      </c>
      <c r="AA509" s="439">
        <f t="shared" si="116"/>
        <v>0</v>
      </c>
      <c r="AB509" s="439">
        <f t="shared" si="116"/>
        <v>0</v>
      </c>
      <c r="AC509" s="439">
        <f t="shared" si="116"/>
        <v>0</v>
      </c>
      <c r="AD509" s="439">
        <f t="shared" si="116"/>
        <v>0</v>
      </c>
      <c r="AE509" s="439">
        <f t="shared" si="116"/>
        <v>0</v>
      </c>
      <c r="AF509" s="439">
        <f t="shared" si="116"/>
        <v>0</v>
      </c>
      <c r="AG509" s="439">
        <f t="shared" si="116"/>
        <v>0</v>
      </c>
      <c r="AH509" s="439">
        <f t="shared" si="116"/>
        <v>0</v>
      </c>
      <c r="AI509" s="439">
        <f t="shared" si="116"/>
        <v>0</v>
      </c>
      <c r="AJ509" s="439">
        <f t="shared" si="116"/>
        <v>0</v>
      </c>
      <c r="AK509" s="439">
        <f t="shared" si="116"/>
        <v>0</v>
      </c>
      <c r="AL509" s="439">
        <f t="shared" si="116"/>
        <v>0</v>
      </c>
      <c r="AM509" s="439">
        <f t="shared" si="116"/>
        <v>0</v>
      </c>
      <c r="AN509" s="678"/>
    </row>
    <row r="510" spans="1:43" s="440" customFormat="1" ht="19" customHeight="1" x14ac:dyDescent="0.35">
      <c r="A510" s="437">
        <v>11</v>
      </c>
      <c r="B510" s="435" t="s">
        <v>173</v>
      </c>
      <c r="C510" s="439">
        <f>C418</f>
        <v>0</v>
      </c>
      <c r="D510" s="439">
        <f t="shared" ref="D510:AM510" si="117">D418</f>
        <v>0</v>
      </c>
      <c r="E510" s="439">
        <f t="shared" si="117"/>
        <v>0</v>
      </c>
      <c r="F510" s="439">
        <f t="shared" si="117"/>
        <v>0</v>
      </c>
      <c r="G510" s="439">
        <f t="shared" si="117"/>
        <v>0</v>
      </c>
      <c r="H510" s="439">
        <f t="shared" si="117"/>
        <v>0</v>
      </c>
      <c r="I510" s="439">
        <f t="shared" si="117"/>
        <v>0</v>
      </c>
      <c r="J510" s="439">
        <f t="shared" si="117"/>
        <v>0</v>
      </c>
      <c r="K510" s="439">
        <f t="shared" si="117"/>
        <v>0</v>
      </c>
      <c r="L510" s="439">
        <f t="shared" si="117"/>
        <v>0</v>
      </c>
      <c r="M510" s="439">
        <f t="shared" si="117"/>
        <v>0</v>
      </c>
      <c r="N510" s="439">
        <f t="shared" si="117"/>
        <v>0</v>
      </c>
      <c r="O510" s="439">
        <f t="shared" si="117"/>
        <v>0</v>
      </c>
      <c r="P510" s="439">
        <f t="shared" si="117"/>
        <v>0</v>
      </c>
      <c r="Q510" s="439">
        <f t="shared" si="117"/>
        <v>0</v>
      </c>
      <c r="R510" s="439">
        <f t="shared" si="117"/>
        <v>0</v>
      </c>
      <c r="S510" s="439">
        <f t="shared" si="117"/>
        <v>0</v>
      </c>
      <c r="T510" s="439">
        <f t="shared" si="117"/>
        <v>0</v>
      </c>
      <c r="U510" s="439">
        <f t="shared" si="117"/>
        <v>0</v>
      </c>
      <c r="V510" s="439">
        <f t="shared" si="117"/>
        <v>0</v>
      </c>
      <c r="W510" s="439">
        <f t="shared" si="117"/>
        <v>0</v>
      </c>
      <c r="X510" s="439">
        <f t="shared" si="117"/>
        <v>0</v>
      </c>
      <c r="Y510" s="439">
        <f t="shared" si="117"/>
        <v>0</v>
      </c>
      <c r="Z510" s="439">
        <f t="shared" si="117"/>
        <v>0</v>
      </c>
      <c r="AA510" s="439">
        <f t="shared" si="117"/>
        <v>0</v>
      </c>
      <c r="AB510" s="439">
        <f t="shared" si="117"/>
        <v>0</v>
      </c>
      <c r="AC510" s="439">
        <f t="shared" si="117"/>
        <v>0</v>
      </c>
      <c r="AD510" s="439">
        <f t="shared" si="117"/>
        <v>0</v>
      </c>
      <c r="AE510" s="439">
        <f t="shared" si="117"/>
        <v>0</v>
      </c>
      <c r="AF510" s="439">
        <f t="shared" si="117"/>
        <v>0</v>
      </c>
      <c r="AG510" s="439">
        <f t="shared" si="117"/>
        <v>0</v>
      </c>
      <c r="AH510" s="439">
        <f t="shared" si="117"/>
        <v>0</v>
      </c>
      <c r="AI510" s="439">
        <f t="shared" si="117"/>
        <v>0</v>
      </c>
      <c r="AJ510" s="439">
        <f t="shared" si="117"/>
        <v>0</v>
      </c>
      <c r="AK510" s="439">
        <f t="shared" si="117"/>
        <v>0</v>
      </c>
      <c r="AL510" s="439">
        <f t="shared" si="117"/>
        <v>0</v>
      </c>
      <c r="AM510" s="439">
        <f t="shared" si="117"/>
        <v>0</v>
      </c>
      <c r="AN510" s="678"/>
    </row>
    <row r="511" spans="1:43" s="440" customFormat="1" ht="19" customHeight="1" x14ac:dyDescent="0.35">
      <c r="A511" s="437">
        <v>12</v>
      </c>
      <c r="B511" s="435" t="s">
        <v>145</v>
      </c>
      <c r="C511" s="439">
        <f>C453</f>
        <v>0</v>
      </c>
      <c r="D511" s="439">
        <f t="shared" ref="D511:AM511" si="118">D453</f>
        <v>0</v>
      </c>
      <c r="E511" s="439">
        <f t="shared" si="118"/>
        <v>0</v>
      </c>
      <c r="F511" s="439">
        <f t="shared" si="118"/>
        <v>0</v>
      </c>
      <c r="G511" s="439">
        <f t="shared" si="118"/>
        <v>0</v>
      </c>
      <c r="H511" s="439">
        <f t="shared" si="118"/>
        <v>0</v>
      </c>
      <c r="I511" s="439">
        <f t="shared" si="118"/>
        <v>0</v>
      </c>
      <c r="J511" s="439">
        <f t="shared" si="118"/>
        <v>0</v>
      </c>
      <c r="K511" s="439">
        <f t="shared" si="118"/>
        <v>0</v>
      </c>
      <c r="L511" s="439">
        <f t="shared" si="118"/>
        <v>0</v>
      </c>
      <c r="M511" s="439">
        <f t="shared" si="118"/>
        <v>0</v>
      </c>
      <c r="N511" s="439">
        <f t="shared" si="118"/>
        <v>0</v>
      </c>
      <c r="O511" s="439">
        <f t="shared" si="118"/>
        <v>0</v>
      </c>
      <c r="P511" s="439">
        <f t="shared" si="118"/>
        <v>0</v>
      </c>
      <c r="Q511" s="439">
        <f t="shared" si="118"/>
        <v>0</v>
      </c>
      <c r="R511" s="439">
        <f t="shared" si="118"/>
        <v>0</v>
      </c>
      <c r="S511" s="439">
        <f t="shared" si="118"/>
        <v>0</v>
      </c>
      <c r="T511" s="439">
        <f t="shared" si="118"/>
        <v>0</v>
      </c>
      <c r="U511" s="439">
        <f t="shared" si="118"/>
        <v>0</v>
      </c>
      <c r="V511" s="439">
        <f t="shared" si="118"/>
        <v>0</v>
      </c>
      <c r="W511" s="439">
        <f t="shared" si="118"/>
        <v>0</v>
      </c>
      <c r="X511" s="439">
        <f t="shared" si="118"/>
        <v>0</v>
      </c>
      <c r="Y511" s="439">
        <f t="shared" si="118"/>
        <v>0</v>
      </c>
      <c r="Z511" s="439">
        <f t="shared" si="118"/>
        <v>0</v>
      </c>
      <c r="AA511" s="439">
        <f t="shared" si="118"/>
        <v>0</v>
      </c>
      <c r="AB511" s="439">
        <f t="shared" si="118"/>
        <v>0</v>
      </c>
      <c r="AC511" s="439">
        <f t="shared" si="118"/>
        <v>0</v>
      </c>
      <c r="AD511" s="439">
        <f t="shared" si="118"/>
        <v>0</v>
      </c>
      <c r="AE511" s="439">
        <f t="shared" si="118"/>
        <v>0</v>
      </c>
      <c r="AF511" s="439">
        <f t="shared" si="118"/>
        <v>0</v>
      </c>
      <c r="AG511" s="439">
        <f t="shared" si="118"/>
        <v>0</v>
      </c>
      <c r="AH511" s="439">
        <f t="shared" si="118"/>
        <v>0</v>
      </c>
      <c r="AI511" s="439">
        <f t="shared" si="118"/>
        <v>0</v>
      </c>
      <c r="AJ511" s="439">
        <f t="shared" si="118"/>
        <v>0</v>
      </c>
      <c r="AK511" s="439">
        <f t="shared" si="118"/>
        <v>0</v>
      </c>
      <c r="AL511" s="439">
        <f t="shared" si="118"/>
        <v>0</v>
      </c>
      <c r="AM511" s="439">
        <f t="shared" si="118"/>
        <v>0</v>
      </c>
      <c r="AN511" s="678"/>
    </row>
    <row r="512" spans="1:43" s="438" customFormat="1" ht="19" customHeight="1" x14ac:dyDescent="0.35">
      <c r="A512" s="543"/>
      <c r="B512" s="543" t="s">
        <v>17</v>
      </c>
      <c r="C512" s="544">
        <f t="shared" ref="C512:AM512" si="119">SUM(C500:C511)</f>
        <v>374</v>
      </c>
      <c r="D512" s="544">
        <f t="shared" si="119"/>
        <v>31</v>
      </c>
      <c r="E512" s="544">
        <f t="shared" si="119"/>
        <v>1</v>
      </c>
      <c r="F512" s="544">
        <f t="shared" si="119"/>
        <v>283</v>
      </c>
      <c r="G512" s="544">
        <f t="shared" si="119"/>
        <v>52</v>
      </c>
      <c r="H512" s="544">
        <f t="shared" si="119"/>
        <v>1</v>
      </c>
      <c r="I512" s="544">
        <f t="shared" si="119"/>
        <v>374</v>
      </c>
      <c r="J512" s="544">
        <f t="shared" si="119"/>
        <v>42</v>
      </c>
      <c r="K512" s="544">
        <f t="shared" si="119"/>
        <v>283</v>
      </c>
      <c r="L512" s="544">
        <f t="shared" si="119"/>
        <v>20</v>
      </c>
      <c r="M512" s="544">
        <f t="shared" si="119"/>
        <v>374</v>
      </c>
      <c r="N512" s="544">
        <f t="shared" si="119"/>
        <v>46</v>
      </c>
      <c r="O512" s="544">
        <f t="shared" si="119"/>
        <v>0</v>
      </c>
      <c r="P512" s="544">
        <f t="shared" si="119"/>
        <v>0</v>
      </c>
      <c r="Q512" s="544">
        <f t="shared" si="119"/>
        <v>374</v>
      </c>
      <c r="R512" s="544">
        <f t="shared" si="119"/>
        <v>0</v>
      </c>
      <c r="S512" s="544">
        <f t="shared" si="119"/>
        <v>0</v>
      </c>
      <c r="T512" s="544">
        <f t="shared" si="119"/>
        <v>0</v>
      </c>
      <c r="U512" s="544">
        <f t="shared" si="119"/>
        <v>0</v>
      </c>
      <c r="V512" s="544">
        <f t="shared" si="119"/>
        <v>0</v>
      </c>
      <c r="W512" s="544">
        <f t="shared" si="119"/>
        <v>0</v>
      </c>
      <c r="X512" s="544">
        <f t="shared" si="119"/>
        <v>0</v>
      </c>
      <c r="Y512" s="544">
        <f t="shared" si="119"/>
        <v>0</v>
      </c>
      <c r="Z512" s="544">
        <f t="shared" si="119"/>
        <v>0</v>
      </c>
      <c r="AA512" s="544">
        <f t="shared" si="119"/>
        <v>0</v>
      </c>
      <c r="AB512" s="544">
        <f t="shared" si="119"/>
        <v>0</v>
      </c>
      <c r="AC512" s="544">
        <f t="shared" si="119"/>
        <v>0</v>
      </c>
      <c r="AD512" s="544">
        <f t="shared" si="119"/>
        <v>374</v>
      </c>
      <c r="AE512" s="544">
        <f t="shared" si="119"/>
        <v>0</v>
      </c>
      <c r="AF512" s="544">
        <f t="shared" si="119"/>
        <v>0</v>
      </c>
      <c r="AG512" s="544">
        <f t="shared" si="119"/>
        <v>264</v>
      </c>
      <c r="AH512" s="544">
        <f t="shared" si="119"/>
        <v>116</v>
      </c>
      <c r="AI512" s="544">
        <f t="shared" si="119"/>
        <v>4</v>
      </c>
      <c r="AJ512" s="544">
        <f t="shared" si="119"/>
        <v>0</v>
      </c>
      <c r="AK512" s="544">
        <f t="shared" si="119"/>
        <v>0</v>
      </c>
      <c r="AL512" s="544">
        <f t="shared" si="119"/>
        <v>0</v>
      </c>
      <c r="AM512" s="544">
        <f t="shared" si="119"/>
        <v>0</v>
      </c>
      <c r="AN512" s="678"/>
    </row>
    <row r="513" spans="40:40" ht="19" customHeight="1" x14ac:dyDescent="0.35">
      <c r="AN513" s="678"/>
    </row>
    <row r="514" spans="40:40" ht="19" customHeight="1" x14ac:dyDescent="0.35">
      <c r="AN514" s="678"/>
    </row>
    <row r="515" spans="40:40" ht="19" customHeight="1" x14ac:dyDescent="0.35">
      <c r="AN515" s="678"/>
    </row>
    <row r="516" spans="40:40" ht="19" customHeight="1" x14ac:dyDescent="0.35">
      <c r="AN516" s="678"/>
    </row>
    <row r="517" spans="40:40" ht="19" customHeight="1" x14ac:dyDescent="0.35">
      <c r="AN517" s="678"/>
    </row>
    <row r="518" spans="40:40" ht="19" customHeight="1" x14ac:dyDescent="0.35">
      <c r="AN518" s="678"/>
    </row>
    <row r="519" spans="40:40" ht="19" customHeight="1" x14ac:dyDescent="0.35">
      <c r="AN519" s="678"/>
    </row>
    <row r="520" spans="40:40" ht="19" customHeight="1" x14ac:dyDescent="0.35">
      <c r="AN520" s="678"/>
    </row>
    <row r="521" spans="40:40" ht="19" customHeight="1" x14ac:dyDescent="0.35">
      <c r="AN521" s="678"/>
    </row>
    <row r="522" spans="40:40" ht="19" customHeight="1" x14ac:dyDescent="0.35">
      <c r="AN522" s="677">
        <f t="shared" ref="AN522" si="120">SUM(AN500:AN521)</f>
        <v>0</v>
      </c>
    </row>
  </sheetData>
  <mergeCells count="795">
    <mergeCell ref="AJ426:AN426"/>
    <mergeCell ref="AN427:AN429"/>
    <mergeCell ref="AJ461:AN461"/>
    <mergeCell ref="AN462:AN464"/>
    <mergeCell ref="AJ495:AN495"/>
    <mergeCell ref="AN496:AN498"/>
    <mergeCell ref="AN146:AN148"/>
    <mergeCell ref="AJ180:AN180"/>
    <mergeCell ref="AN181:AN183"/>
    <mergeCell ref="AJ216:AN216"/>
    <mergeCell ref="AN217:AN219"/>
    <mergeCell ref="AJ251:AN251"/>
    <mergeCell ref="AN252:AN254"/>
    <mergeCell ref="AJ286:AN286"/>
    <mergeCell ref="AN287:AN289"/>
    <mergeCell ref="AJ496:AJ498"/>
    <mergeCell ref="AJ146:AJ148"/>
    <mergeCell ref="AK146:AK148"/>
    <mergeCell ref="AJ181:AJ183"/>
    <mergeCell ref="AK181:AK183"/>
    <mergeCell ref="AJ252:AJ254"/>
    <mergeCell ref="AK252:AK254"/>
    <mergeCell ref="AJ287:AJ289"/>
    <mergeCell ref="AK287:AK289"/>
    <mergeCell ref="AN7:AN9"/>
    <mergeCell ref="AJ6:AN6"/>
    <mergeCell ref="AJ40:AN40"/>
    <mergeCell ref="AN41:AN43"/>
    <mergeCell ref="AJ75:AN75"/>
    <mergeCell ref="AN76:AN78"/>
    <mergeCell ref="AJ110:AN110"/>
    <mergeCell ref="AN111:AN113"/>
    <mergeCell ref="AJ145:AN145"/>
    <mergeCell ref="AL7:AL9"/>
    <mergeCell ref="AM7:AM9"/>
    <mergeCell ref="AJ7:AJ9"/>
    <mergeCell ref="AK7:AK9"/>
    <mergeCell ref="AL41:AL43"/>
    <mergeCell ref="AM41:AM43"/>
    <mergeCell ref="AL76:AL78"/>
    <mergeCell ref="AM76:AM78"/>
    <mergeCell ref="AJ111:AJ113"/>
    <mergeCell ref="AK111:AK113"/>
    <mergeCell ref="K496:K498"/>
    <mergeCell ref="L496:L498"/>
    <mergeCell ref="M496:M498"/>
    <mergeCell ref="N496:N498"/>
    <mergeCell ref="O496:S496"/>
    <mergeCell ref="T496:W496"/>
    <mergeCell ref="X496:Z496"/>
    <mergeCell ref="AA496:AC496"/>
    <mergeCell ref="AD496:AF496"/>
    <mergeCell ref="X497:X498"/>
    <mergeCell ref="Y497:Y498"/>
    <mergeCell ref="Z497:Z498"/>
    <mergeCell ref="AA497:AA498"/>
    <mergeCell ref="AF497:AF498"/>
    <mergeCell ref="O497:O498"/>
    <mergeCell ref="AK496:AK498"/>
    <mergeCell ref="AL496:AL498"/>
    <mergeCell ref="AM496:AM498"/>
    <mergeCell ref="AG496:AI496"/>
    <mergeCell ref="AG497:AG498"/>
    <mergeCell ref="AH497:AH498"/>
    <mergeCell ref="AI497:AI498"/>
    <mergeCell ref="AJ462:AJ464"/>
    <mergeCell ref="AK462:AK464"/>
    <mergeCell ref="AL462:AL464"/>
    <mergeCell ref="AM462:AM464"/>
    <mergeCell ref="A495:A498"/>
    <mergeCell ref="B495:B498"/>
    <mergeCell ref="C495:E495"/>
    <mergeCell ref="F495:H495"/>
    <mergeCell ref="I495:J495"/>
    <mergeCell ref="K495:L495"/>
    <mergeCell ref="M495:N495"/>
    <mergeCell ref="O495:W495"/>
    <mergeCell ref="X495:AI495"/>
    <mergeCell ref="P497:P498"/>
    <mergeCell ref="Q497:Q498"/>
    <mergeCell ref="R497:S497"/>
    <mergeCell ref="T497:T498"/>
    <mergeCell ref="U497:U498"/>
    <mergeCell ref="V497:V498"/>
    <mergeCell ref="W497:W498"/>
    <mergeCell ref="C496:C498"/>
    <mergeCell ref="D496:D498"/>
    <mergeCell ref="E496:E498"/>
    <mergeCell ref="F496:F498"/>
    <mergeCell ref="G496:G498"/>
    <mergeCell ref="H496:H498"/>
    <mergeCell ref="I496:I498"/>
    <mergeCell ref="J496:J498"/>
    <mergeCell ref="A461:A464"/>
    <mergeCell ref="B461:B464"/>
    <mergeCell ref="C461:E461"/>
    <mergeCell ref="I461:J461"/>
    <mergeCell ref="K461:L461"/>
    <mergeCell ref="M461:N461"/>
    <mergeCell ref="O461:W461"/>
    <mergeCell ref="X461:AI461"/>
    <mergeCell ref="AB497:AB498"/>
    <mergeCell ref="AC497:AC498"/>
    <mergeCell ref="AD497:AD498"/>
    <mergeCell ref="AE497:AE498"/>
    <mergeCell ref="O463:O464"/>
    <mergeCell ref="P463:P464"/>
    <mergeCell ref="Q463:Q464"/>
    <mergeCell ref="R463:S463"/>
    <mergeCell ref="T463:T464"/>
    <mergeCell ref="U463:U464"/>
    <mergeCell ref="V463:V464"/>
    <mergeCell ref="W463:W464"/>
    <mergeCell ref="X463:X464"/>
    <mergeCell ref="Y463:Y464"/>
    <mergeCell ref="Z463:Z464"/>
    <mergeCell ref="AA463:AA464"/>
    <mergeCell ref="C462:C464"/>
    <mergeCell ref="D462:D464"/>
    <mergeCell ref="E462:E464"/>
    <mergeCell ref="I462:I464"/>
    <mergeCell ref="J462:J464"/>
    <mergeCell ref="K462:K464"/>
    <mergeCell ref="L462:L464"/>
    <mergeCell ref="M462:M464"/>
    <mergeCell ref="N462:N464"/>
    <mergeCell ref="O462:S462"/>
    <mergeCell ref="T462:W462"/>
    <mergeCell ref="X462:Z462"/>
    <mergeCell ref="AA462:AC462"/>
    <mergeCell ref="AD462:AF462"/>
    <mergeCell ref="AG462:AI462"/>
    <mergeCell ref="AF463:AF464"/>
    <mergeCell ref="AG463:AG464"/>
    <mergeCell ref="AH463:AH464"/>
    <mergeCell ref="AI463:AI464"/>
    <mergeCell ref="AB463:AB464"/>
    <mergeCell ref="AC463:AC464"/>
    <mergeCell ref="AD463:AD464"/>
    <mergeCell ref="AE463:AE464"/>
    <mergeCell ref="AG7:AI7"/>
    <mergeCell ref="AH8:AH9"/>
    <mergeCell ref="AI8:AI9"/>
    <mergeCell ref="AD8:AD9"/>
    <mergeCell ref="AE8:AE9"/>
    <mergeCell ref="AF8:AF9"/>
    <mergeCell ref="AG8:AG9"/>
    <mergeCell ref="V8:V9"/>
    <mergeCell ref="W8:W9"/>
    <mergeCell ref="X8:X9"/>
    <mergeCell ref="Y8:Y9"/>
    <mergeCell ref="Z8:Z9"/>
    <mergeCell ref="AB8:AB9"/>
    <mergeCell ref="AC8:AC9"/>
    <mergeCell ref="O6:W6"/>
    <mergeCell ref="X6:AI6"/>
    <mergeCell ref="C7:C9"/>
    <mergeCell ref="D7:D9"/>
    <mergeCell ref="E7:E9"/>
    <mergeCell ref="I7:I9"/>
    <mergeCell ref="J7:J9"/>
    <mergeCell ref="K7:K9"/>
    <mergeCell ref="L7:L9"/>
    <mergeCell ref="M6:N6"/>
    <mergeCell ref="M7:M9"/>
    <mergeCell ref="N7:N9"/>
    <mergeCell ref="U8:U9"/>
    <mergeCell ref="O7:S7"/>
    <mergeCell ref="T7:W7"/>
    <mergeCell ref="X7:Z7"/>
    <mergeCell ref="AA7:AC7"/>
    <mergeCell ref="O8:O9"/>
    <mergeCell ref="P8:P9"/>
    <mergeCell ref="Q8:Q9"/>
    <mergeCell ref="R8:S8"/>
    <mergeCell ref="T8:T9"/>
    <mergeCell ref="AA8:AA9"/>
    <mergeCell ref="AD7:AF7"/>
    <mergeCell ref="A40:A43"/>
    <mergeCell ref="B40:B43"/>
    <mergeCell ref="C40:E40"/>
    <mergeCell ref="I40:J40"/>
    <mergeCell ref="K40:L40"/>
    <mergeCell ref="A6:A9"/>
    <mergeCell ref="B6:B9"/>
    <mergeCell ref="C6:E6"/>
    <mergeCell ref="I6:J6"/>
    <mergeCell ref="K6:L6"/>
    <mergeCell ref="C41:C43"/>
    <mergeCell ref="D41:D43"/>
    <mergeCell ref="E41:E43"/>
    <mergeCell ref="I41:I43"/>
    <mergeCell ref="J41:J43"/>
    <mergeCell ref="K41:K43"/>
    <mergeCell ref="L41:L43"/>
    <mergeCell ref="F6:H6"/>
    <mergeCell ref="F7:F9"/>
    <mergeCell ref="G7:G9"/>
    <mergeCell ref="H7:H9"/>
    <mergeCell ref="F40:H40"/>
    <mergeCell ref="F41:F43"/>
    <mergeCell ref="G41:G43"/>
    <mergeCell ref="M41:M43"/>
    <mergeCell ref="N41:N43"/>
    <mergeCell ref="AJ41:AJ43"/>
    <mergeCell ref="AK41:AK43"/>
    <mergeCell ref="AD42:AD43"/>
    <mergeCell ref="AE42:AE43"/>
    <mergeCell ref="AF42:AF43"/>
    <mergeCell ref="AG42:AG43"/>
    <mergeCell ref="AH42:AH43"/>
    <mergeCell ref="AI42:AI43"/>
    <mergeCell ref="Z42:Z43"/>
    <mergeCell ref="AA42:AA43"/>
    <mergeCell ref="AB42:AB43"/>
    <mergeCell ref="AC42:AC43"/>
    <mergeCell ref="AA41:AC41"/>
    <mergeCell ref="AD41:AF41"/>
    <mergeCell ref="AG41:AI41"/>
    <mergeCell ref="M40:N40"/>
    <mergeCell ref="O40:W40"/>
    <mergeCell ref="X40:AI40"/>
    <mergeCell ref="O41:S41"/>
    <mergeCell ref="T41:W41"/>
    <mergeCell ref="X41:Z41"/>
    <mergeCell ref="A75:A78"/>
    <mergeCell ref="B75:B78"/>
    <mergeCell ref="C75:E75"/>
    <mergeCell ref="I75:J75"/>
    <mergeCell ref="K75:L75"/>
    <mergeCell ref="O42:O43"/>
    <mergeCell ref="P42:P43"/>
    <mergeCell ref="Q42:Q43"/>
    <mergeCell ref="R42:S42"/>
    <mergeCell ref="T42:T43"/>
    <mergeCell ref="U42:U43"/>
    <mergeCell ref="V42:V43"/>
    <mergeCell ref="W42:W43"/>
    <mergeCell ref="X42:X43"/>
    <mergeCell ref="Y42:Y43"/>
    <mergeCell ref="C76:C78"/>
    <mergeCell ref="D76:D78"/>
    <mergeCell ref="E76:E78"/>
    <mergeCell ref="I76:I78"/>
    <mergeCell ref="J76:J78"/>
    <mergeCell ref="K76:K78"/>
    <mergeCell ref="L76:L78"/>
    <mergeCell ref="M76:M78"/>
    <mergeCell ref="N76:N78"/>
    <mergeCell ref="AJ76:AJ78"/>
    <mergeCell ref="AK76:AK78"/>
    <mergeCell ref="AD77:AD78"/>
    <mergeCell ref="AE77:AE78"/>
    <mergeCell ref="AF77:AF78"/>
    <mergeCell ref="AG77:AG78"/>
    <mergeCell ref="AH77:AH78"/>
    <mergeCell ref="AI77:AI78"/>
    <mergeCell ref="AC77:AC78"/>
    <mergeCell ref="AA76:AC76"/>
    <mergeCell ref="AD76:AF76"/>
    <mergeCell ref="AG76:AI76"/>
    <mergeCell ref="M75:N75"/>
    <mergeCell ref="O75:W75"/>
    <mergeCell ref="X75:AI75"/>
    <mergeCell ref="O76:S76"/>
    <mergeCell ref="T76:W76"/>
    <mergeCell ref="X76:Z76"/>
    <mergeCell ref="A110:A113"/>
    <mergeCell ref="B110:B113"/>
    <mergeCell ref="C110:E110"/>
    <mergeCell ref="I110:J110"/>
    <mergeCell ref="K110:L110"/>
    <mergeCell ref="O77:O78"/>
    <mergeCell ref="P77:P78"/>
    <mergeCell ref="Q77:Q78"/>
    <mergeCell ref="R77:S77"/>
    <mergeCell ref="T77:T78"/>
    <mergeCell ref="U77:U78"/>
    <mergeCell ref="V77:V78"/>
    <mergeCell ref="W77:W78"/>
    <mergeCell ref="X77:X78"/>
    <mergeCell ref="Y77:Y78"/>
    <mergeCell ref="Z77:Z78"/>
    <mergeCell ref="AA77:AA78"/>
    <mergeCell ref="AB77:AB78"/>
    <mergeCell ref="C111:C113"/>
    <mergeCell ref="D111:D113"/>
    <mergeCell ref="E111:E113"/>
    <mergeCell ref="I111:I113"/>
    <mergeCell ref="J111:J113"/>
    <mergeCell ref="K111:K113"/>
    <mergeCell ref="L111:L113"/>
    <mergeCell ref="M111:M113"/>
    <mergeCell ref="N111:N113"/>
    <mergeCell ref="AD112:AD113"/>
    <mergeCell ref="AE112:AE113"/>
    <mergeCell ref="AF112:AF113"/>
    <mergeCell ref="AG112:AG113"/>
    <mergeCell ref="AH112:AH113"/>
    <mergeCell ref="AI112:AI113"/>
    <mergeCell ref="M110:N110"/>
    <mergeCell ref="O110:W110"/>
    <mergeCell ref="X110:AI110"/>
    <mergeCell ref="O111:S111"/>
    <mergeCell ref="T111:W111"/>
    <mergeCell ref="X111:Z111"/>
    <mergeCell ref="A145:A148"/>
    <mergeCell ref="B145:B148"/>
    <mergeCell ref="C145:E145"/>
    <mergeCell ref="I145:J145"/>
    <mergeCell ref="K145:L145"/>
    <mergeCell ref="AL111:AL113"/>
    <mergeCell ref="AM111:AM113"/>
    <mergeCell ref="O112:O113"/>
    <mergeCell ref="P112:P113"/>
    <mergeCell ref="Q112:Q113"/>
    <mergeCell ref="R112:S112"/>
    <mergeCell ref="T112:T113"/>
    <mergeCell ref="U112:U113"/>
    <mergeCell ref="V112:V113"/>
    <mergeCell ref="W112:W113"/>
    <mergeCell ref="X112:X113"/>
    <mergeCell ref="Y112:Y113"/>
    <mergeCell ref="Z112:Z113"/>
    <mergeCell ref="AA112:AA113"/>
    <mergeCell ref="AB112:AB113"/>
    <mergeCell ref="AC112:AC113"/>
    <mergeCell ref="AA111:AC111"/>
    <mergeCell ref="AD111:AF111"/>
    <mergeCell ref="AG111:AI111"/>
    <mergeCell ref="C146:C148"/>
    <mergeCell ref="D146:D148"/>
    <mergeCell ref="E146:E148"/>
    <mergeCell ref="I146:I148"/>
    <mergeCell ref="J146:J148"/>
    <mergeCell ref="K146:K148"/>
    <mergeCell ref="L146:L148"/>
    <mergeCell ref="M146:M148"/>
    <mergeCell ref="N146:N148"/>
    <mergeCell ref="AD147:AD148"/>
    <mergeCell ref="AE147:AE148"/>
    <mergeCell ref="AF147:AF148"/>
    <mergeCell ref="AG147:AG148"/>
    <mergeCell ref="AH147:AH148"/>
    <mergeCell ref="AI147:AI148"/>
    <mergeCell ref="M145:N145"/>
    <mergeCell ref="O145:W145"/>
    <mergeCell ref="X145:AI145"/>
    <mergeCell ref="O146:S146"/>
    <mergeCell ref="T146:W146"/>
    <mergeCell ref="X146:Z146"/>
    <mergeCell ref="A180:A183"/>
    <mergeCell ref="B180:B183"/>
    <mergeCell ref="C180:E180"/>
    <mergeCell ref="I180:J180"/>
    <mergeCell ref="K180:L180"/>
    <mergeCell ref="AL146:AL148"/>
    <mergeCell ref="AM146:AM148"/>
    <mergeCell ref="O147:O148"/>
    <mergeCell ref="P147:P148"/>
    <mergeCell ref="Q147:Q148"/>
    <mergeCell ref="R147:S147"/>
    <mergeCell ref="T147:T148"/>
    <mergeCell ref="U147:U148"/>
    <mergeCell ref="V147:V148"/>
    <mergeCell ref="W147:W148"/>
    <mergeCell ref="X147:X148"/>
    <mergeCell ref="Y147:Y148"/>
    <mergeCell ref="Z147:Z148"/>
    <mergeCell ref="AA147:AA148"/>
    <mergeCell ref="AB147:AB148"/>
    <mergeCell ref="AC147:AC148"/>
    <mergeCell ref="AA146:AC146"/>
    <mergeCell ref="AD146:AF146"/>
    <mergeCell ref="AG146:AI146"/>
    <mergeCell ref="C181:C183"/>
    <mergeCell ref="D181:D183"/>
    <mergeCell ref="E181:E183"/>
    <mergeCell ref="I181:I183"/>
    <mergeCell ref="J181:J183"/>
    <mergeCell ref="K181:K183"/>
    <mergeCell ref="L181:L183"/>
    <mergeCell ref="M181:M183"/>
    <mergeCell ref="N181:N183"/>
    <mergeCell ref="AD182:AD183"/>
    <mergeCell ref="AE182:AE183"/>
    <mergeCell ref="AF182:AF183"/>
    <mergeCell ref="AG182:AG183"/>
    <mergeCell ref="AH182:AH183"/>
    <mergeCell ref="AI182:AI183"/>
    <mergeCell ref="M180:N180"/>
    <mergeCell ref="O180:W180"/>
    <mergeCell ref="X180:AI180"/>
    <mergeCell ref="O181:S181"/>
    <mergeCell ref="T181:W181"/>
    <mergeCell ref="X181:Z181"/>
    <mergeCell ref="A251:A254"/>
    <mergeCell ref="B251:B254"/>
    <mergeCell ref="C251:E251"/>
    <mergeCell ref="I251:J251"/>
    <mergeCell ref="K251:L251"/>
    <mergeCell ref="AL181:AL183"/>
    <mergeCell ref="AM181:AM183"/>
    <mergeCell ref="O182:O183"/>
    <mergeCell ref="P182:P183"/>
    <mergeCell ref="Q182:Q183"/>
    <mergeCell ref="R182:S182"/>
    <mergeCell ref="T182:T183"/>
    <mergeCell ref="U182:U183"/>
    <mergeCell ref="V182:V183"/>
    <mergeCell ref="W182:W183"/>
    <mergeCell ref="X182:X183"/>
    <mergeCell ref="Y182:Y183"/>
    <mergeCell ref="Z182:Z183"/>
    <mergeCell ref="AA182:AA183"/>
    <mergeCell ref="AB182:AB183"/>
    <mergeCell ref="AC182:AC183"/>
    <mergeCell ref="AA181:AC181"/>
    <mergeCell ref="AD181:AF181"/>
    <mergeCell ref="AG181:AI181"/>
    <mergeCell ref="C252:C254"/>
    <mergeCell ref="D252:D254"/>
    <mergeCell ref="E252:E254"/>
    <mergeCell ref="I252:I254"/>
    <mergeCell ref="J252:J254"/>
    <mergeCell ref="K252:K254"/>
    <mergeCell ref="L252:L254"/>
    <mergeCell ref="M252:M254"/>
    <mergeCell ref="N252:N254"/>
    <mergeCell ref="AD253:AD254"/>
    <mergeCell ref="AE253:AE254"/>
    <mergeCell ref="AF253:AF254"/>
    <mergeCell ref="AG253:AG254"/>
    <mergeCell ref="AH253:AH254"/>
    <mergeCell ref="AI253:AI254"/>
    <mergeCell ref="M251:N251"/>
    <mergeCell ref="O251:W251"/>
    <mergeCell ref="X251:AI251"/>
    <mergeCell ref="O252:S252"/>
    <mergeCell ref="T252:W252"/>
    <mergeCell ref="X252:Z252"/>
    <mergeCell ref="A286:A289"/>
    <mergeCell ref="B286:B289"/>
    <mergeCell ref="C286:E286"/>
    <mergeCell ref="I286:J286"/>
    <mergeCell ref="K286:L286"/>
    <mergeCell ref="AL252:AL254"/>
    <mergeCell ref="AM252:AM254"/>
    <mergeCell ref="O253:O254"/>
    <mergeCell ref="P253:P254"/>
    <mergeCell ref="Q253:Q254"/>
    <mergeCell ref="R253:S253"/>
    <mergeCell ref="T253:T254"/>
    <mergeCell ref="U253:U254"/>
    <mergeCell ref="V253:V254"/>
    <mergeCell ref="W253:W254"/>
    <mergeCell ref="X253:X254"/>
    <mergeCell ref="Y253:Y254"/>
    <mergeCell ref="Z253:Z254"/>
    <mergeCell ref="AA253:AA254"/>
    <mergeCell ref="AB253:AB254"/>
    <mergeCell ref="AC253:AC254"/>
    <mergeCell ref="AA252:AC252"/>
    <mergeCell ref="AD252:AF252"/>
    <mergeCell ref="AG252:AI252"/>
    <mergeCell ref="C287:C289"/>
    <mergeCell ref="D287:D289"/>
    <mergeCell ref="E287:E289"/>
    <mergeCell ref="I287:I289"/>
    <mergeCell ref="J287:J289"/>
    <mergeCell ref="K287:K289"/>
    <mergeCell ref="L287:L289"/>
    <mergeCell ref="M287:M289"/>
    <mergeCell ref="N287:N289"/>
    <mergeCell ref="AD288:AD289"/>
    <mergeCell ref="AE288:AE289"/>
    <mergeCell ref="AF288:AF289"/>
    <mergeCell ref="AG288:AG289"/>
    <mergeCell ref="AH288:AH289"/>
    <mergeCell ref="AI288:AI289"/>
    <mergeCell ref="M286:N286"/>
    <mergeCell ref="O286:W286"/>
    <mergeCell ref="X286:AI286"/>
    <mergeCell ref="O287:S287"/>
    <mergeCell ref="T287:W287"/>
    <mergeCell ref="X287:Z287"/>
    <mergeCell ref="A321:A324"/>
    <mergeCell ref="B321:B324"/>
    <mergeCell ref="C321:E321"/>
    <mergeCell ref="I321:J321"/>
    <mergeCell ref="K321:L321"/>
    <mergeCell ref="AL287:AL289"/>
    <mergeCell ref="AM287:AM289"/>
    <mergeCell ref="O288:O289"/>
    <mergeCell ref="P288:P289"/>
    <mergeCell ref="Q288:Q289"/>
    <mergeCell ref="R288:S288"/>
    <mergeCell ref="T288:T289"/>
    <mergeCell ref="U288:U289"/>
    <mergeCell ref="V288:V289"/>
    <mergeCell ref="W288:W289"/>
    <mergeCell ref="X288:X289"/>
    <mergeCell ref="Y288:Y289"/>
    <mergeCell ref="Z288:Z289"/>
    <mergeCell ref="AA288:AA289"/>
    <mergeCell ref="AB288:AB289"/>
    <mergeCell ref="AC288:AC289"/>
    <mergeCell ref="AA287:AC287"/>
    <mergeCell ref="AD287:AF287"/>
    <mergeCell ref="AG287:AI287"/>
    <mergeCell ref="C322:C324"/>
    <mergeCell ref="D322:D324"/>
    <mergeCell ref="E322:E324"/>
    <mergeCell ref="I322:I324"/>
    <mergeCell ref="J322:J324"/>
    <mergeCell ref="K322:K324"/>
    <mergeCell ref="L322:L324"/>
    <mergeCell ref="M322:M324"/>
    <mergeCell ref="N322:N324"/>
    <mergeCell ref="AJ322:AJ324"/>
    <mergeCell ref="AK322:AK324"/>
    <mergeCell ref="AD323:AD324"/>
    <mergeCell ref="AE323:AE324"/>
    <mergeCell ref="AF323:AF324"/>
    <mergeCell ref="AG323:AG324"/>
    <mergeCell ref="AH323:AH324"/>
    <mergeCell ref="AI323:AI324"/>
    <mergeCell ref="M321:N321"/>
    <mergeCell ref="O321:W321"/>
    <mergeCell ref="X321:AI321"/>
    <mergeCell ref="O322:S322"/>
    <mergeCell ref="T322:W322"/>
    <mergeCell ref="X322:Z322"/>
    <mergeCell ref="AJ321:AN321"/>
    <mergeCell ref="AN322:AN324"/>
    <mergeCell ref="A356:A359"/>
    <mergeCell ref="B356:B359"/>
    <mergeCell ref="C356:E356"/>
    <mergeCell ref="I356:J356"/>
    <mergeCell ref="K356:L356"/>
    <mergeCell ref="AL322:AL324"/>
    <mergeCell ref="AM322:AM324"/>
    <mergeCell ref="O323:O324"/>
    <mergeCell ref="P323:P324"/>
    <mergeCell ref="Q323:Q324"/>
    <mergeCell ref="R323:S323"/>
    <mergeCell ref="T323:T324"/>
    <mergeCell ref="U323:U324"/>
    <mergeCell ref="V323:V324"/>
    <mergeCell ref="W323:W324"/>
    <mergeCell ref="X323:X324"/>
    <mergeCell ref="Y323:Y324"/>
    <mergeCell ref="Z323:Z324"/>
    <mergeCell ref="AA323:AA324"/>
    <mergeCell ref="AB323:AB324"/>
    <mergeCell ref="AC323:AC324"/>
    <mergeCell ref="AA322:AC322"/>
    <mergeCell ref="AD322:AF322"/>
    <mergeCell ref="AG322:AI322"/>
    <mergeCell ref="C357:C359"/>
    <mergeCell ref="D357:D359"/>
    <mergeCell ref="E357:E359"/>
    <mergeCell ref="I357:I359"/>
    <mergeCell ref="J357:J359"/>
    <mergeCell ref="K357:K359"/>
    <mergeCell ref="L357:L359"/>
    <mergeCell ref="M357:M359"/>
    <mergeCell ref="N357:N359"/>
    <mergeCell ref="AJ357:AJ359"/>
    <mergeCell ref="AK357:AK359"/>
    <mergeCell ref="AD358:AD359"/>
    <mergeCell ref="AE358:AE359"/>
    <mergeCell ref="AF358:AF359"/>
    <mergeCell ref="AG358:AG359"/>
    <mergeCell ref="AH358:AH359"/>
    <mergeCell ref="AI358:AI359"/>
    <mergeCell ref="M356:N356"/>
    <mergeCell ref="O356:W356"/>
    <mergeCell ref="X356:AI356"/>
    <mergeCell ref="O357:S357"/>
    <mergeCell ref="T357:W357"/>
    <mergeCell ref="X357:Z357"/>
    <mergeCell ref="AJ356:AN356"/>
    <mergeCell ref="AN357:AN359"/>
    <mergeCell ref="A391:A394"/>
    <mergeCell ref="B391:B394"/>
    <mergeCell ref="C391:E391"/>
    <mergeCell ref="I391:J391"/>
    <mergeCell ref="K391:L391"/>
    <mergeCell ref="AL357:AL359"/>
    <mergeCell ref="AM357:AM359"/>
    <mergeCell ref="O358:O359"/>
    <mergeCell ref="P358:P359"/>
    <mergeCell ref="Q358:Q359"/>
    <mergeCell ref="R358:S358"/>
    <mergeCell ref="T358:T359"/>
    <mergeCell ref="U358:U359"/>
    <mergeCell ref="V358:V359"/>
    <mergeCell ref="W358:W359"/>
    <mergeCell ref="X358:X359"/>
    <mergeCell ref="Y358:Y359"/>
    <mergeCell ref="Z358:Z359"/>
    <mergeCell ref="AA358:AA359"/>
    <mergeCell ref="AB358:AB359"/>
    <mergeCell ref="AC358:AC359"/>
    <mergeCell ref="AA357:AC357"/>
    <mergeCell ref="AD357:AF357"/>
    <mergeCell ref="AG357:AI357"/>
    <mergeCell ref="C392:C394"/>
    <mergeCell ref="D392:D394"/>
    <mergeCell ref="E392:E394"/>
    <mergeCell ref="I392:I394"/>
    <mergeCell ref="J392:J394"/>
    <mergeCell ref="K392:K394"/>
    <mergeCell ref="L392:L394"/>
    <mergeCell ref="M392:M394"/>
    <mergeCell ref="N392:N394"/>
    <mergeCell ref="F392:F394"/>
    <mergeCell ref="G392:G394"/>
    <mergeCell ref="H392:H394"/>
    <mergeCell ref="AJ392:AJ394"/>
    <mergeCell ref="AK392:AK394"/>
    <mergeCell ref="AD393:AD394"/>
    <mergeCell ref="AE393:AE394"/>
    <mergeCell ref="AF393:AF394"/>
    <mergeCell ref="AG393:AG394"/>
    <mergeCell ref="AH393:AH394"/>
    <mergeCell ref="AI393:AI394"/>
    <mergeCell ref="M391:N391"/>
    <mergeCell ref="O391:W391"/>
    <mergeCell ref="X391:AI391"/>
    <mergeCell ref="O392:S392"/>
    <mergeCell ref="T392:W392"/>
    <mergeCell ref="X392:Z392"/>
    <mergeCell ref="AJ391:AN391"/>
    <mergeCell ref="AN392:AN394"/>
    <mergeCell ref="A426:A429"/>
    <mergeCell ref="B426:B429"/>
    <mergeCell ref="C426:E426"/>
    <mergeCell ref="I426:J426"/>
    <mergeCell ref="K426:L426"/>
    <mergeCell ref="AL392:AL394"/>
    <mergeCell ref="AM392:AM394"/>
    <mergeCell ref="O393:O394"/>
    <mergeCell ref="P393:P394"/>
    <mergeCell ref="Q393:Q394"/>
    <mergeCell ref="R393:S393"/>
    <mergeCell ref="T393:T394"/>
    <mergeCell ref="U393:U394"/>
    <mergeCell ref="V393:V394"/>
    <mergeCell ref="W393:W394"/>
    <mergeCell ref="X393:X394"/>
    <mergeCell ref="Y393:Y394"/>
    <mergeCell ref="Z393:Z394"/>
    <mergeCell ref="AA393:AA394"/>
    <mergeCell ref="AB393:AB394"/>
    <mergeCell ref="AC393:AC394"/>
    <mergeCell ref="AA392:AC392"/>
    <mergeCell ref="AD392:AF392"/>
    <mergeCell ref="AG392:AI392"/>
    <mergeCell ref="M426:N426"/>
    <mergeCell ref="O426:W426"/>
    <mergeCell ref="X426:AI426"/>
    <mergeCell ref="C427:C429"/>
    <mergeCell ref="D427:D429"/>
    <mergeCell ref="E427:E429"/>
    <mergeCell ref="I427:I429"/>
    <mergeCell ref="J427:J429"/>
    <mergeCell ref="K427:K429"/>
    <mergeCell ref="L427:L429"/>
    <mergeCell ref="M427:M429"/>
    <mergeCell ref="N427:N429"/>
    <mergeCell ref="O427:S427"/>
    <mergeCell ref="T427:W427"/>
    <mergeCell ref="X427:Z427"/>
    <mergeCell ref="AG428:AG429"/>
    <mergeCell ref="AH428:AH429"/>
    <mergeCell ref="AI428:AI429"/>
    <mergeCell ref="F426:H426"/>
    <mergeCell ref="F427:F429"/>
    <mergeCell ref="G427:G429"/>
    <mergeCell ref="H427:H429"/>
    <mergeCell ref="AL427:AL429"/>
    <mergeCell ref="AM427:AM429"/>
    <mergeCell ref="O428:O429"/>
    <mergeCell ref="P428:P429"/>
    <mergeCell ref="Q428:Q429"/>
    <mergeCell ref="R428:S428"/>
    <mergeCell ref="T428:T429"/>
    <mergeCell ref="U428:U429"/>
    <mergeCell ref="V428:V429"/>
    <mergeCell ref="W428:W429"/>
    <mergeCell ref="X428:X429"/>
    <mergeCell ref="Y428:Y429"/>
    <mergeCell ref="Z428:Z429"/>
    <mergeCell ref="AA428:AA429"/>
    <mergeCell ref="AB428:AB429"/>
    <mergeCell ref="AC428:AC429"/>
    <mergeCell ref="AA427:AC427"/>
    <mergeCell ref="AD427:AF427"/>
    <mergeCell ref="AG427:AI427"/>
    <mergeCell ref="AJ427:AJ429"/>
    <mergeCell ref="AK427:AK429"/>
    <mergeCell ref="AD428:AD429"/>
    <mergeCell ref="AE428:AE429"/>
    <mergeCell ref="AF428:AF429"/>
    <mergeCell ref="A216:A219"/>
    <mergeCell ref="B216:B219"/>
    <mergeCell ref="C216:E216"/>
    <mergeCell ref="I216:J216"/>
    <mergeCell ref="K216:L216"/>
    <mergeCell ref="M216:N216"/>
    <mergeCell ref="O216:W216"/>
    <mergeCell ref="X216:AI216"/>
    <mergeCell ref="C217:C219"/>
    <mergeCell ref="D217:D219"/>
    <mergeCell ref="E217:E219"/>
    <mergeCell ref="I217:I219"/>
    <mergeCell ref="J217:J219"/>
    <mergeCell ref="K217:K219"/>
    <mergeCell ref="L217:L219"/>
    <mergeCell ref="M217:M219"/>
    <mergeCell ref="N217:N219"/>
    <mergeCell ref="O217:S217"/>
    <mergeCell ref="T217:W217"/>
    <mergeCell ref="X217:Z217"/>
    <mergeCell ref="AA217:AC217"/>
    <mergeCell ref="AD217:AF217"/>
    <mergeCell ref="AG217:AI217"/>
    <mergeCell ref="F217:F219"/>
    <mergeCell ref="AJ217:AJ219"/>
    <mergeCell ref="AK217:AK219"/>
    <mergeCell ref="AL217:AL219"/>
    <mergeCell ref="AM217:AM219"/>
    <mergeCell ref="O218:O219"/>
    <mergeCell ref="P218:P219"/>
    <mergeCell ref="Q218:Q219"/>
    <mergeCell ref="R218:S218"/>
    <mergeCell ref="T218:T219"/>
    <mergeCell ref="U218:U219"/>
    <mergeCell ref="V218:V219"/>
    <mergeCell ref="W218:W219"/>
    <mergeCell ref="X218:X219"/>
    <mergeCell ref="Y218:Y219"/>
    <mergeCell ref="Z218:Z219"/>
    <mergeCell ref="AA218:AA219"/>
    <mergeCell ref="AB218:AB219"/>
    <mergeCell ref="AC218:AC219"/>
    <mergeCell ref="AD218:AD219"/>
    <mergeCell ref="AE218:AE219"/>
    <mergeCell ref="AF218:AF219"/>
    <mergeCell ref="AG218:AG219"/>
    <mergeCell ref="AH218:AH219"/>
    <mergeCell ref="AI218:AI219"/>
    <mergeCell ref="H41:H43"/>
    <mergeCell ref="F75:H75"/>
    <mergeCell ref="F76:F78"/>
    <mergeCell ref="G76:G78"/>
    <mergeCell ref="H76:H78"/>
    <mergeCell ref="F110:H110"/>
    <mergeCell ref="F111:F113"/>
    <mergeCell ref="G111:G113"/>
    <mergeCell ref="H111:H113"/>
    <mergeCell ref="F145:H145"/>
    <mergeCell ref="F146:F148"/>
    <mergeCell ref="G146:G148"/>
    <mergeCell ref="H146:H148"/>
    <mergeCell ref="F180:H180"/>
    <mergeCell ref="F181:F183"/>
    <mergeCell ref="G181:G183"/>
    <mergeCell ref="H181:H183"/>
    <mergeCell ref="F216:H216"/>
    <mergeCell ref="G217:G219"/>
    <mergeCell ref="H217:H219"/>
    <mergeCell ref="F251:H251"/>
    <mergeCell ref="F252:F254"/>
    <mergeCell ref="G252:G254"/>
    <mergeCell ref="H252:H254"/>
    <mergeCell ref="F286:H286"/>
    <mergeCell ref="F287:F289"/>
    <mergeCell ref="G287:G289"/>
    <mergeCell ref="H287:H289"/>
    <mergeCell ref="F461:H461"/>
    <mergeCell ref="F462:F464"/>
    <mergeCell ref="G462:G464"/>
    <mergeCell ref="H462:H464"/>
    <mergeCell ref="F321:H321"/>
    <mergeCell ref="F322:F324"/>
    <mergeCell ref="G322:G324"/>
    <mergeCell ref="H322:H324"/>
    <mergeCell ref="F356:H356"/>
    <mergeCell ref="F357:F359"/>
    <mergeCell ref="G357:G359"/>
    <mergeCell ref="H357:H359"/>
    <mergeCell ref="F391:H391"/>
  </mergeCells>
  <printOptions horizontalCentered="1"/>
  <pageMargins left="0.25" right="0.25" top="0.75" bottom="0.75" header="0.3" footer="0.3"/>
  <pageSetup paperSize="256" scale="52" fitToWidth="4" orientation="landscape" horizontalDpi="4294967293" r:id="rId1"/>
  <headerFooter>
    <oddFooter>&amp;C&amp;"-,Bold"&amp;14ANC Terintegrasi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tabColor theme="3" tint="0.59999389629810485"/>
  </sheetPr>
  <dimension ref="A1:AN309"/>
  <sheetViews>
    <sheetView zoomScale="80" zoomScaleNormal="80" workbookViewId="0">
      <selection activeCell="AB301" sqref="AB301"/>
    </sheetView>
  </sheetViews>
  <sheetFormatPr defaultColWidth="9.1796875" defaultRowHeight="15.5" x14ac:dyDescent="0.25"/>
  <cols>
    <col min="1" max="1" width="15.453125" style="102" customWidth="1"/>
    <col min="2" max="2" width="18.1796875" style="102" bestFit="1" customWidth="1"/>
    <col min="3" max="3" width="22" style="102" bestFit="1" customWidth="1"/>
    <col min="4" max="4" width="11.81640625" style="102" bestFit="1" customWidth="1"/>
    <col min="5" max="5" width="17.26953125" style="102" bestFit="1" customWidth="1"/>
    <col min="6" max="6" width="21.453125" style="102" bestFit="1" customWidth="1"/>
    <col min="7" max="7" width="17.7265625" style="102" bestFit="1" customWidth="1"/>
    <col min="8" max="8" width="27.54296875" style="102" customWidth="1"/>
    <col min="9" max="9" width="17.81640625" style="102" bestFit="1" customWidth="1"/>
    <col min="10" max="10" width="13.1796875" style="102" bestFit="1" customWidth="1"/>
    <col min="11" max="11" width="38.81640625" style="102" bestFit="1" customWidth="1"/>
    <col min="12" max="12" width="22.81640625" style="102" customWidth="1"/>
    <col min="13" max="13" width="24.453125" style="102" customWidth="1"/>
    <col min="14" max="14" width="16.26953125" style="102" bestFit="1" customWidth="1"/>
    <col min="15" max="15" width="14.54296875" style="102" bestFit="1" customWidth="1"/>
    <col min="16" max="16" width="21.7265625" style="102" bestFit="1" customWidth="1"/>
    <col min="17" max="17" width="8.54296875" style="102" bestFit="1" customWidth="1"/>
    <col min="18" max="18" width="12.453125" style="102" bestFit="1" customWidth="1"/>
    <col min="19" max="19" width="12.1796875" style="102" bestFit="1" customWidth="1"/>
    <col min="20" max="20" width="19.81640625" style="102" bestFit="1" customWidth="1"/>
    <col min="21" max="21" width="28.7265625" style="102" customWidth="1"/>
    <col min="22" max="22" width="25.54296875" style="102" bestFit="1" customWidth="1"/>
    <col min="23" max="23" width="28.453125" style="102" bestFit="1" customWidth="1"/>
    <col min="24" max="24" width="23.81640625" style="102" bestFit="1" customWidth="1"/>
    <col min="25" max="25" width="22.453125" style="102" bestFit="1" customWidth="1"/>
    <col min="26" max="26" width="27.81640625" style="102" bestFit="1" customWidth="1"/>
    <col min="27" max="27" width="27.81640625" style="102" customWidth="1"/>
    <col min="28" max="28" width="35.7265625" style="102" bestFit="1" customWidth="1"/>
    <col min="29" max="29" width="8.453125" style="29" bestFit="1" customWidth="1"/>
    <col min="30" max="30" width="7.54296875" style="29" bestFit="1" customWidth="1"/>
    <col min="31" max="31" width="8.453125" style="29" bestFit="1" customWidth="1"/>
    <col min="32" max="32" width="9.81640625" style="29" bestFit="1" customWidth="1"/>
    <col min="33" max="33" width="10.54296875" style="29" bestFit="1" customWidth="1"/>
    <col min="34" max="34" width="12.7265625" style="29" bestFit="1" customWidth="1"/>
    <col min="35" max="35" width="8.1796875" style="29" bestFit="1" customWidth="1"/>
    <col min="36" max="36" width="13.54296875" style="29" bestFit="1" customWidth="1"/>
    <col min="37" max="37" width="13.81640625" style="29" customWidth="1"/>
    <col min="38" max="38" width="11.1796875" style="29" bestFit="1" customWidth="1"/>
    <col min="39" max="39" width="9.7265625" style="29" bestFit="1" customWidth="1"/>
    <col min="40" max="40" width="14.1796875" style="29" bestFit="1" customWidth="1"/>
    <col min="41" max="16384" width="9.1796875" style="3"/>
  </cols>
  <sheetData>
    <row r="1" spans="1:40" x14ac:dyDescent="0.25">
      <c r="A1" s="1009" t="s">
        <v>131</v>
      </c>
      <c r="B1" s="1009"/>
      <c r="C1" s="1009"/>
      <c r="D1" s="1009"/>
      <c r="E1" s="1009"/>
      <c r="F1" s="1009"/>
      <c r="G1" s="1009"/>
      <c r="H1" s="1009"/>
      <c r="I1" s="1009"/>
      <c r="J1" s="1009"/>
      <c r="K1" s="1009"/>
      <c r="L1" s="1009"/>
      <c r="M1" s="1009"/>
      <c r="N1" s="1009"/>
      <c r="O1" s="1009"/>
      <c r="P1" s="1009"/>
      <c r="Q1" s="1009"/>
      <c r="R1" s="1009"/>
      <c r="S1" s="1009"/>
      <c r="T1" s="1009"/>
      <c r="U1" s="1009"/>
      <c r="V1" s="1009"/>
      <c r="W1" s="1009"/>
      <c r="X1" s="1009"/>
      <c r="Y1" s="1009"/>
      <c r="Z1" s="1009"/>
      <c r="AA1" s="1009"/>
      <c r="AB1" s="1009"/>
      <c r="AC1" s="1009"/>
      <c r="AD1" s="1009"/>
      <c r="AE1" s="1009"/>
      <c r="AF1" s="1009"/>
      <c r="AG1" s="1009"/>
      <c r="AH1" s="1009"/>
      <c r="AI1" s="1009"/>
      <c r="AJ1" s="1009"/>
      <c r="AK1" s="1009"/>
      <c r="AL1" s="1009"/>
      <c r="AM1" s="1009"/>
      <c r="AN1" s="1009"/>
    </row>
    <row r="2" spans="1:40" s="441" customFormat="1" x14ac:dyDescent="0.25">
      <c r="A2" s="550" t="s">
        <v>417</v>
      </c>
      <c r="B2" s="550" t="s">
        <v>149</v>
      </c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551"/>
      <c r="P2" s="551"/>
      <c r="Q2" s="551"/>
      <c r="R2" s="551"/>
      <c r="S2" s="551"/>
      <c r="T2" s="551"/>
      <c r="U2" s="551"/>
      <c r="V2" s="551"/>
      <c r="W2" s="551"/>
      <c r="X2" s="551"/>
      <c r="Y2" s="551"/>
      <c r="Z2" s="551"/>
      <c r="AA2" s="551"/>
      <c r="AB2" s="551" t="s">
        <v>149</v>
      </c>
      <c r="AC2" s="551"/>
      <c r="AD2" s="551"/>
      <c r="AE2" s="551"/>
      <c r="AF2" s="551"/>
      <c r="AG2" s="551"/>
      <c r="AH2" s="551"/>
      <c r="AI2" s="551"/>
      <c r="AJ2" s="551"/>
      <c r="AK2" s="551"/>
      <c r="AL2" s="551"/>
      <c r="AM2" s="551"/>
      <c r="AN2" s="551"/>
    </row>
    <row r="3" spans="1:40" s="441" customFormat="1" x14ac:dyDescent="0.25">
      <c r="A3" s="550" t="s">
        <v>418</v>
      </c>
      <c r="B3" s="550" t="s">
        <v>137</v>
      </c>
      <c r="C3" s="551"/>
      <c r="D3" s="551"/>
      <c r="E3" s="551"/>
      <c r="F3" s="551"/>
      <c r="G3" s="551"/>
      <c r="H3" s="551"/>
      <c r="I3" s="551"/>
      <c r="J3" s="551"/>
      <c r="K3" s="551"/>
      <c r="L3" s="551"/>
      <c r="M3" s="551"/>
      <c r="N3" s="551"/>
      <c r="O3" s="551"/>
      <c r="P3" s="551"/>
      <c r="Q3" s="551"/>
      <c r="R3" s="551"/>
      <c r="S3" s="551"/>
      <c r="T3" s="551"/>
      <c r="U3" s="551"/>
      <c r="V3" s="551"/>
      <c r="W3" s="551"/>
      <c r="X3" s="551"/>
      <c r="Y3" s="551"/>
      <c r="Z3" s="551"/>
      <c r="AA3" s="551"/>
      <c r="AB3" s="552" t="s">
        <v>393</v>
      </c>
      <c r="AC3" s="551"/>
      <c r="AD3" s="551"/>
      <c r="AE3" s="551"/>
      <c r="AF3" s="551"/>
      <c r="AG3" s="551"/>
      <c r="AH3" s="551"/>
      <c r="AI3" s="551"/>
      <c r="AJ3" s="551"/>
      <c r="AK3" s="551"/>
      <c r="AL3" s="551"/>
      <c r="AM3" s="551"/>
      <c r="AN3" s="551"/>
    </row>
    <row r="4" spans="1:40" x14ac:dyDescent="0.25">
      <c r="A4" s="550"/>
      <c r="B4" s="550"/>
      <c r="C4" s="550"/>
      <c r="D4" s="550"/>
      <c r="E4" s="550"/>
      <c r="F4" s="550"/>
      <c r="G4" s="550"/>
      <c r="H4" s="550"/>
      <c r="I4" s="550"/>
      <c r="J4" s="550"/>
      <c r="K4" s="550"/>
      <c r="L4" s="550"/>
      <c r="M4" s="550"/>
      <c r="N4" s="550"/>
      <c r="O4" s="550"/>
      <c r="P4" s="550"/>
      <c r="Q4" s="550"/>
      <c r="R4" s="550"/>
      <c r="S4" s="550"/>
      <c r="T4" s="550"/>
      <c r="U4" s="550"/>
      <c r="V4" s="550"/>
      <c r="W4" s="550"/>
      <c r="X4" s="550"/>
      <c r="Y4" s="550"/>
      <c r="Z4" s="550"/>
      <c r="AA4" s="550"/>
      <c r="AB4" s="550"/>
      <c r="AC4" s="550"/>
      <c r="AD4" s="550"/>
      <c r="AE4" s="550"/>
      <c r="AF4" s="550"/>
      <c r="AG4" s="550"/>
      <c r="AH4" s="550"/>
      <c r="AI4" s="550"/>
      <c r="AJ4" s="550"/>
      <c r="AK4" s="550"/>
      <c r="AL4" s="550"/>
      <c r="AM4" s="550"/>
      <c r="AN4" s="550"/>
    </row>
    <row r="5" spans="1:40" s="478" customFormat="1" x14ac:dyDescent="0.3">
      <c r="A5" s="998" t="s">
        <v>1</v>
      </c>
      <c r="B5" s="998" t="s">
        <v>40</v>
      </c>
      <c r="C5" s="996" t="s">
        <v>118</v>
      </c>
      <c r="D5" s="992" t="s">
        <v>119</v>
      </c>
      <c r="E5" s="992" t="s">
        <v>127</v>
      </c>
      <c r="F5" s="992" t="s">
        <v>124</v>
      </c>
      <c r="G5" s="992" t="s">
        <v>120</v>
      </c>
      <c r="H5" s="992" t="s">
        <v>215</v>
      </c>
      <c r="I5" s="992" t="s">
        <v>122</v>
      </c>
      <c r="J5" s="992" t="s">
        <v>123</v>
      </c>
      <c r="K5" s="992" t="s">
        <v>218</v>
      </c>
      <c r="L5" s="992" t="s">
        <v>126</v>
      </c>
      <c r="M5" s="992" t="s">
        <v>125</v>
      </c>
      <c r="N5" s="992" t="s">
        <v>130</v>
      </c>
      <c r="O5" s="994" t="s">
        <v>216</v>
      </c>
      <c r="P5" s="996" t="s">
        <v>121</v>
      </c>
      <c r="Q5" s="992" t="s">
        <v>45</v>
      </c>
      <c r="R5" s="994" t="s">
        <v>217</v>
      </c>
      <c r="S5" s="992" t="s">
        <v>219</v>
      </c>
      <c r="T5" s="992" t="s">
        <v>128</v>
      </c>
      <c r="U5" s="992" t="s">
        <v>221</v>
      </c>
      <c r="V5" s="992" t="s">
        <v>220</v>
      </c>
      <c r="W5" s="992" t="s">
        <v>222</v>
      </c>
      <c r="X5" s="992" t="s">
        <v>223</v>
      </c>
      <c r="Y5" s="994" t="s">
        <v>224</v>
      </c>
      <c r="Z5" s="992" t="s">
        <v>129</v>
      </c>
      <c r="AA5" s="992" t="s">
        <v>415</v>
      </c>
      <c r="AB5" s="999" t="s">
        <v>117</v>
      </c>
      <c r="AC5" s="1000" t="s">
        <v>214</v>
      </c>
      <c r="AD5" s="1000"/>
      <c r="AE5" s="1000"/>
      <c r="AF5" s="460" t="s">
        <v>204</v>
      </c>
      <c r="AG5" s="1000" t="s">
        <v>213</v>
      </c>
      <c r="AH5" s="1000"/>
      <c r="AI5" s="1001" t="s">
        <v>132</v>
      </c>
      <c r="AJ5" s="1002"/>
      <c r="AK5" s="1002"/>
      <c r="AL5" s="1003"/>
      <c r="AM5" s="460" t="s">
        <v>205</v>
      </c>
      <c r="AN5" s="1000" t="s">
        <v>206</v>
      </c>
    </row>
    <row r="6" spans="1:40" s="478" customFormat="1" x14ac:dyDescent="0.3">
      <c r="A6" s="998"/>
      <c r="B6" s="998"/>
      <c r="C6" s="997"/>
      <c r="D6" s="991"/>
      <c r="E6" s="991"/>
      <c r="F6" s="991"/>
      <c r="G6" s="991"/>
      <c r="H6" s="991"/>
      <c r="I6" s="991"/>
      <c r="J6" s="991"/>
      <c r="K6" s="991"/>
      <c r="L6" s="991"/>
      <c r="M6" s="991"/>
      <c r="N6" s="991"/>
      <c r="O6" s="995"/>
      <c r="P6" s="997"/>
      <c r="Q6" s="991"/>
      <c r="R6" s="995"/>
      <c r="S6" s="991"/>
      <c r="T6" s="991"/>
      <c r="U6" s="991"/>
      <c r="V6" s="991"/>
      <c r="W6" s="991"/>
      <c r="X6" s="991"/>
      <c r="Y6" s="995"/>
      <c r="Z6" s="991"/>
      <c r="AA6" s="991"/>
      <c r="AB6" s="999"/>
      <c r="AC6" s="462" t="s">
        <v>193</v>
      </c>
      <c r="AD6" s="462" t="s">
        <v>192</v>
      </c>
      <c r="AE6" s="462" t="s">
        <v>191</v>
      </c>
      <c r="AF6" s="461" t="s">
        <v>207</v>
      </c>
      <c r="AG6" s="462" t="s">
        <v>208</v>
      </c>
      <c r="AH6" s="462" t="s">
        <v>209</v>
      </c>
      <c r="AI6" s="462" t="s">
        <v>210</v>
      </c>
      <c r="AJ6" s="462" t="s">
        <v>211</v>
      </c>
      <c r="AK6" s="462" t="s">
        <v>88</v>
      </c>
      <c r="AL6" s="462" t="s">
        <v>18</v>
      </c>
      <c r="AM6" s="461" t="s">
        <v>212</v>
      </c>
      <c r="AN6" s="1000"/>
    </row>
    <row r="7" spans="1:40" s="389" customFormat="1" x14ac:dyDescent="0.35">
      <c r="A7" s="463">
        <v>1</v>
      </c>
      <c r="B7" s="472" t="str">
        <f>[1]PETUNJUK!B9</f>
        <v>Kedung I</v>
      </c>
      <c r="C7" s="476"/>
      <c r="D7" s="476"/>
      <c r="E7" s="476"/>
      <c r="F7" s="476"/>
      <c r="G7" s="476"/>
      <c r="H7" s="476"/>
      <c r="I7" s="476"/>
      <c r="J7" s="476"/>
      <c r="K7" s="476"/>
      <c r="L7" s="476"/>
      <c r="M7" s="476"/>
      <c r="N7" s="476"/>
      <c r="O7" s="476"/>
      <c r="P7" s="476"/>
      <c r="Q7" s="476"/>
      <c r="R7" s="476"/>
      <c r="S7" s="476"/>
      <c r="T7" s="476"/>
      <c r="U7" s="476"/>
      <c r="V7" s="476"/>
      <c r="W7" s="476"/>
      <c r="X7" s="476"/>
      <c r="Y7" s="476"/>
      <c r="Z7" s="476"/>
      <c r="AA7" s="476"/>
      <c r="AB7" s="477">
        <f>SUM(C7:AA7)</f>
        <v>0</v>
      </c>
      <c r="AC7" s="477"/>
      <c r="AD7" s="477"/>
      <c r="AE7" s="477"/>
      <c r="AF7" s="477"/>
      <c r="AG7" s="477"/>
      <c r="AH7" s="477"/>
      <c r="AI7" s="477"/>
      <c r="AJ7" s="477"/>
      <c r="AK7" s="477"/>
      <c r="AL7" s="477"/>
      <c r="AM7" s="477"/>
      <c r="AN7" s="477"/>
    </row>
    <row r="8" spans="1:40" s="389" customFormat="1" x14ac:dyDescent="0.35">
      <c r="A8" s="463">
        <v>2</v>
      </c>
      <c r="B8" s="472" t="str">
        <f>[1]PETUNJUK!B11</f>
        <v>Pecangaan</v>
      </c>
      <c r="C8" s="476"/>
      <c r="D8" s="476"/>
      <c r="E8" s="476"/>
      <c r="F8" s="476"/>
      <c r="G8" s="476"/>
      <c r="H8" s="476"/>
      <c r="I8" s="476"/>
      <c r="J8" s="476"/>
      <c r="K8" s="476"/>
      <c r="L8" s="476"/>
      <c r="M8" s="476"/>
      <c r="N8" s="476"/>
      <c r="O8" s="476"/>
      <c r="P8" s="476"/>
      <c r="Q8" s="476"/>
      <c r="R8" s="476"/>
      <c r="S8" s="476"/>
      <c r="T8" s="476"/>
      <c r="U8" s="476"/>
      <c r="V8" s="476"/>
      <c r="W8" s="476"/>
      <c r="X8" s="476"/>
      <c r="Y8" s="476"/>
      <c r="Z8" s="476"/>
      <c r="AA8" s="477"/>
      <c r="AB8" s="477">
        <f t="shared" ref="AB8:AB21" si="0">SUM(C8:AA8)</f>
        <v>0</v>
      </c>
      <c r="AC8" s="477"/>
      <c r="AD8" s="477"/>
      <c r="AE8" s="477"/>
      <c r="AF8" s="477"/>
      <c r="AG8" s="477"/>
      <c r="AH8" s="477"/>
      <c r="AI8" s="477"/>
      <c r="AJ8" s="477"/>
      <c r="AK8" s="477"/>
      <c r="AL8" s="477"/>
      <c r="AM8" s="477"/>
      <c r="AN8" s="477"/>
    </row>
    <row r="9" spans="1:40" s="389" customFormat="1" x14ac:dyDescent="0.35">
      <c r="A9" s="463">
        <v>3</v>
      </c>
      <c r="B9" s="472" t="str">
        <f>[1]PETUNJUK!B12</f>
        <v>Welahan I</v>
      </c>
      <c r="C9" s="476"/>
      <c r="D9" s="476"/>
      <c r="E9" s="476"/>
      <c r="F9" s="476"/>
      <c r="G9" s="476"/>
      <c r="H9" s="476"/>
      <c r="I9" s="476"/>
      <c r="J9" s="476"/>
      <c r="K9" s="476"/>
      <c r="L9" s="476"/>
      <c r="M9" s="476"/>
      <c r="N9" s="476"/>
      <c r="O9" s="476"/>
      <c r="P9" s="476"/>
      <c r="Q9" s="476"/>
      <c r="R9" s="476"/>
      <c r="S9" s="476"/>
      <c r="T9" s="476"/>
      <c r="U9" s="476"/>
      <c r="V9" s="476"/>
      <c r="W9" s="476"/>
      <c r="X9" s="476"/>
      <c r="Y9" s="476"/>
      <c r="Z9" s="476"/>
      <c r="AA9" s="477"/>
      <c r="AB9" s="477">
        <f t="shared" si="0"/>
        <v>0</v>
      </c>
      <c r="AC9" s="477"/>
      <c r="AD9" s="477"/>
      <c r="AE9" s="477"/>
      <c r="AF9" s="477"/>
      <c r="AG9" s="477"/>
      <c r="AH9" s="477"/>
      <c r="AI9" s="477"/>
      <c r="AJ9" s="477"/>
      <c r="AK9" s="477"/>
      <c r="AL9" s="477"/>
      <c r="AM9" s="477"/>
      <c r="AN9" s="477"/>
    </row>
    <row r="10" spans="1:40" s="389" customFormat="1" x14ac:dyDescent="0.35">
      <c r="A10" s="463">
        <v>4</v>
      </c>
      <c r="B10" s="472" t="str">
        <f>[1]PETUNJUK!B13</f>
        <v>Welahan II</v>
      </c>
      <c r="C10" s="476"/>
      <c r="D10" s="476"/>
      <c r="E10" s="476"/>
      <c r="F10" s="476"/>
      <c r="G10" s="476"/>
      <c r="H10" s="476"/>
      <c r="I10" s="476"/>
      <c r="J10" s="476"/>
      <c r="K10" s="476"/>
      <c r="L10" s="476"/>
      <c r="M10" s="476"/>
      <c r="N10" s="476"/>
      <c r="O10" s="476"/>
      <c r="P10" s="476"/>
      <c r="Q10" s="476"/>
      <c r="R10" s="476"/>
      <c r="S10" s="476"/>
      <c r="T10" s="476"/>
      <c r="U10" s="476"/>
      <c r="V10" s="476"/>
      <c r="W10" s="476"/>
      <c r="X10" s="476"/>
      <c r="Y10" s="476"/>
      <c r="Z10" s="476"/>
      <c r="AA10" s="477"/>
      <c r="AB10" s="477">
        <f t="shared" si="0"/>
        <v>0</v>
      </c>
      <c r="AC10" s="477"/>
      <c r="AD10" s="477"/>
      <c r="AE10" s="477"/>
      <c r="AF10" s="477"/>
      <c r="AG10" s="477"/>
      <c r="AH10" s="477"/>
      <c r="AI10" s="477"/>
      <c r="AJ10" s="477"/>
      <c r="AK10" s="477"/>
      <c r="AL10" s="477"/>
      <c r="AM10" s="477"/>
      <c r="AN10" s="477"/>
    </row>
    <row r="11" spans="1:40" s="389" customFormat="1" x14ac:dyDescent="0.35">
      <c r="A11" s="463">
        <v>5</v>
      </c>
      <c r="B11" s="472" t="str">
        <f>[1]PETUNJUK!B14</f>
        <v>Mayong I</v>
      </c>
      <c r="C11" s="477"/>
      <c r="D11" s="477"/>
      <c r="E11" s="477"/>
      <c r="F11" s="477"/>
      <c r="G11" s="477"/>
      <c r="H11" s="477"/>
      <c r="I11" s="477"/>
      <c r="J11" s="477"/>
      <c r="K11" s="477"/>
      <c r="L11" s="477"/>
      <c r="M11" s="477"/>
      <c r="N11" s="477"/>
      <c r="O11" s="477"/>
      <c r="P11" s="477"/>
      <c r="Q11" s="477"/>
      <c r="R11" s="477"/>
      <c r="S11" s="477"/>
      <c r="T11" s="477"/>
      <c r="U11" s="477"/>
      <c r="V11" s="477"/>
      <c r="W11" s="477"/>
      <c r="X11" s="477"/>
      <c r="Y11" s="477"/>
      <c r="Z11" s="477"/>
      <c r="AA11" s="477"/>
      <c r="AB11" s="477">
        <f t="shared" si="0"/>
        <v>0</v>
      </c>
      <c r="AC11" s="477"/>
      <c r="AD11" s="477"/>
      <c r="AE11" s="477"/>
      <c r="AF11" s="477"/>
      <c r="AG11" s="477"/>
      <c r="AH11" s="477"/>
      <c r="AI11" s="477"/>
      <c r="AJ11" s="477"/>
      <c r="AK11" s="477"/>
      <c r="AL11" s="477"/>
      <c r="AM11" s="477"/>
      <c r="AN11" s="477"/>
    </row>
    <row r="12" spans="1:40" s="389" customFormat="1" x14ac:dyDescent="0.35">
      <c r="A12" s="463">
        <v>6</v>
      </c>
      <c r="B12" s="473" t="s">
        <v>414</v>
      </c>
      <c r="C12" s="476"/>
      <c r="D12" s="476"/>
      <c r="E12" s="476"/>
      <c r="F12" s="476"/>
      <c r="G12" s="476"/>
      <c r="H12" s="476"/>
      <c r="I12" s="476"/>
      <c r="J12" s="476"/>
      <c r="K12" s="476"/>
      <c r="L12" s="476"/>
      <c r="M12" s="476"/>
      <c r="N12" s="476"/>
      <c r="O12" s="476"/>
      <c r="P12" s="476"/>
      <c r="Q12" s="476"/>
      <c r="R12" s="476"/>
      <c r="S12" s="476"/>
      <c r="T12" s="476"/>
      <c r="U12" s="476"/>
      <c r="V12" s="476"/>
      <c r="W12" s="476"/>
      <c r="X12" s="476"/>
      <c r="Y12" s="476"/>
      <c r="Z12" s="476"/>
      <c r="AA12" s="477"/>
      <c r="AB12" s="477">
        <f t="shared" si="0"/>
        <v>0</v>
      </c>
      <c r="AC12" s="477"/>
      <c r="AD12" s="477"/>
      <c r="AE12" s="477"/>
      <c r="AF12" s="477"/>
      <c r="AG12" s="477"/>
      <c r="AH12" s="477"/>
      <c r="AI12" s="477"/>
      <c r="AJ12" s="477"/>
      <c r="AK12" s="477"/>
      <c r="AL12" s="477"/>
      <c r="AM12" s="477"/>
      <c r="AN12" s="477"/>
    </row>
    <row r="13" spans="1:40" s="389" customFormat="1" x14ac:dyDescent="0.35">
      <c r="A13" s="463">
        <v>7</v>
      </c>
      <c r="B13" s="472" t="str">
        <f>[1]PETUNJUK!B16</f>
        <v>Batealit</v>
      </c>
      <c r="C13" s="476"/>
      <c r="D13" s="476"/>
      <c r="E13" s="476"/>
      <c r="F13" s="476"/>
      <c r="G13" s="476"/>
      <c r="H13" s="476"/>
      <c r="I13" s="476"/>
      <c r="J13" s="476"/>
      <c r="K13" s="476"/>
      <c r="L13" s="476"/>
      <c r="M13" s="476"/>
      <c r="N13" s="476"/>
      <c r="O13" s="476"/>
      <c r="P13" s="476"/>
      <c r="Q13" s="476"/>
      <c r="R13" s="476"/>
      <c r="S13" s="476"/>
      <c r="T13" s="476"/>
      <c r="U13" s="476"/>
      <c r="V13" s="476"/>
      <c r="W13" s="476"/>
      <c r="X13" s="476"/>
      <c r="Y13" s="476"/>
      <c r="Z13" s="476"/>
      <c r="AA13" s="477"/>
      <c r="AB13" s="477">
        <f t="shared" si="0"/>
        <v>0</v>
      </c>
      <c r="AC13" s="477"/>
      <c r="AD13" s="477"/>
      <c r="AE13" s="477"/>
      <c r="AF13" s="477"/>
      <c r="AG13" s="477"/>
      <c r="AH13" s="477"/>
      <c r="AI13" s="477"/>
      <c r="AJ13" s="477"/>
      <c r="AK13" s="477"/>
      <c r="AL13" s="477"/>
      <c r="AM13" s="477"/>
      <c r="AN13" s="477"/>
    </row>
    <row r="14" spans="1:40" s="389" customFormat="1" x14ac:dyDescent="0.35">
      <c r="A14" s="463">
        <v>8</v>
      </c>
      <c r="B14" s="472" t="str">
        <f>[1]PETUNJUK!B18</f>
        <v>Mlonggo</v>
      </c>
      <c r="C14" s="561"/>
      <c r="D14" s="561"/>
      <c r="E14" s="561"/>
      <c r="F14" s="561"/>
      <c r="G14" s="561"/>
      <c r="H14" s="561"/>
      <c r="I14" s="561"/>
      <c r="J14" s="561"/>
      <c r="K14" s="561"/>
      <c r="L14" s="561"/>
      <c r="M14" s="561"/>
      <c r="N14" s="561"/>
      <c r="O14" s="561"/>
      <c r="P14" s="561"/>
      <c r="Q14" s="561"/>
      <c r="R14" s="561"/>
      <c r="S14" s="561"/>
      <c r="T14" s="561"/>
      <c r="U14" s="561"/>
      <c r="V14" s="561"/>
      <c r="W14" s="561"/>
      <c r="X14" s="561"/>
      <c r="Y14" s="561"/>
      <c r="Z14" s="561"/>
      <c r="AA14" s="477"/>
      <c r="AB14" s="477">
        <f t="shared" si="0"/>
        <v>0</v>
      </c>
      <c r="AC14" s="477"/>
      <c r="AD14" s="477"/>
      <c r="AE14" s="477"/>
      <c r="AF14" s="477"/>
      <c r="AG14" s="477"/>
      <c r="AH14" s="477"/>
      <c r="AI14" s="477"/>
      <c r="AJ14" s="477"/>
      <c r="AK14" s="477"/>
      <c r="AL14" s="477"/>
      <c r="AM14" s="477"/>
      <c r="AN14" s="477"/>
    </row>
    <row r="15" spans="1:40" s="389" customFormat="1" x14ac:dyDescent="0.35">
      <c r="A15" s="463">
        <v>9</v>
      </c>
      <c r="B15" s="472" t="str">
        <f>[1]PETUNJUK!B19</f>
        <v>Pakis Aji</v>
      </c>
      <c r="C15" s="476"/>
      <c r="D15" s="476"/>
      <c r="E15" s="476"/>
      <c r="F15" s="476"/>
      <c r="G15" s="476"/>
      <c r="H15" s="476"/>
      <c r="I15" s="476"/>
      <c r="J15" s="476"/>
      <c r="K15" s="476"/>
      <c r="L15" s="476"/>
      <c r="M15" s="476"/>
      <c r="N15" s="476"/>
      <c r="O15" s="476"/>
      <c r="P15" s="476"/>
      <c r="Q15" s="476"/>
      <c r="R15" s="476"/>
      <c r="S15" s="476"/>
      <c r="T15" s="476"/>
      <c r="U15" s="476"/>
      <c r="V15" s="476"/>
      <c r="W15" s="476"/>
      <c r="X15" s="476"/>
      <c r="Y15" s="476"/>
      <c r="Z15" s="476"/>
      <c r="AA15" s="477"/>
      <c r="AB15" s="477">
        <f t="shared" si="0"/>
        <v>0</v>
      </c>
      <c r="AC15" s="477"/>
      <c r="AD15" s="477"/>
      <c r="AE15" s="477"/>
      <c r="AF15" s="477"/>
      <c r="AG15" s="477"/>
      <c r="AH15" s="477"/>
      <c r="AI15" s="477"/>
      <c r="AJ15" s="477"/>
      <c r="AK15" s="477"/>
      <c r="AL15" s="477"/>
      <c r="AM15" s="477"/>
      <c r="AN15" s="477"/>
    </row>
    <row r="16" spans="1:40" s="389" customFormat="1" x14ac:dyDescent="0.35">
      <c r="A16" s="463">
        <v>10</v>
      </c>
      <c r="B16" s="472" t="str">
        <f>[1]PETUNJUK!B20</f>
        <v>Bangsri I</v>
      </c>
      <c r="C16" s="476"/>
      <c r="D16" s="476"/>
      <c r="E16" s="476"/>
      <c r="F16" s="476"/>
      <c r="G16" s="476"/>
      <c r="H16" s="476"/>
      <c r="I16" s="476"/>
      <c r="J16" s="476"/>
      <c r="K16" s="476"/>
      <c r="L16" s="476"/>
      <c r="M16" s="476"/>
      <c r="N16" s="476"/>
      <c r="O16" s="476"/>
      <c r="P16" s="476"/>
      <c r="Q16" s="476"/>
      <c r="R16" s="476"/>
      <c r="S16" s="476"/>
      <c r="T16" s="476"/>
      <c r="U16" s="476"/>
      <c r="V16" s="476"/>
      <c r="W16" s="476"/>
      <c r="X16" s="476"/>
      <c r="Y16" s="476"/>
      <c r="Z16" s="476"/>
      <c r="AA16" s="477"/>
      <c r="AB16" s="477">
        <f t="shared" si="0"/>
        <v>0</v>
      </c>
      <c r="AC16" s="477"/>
      <c r="AD16" s="477"/>
      <c r="AE16" s="477"/>
      <c r="AF16" s="477"/>
      <c r="AG16" s="477"/>
      <c r="AH16" s="477"/>
      <c r="AI16" s="477"/>
      <c r="AJ16" s="477"/>
      <c r="AK16" s="477"/>
      <c r="AL16" s="477"/>
      <c r="AM16" s="477"/>
      <c r="AN16" s="477"/>
    </row>
    <row r="17" spans="1:40" s="389" customFormat="1" x14ac:dyDescent="0.35">
      <c r="A17" s="463">
        <v>11</v>
      </c>
      <c r="B17" s="472" t="str">
        <f>[1]PETUNJUK!B22</f>
        <v>Keling I</v>
      </c>
      <c r="C17" s="476"/>
      <c r="D17" s="476"/>
      <c r="E17" s="476"/>
      <c r="F17" s="476"/>
      <c r="G17" s="476"/>
      <c r="H17" s="476"/>
      <c r="I17" s="476"/>
      <c r="J17" s="476"/>
      <c r="K17" s="476"/>
      <c r="L17" s="476"/>
      <c r="M17" s="476"/>
      <c r="N17" s="476"/>
      <c r="O17" s="476"/>
      <c r="P17" s="476"/>
      <c r="Q17" s="476"/>
      <c r="R17" s="476"/>
      <c r="S17" s="476"/>
      <c r="T17" s="476"/>
      <c r="U17" s="476"/>
      <c r="V17" s="476"/>
      <c r="W17" s="476"/>
      <c r="X17" s="476"/>
      <c r="Y17" s="476"/>
      <c r="Z17" s="476"/>
      <c r="AA17" s="477"/>
      <c r="AB17" s="477">
        <f t="shared" si="0"/>
        <v>0</v>
      </c>
      <c r="AC17" s="477"/>
      <c r="AD17" s="477"/>
      <c r="AE17" s="477"/>
      <c r="AF17" s="477"/>
      <c r="AG17" s="477"/>
      <c r="AH17" s="477"/>
      <c r="AI17" s="477"/>
      <c r="AJ17" s="477"/>
      <c r="AK17" s="477"/>
      <c r="AL17" s="477"/>
      <c r="AM17" s="477"/>
      <c r="AN17" s="477"/>
    </row>
    <row r="18" spans="1:40" s="389" customFormat="1" x14ac:dyDescent="0.35">
      <c r="A18" s="463">
        <v>12</v>
      </c>
      <c r="B18" s="472" t="str">
        <f>[1]PETUNJUK!B24</f>
        <v>Karimunjawa</v>
      </c>
      <c r="C18" s="476"/>
      <c r="D18" s="476"/>
      <c r="E18" s="476"/>
      <c r="F18" s="476"/>
      <c r="G18" s="476"/>
      <c r="H18" s="476"/>
      <c r="I18" s="476"/>
      <c r="J18" s="476"/>
      <c r="K18" s="476"/>
      <c r="L18" s="476"/>
      <c r="M18" s="476"/>
      <c r="N18" s="476"/>
      <c r="O18" s="476"/>
      <c r="P18" s="476"/>
      <c r="Q18" s="476"/>
      <c r="R18" s="476"/>
      <c r="S18" s="476"/>
      <c r="T18" s="476"/>
      <c r="U18" s="476"/>
      <c r="V18" s="476"/>
      <c r="W18" s="476"/>
      <c r="X18" s="476"/>
      <c r="Y18" s="476"/>
      <c r="Z18" s="476"/>
      <c r="AA18" s="477"/>
      <c r="AB18" s="477">
        <f t="shared" si="0"/>
        <v>0</v>
      </c>
      <c r="AC18" s="477"/>
      <c r="AD18" s="477"/>
      <c r="AE18" s="477"/>
      <c r="AF18" s="477"/>
      <c r="AG18" s="477"/>
      <c r="AH18" s="477"/>
      <c r="AI18" s="477"/>
      <c r="AJ18" s="477"/>
      <c r="AK18" s="477"/>
      <c r="AL18" s="477"/>
      <c r="AM18" s="477"/>
      <c r="AN18" s="477"/>
    </row>
    <row r="19" spans="1:40" s="389" customFormat="1" x14ac:dyDescent="0.35">
      <c r="A19" s="463">
        <v>13</v>
      </c>
      <c r="B19" s="472" t="str">
        <f>[1]PETUNJUK!B26</f>
        <v>Nalumsari I</v>
      </c>
      <c r="C19" s="476"/>
      <c r="D19" s="476"/>
      <c r="E19" s="476"/>
      <c r="F19" s="476"/>
      <c r="G19" s="476"/>
      <c r="H19" s="476"/>
      <c r="I19" s="476"/>
      <c r="J19" s="476"/>
      <c r="K19" s="476"/>
      <c r="L19" s="476"/>
      <c r="M19" s="476"/>
      <c r="N19" s="476"/>
      <c r="O19" s="476"/>
      <c r="P19" s="476"/>
      <c r="Q19" s="476"/>
      <c r="R19" s="476"/>
      <c r="S19" s="476"/>
      <c r="T19" s="476"/>
      <c r="U19" s="476"/>
      <c r="V19" s="476"/>
      <c r="W19" s="476"/>
      <c r="X19" s="476"/>
      <c r="Y19" s="476"/>
      <c r="Z19" s="476"/>
      <c r="AA19" s="477"/>
      <c r="AB19" s="477">
        <f t="shared" si="0"/>
        <v>0</v>
      </c>
      <c r="AC19" s="477"/>
      <c r="AD19" s="477"/>
      <c r="AE19" s="477"/>
      <c r="AF19" s="477"/>
      <c r="AG19" s="477"/>
      <c r="AH19" s="477"/>
      <c r="AI19" s="477"/>
      <c r="AJ19" s="477"/>
      <c r="AK19" s="477"/>
      <c r="AL19" s="477"/>
      <c r="AM19" s="477"/>
      <c r="AN19" s="477"/>
    </row>
    <row r="20" spans="1:40" s="389" customFormat="1" x14ac:dyDescent="0.35">
      <c r="A20" s="463">
        <v>14</v>
      </c>
      <c r="B20" s="472" t="str">
        <f>[1]PETUNJUK!B28</f>
        <v>Kalinyamatan</v>
      </c>
      <c r="C20" s="476"/>
      <c r="D20" s="476"/>
      <c r="E20" s="476"/>
      <c r="F20" s="476"/>
      <c r="G20" s="476"/>
      <c r="H20" s="476"/>
      <c r="I20" s="476"/>
      <c r="J20" s="476"/>
      <c r="K20" s="476"/>
      <c r="L20" s="476"/>
      <c r="M20" s="476"/>
      <c r="N20" s="476"/>
      <c r="O20" s="476"/>
      <c r="P20" s="476"/>
      <c r="Q20" s="476"/>
      <c r="R20" s="476"/>
      <c r="S20" s="476"/>
      <c r="T20" s="476"/>
      <c r="U20" s="476"/>
      <c r="V20" s="476"/>
      <c r="W20" s="476"/>
      <c r="X20" s="476"/>
      <c r="Y20" s="476"/>
      <c r="Z20" s="476"/>
      <c r="AA20" s="477"/>
      <c r="AB20" s="477">
        <f t="shared" si="0"/>
        <v>0</v>
      </c>
      <c r="AC20" s="477"/>
      <c r="AD20" s="477"/>
      <c r="AE20" s="477"/>
      <c r="AF20" s="477"/>
      <c r="AG20" s="477"/>
      <c r="AH20" s="477"/>
      <c r="AI20" s="477"/>
      <c r="AJ20" s="477"/>
      <c r="AK20" s="477"/>
      <c r="AL20" s="477"/>
      <c r="AM20" s="477"/>
      <c r="AN20" s="477"/>
    </row>
    <row r="21" spans="1:40" s="389" customFormat="1" x14ac:dyDescent="0.35">
      <c r="A21" s="463">
        <v>15</v>
      </c>
      <c r="B21" s="472" t="str">
        <f>[1]PETUNJUK!B30</f>
        <v>Donorojo</v>
      </c>
      <c r="C21" s="477"/>
      <c r="D21" s="477"/>
      <c r="E21" s="477"/>
      <c r="F21" s="477"/>
      <c r="G21" s="477"/>
      <c r="H21" s="477"/>
      <c r="I21" s="477"/>
      <c r="J21" s="477"/>
      <c r="K21" s="477"/>
      <c r="L21" s="477"/>
      <c r="M21" s="477"/>
      <c r="N21" s="477"/>
      <c r="O21" s="477"/>
      <c r="P21" s="477"/>
      <c r="Q21" s="477"/>
      <c r="R21" s="477"/>
      <c r="S21" s="477"/>
      <c r="T21" s="477"/>
      <c r="U21" s="477"/>
      <c r="V21" s="477"/>
      <c r="W21" s="477"/>
      <c r="X21" s="477"/>
      <c r="Y21" s="477"/>
      <c r="Z21" s="477"/>
      <c r="AA21" s="477"/>
      <c r="AB21" s="477">
        <f t="shared" si="0"/>
        <v>0</v>
      </c>
      <c r="AC21" s="477"/>
      <c r="AD21" s="477"/>
      <c r="AE21" s="477"/>
      <c r="AF21" s="477"/>
      <c r="AG21" s="477"/>
      <c r="AH21" s="477"/>
      <c r="AI21" s="477"/>
      <c r="AJ21" s="477"/>
      <c r="AK21" s="477"/>
      <c r="AL21" s="477"/>
      <c r="AM21" s="477"/>
      <c r="AN21" s="477"/>
    </row>
    <row r="22" spans="1:40" s="479" customFormat="1" x14ac:dyDescent="0.3">
      <c r="A22" s="465"/>
      <c r="B22" s="466" t="s">
        <v>18</v>
      </c>
      <c r="C22" s="501">
        <f>SUM(C7:C21)</f>
        <v>0</v>
      </c>
      <c r="D22" s="501">
        <f t="shared" ref="D22:AA22" si="1">SUM(D7:D21)</f>
        <v>0</v>
      </c>
      <c r="E22" s="501">
        <f t="shared" si="1"/>
        <v>0</v>
      </c>
      <c r="F22" s="501">
        <f t="shared" si="1"/>
        <v>0</v>
      </c>
      <c r="G22" s="501">
        <f t="shared" si="1"/>
        <v>0</v>
      </c>
      <c r="H22" s="501">
        <f t="shared" si="1"/>
        <v>0</v>
      </c>
      <c r="I22" s="501">
        <f t="shared" si="1"/>
        <v>0</v>
      </c>
      <c r="J22" s="501">
        <f t="shared" si="1"/>
        <v>0</v>
      </c>
      <c r="K22" s="501">
        <f t="shared" si="1"/>
        <v>0</v>
      </c>
      <c r="L22" s="501">
        <f t="shared" si="1"/>
        <v>0</v>
      </c>
      <c r="M22" s="501">
        <f t="shared" si="1"/>
        <v>0</v>
      </c>
      <c r="N22" s="501">
        <f t="shared" si="1"/>
        <v>0</v>
      </c>
      <c r="O22" s="501">
        <f t="shared" si="1"/>
        <v>0</v>
      </c>
      <c r="P22" s="501">
        <f t="shared" si="1"/>
        <v>0</v>
      </c>
      <c r="Q22" s="501">
        <f t="shared" si="1"/>
        <v>0</v>
      </c>
      <c r="R22" s="501">
        <f t="shared" si="1"/>
        <v>0</v>
      </c>
      <c r="S22" s="501">
        <f t="shared" si="1"/>
        <v>0</v>
      </c>
      <c r="T22" s="501">
        <f t="shared" si="1"/>
        <v>0</v>
      </c>
      <c r="U22" s="501">
        <f t="shared" si="1"/>
        <v>0</v>
      </c>
      <c r="V22" s="501">
        <f t="shared" si="1"/>
        <v>0</v>
      </c>
      <c r="W22" s="501">
        <f t="shared" si="1"/>
        <v>0</v>
      </c>
      <c r="X22" s="501">
        <f t="shared" si="1"/>
        <v>0</v>
      </c>
      <c r="Y22" s="501">
        <f t="shared" si="1"/>
        <v>0</v>
      </c>
      <c r="Z22" s="501">
        <f t="shared" si="1"/>
        <v>0</v>
      </c>
      <c r="AA22" s="501">
        <f t="shared" si="1"/>
        <v>0</v>
      </c>
      <c r="AB22" s="502">
        <f t="shared" ref="AB22:AN22" si="2">SUM(AB7:AB21)</f>
        <v>0</v>
      </c>
      <c r="AC22" s="502">
        <f t="shared" si="2"/>
        <v>0</v>
      </c>
      <c r="AD22" s="502">
        <f t="shared" si="2"/>
        <v>0</v>
      </c>
      <c r="AE22" s="502">
        <f t="shared" si="2"/>
        <v>0</v>
      </c>
      <c r="AF22" s="502">
        <f t="shared" si="2"/>
        <v>0</v>
      </c>
      <c r="AG22" s="502">
        <f t="shared" si="2"/>
        <v>0</v>
      </c>
      <c r="AH22" s="502">
        <f t="shared" si="2"/>
        <v>0</v>
      </c>
      <c r="AI22" s="502">
        <f t="shared" si="2"/>
        <v>0</v>
      </c>
      <c r="AJ22" s="502">
        <f t="shared" si="2"/>
        <v>0</v>
      </c>
      <c r="AK22" s="502">
        <f t="shared" si="2"/>
        <v>0</v>
      </c>
      <c r="AL22" s="502">
        <f t="shared" si="2"/>
        <v>0</v>
      </c>
      <c r="AM22" s="502">
        <f t="shared" si="2"/>
        <v>0</v>
      </c>
      <c r="AN22" s="502">
        <f t="shared" si="2"/>
        <v>0</v>
      </c>
    </row>
    <row r="23" spans="1:40" s="479" customFormat="1" x14ac:dyDescent="0.3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</row>
    <row r="24" spans="1:40" s="479" customFormat="1" x14ac:dyDescent="0.3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</row>
    <row r="25" spans="1:40" s="479" customFormat="1" x14ac:dyDescent="0.3">
      <c r="A25" s="993" t="s">
        <v>131</v>
      </c>
      <c r="B25" s="993"/>
      <c r="C25" s="993"/>
      <c r="D25" s="993"/>
      <c r="E25" s="993"/>
      <c r="F25" s="993"/>
      <c r="G25" s="993"/>
      <c r="H25" s="993"/>
      <c r="I25" s="993"/>
      <c r="J25" s="993"/>
      <c r="K25" s="993"/>
      <c r="L25" s="993"/>
      <c r="M25" s="993"/>
      <c r="N25" s="993"/>
      <c r="O25" s="993"/>
      <c r="P25" s="993"/>
      <c r="Q25" s="993"/>
      <c r="R25" s="993"/>
      <c r="S25" s="993"/>
      <c r="T25" s="993"/>
      <c r="U25" s="993"/>
      <c r="V25" s="993"/>
      <c r="W25" s="993"/>
      <c r="X25" s="993"/>
      <c r="Y25" s="993"/>
      <c r="Z25" s="993"/>
      <c r="AA25" s="993"/>
      <c r="AB25" s="993"/>
      <c r="AC25" s="993"/>
      <c r="AD25" s="993"/>
      <c r="AE25" s="993"/>
      <c r="AF25" s="993"/>
      <c r="AG25" s="993"/>
      <c r="AH25" s="993"/>
      <c r="AI25" s="993"/>
      <c r="AJ25" s="993"/>
      <c r="AK25" s="993"/>
      <c r="AL25" s="993"/>
      <c r="AM25" s="993"/>
      <c r="AN25" s="993"/>
    </row>
    <row r="26" spans="1:40" s="479" customFormat="1" x14ac:dyDescent="0.3">
      <c r="A26" s="553" t="s">
        <v>292</v>
      </c>
      <c r="B26" s="30" t="s">
        <v>149</v>
      </c>
      <c r="C26" s="554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 t="s">
        <v>149</v>
      </c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</row>
    <row r="27" spans="1:40" s="479" customFormat="1" x14ac:dyDescent="0.3">
      <c r="A27" s="553" t="s">
        <v>226</v>
      </c>
      <c r="B27" s="30" t="s">
        <v>416</v>
      </c>
      <c r="C27" s="554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555" t="s">
        <v>412</v>
      </c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</row>
    <row r="28" spans="1:40" s="479" customFormat="1" x14ac:dyDescent="0.3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</row>
    <row r="29" spans="1:40" s="479" customFormat="1" ht="17.5" customHeight="1" x14ac:dyDescent="0.3">
      <c r="A29" s="996" t="s">
        <v>1</v>
      </c>
      <c r="B29" s="996" t="s">
        <v>40</v>
      </c>
      <c r="C29" s="996" t="s">
        <v>118</v>
      </c>
      <c r="D29" s="992" t="s">
        <v>119</v>
      </c>
      <c r="E29" s="992" t="s">
        <v>127</v>
      </c>
      <c r="F29" s="992" t="s">
        <v>124</v>
      </c>
      <c r="G29" s="992" t="s">
        <v>120</v>
      </c>
      <c r="H29" s="992" t="s">
        <v>215</v>
      </c>
      <c r="I29" s="992" t="s">
        <v>122</v>
      </c>
      <c r="J29" s="992" t="s">
        <v>123</v>
      </c>
      <c r="K29" s="992" t="s">
        <v>218</v>
      </c>
      <c r="L29" s="992" t="s">
        <v>126</v>
      </c>
      <c r="M29" s="992" t="s">
        <v>125</v>
      </c>
      <c r="N29" s="992" t="s">
        <v>130</v>
      </c>
      <c r="O29" s="994" t="s">
        <v>216</v>
      </c>
      <c r="P29" s="996" t="s">
        <v>121</v>
      </c>
      <c r="Q29" s="992" t="s">
        <v>45</v>
      </c>
      <c r="R29" s="994" t="s">
        <v>217</v>
      </c>
      <c r="S29" s="992" t="s">
        <v>219</v>
      </c>
      <c r="T29" s="992" t="s">
        <v>128</v>
      </c>
      <c r="U29" s="992" t="s">
        <v>221</v>
      </c>
      <c r="V29" s="992" t="s">
        <v>220</v>
      </c>
      <c r="W29" s="992" t="s">
        <v>222</v>
      </c>
      <c r="X29" s="992" t="s">
        <v>223</v>
      </c>
      <c r="Y29" s="994" t="s">
        <v>224</v>
      </c>
      <c r="Z29" s="992" t="s">
        <v>129</v>
      </c>
      <c r="AA29" s="990" t="s">
        <v>415</v>
      </c>
      <c r="AB29" s="1004" t="s">
        <v>117</v>
      </c>
      <c r="AC29" s="1006" t="s">
        <v>214</v>
      </c>
      <c r="AD29" s="1007"/>
      <c r="AE29" s="1008"/>
      <c r="AF29" s="460" t="s">
        <v>204</v>
      </c>
      <c r="AG29" s="1006" t="s">
        <v>213</v>
      </c>
      <c r="AH29" s="1008"/>
      <c r="AI29" s="1006" t="s">
        <v>132</v>
      </c>
      <c r="AJ29" s="1007"/>
      <c r="AK29" s="1007"/>
      <c r="AL29" s="1008"/>
      <c r="AM29" s="460" t="s">
        <v>205</v>
      </c>
      <c r="AN29" s="994" t="s">
        <v>206</v>
      </c>
    </row>
    <row r="30" spans="1:40" s="479" customFormat="1" x14ac:dyDescent="0.3">
      <c r="A30" s="997"/>
      <c r="B30" s="997"/>
      <c r="C30" s="997"/>
      <c r="D30" s="991"/>
      <c r="E30" s="991"/>
      <c r="F30" s="991"/>
      <c r="G30" s="991"/>
      <c r="H30" s="991"/>
      <c r="I30" s="991"/>
      <c r="J30" s="991"/>
      <c r="K30" s="991"/>
      <c r="L30" s="991"/>
      <c r="M30" s="991"/>
      <c r="N30" s="991"/>
      <c r="O30" s="995"/>
      <c r="P30" s="997"/>
      <c r="Q30" s="991"/>
      <c r="R30" s="995"/>
      <c r="S30" s="991"/>
      <c r="T30" s="991"/>
      <c r="U30" s="991"/>
      <c r="V30" s="991"/>
      <c r="W30" s="991"/>
      <c r="X30" s="991"/>
      <c r="Y30" s="995"/>
      <c r="Z30" s="991"/>
      <c r="AA30" s="991"/>
      <c r="AB30" s="1005"/>
      <c r="AC30" s="462" t="s">
        <v>193</v>
      </c>
      <c r="AD30" s="462" t="s">
        <v>192</v>
      </c>
      <c r="AE30" s="462" t="s">
        <v>191</v>
      </c>
      <c r="AF30" s="461" t="s">
        <v>207</v>
      </c>
      <c r="AG30" s="462" t="s">
        <v>208</v>
      </c>
      <c r="AH30" s="462" t="s">
        <v>209</v>
      </c>
      <c r="AI30" s="462" t="s">
        <v>210</v>
      </c>
      <c r="AJ30" s="462" t="s">
        <v>211</v>
      </c>
      <c r="AK30" s="462" t="s">
        <v>88</v>
      </c>
      <c r="AL30" s="462" t="s">
        <v>18</v>
      </c>
      <c r="AM30" s="461" t="s">
        <v>212</v>
      </c>
      <c r="AN30" s="995"/>
    </row>
    <row r="31" spans="1:40" s="389" customFormat="1" x14ac:dyDescent="0.35">
      <c r="A31" s="463">
        <v>1</v>
      </c>
      <c r="B31" s="472" t="s">
        <v>371</v>
      </c>
      <c r="C31" s="476"/>
      <c r="D31" s="476"/>
      <c r="E31" s="476"/>
      <c r="F31" s="476"/>
      <c r="G31" s="476"/>
      <c r="H31" s="476"/>
      <c r="I31" s="476"/>
      <c r="J31" s="476"/>
      <c r="K31" s="476"/>
      <c r="L31" s="476"/>
      <c r="M31" s="476"/>
      <c r="N31" s="476"/>
      <c r="O31" s="476"/>
      <c r="P31" s="476"/>
      <c r="Q31" s="476"/>
      <c r="R31" s="476"/>
      <c r="S31" s="476"/>
      <c r="T31" s="476"/>
      <c r="U31" s="476"/>
      <c r="V31" s="476"/>
      <c r="W31" s="476"/>
      <c r="X31" s="476"/>
      <c r="Y31" s="476"/>
      <c r="Z31" s="476"/>
      <c r="AA31" s="476"/>
      <c r="AB31" s="476">
        <f>SUM(C31:AA31)</f>
        <v>0</v>
      </c>
      <c r="AC31" s="477"/>
      <c r="AD31" s="477"/>
      <c r="AE31" s="477"/>
      <c r="AF31" s="477"/>
      <c r="AG31" s="477"/>
      <c r="AH31" s="477"/>
      <c r="AI31" s="477"/>
      <c r="AJ31" s="477"/>
      <c r="AK31" s="477"/>
      <c r="AL31" s="477"/>
      <c r="AM31" s="477"/>
      <c r="AN31" s="477"/>
    </row>
    <row r="32" spans="1:40" s="389" customFormat="1" x14ac:dyDescent="0.35">
      <c r="A32" s="463">
        <v>2</v>
      </c>
      <c r="B32" s="472" t="s">
        <v>372</v>
      </c>
      <c r="C32" s="476"/>
      <c r="D32" s="476"/>
      <c r="E32" s="476"/>
      <c r="F32" s="476"/>
      <c r="G32" s="476"/>
      <c r="H32" s="476"/>
      <c r="I32" s="476"/>
      <c r="J32" s="476"/>
      <c r="K32" s="476"/>
      <c r="L32" s="476"/>
      <c r="M32" s="476"/>
      <c r="N32" s="476"/>
      <c r="O32" s="476"/>
      <c r="P32" s="476"/>
      <c r="Q32" s="476"/>
      <c r="R32" s="476"/>
      <c r="S32" s="476"/>
      <c r="T32" s="476"/>
      <c r="U32" s="476"/>
      <c r="V32" s="476"/>
      <c r="W32" s="476"/>
      <c r="X32" s="476"/>
      <c r="Y32" s="476"/>
      <c r="Z32" s="476"/>
      <c r="AA32" s="477"/>
      <c r="AB32" s="476">
        <f t="shared" ref="AB32:AB44" si="3">SUM(C32:AA32)</f>
        <v>0</v>
      </c>
      <c r="AC32" s="477"/>
      <c r="AD32" s="477"/>
      <c r="AE32" s="477"/>
      <c r="AF32" s="477"/>
      <c r="AG32" s="477"/>
      <c r="AH32" s="477"/>
      <c r="AI32" s="477"/>
      <c r="AJ32" s="477"/>
      <c r="AK32" s="477"/>
      <c r="AL32" s="477"/>
      <c r="AM32" s="477"/>
      <c r="AN32" s="477"/>
    </row>
    <row r="33" spans="1:40" s="389" customFormat="1" x14ac:dyDescent="0.35">
      <c r="A33" s="463">
        <v>3</v>
      </c>
      <c r="B33" s="472" t="s">
        <v>373</v>
      </c>
      <c r="C33" s="476"/>
      <c r="D33" s="476"/>
      <c r="E33" s="476"/>
      <c r="F33" s="476"/>
      <c r="G33" s="476"/>
      <c r="H33" s="476"/>
      <c r="I33" s="476"/>
      <c r="J33" s="476"/>
      <c r="K33" s="476"/>
      <c r="L33" s="476"/>
      <c r="M33" s="476"/>
      <c r="N33" s="476"/>
      <c r="O33" s="476"/>
      <c r="P33" s="476"/>
      <c r="Q33" s="476"/>
      <c r="R33" s="476"/>
      <c r="S33" s="476"/>
      <c r="T33" s="476"/>
      <c r="U33" s="476"/>
      <c r="V33" s="476"/>
      <c r="W33" s="476"/>
      <c r="X33" s="476"/>
      <c r="Y33" s="476"/>
      <c r="Z33" s="476"/>
      <c r="AA33" s="477"/>
      <c r="AB33" s="476">
        <f t="shared" si="3"/>
        <v>0</v>
      </c>
      <c r="AC33" s="477"/>
      <c r="AD33" s="477"/>
      <c r="AE33" s="477"/>
      <c r="AF33" s="477"/>
      <c r="AG33" s="477"/>
      <c r="AH33" s="477"/>
      <c r="AI33" s="477"/>
      <c r="AJ33" s="477"/>
      <c r="AK33" s="477"/>
      <c r="AL33" s="477"/>
      <c r="AM33" s="477"/>
      <c r="AN33" s="477"/>
    </row>
    <row r="34" spans="1:40" s="389" customFormat="1" x14ac:dyDescent="0.35">
      <c r="A34" s="463">
        <v>4</v>
      </c>
      <c r="B34" s="472" t="s">
        <v>374</v>
      </c>
      <c r="C34" s="476"/>
      <c r="D34" s="476"/>
      <c r="E34" s="476"/>
      <c r="F34" s="476"/>
      <c r="G34" s="476"/>
      <c r="H34" s="476"/>
      <c r="I34" s="476"/>
      <c r="J34" s="476"/>
      <c r="K34" s="476"/>
      <c r="L34" s="476"/>
      <c r="M34" s="476"/>
      <c r="N34" s="476"/>
      <c r="O34" s="476"/>
      <c r="P34" s="476"/>
      <c r="Q34" s="476"/>
      <c r="R34" s="476"/>
      <c r="S34" s="476"/>
      <c r="T34" s="476"/>
      <c r="U34" s="476"/>
      <c r="V34" s="476"/>
      <c r="W34" s="476"/>
      <c r="X34" s="476"/>
      <c r="Y34" s="476"/>
      <c r="Z34" s="476"/>
      <c r="AA34" s="477"/>
      <c r="AB34" s="476">
        <f t="shared" si="3"/>
        <v>0</v>
      </c>
      <c r="AC34" s="477"/>
      <c r="AD34" s="477"/>
      <c r="AE34" s="477"/>
      <c r="AF34" s="477"/>
      <c r="AG34" s="477"/>
      <c r="AH34" s="477"/>
      <c r="AI34" s="477"/>
      <c r="AJ34" s="477"/>
      <c r="AK34" s="477"/>
      <c r="AL34" s="477"/>
      <c r="AM34" s="477"/>
      <c r="AN34" s="477"/>
    </row>
    <row r="35" spans="1:40" s="389" customFormat="1" x14ac:dyDescent="0.35">
      <c r="A35" s="463">
        <v>5</v>
      </c>
      <c r="B35" s="472" t="s">
        <v>375</v>
      </c>
      <c r="C35" s="477"/>
      <c r="D35" s="477"/>
      <c r="E35" s="477"/>
      <c r="F35" s="477"/>
      <c r="G35" s="477"/>
      <c r="H35" s="477"/>
      <c r="I35" s="477"/>
      <c r="J35" s="477"/>
      <c r="K35" s="477"/>
      <c r="L35" s="477"/>
      <c r="M35" s="477"/>
      <c r="N35" s="477"/>
      <c r="O35" s="477"/>
      <c r="P35" s="477"/>
      <c r="Q35" s="477"/>
      <c r="R35" s="477"/>
      <c r="S35" s="477"/>
      <c r="T35" s="477"/>
      <c r="U35" s="477"/>
      <c r="V35" s="477"/>
      <c r="W35" s="477"/>
      <c r="X35" s="477"/>
      <c r="Y35" s="477"/>
      <c r="Z35" s="477"/>
      <c r="AA35" s="477"/>
      <c r="AB35" s="476">
        <f t="shared" si="3"/>
        <v>0</v>
      </c>
      <c r="AC35" s="477"/>
      <c r="AD35" s="477"/>
      <c r="AE35" s="477"/>
      <c r="AF35" s="477"/>
      <c r="AG35" s="477"/>
      <c r="AH35" s="477"/>
      <c r="AI35" s="477"/>
      <c r="AJ35" s="477"/>
      <c r="AK35" s="477"/>
      <c r="AL35" s="477"/>
      <c r="AM35" s="477"/>
      <c r="AN35" s="477"/>
    </row>
    <row r="36" spans="1:40" s="389" customFormat="1" x14ac:dyDescent="0.35">
      <c r="A36" s="463">
        <v>6</v>
      </c>
      <c r="B36" s="473" t="s">
        <v>414</v>
      </c>
      <c r="C36" s="476"/>
      <c r="D36" s="476"/>
      <c r="E36" s="476"/>
      <c r="F36" s="476"/>
      <c r="G36" s="476"/>
      <c r="H36" s="476"/>
      <c r="I36" s="476"/>
      <c r="J36" s="476"/>
      <c r="K36" s="476"/>
      <c r="L36" s="476"/>
      <c r="M36" s="476"/>
      <c r="N36" s="476"/>
      <c r="O36" s="476"/>
      <c r="P36" s="476"/>
      <c r="Q36" s="476"/>
      <c r="R36" s="476"/>
      <c r="S36" s="476"/>
      <c r="T36" s="476"/>
      <c r="U36" s="476"/>
      <c r="V36" s="476"/>
      <c r="W36" s="476"/>
      <c r="X36" s="476"/>
      <c r="Y36" s="476"/>
      <c r="Z36" s="476"/>
      <c r="AA36" s="477"/>
      <c r="AB36" s="477">
        <v>0</v>
      </c>
      <c r="AC36" s="477"/>
      <c r="AD36" s="477"/>
      <c r="AE36" s="477"/>
      <c r="AF36" s="477"/>
      <c r="AG36" s="477"/>
      <c r="AH36" s="477"/>
      <c r="AI36" s="477"/>
      <c r="AJ36" s="477"/>
      <c r="AK36" s="477"/>
      <c r="AL36" s="477"/>
      <c r="AM36" s="477"/>
      <c r="AN36" s="477"/>
    </row>
    <row r="37" spans="1:40" s="389" customFormat="1" x14ac:dyDescent="0.35">
      <c r="A37" s="463">
        <v>7</v>
      </c>
      <c r="B37" s="472" t="s">
        <v>376</v>
      </c>
      <c r="C37" s="476"/>
      <c r="D37" s="476"/>
      <c r="E37" s="476"/>
      <c r="F37" s="476"/>
      <c r="G37" s="476"/>
      <c r="H37" s="476"/>
      <c r="I37" s="476"/>
      <c r="J37" s="476"/>
      <c r="K37" s="476"/>
      <c r="L37" s="476"/>
      <c r="M37" s="476"/>
      <c r="N37" s="476"/>
      <c r="O37" s="476"/>
      <c r="P37" s="476"/>
      <c r="Q37" s="476"/>
      <c r="R37" s="476"/>
      <c r="S37" s="476"/>
      <c r="T37" s="476"/>
      <c r="U37" s="476"/>
      <c r="V37" s="476"/>
      <c r="W37" s="476"/>
      <c r="X37" s="476"/>
      <c r="Y37" s="476"/>
      <c r="Z37" s="476"/>
      <c r="AA37" s="477"/>
      <c r="AB37" s="476">
        <f t="shared" si="3"/>
        <v>0</v>
      </c>
      <c r="AC37" s="477"/>
      <c r="AD37" s="477"/>
      <c r="AE37" s="477"/>
      <c r="AF37" s="477"/>
      <c r="AG37" s="477"/>
      <c r="AH37" s="477"/>
      <c r="AI37" s="477"/>
      <c r="AJ37" s="477"/>
      <c r="AK37" s="477"/>
      <c r="AL37" s="477"/>
      <c r="AM37" s="477"/>
      <c r="AN37" s="477"/>
    </row>
    <row r="38" spans="1:40" s="389" customFormat="1" x14ac:dyDescent="0.35">
      <c r="A38" s="463">
        <v>8</v>
      </c>
      <c r="B38" s="472" t="s">
        <v>377</v>
      </c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77"/>
      <c r="AB38" s="476">
        <f t="shared" si="3"/>
        <v>0</v>
      </c>
      <c r="AC38" s="477"/>
      <c r="AD38" s="477"/>
      <c r="AE38" s="477"/>
      <c r="AF38" s="477"/>
      <c r="AG38" s="477"/>
      <c r="AH38" s="477"/>
      <c r="AI38" s="477"/>
      <c r="AJ38" s="477"/>
      <c r="AK38" s="477"/>
      <c r="AL38" s="477"/>
      <c r="AM38" s="477"/>
      <c r="AN38" s="477"/>
    </row>
    <row r="39" spans="1:40" s="389" customFormat="1" x14ac:dyDescent="0.35">
      <c r="A39" s="463">
        <v>9</v>
      </c>
      <c r="B39" s="472" t="s">
        <v>378</v>
      </c>
      <c r="C39" s="476"/>
      <c r="D39" s="476"/>
      <c r="E39" s="476"/>
      <c r="F39" s="476"/>
      <c r="G39" s="476"/>
      <c r="H39" s="476"/>
      <c r="I39" s="476"/>
      <c r="J39" s="476"/>
      <c r="K39" s="476"/>
      <c r="L39" s="476"/>
      <c r="M39" s="476"/>
      <c r="N39" s="476"/>
      <c r="O39" s="476"/>
      <c r="P39" s="476"/>
      <c r="Q39" s="476"/>
      <c r="R39" s="476"/>
      <c r="S39" s="476"/>
      <c r="T39" s="476"/>
      <c r="U39" s="476"/>
      <c r="V39" s="476"/>
      <c r="W39" s="476"/>
      <c r="X39" s="476"/>
      <c r="Y39" s="476"/>
      <c r="Z39" s="476"/>
      <c r="AA39" s="477"/>
      <c r="AB39" s="476">
        <f t="shared" si="3"/>
        <v>0</v>
      </c>
      <c r="AC39" s="477"/>
      <c r="AD39" s="477"/>
      <c r="AE39" s="477"/>
      <c r="AF39" s="477"/>
      <c r="AG39" s="477"/>
      <c r="AH39" s="477"/>
      <c r="AI39" s="477"/>
      <c r="AJ39" s="477"/>
      <c r="AK39" s="477"/>
      <c r="AL39" s="477"/>
      <c r="AM39" s="477"/>
      <c r="AN39" s="477"/>
    </row>
    <row r="40" spans="1:40" s="389" customFormat="1" x14ac:dyDescent="0.35">
      <c r="A40" s="463">
        <v>10</v>
      </c>
      <c r="B40" s="472" t="s">
        <v>379</v>
      </c>
      <c r="C40" s="476"/>
      <c r="D40" s="476"/>
      <c r="E40" s="476"/>
      <c r="F40" s="476"/>
      <c r="G40" s="476"/>
      <c r="H40" s="476"/>
      <c r="I40" s="476"/>
      <c r="J40" s="476"/>
      <c r="K40" s="476"/>
      <c r="L40" s="476"/>
      <c r="M40" s="476"/>
      <c r="N40" s="476"/>
      <c r="O40" s="476"/>
      <c r="P40" s="476"/>
      <c r="Q40" s="476"/>
      <c r="R40" s="476"/>
      <c r="S40" s="476"/>
      <c r="T40" s="476"/>
      <c r="U40" s="476"/>
      <c r="V40" s="476"/>
      <c r="W40" s="476"/>
      <c r="X40" s="476"/>
      <c r="Y40" s="476"/>
      <c r="Z40" s="476"/>
      <c r="AA40" s="477"/>
      <c r="AB40" s="476">
        <f t="shared" si="3"/>
        <v>0</v>
      </c>
      <c r="AC40" s="477"/>
      <c r="AD40" s="477"/>
      <c r="AE40" s="477"/>
      <c r="AF40" s="477"/>
      <c r="AG40" s="477"/>
      <c r="AH40" s="477"/>
      <c r="AI40" s="477"/>
      <c r="AJ40" s="477"/>
      <c r="AK40" s="477"/>
      <c r="AL40" s="477"/>
      <c r="AM40" s="477"/>
      <c r="AN40" s="477"/>
    </row>
    <row r="41" spans="1:40" s="389" customFormat="1" x14ac:dyDescent="0.35">
      <c r="A41" s="463">
        <v>11</v>
      </c>
      <c r="B41" s="472" t="s">
        <v>380</v>
      </c>
      <c r="C41" s="476"/>
      <c r="D41" s="476"/>
      <c r="E41" s="476"/>
      <c r="F41" s="476"/>
      <c r="G41" s="476"/>
      <c r="H41" s="476"/>
      <c r="I41" s="476"/>
      <c r="J41" s="476"/>
      <c r="K41" s="476"/>
      <c r="L41" s="476"/>
      <c r="M41" s="476"/>
      <c r="N41" s="476"/>
      <c r="O41" s="476"/>
      <c r="P41" s="476"/>
      <c r="Q41" s="476"/>
      <c r="R41" s="476"/>
      <c r="S41" s="476"/>
      <c r="T41" s="476"/>
      <c r="U41" s="476"/>
      <c r="V41" s="476"/>
      <c r="W41" s="476"/>
      <c r="X41" s="476"/>
      <c r="Y41" s="476"/>
      <c r="Z41" s="476"/>
      <c r="AA41" s="477"/>
      <c r="AB41" s="476">
        <f t="shared" si="3"/>
        <v>0</v>
      </c>
      <c r="AC41" s="477"/>
      <c r="AD41" s="477"/>
      <c r="AE41" s="477"/>
      <c r="AF41" s="477"/>
      <c r="AG41" s="477"/>
      <c r="AH41" s="477"/>
      <c r="AI41" s="477"/>
      <c r="AJ41" s="477"/>
      <c r="AK41" s="477"/>
      <c r="AL41" s="477"/>
      <c r="AM41" s="477"/>
      <c r="AN41" s="477"/>
    </row>
    <row r="42" spans="1:40" s="389" customFormat="1" x14ac:dyDescent="0.35">
      <c r="A42" s="463">
        <v>12</v>
      </c>
      <c r="B42" s="472" t="s">
        <v>381</v>
      </c>
      <c r="C42" s="476"/>
      <c r="D42" s="476"/>
      <c r="E42" s="476"/>
      <c r="F42" s="476"/>
      <c r="G42" s="476"/>
      <c r="H42" s="476"/>
      <c r="I42" s="476"/>
      <c r="J42" s="476"/>
      <c r="K42" s="476"/>
      <c r="L42" s="476"/>
      <c r="M42" s="476"/>
      <c r="N42" s="476"/>
      <c r="O42" s="476"/>
      <c r="P42" s="476"/>
      <c r="Q42" s="476"/>
      <c r="R42" s="476"/>
      <c r="S42" s="476"/>
      <c r="T42" s="476"/>
      <c r="U42" s="476"/>
      <c r="V42" s="476"/>
      <c r="W42" s="476"/>
      <c r="X42" s="476"/>
      <c r="Y42" s="476"/>
      <c r="Z42" s="476"/>
      <c r="AA42" s="477"/>
      <c r="AB42" s="476">
        <f t="shared" si="3"/>
        <v>0</v>
      </c>
      <c r="AC42" s="477"/>
      <c r="AD42" s="477"/>
      <c r="AE42" s="477"/>
      <c r="AF42" s="477"/>
      <c r="AG42" s="477"/>
      <c r="AH42" s="477"/>
      <c r="AI42" s="477"/>
      <c r="AJ42" s="477"/>
      <c r="AK42" s="477"/>
      <c r="AL42" s="477"/>
      <c r="AM42" s="477"/>
      <c r="AN42" s="477"/>
    </row>
    <row r="43" spans="1:40" s="389" customFormat="1" x14ac:dyDescent="0.35">
      <c r="A43" s="463">
        <v>13</v>
      </c>
      <c r="B43" s="472" t="s">
        <v>382</v>
      </c>
      <c r="C43" s="476"/>
      <c r="D43" s="476"/>
      <c r="E43" s="476"/>
      <c r="F43" s="476"/>
      <c r="G43" s="476"/>
      <c r="H43" s="476"/>
      <c r="I43" s="476"/>
      <c r="J43" s="476"/>
      <c r="K43" s="476"/>
      <c r="L43" s="476"/>
      <c r="M43" s="476"/>
      <c r="N43" s="476"/>
      <c r="O43" s="476"/>
      <c r="P43" s="476"/>
      <c r="Q43" s="476"/>
      <c r="R43" s="476"/>
      <c r="S43" s="476"/>
      <c r="T43" s="476"/>
      <c r="U43" s="476"/>
      <c r="V43" s="476"/>
      <c r="W43" s="476"/>
      <c r="X43" s="476"/>
      <c r="Y43" s="476"/>
      <c r="Z43" s="476"/>
      <c r="AA43" s="477"/>
      <c r="AB43" s="476">
        <f t="shared" si="3"/>
        <v>0</v>
      </c>
      <c r="AC43" s="477"/>
      <c r="AD43" s="477"/>
      <c r="AE43" s="477"/>
      <c r="AF43" s="477"/>
      <c r="AG43" s="477"/>
      <c r="AH43" s="477"/>
      <c r="AI43" s="477"/>
      <c r="AJ43" s="477"/>
      <c r="AK43" s="477"/>
      <c r="AL43" s="477"/>
      <c r="AM43" s="477"/>
      <c r="AN43" s="477"/>
    </row>
    <row r="44" spans="1:40" s="389" customFormat="1" x14ac:dyDescent="0.35">
      <c r="A44" s="463">
        <v>14</v>
      </c>
      <c r="B44" s="472" t="s">
        <v>383</v>
      </c>
      <c r="C44" s="476"/>
      <c r="D44" s="476"/>
      <c r="E44" s="476"/>
      <c r="F44" s="476"/>
      <c r="G44" s="476"/>
      <c r="H44" s="476"/>
      <c r="I44" s="476"/>
      <c r="J44" s="476"/>
      <c r="K44" s="476"/>
      <c r="L44" s="476"/>
      <c r="M44" s="476"/>
      <c r="N44" s="476"/>
      <c r="O44" s="476"/>
      <c r="P44" s="476"/>
      <c r="Q44" s="476"/>
      <c r="R44" s="476"/>
      <c r="S44" s="476"/>
      <c r="T44" s="476"/>
      <c r="U44" s="476"/>
      <c r="V44" s="476"/>
      <c r="W44" s="476"/>
      <c r="X44" s="476"/>
      <c r="Y44" s="476"/>
      <c r="Z44" s="476"/>
      <c r="AA44" s="477"/>
      <c r="AB44" s="476">
        <f t="shared" si="3"/>
        <v>0</v>
      </c>
      <c r="AC44" s="477"/>
      <c r="AD44" s="477"/>
      <c r="AE44" s="477"/>
      <c r="AF44" s="477"/>
      <c r="AG44" s="477"/>
      <c r="AH44" s="477"/>
      <c r="AI44" s="477"/>
      <c r="AJ44" s="477"/>
      <c r="AK44" s="477"/>
      <c r="AL44" s="477"/>
      <c r="AM44" s="477"/>
      <c r="AN44" s="477"/>
    </row>
    <row r="45" spans="1:40" s="389" customFormat="1" x14ac:dyDescent="0.35">
      <c r="A45" s="463">
        <v>15</v>
      </c>
      <c r="B45" s="472" t="s">
        <v>384</v>
      </c>
      <c r="C45" s="477"/>
      <c r="D45" s="477"/>
      <c r="E45" s="477"/>
      <c r="F45" s="477"/>
      <c r="G45" s="477"/>
      <c r="H45" s="477"/>
      <c r="I45" s="477"/>
      <c r="J45" s="477"/>
      <c r="K45" s="477"/>
      <c r="L45" s="477"/>
      <c r="M45" s="477"/>
      <c r="N45" s="477"/>
      <c r="O45" s="477"/>
      <c r="P45" s="477"/>
      <c r="Q45" s="477"/>
      <c r="R45" s="477"/>
      <c r="S45" s="477"/>
      <c r="T45" s="477"/>
      <c r="U45" s="477"/>
      <c r="V45" s="477"/>
      <c r="W45" s="477"/>
      <c r="X45" s="477"/>
      <c r="Y45" s="477"/>
      <c r="Z45" s="477"/>
      <c r="AA45" s="477"/>
      <c r="AB45" s="476">
        <v>0</v>
      </c>
      <c r="AC45" s="477"/>
      <c r="AD45" s="477"/>
      <c r="AE45" s="477"/>
      <c r="AF45" s="477"/>
      <c r="AG45" s="477"/>
      <c r="AH45" s="477"/>
      <c r="AI45" s="477"/>
      <c r="AJ45" s="477"/>
      <c r="AK45" s="477"/>
      <c r="AL45" s="477"/>
      <c r="AM45" s="477"/>
      <c r="AN45" s="477"/>
    </row>
    <row r="46" spans="1:40" s="389" customFormat="1" x14ac:dyDescent="0.35">
      <c r="A46" s="474"/>
      <c r="B46" s="475" t="s">
        <v>18</v>
      </c>
      <c r="C46" s="501">
        <f>SUM(C31:C45)</f>
        <v>0</v>
      </c>
      <c r="D46" s="501">
        <f t="shared" ref="D46" si="4">SUM(D31:D45)</f>
        <v>0</v>
      </c>
      <c r="E46" s="501">
        <f t="shared" ref="E46" si="5">SUM(E31:E45)</f>
        <v>0</v>
      </c>
      <c r="F46" s="501">
        <f t="shared" ref="F46" si="6">SUM(F31:F45)</f>
        <v>0</v>
      </c>
      <c r="G46" s="501">
        <f t="shared" ref="G46" si="7">SUM(G31:G45)</f>
        <v>0</v>
      </c>
      <c r="H46" s="501">
        <f t="shared" ref="H46" si="8">SUM(H31:H45)</f>
        <v>0</v>
      </c>
      <c r="I46" s="501">
        <f t="shared" ref="I46" si="9">SUM(I31:I45)</f>
        <v>0</v>
      </c>
      <c r="J46" s="501">
        <f t="shared" ref="J46" si="10">SUM(J31:J45)</f>
        <v>0</v>
      </c>
      <c r="K46" s="501">
        <f t="shared" ref="K46" si="11">SUM(K31:K45)</f>
        <v>0</v>
      </c>
      <c r="L46" s="501">
        <f t="shared" ref="L46" si="12">SUM(L31:L45)</f>
        <v>0</v>
      </c>
      <c r="M46" s="501">
        <f t="shared" ref="M46" si="13">SUM(M31:M45)</f>
        <v>0</v>
      </c>
      <c r="N46" s="501">
        <f t="shared" ref="N46" si="14">SUM(N31:N45)</f>
        <v>0</v>
      </c>
      <c r="O46" s="501">
        <f t="shared" ref="O46" si="15">SUM(O31:O45)</f>
        <v>0</v>
      </c>
      <c r="P46" s="501">
        <f t="shared" ref="P46" si="16">SUM(P31:P45)</f>
        <v>0</v>
      </c>
      <c r="Q46" s="501">
        <f t="shared" ref="Q46" si="17">SUM(Q31:Q45)</f>
        <v>0</v>
      </c>
      <c r="R46" s="501">
        <f t="shared" ref="R46" si="18">SUM(R31:R45)</f>
        <v>0</v>
      </c>
      <c r="S46" s="501">
        <f t="shared" ref="S46" si="19">SUM(S31:S45)</f>
        <v>0</v>
      </c>
      <c r="T46" s="501">
        <f t="shared" ref="T46" si="20">SUM(T31:T45)</f>
        <v>0</v>
      </c>
      <c r="U46" s="501">
        <f t="shared" ref="U46" si="21">SUM(U31:U45)</f>
        <v>0</v>
      </c>
      <c r="V46" s="501">
        <f t="shared" ref="V46" si="22">SUM(V31:V45)</f>
        <v>0</v>
      </c>
      <c r="W46" s="501">
        <f t="shared" ref="W46" si="23">SUM(W31:W45)</f>
        <v>0</v>
      </c>
      <c r="X46" s="501">
        <f t="shared" ref="X46" si="24">SUM(X31:X45)</f>
        <v>0</v>
      </c>
      <c r="Y46" s="501">
        <f t="shared" ref="Y46" si="25">SUM(Y31:Y45)</f>
        <v>0</v>
      </c>
      <c r="Z46" s="501">
        <f t="shared" ref="Z46" si="26">SUM(Z31:Z45)</f>
        <v>0</v>
      </c>
      <c r="AA46" s="501"/>
      <c r="AB46" s="562">
        <f t="shared" ref="AB46:AN46" si="27">SUM(AB31:AB45)</f>
        <v>0</v>
      </c>
      <c r="AC46" s="562">
        <f t="shared" si="27"/>
        <v>0</v>
      </c>
      <c r="AD46" s="562">
        <f t="shared" si="27"/>
        <v>0</v>
      </c>
      <c r="AE46" s="562">
        <f t="shared" si="27"/>
        <v>0</v>
      </c>
      <c r="AF46" s="562">
        <f t="shared" si="27"/>
        <v>0</v>
      </c>
      <c r="AG46" s="562">
        <f t="shared" si="27"/>
        <v>0</v>
      </c>
      <c r="AH46" s="562">
        <f t="shared" si="27"/>
        <v>0</v>
      </c>
      <c r="AI46" s="562">
        <f t="shared" si="27"/>
        <v>0</v>
      </c>
      <c r="AJ46" s="562">
        <f t="shared" si="27"/>
        <v>0</v>
      </c>
      <c r="AK46" s="562">
        <f t="shared" si="27"/>
        <v>0</v>
      </c>
      <c r="AL46" s="562">
        <f t="shared" si="27"/>
        <v>0</v>
      </c>
      <c r="AM46" s="562">
        <f t="shared" si="27"/>
        <v>0</v>
      </c>
      <c r="AN46" s="562">
        <f t="shared" si="27"/>
        <v>0</v>
      </c>
    </row>
    <row r="47" spans="1:40" s="479" customFormat="1" x14ac:dyDescent="0.3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</row>
    <row r="48" spans="1:40" s="479" customFormat="1" x14ac:dyDescent="0.3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</row>
    <row r="49" spans="1:40" s="479" customFormat="1" x14ac:dyDescent="0.3">
      <c r="A49" s="993" t="s">
        <v>131</v>
      </c>
      <c r="B49" s="993"/>
      <c r="C49" s="993"/>
      <c r="D49" s="993"/>
      <c r="E49" s="993"/>
      <c r="F49" s="993"/>
      <c r="G49" s="993"/>
      <c r="H49" s="993"/>
      <c r="I49" s="993"/>
      <c r="J49" s="993"/>
      <c r="K49" s="993"/>
      <c r="L49" s="993"/>
      <c r="M49" s="993"/>
      <c r="N49" s="993"/>
      <c r="O49" s="993"/>
      <c r="P49" s="993"/>
      <c r="Q49" s="993"/>
      <c r="R49" s="993"/>
      <c r="S49" s="993"/>
      <c r="T49" s="993"/>
      <c r="U49" s="993"/>
      <c r="V49" s="993"/>
      <c r="W49" s="993"/>
      <c r="X49" s="993"/>
      <c r="Y49" s="993"/>
      <c r="Z49" s="993"/>
      <c r="AA49" s="993"/>
      <c r="AB49" s="993"/>
      <c r="AC49" s="993"/>
      <c r="AD49" s="993"/>
      <c r="AE49" s="993"/>
      <c r="AF49" s="993"/>
      <c r="AG49" s="993"/>
      <c r="AH49" s="993"/>
      <c r="AI49" s="993"/>
      <c r="AJ49" s="993"/>
      <c r="AK49" s="993"/>
      <c r="AL49" s="993"/>
      <c r="AM49" s="993"/>
      <c r="AN49" s="993"/>
    </row>
    <row r="50" spans="1:40" s="479" customFormat="1" x14ac:dyDescent="0.3">
      <c r="A50" s="553" t="s">
        <v>292</v>
      </c>
      <c r="B50" s="30" t="s">
        <v>149</v>
      </c>
      <c r="C50" s="554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 t="s">
        <v>149</v>
      </c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</row>
    <row r="51" spans="1:40" s="479" customFormat="1" x14ac:dyDescent="0.3">
      <c r="A51" s="553" t="s">
        <v>226</v>
      </c>
      <c r="B51" s="30" t="s">
        <v>138</v>
      </c>
      <c r="C51" s="554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555" t="s">
        <v>395</v>
      </c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</row>
    <row r="52" spans="1:40" s="479" customFormat="1" x14ac:dyDescent="0.3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</row>
    <row r="53" spans="1:40" s="479" customFormat="1" x14ac:dyDescent="0.3">
      <c r="A53" s="998" t="s">
        <v>1</v>
      </c>
      <c r="B53" s="998" t="s">
        <v>40</v>
      </c>
      <c r="C53" s="996" t="s">
        <v>118</v>
      </c>
      <c r="D53" s="992" t="s">
        <v>119</v>
      </c>
      <c r="E53" s="992" t="s">
        <v>127</v>
      </c>
      <c r="F53" s="992" t="s">
        <v>124</v>
      </c>
      <c r="G53" s="992" t="s">
        <v>120</v>
      </c>
      <c r="H53" s="992" t="s">
        <v>215</v>
      </c>
      <c r="I53" s="992" t="s">
        <v>122</v>
      </c>
      <c r="J53" s="992" t="s">
        <v>123</v>
      </c>
      <c r="K53" s="992" t="s">
        <v>218</v>
      </c>
      <c r="L53" s="992" t="s">
        <v>126</v>
      </c>
      <c r="M53" s="992" t="s">
        <v>125</v>
      </c>
      <c r="N53" s="992" t="s">
        <v>130</v>
      </c>
      <c r="O53" s="994" t="s">
        <v>216</v>
      </c>
      <c r="P53" s="996" t="s">
        <v>121</v>
      </c>
      <c r="Q53" s="992" t="s">
        <v>45</v>
      </c>
      <c r="R53" s="994" t="s">
        <v>217</v>
      </c>
      <c r="S53" s="992" t="s">
        <v>219</v>
      </c>
      <c r="T53" s="992" t="s">
        <v>128</v>
      </c>
      <c r="U53" s="992" t="s">
        <v>221</v>
      </c>
      <c r="V53" s="992" t="s">
        <v>220</v>
      </c>
      <c r="W53" s="992" t="s">
        <v>222</v>
      </c>
      <c r="X53" s="992" t="s">
        <v>223</v>
      </c>
      <c r="Y53" s="994" t="s">
        <v>224</v>
      </c>
      <c r="Z53" s="992" t="s">
        <v>129</v>
      </c>
      <c r="AA53" s="990" t="s">
        <v>415</v>
      </c>
      <c r="AB53" s="999" t="s">
        <v>117</v>
      </c>
      <c r="AC53" s="1000" t="s">
        <v>214</v>
      </c>
      <c r="AD53" s="1000"/>
      <c r="AE53" s="1000"/>
      <c r="AF53" s="460" t="s">
        <v>204</v>
      </c>
      <c r="AG53" s="1000" t="s">
        <v>213</v>
      </c>
      <c r="AH53" s="1000"/>
      <c r="AI53" s="1001" t="s">
        <v>132</v>
      </c>
      <c r="AJ53" s="1002"/>
      <c r="AK53" s="1002"/>
      <c r="AL53" s="1003"/>
      <c r="AM53" s="460" t="s">
        <v>205</v>
      </c>
      <c r="AN53" s="1000" t="s">
        <v>206</v>
      </c>
    </row>
    <row r="54" spans="1:40" s="479" customFormat="1" x14ac:dyDescent="0.3">
      <c r="A54" s="998"/>
      <c r="B54" s="998"/>
      <c r="C54" s="997"/>
      <c r="D54" s="991"/>
      <c r="E54" s="991"/>
      <c r="F54" s="991"/>
      <c r="G54" s="991"/>
      <c r="H54" s="991"/>
      <c r="I54" s="991"/>
      <c r="J54" s="991"/>
      <c r="K54" s="991"/>
      <c r="L54" s="991"/>
      <c r="M54" s="991"/>
      <c r="N54" s="991"/>
      <c r="O54" s="995"/>
      <c r="P54" s="997"/>
      <c r="Q54" s="991"/>
      <c r="R54" s="995"/>
      <c r="S54" s="991"/>
      <c r="T54" s="991"/>
      <c r="U54" s="991"/>
      <c r="V54" s="991"/>
      <c r="W54" s="991"/>
      <c r="X54" s="991"/>
      <c r="Y54" s="995"/>
      <c r="Z54" s="991"/>
      <c r="AA54" s="991"/>
      <c r="AB54" s="999"/>
      <c r="AC54" s="462" t="s">
        <v>193</v>
      </c>
      <c r="AD54" s="462" t="s">
        <v>192</v>
      </c>
      <c r="AE54" s="462" t="s">
        <v>191</v>
      </c>
      <c r="AF54" s="461" t="s">
        <v>207</v>
      </c>
      <c r="AG54" s="462" t="s">
        <v>208</v>
      </c>
      <c r="AH54" s="462" t="s">
        <v>209</v>
      </c>
      <c r="AI54" s="462" t="s">
        <v>210</v>
      </c>
      <c r="AJ54" s="462" t="s">
        <v>211</v>
      </c>
      <c r="AK54" s="462" t="s">
        <v>88</v>
      </c>
      <c r="AL54" s="462" t="s">
        <v>18</v>
      </c>
      <c r="AM54" s="461" t="s">
        <v>212</v>
      </c>
      <c r="AN54" s="1000"/>
    </row>
    <row r="55" spans="1:40" s="389" customFormat="1" x14ac:dyDescent="0.35">
      <c r="A55" s="463">
        <v>1</v>
      </c>
      <c r="B55" s="472" t="s">
        <v>371</v>
      </c>
      <c r="C55" s="476"/>
      <c r="D55" s="476"/>
      <c r="E55" s="476"/>
      <c r="F55" s="476"/>
      <c r="G55" s="476"/>
      <c r="H55" s="476"/>
      <c r="I55" s="476"/>
      <c r="J55" s="476"/>
      <c r="K55" s="476"/>
      <c r="L55" s="476"/>
      <c r="M55" s="476"/>
      <c r="N55" s="476"/>
      <c r="O55" s="476"/>
      <c r="P55" s="476"/>
      <c r="Q55" s="476"/>
      <c r="R55" s="476"/>
      <c r="S55" s="476"/>
      <c r="T55" s="476"/>
      <c r="U55" s="476"/>
      <c r="V55" s="476"/>
      <c r="W55" s="476"/>
      <c r="X55" s="476"/>
      <c r="Y55" s="476"/>
      <c r="Z55" s="476"/>
      <c r="AA55" s="476"/>
      <c r="AB55" s="476">
        <f>SUM(C55:AA55)</f>
        <v>0</v>
      </c>
      <c r="AC55" s="477"/>
      <c r="AD55" s="477"/>
      <c r="AE55" s="477"/>
      <c r="AF55" s="477"/>
      <c r="AG55" s="477"/>
      <c r="AH55" s="477"/>
      <c r="AI55" s="477"/>
      <c r="AJ55" s="477"/>
      <c r="AK55" s="477"/>
      <c r="AL55" s="477"/>
      <c r="AM55" s="477"/>
      <c r="AN55" s="477"/>
    </row>
    <row r="56" spans="1:40" s="389" customFormat="1" x14ac:dyDescent="0.35">
      <c r="A56" s="463">
        <v>2</v>
      </c>
      <c r="B56" s="472" t="s">
        <v>372</v>
      </c>
      <c r="C56" s="476"/>
      <c r="D56" s="476"/>
      <c r="E56" s="476"/>
      <c r="F56" s="476"/>
      <c r="G56" s="476"/>
      <c r="H56" s="476"/>
      <c r="I56" s="476"/>
      <c r="J56" s="476"/>
      <c r="K56" s="476"/>
      <c r="L56" s="476"/>
      <c r="M56" s="476"/>
      <c r="N56" s="476"/>
      <c r="O56" s="476"/>
      <c r="P56" s="476"/>
      <c r="Q56" s="476"/>
      <c r="R56" s="476"/>
      <c r="S56" s="476"/>
      <c r="T56" s="476"/>
      <c r="U56" s="476"/>
      <c r="V56" s="476"/>
      <c r="W56" s="476"/>
      <c r="X56" s="476"/>
      <c r="Y56" s="476"/>
      <c r="Z56" s="476"/>
      <c r="AA56" s="477"/>
      <c r="AB56" s="476">
        <f t="shared" ref="AB56:AB69" si="28">SUM(C56:AA56)</f>
        <v>0</v>
      </c>
      <c r="AC56" s="477"/>
      <c r="AD56" s="477"/>
      <c r="AE56" s="477"/>
      <c r="AF56" s="477"/>
      <c r="AG56" s="477"/>
      <c r="AH56" s="477"/>
      <c r="AI56" s="477"/>
      <c r="AJ56" s="477"/>
      <c r="AK56" s="477"/>
      <c r="AL56" s="477"/>
      <c r="AM56" s="477"/>
      <c r="AN56" s="477"/>
    </row>
    <row r="57" spans="1:40" s="389" customFormat="1" x14ac:dyDescent="0.35">
      <c r="A57" s="463">
        <v>3</v>
      </c>
      <c r="B57" s="472" t="s">
        <v>373</v>
      </c>
      <c r="C57" s="476"/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7"/>
      <c r="AB57" s="476">
        <f t="shared" si="28"/>
        <v>0</v>
      </c>
      <c r="AC57" s="477"/>
      <c r="AD57" s="477"/>
      <c r="AE57" s="477"/>
      <c r="AF57" s="477"/>
      <c r="AG57" s="477"/>
      <c r="AH57" s="477"/>
      <c r="AI57" s="477"/>
      <c r="AJ57" s="477"/>
      <c r="AK57" s="477"/>
      <c r="AL57" s="477"/>
      <c r="AM57" s="477"/>
      <c r="AN57" s="477"/>
    </row>
    <row r="58" spans="1:40" s="389" customFormat="1" x14ac:dyDescent="0.35">
      <c r="A58" s="463">
        <v>4</v>
      </c>
      <c r="B58" s="472" t="s">
        <v>374</v>
      </c>
      <c r="C58" s="476"/>
      <c r="D58" s="476"/>
      <c r="E58" s="476"/>
      <c r="F58" s="476"/>
      <c r="G58" s="476"/>
      <c r="H58" s="476"/>
      <c r="I58" s="476"/>
      <c r="J58" s="476"/>
      <c r="K58" s="476"/>
      <c r="L58" s="476"/>
      <c r="M58" s="476"/>
      <c r="N58" s="476"/>
      <c r="O58" s="476"/>
      <c r="P58" s="476"/>
      <c r="Q58" s="476"/>
      <c r="R58" s="476"/>
      <c r="S58" s="476"/>
      <c r="T58" s="476"/>
      <c r="U58" s="476"/>
      <c r="V58" s="476"/>
      <c r="W58" s="476"/>
      <c r="X58" s="476"/>
      <c r="Y58" s="476"/>
      <c r="Z58" s="476"/>
      <c r="AA58" s="477"/>
      <c r="AB58" s="476">
        <f t="shared" si="28"/>
        <v>0</v>
      </c>
      <c r="AC58" s="477"/>
      <c r="AD58" s="477"/>
      <c r="AE58" s="477"/>
      <c r="AF58" s="477"/>
      <c r="AG58" s="477"/>
      <c r="AH58" s="477"/>
      <c r="AI58" s="477"/>
      <c r="AJ58" s="477"/>
      <c r="AK58" s="477"/>
      <c r="AL58" s="477"/>
      <c r="AM58" s="477"/>
      <c r="AN58" s="477"/>
    </row>
    <row r="59" spans="1:40" s="389" customFormat="1" x14ac:dyDescent="0.35">
      <c r="A59" s="463">
        <v>5</v>
      </c>
      <c r="B59" s="472" t="s">
        <v>375</v>
      </c>
      <c r="C59" s="477"/>
      <c r="D59" s="477"/>
      <c r="E59" s="477"/>
      <c r="F59" s="477"/>
      <c r="G59" s="477"/>
      <c r="H59" s="477"/>
      <c r="I59" s="477"/>
      <c r="J59" s="477"/>
      <c r="K59" s="477"/>
      <c r="L59" s="477"/>
      <c r="M59" s="477"/>
      <c r="N59" s="477"/>
      <c r="O59" s="477"/>
      <c r="P59" s="477"/>
      <c r="Q59" s="477"/>
      <c r="R59" s="477"/>
      <c r="S59" s="477"/>
      <c r="T59" s="477"/>
      <c r="U59" s="477"/>
      <c r="V59" s="477"/>
      <c r="W59" s="477"/>
      <c r="X59" s="477"/>
      <c r="Y59" s="477"/>
      <c r="Z59" s="477"/>
      <c r="AA59" s="477"/>
      <c r="AB59" s="476">
        <f t="shared" si="28"/>
        <v>0</v>
      </c>
      <c r="AC59" s="477"/>
      <c r="AD59" s="477"/>
      <c r="AE59" s="477"/>
      <c r="AF59" s="477"/>
      <c r="AG59" s="477"/>
      <c r="AH59" s="477"/>
      <c r="AI59" s="477"/>
      <c r="AJ59" s="477"/>
      <c r="AK59" s="477"/>
      <c r="AL59" s="477"/>
      <c r="AM59" s="477"/>
      <c r="AN59" s="477"/>
    </row>
    <row r="60" spans="1:40" s="389" customFormat="1" x14ac:dyDescent="0.35">
      <c r="A60" s="463">
        <v>6</v>
      </c>
      <c r="B60" s="473" t="s">
        <v>414</v>
      </c>
      <c r="C60" s="476"/>
      <c r="D60" s="476"/>
      <c r="E60" s="476"/>
      <c r="F60" s="476"/>
      <c r="G60" s="476"/>
      <c r="H60" s="476"/>
      <c r="I60" s="476"/>
      <c r="J60" s="476"/>
      <c r="K60" s="476"/>
      <c r="L60" s="476"/>
      <c r="M60" s="476"/>
      <c r="N60" s="476"/>
      <c r="O60" s="476"/>
      <c r="P60" s="476"/>
      <c r="Q60" s="476"/>
      <c r="R60" s="476"/>
      <c r="S60" s="476"/>
      <c r="T60" s="476"/>
      <c r="U60" s="476"/>
      <c r="V60" s="476"/>
      <c r="W60" s="476"/>
      <c r="X60" s="476"/>
      <c r="Y60" s="476"/>
      <c r="Z60" s="476"/>
      <c r="AA60" s="477"/>
      <c r="AB60" s="476">
        <f t="shared" si="28"/>
        <v>0</v>
      </c>
      <c r="AC60" s="477"/>
      <c r="AD60" s="477"/>
      <c r="AE60" s="477"/>
      <c r="AF60" s="477"/>
      <c r="AG60" s="477"/>
      <c r="AH60" s="477"/>
      <c r="AI60" s="477"/>
      <c r="AJ60" s="477"/>
      <c r="AK60" s="477"/>
      <c r="AL60" s="477"/>
      <c r="AM60" s="477"/>
      <c r="AN60" s="477"/>
    </row>
    <row r="61" spans="1:40" s="389" customFormat="1" x14ac:dyDescent="0.35">
      <c r="A61" s="463">
        <v>7</v>
      </c>
      <c r="B61" s="472" t="s">
        <v>376</v>
      </c>
      <c r="C61" s="476"/>
      <c r="D61" s="476"/>
      <c r="E61" s="476"/>
      <c r="F61" s="476"/>
      <c r="G61" s="476"/>
      <c r="H61" s="476"/>
      <c r="I61" s="476"/>
      <c r="J61" s="476"/>
      <c r="K61" s="476"/>
      <c r="L61" s="476"/>
      <c r="M61" s="476"/>
      <c r="N61" s="476"/>
      <c r="O61" s="476"/>
      <c r="P61" s="476"/>
      <c r="Q61" s="476"/>
      <c r="R61" s="476"/>
      <c r="S61" s="476"/>
      <c r="T61" s="476"/>
      <c r="U61" s="476"/>
      <c r="V61" s="476"/>
      <c r="W61" s="476"/>
      <c r="X61" s="476"/>
      <c r="Y61" s="476"/>
      <c r="Z61" s="476"/>
      <c r="AA61" s="477"/>
      <c r="AB61" s="476">
        <f t="shared" si="28"/>
        <v>0</v>
      </c>
      <c r="AC61" s="477"/>
      <c r="AD61" s="477"/>
      <c r="AE61" s="477"/>
      <c r="AF61" s="477"/>
      <c r="AG61" s="477"/>
      <c r="AH61" s="477"/>
      <c r="AI61" s="477"/>
      <c r="AJ61" s="477"/>
      <c r="AK61" s="477"/>
      <c r="AL61" s="477"/>
      <c r="AM61" s="477"/>
      <c r="AN61" s="477"/>
    </row>
    <row r="62" spans="1:40" s="389" customFormat="1" x14ac:dyDescent="0.35">
      <c r="A62" s="463">
        <v>8</v>
      </c>
      <c r="B62" s="472" t="s">
        <v>377</v>
      </c>
      <c r="C62" s="561"/>
      <c r="D62" s="561"/>
      <c r="E62" s="561"/>
      <c r="F62" s="561"/>
      <c r="G62" s="561"/>
      <c r="H62" s="561"/>
      <c r="I62" s="561"/>
      <c r="J62" s="561"/>
      <c r="K62" s="561"/>
      <c r="L62" s="561"/>
      <c r="M62" s="561"/>
      <c r="N62" s="561"/>
      <c r="O62" s="561"/>
      <c r="P62" s="561"/>
      <c r="Q62" s="561"/>
      <c r="R62" s="561"/>
      <c r="S62" s="561"/>
      <c r="T62" s="561"/>
      <c r="U62" s="561"/>
      <c r="V62" s="561"/>
      <c r="W62" s="561"/>
      <c r="X62" s="561"/>
      <c r="Y62" s="561"/>
      <c r="Z62" s="561"/>
      <c r="AA62" s="477"/>
      <c r="AB62" s="476">
        <f t="shared" si="28"/>
        <v>0</v>
      </c>
      <c r="AC62" s="477"/>
      <c r="AD62" s="477"/>
      <c r="AE62" s="477"/>
      <c r="AF62" s="477"/>
      <c r="AG62" s="477"/>
      <c r="AH62" s="477"/>
      <c r="AI62" s="477"/>
      <c r="AJ62" s="477"/>
      <c r="AK62" s="477"/>
      <c r="AL62" s="477"/>
      <c r="AM62" s="477"/>
      <c r="AN62" s="477"/>
    </row>
    <row r="63" spans="1:40" s="389" customFormat="1" x14ac:dyDescent="0.35">
      <c r="A63" s="463">
        <v>9</v>
      </c>
      <c r="B63" s="472" t="s">
        <v>378</v>
      </c>
      <c r="C63" s="476"/>
      <c r="D63" s="476"/>
      <c r="E63" s="476"/>
      <c r="F63" s="476"/>
      <c r="G63" s="476"/>
      <c r="H63" s="476"/>
      <c r="I63" s="476"/>
      <c r="J63" s="476"/>
      <c r="K63" s="476"/>
      <c r="L63" s="476"/>
      <c r="M63" s="476"/>
      <c r="N63" s="476"/>
      <c r="O63" s="476"/>
      <c r="P63" s="476"/>
      <c r="Q63" s="476"/>
      <c r="R63" s="476"/>
      <c r="S63" s="476"/>
      <c r="T63" s="476"/>
      <c r="U63" s="476"/>
      <c r="V63" s="476"/>
      <c r="W63" s="476"/>
      <c r="X63" s="476"/>
      <c r="Y63" s="476"/>
      <c r="Z63" s="476"/>
      <c r="AA63" s="477"/>
      <c r="AB63" s="476">
        <f t="shared" si="28"/>
        <v>0</v>
      </c>
      <c r="AC63" s="477"/>
      <c r="AD63" s="477"/>
      <c r="AE63" s="477"/>
      <c r="AF63" s="477"/>
      <c r="AG63" s="477"/>
      <c r="AH63" s="477"/>
      <c r="AI63" s="477"/>
      <c r="AJ63" s="477"/>
      <c r="AK63" s="477"/>
      <c r="AL63" s="477"/>
      <c r="AM63" s="477"/>
      <c r="AN63" s="477"/>
    </row>
    <row r="64" spans="1:40" s="389" customFormat="1" x14ac:dyDescent="0.35">
      <c r="A64" s="463">
        <v>10</v>
      </c>
      <c r="B64" s="472" t="s">
        <v>379</v>
      </c>
      <c r="C64" s="476"/>
      <c r="D64" s="476"/>
      <c r="E64" s="476"/>
      <c r="F64" s="476"/>
      <c r="G64" s="476"/>
      <c r="H64" s="476"/>
      <c r="I64" s="476"/>
      <c r="J64" s="476"/>
      <c r="K64" s="476"/>
      <c r="L64" s="476"/>
      <c r="M64" s="476"/>
      <c r="N64" s="476"/>
      <c r="O64" s="476"/>
      <c r="P64" s="476"/>
      <c r="Q64" s="476"/>
      <c r="R64" s="476"/>
      <c r="S64" s="476"/>
      <c r="T64" s="476"/>
      <c r="U64" s="476"/>
      <c r="V64" s="476"/>
      <c r="W64" s="476"/>
      <c r="X64" s="476"/>
      <c r="Y64" s="476"/>
      <c r="Z64" s="476"/>
      <c r="AA64" s="477"/>
      <c r="AB64" s="476">
        <f t="shared" si="28"/>
        <v>0</v>
      </c>
      <c r="AC64" s="477"/>
      <c r="AD64" s="477"/>
      <c r="AE64" s="477"/>
      <c r="AF64" s="477"/>
      <c r="AG64" s="477"/>
      <c r="AH64" s="477"/>
      <c r="AI64" s="477"/>
      <c r="AJ64" s="477"/>
      <c r="AK64" s="477"/>
      <c r="AL64" s="477"/>
      <c r="AM64" s="477"/>
      <c r="AN64" s="477"/>
    </row>
    <row r="65" spans="1:40" s="389" customFormat="1" x14ac:dyDescent="0.35">
      <c r="A65" s="463">
        <v>11</v>
      </c>
      <c r="B65" s="472" t="s">
        <v>380</v>
      </c>
      <c r="C65" s="476"/>
      <c r="D65" s="476"/>
      <c r="E65" s="476"/>
      <c r="F65" s="476"/>
      <c r="G65" s="476"/>
      <c r="H65" s="476"/>
      <c r="I65" s="476"/>
      <c r="J65" s="476"/>
      <c r="K65" s="476"/>
      <c r="L65" s="476"/>
      <c r="M65" s="476"/>
      <c r="N65" s="476"/>
      <c r="O65" s="476"/>
      <c r="P65" s="476"/>
      <c r="Q65" s="476"/>
      <c r="R65" s="476"/>
      <c r="S65" s="476"/>
      <c r="T65" s="476"/>
      <c r="U65" s="476"/>
      <c r="V65" s="476"/>
      <c r="W65" s="476"/>
      <c r="X65" s="476"/>
      <c r="Y65" s="476"/>
      <c r="Z65" s="476"/>
      <c r="AA65" s="477"/>
      <c r="AB65" s="476">
        <f t="shared" si="28"/>
        <v>0</v>
      </c>
      <c r="AC65" s="477"/>
      <c r="AD65" s="477"/>
      <c r="AE65" s="477"/>
      <c r="AF65" s="477"/>
      <c r="AG65" s="477"/>
      <c r="AH65" s="477"/>
      <c r="AI65" s="477"/>
      <c r="AJ65" s="477"/>
      <c r="AK65" s="477"/>
      <c r="AL65" s="477"/>
      <c r="AM65" s="477"/>
      <c r="AN65" s="477"/>
    </row>
    <row r="66" spans="1:40" s="389" customFormat="1" x14ac:dyDescent="0.35">
      <c r="A66" s="463">
        <v>12</v>
      </c>
      <c r="B66" s="472" t="s">
        <v>381</v>
      </c>
      <c r="C66" s="476"/>
      <c r="D66" s="476"/>
      <c r="E66" s="476"/>
      <c r="F66" s="476"/>
      <c r="G66" s="476"/>
      <c r="H66" s="476"/>
      <c r="I66" s="476"/>
      <c r="J66" s="476"/>
      <c r="K66" s="476"/>
      <c r="L66" s="476"/>
      <c r="M66" s="476"/>
      <c r="N66" s="476"/>
      <c r="O66" s="476"/>
      <c r="P66" s="476"/>
      <c r="Q66" s="476"/>
      <c r="R66" s="476"/>
      <c r="S66" s="476"/>
      <c r="T66" s="476"/>
      <c r="U66" s="476"/>
      <c r="V66" s="476"/>
      <c r="W66" s="476"/>
      <c r="X66" s="476"/>
      <c r="Y66" s="476"/>
      <c r="Z66" s="476"/>
      <c r="AA66" s="477"/>
      <c r="AB66" s="476">
        <f t="shared" si="28"/>
        <v>0</v>
      </c>
      <c r="AC66" s="477"/>
      <c r="AD66" s="477"/>
      <c r="AE66" s="477"/>
      <c r="AF66" s="477"/>
      <c r="AG66" s="477"/>
      <c r="AH66" s="477"/>
      <c r="AI66" s="477"/>
      <c r="AJ66" s="477"/>
      <c r="AK66" s="477"/>
      <c r="AL66" s="477"/>
      <c r="AM66" s="477"/>
      <c r="AN66" s="477"/>
    </row>
    <row r="67" spans="1:40" s="389" customFormat="1" x14ac:dyDescent="0.35">
      <c r="A67" s="463">
        <v>13</v>
      </c>
      <c r="B67" s="472" t="s">
        <v>382</v>
      </c>
      <c r="C67" s="476"/>
      <c r="D67" s="476"/>
      <c r="E67" s="476"/>
      <c r="F67" s="476"/>
      <c r="G67" s="476"/>
      <c r="H67" s="476"/>
      <c r="I67" s="476"/>
      <c r="J67" s="476"/>
      <c r="K67" s="476"/>
      <c r="L67" s="476"/>
      <c r="M67" s="476"/>
      <c r="N67" s="476"/>
      <c r="O67" s="476"/>
      <c r="P67" s="476"/>
      <c r="Q67" s="476"/>
      <c r="R67" s="476"/>
      <c r="S67" s="476"/>
      <c r="T67" s="476"/>
      <c r="U67" s="476"/>
      <c r="V67" s="476"/>
      <c r="W67" s="476"/>
      <c r="X67" s="476"/>
      <c r="Y67" s="476"/>
      <c r="Z67" s="476"/>
      <c r="AA67" s="477"/>
      <c r="AB67" s="476">
        <f t="shared" si="28"/>
        <v>0</v>
      </c>
      <c r="AC67" s="477"/>
      <c r="AD67" s="477"/>
      <c r="AE67" s="477"/>
      <c r="AF67" s="477"/>
      <c r="AG67" s="477"/>
      <c r="AH67" s="477"/>
      <c r="AI67" s="477"/>
      <c r="AJ67" s="477"/>
      <c r="AK67" s="477"/>
      <c r="AL67" s="477"/>
      <c r="AM67" s="477"/>
      <c r="AN67" s="477"/>
    </row>
    <row r="68" spans="1:40" s="389" customFormat="1" x14ac:dyDescent="0.35">
      <c r="A68" s="463">
        <v>14</v>
      </c>
      <c r="B68" s="472" t="s">
        <v>383</v>
      </c>
      <c r="C68" s="476"/>
      <c r="D68" s="476"/>
      <c r="E68" s="476"/>
      <c r="F68" s="476"/>
      <c r="G68" s="476"/>
      <c r="H68" s="476"/>
      <c r="I68" s="476"/>
      <c r="J68" s="476"/>
      <c r="K68" s="476"/>
      <c r="L68" s="476"/>
      <c r="M68" s="476"/>
      <c r="N68" s="476"/>
      <c r="O68" s="476"/>
      <c r="P68" s="476"/>
      <c r="Q68" s="476"/>
      <c r="R68" s="476"/>
      <c r="S68" s="476"/>
      <c r="T68" s="476"/>
      <c r="U68" s="476"/>
      <c r="V68" s="476"/>
      <c r="W68" s="476"/>
      <c r="X68" s="476"/>
      <c r="Y68" s="476"/>
      <c r="Z68" s="476"/>
      <c r="AA68" s="477"/>
      <c r="AB68" s="476">
        <f t="shared" si="28"/>
        <v>0</v>
      </c>
      <c r="AC68" s="477"/>
      <c r="AD68" s="477"/>
      <c r="AE68" s="477"/>
      <c r="AF68" s="477"/>
      <c r="AG68" s="477"/>
      <c r="AH68" s="477"/>
      <c r="AI68" s="477"/>
      <c r="AJ68" s="477"/>
      <c r="AK68" s="477"/>
      <c r="AL68" s="477"/>
      <c r="AM68" s="477"/>
      <c r="AN68" s="477"/>
    </row>
    <row r="69" spans="1:40" s="389" customFormat="1" x14ac:dyDescent="0.35">
      <c r="A69" s="463">
        <v>15</v>
      </c>
      <c r="B69" s="472" t="s">
        <v>384</v>
      </c>
      <c r="C69" s="477"/>
      <c r="D69" s="477"/>
      <c r="E69" s="477"/>
      <c r="F69" s="477"/>
      <c r="G69" s="477"/>
      <c r="H69" s="477"/>
      <c r="I69" s="477"/>
      <c r="J69" s="477"/>
      <c r="K69" s="477"/>
      <c r="L69" s="477"/>
      <c r="M69" s="477"/>
      <c r="N69" s="477"/>
      <c r="O69" s="477"/>
      <c r="P69" s="477"/>
      <c r="Q69" s="477"/>
      <c r="R69" s="477"/>
      <c r="S69" s="477"/>
      <c r="T69" s="477"/>
      <c r="U69" s="477"/>
      <c r="V69" s="477"/>
      <c r="W69" s="477"/>
      <c r="X69" s="477"/>
      <c r="Y69" s="477"/>
      <c r="Z69" s="477"/>
      <c r="AA69" s="477"/>
      <c r="AB69" s="476">
        <f t="shared" si="28"/>
        <v>0</v>
      </c>
      <c r="AC69" s="477"/>
      <c r="AD69" s="477"/>
      <c r="AE69" s="477"/>
      <c r="AF69" s="477"/>
      <c r="AG69" s="477"/>
      <c r="AH69" s="477"/>
      <c r="AI69" s="477"/>
      <c r="AJ69" s="477"/>
      <c r="AK69" s="477"/>
      <c r="AL69" s="477"/>
      <c r="AM69" s="477"/>
      <c r="AN69" s="477"/>
    </row>
    <row r="70" spans="1:40" s="389" customFormat="1" x14ac:dyDescent="0.35">
      <c r="A70" s="474"/>
      <c r="B70" s="475" t="s">
        <v>18</v>
      </c>
      <c r="C70" s="501">
        <f>SUM(C55:C69)</f>
        <v>0</v>
      </c>
      <c r="D70" s="501">
        <f t="shared" ref="D70:Z70" si="29">SUM(D55:D69)</f>
        <v>0</v>
      </c>
      <c r="E70" s="501">
        <f t="shared" si="29"/>
        <v>0</v>
      </c>
      <c r="F70" s="501">
        <f t="shared" si="29"/>
        <v>0</v>
      </c>
      <c r="G70" s="501">
        <f t="shared" si="29"/>
        <v>0</v>
      </c>
      <c r="H70" s="501">
        <f t="shared" si="29"/>
        <v>0</v>
      </c>
      <c r="I70" s="501">
        <f t="shared" si="29"/>
        <v>0</v>
      </c>
      <c r="J70" s="501">
        <f t="shared" si="29"/>
        <v>0</v>
      </c>
      <c r="K70" s="501">
        <f t="shared" si="29"/>
        <v>0</v>
      </c>
      <c r="L70" s="501">
        <f t="shared" si="29"/>
        <v>0</v>
      </c>
      <c r="M70" s="501">
        <f t="shared" si="29"/>
        <v>0</v>
      </c>
      <c r="N70" s="501">
        <f t="shared" si="29"/>
        <v>0</v>
      </c>
      <c r="O70" s="501">
        <f t="shared" si="29"/>
        <v>0</v>
      </c>
      <c r="P70" s="501">
        <f t="shared" si="29"/>
        <v>0</v>
      </c>
      <c r="Q70" s="501">
        <f t="shared" si="29"/>
        <v>0</v>
      </c>
      <c r="R70" s="501">
        <f t="shared" si="29"/>
        <v>0</v>
      </c>
      <c r="S70" s="501">
        <f t="shared" si="29"/>
        <v>0</v>
      </c>
      <c r="T70" s="501">
        <f t="shared" si="29"/>
        <v>0</v>
      </c>
      <c r="U70" s="501">
        <f t="shared" si="29"/>
        <v>0</v>
      </c>
      <c r="V70" s="501">
        <f t="shared" si="29"/>
        <v>0</v>
      </c>
      <c r="W70" s="501">
        <f t="shared" si="29"/>
        <v>0</v>
      </c>
      <c r="X70" s="501">
        <f t="shared" si="29"/>
        <v>0</v>
      </c>
      <c r="Y70" s="501">
        <f t="shared" si="29"/>
        <v>0</v>
      </c>
      <c r="Z70" s="501">
        <f t="shared" si="29"/>
        <v>0</v>
      </c>
      <c r="AA70" s="501"/>
      <c r="AB70" s="562">
        <f t="shared" ref="AB70:AN70" si="30">SUM(AB55:AB69)</f>
        <v>0</v>
      </c>
      <c r="AC70" s="562">
        <f t="shared" si="30"/>
        <v>0</v>
      </c>
      <c r="AD70" s="562">
        <f t="shared" si="30"/>
        <v>0</v>
      </c>
      <c r="AE70" s="562">
        <f t="shared" si="30"/>
        <v>0</v>
      </c>
      <c r="AF70" s="562">
        <f t="shared" si="30"/>
        <v>0</v>
      </c>
      <c r="AG70" s="562">
        <f t="shared" si="30"/>
        <v>0</v>
      </c>
      <c r="AH70" s="562">
        <f t="shared" si="30"/>
        <v>0</v>
      </c>
      <c r="AI70" s="562">
        <f t="shared" si="30"/>
        <v>0</v>
      </c>
      <c r="AJ70" s="562">
        <f t="shared" si="30"/>
        <v>0</v>
      </c>
      <c r="AK70" s="562">
        <f t="shared" si="30"/>
        <v>0</v>
      </c>
      <c r="AL70" s="562">
        <f t="shared" si="30"/>
        <v>0</v>
      </c>
      <c r="AM70" s="562">
        <f t="shared" si="30"/>
        <v>0</v>
      </c>
      <c r="AN70" s="562">
        <f t="shared" si="30"/>
        <v>0</v>
      </c>
    </row>
    <row r="72" spans="1:40" x14ac:dyDescent="0.25">
      <c r="A72" s="993" t="s">
        <v>131</v>
      </c>
      <c r="B72" s="993"/>
      <c r="C72" s="993"/>
      <c r="D72" s="993"/>
      <c r="E72" s="993"/>
      <c r="F72" s="993"/>
      <c r="G72" s="993"/>
      <c r="H72" s="993"/>
      <c r="I72" s="993"/>
      <c r="J72" s="993"/>
      <c r="K72" s="993"/>
      <c r="L72" s="993"/>
      <c r="M72" s="993"/>
      <c r="N72" s="993"/>
      <c r="O72" s="993"/>
      <c r="P72" s="993"/>
      <c r="Q72" s="993"/>
      <c r="R72" s="993"/>
      <c r="S72" s="993"/>
      <c r="T72" s="993"/>
      <c r="U72" s="993"/>
      <c r="V72" s="993"/>
      <c r="W72" s="993"/>
      <c r="X72" s="993"/>
      <c r="Y72" s="993"/>
      <c r="Z72" s="993"/>
      <c r="AA72" s="993"/>
      <c r="AB72" s="993"/>
      <c r="AC72" s="993"/>
      <c r="AD72" s="993"/>
      <c r="AE72" s="993"/>
      <c r="AF72" s="993"/>
      <c r="AG72" s="993"/>
      <c r="AH72" s="993"/>
      <c r="AI72" s="993"/>
      <c r="AJ72" s="993"/>
      <c r="AK72" s="993"/>
      <c r="AL72" s="993"/>
      <c r="AM72" s="993"/>
      <c r="AN72" s="993"/>
    </row>
    <row r="73" spans="1:40" x14ac:dyDescent="0.25">
      <c r="A73" s="550" t="s">
        <v>292</v>
      </c>
      <c r="B73" s="550" t="s">
        <v>149</v>
      </c>
      <c r="C73" s="550"/>
      <c r="D73" s="550"/>
      <c r="E73" s="550"/>
      <c r="F73" s="550"/>
      <c r="G73" s="550"/>
      <c r="H73" s="550"/>
      <c r="I73" s="550"/>
      <c r="J73" s="550"/>
      <c r="K73" s="550"/>
      <c r="L73" s="550"/>
      <c r="M73" s="550"/>
      <c r="N73" s="550"/>
      <c r="O73" s="550"/>
      <c r="P73" s="550"/>
      <c r="Q73" s="550"/>
      <c r="R73" s="550"/>
      <c r="S73" s="550"/>
      <c r="T73" s="550"/>
      <c r="U73" s="550"/>
      <c r="V73" s="550"/>
      <c r="W73" s="550"/>
      <c r="X73" s="550"/>
      <c r="Y73" s="550"/>
      <c r="Z73" s="550"/>
      <c r="AA73" s="550"/>
      <c r="AB73" s="553" t="s">
        <v>149</v>
      </c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</row>
    <row r="74" spans="1:40" x14ac:dyDescent="0.25">
      <c r="A74" s="550" t="s">
        <v>226</v>
      </c>
      <c r="B74" s="550" t="s">
        <v>139</v>
      </c>
      <c r="C74" s="550"/>
      <c r="D74" s="550"/>
      <c r="E74" s="550"/>
      <c r="F74" s="550"/>
      <c r="G74" s="550"/>
      <c r="H74" s="550"/>
      <c r="I74" s="550"/>
      <c r="J74" s="550"/>
      <c r="K74" s="550"/>
      <c r="L74" s="550"/>
      <c r="M74" s="550"/>
      <c r="N74" s="550"/>
      <c r="O74" s="550"/>
      <c r="P74" s="550"/>
      <c r="Q74" s="550"/>
      <c r="R74" s="550"/>
      <c r="S74" s="550"/>
      <c r="T74" s="550"/>
      <c r="U74" s="550"/>
      <c r="V74" s="550"/>
      <c r="W74" s="550"/>
      <c r="X74" s="550"/>
      <c r="Y74" s="550"/>
      <c r="Z74" s="550"/>
      <c r="AA74" s="550"/>
      <c r="AB74" s="556" t="s">
        <v>401</v>
      </c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</row>
    <row r="75" spans="1:40" x14ac:dyDescent="0.25">
      <c r="A75" s="550"/>
      <c r="B75" s="550"/>
      <c r="C75" s="550"/>
      <c r="D75" s="550"/>
      <c r="E75" s="550"/>
      <c r="F75" s="550"/>
      <c r="G75" s="550"/>
      <c r="H75" s="550"/>
      <c r="I75" s="550"/>
      <c r="J75" s="550"/>
      <c r="K75" s="550"/>
      <c r="L75" s="550"/>
      <c r="M75" s="550"/>
      <c r="N75" s="550"/>
      <c r="O75" s="550"/>
      <c r="P75" s="550"/>
      <c r="Q75" s="550"/>
      <c r="R75" s="550"/>
      <c r="S75" s="550"/>
      <c r="T75" s="550"/>
      <c r="U75" s="550"/>
      <c r="V75" s="550"/>
      <c r="W75" s="550"/>
      <c r="X75" s="550"/>
      <c r="Y75" s="550"/>
      <c r="Z75" s="550"/>
      <c r="AA75" s="550"/>
      <c r="AB75" s="55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</row>
    <row r="76" spans="1:40" x14ac:dyDescent="0.25">
      <c r="A76" s="998" t="s">
        <v>1</v>
      </c>
      <c r="B76" s="998" t="s">
        <v>40</v>
      </c>
      <c r="C76" s="996" t="s">
        <v>118</v>
      </c>
      <c r="D76" s="992" t="s">
        <v>119</v>
      </c>
      <c r="E76" s="992" t="s">
        <v>127</v>
      </c>
      <c r="F76" s="992" t="s">
        <v>124</v>
      </c>
      <c r="G76" s="992" t="s">
        <v>120</v>
      </c>
      <c r="H76" s="992" t="s">
        <v>215</v>
      </c>
      <c r="I76" s="992" t="s">
        <v>122</v>
      </c>
      <c r="J76" s="992" t="s">
        <v>123</v>
      </c>
      <c r="K76" s="992" t="s">
        <v>218</v>
      </c>
      <c r="L76" s="992" t="s">
        <v>126</v>
      </c>
      <c r="M76" s="992" t="s">
        <v>125</v>
      </c>
      <c r="N76" s="992" t="s">
        <v>130</v>
      </c>
      <c r="O76" s="994" t="s">
        <v>216</v>
      </c>
      <c r="P76" s="996" t="s">
        <v>121</v>
      </c>
      <c r="Q76" s="992" t="s">
        <v>45</v>
      </c>
      <c r="R76" s="994" t="s">
        <v>217</v>
      </c>
      <c r="S76" s="992" t="s">
        <v>219</v>
      </c>
      <c r="T76" s="992" t="s">
        <v>128</v>
      </c>
      <c r="U76" s="992" t="s">
        <v>221</v>
      </c>
      <c r="V76" s="992" t="s">
        <v>220</v>
      </c>
      <c r="W76" s="992" t="s">
        <v>222</v>
      </c>
      <c r="X76" s="992" t="s">
        <v>223</v>
      </c>
      <c r="Y76" s="994" t="s">
        <v>224</v>
      </c>
      <c r="Z76" s="992" t="s">
        <v>129</v>
      </c>
      <c r="AA76" s="990" t="s">
        <v>415</v>
      </c>
      <c r="AB76" s="999" t="s">
        <v>117</v>
      </c>
      <c r="AC76" s="1000" t="s">
        <v>214</v>
      </c>
      <c r="AD76" s="1000"/>
      <c r="AE76" s="1000"/>
      <c r="AF76" s="460" t="s">
        <v>204</v>
      </c>
      <c r="AG76" s="1000" t="s">
        <v>213</v>
      </c>
      <c r="AH76" s="1000"/>
      <c r="AI76" s="1001" t="s">
        <v>132</v>
      </c>
      <c r="AJ76" s="1002"/>
      <c r="AK76" s="1002"/>
      <c r="AL76" s="1003"/>
      <c r="AM76" s="460" t="s">
        <v>205</v>
      </c>
      <c r="AN76" s="1000" t="s">
        <v>206</v>
      </c>
    </row>
    <row r="77" spans="1:40" x14ac:dyDescent="0.25">
      <c r="A77" s="998"/>
      <c r="B77" s="998"/>
      <c r="C77" s="997"/>
      <c r="D77" s="991"/>
      <c r="E77" s="991"/>
      <c r="F77" s="991"/>
      <c r="G77" s="991"/>
      <c r="H77" s="991"/>
      <c r="I77" s="991"/>
      <c r="J77" s="991"/>
      <c r="K77" s="991"/>
      <c r="L77" s="991"/>
      <c r="M77" s="991"/>
      <c r="N77" s="991"/>
      <c r="O77" s="995"/>
      <c r="P77" s="997"/>
      <c r="Q77" s="991"/>
      <c r="R77" s="995"/>
      <c r="S77" s="991"/>
      <c r="T77" s="991"/>
      <c r="U77" s="991"/>
      <c r="V77" s="991"/>
      <c r="W77" s="991"/>
      <c r="X77" s="991"/>
      <c r="Y77" s="995"/>
      <c r="Z77" s="991"/>
      <c r="AA77" s="991"/>
      <c r="AB77" s="999"/>
      <c r="AC77" s="462" t="s">
        <v>193</v>
      </c>
      <c r="AD77" s="462" t="s">
        <v>192</v>
      </c>
      <c r="AE77" s="462" t="s">
        <v>191</v>
      </c>
      <c r="AF77" s="461" t="s">
        <v>207</v>
      </c>
      <c r="AG77" s="462" t="s">
        <v>208</v>
      </c>
      <c r="AH77" s="462" t="s">
        <v>209</v>
      </c>
      <c r="AI77" s="462" t="s">
        <v>210</v>
      </c>
      <c r="AJ77" s="462" t="s">
        <v>211</v>
      </c>
      <c r="AK77" s="462" t="s">
        <v>88</v>
      </c>
      <c r="AL77" s="462" t="s">
        <v>18</v>
      </c>
      <c r="AM77" s="461" t="s">
        <v>212</v>
      </c>
      <c r="AN77" s="1000"/>
    </row>
    <row r="78" spans="1:40" s="503" customFormat="1" x14ac:dyDescent="0.3">
      <c r="A78" s="463">
        <v>1</v>
      </c>
      <c r="B78" s="464" t="str">
        <f>B7</f>
        <v>Kedung I</v>
      </c>
      <c r="C78" s="476"/>
      <c r="D78" s="476"/>
      <c r="E78" s="476"/>
      <c r="F78" s="476"/>
      <c r="G78" s="476"/>
      <c r="H78" s="476"/>
      <c r="I78" s="476"/>
      <c r="J78" s="476"/>
      <c r="K78" s="476"/>
      <c r="L78" s="476"/>
      <c r="M78" s="476"/>
      <c r="N78" s="476"/>
      <c r="O78" s="476"/>
      <c r="P78" s="476"/>
      <c r="Q78" s="476"/>
      <c r="R78" s="476"/>
      <c r="S78" s="476"/>
      <c r="T78" s="476"/>
      <c r="U78" s="476"/>
      <c r="V78" s="476"/>
      <c r="W78" s="476"/>
      <c r="X78" s="476"/>
      <c r="Y78" s="476"/>
      <c r="Z78" s="476"/>
      <c r="AA78" s="476"/>
      <c r="AB78" s="477">
        <f>SUM(C78:AA78)</f>
        <v>0</v>
      </c>
      <c r="AC78" s="477"/>
      <c r="AD78" s="477"/>
      <c r="AE78" s="477"/>
      <c r="AF78" s="477"/>
      <c r="AG78" s="477"/>
      <c r="AH78" s="477"/>
      <c r="AI78" s="477"/>
      <c r="AJ78" s="477"/>
      <c r="AK78" s="477"/>
      <c r="AL78" s="477"/>
      <c r="AM78" s="477"/>
      <c r="AN78" s="477"/>
    </row>
    <row r="79" spans="1:40" s="503" customFormat="1" x14ac:dyDescent="0.3">
      <c r="A79" s="463">
        <v>2</v>
      </c>
      <c r="B79" s="464" t="str">
        <f t="shared" ref="B79:B92" si="31">B8</f>
        <v>Pecangaan</v>
      </c>
      <c r="C79" s="476"/>
      <c r="D79" s="476"/>
      <c r="E79" s="476"/>
      <c r="F79" s="476"/>
      <c r="G79" s="476"/>
      <c r="H79" s="476"/>
      <c r="I79" s="476"/>
      <c r="J79" s="476"/>
      <c r="K79" s="476"/>
      <c r="L79" s="476"/>
      <c r="M79" s="476"/>
      <c r="N79" s="476"/>
      <c r="O79" s="476"/>
      <c r="P79" s="476"/>
      <c r="Q79" s="476"/>
      <c r="R79" s="476"/>
      <c r="S79" s="476"/>
      <c r="T79" s="476"/>
      <c r="U79" s="476"/>
      <c r="V79" s="476"/>
      <c r="W79" s="476"/>
      <c r="X79" s="476"/>
      <c r="Y79" s="476"/>
      <c r="Z79" s="476"/>
      <c r="AA79" s="477"/>
      <c r="AB79" s="477">
        <f t="shared" ref="AB79:AB92" si="32">SUM(C79:AA79)</f>
        <v>0</v>
      </c>
      <c r="AC79" s="477"/>
      <c r="AD79" s="477"/>
      <c r="AE79" s="477"/>
      <c r="AF79" s="477"/>
      <c r="AG79" s="477"/>
      <c r="AH79" s="477"/>
      <c r="AI79" s="477"/>
      <c r="AJ79" s="477"/>
      <c r="AK79" s="477"/>
      <c r="AL79" s="477"/>
      <c r="AM79" s="477"/>
      <c r="AN79" s="477"/>
    </row>
    <row r="80" spans="1:40" s="503" customFormat="1" x14ac:dyDescent="0.3">
      <c r="A80" s="463">
        <v>3</v>
      </c>
      <c r="B80" s="464" t="str">
        <f t="shared" si="31"/>
        <v>Welahan I</v>
      </c>
      <c r="C80" s="476"/>
      <c r="D80" s="476"/>
      <c r="E80" s="476"/>
      <c r="F80" s="476"/>
      <c r="G80" s="476"/>
      <c r="H80" s="476"/>
      <c r="I80" s="476"/>
      <c r="J80" s="476"/>
      <c r="K80" s="476"/>
      <c r="L80" s="476"/>
      <c r="M80" s="476"/>
      <c r="N80" s="476"/>
      <c r="O80" s="476"/>
      <c r="P80" s="476"/>
      <c r="Q80" s="476"/>
      <c r="R80" s="476"/>
      <c r="S80" s="476"/>
      <c r="T80" s="476"/>
      <c r="U80" s="476"/>
      <c r="V80" s="476"/>
      <c r="W80" s="476"/>
      <c r="X80" s="476"/>
      <c r="Y80" s="476"/>
      <c r="Z80" s="476"/>
      <c r="AA80" s="477"/>
      <c r="AB80" s="477">
        <f t="shared" si="32"/>
        <v>0</v>
      </c>
      <c r="AC80" s="477"/>
      <c r="AD80" s="477"/>
      <c r="AE80" s="477"/>
      <c r="AF80" s="477"/>
      <c r="AG80" s="477"/>
      <c r="AH80" s="477"/>
      <c r="AI80" s="477"/>
      <c r="AJ80" s="477"/>
      <c r="AK80" s="477"/>
      <c r="AL80" s="477"/>
      <c r="AM80" s="477"/>
      <c r="AN80" s="477"/>
    </row>
    <row r="81" spans="1:40" s="503" customFormat="1" x14ac:dyDescent="0.3">
      <c r="A81" s="463">
        <v>4</v>
      </c>
      <c r="B81" s="464" t="str">
        <f t="shared" si="31"/>
        <v>Welahan II</v>
      </c>
      <c r="C81" s="476"/>
      <c r="D81" s="476"/>
      <c r="E81" s="476"/>
      <c r="F81" s="476"/>
      <c r="G81" s="476"/>
      <c r="H81" s="476"/>
      <c r="I81" s="476"/>
      <c r="J81" s="476"/>
      <c r="K81" s="476"/>
      <c r="L81" s="476"/>
      <c r="M81" s="476"/>
      <c r="N81" s="476"/>
      <c r="O81" s="476"/>
      <c r="P81" s="476"/>
      <c r="Q81" s="476"/>
      <c r="R81" s="476"/>
      <c r="S81" s="476"/>
      <c r="T81" s="476"/>
      <c r="U81" s="476"/>
      <c r="V81" s="476"/>
      <c r="W81" s="476"/>
      <c r="X81" s="476"/>
      <c r="Y81" s="476"/>
      <c r="Z81" s="476"/>
      <c r="AA81" s="477"/>
      <c r="AB81" s="477">
        <f t="shared" si="32"/>
        <v>0</v>
      </c>
      <c r="AC81" s="477"/>
      <c r="AD81" s="477"/>
      <c r="AE81" s="477"/>
      <c r="AF81" s="477"/>
      <c r="AG81" s="477"/>
      <c r="AH81" s="477"/>
      <c r="AI81" s="477"/>
      <c r="AJ81" s="477"/>
      <c r="AK81" s="477"/>
      <c r="AL81" s="477"/>
      <c r="AM81" s="477"/>
      <c r="AN81" s="477"/>
    </row>
    <row r="82" spans="1:40" s="503" customFormat="1" x14ac:dyDescent="0.3">
      <c r="A82" s="463">
        <v>5</v>
      </c>
      <c r="B82" s="464" t="str">
        <f t="shared" si="31"/>
        <v>Mayong I</v>
      </c>
      <c r="C82" s="477"/>
      <c r="D82" s="477"/>
      <c r="E82" s="477"/>
      <c r="F82" s="477"/>
      <c r="G82" s="477"/>
      <c r="H82" s="477"/>
      <c r="I82" s="477"/>
      <c r="J82" s="477"/>
      <c r="K82" s="477"/>
      <c r="L82" s="477"/>
      <c r="M82" s="477"/>
      <c r="N82" s="477"/>
      <c r="O82" s="477"/>
      <c r="P82" s="477"/>
      <c r="Q82" s="477"/>
      <c r="R82" s="477"/>
      <c r="S82" s="477"/>
      <c r="T82" s="477"/>
      <c r="U82" s="477"/>
      <c r="V82" s="477"/>
      <c r="W82" s="477"/>
      <c r="X82" s="477"/>
      <c r="Y82" s="477"/>
      <c r="Z82" s="477"/>
      <c r="AA82" s="477"/>
      <c r="AB82" s="477">
        <f t="shared" si="32"/>
        <v>0</v>
      </c>
      <c r="AC82" s="477"/>
      <c r="AD82" s="477"/>
      <c r="AE82" s="477"/>
      <c r="AF82" s="477"/>
      <c r="AG82" s="477"/>
      <c r="AH82" s="477"/>
      <c r="AI82" s="477"/>
      <c r="AJ82" s="477"/>
      <c r="AK82" s="477"/>
      <c r="AL82" s="477"/>
      <c r="AM82" s="477"/>
      <c r="AN82" s="477"/>
    </row>
    <row r="83" spans="1:40" s="503" customFormat="1" x14ac:dyDescent="0.3">
      <c r="A83" s="463">
        <v>6</v>
      </c>
      <c r="B83" s="464" t="str">
        <f t="shared" si="31"/>
        <v>Mayong II</v>
      </c>
      <c r="C83" s="476"/>
      <c r="D83" s="476"/>
      <c r="E83" s="476"/>
      <c r="F83" s="476"/>
      <c r="G83" s="476"/>
      <c r="H83" s="476"/>
      <c r="I83" s="476"/>
      <c r="J83" s="476"/>
      <c r="K83" s="476"/>
      <c r="L83" s="476"/>
      <c r="M83" s="476"/>
      <c r="N83" s="476"/>
      <c r="O83" s="476"/>
      <c r="P83" s="476"/>
      <c r="Q83" s="476"/>
      <c r="R83" s="476"/>
      <c r="S83" s="476"/>
      <c r="T83" s="476"/>
      <c r="U83" s="476"/>
      <c r="V83" s="476"/>
      <c r="W83" s="476"/>
      <c r="X83" s="476"/>
      <c r="Y83" s="476"/>
      <c r="Z83" s="476"/>
      <c r="AA83" s="477"/>
      <c r="AB83" s="477">
        <f t="shared" si="32"/>
        <v>0</v>
      </c>
      <c r="AC83" s="477"/>
      <c r="AD83" s="477"/>
      <c r="AE83" s="477"/>
      <c r="AF83" s="477"/>
      <c r="AG83" s="477"/>
      <c r="AH83" s="477"/>
      <c r="AI83" s="477"/>
      <c r="AJ83" s="477"/>
      <c r="AK83" s="477"/>
      <c r="AL83" s="477"/>
      <c r="AM83" s="477"/>
      <c r="AN83" s="477"/>
    </row>
    <row r="84" spans="1:40" s="503" customFormat="1" x14ac:dyDescent="0.3">
      <c r="A84" s="463">
        <v>7</v>
      </c>
      <c r="B84" s="464" t="str">
        <f t="shared" si="31"/>
        <v>Batealit</v>
      </c>
      <c r="C84" s="476"/>
      <c r="D84" s="476"/>
      <c r="E84" s="476"/>
      <c r="F84" s="476"/>
      <c r="G84" s="476"/>
      <c r="H84" s="476"/>
      <c r="I84" s="476"/>
      <c r="J84" s="476"/>
      <c r="K84" s="476"/>
      <c r="L84" s="476"/>
      <c r="M84" s="476"/>
      <c r="N84" s="476"/>
      <c r="O84" s="476"/>
      <c r="P84" s="476"/>
      <c r="Q84" s="476"/>
      <c r="R84" s="476"/>
      <c r="S84" s="476"/>
      <c r="T84" s="476"/>
      <c r="U84" s="476"/>
      <c r="V84" s="476"/>
      <c r="W84" s="476"/>
      <c r="X84" s="476"/>
      <c r="Y84" s="476"/>
      <c r="Z84" s="476"/>
      <c r="AA84" s="477"/>
      <c r="AB84" s="477">
        <f t="shared" si="32"/>
        <v>0</v>
      </c>
      <c r="AC84" s="477"/>
      <c r="AD84" s="477"/>
      <c r="AE84" s="477"/>
      <c r="AF84" s="477"/>
      <c r="AG84" s="477"/>
      <c r="AH84" s="477"/>
      <c r="AI84" s="477"/>
      <c r="AJ84" s="477"/>
      <c r="AK84" s="477"/>
      <c r="AL84" s="477"/>
      <c r="AM84" s="477"/>
      <c r="AN84" s="477"/>
    </row>
    <row r="85" spans="1:40" s="503" customFormat="1" x14ac:dyDescent="0.3">
      <c r="A85" s="463">
        <v>8</v>
      </c>
      <c r="B85" s="464" t="str">
        <f t="shared" si="31"/>
        <v>Mlonggo</v>
      </c>
      <c r="C85" s="561"/>
      <c r="D85" s="561"/>
      <c r="E85" s="561"/>
      <c r="F85" s="561"/>
      <c r="G85" s="561"/>
      <c r="H85" s="561"/>
      <c r="I85" s="561"/>
      <c r="J85" s="561"/>
      <c r="K85" s="561"/>
      <c r="L85" s="561"/>
      <c r="M85" s="561"/>
      <c r="N85" s="561"/>
      <c r="O85" s="561"/>
      <c r="P85" s="561"/>
      <c r="Q85" s="561"/>
      <c r="R85" s="561"/>
      <c r="S85" s="561"/>
      <c r="T85" s="561"/>
      <c r="U85" s="561"/>
      <c r="V85" s="561"/>
      <c r="W85" s="561"/>
      <c r="X85" s="561"/>
      <c r="Y85" s="561"/>
      <c r="Z85" s="561"/>
      <c r="AA85" s="477"/>
      <c r="AB85" s="477">
        <f t="shared" si="32"/>
        <v>0</v>
      </c>
      <c r="AC85" s="477"/>
      <c r="AD85" s="477"/>
      <c r="AE85" s="477"/>
      <c r="AF85" s="477"/>
      <c r="AG85" s="477"/>
      <c r="AH85" s="477"/>
      <c r="AI85" s="477"/>
      <c r="AJ85" s="477"/>
      <c r="AK85" s="477"/>
      <c r="AL85" s="477"/>
      <c r="AM85" s="477"/>
      <c r="AN85" s="477"/>
    </row>
    <row r="86" spans="1:40" s="503" customFormat="1" x14ac:dyDescent="0.3">
      <c r="A86" s="463">
        <v>9</v>
      </c>
      <c r="B86" s="464" t="str">
        <f t="shared" si="31"/>
        <v>Pakis Aji</v>
      </c>
      <c r="C86" s="476"/>
      <c r="D86" s="476"/>
      <c r="E86" s="476"/>
      <c r="F86" s="476"/>
      <c r="G86" s="476"/>
      <c r="H86" s="476"/>
      <c r="I86" s="476"/>
      <c r="J86" s="476"/>
      <c r="K86" s="476"/>
      <c r="L86" s="476"/>
      <c r="M86" s="476"/>
      <c r="N86" s="476"/>
      <c r="O86" s="476"/>
      <c r="P86" s="476"/>
      <c r="Q86" s="476"/>
      <c r="R86" s="476"/>
      <c r="S86" s="476"/>
      <c r="T86" s="476"/>
      <c r="U86" s="476"/>
      <c r="V86" s="476"/>
      <c r="W86" s="476"/>
      <c r="X86" s="476"/>
      <c r="Y86" s="476"/>
      <c r="Z86" s="476"/>
      <c r="AA86" s="477"/>
      <c r="AB86" s="477">
        <f t="shared" si="32"/>
        <v>0</v>
      </c>
      <c r="AC86" s="477"/>
      <c r="AD86" s="477"/>
      <c r="AE86" s="477"/>
      <c r="AF86" s="477"/>
      <c r="AG86" s="477"/>
      <c r="AH86" s="477"/>
      <c r="AI86" s="477"/>
      <c r="AJ86" s="477"/>
      <c r="AK86" s="477"/>
      <c r="AL86" s="477"/>
      <c r="AM86" s="477"/>
      <c r="AN86" s="477"/>
    </row>
    <row r="87" spans="1:40" s="503" customFormat="1" x14ac:dyDescent="0.3">
      <c r="A87" s="463">
        <v>10</v>
      </c>
      <c r="B87" s="464" t="str">
        <f t="shared" si="31"/>
        <v>Bangsri I</v>
      </c>
      <c r="C87" s="476"/>
      <c r="D87" s="476"/>
      <c r="E87" s="476"/>
      <c r="F87" s="476"/>
      <c r="G87" s="476"/>
      <c r="H87" s="476"/>
      <c r="I87" s="476"/>
      <c r="J87" s="476"/>
      <c r="K87" s="476"/>
      <c r="L87" s="476"/>
      <c r="M87" s="476"/>
      <c r="N87" s="476"/>
      <c r="O87" s="476"/>
      <c r="P87" s="476"/>
      <c r="Q87" s="476"/>
      <c r="R87" s="476"/>
      <c r="S87" s="476"/>
      <c r="T87" s="476"/>
      <c r="U87" s="476"/>
      <c r="V87" s="476"/>
      <c r="W87" s="476"/>
      <c r="X87" s="476"/>
      <c r="Y87" s="476"/>
      <c r="Z87" s="476"/>
      <c r="AA87" s="477"/>
      <c r="AB87" s="477">
        <f t="shared" si="32"/>
        <v>0</v>
      </c>
      <c r="AC87" s="477"/>
      <c r="AD87" s="477"/>
      <c r="AE87" s="477"/>
      <c r="AF87" s="477"/>
      <c r="AG87" s="477"/>
      <c r="AH87" s="477"/>
      <c r="AI87" s="477"/>
      <c r="AJ87" s="477"/>
      <c r="AK87" s="477"/>
      <c r="AL87" s="477"/>
      <c r="AM87" s="477"/>
      <c r="AN87" s="477"/>
    </row>
    <row r="88" spans="1:40" s="503" customFormat="1" x14ac:dyDescent="0.3">
      <c r="A88" s="463">
        <v>11</v>
      </c>
      <c r="B88" s="464" t="str">
        <f t="shared" si="31"/>
        <v>Keling I</v>
      </c>
      <c r="C88" s="476"/>
      <c r="D88" s="476"/>
      <c r="E88" s="476"/>
      <c r="F88" s="476"/>
      <c r="G88" s="476"/>
      <c r="H88" s="476"/>
      <c r="I88" s="476"/>
      <c r="J88" s="476"/>
      <c r="K88" s="476"/>
      <c r="L88" s="476"/>
      <c r="M88" s="476"/>
      <c r="N88" s="476"/>
      <c r="O88" s="476"/>
      <c r="P88" s="476"/>
      <c r="Q88" s="476"/>
      <c r="R88" s="476"/>
      <c r="S88" s="476"/>
      <c r="T88" s="476"/>
      <c r="U88" s="476"/>
      <c r="V88" s="476"/>
      <c r="W88" s="476"/>
      <c r="X88" s="476"/>
      <c r="Y88" s="476"/>
      <c r="Z88" s="476"/>
      <c r="AA88" s="477"/>
      <c r="AB88" s="477">
        <f t="shared" si="32"/>
        <v>0</v>
      </c>
      <c r="AC88" s="477"/>
      <c r="AD88" s="477"/>
      <c r="AE88" s="477"/>
      <c r="AF88" s="477"/>
      <c r="AG88" s="477"/>
      <c r="AH88" s="477"/>
      <c r="AI88" s="477"/>
      <c r="AJ88" s="477"/>
      <c r="AK88" s="477"/>
      <c r="AL88" s="477"/>
      <c r="AM88" s="477"/>
      <c r="AN88" s="477"/>
    </row>
    <row r="89" spans="1:40" s="503" customFormat="1" x14ac:dyDescent="0.3">
      <c r="A89" s="463">
        <v>12</v>
      </c>
      <c r="B89" s="464" t="str">
        <f t="shared" si="31"/>
        <v>Karimunjawa</v>
      </c>
      <c r="C89" s="476"/>
      <c r="D89" s="476"/>
      <c r="E89" s="476"/>
      <c r="F89" s="476"/>
      <c r="G89" s="476"/>
      <c r="H89" s="476"/>
      <c r="I89" s="476"/>
      <c r="J89" s="476"/>
      <c r="K89" s="476"/>
      <c r="L89" s="476"/>
      <c r="M89" s="476"/>
      <c r="N89" s="476"/>
      <c r="O89" s="476"/>
      <c r="P89" s="476"/>
      <c r="Q89" s="476"/>
      <c r="R89" s="476"/>
      <c r="S89" s="476"/>
      <c r="T89" s="476"/>
      <c r="U89" s="476"/>
      <c r="V89" s="476"/>
      <c r="W89" s="476"/>
      <c r="X89" s="476"/>
      <c r="Y89" s="476"/>
      <c r="Z89" s="476"/>
      <c r="AA89" s="477"/>
      <c r="AB89" s="477">
        <f t="shared" si="32"/>
        <v>0</v>
      </c>
      <c r="AC89" s="477"/>
      <c r="AD89" s="477"/>
      <c r="AE89" s="477"/>
      <c r="AF89" s="477"/>
      <c r="AG89" s="477"/>
      <c r="AH89" s="477"/>
      <c r="AI89" s="477"/>
      <c r="AJ89" s="477"/>
      <c r="AK89" s="477"/>
      <c r="AL89" s="477"/>
      <c r="AM89" s="477"/>
      <c r="AN89" s="477"/>
    </row>
    <row r="90" spans="1:40" s="503" customFormat="1" x14ac:dyDescent="0.3">
      <c r="A90" s="463">
        <v>13</v>
      </c>
      <c r="B90" s="464" t="str">
        <f t="shared" si="31"/>
        <v>Nalumsari I</v>
      </c>
      <c r="C90" s="476"/>
      <c r="D90" s="476"/>
      <c r="E90" s="476"/>
      <c r="F90" s="476"/>
      <c r="G90" s="476"/>
      <c r="H90" s="476"/>
      <c r="I90" s="476"/>
      <c r="J90" s="476"/>
      <c r="K90" s="476"/>
      <c r="L90" s="476"/>
      <c r="M90" s="476"/>
      <c r="N90" s="476"/>
      <c r="O90" s="476"/>
      <c r="P90" s="476"/>
      <c r="Q90" s="476"/>
      <c r="R90" s="476"/>
      <c r="S90" s="476"/>
      <c r="T90" s="476"/>
      <c r="U90" s="476"/>
      <c r="V90" s="476"/>
      <c r="W90" s="476"/>
      <c r="X90" s="476"/>
      <c r="Y90" s="476"/>
      <c r="Z90" s="476"/>
      <c r="AA90" s="477"/>
      <c r="AB90" s="477">
        <f t="shared" si="32"/>
        <v>0</v>
      </c>
      <c r="AC90" s="477"/>
      <c r="AD90" s="477"/>
      <c r="AE90" s="477"/>
      <c r="AF90" s="477"/>
      <c r="AG90" s="477"/>
      <c r="AH90" s="477"/>
      <c r="AI90" s="477"/>
      <c r="AJ90" s="477"/>
      <c r="AK90" s="477"/>
      <c r="AL90" s="477"/>
      <c r="AM90" s="477"/>
      <c r="AN90" s="477"/>
    </row>
    <row r="91" spans="1:40" s="503" customFormat="1" x14ac:dyDescent="0.3">
      <c r="A91" s="463">
        <v>14</v>
      </c>
      <c r="B91" s="464" t="str">
        <f t="shared" si="31"/>
        <v>Kalinyamatan</v>
      </c>
      <c r="C91" s="476"/>
      <c r="D91" s="476"/>
      <c r="E91" s="476"/>
      <c r="F91" s="476"/>
      <c r="G91" s="476"/>
      <c r="H91" s="476"/>
      <c r="I91" s="476"/>
      <c r="J91" s="476"/>
      <c r="K91" s="476"/>
      <c r="L91" s="476"/>
      <c r="M91" s="476"/>
      <c r="N91" s="476"/>
      <c r="O91" s="476"/>
      <c r="P91" s="476"/>
      <c r="Q91" s="476"/>
      <c r="R91" s="476"/>
      <c r="S91" s="476"/>
      <c r="T91" s="476"/>
      <c r="U91" s="476"/>
      <c r="V91" s="476"/>
      <c r="W91" s="476"/>
      <c r="X91" s="476"/>
      <c r="Y91" s="476"/>
      <c r="Z91" s="476"/>
      <c r="AA91" s="477"/>
      <c r="AB91" s="477">
        <f t="shared" si="32"/>
        <v>0</v>
      </c>
      <c r="AC91" s="477"/>
      <c r="AD91" s="477"/>
      <c r="AE91" s="477"/>
      <c r="AF91" s="477"/>
      <c r="AG91" s="477"/>
      <c r="AH91" s="477"/>
      <c r="AI91" s="477"/>
      <c r="AJ91" s="477"/>
      <c r="AK91" s="477"/>
      <c r="AL91" s="477"/>
      <c r="AM91" s="477"/>
      <c r="AN91" s="477"/>
    </row>
    <row r="92" spans="1:40" s="503" customFormat="1" x14ac:dyDescent="0.3">
      <c r="A92" s="463">
        <v>15</v>
      </c>
      <c r="B92" s="464" t="str">
        <f t="shared" si="31"/>
        <v>Donorojo</v>
      </c>
      <c r="C92" s="477"/>
      <c r="D92" s="477"/>
      <c r="E92" s="477"/>
      <c r="F92" s="477"/>
      <c r="G92" s="477"/>
      <c r="H92" s="477"/>
      <c r="I92" s="477"/>
      <c r="J92" s="477"/>
      <c r="K92" s="477"/>
      <c r="L92" s="477"/>
      <c r="M92" s="477"/>
      <c r="N92" s="477"/>
      <c r="O92" s="477"/>
      <c r="P92" s="477"/>
      <c r="Q92" s="477"/>
      <c r="R92" s="477"/>
      <c r="S92" s="477"/>
      <c r="T92" s="477"/>
      <c r="U92" s="477"/>
      <c r="V92" s="477"/>
      <c r="W92" s="477"/>
      <c r="X92" s="477"/>
      <c r="Y92" s="477"/>
      <c r="Z92" s="477"/>
      <c r="AA92" s="477"/>
      <c r="AB92" s="477">
        <f t="shared" si="32"/>
        <v>0</v>
      </c>
      <c r="AC92" s="477"/>
      <c r="AD92" s="477"/>
      <c r="AE92" s="477"/>
      <c r="AF92" s="477"/>
      <c r="AG92" s="477"/>
      <c r="AH92" s="477"/>
      <c r="AI92" s="477"/>
      <c r="AJ92" s="477"/>
      <c r="AK92" s="477"/>
      <c r="AL92" s="477"/>
      <c r="AM92" s="477"/>
      <c r="AN92" s="477"/>
    </row>
    <row r="93" spans="1:40" x14ac:dyDescent="0.25">
      <c r="A93" s="465"/>
      <c r="B93" s="466" t="s">
        <v>18</v>
      </c>
      <c r="C93" s="501">
        <f t="shared" ref="C93:AB93" si="33">SUM(C78:C92)</f>
        <v>0</v>
      </c>
      <c r="D93" s="501">
        <f t="shared" si="33"/>
        <v>0</v>
      </c>
      <c r="E93" s="501">
        <f t="shared" si="33"/>
        <v>0</v>
      </c>
      <c r="F93" s="501">
        <f t="shared" si="33"/>
        <v>0</v>
      </c>
      <c r="G93" s="501">
        <f t="shared" si="33"/>
        <v>0</v>
      </c>
      <c r="H93" s="501">
        <f t="shared" si="33"/>
        <v>0</v>
      </c>
      <c r="I93" s="501">
        <f t="shared" si="33"/>
        <v>0</v>
      </c>
      <c r="J93" s="501">
        <f t="shared" si="33"/>
        <v>0</v>
      </c>
      <c r="K93" s="501">
        <f t="shared" si="33"/>
        <v>0</v>
      </c>
      <c r="L93" s="501">
        <f t="shared" si="33"/>
        <v>0</v>
      </c>
      <c r="M93" s="501">
        <f t="shared" si="33"/>
        <v>0</v>
      </c>
      <c r="N93" s="501">
        <f t="shared" si="33"/>
        <v>0</v>
      </c>
      <c r="O93" s="501">
        <f t="shared" si="33"/>
        <v>0</v>
      </c>
      <c r="P93" s="501">
        <f t="shared" si="33"/>
        <v>0</v>
      </c>
      <c r="Q93" s="501">
        <f t="shared" si="33"/>
        <v>0</v>
      </c>
      <c r="R93" s="501">
        <f t="shared" si="33"/>
        <v>0</v>
      </c>
      <c r="S93" s="501">
        <f t="shared" si="33"/>
        <v>0</v>
      </c>
      <c r="T93" s="501">
        <f t="shared" si="33"/>
        <v>0</v>
      </c>
      <c r="U93" s="501">
        <f t="shared" si="33"/>
        <v>0</v>
      </c>
      <c r="V93" s="501">
        <f t="shared" si="33"/>
        <v>0</v>
      </c>
      <c r="W93" s="501">
        <f t="shared" si="33"/>
        <v>0</v>
      </c>
      <c r="X93" s="501">
        <f t="shared" si="33"/>
        <v>0</v>
      </c>
      <c r="Y93" s="501">
        <f t="shared" si="33"/>
        <v>0</v>
      </c>
      <c r="Z93" s="501">
        <f t="shared" si="33"/>
        <v>0</v>
      </c>
      <c r="AA93" s="501">
        <f t="shared" si="33"/>
        <v>0</v>
      </c>
      <c r="AB93" s="502">
        <f t="shared" si="33"/>
        <v>0</v>
      </c>
      <c r="AC93" s="502">
        <f t="shared" ref="AC93:AN93" si="34">SUM(AC78:AC92)</f>
        <v>0</v>
      </c>
      <c r="AD93" s="502">
        <f t="shared" si="34"/>
        <v>0</v>
      </c>
      <c r="AE93" s="502">
        <f t="shared" si="34"/>
        <v>0</v>
      </c>
      <c r="AF93" s="502">
        <f t="shared" si="34"/>
        <v>0</v>
      </c>
      <c r="AG93" s="502">
        <f t="shared" si="34"/>
        <v>0</v>
      </c>
      <c r="AH93" s="502">
        <f t="shared" si="34"/>
        <v>0</v>
      </c>
      <c r="AI93" s="502">
        <f t="shared" si="34"/>
        <v>0</v>
      </c>
      <c r="AJ93" s="502">
        <f t="shared" si="34"/>
        <v>0</v>
      </c>
      <c r="AK93" s="502">
        <f t="shared" si="34"/>
        <v>0</v>
      </c>
      <c r="AL93" s="502">
        <f t="shared" si="34"/>
        <v>0</v>
      </c>
      <c r="AM93" s="502">
        <f t="shared" si="34"/>
        <v>0</v>
      </c>
      <c r="AN93" s="502">
        <f t="shared" si="34"/>
        <v>0</v>
      </c>
    </row>
    <row r="96" spans="1:40" x14ac:dyDescent="0.25">
      <c r="A96" s="993" t="s">
        <v>293</v>
      </c>
      <c r="B96" s="993"/>
      <c r="C96" s="993"/>
      <c r="D96" s="993"/>
      <c r="E96" s="993"/>
      <c r="F96" s="993"/>
      <c r="G96" s="993"/>
      <c r="H96" s="993"/>
      <c r="I96" s="993"/>
      <c r="J96" s="993"/>
      <c r="K96" s="993"/>
      <c r="L96" s="993"/>
      <c r="M96" s="993"/>
      <c r="N96" s="993"/>
      <c r="O96" s="993"/>
      <c r="P96" s="993"/>
      <c r="Q96" s="993"/>
      <c r="R96" s="993"/>
      <c r="S96" s="993"/>
      <c r="T96" s="993"/>
      <c r="U96" s="993"/>
      <c r="V96" s="993"/>
      <c r="W96" s="993"/>
      <c r="X96" s="993"/>
      <c r="Y96" s="993"/>
      <c r="Z96" s="993"/>
      <c r="AA96" s="993"/>
      <c r="AB96" s="993"/>
      <c r="AC96" s="993"/>
      <c r="AD96" s="993"/>
      <c r="AE96" s="993"/>
      <c r="AF96" s="993"/>
      <c r="AG96" s="993"/>
      <c r="AH96" s="993"/>
      <c r="AI96" s="993"/>
      <c r="AJ96" s="993"/>
      <c r="AK96" s="993"/>
      <c r="AL96" s="993"/>
      <c r="AM96" s="993"/>
      <c r="AN96" s="993"/>
    </row>
    <row r="97" spans="1:40" x14ac:dyDescent="0.25">
      <c r="A97" s="550" t="s">
        <v>292</v>
      </c>
      <c r="B97" s="550" t="s">
        <v>149</v>
      </c>
      <c r="C97" s="550"/>
      <c r="D97" s="550"/>
      <c r="E97" s="550"/>
      <c r="F97" s="550"/>
      <c r="G97" s="550"/>
      <c r="H97" s="550"/>
      <c r="I97" s="550"/>
      <c r="J97" s="550"/>
      <c r="K97" s="550"/>
      <c r="L97" s="550"/>
      <c r="M97" s="550"/>
      <c r="N97" s="550"/>
      <c r="O97" s="550"/>
      <c r="P97" s="550"/>
      <c r="Q97" s="550"/>
      <c r="R97" s="550"/>
      <c r="S97" s="550"/>
      <c r="T97" s="550"/>
      <c r="U97" s="550"/>
      <c r="V97" s="550"/>
      <c r="W97" s="550"/>
      <c r="X97" s="550"/>
      <c r="Y97" s="550"/>
      <c r="Z97" s="550"/>
      <c r="AA97" s="550"/>
      <c r="AB97" s="553" t="s">
        <v>149</v>
      </c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</row>
    <row r="98" spans="1:40" x14ac:dyDescent="0.25">
      <c r="A98" s="550" t="s">
        <v>226</v>
      </c>
      <c r="B98" s="550" t="s">
        <v>140</v>
      </c>
      <c r="C98" s="550"/>
      <c r="D98" s="550"/>
      <c r="E98" s="550"/>
      <c r="F98" s="550"/>
      <c r="G98" s="550"/>
      <c r="H98" s="550"/>
      <c r="I98" s="550"/>
      <c r="J98" s="550"/>
      <c r="K98" s="550"/>
      <c r="L98" s="550"/>
      <c r="M98" s="550"/>
      <c r="N98" s="550"/>
      <c r="O98" s="550"/>
      <c r="P98" s="550"/>
      <c r="Q98" s="550"/>
      <c r="R98" s="550"/>
      <c r="S98" s="550"/>
      <c r="T98" s="550"/>
      <c r="U98" s="550"/>
      <c r="V98" s="550"/>
      <c r="W98" s="550"/>
      <c r="X98" s="550"/>
      <c r="Y98" s="550"/>
      <c r="Z98" s="550"/>
      <c r="AA98" s="550"/>
      <c r="AB98" s="556" t="s">
        <v>140</v>
      </c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</row>
    <row r="99" spans="1:40" x14ac:dyDescent="0.25">
      <c r="A99" s="550"/>
      <c r="B99" s="550"/>
      <c r="C99" s="550"/>
      <c r="D99" s="550"/>
      <c r="E99" s="550"/>
      <c r="F99" s="550"/>
      <c r="G99" s="550"/>
      <c r="H99" s="550"/>
      <c r="I99" s="550"/>
      <c r="J99" s="550"/>
      <c r="K99" s="550"/>
      <c r="L99" s="550"/>
      <c r="M99" s="550"/>
      <c r="N99" s="550"/>
      <c r="O99" s="550"/>
      <c r="P99" s="550"/>
      <c r="Q99" s="550"/>
      <c r="R99" s="550"/>
      <c r="S99" s="550"/>
      <c r="T99" s="550"/>
      <c r="U99" s="550"/>
      <c r="V99" s="550"/>
      <c r="W99" s="550"/>
      <c r="X99" s="550"/>
      <c r="Y99" s="550"/>
      <c r="Z99" s="550"/>
      <c r="AA99" s="550"/>
      <c r="AB99" s="55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</row>
    <row r="100" spans="1:40" x14ac:dyDescent="0.25">
      <c r="A100" s="998" t="s">
        <v>1</v>
      </c>
      <c r="B100" s="998" t="s">
        <v>40</v>
      </c>
      <c r="C100" s="996" t="s">
        <v>118</v>
      </c>
      <c r="D100" s="992" t="s">
        <v>119</v>
      </c>
      <c r="E100" s="992" t="s">
        <v>127</v>
      </c>
      <c r="F100" s="992" t="s">
        <v>124</v>
      </c>
      <c r="G100" s="992" t="s">
        <v>120</v>
      </c>
      <c r="H100" s="992" t="s">
        <v>215</v>
      </c>
      <c r="I100" s="992" t="s">
        <v>122</v>
      </c>
      <c r="J100" s="992" t="s">
        <v>123</v>
      </c>
      <c r="K100" s="992" t="s">
        <v>218</v>
      </c>
      <c r="L100" s="992" t="s">
        <v>126</v>
      </c>
      <c r="M100" s="992" t="s">
        <v>125</v>
      </c>
      <c r="N100" s="992" t="s">
        <v>130</v>
      </c>
      <c r="O100" s="994" t="s">
        <v>216</v>
      </c>
      <c r="P100" s="996" t="s">
        <v>121</v>
      </c>
      <c r="Q100" s="992" t="s">
        <v>45</v>
      </c>
      <c r="R100" s="994" t="s">
        <v>217</v>
      </c>
      <c r="S100" s="992" t="s">
        <v>219</v>
      </c>
      <c r="T100" s="992" t="s">
        <v>128</v>
      </c>
      <c r="U100" s="992" t="s">
        <v>221</v>
      </c>
      <c r="V100" s="992" t="s">
        <v>220</v>
      </c>
      <c r="W100" s="992" t="s">
        <v>222</v>
      </c>
      <c r="X100" s="992" t="s">
        <v>223</v>
      </c>
      <c r="Y100" s="994" t="s">
        <v>224</v>
      </c>
      <c r="Z100" s="992" t="s">
        <v>129</v>
      </c>
      <c r="AA100" s="990" t="s">
        <v>415</v>
      </c>
      <c r="AB100" s="999" t="s">
        <v>117</v>
      </c>
      <c r="AC100" s="1000" t="s">
        <v>214</v>
      </c>
      <c r="AD100" s="1000"/>
      <c r="AE100" s="1000"/>
      <c r="AF100" s="460" t="s">
        <v>204</v>
      </c>
      <c r="AG100" s="1000" t="s">
        <v>213</v>
      </c>
      <c r="AH100" s="1000"/>
      <c r="AI100" s="1001" t="s">
        <v>132</v>
      </c>
      <c r="AJ100" s="1002"/>
      <c r="AK100" s="1002"/>
      <c r="AL100" s="1003"/>
      <c r="AM100" s="460" t="s">
        <v>205</v>
      </c>
      <c r="AN100" s="1000" t="s">
        <v>206</v>
      </c>
    </row>
    <row r="101" spans="1:40" x14ac:dyDescent="0.25">
      <c r="A101" s="998"/>
      <c r="B101" s="998"/>
      <c r="C101" s="997"/>
      <c r="D101" s="991"/>
      <c r="E101" s="991"/>
      <c r="F101" s="991"/>
      <c r="G101" s="991"/>
      <c r="H101" s="991"/>
      <c r="I101" s="991"/>
      <c r="J101" s="991"/>
      <c r="K101" s="991"/>
      <c r="L101" s="991"/>
      <c r="M101" s="991"/>
      <c r="N101" s="991"/>
      <c r="O101" s="995"/>
      <c r="P101" s="997"/>
      <c r="Q101" s="991"/>
      <c r="R101" s="995"/>
      <c r="S101" s="991"/>
      <c r="T101" s="991"/>
      <c r="U101" s="991"/>
      <c r="V101" s="991"/>
      <c r="W101" s="991"/>
      <c r="X101" s="991"/>
      <c r="Y101" s="995"/>
      <c r="Z101" s="991"/>
      <c r="AA101" s="991"/>
      <c r="AB101" s="999"/>
      <c r="AC101" s="462" t="s">
        <v>193</v>
      </c>
      <c r="AD101" s="462" t="s">
        <v>192</v>
      </c>
      <c r="AE101" s="462" t="s">
        <v>191</v>
      </c>
      <c r="AF101" s="461" t="s">
        <v>207</v>
      </c>
      <c r="AG101" s="462" t="s">
        <v>208</v>
      </c>
      <c r="AH101" s="462" t="s">
        <v>209</v>
      </c>
      <c r="AI101" s="462" t="s">
        <v>210</v>
      </c>
      <c r="AJ101" s="462" t="s">
        <v>211</v>
      </c>
      <c r="AK101" s="462" t="s">
        <v>88</v>
      </c>
      <c r="AL101" s="462" t="s">
        <v>18</v>
      </c>
      <c r="AM101" s="461" t="s">
        <v>212</v>
      </c>
      <c r="AN101" s="1000"/>
    </row>
    <row r="102" spans="1:40" x14ac:dyDescent="0.25">
      <c r="A102" s="463">
        <v>1</v>
      </c>
      <c r="B102" s="467" t="str">
        <f>B7</f>
        <v>Kedung I</v>
      </c>
      <c r="C102" s="476"/>
      <c r="D102" s="476"/>
      <c r="E102" s="476"/>
      <c r="F102" s="476"/>
      <c r="G102" s="476"/>
      <c r="H102" s="476"/>
      <c r="I102" s="476"/>
      <c r="J102" s="476"/>
      <c r="K102" s="476"/>
      <c r="L102" s="476"/>
      <c r="M102" s="476"/>
      <c r="N102" s="476"/>
      <c r="O102" s="476"/>
      <c r="P102" s="476"/>
      <c r="Q102" s="476"/>
      <c r="R102" s="476"/>
      <c r="S102" s="476"/>
      <c r="T102" s="476"/>
      <c r="U102" s="476"/>
      <c r="V102" s="476"/>
      <c r="W102" s="476"/>
      <c r="X102" s="476"/>
      <c r="Y102" s="476"/>
      <c r="Z102" s="476"/>
      <c r="AA102" s="476"/>
      <c r="AB102" s="477">
        <f>SUM(C102:AA102)</f>
        <v>0</v>
      </c>
      <c r="AC102" s="477"/>
      <c r="AD102" s="477"/>
      <c r="AE102" s="477"/>
      <c r="AF102" s="477"/>
      <c r="AG102" s="477"/>
      <c r="AH102" s="477"/>
      <c r="AI102" s="477"/>
      <c r="AJ102" s="477"/>
      <c r="AK102" s="477"/>
      <c r="AL102" s="477"/>
      <c r="AM102" s="477"/>
      <c r="AN102" s="477"/>
    </row>
    <row r="103" spans="1:40" s="503" customFormat="1" x14ac:dyDescent="0.3">
      <c r="A103" s="463">
        <v>2</v>
      </c>
      <c r="B103" s="464" t="str">
        <f t="shared" ref="B103:B116" si="35">B32</f>
        <v>Pecangaan</v>
      </c>
      <c r="C103" s="476"/>
      <c r="D103" s="476"/>
      <c r="E103" s="476"/>
      <c r="F103" s="476"/>
      <c r="G103" s="476"/>
      <c r="H103" s="476"/>
      <c r="I103" s="476"/>
      <c r="J103" s="476"/>
      <c r="K103" s="476"/>
      <c r="L103" s="476"/>
      <c r="M103" s="476"/>
      <c r="N103" s="476"/>
      <c r="O103" s="476"/>
      <c r="P103" s="476"/>
      <c r="Q103" s="476"/>
      <c r="R103" s="476"/>
      <c r="S103" s="476"/>
      <c r="T103" s="476"/>
      <c r="U103" s="476"/>
      <c r="V103" s="476"/>
      <c r="W103" s="476"/>
      <c r="X103" s="476"/>
      <c r="Y103" s="476"/>
      <c r="Z103" s="476"/>
      <c r="AA103" s="477"/>
      <c r="AB103" s="477">
        <f t="shared" ref="AB103:AB116" si="36">SUM(C103:AA103)</f>
        <v>0</v>
      </c>
      <c r="AC103" s="477"/>
      <c r="AD103" s="477"/>
      <c r="AE103" s="477"/>
      <c r="AF103" s="477"/>
      <c r="AG103" s="477"/>
      <c r="AH103" s="477"/>
      <c r="AI103" s="477"/>
      <c r="AJ103" s="477"/>
      <c r="AK103" s="477"/>
      <c r="AL103" s="477"/>
      <c r="AM103" s="477"/>
      <c r="AN103" s="477"/>
    </row>
    <row r="104" spans="1:40" s="503" customFormat="1" x14ac:dyDescent="0.3">
      <c r="A104" s="463">
        <v>3</v>
      </c>
      <c r="B104" s="464" t="str">
        <f t="shared" si="35"/>
        <v>Welahan I</v>
      </c>
      <c r="C104" s="476"/>
      <c r="D104" s="476"/>
      <c r="E104" s="476"/>
      <c r="F104" s="476"/>
      <c r="G104" s="476"/>
      <c r="H104" s="476"/>
      <c r="I104" s="476"/>
      <c r="J104" s="476"/>
      <c r="K104" s="476"/>
      <c r="L104" s="476"/>
      <c r="M104" s="476"/>
      <c r="N104" s="476"/>
      <c r="O104" s="476"/>
      <c r="P104" s="476"/>
      <c r="Q104" s="476"/>
      <c r="R104" s="476"/>
      <c r="S104" s="476"/>
      <c r="T104" s="476"/>
      <c r="U104" s="476"/>
      <c r="V104" s="476"/>
      <c r="W104" s="476"/>
      <c r="X104" s="476"/>
      <c r="Y104" s="476"/>
      <c r="Z104" s="476"/>
      <c r="AA104" s="477"/>
      <c r="AB104" s="477">
        <f t="shared" si="36"/>
        <v>0</v>
      </c>
      <c r="AC104" s="477"/>
      <c r="AD104" s="477"/>
      <c r="AE104" s="477"/>
      <c r="AF104" s="477"/>
      <c r="AG104" s="477"/>
      <c r="AH104" s="477"/>
      <c r="AI104" s="477"/>
      <c r="AJ104" s="477"/>
      <c r="AK104" s="477"/>
      <c r="AL104" s="477"/>
      <c r="AM104" s="477"/>
      <c r="AN104" s="477"/>
    </row>
    <row r="105" spans="1:40" s="503" customFormat="1" x14ac:dyDescent="0.3">
      <c r="A105" s="463">
        <v>4</v>
      </c>
      <c r="B105" s="464" t="str">
        <f t="shared" si="35"/>
        <v>Welahan II</v>
      </c>
      <c r="C105" s="476"/>
      <c r="D105" s="476"/>
      <c r="E105" s="476"/>
      <c r="F105" s="476"/>
      <c r="G105" s="476"/>
      <c r="H105" s="476"/>
      <c r="I105" s="476"/>
      <c r="J105" s="476"/>
      <c r="K105" s="476"/>
      <c r="L105" s="476"/>
      <c r="M105" s="476"/>
      <c r="N105" s="476"/>
      <c r="O105" s="476"/>
      <c r="P105" s="476"/>
      <c r="Q105" s="476"/>
      <c r="R105" s="476"/>
      <c r="S105" s="476"/>
      <c r="T105" s="476"/>
      <c r="U105" s="476"/>
      <c r="V105" s="476"/>
      <c r="W105" s="476"/>
      <c r="X105" s="476"/>
      <c r="Y105" s="476"/>
      <c r="Z105" s="476"/>
      <c r="AA105" s="477"/>
      <c r="AB105" s="477">
        <f t="shared" si="36"/>
        <v>0</v>
      </c>
      <c r="AC105" s="477"/>
      <c r="AD105" s="477"/>
      <c r="AE105" s="477"/>
      <c r="AF105" s="477"/>
      <c r="AG105" s="477"/>
      <c r="AH105" s="477"/>
      <c r="AI105" s="477"/>
      <c r="AJ105" s="477"/>
      <c r="AK105" s="477"/>
      <c r="AL105" s="477"/>
      <c r="AM105" s="477"/>
      <c r="AN105" s="477"/>
    </row>
    <row r="106" spans="1:40" s="503" customFormat="1" x14ac:dyDescent="0.3">
      <c r="A106" s="463">
        <v>5</v>
      </c>
      <c r="B106" s="464" t="str">
        <f t="shared" si="35"/>
        <v>Mayong I</v>
      </c>
      <c r="C106" s="477"/>
      <c r="D106" s="477"/>
      <c r="E106" s="477"/>
      <c r="F106" s="477"/>
      <c r="G106" s="477"/>
      <c r="H106" s="477"/>
      <c r="I106" s="477"/>
      <c r="J106" s="477"/>
      <c r="K106" s="477"/>
      <c r="L106" s="477"/>
      <c r="M106" s="477"/>
      <c r="N106" s="477"/>
      <c r="O106" s="477"/>
      <c r="P106" s="477"/>
      <c r="Q106" s="477"/>
      <c r="R106" s="477"/>
      <c r="S106" s="477"/>
      <c r="T106" s="477"/>
      <c r="U106" s="477"/>
      <c r="V106" s="477"/>
      <c r="W106" s="477"/>
      <c r="X106" s="477"/>
      <c r="Y106" s="477"/>
      <c r="Z106" s="477"/>
      <c r="AA106" s="477"/>
      <c r="AB106" s="477">
        <f t="shared" si="36"/>
        <v>0</v>
      </c>
      <c r="AC106" s="477"/>
      <c r="AD106" s="477"/>
      <c r="AE106" s="477"/>
      <c r="AF106" s="477"/>
      <c r="AG106" s="477"/>
      <c r="AH106" s="477"/>
      <c r="AI106" s="477"/>
      <c r="AJ106" s="477"/>
      <c r="AK106" s="477"/>
      <c r="AL106" s="477"/>
      <c r="AM106" s="477"/>
      <c r="AN106" s="477"/>
    </row>
    <row r="107" spans="1:40" s="503" customFormat="1" x14ac:dyDescent="0.3">
      <c r="A107" s="463">
        <v>6</v>
      </c>
      <c r="B107" s="464" t="str">
        <f t="shared" si="35"/>
        <v>Mayong II</v>
      </c>
      <c r="C107" s="476"/>
      <c r="D107" s="476"/>
      <c r="E107" s="476"/>
      <c r="F107" s="476"/>
      <c r="G107" s="476"/>
      <c r="H107" s="476"/>
      <c r="I107" s="476"/>
      <c r="J107" s="476"/>
      <c r="K107" s="476"/>
      <c r="L107" s="476"/>
      <c r="M107" s="476"/>
      <c r="N107" s="476"/>
      <c r="O107" s="476"/>
      <c r="P107" s="476"/>
      <c r="Q107" s="476"/>
      <c r="R107" s="476"/>
      <c r="S107" s="476"/>
      <c r="T107" s="476"/>
      <c r="U107" s="476"/>
      <c r="V107" s="476"/>
      <c r="W107" s="476"/>
      <c r="X107" s="476"/>
      <c r="Y107" s="476"/>
      <c r="Z107" s="476"/>
      <c r="AA107" s="477"/>
      <c r="AB107" s="477">
        <f t="shared" si="36"/>
        <v>0</v>
      </c>
      <c r="AC107" s="477"/>
      <c r="AD107" s="477"/>
      <c r="AE107" s="477"/>
      <c r="AF107" s="477"/>
      <c r="AG107" s="477"/>
      <c r="AH107" s="477"/>
      <c r="AI107" s="477"/>
      <c r="AJ107" s="477"/>
      <c r="AK107" s="477"/>
      <c r="AL107" s="477"/>
      <c r="AM107" s="477"/>
      <c r="AN107" s="477"/>
    </row>
    <row r="108" spans="1:40" s="503" customFormat="1" x14ac:dyDescent="0.3">
      <c r="A108" s="463">
        <v>7</v>
      </c>
      <c r="B108" s="464" t="str">
        <f t="shared" si="35"/>
        <v>Batealit</v>
      </c>
      <c r="C108" s="476"/>
      <c r="D108" s="476"/>
      <c r="E108" s="476"/>
      <c r="F108" s="476"/>
      <c r="G108" s="476"/>
      <c r="H108" s="476"/>
      <c r="I108" s="476"/>
      <c r="J108" s="476"/>
      <c r="K108" s="476"/>
      <c r="L108" s="476"/>
      <c r="M108" s="476"/>
      <c r="N108" s="476"/>
      <c r="O108" s="476"/>
      <c r="P108" s="476"/>
      <c r="Q108" s="476"/>
      <c r="R108" s="476"/>
      <c r="S108" s="476"/>
      <c r="T108" s="476"/>
      <c r="U108" s="476"/>
      <c r="V108" s="476"/>
      <c r="W108" s="476"/>
      <c r="X108" s="476"/>
      <c r="Y108" s="476"/>
      <c r="Z108" s="476"/>
      <c r="AA108" s="477"/>
      <c r="AB108" s="477">
        <f t="shared" si="36"/>
        <v>0</v>
      </c>
      <c r="AC108" s="477"/>
      <c r="AD108" s="477"/>
      <c r="AE108" s="477"/>
      <c r="AF108" s="477"/>
      <c r="AG108" s="477"/>
      <c r="AH108" s="477"/>
      <c r="AI108" s="477"/>
      <c r="AJ108" s="477"/>
      <c r="AK108" s="477"/>
      <c r="AL108" s="477"/>
      <c r="AM108" s="477"/>
      <c r="AN108" s="477"/>
    </row>
    <row r="109" spans="1:40" s="503" customFormat="1" x14ac:dyDescent="0.3">
      <c r="A109" s="463">
        <v>8</v>
      </c>
      <c r="B109" s="464" t="str">
        <f t="shared" si="35"/>
        <v>Mlonggo</v>
      </c>
      <c r="C109" s="561"/>
      <c r="D109" s="561"/>
      <c r="E109" s="561"/>
      <c r="F109" s="561"/>
      <c r="G109" s="561"/>
      <c r="H109" s="561"/>
      <c r="I109" s="561"/>
      <c r="J109" s="561"/>
      <c r="K109" s="561"/>
      <c r="L109" s="561"/>
      <c r="M109" s="561"/>
      <c r="N109" s="561"/>
      <c r="O109" s="561"/>
      <c r="P109" s="561"/>
      <c r="Q109" s="561"/>
      <c r="R109" s="561"/>
      <c r="S109" s="561"/>
      <c r="T109" s="561"/>
      <c r="U109" s="561"/>
      <c r="V109" s="561"/>
      <c r="W109" s="561"/>
      <c r="X109" s="561"/>
      <c r="Y109" s="561"/>
      <c r="Z109" s="561"/>
      <c r="AA109" s="477"/>
      <c r="AB109" s="477">
        <f t="shared" si="36"/>
        <v>0</v>
      </c>
      <c r="AC109" s="477"/>
      <c r="AD109" s="477"/>
      <c r="AE109" s="477"/>
      <c r="AF109" s="477"/>
      <c r="AG109" s="477"/>
      <c r="AH109" s="477"/>
      <c r="AI109" s="477"/>
      <c r="AJ109" s="477"/>
      <c r="AK109" s="477"/>
      <c r="AL109" s="477"/>
      <c r="AM109" s="477"/>
      <c r="AN109" s="477"/>
    </row>
    <row r="110" spans="1:40" s="503" customFormat="1" x14ac:dyDescent="0.3">
      <c r="A110" s="463">
        <v>9</v>
      </c>
      <c r="B110" s="464" t="str">
        <f t="shared" si="35"/>
        <v>Pakis Aji</v>
      </c>
      <c r="C110" s="476"/>
      <c r="D110" s="476"/>
      <c r="E110" s="476"/>
      <c r="F110" s="476"/>
      <c r="G110" s="476"/>
      <c r="H110" s="476"/>
      <c r="I110" s="476"/>
      <c r="J110" s="476"/>
      <c r="K110" s="476"/>
      <c r="L110" s="476"/>
      <c r="M110" s="476"/>
      <c r="N110" s="476"/>
      <c r="O110" s="476"/>
      <c r="P110" s="476"/>
      <c r="Q110" s="476"/>
      <c r="R110" s="476"/>
      <c r="S110" s="476"/>
      <c r="T110" s="476"/>
      <c r="U110" s="476"/>
      <c r="V110" s="476"/>
      <c r="W110" s="476"/>
      <c r="X110" s="476"/>
      <c r="Y110" s="476"/>
      <c r="Z110" s="476"/>
      <c r="AA110" s="477"/>
      <c r="AB110" s="477">
        <f t="shared" si="36"/>
        <v>0</v>
      </c>
      <c r="AC110" s="477"/>
      <c r="AD110" s="477"/>
      <c r="AE110" s="477"/>
      <c r="AF110" s="477"/>
      <c r="AG110" s="477"/>
      <c r="AH110" s="477"/>
      <c r="AI110" s="477"/>
      <c r="AJ110" s="477"/>
      <c r="AK110" s="477"/>
      <c r="AL110" s="477"/>
      <c r="AM110" s="477"/>
      <c r="AN110" s="477"/>
    </row>
    <row r="111" spans="1:40" s="503" customFormat="1" x14ac:dyDescent="0.3">
      <c r="A111" s="463">
        <v>10</v>
      </c>
      <c r="B111" s="464" t="str">
        <f t="shared" si="35"/>
        <v>Bangsri I</v>
      </c>
      <c r="C111" s="476"/>
      <c r="D111" s="476"/>
      <c r="E111" s="476"/>
      <c r="F111" s="476"/>
      <c r="G111" s="476"/>
      <c r="H111" s="476"/>
      <c r="I111" s="476"/>
      <c r="J111" s="476"/>
      <c r="K111" s="476"/>
      <c r="L111" s="476"/>
      <c r="M111" s="476"/>
      <c r="N111" s="476"/>
      <c r="O111" s="476"/>
      <c r="P111" s="476"/>
      <c r="Q111" s="476"/>
      <c r="R111" s="476"/>
      <c r="S111" s="476"/>
      <c r="T111" s="476"/>
      <c r="U111" s="476"/>
      <c r="V111" s="476"/>
      <c r="W111" s="476"/>
      <c r="X111" s="476"/>
      <c r="Y111" s="476"/>
      <c r="Z111" s="476"/>
      <c r="AA111" s="477"/>
      <c r="AB111" s="477">
        <f t="shared" si="36"/>
        <v>0</v>
      </c>
      <c r="AC111" s="477"/>
      <c r="AD111" s="477"/>
      <c r="AE111" s="477"/>
      <c r="AF111" s="477"/>
      <c r="AG111" s="477"/>
      <c r="AH111" s="477"/>
      <c r="AI111" s="477"/>
      <c r="AJ111" s="477"/>
      <c r="AK111" s="477"/>
      <c r="AL111" s="477"/>
      <c r="AM111" s="477"/>
      <c r="AN111" s="477"/>
    </row>
    <row r="112" spans="1:40" s="503" customFormat="1" x14ac:dyDescent="0.3">
      <c r="A112" s="463">
        <v>11</v>
      </c>
      <c r="B112" s="464" t="str">
        <f t="shared" si="35"/>
        <v>Keling I</v>
      </c>
      <c r="C112" s="476"/>
      <c r="D112" s="476"/>
      <c r="E112" s="476"/>
      <c r="F112" s="476"/>
      <c r="G112" s="476"/>
      <c r="H112" s="476"/>
      <c r="I112" s="476"/>
      <c r="J112" s="476"/>
      <c r="K112" s="476"/>
      <c r="L112" s="476"/>
      <c r="M112" s="476"/>
      <c r="N112" s="476"/>
      <c r="O112" s="476"/>
      <c r="P112" s="476"/>
      <c r="Q112" s="476"/>
      <c r="R112" s="476"/>
      <c r="S112" s="476"/>
      <c r="T112" s="476"/>
      <c r="U112" s="476"/>
      <c r="V112" s="476"/>
      <c r="W112" s="476"/>
      <c r="X112" s="476"/>
      <c r="Y112" s="476"/>
      <c r="Z112" s="476"/>
      <c r="AA112" s="477"/>
      <c r="AB112" s="477">
        <f t="shared" si="36"/>
        <v>0</v>
      </c>
      <c r="AC112" s="477"/>
      <c r="AD112" s="477"/>
      <c r="AE112" s="477"/>
      <c r="AF112" s="477"/>
      <c r="AG112" s="477"/>
      <c r="AH112" s="477"/>
      <c r="AI112" s="477"/>
      <c r="AJ112" s="477"/>
      <c r="AK112" s="477"/>
      <c r="AL112" s="477"/>
      <c r="AM112" s="477"/>
      <c r="AN112" s="477"/>
    </row>
    <row r="113" spans="1:40" s="503" customFormat="1" x14ac:dyDescent="0.3">
      <c r="A113" s="463">
        <v>12</v>
      </c>
      <c r="B113" s="464" t="str">
        <f t="shared" si="35"/>
        <v>Karimunjawa</v>
      </c>
      <c r="C113" s="476"/>
      <c r="D113" s="476"/>
      <c r="E113" s="476"/>
      <c r="F113" s="476"/>
      <c r="G113" s="476"/>
      <c r="H113" s="476"/>
      <c r="I113" s="476"/>
      <c r="J113" s="476"/>
      <c r="K113" s="476"/>
      <c r="L113" s="476"/>
      <c r="M113" s="476"/>
      <c r="N113" s="476"/>
      <c r="O113" s="476"/>
      <c r="P113" s="476"/>
      <c r="Q113" s="476"/>
      <c r="R113" s="476"/>
      <c r="S113" s="476"/>
      <c r="T113" s="476"/>
      <c r="U113" s="476"/>
      <c r="V113" s="476"/>
      <c r="W113" s="476"/>
      <c r="X113" s="476"/>
      <c r="Y113" s="476"/>
      <c r="Z113" s="476"/>
      <c r="AA113" s="477"/>
      <c r="AB113" s="477">
        <f t="shared" si="36"/>
        <v>0</v>
      </c>
      <c r="AC113" s="477"/>
      <c r="AD113" s="477"/>
      <c r="AE113" s="477"/>
      <c r="AF113" s="477"/>
      <c r="AG113" s="477"/>
      <c r="AH113" s="477"/>
      <c r="AI113" s="477"/>
      <c r="AJ113" s="477"/>
      <c r="AK113" s="477"/>
      <c r="AL113" s="477"/>
      <c r="AM113" s="477"/>
      <c r="AN113" s="477"/>
    </row>
    <row r="114" spans="1:40" s="503" customFormat="1" x14ac:dyDescent="0.3">
      <c r="A114" s="463">
        <v>13</v>
      </c>
      <c r="B114" s="464" t="str">
        <f t="shared" si="35"/>
        <v>Nalumsari I</v>
      </c>
      <c r="C114" s="476"/>
      <c r="D114" s="476"/>
      <c r="E114" s="476"/>
      <c r="F114" s="476"/>
      <c r="G114" s="476"/>
      <c r="H114" s="476"/>
      <c r="I114" s="476"/>
      <c r="J114" s="476"/>
      <c r="K114" s="476"/>
      <c r="L114" s="476"/>
      <c r="M114" s="476"/>
      <c r="N114" s="476"/>
      <c r="O114" s="476"/>
      <c r="P114" s="476"/>
      <c r="Q114" s="476"/>
      <c r="R114" s="476"/>
      <c r="S114" s="476"/>
      <c r="T114" s="476"/>
      <c r="U114" s="476"/>
      <c r="V114" s="476"/>
      <c r="W114" s="476"/>
      <c r="X114" s="476"/>
      <c r="Y114" s="476"/>
      <c r="Z114" s="476"/>
      <c r="AA114" s="477"/>
      <c r="AB114" s="477">
        <f t="shared" si="36"/>
        <v>0</v>
      </c>
      <c r="AC114" s="477"/>
      <c r="AD114" s="477"/>
      <c r="AE114" s="477"/>
      <c r="AF114" s="477"/>
      <c r="AG114" s="477"/>
      <c r="AH114" s="477"/>
      <c r="AI114" s="477"/>
      <c r="AJ114" s="477"/>
      <c r="AK114" s="477"/>
      <c r="AL114" s="477"/>
      <c r="AM114" s="477"/>
      <c r="AN114" s="477"/>
    </row>
    <row r="115" spans="1:40" s="503" customFormat="1" x14ac:dyDescent="0.3">
      <c r="A115" s="463">
        <v>14</v>
      </c>
      <c r="B115" s="464" t="str">
        <f t="shared" si="35"/>
        <v>Kalinyamatan</v>
      </c>
      <c r="C115" s="476"/>
      <c r="D115" s="476"/>
      <c r="E115" s="476"/>
      <c r="F115" s="476"/>
      <c r="G115" s="476"/>
      <c r="H115" s="476"/>
      <c r="I115" s="476"/>
      <c r="J115" s="476"/>
      <c r="K115" s="476"/>
      <c r="L115" s="476"/>
      <c r="M115" s="476"/>
      <c r="N115" s="476"/>
      <c r="O115" s="476"/>
      <c r="P115" s="476"/>
      <c r="Q115" s="476"/>
      <c r="R115" s="476"/>
      <c r="S115" s="476"/>
      <c r="T115" s="476"/>
      <c r="U115" s="476"/>
      <c r="V115" s="476"/>
      <c r="W115" s="476"/>
      <c r="X115" s="476"/>
      <c r="Y115" s="476"/>
      <c r="Z115" s="476"/>
      <c r="AA115" s="477"/>
      <c r="AB115" s="477">
        <f t="shared" si="36"/>
        <v>0</v>
      </c>
      <c r="AC115" s="477"/>
      <c r="AD115" s="477"/>
      <c r="AE115" s="477"/>
      <c r="AF115" s="477"/>
      <c r="AG115" s="477"/>
      <c r="AH115" s="477"/>
      <c r="AI115" s="477"/>
      <c r="AJ115" s="477"/>
      <c r="AK115" s="477"/>
      <c r="AL115" s="477"/>
      <c r="AM115" s="477"/>
      <c r="AN115" s="477"/>
    </row>
    <row r="116" spans="1:40" s="503" customFormat="1" x14ac:dyDescent="0.3">
      <c r="A116" s="463">
        <v>15</v>
      </c>
      <c r="B116" s="464" t="str">
        <f t="shared" si="35"/>
        <v>Donorojo</v>
      </c>
      <c r="C116" s="477"/>
      <c r="D116" s="477"/>
      <c r="E116" s="477"/>
      <c r="F116" s="477"/>
      <c r="G116" s="477"/>
      <c r="H116" s="477"/>
      <c r="I116" s="477"/>
      <c r="J116" s="477"/>
      <c r="K116" s="477"/>
      <c r="L116" s="477"/>
      <c r="M116" s="477"/>
      <c r="N116" s="477"/>
      <c r="O116" s="477"/>
      <c r="P116" s="477"/>
      <c r="Q116" s="477"/>
      <c r="R116" s="477"/>
      <c r="S116" s="477"/>
      <c r="T116" s="477"/>
      <c r="U116" s="477"/>
      <c r="V116" s="477"/>
      <c r="W116" s="477"/>
      <c r="X116" s="477"/>
      <c r="Y116" s="477"/>
      <c r="Z116" s="477"/>
      <c r="AA116" s="477"/>
      <c r="AB116" s="477">
        <f t="shared" si="36"/>
        <v>0</v>
      </c>
      <c r="AC116" s="477"/>
      <c r="AD116" s="477"/>
      <c r="AE116" s="477"/>
      <c r="AF116" s="477"/>
      <c r="AG116" s="477"/>
      <c r="AH116" s="477"/>
      <c r="AI116" s="477"/>
      <c r="AJ116" s="477"/>
      <c r="AK116" s="477"/>
      <c r="AL116" s="477"/>
      <c r="AM116" s="477"/>
      <c r="AN116" s="477"/>
    </row>
    <row r="117" spans="1:40" x14ac:dyDescent="0.25">
      <c r="A117" s="465"/>
      <c r="B117" s="466" t="s">
        <v>18</v>
      </c>
      <c r="C117" s="501">
        <f>SUM(C102:C116)</f>
        <v>0</v>
      </c>
      <c r="D117" s="501">
        <f t="shared" ref="D117:AN117" si="37">SUM(D102:D116)</f>
        <v>0</v>
      </c>
      <c r="E117" s="501">
        <f t="shared" si="37"/>
        <v>0</v>
      </c>
      <c r="F117" s="501">
        <f t="shared" si="37"/>
        <v>0</v>
      </c>
      <c r="G117" s="501">
        <f t="shared" si="37"/>
        <v>0</v>
      </c>
      <c r="H117" s="501">
        <f t="shared" si="37"/>
        <v>0</v>
      </c>
      <c r="I117" s="501">
        <f t="shared" si="37"/>
        <v>0</v>
      </c>
      <c r="J117" s="501">
        <f t="shared" si="37"/>
        <v>0</v>
      </c>
      <c r="K117" s="501">
        <f t="shared" si="37"/>
        <v>0</v>
      </c>
      <c r="L117" s="501">
        <f t="shared" si="37"/>
        <v>0</v>
      </c>
      <c r="M117" s="501">
        <f t="shared" si="37"/>
        <v>0</v>
      </c>
      <c r="N117" s="501">
        <f t="shared" si="37"/>
        <v>0</v>
      </c>
      <c r="O117" s="501">
        <f t="shared" si="37"/>
        <v>0</v>
      </c>
      <c r="P117" s="501">
        <f t="shared" si="37"/>
        <v>0</v>
      </c>
      <c r="Q117" s="501">
        <f t="shared" si="37"/>
        <v>0</v>
      </c>
      <c r="R117" s="501">
        <f t="shared" si="37"/>
        <v>0</v>
      </c>
      <c r="S117" s="501">
        <f t="shared" si="37"/>
        <v>0</v>
      </c>
      <c r="T117" s="501">
        <f t="shared" si="37"/>
        <v>0</v>
      </c>
      <c r="U117" s="501">
        <f t="shared" si="37"/>
        <v>0</v>
      </c>
      <c r="V117" s="501">
        <f t="shared" si="37"/>
        <v>0</v>
      </c>
      <c r="W117" s="501">
        <f t="shared" si="37"/>
        <v>0</v>
      </c>
      <c r="X117" s="501">
        <f t="shared" si="37"/>
        <v>0</v>
      </c>
      <c r="Y117" s="501">
        <f t="shared" si="37"/>
        <v>0</v>
      </c>
      <c r="Z117" s="501">
        <f t="shared" si="37"/>
        <v>0</v>
      </c>
      <c r="AA117" s="501">
        <f t="shared" si="37"/>
        <v>0</v>
      </c>
      <c r="AB117" s="501">
        <f t="shared" si="37"/>
        <v>0</v>
      </c>
      <c r="AC117" s="501">
        <f t="shared" si="37"/>
        <v>0</v>
      </c>
      <c r="AD117" s="501">
        <f t="shared" si="37"/>
        <v>0</v>
      </c>
      <c r="AE117" s="501">
        <f t="shared" si="37"/>
        <v>0</v>
      </c>
      <c r="AF117" s="501">
        <f t="shared" si="37"/>
        <v>0</v>
      </c>
      <c r="AG117" s="501">
        <f t="shared" si="37"/>
        <v>0</v>
      </c>
      <c r="AH117" s="501">
        <f t="shared" si="37"/>
        <v>0</v>
      </c>
      <c r="AI117" s="501">
        <f t="shared" si="37"/>
        <v>0</v>
      </c>
      <c r="AJ117" s="501">
        <f t="shared" si="37"/>
        <v>0</v>
      </c>
      <c r="AK117" s="501">
        <f t="shared" si="37"/>
        <v>0</v>
      </c>
      <c r="AL117" s="501">
        <f t="shared" si="37"/>
        <v>0</v>
      </c>
      <c r="AM117" s="501">
        <f t="shared" si="37"/>
        <v>0</v>
      </c>
      <c r="AN117" s="501">
        <f t="shared" si="37"/>
        <v>0</v>
      </c>
    </row>
    <row r="119" spans="1:40" x14ac:dyDescent="0.25">
      <c r="A119" s="993" t="s">
        <v>131</v>
      </c>
      <c r="B119" s="993"/>
      <c r="C119" s="993"/>
      <c r="D119" s="993"/>
      <c r="E119" s="993"/>
      <c r="F119" s="993"/>
      <c r="G119" s="993"/>
      <c r="H119" s="993"/>
      <c r="I119" s="993"/>
      <c r="J119" s="993"/>
      <c r="K119" s="993"/>
      <c r="L119" s="993"/>
      <c r="M119" s="993"/>
      <c r="N119" s="993"/>
      <c r="O119" s="993"/>
      <c r="P119" s="993"/>
      <c r="Q119" s="993"/>
      <c r="R119" s="993"/>
      <c r="S119" s="993"/>
      <c r="T119" s="993"/>
      <c r="U119" s="993"/>
      <c r="V119" s="993"/>
      <c r="W119" s="993"/>
      <c r="X119" s="993"/>
      <c r="Y119" s="993"/>
      <c r="Z119" s="993"/>
      <c r="AA119" s="993"/>
      <c r="AB119" s="993"/>
      <c r="AC119" s="993"/>
      <c r="AD119" s="993"/>
      <c r="AE119" s="993"/>
      <c r="AF119" s="993"/>
      <c r="AG119" s="993"/>
      <c r="AH119" s="993"/>
      <c r="AI119" s="993"/>
      <c r="AJ119" s="993"/>
      <c r="AK119" s="993"/>
      <c r="AL119" s="993"/>
      <c r="AM119" s="993"/>
      <c r="AN119" s="993"/>
    </row>
    <row r="120" spans="1:40" x14ac:dyDescent="0.25">
      <c r="A120" s="550" t="s">
        <v>292</v>
      </c>
      <c r="B120" s="550" t="s">
        <v>149</v>
      </c>
      <c r="C120" s="550"/>
      <c r="D120" s="550"/>
      <c r="E120" s="550"/>
      <c r="F120" s="550"/>
      <c r="G120" s="550"/>
      <c r="H120" s="550"/>
      <c r="I120" s="550"/>
      <c r="J120" s="550"/>
      <c r="K120" s="550"/>
      <c r="L120" s="550"/>
      <c r="M120" s="550"/>
      <c r="N120" s="550"/>
      <c r="O120" s="550"/>
      <c r="P120" s="550"/>
      <c r="Q120" s="550"/>
      <c r="R120" s="550"/>
      <c r="S120" s="550"/>
      <c r="T120" s="550"/>
      <c r="U120" s="550"/>
      <c r="V120" s="550"/>
      <c r="W120" s="550"/>
      <c r="X120" s="550"/>
      <c r="Y120" s="550"/>
      <c r="Z120" s="550"/>
      <c r="AA120" s="550"/>
      <c r="AB120" s="553" t="s">
        <v>149</v>
      </c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</row>
    <row r="121" spans="1:40" x14ac:dyDescent="0.25">
      <c r="A121" s="550" t="s">
        <v>226</v>
      </c>
      <c r="B121" s="550" t="s">
        <v>141</v>
      </c>
      <c r="C121" s="550"/>
      <c r="D121" s="550"/>
      <c r="E121" s="550"/>
      <c r="F121" s="550"/>
      <c r="G121" s="550"/>
      <c r="H121" s="550"/>
      <c r="I121" s="550"/>
      <c r="J121" s="550"/>
      <c r="K121" s="550"/>
      <c r="L121" s="550"/>
      <c r="M121" s="550"/>
      <c r="N121" s="550"/>
      <c r="O121" s="550"/>
      <c r="P121" s="550"/>
      <c r="Q121" s="550"/>
      <c r="R121" s="550"/>
      <c r="S121" s="550"/>
      <c r="T121" s="550"/>
      <c r="U121" s="550"/>
      <c r="V121" s="550"/>
      <c r="W121" s="550"/>
      <c r="X121" s="550"/>
      <c r="Y121" s="550"/>
      <c r="Z121" s="550"/>
      <c r="AA121" s="550"/>
      <c r="AB121" s="556" t="s">
        <v>396</v>
      </c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</row>
    <row r="122" spans="1:40" x14ac:dyDescent="0.25">
      <c r="A122" s="550"/>
      <c r="B122" s="550"/>
      <c r="C122" s="550"/>
      <c r="D122" s="550"/>
      <c r="E122" s="550"/>
      <c r="F122" s="550"/>
      <c r="G122" s="550"/>
      <c r="H122" s="550"/>
      <c r="I122" s="550"/>
      <c r="J122" s="550"/>
      <c r="K122" s="550"/>
      <c r="L122" s="550"/>
      <c r="M122" s="550"/>
      <c r="N122" s="550"/>
      <c r="O122" s="550"/>
      <c r="P122" s="550"/>
      <c r="Q122" s="550"/>
      <c r="R122" s="550"/>
      <c r="S122" s="550"/>
      <c r="T122" s="550"/>
      <c r="U122" s="550"/>
      <c r="V122" s="550"/>
      <c r="W122" s="550"/>
      <c r="X122" s="550"/>
      <c r="Y122" s="550"/>
      <c r="Z122" s="550"/>
      <c r="AA122" s="550"/>
      <c r="AB122" s="55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</row>
    <row r="123" spans="1:40" x14ac:dyDescent="0.25">
      <c r="A123" s="998" t="s">
        <v>1</v>
      </c>
      <c r="B123" s="998" t="s">
        <v>40</v>
      </c>
      <c r="C123" s="996" t="s">
        <v>118</v>
      </c>
      <c r="D123" s="992" t="s">
        <v>119</v>
      </c>
      <c r="E123" s="992" t="s">
        <v>127</v>
      </c>
      <c r="F123" s="992" t="s">
        <v>124</v>
      </c>
      <c r="G123" s="992" t="s">
        <v>120</v>
      </c>
      <c r="H123" s="992" t="s">
        <v>215</v>
      </c>
      <c r="I123" s="992" t="s">
        <v>122</v>
      </c>
      <c r="J123" s="992" t="s">
        <v>123</v>
      </c>
      <c r="K123" s="992" t="s">
        <v>218</v>
      </c>
      <c r="L123" s="992" t="s">
        <v>126</v>
      </c>
      <c r="M123" s="992" t="s">
        <v>125</v>
      </c>
      <c r="N123" s="992" t="s">
        <v>130</v>
      </c>
      <c r="O123" s="994" t="s">
        <v>216</v>
      </c>
      <c r="P123" s="996" t="s">
        <v>121</v>
      </c>
      <c r="Q123" s="992" t="s">
        <v>45</v>
      </c>
      <c r="R123" s="994" t="s">
        <v>217</v>
      </c>
      <c r="S123" s="992" t="s">
        <v>219</v>
      </c>
      <c r="T123" s="992" t="s">
        <v>128</v>
      </c>
      <c r="U123" s="992" t="s">
        <v>221</v>
      </c>
      <c r="V123" s="992" t="s">
        <v>220</v>
      </c>
      <c r="W123" s="992" t="s">
        <v>222</v>
      </c>
      <c r="X123" s="992" t="s">
        <v>223</v>
      </c>
      <c r="Y123" s="994" t="s">
        <v>224</v>
      </c>
      <c r="Z123" s="992" t="s">
        <v>129</v>
      </c>
      <c r="AA123" s="990" t="s">
        <v>415</v>
      </c>
      <c r="AB123" s="999" t="s">
        <v>117</v>
      </c>
      <c r="AC123" s="1000" t="s">
        <v>214</v>
      </c>
      <c r="AD123" s="1000"/>
      <c r="AE123" s="1000"/>
      <c r="AF123" s="460" t="s">
        <v>204</v>
      </c>
      <c r="AG123" s="1000" t="s">
        <v>213</v>
      </c>
      <c r="AH123" s="1000"/>
      <c r="AI123" s="1001" t="s">
        <v>132</v>
      </c>
      <c r="AJ123" s="1002"/>
      <c r="AK123" s="1002"/>
      <c r="AL123" s="1003"/>
      <c r="AM123" s="460" t="s">
        <v>205</v>
      </c>
      <c r="AN123" s="1000" t="s">
        <v>206</v>
      </c>
    </row>
    <row r="124" spans="1:40" x14ac:dyDescent="0.25">
      <c r="A124" s="998"/>
      <c r="B124" s="998"/>
      <c r="C124" s="997"/>
      <c r="D124" s="991"/>
      <c r="E124" s="991"/>
      <c r="F124" s="991"/>
      <c r="G124" s="991"/>
      <c r="H124" s="991"/>
      <c r="I124" s="991"/>
      <c r="J124" s="991"/>
      <c r="K124" s="991"/>
      <c r="L124" s="991"/>
      <c r="M124" s="991"/>
      <c r="N124" s="991"/>
      <c r="O124" s="995"/>
      <c r="P124" s="997"/>
      <c r="Q124" s="991"/>
      <c r="R124" s="995"/>
      <c r="S124" s="991"/>
      <c r="T124" s="991"/>
      <c r="U124" s="991"/>
      <c r="V124" s="991"/>
      <c r="W124" s="991"/>
      <c r="X124" s="991"/>
      <c r="Y124" s="995"/>
      <c r="Z124" s="991"/>
      <c r="AA124" s="991"/>
      <c r="AB124" s="999"/>
      <c r="AC124" s="462" t="s">
        <v>193</v>
      </c>
      <c r="AD124" s="462" t="s">
        <v>192</v>
      </c>
      <c r="AE124" s="462" t="s">
        <v>191</v>
      </c>
      <c r="AF124" s="461" t="s">
        <v>207</v>
      </c>
      <c r="AG124" s="462" t="s">
        <v>208</v>
      </c>
      <c r="AH124" s="462" t="s">
        <v>209</v>
      </c>
      <c r="AI124" s="462" t="s">
        <v>210</v>
      </c>
      <c r="AJ124" s="462" t="s">
        <v>211</v>
      </c>
      <c r="AK124" s="462" t="s">
        <v>88</v>
      </c>
      <c r="AL124" s="462" t="s">
        <v>18</v>
      </c>
      <c r="AM124" s="461" t="s">
        <v>212</v>
      </c>
      <c r="AN124" s="1000"/>
    </row>
    <row r="125" spans="1:40" x14ac:dyDescent="0.25">
      <c r="A125" s="463">
        <v>1</v>
      </c>
      <c r="B125" s="464" t="s">
        <v>371</v>
      </c>
      <c r="C125" s="476"/>
      <c r="D125" s="476"/>
      <c r="E125" s="476"/>
      <c r="F125" s="476"/>
      <c r="G125" s="476"/>
      <c r="H125" s="476"/>
      <c r="I125" s="476"/>
      <c r="J125" s="476"/>
      <c r="K125" s="476"/>
      <c r="L125" s="476"/>
      <c r="M125" s="476"/>
      <c r="N125" s="476"/>
      <c r="O125" s="476"/>
      <c r="P125" s="476"/>
      <c r="Q125" s="476"/>
      <c r="R125" s="476"/>
      <c r="S125" s="476"/>
      <c r="T125" s="476"/>
      <c r="U125" s="476"/>
      <c r="V125" s="476"/>
      <c r="W125" s="476"/>
      <c r="X125" s="476"/>
      <c r="Y125" s="476"/>
      <c r="Z125" s="476"/>
      <c r="AA125" s="476"/>
      <c r="AB125" s="477">
        <f>SUM(C125:AA125)</f>
        <v>0</v>
      </c>
      <c r="AC125" s="477"/>
      <c r="AD125" s="477"/>
      <c r="AE125" s="477"/>
      <c r="AF125" s="477"/>
      <c r="AG125" s="477"/>
      <c r="AH125" s="477"/>
      <c r="AI125" s="477"/>
      <c r="AJ125" s="477"/>
      <c r="AK125" s="477"/>
      <c r="AL125" s="477"/>
      <c r="AM125" s="477"/>
      <c r="AN125" s="477"/>
    </row>
    <row r="126" spans="1:40" x14ac:dyDescent="0.25">
      <c r="A126" s="463">
        <v>2</v>
      </c>
      <c r="B126" s="464" t="s">
        <v>372</v>
      </c>
      <c r="C126" s="476"/>
      <c r="D126" s="476"/>
      <c r="E126" s="476"/>
      <c r="F126" s="476"/>
      <c r="G126" s="476"/>
      <c r="H126" s="476"/>
      <c r="I126" s="476"/>
      <c r="J126" s="476"/>
      <c r="K126" s="476"/>
      <c r="L126" s="476"/>
      <c r="M126" s="476"/>
      <c r="N126" s="476"/>
      <c r="O126" s="476"/>
      <c r="P126" s="476"/>
      <c r="Q126" s="476"/>
      <c r="R126" s="476"/>
      <c r="S126" s="476"/>
      <c r="T126" s="476"/>
      <c r="U126" s="476"/>
      <c r="V126" s="476"/>
      <c r="W126" s="476"/>
      <c r="X126" s="476"/>
      <c r="Y126" s="476"/>
      <c r="Z126" s="476"/>
      <c r="AA126" s="477"/>
      <c r="AB126" s="477">
        <f t="shared" ref="AB126:AB139" si="38">SUM(C126:AA126)</f>
        <v>0</v>
      </c>
      <c r="AC126" s="477"/>
      <c r="AD126" s="477"/>
      <c r="AE126" s="477"/>
      <c r="AF126" s="477"/>
      <c r="AG126" s="477"/>
      <c r="AH126" s="477"/>
      <c r="AI126" s="477"/>
      <c r="AJ126" s="477"/>
      <c r="AK126" s="477"/>
      <c r="AL126" s="477"/>
      <c r="AM126" s="477"/>
      <c r="AN126" s="477"/>
    </row>
    <row r="127" spans="1:40" x14ac:dyDescent="0.25">
      <c r="A127" s="463">
        <v>3</v>
      </c>
      <c r="B127" s="464" t="s">
        <v>373</v>
      </c>
      <c r="C127" s="476"/>
      <c r="D127" s="476"/>
      <c r="E127" s="476"/>
      <c r="F127" s="476"/>
      <c r="G127" s="476"/>
      <c r="H127" s="476"/>
      <c r="I127" s="476"/>
      <c r="J127" s="476"/>
      <c r="K127" s="476"/>
      <c r="L127" s="476"/>
      <c r="M127" s="476"/>
      <c r="N127" s="476"/>
      <c r="O127" s="476"/>
      <c r="P127" s="476"/>
      <c r="Q127" s="476"/>
      <c r="R127" s="476"/>
      <c r="S127" s="476"/>
      <c r="T127" s="476"/>
      <c r="U127" s="476"/>
      <c r="V127" s="476"/>
      <c r="W127" s="476"/>
      <c r="X127" s="476"/>
      <c r="Y127" s="476"/>
      <c r="Z127" s="476"/>
      <c r="AA127" s="477"/>
      <c r="AB127" s="477">
        <f t="shared" si="38"/>
        <v>0</v>
      </c>
      <c r="AC127" s="477"/>
      <c r="AD127" s="477"/>
      <c r="AE127" s="477"/>
      <c r="AF127" s="477"/>
      <c r="AG127" s="477"/>
      <c r="AH127" s="477"/>
      <c r="AI127" s="477"/>
      <c r="AJ127" s="477"/>
      <c r="AK127" s="477"/>
      <c r="AL127" s="477"/>
      <c r="AM127" s="477"/>
      <c r="AN127" s="477"/>
    </row>
    <row r="128" spans="1:40" x14ac:dyDescent="0.25">
      <c r="A128" s="463">
        <v>4</v>
      </c>
      <c r="B128" s="464" t="s">
        <v>374</v>
      </c>
      <c r="C128" s="476"/>
      <c r="D128" s="476"/>
      <c r="E128" s="476"/>
      <c r="F128" s="476"/>
      <c r="G128" s="476"/>
      <c r="H128" s="476"/>
      <c r="I128" s="476"/>
      <c r="J128" s="476"/>
      <c r="K128" s="476"/>
      <c r="L128" s="476"/>
      <c r="M128" s="476"/>
      <c r="N128" s="476"/>
      <c r="O128" s="476"/>
      <c r="P128" s="476"/>
      <c r="Q128" s="476"/>
      <c r="R128" s="476"/>
      <c r="S128" s="476"/>
      <c r="T128" s="476"/>
      <c r="U128" s="476"/>
      <c r="V128" s="476"/>
      <c r="W128" s="476"/>
      <c r="X128" s="476"/>
      <c r="Y128" s="476"/>
      <c r="Z128" s="476"/>
      <c r="AA128" s="477"/>
      <c r="AB128" s="477">
        <f t="shared" si="38"/>
        <v>0</v>
      </c>
      <c r="AC128" s="477"/>
      <c r="AD128" s="477"/>
      <c r="AE128" s="477"/>
      <c r="AF128" s="477"/>
      <c r="AG128" s="477"/>
      <c r="AH128" s="477"/>
      <c r="AI128" s="477"/>
      <c r="AJ128" s="477"/>
      <c r="AK128" s="477"/>
      <c r="AL128" s="477"/>
      <c r="AM128" s="477"/>
      <c r="AN128" s="477"/>
    </row>
    <row r="129" spans="1:40" x14ac:dyDescent="0.25">
      <c r="A129" s="463">
        <v>5</v>
      </c>
      <c r="B129" s="464" t="s">
        <v>375</v>
      </c>
      <c r="C129" s="477"/>
      <c r="D129" s="477"/>
      <c r="E129" s="477"/>
      <c r="F129" s="477"/>
      <c r="G129" s="477"/>
      <c r="H129" s="477"/>
      <c r="I129" s="477"/>
      <c r="J129" s="477"/>
      <c r="K129" s="477"/>
      <c r="L129" s="477"/>
      <c r="M129" s="477"/>
      <c r="N129" s="477"/>
      <c r="O129" s="477"/>
      <c r="P129" s="477"/>
      <c r="Q129" s="477"/>
      <c r="R129" s="477"/>
      <c r="S129" s="477"/>
      <c r="T129" s="477"/>
      <c r="U129" s="477"/>
      <c r="V129" s="477"/>
      <c r="W129" s="477"/>
      <c r="X129" s="477"/>
      <c r="Y129" s="477"/>
      <c r="Z129" s="477"/>
      <c r="AA129" s="477"/>
      <c r="AB129" s="477">
        <f t="shared" si="38"/>
        <v>0</v>
      </c>
      <c r="AC129" s="477"/>
      <c r="AD129" s="477"/>
      <c r="AE129" s="477"/>
      <c r="AF129" s="477"/>
      <c r="AG129" s="477"/>
      <c r="AH129" s="477"/>
      <c r="AI129" s="477"/>
      <c r="AJ129" s="477"/>
      <c r="AK129" s="477"/>
      <c r="AL129" s="477"/>
      <c r="AM129" s="477"/>
      <c r="AN129" s="477"/>
    </row>
    <row r="130" spans="1:40" x14ac:dyDescent="0.25">
      <c r="A130" s="463">
        <v>6</v>
      </c>
      <c r="B130" s="464" t="s">
        <v>414</v>
      </c>
      <c r="C130" s="476"/>
      <c r="D130" s="476"/>
      <c r="E130" s="476"/>
      <c r="F130" s="476"/>
      <c r="G130" s="476"/>
      <c r="H130" s="476"/>
      <c r="I130" s="476"/>
      <c r="J130" s="476"/>
      <c r="K130" s="476"/>
      <c r="L130" s="476"/>
      <c r="M130" s="476"/>
      <c r="N130" s="476"/>
      <c r="O130" s="476"/>
      <c r="P130" s="476"/>
      <c r="Q130" s="476"/>
      <c r="R130" s="476"/>
      <c r="S130" s="476"/>
      <c r="T130" s="476"/>
      <c r="U130" s="476"/>
      <c r="V130" s="476"/>
      <c r="W130" s="476"/>
      <c r="X130" s="476"/>
      <c r="Y130" s="476"/>
      <c r="Z130" s="476"/>
      <c r="AA130" s="477"/>
      <c r="AB130" s="477">
        <f t="shared" si="38"/>
        <v>0</v>
      </c>
      <c r="AC130" s="477"/>
      <c r="AD130" s="477"/>
      <c r="AE130" s="477"/>
      <c r="AF130" s="477"/>
      <c r="AG130" s="477"/>
      <c r="AH130" s="477"/>
      <c r="AI130" s="477"/>
      <c r="AJ130" s="477"/>
      <c r="AK130" s="477"/>
      <c r="AL130" s="477"/>
      <c r="AM130" s="477"/>
      <c r="AN130" s="477"/>
    </row>
    <row r="131" spans="1:40" x14ac:dyDescent="0.25">
      <c r="A131" s="463">
        <v>7</v>
      </c>
      <c r="B131" s="464" t="s">
        <v>376</v>
      </c>
      <c r="C131" s="476"/>
      <c r="D131" s="476"/>
      <c r="E131" s="476"/>
      <c r="F131" s="476"/>
      <c r="G131" s="476"/>
      <c r="H131" s="476"/>
      <c r="I131" s="476"/>
      <c r="J131" s="476"/>
      <c r="K131" s="476"/>
      <c r="L131" s="476"/>
      <c r="M131" s="476"/>
      <c r="N131" s="476"/>
      <c r="O131" s="476"/>
      <c r="P131" s="476"/>
      <c r="Q131" s="476"/>
      <c r="R131" s="476"/>
      <c r="S131" s="476"/>
      <c r="T131" s="476"/>
      <c r="U131" s="476"/>
      <c r="V131" s="476"/>
      <c r="W131" s="476"/>
      <c r="X131" s="476"/>
      <c r="Y131" s="476"/>
      <c r="Z131" s="476"/>
      <c r="AA131" s="477"/>
      <c r="AB131" s="477">
        <f t="shared" si="38"/>
        <v>0</v>
      </c>
      <c r="AC131" s="477"/>
      <c r="AD131" s="477"/>
      <c r="AE131" s="477"/>
      <c r="AF131" s="477"/>
      <c r="AG131" s="477"/>
      <c r="AH131" s="477"/>
      <c r="AI131" s="477"/>
      <c r="AJ131" s="477"/>
      <c r="AK131" s="477"/>
      <c r="AL131" s="477"/>
      <c r="AM131" s="477"/>
      <c r="AN131" s="477"/>
    </row>
    <row r="132" spans="1:40" x14ac:dyDescent="0.25">
      <c r="A132" s="463">
        <v>8</v>
      </c>
      <c r="B132" s="464" t="s">
        <v>377</v>
      </c>
      <c r="C132" s="561"/>
      <c r="D132" s="561"/>
      <c r="E132" s="561"/>
      <c r="F132" s="561"/>
      <c r="G132" s="561"/>
      <c r="H132" s="561"/>
      <c r="I132" s="561"/>
      <c r="J132" s="561"/>
      <c r="K132" s="561"/>
      <c r="L132" s="561"/>
      <c r="M132" s="561"/>
      <c r="N132" s="561"/>
      <c r="O132" s="561"/>
      <c r="P132" s="561"/>
      <c r="Q132" s="561"/>
      <c r="R132" s="561"/>
      <c r="S132" s="561"/>
      <c r="T132" s="561"/>
      <c r="U132" s="561"/>
      <c r="V132" s="561"/>
      <c r="W132" s="561"/>
      <c r="X132" s="561"/>
      <c r="Y132" s="561"/>
      <c r="Z132" s="561"/>
      <c r="AA132" s="477"/>
      <c r="AB132" s="477">
        <v>0</v>
      </c>
      <c r="AC132" s="477"/>
      <c r="AD132" s="477"/>
      <c r="AE132" s="477"/>
      <c r="AF132" s="477"/>
      <c r="AG132" s="477"/>
      <c r="AH132" s="477"/>
      <c r="AI132" s="477"/>
      <c r="AJ132" s="477"/>
      <c r="AK132" s="477"/>
      <c r="AL132" s="477"/>
      <c r="AM132" s="477"/>
      <c r="AN132" s="477"/>
    </row>
    <row r="133" spans="1:40" x14ac:dyDescent="0.25">
      <c r="A133" s="463">
        <v>9</v>
      </c>
      <c r="B133" s="464" t="s">
        <v>378</v>
      </c>
      <c r="C133" s="476"/>
      <c r="D133" s="476"/>
      <c r="E133" s="476"/>
      <c r="F133" s="476"/>
      <c r="G133" s="476"/>
      <c r="H133" s="476"/>
      <c r="I133" s="476"/>
      <c r="J133" s="476"/>
      <c r="K133" s="476"/>
      <c r="L133" s="476"/>
      <c r="M133" s="476"/>
      <c r="N133" s="476"/>
      <c r="O133" s="476"/>
      <c r="P133" s="476"/>
      <c r="Q133" s="476"/>
      <c r="R133" s="476"/>
      <c r="S133" s="476"/>
      <c r="T133" s="476"/>
      <c r="U133" s="476"/>
      <c r="V133" s="476"/>
      <c r="W133" s="476"/>
      <c r="X133" s="476"/>
      <c r="Y133" s="476"/>
      <c r="Z133" s="476"/>
      <c r="AA133" s="477"/>
      <c r="AB133" s="477">
        <f t="shared" si="38"/>
        <v>0</v>
      </c>
      <c r="AC133" s="477"/>
      <c r="AD133" s="477"/>
      <c r="AE133" s="477"/>
      <c r="AF133" s="477"/>
      <c r="AG133" s="477"/>
      <c r="AH133" s="477"/>
      <c r="AI133" s="477"/>
      <c r="AJ133" s="477"/>
      <c r="AK133" s="477"/>
      <c r="AL133" s="477"/>
      <c r="AM133" s="477"/>
      <c r="AN133" s="477"/>
    </row>
    <row r="134" spans="1:40" x14ac:dyDescent="0.25">
      <c r="A134" s="463">
        <v>10</v>
      </c>
      <c r="B134" s="464" t="s">
        <v>379</v>
      </c>
      <c r="C134" s="476"/>
      <c r="D134" s="476"/>
      <c r="E134" s="476"/>
      <c r="F134" s="476"/>
      <c r="G134" s="476"/>
      <c r="H134" s="476"/>
      <c r="I134" s="476"/>
      <c r="J134" s="476"/>
      <c r="K134" s="476"/>
      <c r="L134" s="476"/>
      <c r="M134" s="476"/>
      <c r="N134" s="476"/>
      <c r="O134" s="476"/>
      <c r="P134" s="476"/>
      <c r="Q134" s="476"/>
      <c r="R134" s="476"/>
      <c r="S134" s="476"/>
      <c r="T134" s="476"/>
      <c r="U134" s="476"/>
      <c r="V134" s="476"/>
      <c r="W134" s="476"/>
      <c r="X134" s="476"/>
      <c r="Y134" s="476"/>
      <c r="Z134" s="476"/>
      <c r="AA134" s="477"/>
      <c r="AB134" s="477">
        <f t="shared" si="38"/>
        <v>0</v>
      </c>
      <c r="AC134" s="477"/>
      <c r="AD134" s="477"/>
      <c r="AE134" s="477"/>
      <c r="AF134" s="477"/>
      <c r="AG134" s="477"/>
      <c r="AH134" s="477"/>
      <c r="AI134" s="477"/>
      <c r="AJ134" s="477"/>
      <c r="AK134" s="477"/>
      <c r="AL134" s="477"/>
      <c r="AM134" s="477"/>
      <c r="AN134" s="477"/>
    </row>
    <row r="135" spans="1:40" x14ac:dyDescent="0.25">
      <c r="A135" s="463">
        <v>11</v>
      </c>
      <c r="B135" s="464" t="s">
        <v>380</v>
      </c>
      <c r="C135" s="476"/>
      <c r="D135" s="476"/>
      <c r="E135" s="476"/>
      <c r="F135" s="476"/>
      <c r="G135" s="476"/>
      <c r="H135" s="476"/>
      <c r="I135" s="476"/>
      <c r="J135" s="476"/>
      <c r="K135" s="476"/>
      <c r="L135" s="476"/>
      <c r="M135" s="476"/>
      <c r="N135" s="476"/>
      <c r="O135" s="476"/>
      <c r="P135" s="476"/>
      <c r="Q135" s="476"/>
      <c r="R135" s="476"/>
      <c r="S135" s="476"/>
      <c r="T135" s="476"/>
      <c r="U135" s="476"/>
      <c r="V135" s="476"/>
      <c r="W135" s="476"/>
      <c r="X135" s="476"/>
      <c r="Y135" s="476"/>
      <c r="Z135" s="476"/>
      <c r="AA135" s="477"/>
      <c r="AB135" s="477">
        <f t="shared" si="38"/>
        <v>0</v>
      </c>
      <c r="AC135" s="477"/>
      <c r="AD135" s="477"/>
      <c r="AE135" s="477"/>
      <c r="AF135" s="477"/>
      <c r="AG135" s="477"/>
      <c r="AH135" s="477"/>
      <c r="AI135" s="477"/>
      <c r="AJ135" s="477"/>
      <c r="AK135" s="477"/>
      <c r="AL135" s="477"/>
      <c r="AM135" s="477"/>
      <c r="AN135" s="477"/>
    </row>
    <row r="136" spans="1:40" x14ac:dyDescent="0.25">
      <c r="A136" s="463">
        <v>12</v>
      </c>
      <c r="B136" s="464" t="s">
        <v>381</v>
      </c>
      <c r="C136" s="476"/>
      <c r="D136" s="476"/>
      <c r="E136" s="476"/>
      <c r="F136" s="476"/>
      <c r="G136" s="476"/>
      <c r="H136" s="476"/>
      <c r="I136" s="476"/>
      <c r="J136" s="476"/>
      <c r="K136" s="476"/>
      <c r="L136" s="476"/>
      <c r="M136" s="476"/>
      <c r="N136" s="476"/>
      <c r="O136" s="476"/>
      <c r="P136" s="476"/>
      <c r="Q136" s="476"/>
      <c r="R136" s="476"/>
      <c r="S136" s="476"/>
      <c r="T136" s="476"/>
      <c r="U136" s="476"/>
      <c r="V136" s="476"/>
      <c r="W136" s="476"/>
      <c r="X136" s="476"/>
      <c r="Y136" s="476"/>
      <c r="Z136" s="476"/>
      <c r="AA136" s="477"/>
      <c r="AB136" s="477">
        <f t="shared" si="38"/>
        <v>0</v>
      </c>
      <c r="AC136" s="477"/>
      <c r="AD136" s="477"/>
      <c r="AE136" s="477"/>
      <c r="AF136" s="477"/>
      <c r="AG136" s="477"/>
      <c r="AH136" s="477"/>
      <c r="AI136" s="477"/>
      <c r="AJ136" s="477"/>
      <c r="AK136" s="477"/>
      <c r="AL136" s="477"/>
      <c r="AM136" s="477"/>
      <c r="AN136" s="477"/>
    </row>
    <row r="137" spans="1:40" x14ac:dyDescent="0.25">
      <c r="A137" s="463">
        <v>13</v>
      </c>
      <c r="B137" s="464" t="s">
        <v>382</v>
      </c>
      <c r="C137" s="476"/>
      <c r="D137" s="476"/>
      <c r="E137" s="476"/>
      <c r="F137" s="476"/>
      <c r="G137" s="476"/>
      <c r="H137" s="476"/>
      <c r="I137" s="476"/>
      <c r="J137" s="476"/>
      <c r="K137" s="476"/>
      <c r="L137" s="476"/>
      <c r="M137" s="476"/>
      <c r="N137" s="476"/>
      <c r="O137" s="476"/>
      <c r="P137" s="476"/>
      <c r="Q137" s="476"/>
      <c r="R137" s="476"/>
      <c r="S137" s="476"/>
      <c r="T137" s="476"/>
      <c r="U137" s="476"/>
      <c r="V137" s="476"/>
      <c r="W137" s="476"/>
      <c r="X137" s="476"/>
      <c r="Y137" s="476"/>
      <c r="Z137" s="476"/>
      <c r="AA137" s="477"/>
      <c r="AB137" s="477">
        <f t="shared" si="38"/>
        <v>0</v>
      </c>
      <c r="AC137" s="477"/>
      <c r="AD137" s="477"/>
      <c r="AE137" s="477"/>
      <c r="AF137" s="477"/>
      <c r="AG137" s="477"/>
      <c r="AH137" s="477"/>
      <c r="AI137" s="477"/>
      <c r="AJ137" s="477"/>
      <c r="AK137" s="477"/>
      <c r="AL137" s="477"/>
      <c r="AM137" s="477"/>
      <c r="AN137" s="477"/>
    </row>
    <row r="138" spans="1:40" x14ac:dyDescent="0.25">
      <c r="A138" s="463">
        <v>14</v>
      </c>
      <c r="B138" s="464" t="s">
        <v>383</v>
      </c>
      <c r="C138" s="476"/>
      <c r="D138" s="476"/>
      <c r="E138" s="476"/>
      <c r="F138" s="476"/>
      <c r="G138" s="476"/>
      <c r="H138" s="476"/>
      <c r="I138" s="476"/>
      <c r="J138" s="476"/>
      <c r="K138" s="476"/>
      <c r="L138" s="476"/>
      <c r="M138" s="476"/>
      <c r="N138" s="476"/>
      <c r="O138" s="476"/>
      <c r="P138" s="476"/>
      <c r="Q138" s="476"/>
      <c r="R138" s="476"/>
      <c r="S138" s="476"/>
      <c r="T138" s="476"/>
      <c r="U138" s="476"/>
      <c r="V138" s="476"/>
      <c r="W138" s="476"/>
      <c r="X138" s="476"/>
      <c r="Y138" s="476"/>
      <c r="Z138" s="476"/>
      <c r="AA138" s="477"/>
      <c r="AB138" s="477">
        <f t="shared" si="38"/>
        <v>0</v>
      </c>
      <c r="AC138" s="477"/>
      <c r="AD138" s="477"/>
      <c r="AE138" s="477"/>
      <c r="AF138" s="477"/>
      <c r="AG138" s="477"/>
      <c r="AH138" s="477"/>
      <c r="AI138" s="477"/>
      <c r="AJ138" s="477"/>
      <c r="AK138" s="477"/>
      <c r="AL138" s="477"/>
      <c r="AM138" s="477"/>
      <c r="AN138" s="477"/>
    </row>
    <row r="139" spans="1:40" x14ac:dyDescent="0.25">
      <c r="A139" s="463">
        <v>15</v>
      </c>
      <c r="B139" s="469" t="s">
        <v>384</v>
      </c>
      <c r="C139" s="477"/>
      <c r="D139" s="477"/>
      <c r="E139" s="477"/>
      <c r="F139" s="477"/>
      <c r="G139" s="477"/>
      <c r="H139" s="477"/>
      <c r="I139" s="477"/>
      <c r="J139" s="477"/>
      <c r="K139" s="477"/>
      <c r="L139" s="477"/>
      <c r="M139" s="477"/>
      <c r="N139" s="477"/>
      <c r="O139" s="477"/>
      <c r="P139" s="477"/>
      <c r="Q139" s="477"/>
      <c r="R139" s="477"/>
      <c r="S139" s="477"/>
      <c r="T139" s="477"/>
      <c r="U139" s="477"/>
      <c r="V139" s="477"/>
      <c r="W139" s="477"/>
      <c r="X139" s="477"/>
      <c r="Y139" s="477"/>
      <c r="Z139" s="477"/>
      <c r="AA139" s="477"/>
      <c r="AB139" s="477">
        <f t="shared" si="38"/>
        <v>0</v>
      </c>
      <c r="AC139" s="477"/>
      <c r="AD139" s="477"/>
      <c r="AE139" s="477"/>
      <c r="AF139" s="477"/>
      <c r="AG139" s="477"/>
      <c r="AH139" s="477"/>
      <c r="AI139" s="477"/>
      <c r="AJ139" s="477"/>
      <c r="AK139" s="477"/>
      <c r="AL139" s="477"/>
      <c r="AM139" s="477"/>
      <c r="AN139" s="477"/>
    </row>
    <row r="140" spans="1:40" x14ac:dyDescent="0.25">
      <c r="A140" s="465"/>
      <c r="B140" s="466" t="s">
        <v>18</v>
      </c>
      <c r="C140" s="501">
        <f t="shared" ref="C140:AN140" si="39">SUM(C125:C138)</f>
        <v>0</v>
      </c>
      <c r="D140" s="501">
        <f t="shared" si="39"/>
        <v>0</v>
      </c>
      <c r="E140" s="501">
        <f t="shared" si="39"/>
        <v>0</v>
      </c>
      <c r="F140" s="501">
        <f t="shared" si="39"/>
        <v>0</v>
      </c>
      <c r="G140" s="501">
        <f t="shared" si="39"/>
        <v>0</v>
      </c>
      <c r="H140" s="501">
        <f t="shared" si="39"/>
        <v>0</v>
      </c>
      <c r="I140" s="501">
        <f t="shared" si="39"/>
        <v>0</v>
      </c>
      <c r="J140" s="501">
        <f t="shared" si="39"/>
        <v>0</v>
      </c>
      <c r="K140" s="501">
        <f t="shared" si="39"/>
        <v>0</v>
      </c>
      <c r="L140" s="501">
        <f t="shared" si="39"/>
        <v>0</v>
      </c>
      <c r="M140" s="501">
        <f t="shared" si="39"/>
        <v>0</v>
      </c>
      <c r="N140" s="501">
        <f t="shared" si="39"/>
        <v>0</v>
      </c>
      <c r="O140" s="501">
        <f t="shared" si="39"/>
        <v>0</v>
      </c>
      <c r="P140" s="501">
        <f t="shared" si="39"/>
        <v>0</v>
      </c>
      <c r="Q140" s="501">
        <f t="shared" si="39"/>
        <v>0</v>
      </c>
      <c r="R140" s="501">
        <f t="shared" si="39"/>
        <v>0</v>
      </c>
      <c r="S140" s="501">
        <f t="shared" si="39"/>
        <v>0</v>
      </c>
      <c r="T140" s="501">
        <f t="shared" si="39"/>
        <v>0</v>
      </c>
      <c r="U140" s="501">
        <f t="shared" si="39"/>
        <v>0</v>
      </c>
      <c r="V140" s="501">
        <f t="shared" si="39"/>
        <v>0</v>
      </c>
      <c r="W140" s="501">
        <f t="shared" si="39"/>
        <v>0</v>
      </c>
      <c r="X140" s="501">
        <f t="shared" si="39"/>
        <v>0</v>
      </c>
      <c r="Y140" s="501">
        <f t="shared" si="39"/>
        <v>0</v>
      </c>
      <c r="Z140" s="501">
        <f t="shared" si="39"/>
        <v>0</v>
      </c>
      <c r="AA140" s="501">
        <f t="shared" si="39"/>
        <v>0</v>
      </c>
      <c r="AB140" s="501">
        <f t="shared" si="39"/>
        <v>0</v>
      </c>
      <c r="AC140" s="501">
        <f t="shared" si="39"/>
        <v>0</v>
      </c>
      <c r="AD140" s="501">
        <f t="shared" si="39"/>
        <v>0</v>
      </c>
      <c r="AE140" s="501">
        <f t="shared" si="39"/>
        <v>0</v>
      </c>
      <c r="AF140" s="501">
        <f t="shared" si="39"/>
        <v>0</v>
      </c>
      <c r="AG140" s="501">
        <f t="shared" si="39"/>
        <v>0</v>
      </c>
      <c r="AH140" s="501">
        <f t="shared" si="39"/>
        <v>0</v>
      </c>
      <c r="AI140" s="501">
        <f t="shared" si="39"/>
        <v>0</v>
      </c>
      <c r="AJ140" s="501">
        <f t="shared" si="39"/>
        <v>0</v>
      </c>
      <c r="AK140" s="501">
        <f t="shared" si="39"/>
        <v>0</v>
      </c>
      <c r="AL140" s="501">
        <f t="shared" si="39"/>
        <v>0</v>
      </c>
      <c r="AM140" s="501">
        <f t="shared" si="39"/>
        <v>0</v>
      </c>
      <c r="AN140" s="501">
        <f t="shared" si="39"/>
        <v>0</v>
      </c>
    </row>
    <row r="143" spans="1:40" x14ac:dyDescent="0.25">
      <c r="A143" s="993" t="s">
        <v>131</v>
      </c>
      <c r="B143" s="993"/>
      <c r="C143" s="993"/>
      <c r="D143" s="993"/>
      <c r="E143" s="993"/>
      <c r="F143" s="993"/>
      <c r="G143" s="993"/>
      <c r="H143" s="993"/>
      <c r="I143" s="993"/>
      <c r="J143" s="993"/>
      <c r="K143" s="993"/>
      <c r="L143" s="993"/>
      <c r="M143" s="993"/>
      <c r="N143" s="993"/>
      <c r="O143" s="993"/>
      <c r="P143" s="993"/>
      <c r="Q143" s="993"/>
      <c r="R143" s="993"/>
      <c r="S143" s="993"/>
      <c r="T143" s="993"/>
      <c r="U143" s="993"/>
      <c r="V143" s="993"/>
      <c r="W143" s="993"/>
      <c r="X143" s="993"/>
      <c r="Y143" s="993"/>
      <c r="Z143" s="993"/>
      <c r="AA143" s="993"/>
      <c r="AB143" s="993"/>
      <c r="AC143" s="993"/>
      <c r="AD143" s="993"/>
      <c r="AE143" s="993"/>
      <c r="AF143" s="993"/>
      <c r="AG143" s="993"/>
      <c r="AH143" s="993"/>
      <c r="AI143" s="993"/>
      <c r="AJ143" s="993"/>
      <c r="AK143" s="993"/>
      <c r="AL143" s="993"/>
      <c r="AM143" s="993"/>
      <c r="AN143" s="993"/>
    </row>
    <row r="144" spans="1:40" x14ac:dyDescent="0.25">
      <c r="A144" s="550" t="s">
        <v>292</v>
      </c>
      <c r="B144" s="550" t="s">
        <v>149</v>
      </c>
      <c r="C144" s="550"/>
      <c r="D144" s="550"/>
      <c r="E144" s="550"/>
      <c r="F144" s="550"/>
      <c r="G144" s="550"/>
      <c r="H144" s="550"/>
      <c r="I144" s="550"/>
      <c r="J144" s="550"/>
      <c r="K144" s="550"/>
      <c r="L144" s="550"/>
      <c r="M144" s="550"/>
      <c r="N144" s="550"/>
      <c r="O144" s="550"/>
      <c r="P144" s="550"/>
      <c r="Q144" s="550"/>
      <c r="R144" s="550"/>
      <c r="S144" s="550"/>
      <c r="T144" s="550"/>
      <c r="U144" s="550"/>
      <c r="V144" s="550"/>
      <c r="W144" s="550"/>
      <c r="X144" s="550"/>
      <c r="Y144" s="550"/>
      <c r="Z144" s="550"/>
      <c r="AA144" s="550"/>
      <c r="AB144" s="553" t="s">
        <v>149</v>
      </c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</row>
    <row r="145" spans="1:40" x14ac:dyDescent="0.25">
      <c r="A145" s="550" t="s">
        <v>226</v>
      </c>
      <c r="B145" s="550" t="s">
        <v>142</v>
      </c>
      <c r="C145" s="550"/>
      <c r="D145" s="550"/>
      <c r="E145" s="550"/>
      <c r="F145" s="550"/>
      <c r="G145" s="550"/>
      <c r="H145" s="550"/>
      <c r="I145" s="550"/>
      <c r="J145" s="550"/>
      <c r="K145" s="550"/>
      <c r="L145" s="550"/>
      <c r="M145" s="550"/>
      <c r="N145" s="550"/>
      <c r="O145" s="550"/>
      <c r="P145" s="550"/>
      <c r="Q145" s="550"/>
      <c r="R145" s="550"/>
      <c r="S145" s="550"/>
      <c r="T145" s="550"/>
      <c r="U145" s="550"/>
      <c r="V145" s="550"/>
      <c r="W145" s="550"/>
      <c r="X145" s="550"/>
      <c r="Y145" s="550"/>
      <c r="Z145" s="550"/>
      <c r="AA145" s="550"/>
      <c r="AB145" s="556" t="s">
        <v>397</v>
      </c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</row>
    <row r="146" spans="1:40" x14ac:dyDescent="0.25">
      <c r="A146" s="550"/>
      <c r="B146" s="550"/>
      <c r="C146" s="550"/>
      <c r="D146" s="550"/>
      <c r="E146" s="550"/>
      <c r="F146" s="550"/>
      <c r="G146" s="550"/>
      <c r="H146" s="550"/>
      <c r="I146" s="550"/>
      <c r="J146" s="550"/>
      <c r="K146" s="550"/>
      <c r="L146" s="550"/>
      <c r="M146" s="550"/>
      <c r="N146" s="550"/>
      <c r="O146" s="550"/>
      <c r="P146" s="550"/>
      <c r="Q146" s="550"/>
      <c r="R146" s="550"/>
      <c r="S146" s="550"/>
      <c r="T146" s="550"/>
      <c r="U146" s="550"/>
      <c r="V146" s="550"/>
      <c r="W146" s="550"/>
      <c r="X146" s="550"/>
      <c r="Y146" s="550"/>
      <c r="Z146" s="550"/>
      <c r="AA146" s="550"/>
      <c r="AB146" s="55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</row>
    <row r="147" spans="1:40" x14ac:dyDescent="0.25">
      <c r="A147" s="998" t="s">
        <v>1</v>
      </c>
      <c r="B147" s="998" t="s">
        <v>40</v>
      </c>
      <c r="C147" s="996" t="s">
        <v>118</v>
      </c>
      <c r="D147" s="992" t="s">
        <v>119</v>
      </c>
      <c r="E147" s="992" t="s">
        <v>127</v>
      </c>
      <c r="F147" s="992" t="s">
        <v>124</v>
      </c>
      <c r="G147" s="992" t="s">
        <v>120</v>
      </c>
      <c r="H147" s="992" t="s">
        <v>215</v>
      </c>
      <c r="I147" s="992" t="s">
        <v>122</v>
      </c>
      <c r="J147" s="992" t="s">
        <v>123</v>
      </c>
      <c r="K147" s="992" t="s">
        <v>218</v>
      </c>
      <c r="L147" s="992" t="s">
        <v>126</v>
      </c>
      <c r="M147" s="992" t="s">
        <v>125</v>
      </c>
      <c r="N147" s="992" t="s">
        <v>130</v>
      </c>
      <c r="O147" s="994" t="s">
        <v>216</v>
      </c>
      <c r="P147" s="996" t="s">
        <v>121</v>
      </c>
      <c r="Q147" s="992" t="s">
        <v>45</v>
      </c>
      <c r="R147" s="994" t="s">
        <v>217</v>
      </c>
      <c r="S147" s="992" t="s">
        <v>219</v>
      </c>
      <c r="T147" s="992" t="s">
        <v>128</v>
      </c>
      <c r="U147" s="992" t="s">
        <v>221</v>
      </c>
      <c r="V147" s="992" t="s">
        <v>220</v>
      </c>
      <c r="W147" s="992" t="s">
        <v>222</v>
      </c>
      <c r="X147" s="992" t="s">
        <v>223</v>
      </c>
      <c r="Y147" s="994" t="s">
        <v>224</v>
      </c>
      <c r="Z147" s="992" t="s">
        <v>129</v>
      </c>
      <c r="AA147" s="990" t="s">
        <v>415</v>
      </c>
      <c r="AB147" s="999" t="s">
        <v>117</v>
      </c>
      <c r="AC147" s="1000" t="s">
        <v>214</v>
      </c>
      <c r="AD147" s="1000"/>
      <c r="AE147" s="1000"/>
      <c r="AF147" s="460" t="s">
        <v>204</v>
      </c>
      <c r="AG147" s="1000" t="s">
        <v>213</v>
      </c>
      <c r="AH147" s="1000"/>
      <c r="AI147" s="1001" t="s">
        <v>132</v>
      </c>
      <c r="AJ147" s="1002"/>
      <c r="AK147" s="1002"/>
      <c r="AL147" s="1003"/>
      <c r="AM147" s="460" t="s">
        <v>205</v>
      </c>
      <c r="AN147" s="1000" t="s">
        <v>206</v>
      </c>
    </row>
    <row r="148" spans="1:40" x14ac:dyDescent="0.25">
      <c r="A148" s="998"/>
      <c r="B148" s="998"/>
      <c r="C148" s="997"/>
      <c r="D148" s="991"/>
      <c r="E148" s="991"/>
      <c r="F148" s="991"/>
      <c r="G148" s="991"/>
      <c r="H148" s="991"/>
      <c r="I148" s="991"/>
      <c r="J148" s="991"/>
      <c r="K148" s="991"/>
      <c r="L148" s="991"/>
      <c r="M148" s="991"/>
      <c r="N148" s="991"/>
      <c r="O148" s="995"/>
      <c r="P148" s="997"/>
      <c r="Q148" s="991"/>
      <c r="R148" s="995"/>
      <c r="S148" s="991"/>
      <c r="T148" s="991"/>
      <c r="U148" s="991"/>
      <c r="V148" s="991"/>
      <c r="W148" s="991"/>
      <c r="X148" s="991"/>
      <c r="Y148" s="995"/>
      <c r="Z148" s="991"/>
      <c r="AA148" s="991"/>
      <c r="AB148" s="999"/>
      <c r="AC148" s="462" t="s">
        <v>193</v>
      </c>
      <c r="AD148" s="462" t="s">
        <v>192</v>
      </c>
      <c r="AE148" s="462" t="s">
        <v>191</v>
      </c>
      <c r="AF148" s="461" t="s">
        <v>207</v>
      </c>
      <c r="AG148" s="462" t="s">
        <v>208</v>
      </c>
      <c r="AH148" s="462" t="s">
        <v>209</v>
      </c>
      <c r="AI148" s="462" t="s">
        <v>210</v>
      </c>
      <c r="AJ148" s="462" t="s">
        <v>211</v>
      </c>
      <c r="AK148" s="462" t="s">
        <v>88</v>
      </c>
      <c r="AL148" s="462" t="s">
        <v>18</v>
      </c>
      <c r="AM148" s="461" t="s">
        <v>212</v>
      </c>
      <c r="AN148" s="1000"/>
    </row>
    <row r="149" spans="1:40" x14ac:dyDescent="0.25">
      <c r="A149" s="463">
        <v>1</v>
      </c>
      <c r="B149" s="464" t="s">
        <v>371</v>
      </c>
      <c r="C149" s="476"/>
      <c r="D149" s="476"/>
      <c r="E149" s="476"/>
      <c r="F149" s="476"/>
      <c r="G149" s="476"/>
      <c r="H149" s="476"/>
      <c r="I149" s="476"/>
      <c r="J149" s="476"/>
      <c r="K149" s="476"/>
      <c r="L149" s="476"/>
      <c r="M149" s="476"/>
      <c r="N149" s="476"/>
      <c r="O149" s="476"/>
      <c r="P149" s="476"/>
      <c r="Q149" s="476"/>
      <c r="R149" s="476"/>
      <c r="S149" s="476"/>
      <c r="T149" s="476"/>
      <c r="U149" s="476"/>
      <c r="V149" s="476"/>
      <c r="W149" s="476"/>
      <c r="X149" s="476"/>
      <c r="Y149" s="476"/>
      <c r="Z149" s="476"/>
      <c r="AA149" s="476"/>
      <c r="AB149" s="477">
        <f>SUM(C149:AA149)</f>
        <v>0</v>
      </c>
      <c r="AC149" s="477"/>
      <c r="AD149" s="477"/>
      <c r="AE149" s="477"/>
      <c r="AF149" s="477"/>
      <c r="AG149" s="477"/>
      <c r="AH149" s="477"/>
      <c r="AI149" s="477"/>
      <c r="AJ149" s="477"/>
      <c r="AK149" s="477"/>
      <c r="AL149" s="477"/>
      <c r="AM149" s="477"/>
      <c r="AN149" s="477"/>
    </row>
    <row r="150" spans="1:40" x14ac:dyDescent="0.25">
      <c r="A150" s="463">
        <v>2</v>
      </c>
      <c r="B150" s="464" t="s">
        <v>372</v>
      </c>
      <c r="C150" s="476"/>
      <c r="D150" s="476"/>
      <c r="E150" s="476"/>
      <c r="F150" s="476"/>
      <c r="G150" s="476"/>
      <c r="H150" s="476"/>
      <c r="I150" s="476"/>
      <c r="J150" s="476"/>
      <c r="K150" s="476"/>
      <c r="L150" s="476"/>
      <c r="M150" s="476"/>
      <c r="N150" s="476"/>
      <c r="O150" s="476"/>
      <c r="P150" s="476"/>
      <c r="Q150" s="476"/>
      <c r="R150" s="476"/>
      <c r="S150" s="476"/>
      <c r="T150" s="476"/>
      <c r="U150" s="476"/>
      <c r="V150" s="476"/>
      <c r="W150" s="476"/>
      <c r="X150" s="476"/>
      <c r="Y150" s="476"/>
      <c r="Z150" s="476"/>
      <c r="AA150" s="477"/>
      <c r="AB150" s="477">
        <f t="shared" ref="AB150:AB163" si="40">SUM(C150:AA150)</f>
        <v>0</v>
      </c>
      <c r="AC150" s="477"/>
      <c r="AD150" s="477"/>
      <c r="AE150" s="477"/>
      <c r="AF150" s="477"/>
      <c r="AG150" s="477"/>
      <c r="AH150" s="477"/>
      <c r="AI150" s="477"/>
      <c r="AJ150" s="477"/>
      <c r="AK150" s="477"/>
      <c r="AL150" s="477"/>
      <c r="AM150" s="477"/>
      <c r="AN150" s="477"/>
    </row>
    <row r="151" spans="1:40" x14ac:dyDescent="0.25">
      <c r="A151" s="463">
        <v>3</v>
      </c>
      <c r="B151" s="464" t="s">
        <v>373</v>
      </c>
      <c r="C151" s="476"/>
      <c r="D151" s="476"/>
      <c r="E151" s="476"/>
      <c r="F151" s="476"/>
      <c r="G151" s="476"/>
      <c r="H151" s="476"/>
      <c r="I151" s="476"/>
      <c r="J151" s="476"/>
      <c r="K151" s="476"/>
      <c r="L151" s="476"/>
      <c r="M151" s="476"/>
      <c r="N151" s="476"/>
      <c r="O151" s="476"/>
      <c r="P151" s="476"/>
      <c r="Q151" s="476"/>
      <c r="R151" s="476"/>
      <c r="S151" s="476"/>
      <c r="T151" s="476"/>
      <c r="U151" s="476"/>
      <c r="V151" s="476"/>
      <c r="W151" s="476"/>
      <c r="X151" s="476"/>
      <c r="Y151" s="476"/>
      <c r="Z151" s="476"/>
      <c r="AA151" s="477"/>
      <c r="AB151" s="477">
        <f t="shared" si="40"/>
        <v>0</v>
      </c>
      <c r="AC151" s="477"/>
      <c r="AD151" s="477"/>
      <c r="AE151" s="477"/>
      <c r="AF151" s="477"/>
      <c r="AG151" s="477"/>
      <c r="AH151" s="477"/>
      <c r="AI151" s="477"/>
      <c r="AJ151" s="477"/>
      <c r="AK151" s="477"/>
      <c r="AL151" s="477"/>
      <c r="AM151" s="477"/>
      <c r="AN151" s="477"/>
    </row>
    <row r="152" spans="1:40" x14ac:dyDescent="0.25">
      <c r="A152" s="463">
        <v>4</v>
      </c>
      <c r="B152" s="464" t="s">
        <v>374</v>
      </c>
      <c r="C152" s="476"/>
      <c r="D152" s="476"/>
      <c r="E152" s="476"/>
      <c r="F152" s="476"/>
      <c r="G152" s="476"/>
      <c r="H152" s="476"/>
      <c r="I152" s="476"/>
      <c r="J152" s="476"/>
      <c r="K152" s="476"/>
      <c r="L152" s="476"/>
      <c r="M152" s="476"/>
      <c r="N152" s="476"/>
      <c r="O152" s="476"/>
      <c r="P152" s="476"/>
      <c r="Q152" s="476"/>
      <c r="R152" s="476"/>
      <c r="S152" s="476"/>
      <c r="T152" s="476"/>
      <c r="U152" s="476"/>
      <c r="V152" s="476"/>
      <c r="W152" s="476"/>
      <c r="X152" s="476"/>
      <c r="Y152" s="476"/>
      <c r="Z152" s="476"/>
      <c r="AA152" s="477"/>
      <c r="AB152" s="477">
        <f t="shared" si="40"/>
        <v>0</v>
      </c>
      <c r="AC152" s="477"/>
      <c r="AD152" s="477"/>
      <c r="AE152" s="477"/>
      <c r="AF152" s="477"/>
      <c r="AG152" s="477"/>
      <c r="AH152" s="477"/>
      <c r="AI152" s="477"/>
      <c r="AJ152" s="477"/>
      <c r="AK152" s="477"/>
      <c r="AL152" s="477"/>
      <c r="AM152" s="477"/>
      <c r="AN152" s="477"/>
    </row>
    <row r="153" spans="1:40" x14ac:dyDescent="0.25">
      <c r="A153" s="463">
        <v>5</v>
      </c>
      <c r="B153" s="464" t="s">
        <v>375</v>
      </c>
      <c r="C153" s="477"/>
      <c r="D153" s="477"/>
      <c r="E153" s="477"/>
      <c r="F153" s="477"/>
      <c r="G153" s="477"/>
      <c r="H153" s="477"/>
      <c r="I153" s="477"/>
      <c r="J153" s="477"/>
      <c r="K153" s="477"/>
      <c r="L153" s="477"/>
      <c r="M153" s="477"/>
      <c r="N153" s="477"/>
      <c r="O153" s="477"/>
      <c r="P153" s="477"/>
      <c r="Q153" s="477"/>
      <c r="R153" s="477"/>
      <c r="S153" s="477"/>
      <c r="T153" s="477"/>
      <c r="U153" s="477"/>
      <c r="V153" s="477"/>
      <c r="W153" s="477"/>
      <c r="X153" s="477"/>
      <c r="Y153" s="477"/>
      <c r="Z153" s="477"/>
      <c r="AA153" s="477"/>
      <c r="AB153" s="477">
        <f t="shared" si="40"/>
        <v>0</v>
      </c>
      <c r="AC153" s="477"/>
      <c r="AD153" s="477"/>
      <c r="AE153" s="477"/>
      <c r="AF153" s="477"/>
      <c r="AG153" s="477"/>
      <c r="AH153" s="477"/>
      <c r="AI153" s="477"/>
      <c r="AJ153" s="477"/>
      <c r="AK153" s="477"/>
      <c r="AL153" s="477"/>
      <c r="AM153" s="477"/>
      <c r="AN153" s="477"/>
    </row>
    <row r="154" spans="1:40" x14ac:dyDescent="0.25">
      <c r="A154" s="463">
        <v>6</v>
      </c>
      <c r="B154" s="464" t="s">
        <v>414</v>
      </c>
      <c r="C154" s="476"/>
      <c r="D154" s="476"/>
      <c r="E154" s="476"/>
      <c r="F154" s="476"/>
      <c r="G154" s="476"/>
      <c r="H154" s="476"/>
      <c r="I154" s="476"/>
      <c r="J154" s="476"/>
      <c r="K154" s="476"/>
      <c r="L154" s="476"/>
      <c r="M154" s="476"/>
      <c r="N154" s="476"/>
      <c r="O154" s="476"/>
      <c r="P154" s="476"/>
      <c r="Q154" s="476"/>
      <c r="R154" s="476"/>
      <c r="S154" s="476"/>
      <c r="T154" s="476"/>
      <c r="U154" s="476"/>
      <c r="V154" s="476"/>
      <c r="W154" s="476"/>
      <c r="X154" s="476"/>
      <c r="Y154" s="476"/>
      <c r="Z154" s="476"/>
      <c r="AA154" s="477"/>
      <c r="AB154" s="477">
        <f t="shared" si="40"/>
        <v>0</v>
      </c>
      <c r="AC154" s="477"/>
      <c r="AD154" s="477"/>
      <c r="AE154" s="477"/>
      <c r="AF154" s="477"/>
      <c r="AG154" s="477"/>
      <c r="AH154" s="477"/>
      <c r="AI154" s="477"/>
      <c r="AJ154" s="477"/>
      <c r="AK154" s="477"/>
      <c r="AL154" s="477"/>
      <c r="AM154" s="477"/>
      <c r="AN154" s="477"/>
    </row>
    <row r="155" spans="1:40" x14ac:dyDescent="0.25">
      <c r="A155" s="463">
        <v>7</v>
      </c>
      <c r="B155" s="464" t="s">
        <v>376</v>
      </c>
      <c r="C155" s="476"/>
      <c r="D155" s="476"/>
      <c r="E155" s="476"/>
      <c r="F155" s="476"/>
      <c r="G155" s="476"/>
      <c r="H155" s="476"/>
      <c r="I155" s="476"/>
      <c r="J155" s="476"/>
      <c r="K155" s="476"/>
      <c r="L155" s="476"/>
      <c r="M155" s="476"/>
      <c r="N155" s="476"/>
      <c r="O155" s="476"/>
      <c r="P155" s="476"/>
      <c r="Q155" s="476"/>
      <c r="R155" s="476"/>
      <c r="S155" s="476"/>
      <c r="T155" s="476"/>
      <c r="U155" s="476"/>
      <c r="V155" s="476"/>
      <c r="W155" s="476"/>
      <c r="X155" s="476"/>
      <c r="Y155" s="476"/>
      <c r="Z155" s="476"/>
      <c r="AA155" s="477"/>
      <c r="AB155" s="477">
        <f t="shared" si="40"/>
        <v>0</v>
      </c>
      <c r="AC155" s="477"/>
      <c r="AD155" s="477"/>
      <c r="AE155" s="477"/>
      <c r="AF155" s="477"/>
      <c r="AG155" s="477"/>
      <c r="AH155" s="477"/>
      <c r="AI155" s="477"/>
      <c r="AJ155" s="477"/>
      <c r="AK155" s="477"/>
      <c r="AL155" s="477"/>
      <c r="AM155" s="477"/>
      <c r="AN155" s="477"/>
    </row>
    <row r="156" spans="1:40" x14ac:dyDescent="0.25">
      <c r="A156" s="463">
        <v>8</v>
      </c>
      <c r="B156" s="464" t="s">
        <v>377</v>
      </c>
      <c r="C156" s="561"/>
      <c r="D156" s="561"/>
      <c r="E156" s="561"/>
      <c r="F156" s="561"/>
      <c r="G156" s="561"/>
      <c r="H156" s="561"/>
      <c r="I156" s="561"/>
      <c r="J156" s="561"/>
      <c r="K156" s="561"/>
      <c r="L156" s="561"/>
      <c r="M156" s="561"/>
      <c r="N156" s="561"/>
      <c r="O156" s="561"/>
      <c r="P156" s="561"/>
      <c r="Q156" s="561"/>
      <c r="R156" s="561"/>
      <c r="S156" s="561"/>
      <c r="T156" s="561"/>
      <c r="U156" s="561"/>
      <c r="V156" s="561"/>
      <c r="W156" s="561"/>
      <c r="X156" s="561"/>
      <c r="Y156" s="561"/>
      <c r="Z156" s="561"/>
      <c r="AA156" s="477"/>
      <c r="AB156" s="477">
        <f t="shared" si="40"/>
        <v>0</v>
      </c>
      <c r="AC156" s="477"/>
      <c r="AD156" s="477"/>
      <c r="AE156" s="477"/>
      <c r="AF156" s="477"/>
      <c r="AG156" s="477"/>
      <c r="AH156" s="477"/>
      <c r="AI156" s="477"/>
      <c r="AJ156" s="477"/>
      <c r="AK156" s="477"/>
      <c r="AL156" s="477"/>
      <c r="AM156" s="477"/>
      <c r="AN156" s="477"/>
    </row>
    <row r="157" spans="1:40" x14ac:dyDescent="0.25">
      <c r="A157" s="463">
        <v>9</v>
      </c>
      <c r="B157" s="464" t="s">
        <v>378</v>
      </c>
      <c r="C157" s="476"/>
      <c r="D157" s="476"/>
      <c r="E157" s="476"/>
      <c r="F157" s="476"/>
      <c r="G157" s="476"/>
      <c r="H157" s="476"/>
      <c r="I157" s="476"/>
      <c r="J157" s="476"/>
      <c r="K157" s="476"/>
      <c r="L157" s="476"/>
      <c r="M157" s="476"/>
      <c r="N157" s="476"/>
      <c r="O157" s="476"/>
      <c r="P157" s="476"/>
      <c r="Q157" s="476"/>
      <c r="R157" s="476"/>
      <c r="S157" s="476"/>
      <c r="T157" s="476"/>
      <c r="U157" s="476"/>
      <c r="V157" s="476"/>
      <c r="W157" s="476"/>
      <c r="X157" s="476"/>
      <c r="Y157" s="476"/>
      <c r="Z157" s="476"/>
      <c r="AA157" s="477"/>
      <c r="AB157" s="477">
        <f t="shared" si="40"/>
        <v>0</v>
      </c>
      <c r="AC157" s="477"/>
      <c r="AD157" s="477"/>
      <c r="AE157" s="477"/>
      <c r="AF157" s="477"/>
      <c r="AG157" s="477"/>
      <c r="AH157" s="477"/>
      <c r="AI157" s="477"/>
      <c r="AJ157" s="477"/>
      <c r="AK157" s="477"/>
      <c r="AL157" s="477"/>
      <c r="AM157" s="477"/>
      <c r="AN157" s="477"/>
    </row>
    <row r="158" spans="1:40" x14ac:dyDescent="0.25">
      <c r="A158" s="463">
        <v>10</v>
      </c>
      <c r="B158" s="464" t="s">
        <v>379</v>
      </c>
      <c r="C158" s="476"/>
      <c r="D158" s="476"/>
      <c r="E158" s="476"/>
      <c r="F158" s="476"/>
      <c r="G158" s="476"/>
      <c r="H158" s="476"/>
      <c r="I158" s="476"/>
      <c r="J158" s="476"/>
      <c r="K158" s="476"/>
      <c r="L158" s="476"/>
      <c r="M158" s="476"/>
      <c r="N158" s="476"/>
      <c r="O158" s="476"/>
      <c r="P158" s="476"/>
      <c r="Q158" s="476"/>
      <c r="R158" s="476"/>
      <c r="S158" s="476"/>
      <c r="T158" s="476"/>
      <c r="U158" s="476"/>
      <c r="V158" s="476"/>
      <c r="W158" s="476"/>
      <c r="X158" s="476"/>
      <c r="Y158" s="476"/>
      <c r="Z158" s="476"/>
      <c r="AA158" s="477"/>
      <c r="AB158" s="477">
        <f t="shared" si="40"/>
        <v>0</v>
      </c>
      <c r="AC158" s="477"/>
      <c r="AD158" s="477"/>
      <c r="AE158" s="477"/>
      <c r="AF158" s="477"/>
      <c r="AG158" s="477"/>
      <c r="AH158" s="477"/>
      <c r="AI158" s="477"/>
      <c r="AJ158" s="477"/>
      <c r="AK158" s="477"/>
      <c r="AL158" s="477"/>
      <c r="AM158" s="477"/>
      <c r="AN158" s="477"/>
    </row>
    <row r="159" spans="1:40" x14ac:dyDescent="0.25">
      <c r="A159" s="463">
        <v>11</v>
      </c>
      <c r="B159" s="464" t="s">
        <v>380</v>
      </c>
      <c r="C159" s="476"/>
      <c r="D159" s="476"/>
      <c r="E159" s="476"/>
      <c r="F159" s="476"/>
      <c r="G159" s="476"/>
      <c r="H159" s="476"/>
      <c r="I159" s="476"/>
      <c r="J159" s="476"/>
      <c r="K159" s="476"/>
      <c r="L159" s="476"/>
      <c r="M159" s="476"/>
      <c r="N159" s="476"/>
      <c r="O159" s="476"/>
      <c r="P159" s="476"/>
      <c r="Q159" s="476"/>
      <c r="R159" s="476"/>
      <c r="S159" s="476"/>
      <c r="T159" s="476"/>
      <c r="U159" s="476"/>
      <c r="V159" s="476"/>
      <c r="W159" s="476"/>
      <c r="X159" s="476"/>
      <c r="Y159" s="476"/>
      <c r="Z159" s="476"/>
      <c r="AA159" s="477"/>
      <c r="AB159" s="477">
        <f t="shared" si="40"/>
        <v>0</v>
      </c>
      <c r="AC159" s="477"/>
      <c r="AD159" s="477"/>
      <c r="AE159" s="477"/>
      <c r="AF159" s="477"/>
      <c r="AG159" s="477"/>
      <c r="AH159" s="477"/>
      <c r="AI159" s="477"/>
      <c r="AJ159" s="477"/>
      <c r="AK159" s="477"/>
      <c r="AL159" s="477"/>
      <c r="AM159" s="477"/>
      <c r="AN159" s="477"/>
    </row>
    <row r="160" spans="1:40" x14ac:dyDescent="0.25">
      <c r="A160" s="463">
        <v>12</v>
      </c>
      <c r="B160" s="464" t="s">
        <v>381</v>
      </c>
      <c r="C160" s="476"/>
      <c r="D160" s="476"/>
      <c r="E160" s="476"/>
      <c r="F160" s="476"/>
      <c r="G160" s="476"/>
      <c r="H160" s="476"/>
      <c r="I160" s="476"/>
      <c r="J160" s="476"/>
      <c r="K160" s="476"/>
      <c r="L160" s="476"/>
      <c r="M160" s="476"/>
      <c r="N160" s="476"/>
      <c r="O160" s="476"/>
      <c r="P160" s="476"/>
      <c r="Q160" s="476"/>
      <c r="R160" s="476"/>
      <c r="S160" s="476"/>
      <c r="T160" s="476"/>
      <c r="U160" s="476"/>
      <c r="V160" s="476"/>
      <c r="W160" s="476"/>
      <c r="X160" s="476"/>
      <c r="Y160" s="476"/>
      <c r="Z160" s="476"/>
      <c r="AA160" s="477"/>
      <c r="AB160" s="477">
        <f t="shared" si="40"/>
        <v>0</v>
      </c>
      <c r="AC160" s="477"/>
      <c r="AD160" s="477"/>
      <c r="AE160" s="477"/>
      <c r="AF160" s="477"/>
      <c r="AG160" s="477"/>
      <c r="AH160" s="477"/>
      <c r="AI160" s="477"/>
      <c r="AJ160" s="477"/>
      <c r="AK160" s="477"/>
      <c r="AL160" s="477"/>
      <c r="AM160" s="477"/>
      <c r="AN160" s="477"/>
    </row>
    <row r="161" spans="1:40" x14ac:dyDescent="0.25">
      <c r="A161" s="463">
        <v>13</v>
      </c>
      <c r="B161" s="464" t="s">
        <v>382</v>
      </c>
      <c r="C161" s="476"/>
      <c r="D161" s="476"/>
      <c r="E161" s="476"/>
      <c r="F161" s="476"/>
      <c r="G161" s="476"/>
      <c r="H161" s="476"/>
      <c r="I161" s="476"/>
      <c r="J161" s="476"/>
      <c r="K161" s="476"/>
      <c r="L161" s="476"/>
      <c r="M161" s="476"/>
      <c r="N161" s="476"/>
      <c r="O161" s="476"/>
      <c r="P161" s="476"/>
      <c r="Q161" s="476"/>
      <c r="R161" s="476"/>
      <c r="S161" s="476"/>
      <c r="T161" s="476"/>
      <c r="U161" s="476"/>
      <c r="V161" s="476"/>
      <c r="W161" s="476"/>
      <c r="X161" s="476"/>
      <c r="Y161" s="476"/>
      <c r="Z161" s="476"/>
      <c r="AA161" s="477"/>
      <c r="AB161" s="477">
        <f t="shared" si="40"/>
        <v>0</v>
      </c>
      <c r="AC161" s="477"/>
      <c r="AD161" s="477"/>
      <c r="AE161" s="477"/>
      <c r="AF161" s="477"/>
      <c r="AG161" s="477"/>
      <c r="AH161" s="477"/>
      <c r="AI161" s="477"/>
      <c r="AJ161" s="477"/>
      <c r="AK161" s="477"/>
      <c r="AL161" s="477"/>
      <c r="AM161" s="477"/>
      <c r="AN161" s="477"/>
    </row>
    <row r="162" spans="1:40" x14ac:dyDescent="0.25">
      <c r="A162" s="463">
        <v>14</v>
      </c>
      <c r="B162" s="464" t="s">
        <v>383</v>
      </c>
      <c r="C162" s="476"/>
      <c r="D162" s="476"/>
      <c r="E162" s="476"/>
      <c r="F162" s="476"/>
      <c r="G162" s="476"/>
      <c r="H162" s="476"/>
      <c r="I162" s="476"/>
      <c r="J162" s="476"/>
      <c r="K162" s="476"/>
      <c r="L162" s="476"/>
      <c r="M162" s="476"/>
      <c r="N162" s="476"/>
      <c r="O162" s="476"/>
      <c r="P162" s="476"/>
      <c r="Q162" s="476"/>
      <c r="R162" s="476"/>
      <c r="S162" s="476"/>
      <c r="T162" s="476"/>
      <c r="U162" s="476"/>
      <c r="V162" s="476"/>
      <c r="W162" s="476"/>
      <c r="X162" s="476"/>
      <c r="Y162" s="476"/>
      <c r="Z162" s="476"/>
      <c r="AA162" s="477"/>
      <c r="AB162" s="477">
        <f t="shared" si="40"/>
        <v>0</v>
      </c>
      <c r="AC162" s="477"/>
      <c r="AD162" s="477"/>
      <c r="AE162" s="477"/>
      <c r="AF162" s="477"/>
      <c r="AG162" s="477"/>
      <c r="AH162" s="477"/>
      <c r="AI162" s="477"/>
      <c r="AJ162" s="477"/>
      <c r="AK162" s="477"/>
      <c r="AL162" s="477"/>
      <c r="AM162" s="477"/>
      <c r="AN162" s="477"/>
    </row>
    <row r="163" spans="1:40" x14ac:dyDescent="0.25">
      <c r="A163" s="463">
        <v>15</v>
      </c>
      <c r="B163" s="469" t="s">
        <v>384</v>
      </c>
      <c r="C163" s="477"/>
      <c r="D163" s="477"/>
      <c r="E163" s="477"/>
      <c r="F163" s="477"/>
      <c r="G163" s="477"/>
      <c r="H163" s="477"/>
      <c r="I163" s="477"/>
      <c r="J163" s="477"/>
      <c r="K163" s="477"/>
      <c r="L163" s="477"/>
      <c r="M163" s="477"/>
      <c r="N163" s="477"/>
      <c r="O163" s="477"/>
      <c r="P163" s="477"/>
      <c r="Q163" s="477"/>
      <c r="R163" s="477"/>
      <c r="S163" s="477"/>
      <c r="T163" s="477"/>
      <c r="U163" s="477"/>
      <c r="V163" s="477"/>
      <c r="W163" s="477"/>
      <c r="X163" s="477"/>
      <c r="Y163" s="477"/>
      <c r="Z163" s="477"/>
      <c r="AA163" s="477"/>
      <c r="AB163" s="477">
        <f t="shared" si="40"/>
        <v>0</v>
      </c>
      <c r="AC163" s="477"/>
      <c r="AD163" s="477"/>
      <c r="AE163" s="477"/>
      <c r="AF163" s="477"/>
      <c r="AG163" s="477"/>
      <c r="AH163" s="477"/>
      <c r="AI163" s="477"/>
      <c r="AJ163" s="477"/>
      <c r="AK163" s="477"/>
      <c r="AL163" s="477"/>
      <c r="AM163" s="477"/>
      <c r="AN163" s="477"/>
    </row>
    <row r="164" spans="1:40" x14ac:dyDescent="0.25">
      <c r="A164" s="465"/>
      <c r="B164" s="466" t="s">
        <v>18</v>
      </c>
      <c r="C164" s="501">
        <f>SUM(C149:C162)</f>
        <v>0</v>
      </c>
      <c r="D164" s="501">
        <f t="shared" ref="D164" si="41">SUM(D149:D162)</f>
        <v>0</v>
      </c>
      <c r="E164" s="501">
        <f t="shared" ref="E164" si="42">SUM(E149:E162)</f>
        <v>0</v>
      </c>
      <c r="F164" s="501">
        <f t="shared" ref="F164" si="43">SUM(F149:F162)</f>
        <v>0</v>
      </c>
      <c r="G164" s="501">
        <f t="shared" ref="G164" si="44">SUM(G149:G162)</f>
        <v>0</v>
      </c>
      <c r="H164" s="501">
        <f t="shared" ref="H164" si="45">SUM(H149:H162)</f>
        <v>0</v>
      </c>
      <c r="I164" s="501">
        <f t="shared" ref="I164" si="46">SUM(I149:I162)</f>
        <v>0</v>
      </c>
      <c r="J164" s="501">
        <f t="shared" ref="J164" si="47">SUM(J149:J162)</f>
        <v>0</v>
      </c>
      <c r="K164" s="501">
        <f t="shared" ref="K164" si="48">SUM(K149:K162)</f>
        <v>0</v>
      </c>
      <c r="L164" s="501">
        <f t="shared" ref="L164" si="49">SUM(L149:L162)</f>
        <v>0</v>
      </c>
      <c r="M164" s="501">
        <f t="shared" ref="M164" si="50">SUM(M149:M162)</f>
        <v>0</v>
      </c>
      <c r="N164" s="501">
        <f t="shared" ref="N164" si="51">SUM(N149:N162)</f>
        <v>0</v>
      </c>
      <c r="O164" s="501">
        <f t="shared" ref="O164" si="52">SUM(O149:O162)</f>
        <v>0</v>
      </c>
      <c r="P164" s="501">
        <f t="shared" ref="P164" si="53">SUM(P149:P162)</f>
        <v>0</v>
      </c>
      <c r="Q164" s="501">
        <f t="shared" ref="Q164" si="54">SUM(Q149:Q162)</f>
        <v>0</v>
      </c>
      <c r="R164" s="501">
        <f t="shared" ref="R164" si="55">SUM(R149:R162)</f>
        <v>0</v>
      </c>
      <c r="S164" s="501">
        <f t="shared" ref="S164" si="56">SUM(S149:S162)</f>
        <v>0</v>
      </c>
      <c r="T164" s="501">
        <f t="shared" ref="T164" si="57">SUM(T149:T162)</f>
        <v>0</v>
      </c>
      <c r="U164" s="501">
        <f t="shared" ref="U164" si="58">SUM(U149:U162)</f>
        <v>0</v>
      </c>
      <c r="V164" s="501">
        <f t="shared" ref="V164" si="59">SUM(V149:V162)</f>
        <v>0</v>
      </c>
      <c r="W164" s="501">
        <f t="shared" ref="W164" si="60">SUM(W149:W162)</f>
        <v>0</v>
      </c>
      <c r="X164" s="501">
        <f t="shared" ref="X164" si="61">SUM(X149:X162)</f>
        <v>0</v>
      </c>
      <c r="Y164" s="501">
        <f t="shared" ref="Y164" si="62">SUM(Y149:Y162)</f>
        <v>0</v>
      </c>
      <c r="Z164" s="501">
        <f t="shared" ref="Z164:AN164" si="63">SUM(Z149:Z162)</f>
        <v>0</v>
      </c>
      <c r="AA164" s="501">
        <f t="shared" si="63"/>
        <v>0</v>
      </c>
      <c r="AB164" s="501">
        <f t="shared" si="63"/>
        <v>0</v>
      </c>
      <c r="AC164" s="501">
        <f t="shared" si="63"/>
        <v>0</v>
      </c>
      <c r="AD164" s="501">
        <f t="shared" si="63"/>
        <v>0</v>
      </c>
      <c r="AE164" s="501">
        <f t="shared" si="63"/>
        <v>0</v>
      </c>
      <c r="AF164" s="501">
        <f t="shared" si="63"/>
        <v>0</v>
      </c>
      <c r="AG164" s="501">
        <f t="shared" si="63"/>
        <v>0</v>
      </c>
      <c r="AH164" s="501">
        <f t="shared" si="63"/>
        <v>0</v>
      </c>
      <c r="AI164" s="501">
        <f t="shared" si="63"/>
        <v>0</v>
      </c>
      <c r="AJ164" s="501">
        <f t="shared" si="63"/>
        <v>0</v>
      </c>
      <c r="AK164" s="501">
        <f t="shared" si="63"/>
        <v>0</v>
      </c>
      <c r="AL164" s="501">
        <f t="shared" si="63"/>
        <v>0</v>
      </c>
      <c r="AM164" s="501">
        <f t="shared" si="63"/>
        <v>0</v>
      </c>
      <c r="AN164" s="501">
        <f t="shared" si="63"/>
        <v>0</v>
      </c>
    </row>
    <row r="167" spans="1:40" x14ac:dyDescent="0.25">
      <c r="A167" s="993" t="s">
        <v>131</v>
      </c>
      <c r="B167" s="993"/>
      <c r="C167" s="993"/>
      <c r="D167" s="993"/>
      <c r="E167" s="993"/>
      <c r="F167" s="993"/>
      <c r="G167" s="993"/>
      <c r="H167" s="993"/>
      <c r="I167" s="993"/>
      <c r="J167" s="993"/>
      <c r="K167" s="993"/>
      <c r="L167" s="993"/>
      <c r="M167" s="993"/>
      <c r="N167" s="993"/>
      <c r="O167" s="993"/>
      <c r="P167" s="993"/>
      <c r="Q167" s="993"/>
      <c r="R167" s="993"/>
      <c r="S167" s="993"/>
      <c r="T167" s="993"/>
      <c r="U167" s="993"/>
      <c r="V167" s="993"/>
      <c r="W167" s="993"/>
      <c r="X167" s="993"/>
      <c r="Y167" s="993"/>
      <c r="Z167" s="993"/>
      <c r="AA167" s="993"/>
      <c r="AB167" s="993"/>
      <c r="AC167" s="993"/>
      <c r="AD167" s="993"/>
      <c r="AE167" s="993"/>
      <c r="AF167" s="993"/>
      <c r="AG167" s="993"/>
      <c r="AH167" s="993"/>
      <c r="AI167" s="993"/>
      <c r="AJ167" s="993"/>
      <c r="AK167" s="993"/>
      <c r="AL167" s="993"/>
      <c r="AM167" s="993"/>
      <c r="AN167" s="993"/>
    </row>
    <row r="168" spans="1:40" x14ac:dyDescent="0.25">
      <c r="A168" s="550" t="s">
        <v>292</v>
      </c>
      <c r="B168" s="550" t="s">
        <v>149</v>
      </c>
      <c r="C168" s="550"/>
      <c r="D168" s="550"/>
      <c r="E168" s="550"/>
      <c r="F168" s="550"/>
      <c r="G168" s="550"/>
      <c r="H168" s="550"/>
      <c r="I168" s="550"/>
      <c r="J168" s="550"/>
      <c r="K168" s="550"/>
      <c r="L168" s="550"/>
      <c r="M168" s="550"/>
      <c r="N168" s="550"/>
      <c r="O168" s="550"/>
      <c r="P168" s="550"/>
      <c r="Q168" s="550"/>
      <c r="R168" s="550"/>
      <c r="S168" s="550"/>
      <c r="T168" s="550"/>
      <c r="U168" s="550"/>
      <c r="V168" s="550"/>
      <c r="W168" s="550"/>
      <c r="X168" s="550"/>
      <c r="Y168" s="550"/>
      <c r="Z168" s="550"/>
      <c r="AA168" s="550"/>
      <c r="AB168" s="553" t="s">
        <v>149</v>
      </c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</row>
    <row r="169" spans="1:40" x14ac:dyDescent="0.25">
      <c r="A169" s="550" t="s">
        <v>226</v>
      </c>
      <c r="B169" s="550" t="s">
        <v>143</v>
      </c>
      <c r="C169" s="550"/>
      <c r="D169" s="550"/>
      <c r="E169" s="550"/>
      <c r="F169" s="550"/>
      <c r="G169" s="550"/>
      <c r="H169" s="550"/>
      <c r="I169" s="550"/>
      <c r="J169" s="550"/>
      <c r="K169" s="550"/>
      <c r="L169" s="550"/>
      <c r="M169" s="550"/>
      <c r="N169" s="550"/>
      <c r="O169" s="550"/>
      <c r="P169" s="550"/>
      <c r="Q169" s="550"/>
      <c r="R169" s="550"/>
      <c r="S169" s="550"/>
      <c r="T169" s="550"/>
      <c r="U169" s="550"/>
      <c r="V169" s="550"/>
      <c r="W169" s="550"/>
      <c r="X169" s="550"/>
      <c r="Y169" s="550"/>
      <c r="Z169" s="550"/>
      <c r="AA169" s="550"/>
      <c r="AB169" s="556" t="s">
        <v>386</v>
      </c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</row>
    <row r="170" spans="1:40" x14ac:dyDescent="0.25">
      <c r="A170" s="550"/>
      <c r="B170" s="550"/>
      <c r="C170" s="550"/>
      <c r="D170" s="550"/>
      <c r="E170" s="550"/>
      <c r="F170" s="550"/>
      <c r="G170" s="550"/>
      <c r="H170" s="550"/>
      <c r="I170" s="550"/>
      <c r="J170" s="550"/>
      <c r="K170" s="550"/>
      <c r="L170" s="550"/>
      <c r="M170" s="550"/>
      <c r="N170" s="550"/>
      <c r="O170" s="550"/>
      <c r="P170" s="550"/>
      <c r="Q170" s="550"/>
      <c r="R170" s="550"/>
      <c r="S170" s="550"/>
      <c r="T170" s="550"/>
      <c r="U170" s="550"/>
      <c r="V170" s="550"/>
      <c r="W170" s="550"/>
      <c r="X170" s="550"/>
      <c r="Y170" s="550"/>
      <c r="Z170" s="550"/>
      <c r="AA170" s="550"/>
      <c r="AB170" s="55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</row>
    <row r="171" spans="1:40" x14ac:dyDescent="0.25">
      <c r="A171" s="998" t="s">
        <v>1</v>
      </c>
      <c r="B171" s="998" t="s">
        <v>40</v>
      </c>
      <c r="C171" s="996" t="s">
        <v>118</v>
      </c>
      <c r="D171" s="992" t="s">
        <v>119</v>
      </c>
      <c r="E171" s="992" t="s">
        <v>127</v>
      </c>
      <c r="F171" s="992" t="s">
        <v>124</v>
      </c>
      <c r="G171" s="992" t="s">
        <v>120</v>
      </c>
      <c r="H171" s="992" t="s">
        <v>215</v>
      </c>
      <c r="I171" s="992" t="s">
        <v>122</v>
      </c>
      <c r="J171" s="992" t="s">
        <v>123</v>
      </c>
      <c r="K171" s="992" t="s">
        <v>218</v>
      </c>
      <c r="L171" s="992" t="s">
        <v>126</v>
      </c>
      <c r="M171" s="992" t="s">
        <v>125</v>
      </c>
      <c r="N171" s="992" t="s">
        <v>130</v>
      </c>
      <c r="O171" s="994" t="s">
        <v>216</v>
      </c>
      <c r="P171" s="996" t="s">
        <v>121</v>
      </c>
      <c r="Q171" s="992" t="s">
        <v>45</v>
      </c>
      <c r="R171" s="994" t="s">
        <v>217</v>
      </c>
      <c r="S171" s="992" t="s">
        <v>219</v>
      </c>
      <c r="T171" s="992" t="s">
        <v>128</v>
      </c>
      <c r="U171" s="992" t="s">
        <v>221</v>
      </c>
      <c r="V171" s="992" t="s">
        <v>220</v>
      </c>
      <c r="W171" s="992" t="s">
        <v>222</v>
      </c>
      <c r="X171" s="992" t="s">
        <v>223</v>
      </c>
      <c r="Y171" s="994" t="s">
        <v>224</v>
      </c>
      <c r="Z171" s="992" t="s">
        <v>129</v>
      </c>
      <c r="AA171" s="990" t="s">
        <v>415</v>
      </c>
      <c r="AB171" s="999" t="s">
        <v>117</v>
      </c>
      <c r="AC171" s="1000" t="s">
        <v>214</v>
      </c>
      <c r="AD171" s="1000"/>
      <c r="AE171" s="1000"/>
      <c r="AF171" s="460" t="s">
        <v>204</v>
      </c>
      <c r="AG171" s="1000" t="s">
        <v>213</v>
      </c>
      <c r="AH171" s="1000"/>
      <c r="AI171" s="1001" t="s">
        <v>132</v>
      </c>
      <c r="AJ171" s="1002"/>
      <c r="AK171" s="1002"/>
      <c r="AL171" s="1003"/>
      <c r="AM171" s="460" t="s">
        <v>205</v>
      </c>
      <c r="AN171" s="1000" t="s">
        <v>206</v>
      </c>
    </row>
    <row r="172" spans="1:40" x14ac:dyDescent="0.25">
      <c r="A172" s="998"/>
      <c r="B172" s="998"/>
      <c r="C172" s="997"/>
      <c r="D172" s="991"/>
      <c r="E172" s="991"/>
      <c r="F172" s="991"/>
      <c r="G172" s="991"/>
      <c r="H172" s="991"/>
      <c r="I172" s="991"/>
      <c r="J172" s="991"/>
      <c r="K172" s="991"/>
      <c r="L172" s="991"/>
      <c r="M172" s="991"/>
      <c r="N172" s="991"/>
      <c r="O172" s="995"/>
      <c r="P172" s="997"/>
      <c r="Q172" s="991"/>
      <c r="R172" s="995"/>
      <c r="S172" s="991"/>
      <c r="T172" s="991"/>
      <c r="U172" s="991"/>
      <c r="V172" s="991"/>
      <c r="W172" s="991"/>
      <c r="X172" s="991"/>
      <c r="Y172" s="995"/>
      <c r="Z172" s="991"/>
      <c r="AA172" s="991"/>
      <c r="AB172" s="999"/>
      <c r="AC172" s="462" t="s">
        <v>193</v>
      </c>
      <c r="AD172" s="462" t="s">
        <v>192</v>
      </c>
      <c r="AE172" s="462" t="s">
        <v>191</v>
      </c>
      <c r="AF172" s="461" t="s">
        <v>207</v>
      </c>
      <c r="AG172" s="462" t="s">
        <v>208</v>
      </c>
      <c r="AH172" s="462" t="s">
        <v>209</v>
      </c>
      <c r="AI172" s="462" t="s">
        <v>210</v>
      </c>
      <c r="AJ172" s="462" t="s">
        <v>211</v>
      </c>
      <c r="AK172" s="462" t="s">
        <v>88</v>
      </c>
      <c r="AL172" s="462" t="s">
        <v>18</v>
      </c>
      <c r="AM172" s="461" t="s">
        <v>212</v>
      </c>
      <c r="AN172" s="1000"/>
    </row>
    <row r="173" spans="1:40" s="574" customFormat="1" x14ac:dyDescent="0.25">
      <c r="A173" s="463">
        <v>1</v>
      </c>
      <c r="B173" s="472" t="s">
        <v>371</v>
      </c>
      <c r="C173" s="476"/>
      <c r="D173" s="476"/>
      <c r="E173" s="476"/>
      <c r="F173" s="476"/>
      <c r="G173" s="476"/>
      <c r="H173" s="476"/>
      <c r="I173" s="476"/>
      <c r="J173" s="476"/>
      <c r="K173" s="476"/>
      <c r="L173" s="476"/>
      <c r="M173" s="476"/>
      <c r="N173" s="476"/>
      <c r="O173" s="476"/>
      <c r="P173" s="476"/>
      <c r="Q173" s="476"/>
      <c r="R173" s="476"/>
      <c r="S173" s="476"/>
      <c r="T173" s="476"/>
      <c r="U173" s="476"/>
      <c r="V173" s="476"/>
      <c r="W173" s="476"/>
      <c r="X173" s="476"/>
      <c r="Y173" s="476"/>
      <c r="Z173" s="476"/>
      <c r="AA173" s="476"/>
      <c r="AB173" s="477">
        <f>SUM(C173:AA173)</f>
        <v>0</v>
      </c>
      <c r="AC173" s="477"/>
      <c r="AD173" s="477"/>
      <c r="AE173" s="477"/>
      <c r="AF173" s="477"/>
      <c r="AG173" s="477"/>
      <c r="AH173" s="477"/>
      <c r="AI173" s="477"/>
      <c r="AJ173" s="477"/>
      <c r="AK173" s="477"/>
      <c r="AL173" s="477"/>
      <c r="AM173" s="477"/>
      <c r="AN173" s="477"/>
    </row>
    <row r="174" spans="1:40" s="574" customFormat="1" x14ac:dyDescent="0.25">
      <c r="A174" s="463">
        <v>2</v>
      </c>
      <c r="B174" s="472" t="s">
        <v>372</v>
      </c>
      <c r="C174" s="476"/>
      <c r="D174" s="476"/>
      <c r="E174" s="476"/>
      <c r="F174" s="476"/>
      <c r="G174" s="476"/>
      <c r="H174" s="476"/>
      <c r="I174" s="476"/>
      <c r="J174" s="476"/>
      <c r="K174" s="476"/>
      <c r="L174" s="476"/>
      <c r="M174" s="476"/>
      <c r="N174" s="476"/>
      <c r="O174" s="476"/>
      <c r="P174" s="476"/>
      <c r="Q174" s="476"/>
      <c r="R174" s="476"/>
      <c r="S174" s="476"/>
      <c r="T174" s="476"/>
      <c r="U174" s="476"/>
      <c r="V174" s="476"/>
      <c r="W174" s="476"/>
      <c r="X174" s="476"/>
      <c r="Y174" s="476"/>
      <c r="Z174" s="476"/>
      <c r="AA174" s="477"/>
      <c r="AB174" s="477">
        <f t="shared" ref="AB174:AB185" si="64">SUM(C174:AA174)</f>
        <v>0</v>
      </c>
      <c r="AC174" s="477"/>
      <c r="AD174" s="477"/>
      <c r="AE174" s="477"/>
      <c r="AF174" s="477"/>
      <c r="AG174" s="477"/>
      <c r="AH174" s="477"/>
      <c r="AI174" s="477"/>
      <c r="AJ174" s="477"/>
      <c r="AK174" s="477"/>
      <c r="AL174" s="477"/>
      <c r="AM174" s="477"/>
      <c r="AN174" s="477"/>
    </row>
    <row r="175" spans="1:40" s="574" customFormat="1" x14ac:dyDescent="0.25">
      <c r="A175" s="463">
        <v>3</v>
      </c>
      <c r="B175" s="472" t="s">
        <v>373</v>
      </c>
      <c r="C175" s="476"/>
      <c r="D175" s="476"/>
      <c r="E175" s="476"/>
      <c r="F175" s="476"/>
      <c r="G175" s="476"/>
      <c r="H175" s="476"/>
      <c r="I175" s="476"/>
      <c r="J175" s="476"/>
      <c r="K175" s="476"/>
      <c r="L175" s="476"/>
      <c r="M175" s="476"/>
      <c r="N175" s="476"/>
      <c r="O175" s="476"/>
      <c r="P175" s="476"/>
      <c r="Q175" s="476"/>
      <c r="R175" s="476"/>
      <c r="S175" s="476"/>
      <c r="T175" s="476"/>
      <c r="U175" s="476"/>
      <c r="V175" s="476"/>
      <c r="W175" s="476"/>
      <c r="X175" s="476"/>
      <c r="Y175" s="476"/>
      <c r="Z175" s="476"/>
      <c r="AA175" s="477"/>
      <c r="AB175" s="477">
        <f t="shared" si="64"/>
        <v>0</v>
      </c>
      <c r="AC175" s="477"/>
      <c r="AD175" s="477"/>
      <c r="AE175" s="477"/>
      <c r="AF175" s="477"/>
      <c r="AG175" s="477"/>
      <c r="AH175" s="477"/>
      <c r="AI175" s="477"/>
      <c r="AJ175" s="477"/>
      <c r="AK175" s="477"/>
      <c r="AL175" s="477"/>
      <c r="AM175" s="477"/>
      <c r="AN175" s="477"/>
    </row>
    <row r="176" spans="1:40" s="574" customFormat="1" x14ac:dyDescent="0.25">
      <c r="A176" s="463">
        <v>4</v>
      </c>
      <c r="B176" s="472" t="s">
        <v>374</v>
      </c>
      <c r="C176" s="476"/>
      <c r="D176" s="476"/>
      <c r="E176" s="476"/>
      <c r="F176" s="476"/>
      <c r="G176" s="476"/>
      <c r="H176" s="476"/>
      <c r="I176" s="476"/>
      <c r="J176" s="476"/>
      <c r="K176" s="476"/>
      <c r="L176" s="476"/>
      <c r="M176" s="476"/>
      <c r="N176" s="476"/>
      <c r="O176" s="476"/>
      <c r="P176" s="476"/>
      <c r="Q176" s="476"/>
      <c r="R176" s="476"/>
      <c r="S176" s="476"/>
      <c r="T176" s="476"/>
      <c r="U176" s="476"/>
      <c r="V176" s="476"/>
      <c r="W176" s="476"/>
      <c r="X176" s="476"/>
      <c r="Y176" s="476"/>
      <c r="Z176" s="476"/>
      <c r="AA176" s="477"/>
      <c r="AB176" s="477">
        <f t="shared" si="64"/>
        <v>0</v>
      </c>
      <c r="AC176" s="477"/>
      <c r="AD176" s="477"/>
      <c r="AE176" s="477"/>
      <c r="AF176" s="477"/>
      <c r="AG176" s="477"/>
      <c r="AH176" s="477"/>
      <c r="AI176" s="477"/>
      <c r="AJ176" s="477"/>
      <c r="AK176" s="477"/>
      <c r="AL176" s="477"/>
      <c r="AM176" s="477"/>
      <c r="AN176" s="477"/>
    </row>
    <row r="177" spans="1:40" s="574" customFormat="1" x14ac:dyDescent="0.25">
      <c r="A177" s="463">
        <v>5</v>
      </c>
      <c r="B177" s="472" t="s">
        <v>375</v>
      </c>
      <c r="C177" s="477"/>
      <c r="D177" s="477"/>
      <c r="E177" s="477"/>
      <c r="F177" s="477"/>
      <c r="G177" s="477"/>
      <c r="H177" s="477"/>
      <c r="I177" s="477"/>
      <c r="J177" s="477"/>
      <c r="K177" s="477"/>
      <c r="L177" s="477"/>
      <c r="M177" s="477"/>
      <c r="N177" s="477"/>
      <c r="O177" s="477"/>
      <c r="P177" s="477"/>
      <c r="Q177" s="477"/>
      <c r="R177" s="477"/>
      <c r="S177" s="477"/>
      <c r="T177" s="477"/>
      <c r="U177" s="477"/>
      <c r="V177" s="477"/>
      <c r="W177" s="477"/>
      <c r="X177" s="477"/>
      <c r="Y177" s="477"/>
      <c r="Z177" s="477"/>
      <c r="AA177" s="477"/>
      <c r="AB177" s="477">
        <f t="shared" si="64"/>
        <v>0</v>
      </c>
      <c r="AC177" s="477"/>
      <c r="AD177" s="477"/>
      <c r="AE177" s="477"/>
      <c r="AF177" s="477"/>
      <c r="AG177" s="477"/>
      <c r="AH177" s="477"/>
      <c r="AI177" s="477"/>
      <c r="AJ177" s="477"/>
      <c r="AK177" s="477"/>
      <c r="AL177" s="477"/>
      <c r="AM177" s="477"/>
      <c r="AN177" s="477"/>
    </row>
    <row r="178" spans="1:40" s="574" customFormat="1" x14ac:dyDescent="0.25">
      <c r="A178" s="463">
        <v>6</v>
      </c>
      <c r="B178" s="472" t="s">
        <v>414</v>
      </c>
      <c r="C178" s="476"/>
      <c r="D178" s="476"/>
      <c r="E178" s="476"/>
      <c r="F178" s="476"/>
      <c r="G178" s="476"/>
      <c r="H178" s="476"/>
      <c r="I178" s="476"/>
      <c r="J178" s="476"/>
      <c r="K178" s="476"/>
      <c r="L178" s="476"/>
      <c r="M178" s="476"/>
      <c r="N178" s="476"/>
      <c r="O178" s="476"/>
      <c r="P178" s="476"/>
      <c r="Q178" s="476"/>
      <c r="R178" s="476"/>
      <c r="S178" s="476"/>
      <c r="T178" s="476"/>
      <c r="U178" s="476"/>
      <c r="V178" s="476"/>
      <c r="W178" s="476"/>
      <c r="X178" s="476"/>
      <c r="Y178" s="476"/>
      <c r="Z178" s="476"/>
      <c r="AA178" s="477"/>
      <c r="AB178" s="477">
        <f t="shared" si="64"/>
        <v>0</v>
      </c>
      <c r="AC178" s="477"/>
      <c r="AD178" s="477"/>
      <c r="AE178" s="477"/>
      <c r="AF178" s="477"/>
      <c r="AG178" s="477"/>
      <c r="AH178" s="477"/>
      <c r="AI178" s="477"/>
      <c r="AJ178" s="477"/>
      <c r="AK178" s="477"/>
      <c r="AL178" s="477"/>
      <c r="AM178" s="477"/>
      <c r="AN178" s="477"/>
    </row>
    <row r="179" spans="1:40" s="574" customFormat="1" x14ac:dyDescent="0.25">
      <c r="A179" s="463">
        <v>7</v>
      </c>
      <c r="B179" s="472" t="s">
        <v>376</v>
      </c>
      <c r="C179" s="476"/>
      <c r="D179" s="476"/>
      <c r="E179" s="476"/>
      <c r="F179" s="476"/>
      <c r="G179" s="476"/>
      <c r="H179" s="476"/>
      <c r="I179" s="476"/>
      <c r="J179" s="476"/>
      <c r="K179" s="476"/>
      <c r="L179" s="476"/>
      <c r="M179" s="476"/>
      <c r="N179" s="476"/>
      <c r="O179" s="476"/>
      <c r="P179" s="476"/>
      <c r="Q179" s="476"/>
      <c r="R179" s="476"/>
      <c r="S179" s="476"/>
      <c r="T179" s="476"/>
      <c r="U179" s="476"/>
      <c r="V179" s="476"/>
      <c r="W179" s="476"/>
      <c r="X179" s="476"/>
      <c r="Y179" s="476"/>
      <c r="Z179" s="476"/>
      <c r="AA179" s="477"/>
      <c r="AB179" s="477">
        <f t="shared" si="64"/>
        <v>0</v>
      </c>
      <c r="AC179" s="477"/>
      <c r="AD179" s="477"/>
      <c r="AE179" s="477"/>
      <c r="AF179" s="477"/>
      <c r="AG179" s="477"/>
      <c r="AH179" s="477"/>
      <c r="AI179" s="477"/>
      <c r="AJ179" s="477"/>
      <c r="AK179" s="477"/>
      <c r="AL179" s="477"/>
      <c r="AM179" s="477"/>
      <c r="AN179" s="477"/>
    </row>
    <row r="180" spans="1:40" s="574" customFormat="1" x14ac:dyDescent="0.25">
      <c r="A180" s="463">
        <v>8</v>
      </c>
      <c r="B180" s="472" t="s">
        <v>377</v>
      </c>
      <c r="C180" s="561"/>
      <c r="D180" s="561"/>
      <c r="E180" s="561"/>
      <c r="F180" s="561"/>
      <c r="G180" s="561"/>
      <c r="H180" s="561"/>
      <c r="I180" s="561"/>
      <c r="J180" s="561"/>
      <c r="K180" s="561"/>
      <c r="L180" s="561"/>
      <c r="M180" s="561"/>
      <c r="N180" s="561"/>
      <c r="O180" s="561"/>
      <c r="P180" s="561"/>
      <c r="Q180" s="561"/>
      <c r="R180" s="561"/>
      <c r="S180" s="561"/>
      <c r="T180" s="561"/>
      <c r="U180" s="561"/>
      <c r="V180" s="561"/>
      <c r="W180" s="561"/>
      <c r="X180" s="561"/>
      <c r="Y180" s="561"/>
      <c r="Z180" s="561"/>
      <c r="AA180" s="477"/>
      <c r="AB180" s="477">
        <v>0</v>
      </c>
      <c r="AC180" s="477"/>
      <c r="AD180" s="477"/>
      <c r="AE180" s="477"/>
      <c r="AF180" s="477"/>
      <c r="AG180" s="477"/>
      <c r="AH180" s="477"/>
      <c r="AI180" s="477"/>
      <c r="AJ180" s="477"/>
      <c r="AK180" s="477"/>
      <c r="AL180" s="477"/>
      <c r="AM180" s="477"/>
      <c r="AN180" s="477"/>
    </row>
    <row r="181" spans="1:40" s="574" customFormat="1" x14ac:dyDescent="0.25">
      <c r="A181" s="463">
        <v>9</v>
      </c>
      <c r="B181" s="472" t="s">
        <v>378</v>
      </c>
      <c r="C181" s="476"/>
      <c r="D181" s="476"/>
      <c r="E181" s="476"/>
      <c r="F181" s="476"/>
      <c r="G181" s="476"/>
      <c r="H181" s="476"/>
      <c r="I181" s="476"/>
      <c r="J181" s="476"/>
      <c r="K181" s="476"/>
      <c r="L181" s="476"/>
      <c r="M181" s="476"/>
      <c r="N181" s="476"/>
      <c r="O181" s="476"/>
      <c r="P181" s="476"/>
      <c r="Q181" s="476"/>
      <c r="R181" s="476"/>
      <c r="S181" s="476"/>
      <c r="T181" s="476"/>
      <c r="U181" s="476"/>
      <c r="V181" s="476"/>
      <c r="W181" s="476"/>
      <c r="X181" s="476"/>
      <c r="Y181" s="476"/>
      <c r="Z181" s="476"/>
      <c r="AA181" s="477"/>
      <c r="AB181" s="477">
        <f t="shared" si="64"/>
        <v>0</v>
      </c>
      <c r="AC181" s="477"/>
      <c r="AD181" s="477"/>
      <c r="AE181" s="477"/>
      <c r="AF181" s="477"/>
      <c r="AG181" s="477"/>
      <c r="AH181" s="477"/>
      <c r="AI181" s="477"/>
      <c r="AJ181" s="477"/>
      <c r="AK181" s="477"/>
      <c r="AL181" s="477"/>
      <c r="AM181" s="477"/>
      <c r="AN181" s="477"/>
    </row>
    <row r="182" spans="1:40" s="574" customFormat="1" x14ac:dyDescent="0.25">
      <c r="A182" s="463">
        <v>10</v>
      </c>
      <c r="B182" s="472" t="s">
        <v>379</v>
      </c>
      <c r="C182" s="476"/>
      <c r="D182" s="476"/>
      <c r="E182" s="476"/>
      <c r="F182" s="476"/>
      <c r="G182" s="476"/>
      <c r="H182" s="476"/>
      <c r="I182" s="476"/>
      <c r="J182" s="476"/>
      <c r="K182" s="476"/>
      <c r="L182" s="476"/>
      <c r="M182" s="476"/>
      <c r="N182" s="476"/>
      <c r="O182" s="476"/>
      <c r="P182" s="476"/>
      <c r="Q182" s="476"/>
      <c r="R182" s="476"/>
      <c r="S182" s="476"/>
      <c r="T182" s="476"/>
      <c r="U182" s="476"/>
      <c r="V182" s="476"/>
      <c r="W182" s="476"/>
      <c r="X182" s="476"/>
      <c r="Y182" s="476"/>
      <c r="Z182" s="476"/>
      <c r="AA182" s="477"/>
      <c r="AB182" s="477">
        <f t="shared" si="64"/>
        <v>0</v>
      </c>
      <c r="AC182" s="477"/>
      <c r="AD182" s="477"/>
      <c r="AE182" s="477"/>
      <c r="AF182" s="477"/>
      <c r="AG182" s="477"/>
      <c r="AH182" s="477"/>
      <c r="AI182" s="477"/>
      <c r="AJ182" s="477"/>
      <c r="AK182" s="477"/>
      <c r="AL182" s="477"/>
      <c r="AM182" s="477"/>
      <c r="AN182" s="477"/>
    </row>
    <row r="183" spans="1:40" s="574" customFormat="1" x14ac:dyDescent="0.25">
      <c r="A183" s="463">
        <v>11</v>
      </c>
      <c r="B183" s="472" t="s">
        <v>380</v>
      </c>
      <c r="C183" s="476"/>
      <c r="D183" s="476"/>
      <c r="E183" s="476"/>
      <c r="F183" s="476"/>
      <c r="G183" s="476"/>
      <c r="H183" s="476"/>
      <c r="I183" s="476"/>
      <c r="J183" s="476"/>
      <c r="K183" s="476"/>
      <c r="L183" s="476"/>
      <c r="M183" s="476"/>
      <c r="N183" s="476"/>
      <c r="O183" s="476"/>
      <c r="P183" s="476"/>
      <c r="Q183" s="476"/>
      <c r="R183" s="476"/>
      <c r="S183" s="476"/>
      <c r="T183" s="476"/>
      <c r="U183" s="476"/>
      <c r="V183" s="476"/>
      <c r="W183" s="476"/>
      <c r="X183" s="476"/>
      <c r="Y183" s="476"/>
      <c r="Z183" s="476"/>
      <c r="AA183" s="477"/>
      <c r="AB183" s="477">
        <f t="shared" si="64"/>
        <v>0</v>
      </c>
      <c r="AC183" s="477"/>
      <c r="AD183" s="477"/>
      <c r="AE183" s="477"/>
      <c r="AF183" s="477"/>
      <c r="AG183" s="477"/>
      <c r="AH183" s="477"/>
      <c r="AI183" s="477"/>
      <c r="AJ183" s="477"/>
      <c r="AK183" s="477"/>
      <c r="AL183" s="477"/>
      <c r="AM183" s="477"/>
      <c r="AN183" s="477"/>
    </row>
    <row r="184" spans="1:40" s="574" customFormat="1" x14ac:dyDescent="0.25">
      <c r="A184" s="463">
        <v>12</v>
      </c>
      <c r="B184" s="472" t="s">
        <v>381</v>
      </c>
      <c r="C184" s="476"/>
      <c r="D184" s="476"/>
      <c r="E184" s="476"/>
      <c r="F184" s="476"/>
      <c r="G184" s="476"/>
      <c r="H184" s="476"/>
      <c r="I184" s="476"/>
      <c r="J184" s="476"/>
      <c r="K184" s="476"/>
      <c r="L184" s="476"/>
      <c r="M184" s="476"/>
      <c r="N184" s="476"/>
      <c r="O184" s="476"/>
      <c r="P184" s="476"/>
      <c r="Q184" s="476"/>
      <c r="R184" s="476"/>
      <c r="S184" s="476"/>
      <c r="T184" s="476"/>
      <c r="U184" s="476"/>
      <c r="V184" s="476"/>
      <c r="W184" s="476"/>
      <c r="X184" s="476"/>
      <c r="Y184" s="476"/>
      <c r="Z184" s="476"/>
      <c r="AA184" s="477"/>
      <c r="AB184" s="477">
        <f t="shared" si="64"/>
        <v>0</v>
      </c>
      <c r="AC184" s="477"/>
      <c r="AD184" s="477"/>
      <c r="AE184" s="477"/>
      <c r="AF184" s="477"/>
      <c r="AG184" s="477"/>
      <c r="AH184" s="477"/>
      <c r="AI184" s="477"/>
      <c r="AJ184" s="477"/>
      <c r="AK184" s="477"/>
      <c r="AL184" s="477"/>
      <c r="AM184" s="477"/>
      <c r="AN184" s="477"/>
    </row>
    <row r="185" spans="1:40" s="574" customFormat="1" x14ac:dyDescent="0.25">
      <c r="A185" s="463">
        <v>13</v>
      </c>
      <c r="B185" s="463" t="s">
        <v>382</v>
      </c>
      <c r="C185" s="476"/>
      <c r="D185" s="476"/>
      <c r="E185" s="476"/>
      <c r="F185" s="476"/>
      <c r="G185" s="476"/>
      <c r="H185" s="476"/>
      <c r="I185" s="476"/>
      <c r="J185" s="476"/>
      <c r="K185" s="476"/>
      <c r="L185" s="476"/>
      <c r="M185" s="476"/>
      <c r="N185" s="476"/>
      <c r="O185" s="476"/>
      <c r="P185" s="476"/>
      <c r="Q185" s="476"/>
      <c r="R185" s="476"/>
      <c r="S185" s="476"/>
      <c r="T185" s="476"/>
      <c r="U185" s="476"/>
      <c r="V185" s="476"/>
      <c r="W185" s="476"/>
      <c r="X185" s="476"/>
      <c r="Y185" s="476"/>
      <c r="Z185" s="476"/>
      <c r="AA185" s="477"/>
      <c r="AB185" s="477">
        <f t="shared" si="64"/>
        <v>0</v>
      </c>
      <c r="AC185" s="477"/>
      <c r="AD185" s="477"/>
      <c r="AE185" s="477"/>
      <c r="AF185" s="477"/>
      <c r="AG185" s="477"/>
      <c r="AH185" s="477"/>
      <c r="AI185" s="477"/>
      <c r="AJ185" s="477"/>
      <c r="AK185" s="477"/>
      <c r="AL185" s="477"/>
      <c r="AM185" s="477"/>
      <c r="AN185" s="477"/>
    </row>
    <row r="186" spans="1:40" s="574" customFormat="1" x14ac:dyDescent="0.25">
      <c r="A186" s="463">
        <v>14</v>
      </c>
      <c r="B186" s="472" t="s">
        <v>383</v>
      </c>
      <c r="C186" s="476"/>
      <c r="D186" s="476"/>
      <c r="E186" s="476"/>
      <c r="F186" s="476"/>
      <c r="G186" s="476"/>
      <c r="H186" s="476"/>
      <c r="I186" s="476"/>
      <c r="J186" s="476"/>
      <c r="K186" s="476"/>
      <c r="L186" s="476"/>
      <c r="M186" s="476"/>
      <c r="N186" s="476"/>
      <c r="O186" s="476"/>
      <c r="P186" s="476"/>
      <c r="Q186" s="476"/>
      <c r="R186" s="476"/>
      <c r="S186" s="476"/>
      <c r="T186" s="476"/>
      <c r="U186" s="476"/>
      <c r="V186" s="476"/>
      <c r="W186" s="476"/>
      <c r="X186" s="476"/>
      <c r="Y186" s="476"/>
      <c r="Z186" s="476"/>
      <c r="AA186" s="477"/>
      <c r="AB186" s="477">
        <v>0</v>
      </c>
      <c r="AC186" s="477"/>
      <c r="AD186" s="477"/>
      <c r="AE186" s="477"/>
      <c r="AF186" s="477"/>
      <c r="AG186" s="477"/>
      <c r="AH186" s="477"/>
      <c r="AI186" s="477"/>
      <c r="AJ186" s="477"/>
      <c r="AK186" s="477"/>
      <c r="AL186" s="477"/>
      <c r="AM186" s="477"/>
      <c r="AN186" s="477"/>
    </row>
    <row r="187" spans="1:40" s="574" customFormat="1" x14ac:dyDescent="0.25">
      <c r="A187" s="463">
        <v>15</v>
      </c>
      <c r="B187" s="473" t="s">
        <v>384</v>
      </c>
      <c r="C187" s="477"/>
      <c r="D187" s="477"/>
      <c r="E187" s="477"/>
      <c r="F187" s="477"/>
      <c r="G187" s="477"/>
      <c r="H187" s="477"/>
      <c r="I187" s="477"/>
      <c r="J187" s="477"/>
      <c r="K187" s="477"/>
      <c r="L187" s="477"/>
      <c r="M187" s="477"/>
      <c r="N187" s="477"/>
      <c r="O187" s="477"/>
      <c r="P187" s="477"/>
      <c r="Q187" s="477"/>
      <c r="R187" s="477"/>
      <c r="S187" s="477"/>
      <c r="T187" s="477"/>
      <c r="U187" s="477"/>
      <c r="V187" s="477"/>
      <c r="W187" s="477"/>
      <c r="X187" s="477"/>
      <c r="Y187" s="477"/>
      <c r="Z187" s="477"/>
      <c r="AA187" s="477"/>
      <c r="AB187" s="576">
        <v>0</v>
      </c>
      <c r="AC187" s="477"/>
      <c r="AD187" s="477"/>
      <c r="AE187" s="477"/>
      <c r="AF187" s="477"/>
      <c r="AG187" s="477"/>
      <c r="AH187" s="477"/>
      <c r="AI187" s="477"/>
      <c r="AJ187" s="477"/>
      <c r="AK187" s="477"/>
      <c r="AL187" s="477"/>
      <c r="AM187" s="477"/>
      <c r="AN187" s="477"/>
    </row>
    <row r="188" spans="1:40" s="574" customFormat="1" x14ac:dyDescent="0.25">
      <c r="A188" s="465"/>
      <c r="B188" s="466" t="s">
        <v>18</v>
      </c>
      <c r="C188" s="501">
        <f>SUM(C173:C186)</f>
        <v>0</v>
      </c>
      <c r="D188" s="501">
        <f>SUM(D173:D187)</f>
        <v>0</v>
      </c>
      <c r="E188" s="501">
        <f>SUM(E173:E187)</f>
        <v>0</v>
      </c>
      <c r="F188" s="501">
        <f t="shared" ref="F188" si="65">SUM(F173:F186)</f>
        <v>0</v>
      </c>
      <c r="G188" s="501">
        <f>SUM(G173:G187)</f>
        <v>0</v>
      </c>
      <c r="H188" s="501">
        <f t="shared" ref="H188" si="66">SUM(H173:H186)</f>
        <v>0</v>
      </c>
      <c r="I188" s="501">
        <f t="shared" ref="I188:AA188" si="67">SUM(I173:I187)</f>
        <v>0</v>
      </c>
      <c r="J188" s="501">
        <f t="shared" si="67"/>
        <v>0</v>
      </c>
      <c r="K188" s="501">
        <f t="shared" si="67"/>
        <v>0</v>
      </c>
      <c r="L188" s="501">
        <f t="shared" si="67"/>
        <v>0</v>
      </c>
      <c r="M188" s="501">
        <f t="shared" si="67"/>
        <v>0</v>
      </c>
      <c r="N188" s="501">
        <f t="shared" si="67"/>
        <v>0</v>
      </c>
      <c r="O188" s="501">
        <f t="shared" si="67"/>
        <v>0</v>
      </c>
      <c r="P188" s="501">
        <f t="shared" si="67"/>
        <v>0</v>
      </c>
      <c r="Q188" s="501">
        <f t="shared" si="67"/>
        <v>0</v>
      </c>
      <c r="R188" s="501">
        <f t="shared" si="67"/>
        <v>0</v>
      </c>
      <c r="S188" s="501">
        <f t="shared" si="67"/>
        <v>0</v>
      </c>
      <c r="T188" s="501">
        <f t="shared" si="67"/>
        <v>0</v>
      </c>
      <c r="U188" s="501">
        <f t="shared" si="67"/>
        <v>0</v>
      </c>
      <c r="V188" s="501">
        <f t="shared" si="67"/>
        <v>0</v>
      </c>
      <c r="W188" s="501">
        <f t="shared" si="67"/>
        <v>0</v>
      </c>
      <c r="X188" s="501">
        <f t="shared" si="67"/>
        <v>0</v>
      </c>
      <c r="Y188" s="501">
        <f t="shared" si="67"/>
        <v>0</v>
      </c>
      <c r="Z188" s="501">
        <f t="shared" si="67"/>
        <v>0</v>
      </c>
      <c r="AA188" s="501">
        <f t="shared" si="67"/>
        <v>0</v>
      </c>
      <c r="AB188" s="575">
        <f t="shared" ref="AB188:AN188" si="68">SUM(AB173:AB186)</f>
        <v>0</v>
      </c>
      <c r="AC188" s="575">
        <f t="shared" si="68"/>
        <v>0</v>
      </c>
      <c r="AD188" s="575">
        <f t="shared" si="68"/>
        <v>0</v>
      </c>
      <c r="AE188" s="575">
        <f t="shared" si="68"/>
        <v>0</v>
      </c>
      <c r="AF188" s="575">
        <f t="shared" si="68"/>
        <v>0</v>
      </c>
      <c r="AG188" s="575">
        <f t="shared" si="68"/>
        <v>0</v>
      </c>
      <c r="AH188" s="575">
        <f t="shared" si="68"/>
        <v>0</v>
      </c>
      <c r="AI188" s="575">
        <f t="shared" si="68"/>
        <v>0</v>
      </c>
      <c r="AJ188" s="575">
        <f t="shared" si="68"/>
        <v>0</v>
      </c>
      <c r="AK188" s="575">
        <f t="shared" si="68"/>
        <v>0</v>
      </c>
      <c r="AL188" s="575">
        <f t="shared" si="68"/>
        <v>0</v>
      </c>
      <c r="AM188" s="575">
        <f t="shared" si="68"/>
        <v>0</v>
      </c>
      <c r="AN188" s="575">
        <f t="shared" si="68"/>
        <v>0</v>
      </c>
    </row>
    <row r="191" spans="1:40" x14ac:dyDescent="0.25">
      <c r="A191" s="993" t="s">
        <v>131</v>
      </c>
      <c r="B191" s="993"/>
      <c r="C191" s="993"/>
      <c r="D191" s="993"/>
      <c r="E191" s="993"/>
      <c r="F191" s="993"/>
      <c r="G191" s="993"/>
      <c r="H191" s="993"/>
      <c r="I191" s="993"/>
      <c r="J191" s="993"/>
      <c r="K191" s="993"/>
      <c r="L191" s="993"/>
      <c r="M191" s="993"/>
      <c r="N191" s="993"/>
      <c r="O191" s="993"/>
      <c r="P191" s="993"/>
      <c r="Q191" s="993"/>
      <c r="R191" s="993"/>
      <c r="S191" s="993"/>
      <c r="T191" s="993"/>
      <c r="U191" s="993"/>
      <c r="V191" s="993"/>
      <c r="W191" s="993"/>
      <c r="X191" s="993"/>
      <c r="Y191" s="993"/>
      <c r="Z191" s="993"/>
      <c r="AA191" s="993"/>
      <c r="AB191" s="993"/>
      <c r="AC191" s="993"/>
      <c r="AD191" s="993"/>
      <c r="AE191" s="993"/>
      <c r="AF191" s="993"/>
      <c r="AG191" s="993"/>
      <c r="AH191" s="993"/>
      <c r="AI191" s="993"/>
      <c r="AJ191" s="993"/>
      <c r="AK191" s="993"/>
      <c r="AL191" s="993"/>
      <c r="AM191" s="993"/>
      <c r="AN191" s="993"/>
    </row>
    <row r="192" spans="1:40" s="599" customFormat="1" x14ac:dyDescent="0.3">
      <c r="A192" s="590" t="s">
        <v>292</v>
      </c>
      <c r="B192" s="591" t="s">
        <v>149</v>
      </c>
      <c r="C192" s="591"/>
      <c r="D192" s="591"/>
      <c r="E192" s="591"/>
      <c r="F192" s="591"/>
      <c r="G192" s="591"/>
      <c r="H192" s="591"/>
      <c r="I192" s="591"/>
      <c r="J192" s="591"/>
      <c r="K192" s="591"/>
      <c r="L192" s="591"/>
      <c r="M192" s="591"/>
      <c r="N192" s="591"/>
      <c r="O192" s="591"/>
      <c r="P192" s="591"/>
      <c r="Q192" s="591"/>
      <c r="R192" s="591"/>
      <c r="S192" s="591"/>
      <c r="T192" s="591"/>
      <c r="U192" s="591"/>
      <c r="V192" s="591"/>
      <c r="W192" s="591"/>
      <c r="X192" s="591"/>
      <c r="Y192" s="591"/>
      <c r="Z192" s="591"/>
      <c r="AA192" s="591"/>
      <c r="AB192" s="591" t="s">
        <v>149</v>
      </c>
      <c r="AC192" s="591"/>
      <c r="AD192" s="591"/>
      <c r="AE192" s="591"/>
      <c r="AF192" s="591"/>
      <c r="AG192" s="591"/>
      <c r="AH192" s="591"/>
      <c r="AI192" s="591"/>
      <c r="AJ192" s="591"/>
      <c r="AK192" s="591"/>
      <c r="AL192" s="591"/>
      <c r="AM192" s="591"/>
      <c r="AN192" s="591"/>
    </row>
    <row r="193" spans="1:40" s="599" customFormat="1" x14ac:dyDescent="0.3">
      <c r="A193" s="590" t="s">
        <v>226</v>
      </c>
      <c r="B193" s="591" t="s">
        <v>144</v>
      </c>
      <c r="C193" s="591"/>
      <c r="D193" s="591"/>
      <c r="E193" s="591"/>
      <c r="F193" s="591"/>
      <c r="G193" s="591"/>
      <c r="H193" s="591"/>
      <c r="I193" s="591"/>
      <c r="J193" s="591"/>
      <c r="K193" s="591"/>
      <c r="L193" s="591"/>
      <c r="M193" s="591"/>
      <c r="N193" s="591"/>
      <c r="O193" s="591"/>
      <c r="P193" s="591"/>
      <c r="Q193" s="591"/>
      <c r="R193" s="591"/>
      <c r="S193" s="591"/>
      <c r="T193" s="591"/>
      <c r="U193" s="591"/>
      <c r="V193" s="591"/>
      <c r="W193" s="591"/>
      <c r="X193" s="591"/>
      <c r="Y193" s="591"/>
      <c r="Z193" s="591"/>
      <c r="AA193" s="591"/>
      <c r="AB193" s="600" t="s">
        <v>387</v>
      </c>
      <c r="AC193" s="591"/>
      <c r="AD193" s="591"/>
      <c r="AE193" s="591"/>
      <c r="AF193" s="591"/>
      <c r="AG193" s="591"/>
      <c r="AH193" s="591"/>
      <c r="AI193" s="591"/>
      <c r="AJ193" s="591"/>
      <c r="AK193" s="591"/>
      <c r="AL193" s="591"/>
      <c r="AM193" s="591"/>
      <c r="AN193" s="591"/>
    </row>
    <row r="194" spans="1:40" s="599" customFormat="1" x14ac:dyDescent="0.3">
      <c r="A194" s="591"/>
      <c r="B194" s="591"/>
      <c r="C194" s="591"/>
      <c r="D194" s="591"/>
      <c r="E194" s="591"/>
      <c r="F194" s="591"/>
      <c r="G194" s="591"/>
      <c r="H194" s="591"/>
      <c r="I194" s="591"/>
      <c r="J194" s="591"/>
      <c r="K194" s="591"/>
      <c r="L194" s="591"/>
      <c r="M194" s="591"/>
      <c r="N194" s="591"/>
      <c r="O194" s="591"/>
      <c r="P194" s="591"/>
      <c r="Q194" s="591"/>
      <c r="R194" s="591"/>
      <c r="S194" s="591"/>
      <c r="T194" s="591"/>
      <c r="U194" s="591"/>
      <c r="V194" s="591"/>
      <c r="W194" s="591"/>
      <c r="X194" s="591"/>
      <c r="Y194" s="591"/>
      <c r="Z194" s="591"/>
      <c r="AA194" s="591"/>
      <c r="AB194" s="591"/>
      <c r="AC194" s="591"/>
      <c r="AD194" s="591"/>
      <c r="AE194" s="591"/>
      <c r="AF194" s="591"/>
      <c r="AG194" s="591"/>
      <c r="AH194" s="591"/>
      <c r="AI194" s="591"/>
      <c r="AJ194" s="591"/>
      <c r="AK194" s="591"/>
      <c r="AL194" s="591"/>
      <c r="AM194" s="591"/>
      <c r="AN194" s="591"/>
    </row>
    <row r="195" spans="1:40" s="599" customFormat="1" x14ac:dyDescent="0.3">
      <c r="A195" s="980" t="s">
        <v>1</v>
      </c>
      <c r="B195" s="980" t="s">
        <v>40</v>
      </c>
      <c r="C195" s="987" t="s">
        <v>118</v>
      </c>
      <c r="D195" s="978" t="s">
        <v>119</v>
      </c>
      <c r="E195" s="978" t="s">
        <v>127</v>
      </c>
      <c r="F195" s="978" t="s">
        <v>124</v>
      </c>
      <c r="G195" s="978" t="s">
        <v>120</v>
      </c>
      <c r="H195" s="978" t="s">
        <v>215</v>
      </c>
      <c r="I195" s="978" t="s">
        <v>122</v>
      </c>
      <c r="J195" s="978" t="s">
        <v>123</v>
      </c>
      <c r="K195" s="978" t="s">
        <v>218</v>
      </c>
      <c r="L195" s="978" t="s">
        <v>126</v>
      </c>
      <c r="M195" s="978" t="s">
        <v>125</v>
      </c>
      <c r="N195" s="978" t="s">
        <v>130</v>
      </c>
      <c r="O195" s="978" t="s">
        <v>216</v>
      </c>
      <c r="P195" s="987" t="s">
        <v>121</v>
      </c>
      <c r="Q195" s="978" t="s">
        <v>45</v>
      </c>
      <c r="R195" s="978" t="s">
        <v>217</v>
      </c>
      <c r="S195" s="978" t="s">
        <v>219</v>
      </c>
      <c r="T195" s="978" t="s">
        <v>128</v>
      </c>
      <c r="U195" s="978" t="s">
        <v>221</v>
      </c>
      <c r="V195" s="978" t="s">
        <v>220</v>
      </c>
      <c r="W195" s="978" t="s">
        <v>222</v>
      </c>
      <c r="X195" s="978" t="s">
        <v>223</v>
      </c>
      <c r="Y195" s="978" t="s">
        <v>224</v>
      </c>
      <c r="Z195" s="978" t="s">
        <v>129</v>
      </c>
      <c r="AA195" s="989" t="s">
        <v>415</v>
      </c>
      <c r="AB195" s="981" t="s">
        <v>117</v>
      </c>
      <c r="AC195" s="982" t="s">
        <v>214</v>
      </c>
      <c r="AD195" s="982"/>
      <c r="AE195" s="982"/>
      <c r="AF195" s="592" t="s">
        <v>204</v>
      </c>
      <c r="AG195" s="982" t="s">
        <v>213</v>
      </c>
      <c r="AH195" s="982"/>
      <c r="AI195" s="983" t="s">
        <v>132</v>
      </c>
      <c r="AJ195" s="984"/>
      <c r="AK195" s="984"/>
      <c r="AL195" s="985"/>
      <c r="AM195" s="592" t="s">
        <v>205</v>
      </c>
      <c r="AN195" s="982" t="s">
        <v>206</v>
      </c>
    </row>
    <row r="196" spans="1:40" s="599" customFormat="1" x14ac:dyDescent="0.3">
      <c r="A196" s="980"/>
      <c r="B196" s="980"/>
      <c r="C196" s="988"/>
      <c r="D196" s="979"/>
      <c r="E196" s="979"/>
      <c r="F196" s="979"/>
      <c r="G196" s="979"/>
      <c r="H196" s="979"/>
      <c r="I196" s="979"/>
      <c r="J196" s="979"/>
      <c r="K196" s="979"/>
      <c r="L196" s="979"/>
      <c r="M196" s="979"/>
      <c r="N196" s="979"/>
      <c r="O196" s="979"/>
      <c r="P196" s="988"/>
      <c r="Q196" s="979"/>
      <c r="R196" s="979"/>
      <c r="S196" s="979"/>
      <c r="T196" s="979"/>
      <c r="U196" s="979"/>
      <c r="V196" s="979"/>
      <c r="W196" s="979"/>
      <c r="X196" s="979"/>
      <c r="Y196" s="979"/>
      <c r="Z196" s="979"/>
      <c r="AA196" s="979"/>
      <c r="AB196" s="981"/>
      <c r="AC196" s="593" t="s">
        <v>193</v>
      </c>
      <c r="AD196" s="593" t="s">
        <v>192</v>
      </c>
      <c r="AE196" s="593" t="s">
        <v>191</v>
      </c>
      <c r="AF196" s="594" t="s">
        <v>207</v>
      </c>
      <c r="AG196" s="593" t="s">
        <v>208</v>
      </c>
      <c r="AH196" s="593" t="s">
        <v>209</v>
      </c>
      <c r="AI196" s="593" t="s">
        <v>210</v>
      </c>
      <c r="AJ196" s="593" t="s">
        <v>211</v>
      </c>
      <c r="AK196" s="593" t="s">
        <v>88</v>
      </c>
      <c r="AL196" s="593" t="s">
        <v>18</v>
      </c>
      <c r="AM196" s="594" t="s">
        <v>212</v>
      </c>
      <c r="AN196" s="982"/>
    </row>
    <row r="197" spans="1:40" s="599" customFormat="1" x14ac:dyDescent="0.3">
      <c r="A197" s="595">
        <v>1</v>
      </c>
      <c r="B197" s="595" t="s">
        <v>371</v>
      </c>
      <c r="C197" s="476"/>
      <c r="D197" s="476"/>
      <c r="E197" s="476"/>
      <c r="F197" s="476"/>
      <c r="G197" s="476"/>
      <c r="H197" s="476"/>
      <c r="I197" s="476"/>
      <c r="J197" s="476"/>
      <c r="K197" s="476"/>
      <c r="L197" s="476"/>
      <c r="M197" s="476"/>
      <c r="N197" s="476"/>
      <c r="O197" s="476"/>
      <c r="P197" s="476"/>
      <c r="Q197" s="476"/>
      <c r="R197" s="476"/>
      <c r="S197" s="476"/>
      <c r="T197" s="476"/>
      <c r="U197" s="476"/>
      <c r="V197" s="476"/>
      <c r="W197" s="476"/>
      <c r="X197" s="476"/>
      <c r="Y197" s="476"/>
      <c r="Z197" s="476"/>
      <c r="AA197" s="476"/>
      <c r="AB197" s="477">
        <f>SUM(C197:AA197)</f>
        <v>0</v>
      </c>
      <c r="AC197" s="477"/>
      <c r="AD197" s="477"/>
      <c r="AE197" s="477"/>
      <c r="AF197" s="477"/>
      <c r="AG197" s="477"/>
      <c r="AH197" s="477"/>
      <c r="AI197" s="477"/>
      <c r="AJ197" s="477"/>
      <c r="AK197" s="477"/>
      <c r="AL197" s="477"/>
      <c r="AM197" s="477"/>
      <c r="AN197" s="477"/>
    </row>
    <row r="198" spans="1:40" s="599" customFormat="1" x14ac:dyDescent="0.3">
      <c r="A198" s="595">
        <v>2</v>
      </c>
      <c r="B198" s="595" t="s">
        <v>372</v>
      </c>
      <c r="C198" s="476"/>
      <c r="D198" s="476"/>
      <c r="E198" s="476"/>
      <c r="F198" s="476"/>
      <c r="G198" s="476"/>
      <c r="H198" s="476"/>
      <c r="I198" s="476"/>
      <c r="J198" s="476"/>
      <c r="K198" s="476"/>
      <c r="L198" s="476"/>
      <c r="M198" s="476"/>
      <c r="N198" s="476"/>
      <c r="O198" s="476"/>
      <c r="P198" s="476"/>
      <c r="Q198" s="476"/>
      <c r="R198" s="476"/>
      <c r="S198" s="476"/>
      <c r="T198" s="476"/>
      <c r="U198" s="476"/>
      <c r="V198" s="476"/>
      <c r="W198" s="476"/>
      <c r="X198" s="476"/>
      <c r="Y198" s="476"/>
      <c r="Z198" s="476"/>
      <c r="AA198" s="477"/>
      <c r="AB198" s="477">
        <f t="shared" ref="AB198:AB211" si="69">SUM(C198:AA198)</f>
        <v>0</v>
      </c>
      <c r="AC198" s="477"/>
      <c r="AD198" s="477"/>
      <c r="AE198" s="477"/>
      <c r="AF198" s="477"/>
      <c r="AG198" s="477"/>
      <c r="AH198" s="477"/>
      <c r="AI198" s="477"/>
      <c r="AJ198" s="477"/>
      <c r="AK198" s="477"/>
      <c r="AL198" s="477"/>
      <c r="AM198" s="477"/>
      <c r="AN198" s="477"/>
    </row>
    <row r="199" spans="1:40" s="599" customFormat="1" x14ac:dyDescent="0.3">
      <c r="A199" s="595">
        <v>3</v>
      </c>
      <c r="B199" s="595" t="s">
        <v>373</v>
      </c>
      <c r="C199" s="476"/>
      <c r="D199" s="476"/>
      <c r="E199" s="476"/>
      <c r="F199" s="476"/>
      <c r="G199" s="476"/>
      <c r="H199" s="476"/>
      <c r="I199" s="476"/>
      <c r="J199" s="476"/>
      <c r="K199" s="476"/>
      <c r="L199" s="476"/>
      <c r="M199" s="476"/>
      <c r="N199" s="476"/>
      <c r="O199" s="476"/>
      <c r="P199" s="476"/>
      <c r="Q199" s="476"/>
      <c r="R199" s="476"/>
      <c r="S199" s="476"/>
      <c r="T199" s="476"/>
      <c r="U199" s="476"/>
      <c r="V199" s="476"/>
      <c r="W199" s="476"/>
      <c r="X199" s="476"/>
      <c r="Y199" s="476"/>
      <c r="Z199" s="476"/>
      <c r="AA199" s="477"/>
      <c r="AB199" s="477">
        <f t="shared" si="69"/>
        <v>0</v>
      </c>
      <c r="AC199" s="477"/>
      <c r="AD199" s="477"/>
      <c r="AE199" s="477"/>
      <c r="AF199" s="477"/>
      <c r="AG199" s="477"/>
      <c r="AH199" s="477"/>
      <c r="AI199" s="477"/>
      <c r="AJ199" s="477"/>
      <c r="AK199" s="477"/>
      <c r="AL199" s="477"/>
      <c r="AM199" s="477"/>
      <c r="AN199" s="477"/>
    </row>
    <row r="200" spans="1:40" s="599" customFormat="1" x14ac:dyDescent="0.3">
      <c r="A200" s="595">
        <v>4</v>
      </c>
      <c r="B200" s="595" t="s">
        <v>374</v>
      </c>
      <c r="C200" s="476"/>
      <c r="D200" s="476"/>
      <c r="E200" s="476"/>
      <c r="F200" s="476"/>
      <c r="G200" s="476"/>
      <c r="H200" s="476"/>
      <c r="I200" s="476"/>
      <c r="J200" s="476"/>
      <c r="K200" s="476"/>
      <c r="L200" s="476"/>
      <c r="M200" s="476"/>
      <c r="N200" s="476"/>
      <c r="O200" s="476"/>
      <c r="P200" s="476"/>
      <c r="Q200" s="476"/>
      <c r="R200" s="476"/>
      <c r="S200" s="476"/>
      <c r="T200" s="476"/>
      <c r="U200" s="476"/>
      <c r="V200" s="476"/>
      <c r="W200" s="476"/>
      <c r="X200" s="476"/>
      <c r="Y200" s="476"/>
      <c r="Z200" s="476"/>
      <c r="AA200" s="477"/>
      <c r="AB200" s="477">
        <f t="shared" si="69"/>
        <v>0</v>
      </c>
      <c r="AC200" s="477"/>
      <c r="AD200" s="477"/>
      <c r="AE200" s="477"/>
      <c r="AF200" s="477"/>
      <c r="AG200" s="477"/>
      <c r="AH200" s="477"/>
      <c r="AI200" s="477"/>
      <c r="AJ200" s="477"/>
      <c r="AK200" s="477"/>
      <c r="AL200" s="477"/>
      <c r="AM200" s="477"/>
      <c r="AN200" s="477"/>
    </row>
    <row r="201" spans="1:40" s="599" customFormat="1" x14ac:dyDescent="0.3">
      <c r="A201" s="595">
        <v>5</v>
      </c>
      <c r="B201" s="595" t="s">
        <v>375</v>
      </c>
      <c r="C201" s="477"/>
      <c r="D201" s="477"/>
      <c r="E201" s="477"/>
      <c r="F201" s="477"/>
      <c r="G201" s="477"/>
      <c r="H201" s="477"/>
      <c r="I201" s="477"/>
      <c r="J201" s="477"/>
      <c r="K201" s="477"/>
      <c r="L201" s="477"/>
      <c r="M201" s="477"/>
      <c r="N201" s="477"/>
      <c r="O201" s="477"/>
      <c r="P201" s="477"/>
      <c r="Q201" s="477"/>
      <c r="R201" s="477"/>
      <c r="S201" s="477"/>
      <c r="T201" s="477"/>
      <c r="U201" s="477"/>
      <c r="V201" s="477"/>
      <c r="W201" s="477"/>
      <c r="X201" s="477"/>
      <c r="Y201" s="477"/>
      <c r="Z201" s="477"/>
      <c r="AA201" s="477"/>
      <c r="AB201" s="477">
        <f t="shared" si="69"/>
        <v>0</v>
      </c>
      <c r="AC201" s="477"/>
      <c r="AD201" s="477"/>
      <c r="AE201" s="477"/>
      <c r="AF201" s="477"/>
      <c r="AG201" s="477"/>
      <c r="AH201" s="477"/>
      <c r="AI201" s="477"/>
      <c r="AJ201" s="477"/>
      <c r="AK201" s="477"/>
      <c r="AL201" s="477"/>
      <c r="AM201" s="477"/>
      <c r="AN201" s="477"/>
    </row>
    <row r="202" spans="1:40" s="599" customFormat="1" x14ac:dyDescent="0.3">
      <c r="A202" s="595">
        <v>6</v>
      </c>
      <c r="B202" s="595" t="s">
        <v>414</v>
      </c>
      <c r="C202" s="476"/>
      <c r="D202" s="476"/>
      <c r="E202" s="476"/>
      <c r="F202" s="476"/>
      <c r="G202" s="476"/>
      <c r="H202" s="476"/>
      <c r="I202" s="476"/>
      <c r="J202" s="476"/>
      <c r="K202" s="476"/>
      <c r="L202" s="476"/>
      <c r="M202" s="476"/>
      <c r="N202" s="476"/>
      <c r="O202" s="476"/>
      <c r="P202" s="476"/>
      <c r="Q202" s="476"/>
      <c r="R202" s="476"/>
      <c r="S202" s="476"/>
      <c r="T202" s="476"/>
      <c r="U202" s="476"/>
      <c r="V202" s="476"/>
      <c r="W202" s="476"/>
      <c r="X202" s="476"/>
      <c r="Y202" s="476"/>
      <c r="Z202" s="476"/>
      <c r="AA202" s="477"/>
      <c r="AB202" s="477">
        <f t="shared" si="69"/>
        <v>0</v>
      </c>
      <c r="AC202" s="477"/>
      <c r="AD202" s="477"/>
      <c r="AE202" s="477"/>
      <c r="AF202" s="477"/>
      <c r="AG202" s="477"/>
      <c r="AH202" s="477"/>
      <c r="AI202" s="477"/>
      <c r="AJ202" s="477"/>
      <c r="AK202" s="477"/>
      <c r="AL202" s="477"/>
      <c r="AM202" s="477"/>
      <c r="AN202" s="477"/>
    </row>
    <row r="203" spans="1:40" s="599" customFormat="1" x14ac:dyDescent="0.3">
      <c r="A203" s="595">
        <v>7</v>
      </c>
      <c r="B203" s="595" t="s">
        <v>376</v>
      </c>
      <c r="C203" s="476"/>
      <c r="D203" s="476"/>
      <c r="E203" s="476"/>
      <c r="F203" s="476"/>
      <c r="G203" s="476"/>
      <c r="H203" s="476"/>
      <c r="I203" s="476"/>
      <c r="J203" s="476"/>
      <c r="K203" s="476"/>
      <c r="L203" s="476"/>
      <c r="M203" s="476"/>
      <c r="N203" s="476"/>
      <c r="O203" s="476"/>
      <c r="P203" s="476"/>
      <c r="Q203" s="476"/>
      <c r="R203" s="476"/>
      <c r="S203" s="476"/>
      <c r="T203" s="476"/>
      <c r="U203" s="476"/>
      <c r="V203" s="476"/>
      <c r="W203" s="476"/>
      <c r="X203" s="476"/>
      <c r="Y203" s="476"/>
      <c r="Z203" s="476"/>
      <c r="AA203" s="477"/>
      <c r="AB203" s="477">
        <f t="shared" si="69"/>
        <v>0</v>
      </c>
      <c r="AC203" s="477"/>
      <c r="AD203" s="477"/>
      <c r="AE203" s="477"/>
      <c r="AF203" s="477"/>
      <c r="AG203" s="477"/>
      <c r="AH203" s="477"/>
      <c r="AI203" s="477"/>
      <c r="AJ203" s="477"/>
      <c r="AK203" s="477"/>
      <c r="AL203" s="477"/>
      <c r="AM203" s="477"/>
      <c r="AN203" s="477"/>
    </row>
    <row r="204" spans="1:40" s="599" customFormat="1" x14ac:dyDescent="0.3">
      <c r="A204" s="595">
        <v>8</v>
      </c>
      <c r="B204" s="595" t="s">
        <v>377</v>
      </c>
      <c r="C204" s="561"/>
      <c r="D204" s="561"/>
      <c r="E204" s="561"/>
      <c r="F204" s="561"/>
      <c r="G204" s="561"/>
      <c r="H204" s="561"/>
      <c r="I204" s="561"/>
      <c r="J204" s="561"/>
      <c r="K204" s="561"/>
      <c r="L204" s="561"/>
      <c r="M204" s="561"/>
      <c r="N204" s="561"/>
      <c r="O204" s="561"/>
      <c r="P204" s="561"/>
      <c r="Q204" s="561"/>
      <c r="R204" s="561"/>
      <c r="S204" s="561"/>
      <c r="T204" s="561"/>
      <c r="U204" s="561"/>
      <c r="V204" s="561"/>
      <c r="W204" s="561"/>
      <c r="X204" s="561"/>
      <c r="Y204" s="561"/>
      <c r="Z204" s="561"/>
      <c r="AA204" s="477"/>
      <c r="AB204" s="477">
        <f t="shared" si="69"/>
        <v>0</v>
      </c>
      <c r="AC204" s="477"/>
      <c r="AD204" s="477"/>
      <c r="AE204" s="477"/>
      <c r="AF204" s="477"/>
      <c r="AG204" s="477"/>
      <c r="AH204" s="477"/>
      <c r="AI204" s="477"/>
      <c r="AJ204" s="477"/>
      <c r="AK204" s="477"/>
      <c r="AL204" s="477"/>
      <c r="AM204" s="477"/>
      <c r="AN204" s="477"/>
    </row>
    <row r="205" spans="1:40" s="599" customFormat="1" x14ac:dyDescent="0.3">
      <c r="A205" s="595">
        <v>9</v>
      </c>
      <c r="B205" s="595" t="s">
        <v>378</v>
      </c>
      <c r="C205" s="476"/>
      <c r="D205" s="476"/>
      <c r="E205" s="476"/>
      <c r="F205" s="476"/>
      <c r="G205" s="476"/>
      <c r="H205" s="476"/>
      <c r="I205" s="476"/>
      <c r="J205" s="476"/>
      <c r="K205" s="476"/>
      <c r="L205" s="476"/>
      <c r="M205" s="476"/>
      <c r="N205" s="476"/>
      <c r="O205" s="476"/>
      <c r="P205" s="476"/>
      <c r="Q205" s="476"/>
      <c r="R205" s="476"/>
      <c r="S205" s="476"/>
      <c r="T205" s="476"/>
      <c r="U205" s="476"/>
      <c r="V205" s="476"/>
      <c r="W205" s="476"/>
      <c r="X205" s="476"/>
      <c r="Y205" s="476"/>
      <c r="Z205" s="476"/>
      <c r="AA205" s="477"/>
      <c r="AB205" s="477">
        <f t="shared" si="69"/>
        <v>0</v>
      </c>
      <c r="AC205" s="477"/>
      <c r="AD205" s="477"/>
      <c r="AE205" s="477"/>
      <c r="AF205" s="477"/>
      <c r="AG205" s="477"/>
      <c r="AH205" s="477"/>
      <c r="AI205" s="477"/>
      <c r="AJ205" s="477"/>
      <c r="AK205" s="477"/>
      <c r="AL205" s="477"/>
      <c r="AM205" s="477"/>
      <c r="AN205" s="477"/>
    </row>
    <row r="206" spans="1:40" s="599" customFormat="1" x14ac:dyDescent="0.3">
      <c r="A206" s="595">
        <v>10</v>
      </c>
      <c r="B206" s="595" t="s">
        <v>379</v>
      </c>
      <c r="C206" s="476"/>
      <c r="D206" s="476"/>
      <c r="E206" s="476"/>
      <c r="F206" s="476"/>
      <c r="G206" s="476"/>
      <c r="H206" s="476"/>
      <c r="I206" s="476"/>
      <c r="J206" s="476"/>
      <c r="K206" s="476"/>
      <c r="L206" s="476"/>
      <c r="M206" s="476"/>
      <c r="N206" s="476"/>
      <c r="O206" s="476"/>
      <c r="P206" s="476"/>
      <c r="Q206" s="476"/>
      <c r="R206" s="476"/>
      <c r="S206" s="476"/>
      <c r="T206" s="476"/>
      <c r="U206" s="476"/>
      <c r="V206" s="476"/>
      <c r="W206" s="476"/>
      <c r="X206" s="476"/>
      <c r="Y206" s="476"/>
      <c r="Z206" s="476"/>
      <c r="AA206" s="477"/>
      <c r="AB206" s="477">
        <f t="shared" si="69"/>
        <v>0</v>
      </c>
      <c r="AC206" s="477"/>
      <c r="AD206" s="477"/>
      <c r="AE206" s="477"/>
      <c r="AF206" s="477"/>
      <c r="AG206" s="477"/>
      <c r="AH206" s="477"/>
      <c r="AI206" s="477"/>
      <c r="AJ206" s="477"/>
      <c r="AK206" s="477"/>
      <c r="AL206" s="477"/>
      <c r="AM206" s="477"/>
      <c r="AN206" s="477"/>
    </row>
    <row r="207" spans="1:40" s="599" customFormat="1" x14ac:dyDescent="0.3">
      <c r="A207" s="595">
        <v>11</v>
      </c>
      <c r="B207" s="595" t="s">
        <v>380</v>
      </c>
      <c r="C207" s="476"/>
      <c r="D207" s="476"/>
      <c r="E207" s="476"/>
      <c r="F207" s="476"/>
      <c r="G207" s="476"/>
      <c r="H207" s="476"/>
      <c r="I207" s="476"/>
      <c r="J207" s="476"/>
      <c r="K207" s="476"/>
      <c r="L207" s="476"/>
      <c r="M207" s="476"/>
      <c r="N207" s="476"/>
      <c r="O207" s="476"/>
      <c r="P207" s="476"/>
      <c r="Q207" s="476"/>
      <c r="R207" s="476"/>
      <c r="S207" s="476"/>
      <c r="T207" s="476"/>
      <c r="U207" s="476"/>
      <c r="V207" s="476"/>
      <c r="W207" s="476"/>
      <c r="X207" s="476"/>
      <c r="Y207" s="476"/>
      <c r="Z207" s="476"/>
      <c r="AA207" s="477"/>
      <c r="AB207" s="477">
        <f t="shared" si="69"/>
        <v>0</v>
      </c>
      <c r="AC207" s="477"/>
      <c r="AD207" s="477"/>
      <c r="AE207" s="477"/>
      <c r="AF207" s="477"/>
      <c r="AG207" s="477"/>
      <c r="AH207" s="477"/>
      <c r="AI207" s="477"/>
      <c r="AJ207" s="477"/>
      <c r="AK207" s="477"/>
      <c r="AL207" s="477"/>
      <c r="AM207" s="477"/>
      <c r="AN207" s="477"/>
    </row>
    <row r="208" spans="1:40" s="599" customFormat="1" x14ac:dyDescent="0.3">
      <c r="A208" s="595">
        <v>12</v>
      </c>
      <c r="B208" s="595" t="s">
        <v>381</v>
      </c>
      <c r="C208" s="476"/>
      <c r="D208" s="476"/>
      <c r="E208" s="476"/>
      <c r="F208" s="476"/>
      <c r="G208" s="476"/>
      <c r="H208" s="476"/>
      <c r="I208" s="476"/>
      <c r="J208" s="476"/>
      <c r="K208" s="476"/>
      <c r="L208" s="476"/>
      <c r="M208" s="476"/>
      <c r="N208" s="476"/>
      <c r="O208" s="476"/>
      <c r="P208" s="476"/>
      <c r="Q208" s="476"/>
      <c r="R208" s="476"/>
      <c r="S208" s="476"/>
      <c r="T208" s="476"/>
      <c r="U208" s="476"/>
      <c r="V208" s="476"/>
      <c r="W208" s="476"/>
      <c r="X208" s="476"/>
      <c r="Y208" s="476"/>
      <c r="Z208" s="476"/>
      <c r="AA208" s="477"/>
      <c r="AB208" s="477">
        <f t="shared" si="69"/>
        <v>0</v>
      </c>
      <c r="AC208" s="477"/>
      <c r="AD208" s="477"/>
      <c r="AE208" s="477"/>
      <c r="AF208" s="477"/>
      <c r="AG208" s="477"/>
      <c r="AH208" s="477"/>
      <c r="AI208" s="477"/>
      <c r="AJ208" s="477"/>
      <c r="AK208" s="477"/>
      <c r="AL208" s="477"/>
      <c r="AM208" s="477"/>
      <c r="AN208" s="477"/>
    </row>
    <row r="209" spans="1:40" s="599" customFormat="1" x14ac:dyDescent="0.3">
      <c r="A209" s="595">
        <v>13</v>
      </c>
      <c r="B209" s="595" t="s">
        <v>382</v>
      </c>
      <c r="C209" s="476"/>
      <c r="D209" s="476"/>
      <c r="E209" s="476"/>
      <c r="F209" s="476"/>
      <c r="G209" s="476"/>
      <c r="H209" s="476"/>
      <c r="I209" s="476"/>
      <c r="J209" s="476"/>
      <c r="K209" s="476"/>
      <c r="L209" s="476"/>
      <c r="M209" s="476"/>
      <c r="N209" s="476"/>
      <c r="O209" s="476"/>
      <c r="P209" s="476"/>
      <c r="Q209" s="476"/>
      <c r="R209" s="476"/>
      <c r="S209" s="476"/>
      <c r="T209" s="476"/>
      <c r="U209" s="476"/>
      <c r="V209" s="476"/>
      <c r="W209" s="476"/>
      <c r="X209" s="476"/>
      <c r="Y209" s="476"/>
      <c r="Z209" s="476"/>
      <c r="AA209" s="477"/>
      <c r="AB209" s="477">
        <f t="shared" si="69"/>
        <v>0</v>
      </c>
      <c r="AC209" s="477"/>
      <c r="AD209" s="477"/>
      <c r="AE209" s="477"/>
      <c r="AF209" s="477"/>
      <c r="AG209" s="477"/>
      <c r="AH209" s="477"/>
      <c r="AI209" s="477"/>
      <c r="AJ209" s="477"/>
      <c r="AK209" s="477"/>
      <c r="AL209" s="477"/>
      <c r="AM209" s="477"/>
      <c r="AN209" s="477"/>
    </row>
    <row r="210" spans="1:40" s="599" customFormat="1" x14ac:dyDescent="0.3">
      <c r="A210" s="595">
        <v>14</v>
      </c>
      <c r="B210" s="595" t="s">
        <v>383</v>
      </c>
      <c r="C210" s="476"/>
      <c r="D210" s="476"/>
      <c r="E210" s="476"/>
      <c r="F210" s="476"/>
      <c r="G210" s="476"/>
      <c r="H210" s="476"/>
      <c r="I210" s="476"/>
      <c r="J210" s="476"/>
      <c r="K210" s="476"/>
      <c r="L210" s="476"/>
      <c r="M210" s="476"/>
      <c r="N210" s="476"/>
      <c r="O210" s="476"/>
      <c r="P210" s="476"/>
      <c r="Q210" s="476"/>
      <c r="R210" s="476"/>
      <c r="S210" s="476"/>
      <c r="T210" s="476"/>
      <c r="U210" s="476"/>
      <c r="V210" s="476"/>
      <c r="W210" s="476"/>
      <c r="X210" s="476"/>
      <c r="Y210" s="476"/>
      <c r="Z210" s="476"/>
      <c r="AA210" s="477"/>
      <c r="AB210" s="477">
        <v>0</v>
      </c>
      <c r="AC210" s="477"/>
      <c r="AD210" s="477"/>
      <c r="AE210" s="477"/>
      <c r="AF210" s="477"/>
      <c r="AG210" s="477"/>
      <c r="AH210" s="477"/>
      <c r="AI210" s="477"/>
      <c r="AJ210" s="477"/>
      <c r="AK210" s="477"/>
      <c r="AL210" s="477"/>
      <c r="AM210" s="477"/>
      <c r="AN210" s="477"/>
    </row>
    <row r="211" spans="1:40" s="599" customFormat="1" x14ac:dyDescent="0.3">
      <c r="A211" s="595">
        <v>15</v>
      </c>
      <c r="B211" s="477" t="s">
        <v>384</v>
      </c>
      <c r="C211" s="477"/>
      <c r="D211" s="477"/>
      <c r="E211" s="477"/>
      <c r="F211" s="477"/>
      <c r="G211" s="477"/>
      <c r="H211" s="477"/>
      <c r="I211" s="477"/>
      <c r="J211" s="477"/>
      <c r="K211" s="477"/>
      <c r="L211" s="477"/>
      <c r="M211" s="477"/>
      <c r="N211" s="477"/>
      <c r="O211" s="477"/>
      <c r="P211" s="477"/>
      <c r="Q211" s="477"/>
      <c r="R211" s="477"/>
      <c r="S211" s="477"/>
      <c r="T211" s="477"/>
      <c r="U211" s="477"/>
      <c r="V211" s="477"/>
      <c r="W211" s="477"/>
      <c r="X211" s="477"/>
      <c r="Y211" s="477"/>
      <c r="Z211" s="477"/>
      <c r="AA211" s="477"/>
      <c r="AB211" s="477">
        <f t="shared" si="69"/>
        <v>0</v>
      </c>
      <c r="AC211" s="477"/>
      <c r="AD211" s="477"/>
      <c r="AE211" s="477"/>
      <c r="AF211" s="477"/>
      <c r="AG211" s="477"/>
      <c r="AH211" s="477"/>
      <c r="AI211" s="477"/>
      <c r="AJ211" s="477"/>
      <c r="AK211" s="477"/>
      <c r="AL211" s="477"/>
      <c r="AM211" s="477"/>
      <c r="AN211" s="477"/>
    </row>
    <row r="212" spans="1:40" s="599" customFormat="1" x14ac:dyDescent="0.3">
      <c r="A212" s="502"/>
      <c r="B212" s="596" t="s">
        <v>18</v>
      </c>
      <c r="C212" s="501">
        <f>SUM(C197:C210)</f>
        <v>0</v>
      </c>
      <c r="D212" s="501">
        <f t="shared" ref="D212" si="70">SUM(D197:D210)</f>
        <v>0</v>
      </c>
      <c r="E212" s="501">
        <f t="shared" ref="E212" si="71">SUM(E197:E210)</f>
        <v>0</v>
      </c>
      <c r="F212" s="501">
        <f t="shared" ref="F212" si="72">SUM(F197:F210)</f>
        <v>0</v>
      </c>
      <c r="G212" s="501">
        <f t="shared" ref="G212" si="73">SUM(G197:G210)</f>
        <v>0</v>
      </c>
      <c r="H212" s="501">
        <f t="shared" ref="H212" si="74">SUM(H197:H210)</f>
        <v>0</v>
      </c>
      <c r="I212" s="501">
        <f t="shared" ref="I212" si="75">SUM(I197:I210)</f>
        <v>0</v>
      </c>
      <c r="J212" s="501">
        <f t="shared" ref="J212" si="76">SUM(J197:J210)</f>
        <v>0</v>
      </c>
      <c r="K212" s="501">
        <f t="shared" ref="K212" si="77">SUM(K197:K210)</f>
        <v>0</v>
      </c>
      <c r="L212" s="501">
        <f t="shared" ref="L212" si="78">SUM(L197:L210)</f>
        <v>0</v>
      </c>
      <c r="M212" s="501">
        <f t="shared" ref="M212" si="79">SUM(M197:M210)</f>
        <v>0</v>
      </c>
      <c r="N212" s="501">
        <f t="shared" ref="N212" si="80">SUM(N197:N210)</f>
        <v>0</v>
      </c>
      <c r="O212" s="501">
        <f t="shared" ref="O212" si="81">SUM(O197:O210)</f>
        <v>0</v>
      </c>
      <c r="P212" s="501">
        <f t="shared" ref="P212" si="82">SUM(P197:P210)</f>
        <v>0</v>
      </c>
      <c r="Q212" s="501">
        <f t="shared" ref="Q212" si="83">SUM(Q197:Q210)</f>
        <v>0</v>
      </c>
      <c r="R212" s="501">
        <f t="shared" ref="R212" si="84">SUM(R197:R210)</f>
        <v>0</v>
      </c>
      <c r="S212" s="501">
        <f t="shared" ref="S212" si="85">SUM(S197:S210)</f>
        <v>0</v>
      </c>
      <c r="T212" s="501">
        <f t="shared" ref="T212" si="86">SUM(T197:T210)</f>
        <v>0</v>
      </c>
      <c r="U212" s="501">
        <f t="shared" ref="U212" si="87">SUM(U197:U210)</f>
        <v>0</v>
      </c>
      <c r="V212" s="501">
        <f t="shared" ref="V212" si="88">SUM(V197:V210)</f>
        <v>0</v>
      </c>
      <c r="W212" s="501">
        <f t="shared" ref="W212" si="89">SUM(W197:W210)</f>
        <v>0</v>
      </c>
      <c r="X212" s="501">
        <f t="shared" ref="X212" si="90">SUM(X197:X210)</f>
        <v>0</v>
      </c>
      <c r="Y212" s="501">
        <f t="shared" ref="Y212" si="91">SUM(Y197:Y210)</f>
        <v>0</v>
      </c>
      <c r="Z212" s="501">
        <f t="shared" ref="Z212:AA212" si="92">SUM(Z197:Z210)</f>
        <v>0</v>
      </c>
      <c r="AA212" s="501">
        <f t="shared" si="92"/>
        <v>0</v>
      </c>
      <c r="AB212" s="575">
        <f t="shared" ref="AB212:AN212" si="93">SUM(AB197:AB210)</f>
        <v>0</v>
      </c>
      <c r="AC212" s="575">
        <f t="shared" si="93"/>
        <v>0</v>
      </c>
      <c r="AD212" s="575">
        <f t="shared" si="93"/>
        <v>0</v>
      </c>
      <c r="AE212" s="575">
        <f t="shared" si="93"/>
        <v>0</v>
      </c>
      <c r="AF212" s="575">
        <f t="shared" si="93"/>
        <v>0</v>
      </c>
      <c r="AG212" s="575">
        <f t="shared" si="93"/>
        <v>0</v>
      </c>
      <c r="AH212" s="575">
        <f t="shared" si="93"/>
        <v>0</v>
      </c>
      <c r="AI212" s="575">
        <f t="shared" si="93"/>
        <v>0</v>
      </c>
      <c r="AJ212" s="575">
        <f t="shared" si="93"/>
        <v>0</v>
      </c>
      <c r="AK212" s="575">
        <f t="shared" si="93"/>
        <v>0</v>
      </c>
      <c r="AL212" s="575">
        <f t="shared" si="93"/>
        <v>0</v>
      </c>
      <c r="AM212" s="575">
        <f t="shared" si="93"/>
        <v>0</v>
      </c>
      <c r="AN212" s="575">
        <f t="shared" si="93"/>
        <v>0</v>
      </c>
    </row>
    <row r="213" spans="1:40" s="599" customFormat="1" x14ac:dyDescent="0.3">
      <c r="A213" s="440"/>
      <c r="B213" s="440"/>
      <c r="C213" s="440"/>
      <c r="D213" s="440"/>
      <c r="E213" s="440"/>
      <c r="F213" s="440"/>
      <c r="G213" s="440"/>
      <c r="H213" s="440"/>
      <c r="I213" s="440"/>
      <c r="J213" s="440"/>
      <c r="K213" s="440"/>
      <c r="L213" s="440"/>
      <c r="M213" s="440"/>
      <c r="N213" s="440"/>
      <c r="O213" s="440"/>
      <c r="P213" s="440"/>
      <c r="Q213" s="440"/>
      <c r="R213" s="440"/>
      <c r="S213" s="440"/>
      <c r="T213" s="440"/>
      <c r="U213" s="440"/>
      <c r="V213" s="440"/>
      <c r="W213" s="440"/>
      <c r="X213" s="440"/>
      <c r="Y213" s="440"/>
      <c r="Z213" s="440"/>
      <c r="AA213" s="440"/>
      <c r="AB213" s="440"/>
      <c r="AC213" s="440"/>
      <c r="AD213" s="440"/>
      <c r="AE213" s="440"/>
      <c r="AF213" s="440"/>
      <c r="AG213" s="440"/>
      <c r="AH213" s="440"/>
      <c r="AI213" s="440"/>
      <c r="AJ213" s="440"/>
      <c r="AK213" s="440"/>
      <c r="AL213" s="440"/>
      <c r="AM213" s="440"/>
      <c r="AN213" s="440"/>
    </row>
    <row r="214" spans="1:40" s="599" customFormat="1" x14ac:dyDescent="0.3">
      <c r="A214" s="440"/>
      <c r="B214" s="440"/>
      <c r="C214" s="440"/>
      <c r="D214" s="440"/>
      <c r="E214" s="440"/>
      <c r="F214" s="440"/>
      <c r="G214" s="440"/>
      <c r="H214" s="440"/>
      <c r="I214" s="440"/>
      <c r="J214" s="440"/>
      <c r="K214" s="440"/>
      <c r="L214" s="440"/>
      <c r="M214" s="440"/>
      <c r="N214" s="440"/>
      <c r="O214" s="440"/>
      <c r="P214" s="440"/>
      <c r="Q214" s="440"/>
      <c r="R214" s="440"/>
      <c r="S214" s="440"/>
      <c r="T214" s="440"/>
      <c r="U214" s="440"/>
      <c r="V214" s="440"/>
      <c r="W214" s="440"/>
      <c r="X214" s="440"/>
      <c r="Y214" s="440"/>
      <c r="Z214" s="440"/>
      <c r="AA214" s="440"/>
      <c r="AB214" s="440"/>
      <c r="AC214" s="440"/>
      <c r="AD214" s="440"/>
      <c r="AE214" s="440"/>
      <c r="AF214" s="440"/>
      <c r="AG214" s="440"/>
      <c r="AH214" s="440"/>
      <c r="AI214" s="440"/>
      <c r="AJ214" s="440"/>
      <c r="AK214" s="440"/>
      <c r="AL214" s="440"/>
      <c r="AM214" s="440"/>
      <c r="AN214" s="440"/>
    </row>
    <row r="215" spans="1:40" s="599" customFormat="1" x14ac:dyDescent="0.3">
      <c r="A215" s="986" t="s">
        <v>131</v>
      </c>
      <c r="B215" s="986"/>
      <c r="C215" s="986"/>
      <c r="D215" s="986"/>
      <c r="E215" s="986"/>
      <c r="F215" s="986"/>
      <c r="G215" s="986"/>
      <c r="H215" s="986"/>
      <c r="I215" s="986"/>
      <c r="J215" s="986"/>
      <c r="K215" s="986"/>
      <c r="L215" s="986"/>
      <c r="M215" s="986"/>
      <c r="N215" s="986"/>
      <c r="O215" s="986"/>
      <c r="P215" s="986"/>
      <c r="Q215" s="986"/>
      <c r="R215" s="986"/>
      <c r="S215" s="986"/>
      <c r="T215" s="986"/>
      <c r="U215" s="986"/>
      <c r="V215" s="986"/>
      <c r="W215" s="986"/>
      <c r="X215" s="986"/>
      <c r="Y215" s="986"/>
      <c r="Z215" s="986"/>
      <c r="AA215" s="986"/>
      <c r="AB215" s="986"/>
      <c r="AC215" s="986"/>
      <c r="AD215" s="986"/>
      <c r="AE215" s="986"/>
      <c r="AF215" s="986"/>
      <c r="AG215" s="986"/>
      <c r="AH215" s="986"/>
      <c r="AI215" s="986"/>
      <c r="AJ215" s="986"/>
      <c r="AK215" s="986"/>
      <c r="AL215" s="986"/>
      <c r="AM215" s="986"/>
      <c r="AN215" s="986"/>
    </row>
    <row r="216" spans="1:40" s="599" customFormat="1" x14ac:dyDescent="0.3">
      <c r="A216" s="590" t="s">
        <v>292</v>
      </c>
      <c r="B216" s="591" t="s">
        <v>149</v>
      </c>
      <c r="C216" s="591"/>
      <c r="D216" s="591"/>
      <c r="E216" s="591"/>
      <c r="F216" s="591"/>
      <c r="G216" s="591"/>
      <c r="H216" s="591"/>
      <c r="I216" s="591"/>
      <c r="J216" s="591"/>
      <c r="K216" s="591"/>
      <c r="L216" s="591"/>
      <c r="M216" s="591"/>
      <c r="N216" s="591"/>
      <c r="O216" s="591"/>
      <c r="P216" s="591"/>
      <c r="Q216" s="591"/>
      <c r="R216" s="591"/>
      <c r="S216" s="591"/>
      <c r="T216" s="591"/>
      <c r="U216" s="591"/>
      <c r="V216" s="591"/>
      <c r="W216" s="591"/>
      <c r="X216" s="591"/>
      <c r="Y216" s="591"/>
      <c r="Z216" s="591"/>
      <c r="AA216" s="591"/>
      <c r="AB216" s="591" t="s">
        <v>149</v>
      </c>
      <c r="AC216" s="591"/>
      <c r="AD216" s="591"/>
      <c r="AE216" s="591"/>
      <c r="AF216" s="591"/>
      <c r="AG216" s="591"/>
      <c r="AH216" s="591"/>
      <c r="AI216" s="591"/>
      <c r="AJ216" s="591"/>
      <c r="AK216" s="591"/>
      <c r="AL216" s="591"/>
      <c r="AM216" s="591"/>
      <c r="AN216" s="591"/>
    </row>
    <row r="217" spans="1:40" s="599" customFormat="1" x14ac:dyDescent="0.3">
      <c r="A217" s="590" t="s">
        <v>226</v>
      </c>
      <c r="B217" s="591" t="s">
        <v>146</v>
      </c>
      <c r="C217" s="591"/>
      <c r="D217" s="591"/>
      <c r="E217" s="591"/>
      <c r="F217" s="591"/>
      <c r="G217" s="591"/>
      <c r="H217" s="591"/>
      <c r="I217" s="591"/>
      <c r="J217" s="591"/>
      <c r="K217" s="591"/>
      <c r="L217" s="591"/>
      <c r="M217" s="591"/>
      <c r="N217" s="591"/>
      <c r="O217" s="591"/>
      <c r="P217" s="591"/>
      <c r="Q217" s="591"/>
      <c r="R217" s="591"/>
      <c r="S217" s="591"/>
      <c r="T217" s="591"/>
      <c r="U217" s="591"/>
      <c r="V217" s="591"/>
      <c r="W217" s="591"/>
      <c r="X217" s="591"/>
      <c r="Y217" s="591"/>
      <c r="Z217" s="591"/>
      <c r="AA217" s="591"/>
      <c r="AB217" s="600" t="s">
        <v>398</v>
      </c>
      <c r="AC217" s="591"/>
      <c r="AD217" s="591"/>
      <c r="AE217" s="591"/>
      <c r="AF217" s="591"/>
      <c r="AG217" s="591"/>
      <c r="AH217" s="591"/>
      <c r="AI217" s="591"/>
      <c r="AJ217" s="591"/>
      <c r="AK217" s="591"/>
      <c r="AL217" s="591"/>
      <c r="AM217" s="591"/>
      <c r="AN217" s="591"/>
    </row>
    <row r="218" spans="1:40" s="599" customFormat="1" x14ac:dyDescent="0.3">
      <c r="A218" s="591"/>
      <c r="B218" s="591"/>
      <c r="C218" s="591"/>
      <c r="D218" s="591"/>
      <c r="E218" s="591"/>
      <c r="F218" s="591"/>
      <c r="G218" s="591"/>
      <c r="H218" s="591"/>
      <c r="I218" s="591"/>
      <c r="J218" s="591"/>
      <c r="K218" s="591"/>
      <c r="L218" s="591"/>
      <c r="M218" s="591"/>
      <c r="N218" s="591"/>
      <c r="O218" s="591"/>
      <c r="P218" s="591"/>
      <c r="Q218" s="591"/>
      <c r="R218" s="591"/>
      <c r="S218" s="591"/>
      <c r="T218" s="591"/>
      <c r="U218" s="591"/>
      <c r="V218" s="591"/>
      <c r="W218" s="591"/>
      <c r="X218" s="591"/>
      <c r="Y218" s="591"/>
      <c r="Z218" s="591"/>
      <c r="AA218" s="591"/>
      <c r="AB218" s="591"/>
      <c r="AC218" s="591"/>
      <c r="AD218" s="591"/>
      <c r="AE218" s="591"/>
      <c r="AF218" s="591"/>
      <c r="AG218" s="591"/>
      <c r="AH218" s="591"/>
      <c r="AI218" s="591"/>
      <c r="AJ218" s="591"/>
      <c r="AK218" s="591"/>
      <c r="AL218" s="591"/>
      <c r="AM218" s="591"/>
      <c r="AN218" s="591"/>
    </row>
    <row r="219" spans="1:40" s="599" customFormat="1" x14ac:dyDescent="0.3">
      <c r="A219" s="980" t="s">
        <v>1</v>
      </c>
      <c r="B219" s="980" t="s">
        <v>40</v>
      </c>
      <c r="C219" s="987" t="s">
        <v>118</v>
      </c>
      <c r="D219" s="978" t="s">
        <v>119</v>
      </c>
      <c r="E219" s="978" t="s">
        <v>127</v>
      </c>
      <c r="F219" s="978" t="s">
        <v>124</v>
      </c>
      <c r="G219" s="978" t="s">
        <v>120</v>
      </c>
      <c r="H219" s="978" t="s">
        <v>215</v>
      </c>
      <c r="I219" s="978" t="s">
        <v>122</v>
      </c>
      <c r="J219" s="978" t="s">
        <v>123</v>
      </c>
      <c r="K219" s="978" t="s">
        <v>218</v>
      </c>
      <c r="L219" s="978" t="s">
        <v>126</v>
      </c>
      <c r="M219" s="978" t="s">
        <v>125</v>
      </c>
      <c r="N219" s="978" t="s">
        <v>130</v>
      </c>
      <c r="O219" s="978" t="s">
        <v>216</v>
      </c>
      <c r="P219" s="987" t="s">
        <v>121</v>
      </c>
      <c r="Q219" s="978" t="s">
        <v>45</v>
      </c>
      <c r="R219" s="978" t="s">
        <v>217</v>
      </c>
      <c r="S219" s="978" t="s">
        <v>219</v>
      </c>
      <c r="T219" s="978" t="s">
        <v>128</v>
      </c>
      <c r="U219" s="978" t="s">
        <v>221</v>
      </c>
      <c r="V219" s="978" t="s">
        <v>220</v>
      </c>
      <c r="W219" s="978" t="s">
        <v>222</v>
      </c>
      <c r="X219" s="978" t="s">
        <v>223</v>
      </c>
      <c r="Y219" s="978" t="s">
        <v>224</v>
      </c>
      <c r="Z219" s="978" t="s">
        <v>129</v>
      </c>
      <c r="AA219" s="978" t="s">
        <v>415</v>
      </c>
      <c r="AB219" s="981" t="s">
        <v>117</v>
      </c>
      <c r="AC219" s="982" t="s">
        <v>214</v>
      </c>
      <c r="AD219" s="982"/>
      <c r="AE219" s="982"/>
      <c r="AF219" s="592" t="s">
        <v>204</v>
      </c>
      <c r="AG219" s="982" t="s">
        <v>213</v>
      </c>
      <c r="AH219" s="982"/>
      <c r="AI219" s="983" t="s">
        <v>132</v>
      </c>
      <c r="AJ219" s="984"/>
      <c r="AK219" s="984"/>
      <c r="AL219" s="985"/>
      <c r="AM219" s="592" t="s">
        <v>205</v>
      </c>
      <c r="AN219" s="982" t="s">
        <v>206</v>
      </c>
    </row>
    <row r="220" spans="1:40" s="599" customFormat="1" x14ac:dyDescent="0.3">
      <c r="A220" s="980"/>
      <c r="B220" s="980"/>
      <c r="C220" s="988"/>
      <c r="D220" s="979"/>
      <c r="E220" s="979"/>
      <c r="F220" s="979"/>
      <c r="G220" s="979"/>
      <c r="H220" s="979"/>
      <c r="I220" s="979"/>
      <c r="J220" s="979"/>
      <c r="K220" s="979"/>
      <c r="L220" s="979"/>
      <c r="M220" s="979"/>
      <c r="N220" s="979"/>
      <c r="O220" s="979"/>
      <c r="P220" s="988"/>
      <c r="Q220" s="979"/>
      <c r="R220" s="979"/>
      <c r="S220" s="979"/>
      <c r="T220" s="979"/>
      <c r="U220" s="979"/>
      <c r="V220" s="979"/>
      <c r="W220" s="979"/>
      <c r="X220" s="979"/>
      <c r="Y220" s="979"/>
      <c r="Z220" s="979"/>
      <c r="AA220" s="979"/>
      <c r="AB220" s="981"/>
      <c r="AC220" s="593" t="s">
        <v>193</v>
      </c>
      <c r="AD220" s="593" t="s">
        <v>192</v>
      </c>
      <c r="AE220" s="593" t="s">
        <v>191</v>
      </c>
      <c r="AF220" s="594" t="s">
        <v>207</v>
      </c>
      <c r="AG220" s="593" t="s">
        <v>208</v>
      </c>
      <c r="AH220" s="593" t="s">
        <v>209</v>
      </c>
      <c r="AI220" s="593" t="s">
        <v>210</v>
      </c>
      <c r="AJ220" s="593" t="s">
        <v>211</v>
      </c>
      <c r="AK220" s="593" t="s">
        <v>88</v>
      </c>
      <c r="AL220" s="593" t="s">
        <v>18</v>
      </c>
      <c r="AM220" s="594" t="s">
        <v>212</v>
      </c>
      <c r="AN220" s="982"/>
    </row>
    <row r="221" spans="1:40" s="599" customFormat="1" x14ac:dyDescent="0.3">
      <c r="A221" s="595">
        <v>1</v>
      </c>
      <c r="B221" s="595" t="s">
        <v>371</v>
      </c>
      <c r="C221" s="476"/>
      <c r="D221" s="476"/>
      <c r="E221" s="476"/>
      <c r="F221" s="476"/>
      <c r="G221" s="476"/>
      <c r="H221" s="476"/>
      <c r="I221" s="476"/>
      <c r="J221" s="476"/>
      <c r="K221" s="476"/>
      <c r="L221" s="476"/>
      <c r="M221" s="476"/>
      <c r="N221" s="476"/>
      <c r="O221" s="476"/>
      <c r="P221" s="476"/>
      <c r="Q221" s="476"/>
      <c r="R221" s="476"/>
      <c r="S221" s="476"/>
      <c r="T221" s="476"/>
      <c r="U221" s="476"/>
      <c r="V221" s="476"/>
      <c r="W221" s="476"/>
      <c r="X221" s="476"/>
      <c r="Y221" s="476"/>
      <c r="Z221" s="476"/>
      <c r="AA221" s="476"/>
      <c r="AB221" s="477">
        <f>SUM(C221:AA221)</f>
        <v>0</v>
      </c>
      <c r="AC221" s="477"/>
      <c r="AD221" s="477"/>
      <c r="AE221" s="477"/>
      <c r="AF221" s="477"/>
      <c r="AG221" s="477"/>
      <c r="AH221" s="477"/>
      <c r="AI221" s="477"/>
      <c r="AJ221" s="477"/>
      <c r="AK221" s="477"/>
      <c r="AL221" s="477"/>
      <c r="AM221" s="477"/>
      <c r="AN221" s="477"/>
    </row>
    <row r="222" spans="1:40" s="599" customFormat="1" x14ac:dyDescent="0.3">
      <c r="A222" s="595">
        <v>2</v>
      </c>
      <c r="B222" s="595" t="s">
        <v>372</v>
      </c>
      <c r="C222" s="476"/>
      <c r="D222" s="476"/>
      <c r="E222" s="476"/>
      <c r="F222" s="476"/>
      <c r="G222" s="476"/>
      <c r="H222" s="476"/>
      <c r="I222" s="476"/>
      <c r="J222" s="476"/>
      <c r="K222" s="476"/>
      <c r="L222" s="476"/>
      <c r="M222" s="476"/>
      <c r="N222" s="476"/>
      <c r="O222" s="476"/>
      <c r="P222" s="476"/>
      <c r="Q222" s="476"/>
      <c r="R222" s="476"/>
      <c r="S222" s="476"/>
      <c r="T222" s="476"/>
      <c r="U222" s="476"/>
      <c r="V222" s="476"/>
      <c r="W222" s="476"/>
      <c r="X222" s="476"/>
      <c r="Y222" s="476"/>
      <c r="Z222" s="476"/>
      <c r="AA222" s="477"/>
      <c r="AB222" s="477">
        <f t="shared" ref="AB222:AB235" si="94">SUM(C222:AA222)</f>
        <v>0</v>
      </c>
      <c r="AC222" s="477"/>
      <c r="AD222" s="477"/>
      <c r="AE222" s="477"/>
      <c r="AF222" s="477"/>
      <c r="AG222" s="477"/>
      <c r="AH222" s="477"/>
      <c r="AI222" s="477"/>
      <c r="AJ222" s="477"/>
      <c r="AK222" s="477"/>
      <c r="AL222" s="477"/>
      <c r="AM222" s="477"/>
      <c r="AN222" s="477"/>
    </row>
    <row r="223" spans="1:40" s="599" customFormat="1" x14ac:dyDescent="0.3">
      <c r="A223" s="595">
        <v>3</v>
      </c>
      <c r="B223" s="595" t="s">
        <v>373</v>
      </c>
      <c r="C223" s="476"/>
      <c r="D223" s="476"/>
      <c r="E223" s="476"/>
      <c r="F223" s="476"/>
      <c r="G223" s="476"/>
      <c r="H223" s="476"/>
      <c r="I223" s="476"/>
      <c r="J223" s="476"/>
      <c r="K223" s="476"/>
      <c r="L223" s="476"/>
      <c r="M223" s="476"/>
      <c r="N223" s="476"/>
      <c r="O223" s="476"/>
      <c r="P223" s="476"/>
      <c r="Q223" s="476"/>
      <c r="R223" s="476"/>
      <c r="S223" s="476"/>
      <c r="T223" s="476"/>
      <c r="U223" s="476"/>
      <c r="V223" s="476"/>
      <c r="W223" s="476"/>
      <c r="X223" s="476"/>
      <c r="Y223" s="476"/>
      <c r="Z223" s="476"/>
      <c r="AA223" s="477"/>
      <c r="AB223" s="477">
        <f t="shared" si="94"/>
        <v>0</v>
      </c>
      <c r="AC223" s="477"/>
      <c r="AD223" s="477"/>
      <c r="AE223" s="477"/>
      <c r="AF223" s="477"/>
      <c r="AG223" s="477"/>
      <c r="AH223" s="477"/>
      <c r="AI223" s="477"/>
      <c r="AJ223" s="477"/>
      <c r="AK223" s="477"/>
      <c r="AL223" s="477"/>
      <c r="AM223" s="477"/>
      <c r="AN223" s="477"/>
    </row>
    <row r="224" spans="1:40" s="599" customFormat="1" x14ac:dyDescent="0.3">
      <c r="A224" s="595">
        <v>4</v>
      </c>
      <c r="B224" s="595" t="s">
        <v>374</v>
      </c>
      <c r="C224" s="476"/>
      <c r="D224" s="476"/>
      <c r="E224" s="476"/>
      <c r="F224" s="476"/>
      <c r="G224" s="476"/>
      <c r="H224" s="476"/>
      <c r="I224" s="476"/>
      <c r="J224" s="476"/>
      <c r="K224" s="476"/>
      <c r="L224" s="476"/>
      <c r="M224" s="476"/>
      <c r="N224" s="476"/>
      <c r="O224" s="476"/>
      <c r="P224" s="476"/>
      <c r="Q224" s="476"/>
      <c r="R224" s="476"/>
      <c r="S224" s="476"/>
      <c r="T224" s="476"/>
      <c r="U224" s="476"/>
      <c r="V224" s="476"/>
      <c r="W224" s="476"/>
      <c r="X224" s="476"/>
      <c r="Y224" s="476"/>
      <c r="Z224" s="476"/>
      <c r="AA224" s="477"/>
      <c r="AB224" s="477">
        <f t="shared" si="94"/>
        <v>0</v>
      </c>
      <c r="AC224" s="477"/>
      <c r="AD224" s="477"/>
      <c r="AE224" s="477"/>
      <c r="AF224" s="477"/>
      <c r="AG224" s="477"/>
      <c r="AH224" s="477"/>
      <c r="AI224" s="477"/>
      <c r="AJ224" s="477"/>
      <c r="AK224" s="477"/>
      <c r="AL224" s="477"/>
      <c r="AM224" s="477"/>
      <c r="AN224" s="477"/>
    </row>
    <row r="225" spans="1:40" s="599" customFormat="1" x14ac:dyDescent="0.3">
      <c r="A225" s="595">
        <v>5</v>
      </c>
      <c r="B225" s="595" t="s">
        <v>375</v>
      </c>
      <c r="C225" s="477"/>
      <c r="D225" s="477"/>
      <c r="E225" s="477"/>
      <c r="F225" s="477"/>
      <c r="G225" s="477"/>
      <c r="H225" s="477"/>
      <c r="I225" s="477"/>
      <c r="J225" s="477"/>
      <c r="K225" s="477"/>
      <c r="L225" s="477"/>
      <c r="M225" s="477"/>
      <c r="N225" s="477"/>
      <c r="O225" s="477"/>
      <c r="P225" s="477"/>
      <c r="Q225" s="477"/>
      <c r="R225" s="477"/>
      <c r="S225" s="477"/>
      <c r="T225" s="477"/>
      <c r="U225" s="477"/>
      <c r="V225" s="477"/>
      <c r="W225" s="477"/>
      <c r="X225" s="477"/>
      <c r="Y225" s="477"/>
      <c r="Z225" s="477"/>
      <c r="AA225" s="477"/>
      <c r="AB225" s="477">
        <f t="shared" si="94"/>
        <v>0</v>
      </c>
      <c r="AC225" s="477"/>
      <c r="AD225" s="477"/>
      <c r="AE225" s="477"/>
      <c r="AF225" s="477"/>
      <c r="AG225" s="477"/>
      <c r="AH225" s="477"/>
      <c r="AI225" s="477"/>
      <c r="AJ225" s="477"/>
      <c r="AK225" s="477"/>
      <c r="AL225" s="477"/>
      <c r="AM225" s="477"/>
      <c r="AN225" s="477"/>
    </row>
    <row r="226" spans="1:40" s="599" customFormat="1" x14ac:dyDescent="0.3">
      <c r="A226" s="595">
        <v>6</v>
      </c>
      <c r="B226" s="595" t="s">
        <v>414</v>
      </c>
      <c r="C226" s="476"/>
      <c r="D226" s="476"/>
      <c r="E226" s="476"/>
      <c r="F226" s="476"/>
      <c r="G226" s="476"/>
      <c r="H226" s="476"/>
      <c r="I226" s="476"/>
      <c r="J226" s="476"/>
      <c r="K226" s="476"/>
      <c r="L226" s="476"/>
      <c r="M226" s="476"/>
      <c r="N226" s="476"/>
      <c r="O226" s="476"/>
      <c r="P226" s="476"/>
      <c r="Q226" s="476"/>
      <c r="R226" s="476"/>
      <c r="S226" s="476"/>
      <c r="T226" s="476"/>
      <c r="U226" s="476"/>
      <c r="V226" s="476"/>
      <c r="W226" s="476"/>
      <c r="X226" s="476"/>
      <c r="Y226" s="476"/>
      <c r="Z226" s="476"/>
      <c r="AA226" s="477"/>
      <c r="AB226" s="477">
        <f t="shared" si="94"/>
        <v>0</v>
      </c>
      <c r="AC226" s="477"/>
      <c r="AD226" s="477"/>
      <c r="AE226" s="477"/>
      <c r="AF226" s="477"/>
      <c r="AG226" s="477"/>
      <c r="AH226" s="477"/>
      <c r="AI226" s="477"/>
      <c r="AJ226" s="477"/>
      <c r="AK226" s="477"/>
      <c r="AL226" s="477"/>
      <c r="AM226" s="477"/>
      <c r="AN226" s="477"/>
    </row>
    <row r="227" spans="1:40" s="599" customFormat="1" x14ac:dyDescent="0.3">
      <c r="A227" s="595">
        <v>7</v>
      </c>
      <c r="B227" s="595" t="s">
        <v>376</v>
      </c>
      <c r="C227" s="476"/>
      <c r="D227" s="476"/>
      <c r="E227" s="476"/>
      <c r="F227" s="476"/>
      <c r="G227" s="476"/>
      <c r="H227" s="476"/>
      <c r="I227" s="476"/>
      <c r="J227" s="476"/>
      <c r="K227" s="476"/>
      <c r="L227" s="476"/>
      <c r="M227" s="476"/>
      <c r="N227" s="476"/>
      <c r="O227" s="476"/>
      <c r="P227" s="476"/>
      <c r="Q227" s="476"/>
      <c r="R227" s="476"/>
      <c r="S227" s="476"/>
      <c r="T227" s="476"/>
      <c r="U227" s="476"/>
      <c r="V227" s="476"/>
      <c r="W227" s="476"/>
      <c r="X227" s="476"/>
      <c r="Y227" s="476"/>
      <c r="Z227" s="476"/>
      <c r="AA227" s="477"/>
      <c r="AB227" s="477">
        <f t="shared" si="94"/>
        <v>0</v>
      </c>
      <c r="AC227" s="477"/>
      <c r="AD227" s="477"/>
      <c r="AE227" s="477"/>
      <c r="AF227" s="477"/>
      <c r="AG227" s="477"/>
      <c r="AH227" s="477"/>
      <c r="AI227" s="477"/>
      <c r="AJ227" s="477"/>
      <c r="AK227" s="477"/>
      <c r="AL227" s="477"/>
      <c r="AM227" s="477"/>
      <c r="AN227" s="477"/>
    </row>
    <row r="228" spans="1:40" s="599" customFormat="1" x14ac:dyDescent="0.3">
      <c r="A228" s="595">
        <v>8</v>
      </c>
      <c r="B228" s="595" t="s">
        <v>377</v>
      </c>
      <c r="C228" s="561"/>
      <c r="D228" s="561"/>
      <c r="E228" s="561"/>
      <c r="F228" s="561"/>
      <c r="G228" s="561"/>
      <c r="H228" s="561"/>
      <c r="I228" s="561"/>
      <c r="J228" s="561"/>
      <c r="K228" s="561"/>
      <c r="L228" s="561"/>
      <c r="M228" s="561"/>
      <c r="N228" s="561"/>
      <c r="O228" s="561"/>
      <c r="P228" s="561"/>
      <c r="Q228" s="561"/>
      <c r="R228" s="561"/>
      <c r="S228" s="561"/>
      <c r="T228" s="561"/>
      <c r="U228" s="561"/>
      <c r="V228" s="561"/>
      <c r="W228" s="561"/>
      <c r="X228" s="561"/>
      <c r="Y228" s="561"/>
      <c r="Z228" s="561"/>
      <c r="AA228" s="477"/>
      <c r="AB228" s="477">
        <f t="shared" si="94"/>
        <v>0</v>
      </c>
      <c r="AC228" s="477"/>
      <c r="AD228" s="477"/>
      <c r="AE228" s="477"/>
      <c r="AF228" s="477"/>
      <c r="AG228" s="477"/>
      <c r="AH228" s="477"/>
      <c r="AI228" s="477"/>
      <c r="AJ228" s="477"/>
      <c r="AK228" s="477"/>
      <c r="AL228" s="477"/>
      <c r="AM228" s="477"/>
      <c r="AN228" s="477"/>
    </row>
    <row r="229" spans="1:40" s="599" customFormat="1" x14ac:dyDescent="0.3">
      <c r="A229" s="595">
        <v>9</v>
      </c>
      <c r="B229" s="595" t="s">
        <v>378</v>
      </c>
      <c r="C229" s="476"/>
      <c r="D229" s="476"/>
      <c r="E229" s="476"/>
      <c r="F229" s="476"/>
      <c r="G229" s="476"/>
      <c r="H229" s="476"/>
      <c r="I229" s="476"/>
      <c r="J229" s="476"/>
      <c r="K229" s="476"/>
      <c r="L229" s="476"/>
      <c r="M229" s="476"/>
      <c r="N229" s="476"/>
      <c r="O229" s="476"/>
      <c r="P229" s="476"/>
      <c r="Q229" s="476"/>
      <c r="R229" s="476"/>
      <c r="S229" s="476"/>
      <c r="T229" s="476"/>
      <c r="U229" s="476"/>
      <c r="V229" s="476"/>
      <c r="W229" s="476"/>
      <c r="X229" s="476"/>
      <c r="Y229" s="476"/>
      <c r="Z229" s="476"/>
      <c r="AA229" s="477"/>
      <c r="AB229" s="477">
        <f t="shared" si="94"/>
        <v>0</v>
      </c>
      <c r="AC229" s="477"/>
      <c r="AD229" s="477"/>
      <c r="AE229" s="477"/>
      <c r="AF229" s="477"/>
      <c r="AG229" s="477"/>
      <c r="AH229" s="477"/>
      <c r="AI229" s="477"/>
      <c r="AJ229" s="477"/>
      <c r="AK229" s="477"/>
      <c r="AL229" s="477"/>
      <c r="AM229" s="477"/>
      <c r="AN229" s="477"/>
    </row>
    <row r="230" spans="1:40" s="599" customFormat="1" x14ac:dyDescent="0.3">
      <c r="A230" s="595">
        <v>10</v>
      </c>
      <c r="B230" s="595" t="s">
        <v>379</v>
      </c>
      <c r="C230" s="476"/>
      <c r="D230" s="476"/>
      <c r="E230" s="476"/>
      <c r="F230" s="476"/>
      <c r="G230" s="476"/>
      <c r="H230" s="476"/>
      <c r="I230" s="476"/>
      <c r="J230" s="476"/>
      <c r="K230" s="476"/>
      <c r="L230" s="476"/>
      <c r="M230" s="476"/>
      <c r="N230" s="476"/>
      <c r="O230" s="476"/>
      <c r="P230" s="476"/>
      <c r="Q230" s="476"/>
      <c r="R230" s="476"/>
      <c r="S230" s="476"/>
      <c r="T230" s="476"/>
      <c r="U230" s="476"/>
      <c r="V230" s="476"/>
      <c r="W230" s="476"/>
      <c r="X230" s="476"/>
      <c r="Y230" s="476"/>
      <c r="Z230" s="476"/>
      <c r="AA230" s="477"/>
      <c r="AB230" s="477">
        <f t="shared" si="94"/>
        <v>0</v>
      </c>
      <c r="AC230" s="477"/>
      <c r="AD230" s="477"/>
      <c r="AE230" s="477"/>
      <c r="AF230" s="477"/>
      <c r="AG230" s="477"/>
      <c r="AH230" s="477"/>
      <c r="AI230" s="477"/>
      <c r="AJ230" s="477"/>
      <c r="AK230" s="477"/>
      <c r="AL230" s="477"/>
      <c r="AM230" s="477"/>
      <c r="AN230" s="477"/>
    </row>
    <row r="231" spans="1:40" s="599" customFormat="1" x14ac:dyDescent="0.3">
      <c r="A231" s="595">
        <v>11</v>
      </c>
      <c r="B231" s="595" t="s">
        <v>380</v>
      </c>
      <c r="C231" s="476"/>
      <c r="D231" s="476"/>
      <c r="E231" s="476"/>
      <c r="F231" s="476"/>
      <c r="G231" s="476"/>
      <c r="H231" s="476"/>
      <c r="I231" s="476"/>
      <c r="J231" s="476"/>
      <c r="K231" s="476"/>
      <c r="L231" s="476"/>
      <c r="M231" s="476"/>
      <c r="N231" s="476"/>
      <c r="O231" s="476"/>
      <c r="P231" s="476"/>
      <c r="Q231" s="476"/>
      <c r="R231" s="476"/>
      <c r="S231" s="476"/>
      <c r="T231" s="476"/>
      <c r="U231" s="476"/>
      <c r="V231" s="476"/>
      <c r="W231" s="476"/>
      <c r="X231" s="476"/>
      <c r="Y231" s="476"/>
      <c r="Z231" s="476"/>
      <c r="AA231" s="477"/>
      <c r="AB231" s="477">
        <f t="shared" si="94"/>
        <v>0</v>
      </c>
      <c r="AC231" s="477"/>
      <c r="AD231" s="477"/>
      <c r="AE231" s="477"/>
      <c r="AF231" s="477"/>
      <c r="AG231" s="477"/>
      <c r="AH231" s="477"/>
      <c r="AI231" s="477"/>
      <c r="AJ231" s="477"/>
      <c r="AK231" s="477"/>
      <c r="AL231" s="477"/>
      <c r="AM231" s="477"/>
      <c r="AN231" s="477"/>
    </row>
    <row r="232" spans="1:40" s="599" customFormat="1" x14ac:dyDescent="0.3">
      <c r="A232" s="595">
        <v>12</v>
      </c>
      <c r="B232" s="595" t="s">
        <v>381</v>
      </c>
      <c r="C232" s="476"/>
      <c r="D232" s="476"/>
      <c r="E232" s="476"/>
      <c r="F232" s="476"/>
      <c r="G232" s="476"/>
      <c r="H232" s="476"/>
      <c r="I232" s="476"/>
      <c r="J232" s="476"/>
      <c r="K232" s="476"/>
      <c r="L232" s="476"/>
      <c r="M232" s="476"/>
      <c r="N232" s="476"/>
      <c r="O232" s="476"/>
      <c r="P232" s="476"/>
      <c r="Q232" s="476"/>
      <c r="R232" s="476"/>
      <c r="S232" s="476"/>
      <c r="T232" s="476"/>
      <c r="U232" s="476"/>
      <c r="V232" s="476"/>
      <c r="W232" s="476"/>
      <c r="X232" s="476"/>
      <c r="Y232" s="476"/>
      <c r="Z232" s="476"/>
      <c r="AA232" s="477"/>
      <c r="AB232" s="477">
        <f t="shared" si="94"/>
        <v>0</v>
      </c>
      <c r="AC232" s="477"/>
      <c r="AD232" s="477"/>
      <c r="AE232" s="477"/>
      <c r="AF232" s="477"/>
      <c r="AG232" s="477"/>
      <c r="AH232" s="477"/>
      <c r="AI232" s="477"/>
      <c r="AJ232" s="477"/>
      <c r="AK232" s="477"/>
      <c r="AL232" s="477"/>
      <c r="AM232" s="477"/>
      <c r="AN232" s="477"/>
    </row>
    <row r="233" spans="1:40" s="599" customFormat="1" x14ac:dyDescent="0.3">
      <c r="A233" s="595">
        <v>13</v>
      </c>
      <c r="B233" s="595" t="s">
        <v>382</v>
      </c>
      <c r="C233" s="476"/>
      <c r="D233" s="476"/>
      <c r="E233" s="476"/>
      <c r="F233" s="476"/>
      <c r="G233" s="476"/>
      <c r="H233" s="476"/>
      <c r="I233" s="476"/>
      <c r="J233" s="476"/>
      <c r="K233" s="476"/>
      <c r="L233" s="476"/>
      <c r="M233" s="476"/>
      <c r="N233" s="476"/>
      <c r="O233" s="476"/>
      <c r="P233" s="476"/>
      <c r="Q233" s="476"/>
      <c r="R233" s="476"/>
      <c r="S233" s="476"/>
      <c r="T233" s="476"/>
      <c r="U233" s="476"/>
      <c r="V233" s="476"/>
      <c r="W233" s="476"/>
      <c r="X233" s="476"/>
      <c r="Y233" s="476"/>
      <c r="Z233" s="476"/>
      <c r="AA233" s="477"/>
      <c r="AB233" s="477">
        <f t="shared" si="94"/>
        <v>0</v>
      </c>
      <c r="AC233" s="477"/>
      <c r="AD233" s="477"/>
      <c r="AE233" s="477"/>
      <c r="AF233" s="477"/>
      <c r="AG233" s="477"/>
      <c r="AH233" s="477"/>
      <c r="AI233" s="477"/>
      <c r="AJ233" s="477"/>
      <c r="AK233" s="477"/>
      <c r="AL233" s="477"/>
      <c r="AM233" s="477"/>
      <c r="AN233" s="477"/>
    </row>
    <row r="234" spans="1:40" s="599" customFormat="1" x14ac:dyDescent="0.3">
      <c r="A234" s="595">
        <v>14</v>
      </c>
      <c r="B234" s="595" t="s">
        <v>383</v>
      </c>
      <c r="C234" s="476"/>
      <c r="D234" s="476"/>
      <c r="E234" s="476"/>
      <c r="F234" s="476"/>
      <c r="G234" s="476"/>
      <c r="H234" s="476"/>
      <c r="I234" s="476"/>
      <c r="J234" s="476"/>
      <c r="K234" s="476"/>
      <c r="L234" s="476"/>
      <c r="M234" s="476"/>
      <c r="N234" s="476"/>
      <c r="O234" s="476"/>
      <c r="P234" s="476"/>
      <c r="Q234" s="476"/>
      <c r="R234" s="476"/>
      <c r="S234" s="476"/>
      <c r="T234" s="476"/>
      <c r="U234" s="476"/>
      <c r="V234" s="476"/>
      <c r="W234" s="476"/>
      <c r="X234" s="476"/>
      <c r="Y234" s="476"/>
      <c r="Z234" s="476"/>
      <c r="AA234" s="477"/>
      <c r="AB234" s="477">
        <f t="shared" si="94"/>
        <v>0</v>
      </c>
      <c r="AC234" s="477"/>
      <c r="AD234" s="477"/>
      <c r="AE234" s="477"/>
      <c r="AF234" s="477"/>
      <c r="AG234" s="477"/>
      <c r="AH234" s="477"/>
      <c r="AI234" s="477"/>
      <c r="AJ234" s="477"/>
      <c r="AK234" s="477"/>
      <c r="AL234" s="477"/>
      <c r="AM234" s="477"/>
      <c r="AN234" s="477"/>
    </row>
    <row r="235" spans="1:40" s="599" customFormat="1" x14ac:dyDescent="0.3">
      <c r="A235" s="595">
        <v>15</v>
      </c>
      <c r="B235" s="477" t="s">
        <v>384</v>
      </c>
      <c r="C235" s="477"/>
      <c r="D235" s="477"/>
      <c r="E235" s="477"/>
      <c r="F235" s="477"/>
      <c r="G235" s="477"/>
      <c r="H235" s="477"/>
      <c r="I235" s="477"/>
      <c r="J235" s="477"/>
      <c r="K235" s="477"/>
      <c r="L235" s="477"/>
      <c r="M235" s="477"/>
      <c r="N235" s="477"/>
      <c r="O235" s="477"/>
      <c r="P235" s="477"/>
      <c r="Q235" s="477"/>
      <c r="R235" s="477"/>
      <c r="S235" s="477"/>
      <c r="T235" s="477"/>
      <c r="U235" s="477"/>
      <c r="V235" s="477"/>
      <c r="W235" s="477"/>
      <c r="X235" s="477"/>
      <c r="Y235" s="477"/>
      <c r="Z235" s="477"/>
      <c r="AA235" s="477"/>
      <c r="AB235" s="477">
        <f t="shared" si="94"/>
        <v>0</v>
      </c>
      <c r="AC235" s="477"/>
      <c r="AD235" s="477"/>
      <c r="AE235" s="477"/>
      <c r="AF235" s="477"/>
      <c r="AG235" s="477"/>
      <c r="AH235" s="477"/>
      <c r="AI235" s="477"/>
      <c r="AJ235" s="477"/>
      <c r="AK235" s="477"/>
      <c r="AL235" s="477"/>
      <c r="AM235" s="477"/>
      <c r="AN235" s="477"/>
    </row>
    <row r="236" spans="1:40" s="599" customFormat="1" x14ac:dyDescent="0.3">
      <c r="A236" s="502"/>
      <c r="B236" s="598" t="s">
        <v>18</v>
      </c>
      <c r="C236" s="501">
        <f>SUM(C221:C235)</f>
        <v>0</v>
      </c>
      <c r="D236" s="501">
        <f t="shared" ref="D236:AN236" si="95">SUM(D221:D235)</f>
        <v>0</v>
      </c>
      <c r="E236" s="501">
        <f t="shared" si="95"/>
        <v>0</v>
      </c>
      <c r="F236" s="501">
        <f t="shared" si="95"/>
        <v>0</v>
      </c>
      <c r="G236" s="501">
        <f t="shared" si="95"/>
        <v>0</v>
      </c>
      <c r="H236" s="501">
        <f t="shared" si="95"/>
        <v>0</v>
      </c>
      <c r="I236" s="501">
        <f t="shared" si="95"/>
        <v>0</v>
      </c>
      <c r="J236" s="501">
        <f t="shared" si="95"/>
        <v>0</v>
      </c>
      <c r="K236" s="501">
        <f t="shared" si="95"/>
        <v>0</v>
      </c>
      <c r="L236" s="501">
        <f t="shared" si="95"/>
        <v>0</v>
      </c>
      <c r="M236" s="501">
        <f t="shared" si="95"/>
        <v>0</v>
      </c>
      <c r="N236" s="501">
        <f t="shared" si="95"/>
        <v>0</v>
      </c>
      <c r="O236" s="501">
        <f t="shared" si="95"/>
        <v>0</v>
      </c>
      <c r="P236" s="501">
        <f t="shared" si="95"/>
        <v>0</v>
      </c>
      <c r="Q236" s="501">
        <f t="shared" si="95"/>
        <v>0</v>
      </c>
      <c r="R236" s="501">
        <f t="shared" si="95"/>
        <v>0</v>
      </c>
      <c r="S236" s="501">
        <f t="shared" si="95"/>
        <v>0</v>
      </c>
      <c r="T236" s="501">
        <f t="shared" si="95"/>
        <v>0</v>
      </c>
      <c r="U236" s="501">
        <f t="shared" si="95"/>
        <v>0</v>
      </c>
      <c r="V236" s="501">
        <f t="shared" si="95"/>
        <v>0</v>
      </c>
      <c r="W236" s="501">
        <f t="shared" si="95"/>
        <v>0</v>
      </c>
      <c r="X236" s="501">
        <f t="shared" si="95"/>
        <v>0</v>
      </c>
      <c r="Y236" s="501">
        <f t="shared" si="95"/>
        <v>0</v>
      </c>
      <c r="Z236" s="501">
        <f t="shared" si="95"/>
        <v>0</v>
      </c>
      <c r="AA236" s="501">
        <f t="shared" si="95"/>
        <v>0</v>
      </c>
      <c r="AB236" s="501">
        <f t="shared" si="95"/>
        <v>0</v>
      </c>
      <c r="AC236" s="501">
        <f t="shared" si="95"/>
        <v>0</v>
      </c>
      <c r="AD236" s="501">
        <f t="shared" si="95"/>
        <v>0</v>
      </c>
      <c r="AE236" s="501">
        <f t="shared" si="95"/>
        <v>0</v>
      </c>
      <c r="AF236" s="501">
        <f t="shared" si="95"/>
        <v>0</v>
      </c>
      <c r="AG236" s="501">
        <f t="shared" si="95"/>
        <v>0</v>
      </c>
      <c r="AH236" s="501">
        <f t="shared" si="95"/>
        <v>0</v>
      </c>
      <c r="AI236" s="501">
        <f t="shared" si="95"/>
        <v>0</v>
      </c>
      <c r="AJ236" s="501">
        <f t="shared" si="95"/>
        <v>0</v>
      </c>
      <c r="AK236" s="501">
        <f t="shared" si="95"/>
        <v>0</v>
      </c>
      <c r="AL236" s="501">
        <f t="shared" si="95"/>
        <v>0</v>
      </c>
      <c r="AM236" s="501">
        <f t="shared" si="95"/>
        <v>0</v>
      </c>
      <c r="AN236" s="501">
        <f t="shared" si="95"/>
        <v>0</v>
      </c>
    </row>
    <row r="237" spans="1:40" s="599" customFormat="1" x14ac:dyDescent="0.3">
      <c r="A237" s="440"/>
      <c r="B237" s="440"/>
      <c r="C237" s="440"/>
      <c r="D237" s="440"/>
      <c r="E237" s="440"/>
      <c r="F237" s="440"/>
      <c r="G237" s="440"/>
      <c r="H237" s="440"/>
      <c r="I237" s="440"/>
      <c r="J237" s="440"/>
      <c r="K237" s="440"/>
      <c r="L237" s="440"/>
      <c r="M237" s="440"/>
      <c r="N237" s="440"/>
      <c r="O237" s="440"/>
      <c r="P237" s="440"/>
      <c r="Q237" s="440"/>
      <c r="R237" s="440"/>
      <c r="S237" s="440"/>
      <c r="T237" s="440"/>
      <c r="U237" s="440"/>
      <c r="V237" s="440"/>
      <c r="W237" s="440"/>
      <c r="X237" s="440"/>
      <c r="Y237" s="440"/>
      <c r="Z237" s="440"/>
      <c r="AA237" s="440"/>
      <c r="AB237" s="440"/>
      <c r="AC237" s="440"/>
      <c r="AD237" s="440"/>
      <c r="AE237" s="440"/>
      <c r="AF237" s="440"/>
      <c r="AG237" s="440"/>
      <c r="AH237" s="440"/>
      <c r="AI237" s="440"/>
      <c r="AJ237" s="440"/>
      <c r="AK237" s="440"/>
      <c r="AL237" s="440"/>
      <c r="AM237" s="440"/>
      <c r="AN237" s="440"/>
    </row>
    <row r="238" spans="1:40" s="599" customFormat="1" x14ac:dyDescent="0.3">
      <c r="A238" s="440"/>
      <c r="B238" s="440"/>
      <c r="C238" s="440"/>
      <c r="D238" s="440"/>
      <c r="E238" s="440"/>
      <c r="F238" s="440"/>
      <c r="G238" s="440"/>
      <c r="H238" s="440"/>
      <c r="I238" s="440"/>
      <c r="J238" s="440"/>
      <c r="K238" s="440"/>
      <c r="L238" s="440"/>
      <c r="M238" s="440"/>
      <c r="N238" s="440"/>
      <c r="O238" s="440"/>
      <c r="P238" s="440"/>
      <c r="Q238" s="440"/>
      <c r="R238" s="440"/>
      <c r="S238" s="440"/>
      <c r="T238" s="440"/>
      <c r="U238" s="440"/>
      <c r="V238" s="440"/>
      <c r="W238" s="440"/>
      <c r="X238" s="440"/>
      <c r="Y238" s="440"/>
      <c r="Z238" s="440"/>
      <c r="AA238" s="440"/>
      <c r="AB238" s="440"/>
      <c r="AC238" s="440"/>
      <c r="AD238" s="440"/>
      <c r="AE238" s="440"/>
      <c r="AF238" s="440"/>
      <c r="AG238" s="440"/>
      <c r="AH238" s="440"/>
      <c r="AI238" s="440"/>
      <c r="AJ238" s="440"/>
      <c r="AK238" s="440"/>
      <c r="AL238" s="440"/>
      <c r="AM238" s="440"/>
      <c r="AN238" s="440"/>
    </row>
    <row r="239" spans="1:40" s="599" customFormat="1" x14ac:dyDescent="0.3">
      <c r="A239" s="986" t="s">
        <v>131</v>
      </c>
      <c r="B239" s="986"/>
      <c r="C239" s="986"/>
      <c r="D239" s="986"/>
      <c r="E239" s="986"/>
      <c r="F239" s="986"/>
      <c r="G239" s="986"/>
      <c r="H239" s="986"/>
      <c r="I239" s="986"/>
      <c r="J239" s="986"/>
      <c r="K239" s="986"/>
      <c r="L239" s="986"/>
      <c r="M239" s="986"/>
      <c r="N239" s="986"/>
      <c r="O239" s="986"/>
      <c r="P239" s="986"/>
      <c r="Q239" s="986"/>
      <c r="R239" s="986"/>
      <c r="S239" s="986"/>
      <c r="T239" s="986"/>
      <c r="U239" s="986"/>
      <c r="V239" s="986"/>
      <c r="W239" s="986"/>
      <c r="X239" s="986"/>
      <c r="Y239" s="986"/>
      <c r="Z239" s="986"/>
      <c r="AA239" s="986"/>
      <c r="AB239" s="986"/>
      <c r="AC239" s="986"/>
      <c r="AD239" s="986"/>
      <c r="AE239" s="986"/>
      <c r="AF239" s="986"/>
      <c r="AG239" s="986"/>
      <c r="AH239" s="986"/>
      <c r="AI239" s="986"/>
      <c r="AJ239" s="986"/>
      <c r="AK239" s="986"/>
      <c r="AL239" s="986"/>
      <c r="AM239" s="986"/>
      <c r="AN239" s="986"/>
    </row>
    <row r="240" spans="1:40" s="599" customFormat="1" x14ac:dyDescent="0.3">
      <c r="A240" s="590" t="s">
        <v>292</v>
      </c>
      <c r="B240" s="590" t="s">
        <v>149</v>
      </c>
      <c r="C240" s="591"/>
      <c r="D240" s="591"/>
      <c r="E240" s="591"/>
      <c r="F240" s="591"/>
      <c r="G240" s="591"/>
      <c r="H240" s="591"/>
      <c r="I240" s="591"/>
      <c r="J240" s="591"/>
      <c r="K240" s="591"/>
      <c r="L240" s="591"/>
      <c r="M240" s="591"/>
      <c r="N240" s="591"/>
      <c r="O240" s="591"/>
      <c r="P240" s="591"/>
      <c r="Q240" s="591"/>
      <c r="R240" s="591"/>
      <c r="S240" s="591"/>
      <c r="T240" s="591"/>
      <c r="U240" s="591"/>
      <c r="V240" s="591"/>
      <c r="W240" s="591"/>
      <c r="X240" s="591"/>
      <c r="Y240" s="591"/>
      <c r="Z240" s="591"/>
      <c r="AA240" s="591"/>
      <c r="AB240" s="591" t="s">
        <v>149</v>
      </c>
      <c r="AC240" s="591"/>
      <c r="AD240" s="591"/>
      <c r="AE240" s="591"/>
      <c r="AF240" s="591"/>
      <c r="AG240" s="591"/>
      <c r="AH240" s="591"/>
      <c r="AI240" s="591"/>
      <c r="AJ240" s="591"/>
      <c r="AK240" s="591"/>
      <c r="AL240" s="591"/>
      <c r="AM240" s="591"/>
      <c r="AN240" s="591"/>
    </row>
    <row r="241" spans="1:40" s="599" customFormat="1" x14ac:dyDescent="0.3">
      <c r="A241" s="590" t="s">
        <v>226</v>
      </c>
      <c r="B241" s="590" t="s">
        <v>419</v>
      </c>
      <c r="C241" s="591"/>
      <c r="D241" s="591"/>
      <c r="E241" s="591"/>
      <c r="F241" s="591"/>
      <c r="G241" s="591"/>
      <c r="H241" s="591"/>
      <c r="I241" s="591"/>
      <c r="J241" s="591"/>
      <c r="K241" s="591"/>
      <c r="L241" s="591"/>
      <c r="M241" s="591"/>
      <c r="N241" s="591"/>
      <c r="O241" s="591"/>
      <c r="P241" s="591"/>
      <c r="Q241" s="591"/>
      <c r="R241" s="591"/>
      <c r="S241" s="591"/>
      <c r="T241" s="591"/>
      <c r="U241" s="591"/>
      <c r="V241" s="591"/>
      <c r="W241" s="591"/>
      <c r="X241" s="591"/>
      <c r="Y241" s="591"/>
      <c r="Z241" s="591"/>
      <c r="AA241" s="591"/>
      <c r="AB241" s="600" t="s">
        <v>399</v>
      </c>
      <c r="AC241" s="591"/>
      <c r="AD241" s="591"/>
      <c r="AE241" s="591"/>
      <c r="AF241" s="591"/>
      <c r="AG241" s="591"/>
      <c r="AH241" s="591"/>
      <c r="AI241" s="591"/>
      <c r="AJ241" s="591"/>
      <c r="AK241" s="591"/>
      <c r="AL241" s="591"/>
      <c r="AM241" s="591"/>
      <c r="AN241" s="591"/>
    </row>
    <row r="242" spans="1:40" s="599" customFormat="1" x14ac:dyDescent="0.3">
      <c r="A242" s="591"/>
      <c r="B242" s="591"/>
      <c r="C242" s="591"/>
      <c r="D242" s="591"/>
      <c r="E242" s="591"/>
      <c r="F242" s="591"/>
      <c r="G242" s="591"/>
      <c r="H242" s="591"/>
      <c r="I242" s="591"/>
      <c r="J242" s="591"/>
      <c r="K242" s="591"/>
      <c r="L242" s="591"/>
      <c r="M242" s="591"/>
      <c r="N242" s="591"/>
      <c r="O242" s="591"/>
      <c r="P242" s="591"/>
      <c r="Q242" s="591"/>
      <c r="R242" s="591"/>
      <c r="S242" s="591"/>
      <c r="T242" s="591"/>
      <c r="U242" s="591"/>
      <c r="V242" s="591"/>
      <c r="W242" s="591"/>
      <c r="X242" s="591"/>
      <c r="Y242" s="591"/>
      <c r="Z242" s="591"/>
      <c r="AA242" s="591"/>
      <c r="AB242" s="591"/>
      <c r="AC242" s="591"/>
      <c r="AD242" s="591"/>
      <c r="AE242" s="591"/>
      <c r="AF242" s="591"/>
      <c r="AG242" s="591"/>
      <c r="AH242" s="591"/>
      <c r="AI242" s="591"/>
      <c r="AJ242" s="591"/>
      <c r="AK242" s="591"/>
      <c r="AL242" s="591"/>
      <c r="AM242" s="591"/>
      <c r="AN242" s="591"/>
    </row>
    <row r="243" spans="1:40" s="599" customFormat="1" x14ac:dyDescent="0.3">
      <c r="A243" s="980" t="s">
        <v>1</v>
      </c>
      <c r="B243" s="980" t="s">
        <v>40</v>
      </c>
      <c r="C243" s="987" t="s">
        <v>118</v>
      </c>
      <c r="D243" s="978" t="s">
        <v>119</v>
      </c>
      <c r="E243" s="978" t="s">
        <v>127</v>
      </c>
      <c r="F243" s="978" t="s">
        <v>124</v>
      </c>
      <c r="G243" s="978" t="s">
        <v>120</v>
      </c>
      <c r="H243" s="978" t="s">
        <v>215</v>
      </c>
      <c r="I243" s="978" t="s">
        <v>122</v>
      </c>
      <c r="J243" s="978" t="s">
        <v>123</v>
      </c>
      <c r="K243" s="978" t="s">
        <v>218</v>
      </c>
      <c r="L243" s="978" t="s">
        <v>126</v>
      </c>
      <c r="M243" s="978" t="s">
        <v>125</v>
      </c>
      <c r="N243" s="978" t="s">
        <v>130</v>
      </c>
      <c r="O243" s="978" t="s">
        <v>216</v>
      </c>
      <c r="P243" s="987" t="s">
        <v>121</v>
      </c>
      <c r="Q243" s="978" t="s">
        <v>45</v>
      </c>
      <c r="R243" s="978" t="s">
        <v>217</v>
      </c>
      <c r="S243" s="978" t="s">
        <v>219</v>
      </c>
      <c r="T243" s="978" t="s">
        <v>128</v>
      </c>
      <c r="U243" s="978" t="s">
        <v>221</v>
      </c>
      <c r="V243" s="978" t="s">
        <v>220</v>
      </c>
      <c r="W243" s="978" t="s">
        <v>222</v>
      </c>
      <c r="X243" s="978" t="s">
        <v>223</v>
      </c>
      <c r="Y243" s="978" t="s">
        <v>224</v>
      </c>
      <c r="Z243" s="978" t="s">
        <v>129</v>
      </c>
      <c r="AA243" s="978" t="s">
        <v>415</v>
      </c>
      <c r="AB243" s="981" t="s">
        <v>117</v>
      </c>
      <c r="AC243" s="982" t="s">
        <v>214</v>
      </c>
      <c r="AD243" s="982"/>
      <c r="AE243" s="982"/>
      <c r="AF243" s="592" t="s">
        <v>204</v>
      </c>
      <c r="AG243" s="982" t="s">
        <v>213</v>
      </c>
      <c r="AH243" s="982"/>
      <c r="AI243" s="983" t="s">
        <v>132</v>
      </c>
      <c r="AJ243" s="984"/>
      <c r="AK243" s="984"/>
      <c r="AL243" s="985"/>
      <c r="AM243" s="592" t="s">
        <v>205</v>
      </c>
      <c r="AN243" s="982" t="s">
        <v>206</v>
      </c>
    </row>
    <row r="244" spans="1:40" s="599" customFormat="1" x14ac:dyDescent="0.3">
      <c r="A244" s="980"/>
      <c r="B244" s="980"/>
      <c r="C244" s="988"/>
      <c r="D244" s="979"/>
      <c r="E244" s="979"/>
      <c r="F244" s="979"/>
      <c r="G244" s="979"/>
      <c r="H244" s="979"/>
      <c r="I244" s="979"/>
      <c r="J244" s="979"/>
      <c r="K244" s="979"/>
      <c r="L244" s="979"/>
      <c r="M244" s="979"/>
      <c r="N244" s="979"/>
      <c r="O244" s="979"/>
      <c r="P244" s="988"/>
      <c r="Q244" s="979"/>
      <c r="R244" s="979"/>
      <c r="S244" s="979"/>
      <c r="T244" s="979"/>
      <c r="U244" s="979"/>
      <c r="V244" s="979"/>
      <c r="W244" s="979"/>
      <c r="X244" s="979"/>
      <c r="Y244" s="979"/>
      <c r="Z244" s="979"/>
      <c r="AA244" s="979"/>
      <c r="AB244" s="981"/>
      <c r="AC244" s="593" t="s">
        <v>193</v>
      </c>
      <c r="AD244" s="593" t="s">
        <v>192</v>
      </c>
      <c r="AE244" s="593" t="s">
        <v>191</v>
      </c>
      <c r="AF244" s="594" t="s">
        <v>207</v>
      </c>
      <c r="AG244" s="593" t="s">
        <v>208</v>
      </c>
      <c r="AH244" s="593" t="s">
        <v>209</v>
      </c>
      <c r="AI244" s="593" t="s">
        <v>210</v>
      </c>
      <c r="AJ244" s="593" t="s">
        <v>211</v>
      </c>
      <c r="AK244" s="593" t="s">
        <v>88</v>
      </c>
      <c r="AL244" s="593" t="s">
        <v>18</v>
      </c>
      <c r="AM244" s="594" t="s">
        <v>212</v>
      </c>
      <c r="AN244" s="982"/>
    </row>
    <row r="245" spans="1:40" s="599" customFormat="1" x14ac:dyDescent="0.3">
      <c r="A245" s="595">
        <v>1</v>
      </c>
      <c r="B245" s="595" t="s">
        <v>371</v>
      </c>
      <c r="C245" s="476"/>
      <c r="D245" s="476"/>
      <c r="E245" s="476"/>
      <c r="F245" s="476"/>
      <c r="G245" s="476"/>
      <c r="H245" s="476"/>
      <c r="I245" s="476"/>
      <c r="J245" s="476"/>
      <c r="K245" s="476"/>
      <c r="L245" s="476"/>
      <c r="M245" s="476"/>
      <c r="N245" s="476"/>
      <c r="O245" s="476"/>
      <c r="P245" s="476"/>
      <c r="Q245" s="476"/>
      <c r="R245" s="476"/>
      <c r="S245" s="476"/>
      <c r="T245" s="476"/>
      <c r="U245" s="476"/>
      <c r="V245" s="476"/>
      <c r="W245" s="476"/>
      <c r="X245" s="476"/>
      <c r="Y245" s="476"/>
      <c r="Z245" s="476"/>
      <c r="AA245" s="476"/>
      <c r="AB245" s="477">
        <f>SUM(C245:AA245)</f>
        <v>0</v>
      </c>
      <c r="AC245" s="477"/>
      <c r="AD245" s="477"/>
      <c r="AE245" s="477"/>
      <c r="AF245" s="477"/>
      <c r="AG245" s="477"/>
      <c r="AH245" s="477"/>
      <c r="AI245" s="477"/>
      <c r="AJ245" s="477"/>
      <c r="AK245" s="477"/>
      <c r="AL245" s="477"/>
      <c r="AM245" s="477"/>
      <c r="AN245" s="477"/>
    </row>
    <row r="246" spans="1:40" s="599" customFormat="1" x14ac:dyDescent="0.3">
      <c r="A246" s="595">
        <v>2</v>
      </c>
      <c r="B246" s="595" t="s">
        <v>372</v>
      </c>
      <c r="C246" s="476"/>
      <c r="D246" s="476"/>
      <c r="E246" s="476"/>
      <c r="F246" s="476"/>
      <c r="G246" s="476"/>
      <c r="H246" s="476"/>
      <c r="I246" s="476"/>
      <c r="J246" s="476"/>
      <c r="K246" s="476"/>
      <c r="L246" s="476"/>
      <c r="M246" s="476"/>
      <c r="N246" s="476"/>
      <c r="O246" s="476"/>
      <c r="P246" s="476"/>
      <c r="Q246" s="476"/>
      <c r="R246" s="476"/>
      <c r="S246" s="476"/>
      <c r="T246" s="476"/>
      <c r="U246" s="476"/>
      <c r="V246" s="476"/>
      <c r="W246" s="476"/>
      <c r="X246" s="476"/>
      <c r="Y246" s="476"/>
      <c r="Z246" s="476"/>
      <c r="AA246" s="477"/>
      <c r="AB246" s="477">
        <f t="shared" ref="AB246:AB259" si="96">SUM(C246:AA246)</f>
        <v>0</v>
      </c>
      <c r="AC246" s="477"/>
      <c r="AD246" s="477"/>
      <c r="AE246" s="477"/>
      <c r="AF246" s="477"/>
      <c r="AG246" s="477"/>
      <c r="AH246" s="477"/>
      <c r="AI246" s="477"/>
      <c r="AJ246" s="477"/>
      <c r="AK246" s="477"/>
      <c r="AL246" s="477"/>
      <c r="AM246" s="477"/>
      <c r="AN246" s="477"/>
    </row>
    <row r="247" spans="1:40" s="599" customFormat="1" x14ac:dyDescent="0.3">
      <c r="A247" s="595">
        <v>3</v>
      </c>
      <c r="B247" s="595" t="s">
        <v>373</v>
      </c>
      <c r="C247" s="476"/>
      <c r="D247" s="476"/>
      <c r="E247" s="476"/>
      <c r="F247" s="476"/>
      <c r="G247" s="476"/>
      <c r="H247" s="476"/>
      <c r="I247" s="476"/>
      <c r="J247" s="476"/>
      <c r="K247" s="476"/>
      <c r="L247" s="476"/>
      <c r="M247" s="476"/>
      <c r="N247" s="476"/>
      <c r="O247" s="476"/>
      <c r="P247" s="476"/>
      <c r="Q247" s="476"/>
      <c r="R247" s="476"/>
      <c r="S247" s="476"/>
      <c r="T247" s="476"/>
      <c r="U247" s="476"/>
      <c r="V247" s="476"/>
      <c r="W247" s="476"/>
      <c r="X247" s="476"/>
      <c r="Y247" s="476"/>
      <c r="Z247" s="476"/>
      <c r="AA247" s="477"/>
      <c r="AB247" s="477">
        <f t="shared" si="96"/>
        <v>0</v>
      </c>
      <c r="AC247" s="477"/>
      <c r="AD247" s="477"/>
      <c r="AE247" s="477"/>
      <c r="AF247" s="477"/>
      <c r="AG247" s="477"/>
      <c r="AH247" s="477"/>
      <c r="AI247" s="477"/>
      <c r="AJ247" s="477"/>
      <c r="AK247" s="477"/>
      <c r="AL247" s="477"/>
      <c r="AM247" s="477"/>
      <c r="AN247" s="477"/>
    </row>
    <row r="248" spans="1:40" s="599" customFormat="1" x14ac:dyDescent="0.3">
      <c r="A248" s="595">
        <v>4</v>
      </c>
      <c r="B248" s="595" t="s">
        <v>374</v>
      </c>
      <c r="C248" s="476"/>
      <c r="D248" s="476"/>
      <c r="E248" s="476"/>
      <c r="F248" s="476"/>
      <c r="G248" s="476"/>
      <c r="H248" s="476"/>
      <c r="I248" s="476"/>
      <c r="J248" s="476"/>
      <c r="K248" s="476"/>
      <c r="L248" s="476"/>
      <c r="M248" s="476"/>
      <c r="N248" s="476"/>
      <c r="O248" s="476"/>
      <c r="P248" s="476"/>
      <c r="Q248" s="476"/>
      <c r="R248" s="476"/>
      <c r="S248" s="476"/>
      <c r="T248" s="476"/>
      <c r="U248" s="476"/>
      <c r="V248" s="476"/>
      <c r="W248" s="476"/>
      <c r="X248" s="476"/>
      <c r="Y248" s="476"/>
      <c r="Z248" s="476"/>
      <c r="AA248" s="477"/>
      <c r="AB248" s="477">
        <f t="shared" si="96"/>
        <v>0</v>
      </c>
      <c r="AC248" s="477"/>
      <c r="AD248" s="477"/>
      <c r="AE248" s="477"/>
      <c r="AF248" s="477"/>
      <c r="AG248" s="477"/>
      <c r="AH248" s="477"/>
      <c r="AI248" s="477"/>
      <c r="AJ248" s="477"/>
      <c r="AK248" s="477"/>
      <c r="AL248" s="477"/>
      <c r="AM248" s="477"/>
      <c r="AN248" s="477"/>
    </row>
    <row r="249" spans="1:40" s="599" customFormat="1" x14ac:dyDescent="0.3">
      <c r="A249" s="595">
        <v>5</v>
      </c>
      <c r="B249" s="595" t="s">
        <v>375</v>
      </c>
      <c r="C249" s="477"/>
      <c r="D249" s="477"/>
      <c r="E249" s="477"/>
      <c r="F249" s="477"/>
      <c r="G249" s="477"/>
      <c r="H249" s="477"/>
      <c r="I249" s="477"/>
      <c r="J249" s="477"/>
      <c r="K249" s="477"/>
      <c r="L249" s="477"/>
      <c r="M249" s="477"/>
      <c r="N249" s="477"/>
      <c r="O249" s="477"/>
      <c r="P249" s="477"/>
      <c r="Q249" s="477"/>
      <c r="R249" s="477"/>
      <c r="S249" s="477"/>
      <c r="T249" s="477"/>
      <c r="U249" s="477"/>
      <c r="V249" s="477"/>
      <c r="W249" s="477"/>
      <c r="X249" s="477"/>
      <c r="Y249" s="477"/>
      <c r="Z249" s="477"/>
      <c r="AA249" s="477"/>
      <c r="AB249" s="477">
        <f t="shared" si="96"/>
        <v>0</v>
      </c>
      <c r="AC249" s="477"/>
      <c r="AD249" s="477"/>
      <c r="AE249" s="477"/>
      <c r="AF249" s="477"/>
      <c r="AG249" s="477"/>
      <c r="AH249" s="477"/>
      <c r="AI249" s="477"/>
      <c r="AJ249" s="477"/>
      <c r="AK249" s="477"/>
      <c r="AL249" s="477"/>
      <c r="AM249" s="477"/>
      <c r="AN249" s="477"/>
    </row>
    <row r="250" spans="1:40" s="599" customFormat="1" x14ac:dyDescent="0.3">
      <c r="A250" s="595">
        <v>6</v>
      </c>
      <c r="B250" s="595" t="s">
        <v>414</v>
      </c>
      <c r="C250" s="476"/>
      <c r="D250" s="476"/>
      <c r="E250" s="476"/>
      <c r="F250" s="476"/>
      <c r="G250" s="476"/>
      <c r="H250" s="476"/>
      <c r="I250" s="476"/>
      <c r="J250" s="476"/>
      <c r="K250" s="476"/>
      <c r="L250" s="476"/>
      <c r="M250" s="476"/>
      <c r="N250" s="476"/>
      <c r="O250" s="476"/>
      <c r="P250" s="476"/>
      <c r="Q250" s="476"/>
      <c r="R250" s="476"/>
      <c r="S250" s="476"/>
      <c r="T250" s="476"/>
      <c r="U250" s="476"/>
      <c r="V250" s="476"/>
      <c r="W250" s="476"/>
      <c r="X250" s="476"/>
      <c r="Y250" s="476"/>
      <c r="Z250" s="476"/>
      <c r="AA250" s="477"/>
      <c r="AB250" s="477">
        <f t="shared" si="96"/>
        <v>0</v>
      </c>
      <c r="AC250" s="477"/>
      <c r="AD250" s="477"/>
      <c r="AE250" s="477"/>
      <c r="AF250" s="477"/>
      <c r="AG250" s="477"/>
      <c r="AH250" s="477"/>
      <c r="AI250" s="477"/>
      <c r="AJ250" s="477"/>
      <c r="AK250" s="477"/>
      <c r="AL250" s="477"/>
      <c r="AM250" s="477"/>
      <c r="AN250" s="477"/>
    </row>
    <row r="251" spans="1:40" s="599" customFormat="1" x14ac:dyDescent="0.3">
      <c r="A251" s="595">
        <v>7</v>
      </c>
      <c r="B251" s="595" t="s">
        <v>376</v>
      </c>
      <c r="C251" s="476"/>
      <c r="D251" s="476"/>
      <c r="E251" s="476"/>
      <c r="F251" s="476"/>
      <c r="G251" s="476"/>
      <c r="H251" s="476"/>
      <c r="I251" s="476"/>
      <c r="J251" s="476"/>
      <c r="K251" s="476"/>
      <c r="L251" s="476"/>
      <c r="M251" s="476"/>
      <c r="N251" s="476"/>
      <c r="O251" s="476"/>
      <c r="P251" s="476"/>
      <c r="Q251" s="476"/>
      <c r="R251" s="476"/>
      <c r="S251" s="476"/>
      <c r="T251" s="476"/>
      <c r="U251" s="476"/>
      <c r="V251" s="476"/>
      <c r="W251" s="476"/>
      <c r="X251" s="476"/>
      <c r="Y251" s="476"/>
      <c r="Z251" s="476"/>
      <c r="AA251" s="477"/>
      <c r="AB251" s="477">
        <f t="shared" si="96"/>
        <v>0</v>
      </c>
      <c r="AC251" s="477"/>
      <c r="AD251" s="477"/>
      <c r="AE251" s="477"/>
      <c r="AF251" s="477"/>
      <c r="AG251" s="477"/>
      <c r="AH251" s="477"/>
      <c r="AI251" s="477"/>
      <c r="AJ251" s="477"/>
      <c r="AK251" s="477"/>
      <c r="AL251" s="477"/>
      <c r="AM251" s="477"/>
      <c r="AN251" s="477"/>
    </row>
    <row r="252" spans="1:40" s="599" customFormat="1" x14ac:dyDescent="0.3">
      <c r="A252" s="595">
        <v>8</v>
      </c>
      <c r="B252" s="595" t="s">
        <v>377</v>
      </c>
      <c r="C252" s="561"/>
      <c r="D252" s="561"/>
      <c r="E252" s="561"/>
      <c r="F252" s="561"/>
      <c r="G252" s="561"/>
      <c r="H252" s="561"/>
      <c r="I252" s="561"/>
      <c r="J252" s="561"/>
      <c r="K252" s="561"/>
      <c r="L252" s="561"/>
      <c r="M252" s="561"/>
      <c r="N252" s="561"/>
      <c r="O252" s="561"/>
      <c r="P252" s="561"/>
      <c r="Q252" s="561"/>
      <c r="R252" s="561"/>
      <c r="S252" s="561"/>
      <c r="T252" s="561"/>
      <c r="U252" s="561"/>
      <c r="V252" s="561"/>
      <c r="W252" s="561"/>
      <c r="X252" s="561"/>
      <c r="Y252" s="561"/>
      <c r="Z252" s="561"/>
      <c r="AA252" s="477"/>
      <c r="AB252" s="477">
        <f t="shared" si="96"/>
        <v>0</v>
      </c>
      <c r="AC252" s="477"/>
      <c r="AD252" s="477"/>
      <c r="AE252" s="477"/>
      <c r="AF252" s="477"/>
      <c r="AG252" s="477"/>
      <c r="AH252" s="477"/>
      <c r="AI252" s="477"/>
      <c r="AJ252" s="477"/>
      <c r="AK252" s="477"/>
      <c r="AL252" s="477"/>
      <c r="AM252" s="477"/>
      <c r="AN252" s="477"/>
    </row>
    <row r="253" spans="1:40" s="599" customFormat="1" x14ac:dyDescent="0.3">
      <c r="A253" s="595">
        <v>9</v>
      </c>
      <c r="B253" s="595" t="s">
        <v>378</v>
      </c>
      <c r="C253" s="476"/>
      <c r="D253" s="476"/>
      <c r="E253" s="476"/>
      <c r="F253" s="476"/>
      <c r="G253" s="476"/>
      <c r="H253" s="476"/>
      <c r="I253" s="476"/>
      <c r="J253" s="476"/>
      <c r="K253" s="476"/>
      <c r="L253" s="476"/>
      <c r="M253" s="476"/>
      <c r="N253" s="476"/>
      <c r="O253" s="476"/>
      <c r="P253" s="476"/>
      <c r="Q253" s="476"/>
      <c r="R253" s="476"/>
      <c r="S253" s="476"/>
      <c r="T253" s="476"/>
      <c r="U253" s="476"/>
      <c r="V253" s="476"/>
      <c r="W253" s="476"/>
      <c r="X253" s="476"/>
      <c r="Y253" s="476"/>
      <c r="Z253" s="476"/>
      <c r="AA253" s="477"/>
      <c r="AB253" s="477">
        <f t="shared" si="96"/>
        <v>0</v>
      </c>
      <c r="AC253" s="477"/>
      <c r="AD253" s="477"/>
      <c r="AE253" s="477"/>
      <c r="AF253" s="477"/>
      <c r="AG253" s="477"/>
      <c r="AH253" s="477"/>
      <c r="AI253" s="477"/>
      <c r="AJ253" s="477"/>
      <c r="AK253" s="477"/>
      <c r="AL253" s="477"/>
      <c r="AM253" s="477"/>
      <c r="AN253" s="477"/>
    </row>
    <row r="254" spans="1:40" s="599" customFormat="1" x14ac:dyDescent="0.3">
      <c r="A254" s="595">
        <v>10</v>
      </c>
      <c r="B254" s="595" t="s">
        <v>379</v>
      </c>
      <c r="C254" s="476"/>
      <c r="D254" s="476"/>
      <c r="E254" s="476"/>
      <c r="F254" s="476"/>
      <c r="G254" s="476"/>
      <c r="H254" s="476"/>
      <c r="I254" s="476"/>
      <c r="J254" s="476"/>
      <c r="K254" s="476"/>
      <c r="L254" s="476"/>
      <c r="M254" s="476"/>
      <c r="N254" s="476"/>
      <c r="O254" s="476"/>
      <c r="P254" s="476"/>
      <c r="Q254" s="476"/>
      <c r="R254" s="476"/>
      <c r="S254" s="476"/>
      <c r="T254" s="476"/>
      <c r="U254" s="476"/>
      <c r="V254" s="476"/>
      <c r="W254" s="476"/>
      <c r="X254" s="476"/>
      <c r="Y254" s="476"/>
      <c r="Z254" s="476"/>
      <c r="AA254" s="477"/>
      <c r="AB254" s="477">
        <f t="shared" si="96"/>
        <v>0</v>
      </c>
      <c r="AC254" s="477"/>
      <c r="AD254" s="477"/>
      <c r="AE254" s="477"/>
      <c r="AF254" s="477"/>
      <c r="AG254" s="477"/>
      <c r="AH254" s="477"/>
      <c r="AI254" s="477"/>
      <c r="AJ254" s="477"/>
      <c r="AK254" s="477"/>
      <c r="AL254" s="477"/>
      <c r="AM254" s="477"/>
      <c r="AN254" s="477"/>
    </row>
    <row r="255" spans="1:40" s="599" customFormat="1" x14ac:dyDescent="0.3">
      <c r="A255" s="595">
        <v>11</v>
      </c>
      <c r="B255" s="595" t="s">
        <v>380</v>
      </c>
      <c r="C255" s="476"/>
      <c r="D255" s="476"/>
      <c r="E255" s="476"/>
      <c r="F255" s="476"/>
      <c r="G255" s="476"/>
      <c r="H255" s="476"/>
      <c r="I255" s="476"/>
      <c r="J255" s="476"/>
      <c r="K255" s="476"/>
      <c r="L255" s="476"/>
      <c r="M255" s="476"/>
      <c r="N255" s="476"/>
      <c r="O255" s="476"/>
      <c r="P255" s="476"/>
      <c r="Q255" s="476"/>
      <c r="R255" s="476"/>
      <c r="S255" s="476"/>
      <c r="T255" s="476"/>
      <c r="U255" s="476"/>
      <c r="V255" s="476"/>
      <c r="W255" s="476"/>
      <c r="X255" s="476"/>
      <c r="Y255" s="476"/>
      <c r="Z255" s="476"/>
      <c r="AA255" s="477"/>
      <c r="AB255" s="477">
        <f t="shared" si="96"/>
        <v>0</v>
      </c>
      <c r="AC255" s="477"/>
      <c r="AD255" s="477"/>
      <c r="AE255" s="477"/>
      <c r="AF255" s="477"/>
      <c r="AG255" s="477"/>
      <c r="AH255" s="477"/>
      <c r="AI255" s="477"/>
      <c r="AJ255" s="477"/>
      <c r="AK255" s="477"/>
      <c r="AL255" s="477"/>
      <c r="AM255" s="477"/>
      <c r="AN255" s="477"/>
    </row>
    <row r="256" spans="1:40" s="599" customFormat="1" x14ac:dyDescent="0.3">
      <c r="A256" s="595">
        <v>12</v>
      </c>
      <c r="B256" s="595" t="s">
        <v>381</v>
      </c>
      <c r="C256" s="476"/>
      <c r="D256" s="476"/>
      <c r="E256" s="476"/>
      <c r="F256" s="476"/>
      <c r="G256" s="476"/>
      <c r="H256" s="476"/>
      <c r="I256" s="476"/>
      <c r="J256" s="476"/>
      <c r="K256" s="476"/>
      <c r="L256" s="476"/>
      <c r="M256" s="476"/>
      <c r="N256" s="476"/>
      <c r="O256" s="476"/>
      <c r="P256" s="476"/>
      <c r="Q256" s="476"/>
      <c r="R256" s="476"/>
      <c r="S256" s="476"/>
      <c r="T256" s="476"/>
      <c r="U256" s="476"/>
      <c r="V256" s="476"/>
      <c r="W256" s="476"/>
      <c r="X256" s="476"/>
      <c r="Y256" s="476"/>
      <c r="Z256" s="476"/>
      <c r="AA256" s="477"/>
      <c r="AB256" s="477">
        <f t="shared" si="96"/>
        <v>0</v>
      </c>
      <c r="AC256" s="477"/>
      <c r="AD256" s="477"/>
      <c r="AE256" s="477"/>
      <c r="AF256" s="477"/>
      <c r="AG256" s="477"/>
      <c r="AH256" s="477"/>
      <c r="AI256" s="477"/>
      <c r="AJ256" s="477"/>
      <c r="AK256" s="477"/>
      <c r="AL256" s="477"/>
      <c r="AM256" s="477"/>
      <c r="AN256" s="477"/>
    </row>
    <row r="257" spans="1:40" s="599" customFormat="1" x14ac:dyDescent="0.3">
      <c r="A257" s="595">
        <v>13</v>
      </c>
      <c r="B257" s="595" t="s">
        <v>382</v>
      </c>
      <c r="C257" s="476"/>
      <c r="D257" s="476"/>
      <c r="E257" s="476"/>
      <c r="F257" s="476"/>
      <c r="G257" s="476"/>
      <c r="H257" s="476"/>
      <c r="I257" s="476"/>
      <c r="J257" s="476"/>
      <c r="K257" s="476"/>
      <c r="L257" s="476"/>
      <c r="M257" s="476"/>
      <c r="N257" s="476"/>
      <c r="O257" s="476"/>
      <c r="P257" s="476"/>
      <c r="Q257" s="476"/>
      <c r="R257" s="476"/>
      <c r="S257" s="476"/>
      <c r="T257" s="476"/>
      <c r="U257" s="476"/>
      <c r="V257" s="476"/>
      <c r="W257" s="476"/>
      <c r="X257" s="476"/>
      <c r="Y257" s="476"/>
      <c r="Z257" s="476"/>
      <c r="AA257" s="477"/>
      <c r="AB257" s="477">
        <f t="shared" si="96"/>
        <v>0</v>
      </c>
      <c r="AC257" s="477"/>
      <c r="AD257" s="477"/>
      <c r="AE257" s="477"/>
      <c r="AF257" s="477"/>
      <c r="AG257" s="477"/>
      <c r="AH257" s="477"/>
      <c r="AI257" s="477"/>
      <c r="AJ257" s="477"/>
      <c r="AK257" s="477"/>
      <c r="AL257" s="477"/>
      <c r="AM257" s="477"/>
      <c r="AN257" s="477"/>
    </row>
    <row r="258" spans="1:40" s="599" customFormat="1" x14ac:dyDescent="0.3">
      <c r="A258" s="595">
        <v>14</v>
      </c>
      <c r="B258" s="595" t="s">
        <v>383</v>
      </c>
      <c r="C258" s="476"/>
      <c r="D258" s="476"/>
      <c r="E258" s="476"/>
      <c r="F258" s="476"/>
      <c r="G258" s="476"/>
      <c r="H258" s="476"/>
      <c r="I258" s="476"/>
      <c r="J258" s="476"/>
      <c r="K258" s="476"/>
      <c r="L258" s="476"/>
      <c r="M258" s="476"/>
      <c r="N258" s="476"/>
      <c r="O258" s="476"/>
      <c r="P258" s="476"/>
      <c r="Q258" s="476"/>
      <c r="R258" s="476"/>
      <c r="S258" s="476"/>
      <c r="T258" s="476"/>
      <c r="U258" s="476"/>
      <c r="V258" s="476"/>
      <c r="W258" s="476"/>
      <c r="X258" s="476"/>
      <c r="Y258" s="476"/>
      <c r="Z258" s="476"/>
      <c r="AA258" s="477"/>
      <c r="AB258" s="477">
        <f t="shared" si="96"/>
        <v>0</v>
      </c>
      <c r="AC258" s="477"/>
      <c r="AD258" s="477"/>
      <c r="AE258" s="477"/>
      <c r="AF258" s="477"/>
      <c r="AG258" s="477"/>
      <c r="AH258" s="477"/>
      <c r="AI258" s="477"/>
      <c r="AJ258" s="477"/>
      <c r="AK258" s="477"/>
      <c r="AL258" s="477"/>
      <c r="AM258" s="477"/>
      <c r="AN258" s="477"/>
    </row>
    <row r="259" spans="1:40" s="599" customFormat="1" x14ac:dyDescent="0.3">
      <c r="A259" s="595">
        <v>15</v>
      </c>
      <c r="B259" s="477" t="s">
        <v>384</v>
      </c>
      <c r="C259" s="477"/>
      <c r="D259" s="477"/>
      <c r="E259" s="477"/>
      <c r="F259" s="477"/>
      <c r="G259" s="477"/>
      <c r="H259" s="477"/>
      <c r="I259" s="477"/>
      <c r="J259" s="477"/>
      <c r="K259" s="477"/>
      <c r="L259" s="477"/>
      <c r="M259" s="477"/>
      <c r="N259" s="477"/>
      <c r="O259" s="477"/>
      <c r="P259" s="477"/>
      <c r="Q259" s="477"/>
      <c r="R259" s="477"/>
      <c r="S259" s="477"/>
      <c r="T259" s="477"/>
      <c r="U259" s="477"/>
      <c r="V259" s="477"/>
      <c r="W259" s="477"/>
      <c r="X259" s="477"/>
      <c r="Y259" s="477"/>
      <c r="Z259" s="477"/>
      <c r="AA259" s="477"/>
      <c r="AB259" s="477">
        <f t="shared" si="96"/>
        <v>0</v>
      </c>
      <c r="AC259" s="477"/>
      <c r="AD259" s="477"/>
      <c r="AE259" s="477"/>
      <c r="AF259" s="477"/>
      <c r="AG259" s="477"/>
      <c r="AH259" s="477"/>
      <c r="AI259" s="477"/>
      <c r="AJ259" s="477"/>
      <c r="AK259" s="477"/>
      <c r="AL259" s="477"/>
      <c r="AM259" s="477"/>
      <c r="AN259" s="477"/>
    </row>
    <row r="260" spans="1:40" s="599" customFormat="1" x14ac:dyDescent="0.3">
      <c r="A260" s="502"/>
      <c r="B260" s="596" t="s">
        <v>18</v>
      </c>
      <c r="C260" s="501">
        <f>SUM(C245:C259)</f>
        <v>0</v>
      </c>
      <c r="D260" s="501">
        <f t="shared" ref="D260:AN260" si="97">SUM(D245:D259)</f>
        <v>0</v>
      </c>
      <c r="E260" s="501">
        <f t="shared" si="97"/>
        <v>0</v>
      </c>
      <c r="F260" s="501">
        <f t="shared" si="97"/>
        <v>0</v>
      </c>
      <c r="G260" s="501">
        <f t="shared" si="97"/>
        <v>0</v>
      </c>
      <c r="H260" s="501">
        <f t="shared" si="97"/>
        <v>0</v>
      </c>
      <c r="I260" s="501">
        <f t="shared" si="97"/>
        <v>0</v>
      </c>
      <c r="J260" s="501">
        <f t="shared" si="97"/>
        <v>0</v>
      </c>
      <c r="K260" s="501">
        <f t="shared" si="97"/>
        <v>0</v>
      </c>
      <c r="L260" s="501">
        <f t="shared" si="97"/>
        <v>0</v>
      </c>
      <c r="M260" s="501">
        <f t="shared" si="97"/>
        <v>0</v>
      </c>
      <c r="N260" s="501">
        <f t="shared" si="97"/>
        <v>0</v>
      </c>
      <c r="O260" s="501">
        <f t="shared" si="97"/>
        <v>0</v>
      </c>
      <c r="P260" s="501">
        <f t="shared" si="97"/>
        <v>0</v>
      </c>
      <c r="Q260" s="501">
        <f t="shared" si="97"/>
        <v>0</v>
      </c>
      <c r="R260" s="501">
        <f t="shared" si="97"/>
        <v>0</v>
      </c>
      <c r="S260" s="501">
        <f t="shared" si="97"/>
        <v>0</v>
      </c>
      <c r="T260" s="501">
        <f t="shared" si="97"/>
        <v>0</v>
      </c>
      <c r="U260" s="501">
        <f t="shared" si="97"/>
        <v>0</v>
      </c>
      <c r="V260" s="501">
        <f t="shared" si="97"/>
        <v>0</v>
      </c>
      <c r="W260" s="501">
        <f t="shared" si="97"/>
        <v>0</v>
      </c>
      <c r="X260" s="501">
        <f t="shared" si="97"/>
        <v>0</v>
      </c>
      <c r="Y260" s="501">
        <f t="shared" si="97"/>
        <v>0</v>
      </c>
      <c r="Z260" s="501">
        <f t="shared" si="97"/>
        <v>0</v>
      </c>
      <c r="AA260" s="501">
        <f t="shared" si="97"/>
        <v>0</v>
      </c>
      <c r="AB260" s="501">
        <f t="shared" si="97"/>
        <v>0</v>
      </c>
      <c r="AC260" s="501">
        <f t="shared" si="97"/>
        <v>0</v>
      </c>
      <c r="AD260" s="501">
        <f t="shared" si="97"/>
        <v>0</v>
      </c>
      <c r="AE260" s="501">
        <f t="shared" si="97"/>
        <v>0</v>
      </c>
      <c r="AF260" s="501">
        <f t="shared" si="97"/>
        <v>0</v>
      </c>
      <c r="AG260" s="501">
        <f t="shared" si="97"/>
        <v>0</v>
      </c>
      <c r="AH260" s="501">
        <f t="shared" si="97"/>
        <v>0</v>
      </c>
      <c r="AI260" s="501">
        <f t="shared" si="97"/>
        <v>0</v>
      </c>
      <c r="AJ260" s="501">
        <f t="shared" si="97"/>
        <v>0</v>
      </c>
      <c r="AK260" s="501">
        <f t="shared" si="97"/>
        <v>0</v>
      </c>
      <c r="AL260" s="501">
        <f t="shared" si="97"/>
        <v>0</v>
      </c>
      <c r="AM260" s="501">
        <f t="shared" si="97"/>
        <v>0</v>
      </c>
      <c r="AN260" s="501">
        <f t="shared" si="97"/>
        <v>0</v>
      </c>
    </row>
    <row r="261" spans="1:40" s="599" customFormat="1" x14ac:dyDescent="0.3">
      <c r="A261" s="440"/>
      <c r="B261" s="440"/>
      <c r="C261" s="440"/>
      <c r="D261" s="440"/>
      <c r="E261" s="440"/>
      <c r="F261" s="440"/>
      <c r="G261" s="440"/>
      <c r="H261" s="440"/>
      <c r="I261" s="440"/>
      <c r="J261" s="440"/>
      <c r="K261" s="440"/>
      <c r="L261" s="440"/>
      <c r="M261" s="440"/>
      <c r="N261" s="440"/>
      <c r="O261" s="440"/>
      <c r="P261" s="440"/>
      <c r="Q261" s="440"/>
      <c r="R261" s="440"/>
      <c r="S261" s="440"/>
      <c r="T261" s="440"/>
      <c r="U261" s="440"/>
      <c r="V261" s="440"/>
      <c r="W261" s="440"/>
      <c r="X261" s="440"/>
      <c r="Y261" s="440"/>
      <c r="Z261" s="440"/>
      <c r="AA261" s="440"/>
      <c r="AB261" s="440"/>
      <c r="AC261" s="440"/>
      <c r="AD261" s="440"/>
      <c r="AE261" s="440"/>
      <c r="AF261" s="440"/>
      <c r="AG261" s="440"/>
      <c r="AH261" s="440"/>
      <c r="AI261" s="440"/>
      <c r="AJ261" s="440"/>
      <c r="AK261" s="440"/>
      <c r="AL261" s="440"/>
      <c r="AM261" s="440"/>
      <c r="AN261" s="440"/>
    </row>
    <row r="262" spans="1:40" s="599" customFormat="1" x14ac:dyDescent="0.3">
      <c r="A262" s="440"/>
      <c r="B262" s="440"/>
      <c r="C262" s="440"/>
      <c r="D262" s="440"/>
      <c r="E262" s="440"/>
      <c r="F262" s="440"/>
      <c r="G262" s="440"/>
      <c r="H262" s="440"/>
      <c r="I262" s="440"/>
      <c r="J262" s="440"/>
      <c r="K262" s="440"/>
      <c r="L262" s="440"/>
      <c r="M262" s="440"/>
      <c r="N262" s="440"/>
      <c r="O262" s="440"/>
      <c r="P262" s="440"/>
      <c r="Q262" s="440"/>
      <c r="R262" s="440"/>
      <c r="S262" s="440"/>
      <c r="T262" s="440"/>
      <c r="U262" s="440"/>
      <c r="V262" s="440"/>
      <c r="W262" s="440"/>
      <c r="X262" s="440"/>
      <c r="Y262" s="440"/>
      <c r="Z262" s="440"/>
      <c r="AA262" s="440"/>
      <c r="AB262" s="440"/>
      <c r="AC262" s="440"/>
      <c r="AD262" s="440"/>
      <c r="AE262" s="440"/>
      <c r="AF262" s="440"/>
      <c r="AG262" s="440"/>
      <c r="AH262" s="440"/>
      <c r="AI262" s="440"/>
      <c r="AJ262" s="440"/>
      <c r="AK262" s="440"/>
      <c r="AL262" s="440"/>
      <c r="AM262" s="440"/>
      <c r="AN262" s="440"/>
    </row>
    <row r="263" spans="1:40" s="599" customFormat="1" x14ac:dyDescent="0.3">
      <c r="A263" s="986" t="s">
        <v>131</v>
      </c>
      <c r="B263" s="986"/>
      <c r="C263" s="986"/>
      <c r="D263" s="986"/>
      <c r="E263" s="986"/>
      <c r="F263" s="986"/>
      <c r="G263" s="986"/>
      <c r="H263" s="986"/>
      <c r="I263" s="986"/>
      <c r="J263" s="986"/>
      <c r="K263" s="986"/>
      <c r="L263" s="986"/>
      <c r="M263" s="986"/>
      <c r="N263" s="986"/>
      <c r="O263" s="986"/>
      <c r="P263" s="986"/>
      <c r="Q263" s="986"/>
      <c r="R263" s="986"/>
      <c r="S263" s="986"/>
      <c r="T263" s="986"/>
      <c r="U263" s="986"/>
      <c r="V263" s="986"/>
      <c r="W263" s="986"/>
      <c r="X263" s="986"/>
      <c r="Y263" s="986"/>
      <c r="Z263" s="986"/>
      <c r="AA263" s="986"/>
      <c r="AB263" s="986"/>
      <c r="AC263" s="986"/>
      <c r="AD263" s="986"/>
      <c r="AE263" s="986"/>
      <c r="AF263" s="986"/>
      <c r="AG263" s="986"/>
      <c r="AH263" s="986"/>
      <c r="AI263" s="986"/>
      <c r="AJ263" s="986"/>
      <c r="AK263" s="986"/>
      <c r="AL263" s="986"/>
      <c r="AM263" s="986"/>
      <c r="AN263" s="986"/>
    </row>
    <row r="264" spans="1:40" s="599" customFormat="1" x14ac:dyDescent="0.3">
      <c r="A264" s="590" t="s">
        <v>292</v>
      </c>
      <c r="B264" s="591" t="s">
        <v>149</v>
      </c>
      <c r="C264" s="591"/>
      <c r="D264" s="591"/>
      <c r="E264" s="591"/>
      <c r="F264" s="591"/>
      <c r="G264" s="591"/>
      <c r="H264" s="591"/>
      <c r="I264" s="591"/>
      <c r="J264" s="591"/>
      <c r="K264" s="591"/>
      <c r="L264" s="591"/>
      <c r="M264" s="591"/>
      <c r="N264" s="591"/>
      <c r="O264" s="591"/>
      <c r="P264" s="591"/>
      <c r="Q264" s="591"/>
      <c r="R264" s="591"/>
      <c r="S264" s="591"/>
      <c r="T264" s="591"/>
      <c r="U264" s="591"/>
      <c r="V264" s="591"/>
      <c r="W264" s="591"/>
      <c r="X264" s="591"/>
      <c r="Y264" s="591"/>
      <c r="Z264" s="591"/>
      <c r="AA264" s="591"/>
      <c r="AB264" s="591" t="s">
        <v>149</v>
      </c>
      <c r="AC264" s="591"/>
      <c r="AD264" s="591"/>
      <c r="AE264" s="591"/>
      <c r="AF264" s="591"/>
      <c r="AG264" s="591"/>
      <c r="AH264" s="591"/>
      <c r="AI264" s="591"/>
      <c r="AJ264" s="591"/>
      <c r="AK264" s="591"/>
      <c r="AL264" s="591"/>
      <c r="AM264" s="591"/>
      <c r="AN264" s="591"/>
    </row>
    <row r="265" spans="1:40" s="599" customFormat="1" x14ac:dyDescent="0.3">
      <c r="A265" s="590" t="s">
        <v>226</v>
      </c>
      <c r="B265" s="591" t="s">
        <v>145</v>
      </c>
      <c r="C265" s="591"/>
      <c r="D265" s="591"/>
      <c r="E265" s="591"/>
      <c r="F265" s="591"/>
      <c r="G265" s="591"/>
      <c r="H265" s="591"/>
      <c r="I265" s="591"/>
      <c r="J265" s="591"/>
      <c r="K265" s="591"/>
      <c r="L265" s="591"/>
      <c r="M265" s="591"/>
      <c r="N265" s="591"/>
      <c r="O265" s="591"/>
      <c r="P265" s="591"/>
      <c r="Q265" s="591"/>
      <c r="R265" s="591"/>
      <c r="S265" s="591"/>
      <c r="T265" s="591"/>
      <c r="U265" s="591"/>
      <c r="V265" s="591"/>
      <c r="W265" s="591"/>
      <c r="X265" s="591"/>
      <c r="Y265" s="591"/>
      <c r="Z265" s="591"/>
      <c r="AA265" s="591"/>
      <c r="AB265" s="600" t="s">
        <v>400</v>
      </c>
      <c r="AC265" s="591"/>
      <c r="AD265" s="591"/>
      <c r="AE265" s="591"/>
      <c r="AF265" s="591"/>
      <c r="AG265" s="591"/>
      <c r="AH265" s="591"/>
      <c r="AI265" s="591"/>
      <c r="AJ265" s="591"/>
      <c r="AK265" s="591"/>
      <c r="AL265" s="591"/>
      <c r="AM265" s="591"/>
      <c r="AN265" s="591"/>
    </row>
    <row r="266" spans="1:40" s="599" customFormat="1" x14ac:dyDescent="0.3">
      <c r="A266" s="591"/>
      <c r="B266" s="591"/>
      <c r="C266" s="591"/>
      <c r="D266" s="591"/>
      <c r="E266" s="591"/>
      <c r="F266" s="591"/>
      <c r="G266" s="591"/>
      <c r="H266" s="591"/>
      <c r="I266" s="591"/>
      <c r="J266" s="591"/>
      <c r="K266" s="591"/>
      <c r="L266" s="591"/>
      <c r="M266" s="591"/>
      <c r="N266" s="591"/>
      <c r="O266" s="591"/>
      <c r="P266" s="591"/>
      <c r="Q266" s="591"/>
      <c r="R266" s="591"/>
      <c r="S266" s="591"/>
      <c r="T266" s="591"/>
      <c r="U266" s="591"/>
      <c r="V266" s="591"/>
      <c r="W266" s="591"/>
      <c r="X266" s="591"/>
      <c r="Y266" s="591"/>
      <c r="Z266" s="591"/>
      <c r="AA266" s="591"/>
      <c r="AB266" s="591"/>
      <c r="AC266" s="591"/>
      <c r="AD266" s="591"/>
      <c r="AE266" s="591"/>
      <c r="AF266" s="591"/>
      <c r="AG266" s="591"/>
      <c r="AH266" s="591"/>
      <c r="AI266" s="591"/>
      <c r="AJ266" s="591"/>
      <c r="AK266" s="591"/>
      <c r="AL266" s="591"/>
      <c r="AM266" s="591"/>
      <c r="AN266" s="591"/>
    </row>
    <row r="267" spans="1:40" s="599" customFormat="1" x14ac:dyDescent="0.3">
      <c r="A267" s="980" t="s">
        <v>1</v>
      </c>
      <c r="B267" s="980" t="s">
        <v>40</v>
      </c>
      <c r="C267" s="987" t="s">
        <v>118</v>
      </c>
      <c r="D267" s="978" t="s">
        <v>119</v>
      </c>
      <c r="E267" s="978" t="s">
        <v>127</v>
      </c>
      <c r="F267" s="978" t="s">
        <v>124</v>
      </c>
      <c r="G267" s="978" t="s">
        <v>120</v>
      </c>
      <c r="H267" s="978" t="s">
        <v>215</v>
      </c>
      <c r="I267" s="978" t="s">
        <v>122</v>
      </c>
      <c r="J267" s="978" t="s">
        <v>123</v>
      </c>
      <c r="K267" s="978" t="s">
        <v>218</v>
      </c>
      <c r="L267" s="978" t="s">
        <v>126</v>
      </c>
      <c r="M267" s="978" t="s">
        <v>125</v>
      </c>
      <c r="N267" s="978" t="s">
        <v>130</v>
      </c>
      <c r="O267" s="978" t="s">
        <v>216</v>
      </c>
      <c r="P267" s="987" t="s">
        <v>121</v>
      </c>
      <c r="Q267" s="978" t="s">
        <v>45</v>
      </c>
      <c r="R267" s="978" t="s">
        <v>217</v>
      </c>
      <c r="S267" s="978" t="s">
        <v>219</v>
      </c>
      <c r="T267" s="978" t="s">
        <v>128</v>
      </c>
      <c r="U267" s="978" t="s">
        <v>221</v>
      </c>
      <c r="V267" s="978" t="s">
        <v>220</v>
      </c>
      <c r="W267" s="978" t="s">
        <v>222</v>
      </c>
      <c r="X267" s="978" t="s">
        <v>223</v>
      </c>
      <c r="Y267" s="978" t="s">
        <v>224</v>
      </c>
      <c r="Z267" s="978" t="s">
        <v>129</v>
      </c>
      <c r="AA267" s="978" t="s">
        <v>415</v>
      </c>
      <c r="AB267" s="981" t="s">
        <v>117</v>
      </c>
      <c r="AC267" s="982" t="s">
        <v>214</v>
      </c>
      <c r="AD267" s="982"/>
      <c r="AE267" s="982"/>
      <c r="AF267" s="592" t="s">
        <v>204</v>
      </c>
      <c r="AG267" s="982" t="s">
        <v>213</v>
      </c>
      <c r="AH267" s="982"/>
      <c r="AI267" s="983" t="s">
        <v>132</v>
      </c>
      <c r="AJ267" s="984"/>
      <c r="AK267" s="984"/>
      <c r="AL267" s="985"/>
      <c r="AM267" s="592" t="s">
        <v>205</v>
      </c>
      <c r="AN267" s="982" t="s">
        <v>206</v>
      </c>
    </row>
    <row r="268" spans="1:40" s="599" customFormat="1" x14ac:dyDescent="0.3">
      <c r="A268" s="980"/>
      <c r="B268" s="980"/>
      <c r="C268" s="988"/>
      <c r="D268" s="979"/>
      <c r="E268" s="979"/>
      <c r="F268" s="979"/>
      <c r="G268" s="979"/>
      <c r="H268" s="979"/>
      <c r="I268" s="979"/>
      <c r="J268" s="979"/>
      <c r="K268" s="979"/>
      <c r="L268" s="979"/>
      <c r="M268" s="979"/>
      <c r="N268" s="979"/>
      <c r="O268" s="979"/>
      <c r="P268" s="988"/>
      <c r="Q268" s="979"/>
      <c r="R268" s="979"/>
      <c r="S268" s="979"/>
      <c r="T268" s="979"/>
      <c r="U268" s="979"/>
      <c r="V268" s="979"/>
      <c r="W268" s="979"/>
      <c r="X268" s="979"/>
      <c r="Y268" s="979"/>
      <c r="Z268" s="979"/>
      <c r="AA268" s="979"/>
      <c r="AB268" s="981"/>
      <c r="AC268" s="593" t="s">
        <v>193</v>
      </c>
      <c r="AD268" s="593" t="s">
        <v>192</v>
      </c>
      <c r="AE268" s="593" t="s">
        <v>191</v>
      </c>
      <c r="AF268" s="594" t="s">
        <v>207</v>
      </c>
      <c r="AG268" s="593" t="s">
        <v>208</v>
      </c>
      <c r="AH268" s="593" t="s">
        <v>209</v>
      </c>
      <c r="AI268" s="593" t="s">
        <v>210</v>
      </c>
      <c r="AJ268" s="593" t="s">
        <v>211</v>
      </c>
      <c r="AK268" s="593" t="s">
        <v>88</v>
      </c>
      <c r="AL268" s="593" t="s">
        <v>18</v>
      </c>
      <c r="AM268" s="594" t="s">
        <v>212</v>
      </c>
      <c r="AN268" s="982"/>
    </row>
    <row r="269" spans="1:40" s="599" customFormat="1" x14ac:dyDescent="0.3">
      <c r="A269" s="595">
        <v>1</v>
      </c>
      <c r="B269" s="595" t="s">
        <v>371</v>
      </c>
      <c r="C269" s="476"/>
      <c r="D269" s="476"/>
      <c r="E269" s="476"/>
      <c r="F269" s="476"/>
      <c r="G269" s="476"/>
      <c r="H269" s="476"/>
      <c r="I269" s="476"/>
      <c r="J269" s="476"/>
      <c r="K269" s="476"/>
      <c r="L269" s="476"/>
      <c r="M269" s="476"/>
      <c r="N269" s="476"/>
      <c r="O269" s="476"/>
      <c r="P269" s="476"/>
      <c r="Q269" s="476"/>
      <c r="R269" s="476"/>
      <c r="S269" s="476"/>
      <c r="T269" s="476"/>
      <c r="U269" s="476"/>
      <c r="V269" s="476"/>
      <c r="W269" s="476"/>
      <c r="X269" s="476"/>
      <c r="Y269" s="476"/>
      <c r="Z269" s="476"/>
      <c r="AA269" s="476"/>
      <c r="AB269" s="477">
        <f>SUM(C269:AA269)</f>
        <v>0</v>
      </c>
      <c r="AC269" s="477"/>
      <c r="AD269" s="477"/>
      <c r="AE269" s="477"/>
      <c r="AF269" s="477"/>
      <c r="AG269" s="477"/>
      <c r="AH269" s="477"/>
      <c r="AI269" s="477"/>
      <c r="AJ269" s="477"/>
      <c r="AK269" s="477"/>
      <c r="AL269" s="477"/>
      <c r="AM269" s="477"/>
      <c r="AN269" s="477"/>
    </row>
    <row r="270" spans="1:40" s="599" customFormat="1" x14ac:dyDescent="0.3">
      <c r="A270" s="595">
        <v>2</v>
      </c>
      <c r="B270" s="595" t="s">
        <v>372</v>
      </c>
      <c r="C270" s="476"/>
      <c r="D270" s="476"/>
      <c r="E270" s="476"/>
      <c r="F270" s="476"/>
      <c r="G270" s="476"/>
      <c r="H270" s="476"/>
      <c r="I270" s="476"/>
      <c r="J270" s="476"/>
      <c r="K270" s="476"/>
      <c r="L270" s="476"/>
      <c r="M270" s="476"/>
      <c r="N270" s="476"/>
      <c r="O270" s="476"/>
      <c r="P270" s="476"/>
      <c r="Q270" s="476"/>
      <c r="R270" s="476"/>
      <c r="S270" s="476"/>
      <c r="T270" s="476"/>
      <c r="U270" s="476"/>
      <c r="V270" s="476"/>
      <c r="W270" s="476"/>
      <c r="X270" s="476"/>
      <c r="Y270" s="476"/>
      <c r="Z270" s="476"/>
      <c r="AA270" s="477"/>
      <c r="AB270" s="477">
        <f t="shared" ref="AB270:AB280" si="98">SUM(C270:Z270)</f>
        <v>0</v>
      </c>
      <c r="AC270" s="477"/>
      <c r="AD270" s="477"/>
      <c r="AE270" s="477"/>
      <c r="AF270" s="477"/>
      <c r="AG270" s="477"/>
      <c r="AH270" s="477"/>
      <c r="AI270" s="477"/>
      <c r="AJ270" s="477"/>
      <c r="AK270" s="477"/>
      <c r="AL270" s="477"/>
      <c r="AM270" s="477"/>
      <c r="AN270" s="477"/>
    </row>
    <row r="271" spans="1:40" s="599" customFormat="1" x14ac:dyDescent="0.3">
      <c r="A271" s="595">
        <v>3</v>
      </c>
      <c r="B271" s="595" t="s">
        <v>373</v>
      </c>
      <c r="C271" s="476"/>
      <c r="D271" s="476"/>
      <c r="E271" s="476"/>
      <c r="F271" s="476"/>
      <c r="G271" s="476"/>
      <c r="H271" s="476"/>
      <c r="I271" s="476"/>
      <c r="J271" s="476"/>
      <c r="K271" s="476"/>
      <c r="L271" s="476"/>
      <c r="M271" s="476"/>
      <c r="N271" s="476"/>
      <c r="O271" s="476"/>
      <c r="P271" s="476"/>
      <c r="Q271" s="476"/>
      <c r="R271" s="476"/>
      <c r="S271" s="476"/>
      <c r="T271" s="476"/>
      <c r="U271" s="476"/>
      <c r="V271" s="476"/>
      <c r="W271" s="476"/>
      <c r="X271" s="476"/>
      <c r="Y271" s="476"/>
      <c r="Z271" s="476"/>
      <c r="AA271" s="477"/>
      <c r="AB271" s="477">
        <f>SUM(C271:AA271)</f>
        <v>0</v>
      </c>
      <c r="AC271" s="477"/>
      <c r="AD271" s="477"/>
      <c r="AE271" s="477"/>
      <c r="AF271" s="477"/>
      <c r="AG271" s="477"/>
      <c r="AH271" s="477"/>
      <c r="AI271" s="477"/>
      <c r="AJ271" s="477"/>
      <c r="AK271" s="477"/>
      <c r="AL271" s="477"/>
      <c r="AM271" s="477"/>
      <c r="AN271" s="477"/>
    </row>
    <row r="272" spans="1:40" s="599" customFormat="1" x14ac:dyDescent="0.3">
      <c r="A272" s="595">
        <v>4</v>
      </c>
      <c r="B272" s="595" t="s">
        <v>374</v>
      </c>
      <c r="C272" s="476"/>
      <c r="D272" s="476"/>
      <c r="E272" s="476"/>
      <c r="F272" s="476"/>
      <c r="G272" s="476"/>
      <c r="H272" s="476"/>
      <c r="I272" s="476"/>
      <c r="J272" s="476"/>
      <c r="K272" s="476"/>
      <c r="L272" s="476"/>
      <c r="M272" s="476"/>
      <c r="N272" s="476"/>
      <c r="O272" s="476"/>
      <c r="P272" s="476"/>
      <c r="Q272" s="476"/>
      <c r="R272" s="476"/>
      <c r="S272" s="476"/>
      <c r="T272" s="476"/>
      <c r="U272" s="476"/>
      <c r="V272" s="476"/>
      <c r="W272" s="476"/>
      <c r="X272" s="476"/>
      <c r="Y272" s="476"/>
      <c r="Z272" s="476"/>
      <c r="AA272" s="477"/>
      <c r="AB272" s="477">
        <f>SUM(C272:AA272)</f>
        <v>0</v>
      </c>
      <c r="AC272" s="477"/>
      <c r="AD272" s="477"/>
      <c r="AE272" s="477"/>
      <c r="AF272" s="477"/>
      <c r="AG272" s="477"/>
      <c r="AH272" s="477"/>
      <c r="AI272" s="477"/>
      <c r="AJ272" s="477"/>
      <c r="AK272" s="477"/>
      <c r="AL272" s="477"/>
      <c r="AM272" s="477"/>
      <c r="AN272" s="477"/>
    </row>
    <row r="273" spans="1:40" s="599" customFormat="1" x14ac:dyDescent="0.3">
      <c r="A273" s="595">
        <v>5</v>
      </c>
      <c r="B273" s="595" t="s">
        <v>375</v>
      </c>
      <c r="C273" s="477"/>
      <c r="D273" s="477"/>
      <c r="E273" s="477"/>
      <c r="F273" s="477"/>
      <c r="G273" s="477"/>
      <c r="H273" s="477"/>
      <c r="I273" s="477"/>
      <c r="J273" s="477"/>
      <c r="K273" s="477"/>
      <c r="L273" s="477"/>
      <c r="M273" s="477"/>
      <c r="N273" s="477"/>
      <c r="O273" s="477"/>
      <c r="P273" s="477"/>
      <c r="Q273" s="477"/>
      <c r="R273" s="477"/>
      <c r="S273" s="477"/>
      <c r="T273" s="477"/>
      <c r="U273" s="477"/>
      <c r="V273" s="477"/>
      <c r="W273" s="477"/>
      <c r="X273" s="477"/>
      <c r="Y273" s="477"/>
      <c r="Z273" s="477"/>
      <c r="AA273" s="477"/>
      <c r="AB273" s="477">
        <f>SUM(C273:AA273)</f>
        <v>0</v>
      </c>
      <c r="AC273" s="477"/>
      <c r="AD273" s="477"/>
      <c r="AE273" s="477"/>
      <c r="AF273" s="477"/>
      <c r="AG273" s="477"/>
      <c r="AH273" s="477"/>
      <c r="AI273" s="477"/>
      <c r="AJ273" s="477"/>
      <c r="AK273" s="477"/>
      <c r="AL273" s="477"/>
      <c r="AM273" s="477"/>
      <c r="AN273" s="477"/>
    </row>
    <row r="274" spans="1:40" s="599" customFormat="1" x14ac:dyDescent="0.3">
      <c r="A274" s="595">
        <v>6</v>
      </c>
      <c r="B274" s="595" t="s">
        <v>414</v>
      </c>
      <c r="C274" s="476"/>
      <c r="D274" s="476"/>
      <c r="E274" s="476"/>
      <c r="F274" s="476"/>
      <c r="G274" s="476"/>
      <c r="H274" s="476"/>
      <c r="I274" s="476"/>
      <c r="J274" s="476"/>
      <c r="K274" s="476"/>
      <c r="L274" s="476"/>
      <c r="M274" s="476"/>
      <c r="N274" s="476"/>
      <c r="O274" s="476"/>
      <c r="P274" s="476"/>
      <c r="Q274" s="476"/>
      <c r="R274" s="476"/>
      <c r="S274" s="476"/>
      <c r="T274" s="476"/>
      <c r="U274" s="476"/>
      <c r="V274" s="476"/>
      <c r="W274" s="476"/>
      <c r="X274" s="476"/>
      <c r="Y274" s="476"/>
      <c r="Z274" s="476"/>
      <c r="AA274" s="477"/>
      <c r="AB274" s="477">
        <f t="shared" si="98"/>
        <v>0</v>
      </c>
      <c r="AC274" s="477"/>
      <c r="AD274" s="477"/>
      <c r="AE274" s="477"/>
      <c r="AF274" s="477"/>
      <c r="AG274" s="477"/>
      <c r="AH274" s="477"/>
      <c r="AI274" s="477"/>
      <c r="AJ274" s="477"/>
      <c r="AK274" s="477"/>
      <c r="AL274" s="477"/>
      <c r="AM274" s="477"/>
      <c r="AN274" s="477"/>
    </row>
    <row r="275" spans="1:40" s="599" customFormat="1" x14ac:dyDescent="0.3">
      <c r="A275" s="595">
        <v>7</v>
      </c>
      <c r="B275" s="595" t="s">
        <v>376</v>
      </c>
      <c r="C275" s="476"/>
      <c r="D275" s="476"/>
      <c r="E275" s="476"/>
      <c r="F275" s="476"/>
      <c r="G275" s="476"/>
      <c r="H275" s="476"/>
      <c r="I275" s="476"/>
      <c r="J275" s="476"/>
      <c r="K275" s="476"/>
      <c r="L275" s="476"/>
      <c r="M275" s="476"/>
      <c r="N275" s="476"/>
      <c r="O275" s="476"/>
      <c r="P275" s="476"/>
      <c r="Q275" s="476"/>
      <c r="R275" s="476"/>
      <c r="S275" s="476"/>
      <c r="T275" s="476"/>
      <c r="U275" s="476"/>
      <c r="V275" s="476"/>
      <c r="W275" s="476"/>
      <c r="X275" s="476"/>
      <c r="Y275" s="476"/>
      <c r="Z275" s="476"/>
      <c r="AA275" s="477"/>
      <c r="AB275" s="477">
        <f>SUM(C275:AA275)</f>
        <v>0</v>
      </c>
      <c r="AC275" s="477"/>
      <c r="AD275" s="477"/>
      <c r="AE275" s="477"/>
      <c r="AF275" s="477"/>
      <c r="AG275" s="477"/>
      <c r="AH275" s="477"/>
      <c r="AI275" s="477"/>
      <c r="AJ275" s="477"/>
      <c r="AK275" s="477"/>
      <c r="AL275" s="477"/>
      <c r="AM275" s="477"/>
      <c r="AN275" s="477"/>
    </row>
    <row r="276" spans="1:40" s="599" customFormat="1" x14ac:dyDescent="0.3">
      <c r="A276" s="595">
        <v>8</v>
      </c>
      <c r="B276" s="595" t="s">
        <v>377</v>
      </c>
      <c r="C276" s="561"/>
      <c r="D276" s="561"/>
      <c r="E276" s="561"/>
      <c r="F276" s="561"/>
      <c r="G276" s="561"/>
      <c r="H276" s="561"/>
      <c r="I276" s="561"/>
      <c r="J276" s="561"/>
      <c r="K276" s="561"/>
      <c r="L276" s="561"/>
      <c r="M276" s="561"/>
      <c r="N276" s="561"/>
      <c r="O276" s="561"/>
      <c r="P276" s="561"/>
      <c r="Q276" s="561"/>
      <c r="R276" s="561"/>
      <c r="S276" s="561"/>
      <c r="T276" s="561"/>
      <c r="U276" s="561"/>
      <c r="V276" s="561"/>
      <c r="W276" s="561"/>
      <c r="X276" s="561"/>
      <c r="Y276" s="561"/>
      <c r="Z276" s="561"/>
      <c r="AA276" s="477"/>
      <c r="AB276" s="477">
        <f t="shared" si="98"/>
        <v>0</v>
      </c>
      <c r="AC276" s="477"/>
      <c r="AD276" s="477"/>
      <c r="AE276" s="477"/>
      <c r="AF276" s="477"/>
      <c r="AG276" s="477"/>
      <c r="AH276" s="477"/>
      <c r="AI276" s="477"/>
      <c r="AJ276" s="477"/>
      <c r="AK276" s="477"/>
      <c r="AL276" s="477"/>
      <c r="AM276" s="477"/>
      <c r="AN276" s="477"/>
    </row>
    <row r="277" spans="1:40" s="599" customFormat="1" x14ac:dyDescent="0.3">
      <c r="A277" s="595">
        <v>9</v>
      </c>
      <c r="B277" s="595" t="s">
        <v>378</v>
      </c>
      <c r="C277" s="476"/>
      <c r="D277" s="476"/>
      <c r="E277" s="476"/>
      <c r="F277" s="476"/>
      <c r="G277" s="476"/>
      <c r="H277" s="476"/>
      <c r="I277" s="476"/>
      <c r="J277" s="476"/>
      <c r="K277" s="476"/>
      <c r="L277" s="476"/>
      <c r="M277" s="476"/>
      <c r="N277" s="476"/>
      <c r="O277" s="476"/>
      <c r="P277" s="476"/>
      <c r="Q277" s="476"/>
      <c r="R277" s="476"/>
      <c r="S277" s="476"/>
      <c r="T277" s="476"/>
      <c r="U277" s="476"/>
      <c r="V277" s="476"/>
      <c r="W277" s="476"/>
      <c r="X277" s="476"/>
      <c r="Y277" s="476"/>
      <c r="Z277" s="476"/>
      <c r="AA277" s="477"/>
      <c r="AB277" s="477">
        <f t="shared" si="98"/>
        <v>0</v>
      </c>
      <c r="AC277" s="477"/>
      <c r="AD277" s="477"/>
      <c r="AE277" s="477"/>
      <c r="AF277" s="477"/>
      <c r="AG277" s="477"/>
      <c r="AH277" s="477"/>
      <c r="AI277" s="477"/>
      <c r="AJ277" s="477"/>
      <c r="AK277" s="477"/>
      <c r="AL277" s="477"/>
      <c r="AM277" s="477"/>
      <c r="AN277" s="477"/>
    </row>
    <row r="278" spans="1:40" s="599" customFormat="1" x14ac:dyDescent="0.3">
      <c r="A278" s="595">
        <v>10</v>
      </c>
      <c r="B278" s="595" t="s">
        <v>379</v>
      </c>
      <c r="C278" s="476"/>
      <c r="D278" s="476"/>
      <c r="E278" s="476"/>
      <c r="F278" s="476"/>
      <c r="G278" s="476"/>
      <c r="H278" s="476"/>
      <c r="I278" s="476"/>
      <c r="J278" s="476"/>
      <c r="K278" s="476"/>
      <c r="L278" s="476"/>
      <c r="M278" s="476"/>
      <c r="N278" s="476"/>
      <c r="O278" s="476"/>
      <c r="P278" s="476"/>
      <c r="Q278" s="476"/>
      <c r="R278" s="476"/>
      <c r="S278" s="476"/>
      <c r="T278" s="476"/>
      <c r="U278" s="476"/>
      <c r="V278" s="476"/>
      <c r="W278" s="476"/>
      <c r="X278" s="476"/>
      <c r="Y278" s="476"/>
      <c r="Z278" s="476"/>
      <c r="AA278" s="477"/>
      <c r="AB278" s="477">
        <f t="shared" si="98"/>
        <v>0</v>
      </c>
      <c r="AC278" s="477"/>
      <c r="AD278" s="477"/>
      <c r="AE278" s="477"/>
      <c r="AF278" s="477"/>
      <c r="AG278" s="477"/>
      <c r="AH278" s="477"/>
      <c r="AI278" s="477"/>
      <c r="AJ278" s="477"/>
      <c r="AK278" s="477"/>
      <c r="AL278" s="477"/>
      <c r="AM278" s="477"/>
      <c r="AN278" s="477"/>
    </row>
    <row r="279" spans="1:40" s="599" customFormat="1" x14ac:dyDescent="0.3">
      <c r="A279" s="595">
        <v>11</v>
      </c>
      <c r="B279" s="595" t="s">
        <v>380</v>
      </c>
      <c r="C279" s="476"/>
      <c r="D279" s="476"/>
      <c r="E279" s="476"/>
      <c r="F279" s="476"/>
      <c r="G279" s="476"/>
      <c r="H279" s="476"/>
      <c r="I279" s="476"/>
      <c r="J279" s="476"/>
      <c r="K279" s="476"/>
      <c r="L279" s="476"/>
      <c r="M279" s="476"/>
      <c r="N279" s="476"/>
      <c r="O279" s="476"/>
      <c r="P279" s="476"/>
      <c r="Q279" s="476"/>
      <c r="R279" s="476"/>
      <c r="S279" s="476"/>
      <c r="T279" s="476"/>
      <c r="U279" s="476"/>
      <c r="V279" s="476"/>
      <c r="W279" s="476"/>
      <c r="X279" s="476"/>
      <c r="Y279" s="476"/>
      <c r="Z279" s="476"/>
      <c r="AA279" s="477"/>
      <c r="AB279" s="477">
        <f>SUM(C279:AA279)</f>
        <v>0</v>
      </c>
      <c r="AC279" s="477"/>
      <c r="AD279" s="477"/>
      <c r="AE279" s="477"/>
      <c r="AF279" s="477"/>
      <c r="AG279" s="477"/>
      <c r="AH279" s="477"/>
      <c r="AI279" s="477"/>
      <c r="AJ279" s="477"/>
      <c r="AK279" s="477"/>
      <c r="AL279" s="477"/>
      <c r="AM279" s="477"/>
      <c r="AN279" s="477"/>
    </row>
    <row r="280" spans="1:40" s="599" customFormat="1" x14ac:dyDescent="0.3">
      <c r="A280" s="595">
        <v>12</v>
      </c>
      <c r="B280" s="595" t="s">
        <v>381</v>
      </c>
      <c r="C280" s="476"/>
      <c r="D280" s="476"/>
      <c r="E280" s="476"/>
      <c r="F280" s="476"/>
      <c r="G280" s="476"/>
      <c r="H280" s="476"/>
      <c r="I280" s="476"/>
      <c r="J280" s="476"/>
      <c r="K280" s="476"/>
      <c r="L280" s="476"/>
      <c r="M280" s="476"/>
      <c r="N280" s="476"/>
      <c r="O280" s="476"/>
      <c r="P280" s="476"/>
      <c r="Q280" s="476"/>
      <c r="R280" s="476"/>
      <c r="S280" s="476"/>
      <c r="T280" s="476"/>
      <c r="U280" s="476"/>
      <c r="V280" s="476"/>
      <c r="W280" s="476"/>
      <c r="X280" s="476"/>
      <c r="Y280" s="476"/>
      <c r="Z280" s="476"/>
      <c r="AA280" s="477"/>
      <c r="AB280" s="477">
        <f t="shared" si="98"/>
        <v>0</v>
      </c>
      <c r="AC280" s="477"/>
      <c r="AD280" s="477"/>
      <c r="AE280" s="477"/>
      <c r="AF280" s="477"/>
      <c r="AG280" s="477"/>
      <c r="AH280" s="477"/>
      <c r="AI280" s="477"/>
      <c r="AJ280" s="477"/>
      <c r="AK280" s="477"/>
      <c r="AL280" s="477"/>
      <c r="AM280" s="477"/>
      <c r="AN280" s="477"/>
    </row>
    <row r="281" spans="1:40" s="599" customFormat="1" x14ac:dyDescent="0.3">
      <c r="A281" s="595">
        <v>13</v>
      </c>
      <c r="B281" s="595" t="s">
        <v>382</v>
      </c>
      <c r="C281" s="476"/>
      <c r="D281" s="476"/>
      <c r="E281" s="476"/>
      <c r="F281" s="476"/>
      <c r="G281" s="476"/>
      <c r="H281" s="476"/>
      <c r="I281" s="476"/>
      <c r="J281" s="476"/>
      <c r="K281" s="476"/>
      <c r="L281" s="476"/>
      <c r="M281" s="476"/>
      <c r="N281" s="476"/>
      <c r="O281" s="476"/>
      <c r="P281" s="476"/>
      <c r="Q281" s="476"/>
      <c r="R281" s="476"/>
      <c r="S281" s="476"/>
      <c r="T281" s="476"/>
      <c r="U281" s="476"/>
      <c r="V281" s="476"/>
      <c r="W281" s="476"/>
      <c r="X281" s="476"/>
      <c r="Y281" s="476"/>
      <c r="Z281" s="476"/>
      <c r="AA281" s="477"/>
      <c r="AB281" s="477">
        <f>SUM(C281:AA281)</f>
        <v>0</v>
      </c>
      <c r="AC281" s="477"/>
      <c r="AD281" s="477"/>
      <c r="AE281" s="477"/>
      <c r="AF281" s="477"/>
      <c r="AG281" s="477"/>
      <c r="AH281" s="477"/>
      <c r="AI281" s="477"/>
      <c r="AJ281" s="477"/>
      <c r="AK281" s="477"/>
      <c r="AL281" s="477"/>
      <c r="AM281" s="477"/>
      <c r="AN281" s="477"/>
    </row>
    <row r="282" spans="1:40" s="599" customFormat="1" x14ac:dyDescent="0.3">
      <c r="A282" s="595">
        <v>14</v>
      </c>
      <c r="B282" s="595" t="s">
        <v>383</v>
      </c>
      <c r="C282" s="476"/>
      <c r="D282" s="476"/>
      <c r="E282" s="476"/>
      <c r="F282" s="476"/>
      <c r="G282" s="476"/>
      <c r="H282" s="476"/>
      <c r="I282" s="476"/>
      <c r="J282" s="476"/>
      <c r="K282" s="476"/>
      <c r="L282" s="476"/>
      <c r="M282" s="476"/>
      <c r="N282" s="476"/>
      <c r="O282" s="476"/>
      <c r="P282" s="476"/>
      <c r="Q282" s="476"/>
      <c r="R282" s="476"/>
      <c r="S282" s="476"/>
      <c r="T282" s="476"/>
      <c r="U282" s="476"/>
      <c r="V282" s="476"/>
      <c r="W282" s="476"/>
      <c r="X282" s="476"/>
      <c r="Y282" s="476"/>
      <c r="Z282" s="476"/>
      <c r="AA282" s="477"/>
      <c r="AB282" s="477">
        <f>SUM(C282:AA282)</f>
        <v>0</v>
      </c>
      <c r="AC282" s="477"/>
      <c r="AD282" s="477"/>
      <c r="AE282" s="477"/>
      <c r="AF282" s="477"/>
      <c r="AG282" s="477"/>
      <c r="AH282" s="477"/>
      <c r="AI282" s="477"/>
      <c r="AJ282" s="477"/>
      <c r="AK282" s="477"/>
      <c r="AL282" s="477"/>
      <c r="AM282" s="477"/>
      <c r="AN282" s="477"/>
    </row>
    <row r="283" spans="1:40" s="599" customFormat="1" x14ac:dyDescent="0.3">
      <c r="A283" s="595">
        <v>15</v>
      </c>
      <c r="B283" s="477" t="s">
        <v>384</v>
      </c>
      <c r="C283" s="477"/>
      <c r="D283" s="477"/>
      <c r="E283" s="477"/>
      <c r="F283" s="477"/>
      <c r="G283" s="477"/>
      <c r="H283" s="477"/>
      <c r="I283" s="477"/>
      <c r="J283" s="477"/>
      <c r="K283" s="477"/>
      <c r="L283" s="477"/>
      <c r="M283" s="477"/>
      <c r="N283" s="477"/>
      <c r="O283" s="477"/>
      <c r="P283" s="477"/>
      <c r="Q283" s="477"/>
      <c r="R283" s="477"/>
      <c r="S283" s="477"/>
      <c r="T283" s="477"/>
      <c r="U283" s="477"/>
      <c r="V283" s="477"/>
      <c r="W283" s="477"/>
      <c r="X283" s="477"/>
      <c r="Y283" s="477"/>
      <c r="Z283" s="477"/>
      <c r="AA283" s="477"/>
      <c r="AB283" s="477">
        <f>SUM(C283:AA283)</f>
        <v>0</v>
      </c>
      <c r="AC283" s="477"/>
      <c r="AD283" s="477"/>
      <c r="AE283" s="477"/>
      <c r="AF283" s="477"/>
      <c r="AG283" s="477"/>
      <c r="AH283" s="477"/>
      <c r="AI283" s="477"/>
      <c r="AJ283" s="477"/>
      <c r="AK283" s="477"/>
      <c r="AL283" s="477"/>
      <c r="AM283" s="477"/>
      <c r="AN283" s="477"/>
    </row>
    <row r="284" spans="1:40" s="599" customFormat="1" x14ac:dyDescent="0.3">
      <c r="A284" s="502"/>
      <c r="B284" s="596" t="s">
        <v>18</v>
      </c>
      <c r="C284" s="501">
        <f>SUM(C269:C283)</f>
        <v>0</v>
      </c>
      <c r="D284" s="501">
        <f t="shared" ref="D284:AN284" si="99">SUM(D269:D283)</f>
        <v>0</v>
      </c>
      <c r="E284" s="501">
        <f t="shared" si="99"/>
        <v>0</v>
      </c>
      <c r="F284" s="501">
        <f t="shared" si="99"/>
        <v>0</v>
      </c>
      <c r="G284" s="501">
        <f t="shared" si="99"/>
        <v>0</v>
      </c>
      <c r="H284" s="501">
        <f t="shared" si="99"/>
        <v>0</v>
      </c>
      <c r="I284" s="501">
        <f t="shared" si="99"/>
        <v>0</v>
      </c>
      <c r="J284" s="501">
        <f t="shared" si="99"/>
        <v>0</v>
      </c>
      <c r="K284" s="501">
        <f t="shared" si="99"/>
        <v>0</v>
      </c>
      <c r="L284" s="501">
        <f t="shared" si="99"/>
        <v>0</v>
      </c>
      <c r="M284" s="501">
        <f t="shared" si="99"/>
        <v>0</v>
      </c>
      <c r="N284" s="501">
        <f t="shared" si="99"/>
        <v>0</v>
      </c>
      <c r="O284" s="501">
        <f t="shared" si="99"/>
        <v>0</v>
      </c>
      <c r="P284" s="501">
        <f t="shared" si="99"/>
        <v>0</v>
      </c>
      <c r="Q284" s="501">
        <f t="shared" si="99"/>
        <v>0</v>
      </c>
      <c r="R284" s="501">
        <f t="shared" si="99"/>
        <v>0</v>
      </c>
      <c r="S284" s="501">
        <f t="shared" si="99"/>
        <v>0</v>
      </c>
      <c r="T284" s="501">
        <f t="shared" si="99"/>
        <v>0</v>
      </c>
      <c r="U284" s="501">
        <f t="shared" si="99"/>
        <v>0</v>
      </c>
      <c r="V284" s="501">
        <f t="shared" si="99"/>
        <v>0</v>
      </c>
      <c r="W284" s="501">
        <f t="shared" si="99"/>
        <v>0</v>
      </c>
      <c r="X284" s="501">
        <f t="shared" si="99"/>
        <v>0</v>
      </c>
      <c r="Y284" s="501">
        <f t="shared" si="99"/>
        <v>0</v>
      </c>
      <c r="Z284" s="501">
        <f t="shared" si="99"/>
        <v>0</v>
      </c>
      <c r="AA284" s="501">
        <f t="shared" si="99"/>
        <v>0</v>
      </c>
      <c r="AB284" s="501">
        <f t="shared" si="99"/>
        <v>0</v>
      </c>
      <c r="AC284" s="501">
        <f t="shared" si="99"/>
        <v>0</v>
      </c>
      <c r="AD284" s="501">
        <f t="shared" si="99"/>
        <v>0</v>
      </c>
      <c r="AE284" s="501">
        <f t="shared" si="99"/>
        <v>0</v>
      </c>
      <c r="AF284" s="501">
        <f t="shared" si="99"/>
        <v>0</v>
      </c>
      <c r="AG284" s="501">
        <f t="shared" si="99"/>
        <v>0</v>
      </c>
      <c r="AH284" s="501">
        <f t="shared" si="99"/>
        <v>0</v>
      </c>
      <c r="AI284" s="501">
        <f t="shared" si="99"/>
        <v>0</v>
      </c>
      <c r="AJ284" s="501">
        <f t="shared" si="99"/>
        <v>0</v>
      </c>
      <c r="AK284" s="501">
        <f t="shared" si="99"/>
        <v>0</v>
      </c>
      <c r="AL284" s="501">
        <f t="shared" si="99"/>
        <v>0</v>
      </c>
      <c r="AM284" s="501">
        <f t="shared" si="99"/>
        <v>0</v>
      </c>
      <c r="AN284" s="501">
        <f t="shared" si="99"/>
        <v>0</v>
      </c>
    </row>
    <row r="285" spans="1:40" s="599" customFormat="1" x14ac:dyDescent="0.3">
      <c r="A285" s="440"/>
      <c r="B285" s="440"/>
      <c r="C285" s="440"/>
      <c r="D285" s="440"/>
      <c r="E285" s="440"/>
      <c r="F285" s="440"/>
      <c r="G285" s="440"/>
      <c r="H285" s="440"/>
      <c r="I285" s="440"/>
      <c r="J285" s="440"/>
      <c r="K285" s="440"/>
      <c r="L285" s="440"/>
      <c r="M285" s="440"/>
      <c r="N285" s="440"/>
      <c r="O285" s="440"/>
      <c r="P285" s="440"/>
      <c r="Q285" s="440"/>
      <c r="R285" s="440"/>
      <c r="S285" s="440"/>
      <c r="T285" s="440"/>
      <c r="U285" s="440"/>
      <c r="V285" s="440"/>
      <c r="W285" s="440"/>
      <c r="X285" s="440"/>
      <c r="Y285" s="440"/>
      <c r="Z285" s="440"/>
      <c r="AA285" s="440"/>
      <c r="AB285" s="440"/>
      <c r="AC285" s="440"/>
      <c r="AD285" s="440"/>
      <c r="AE285" s="440"/>
      <c r="AF285" s="440"/>
      <c r="AG285" s="440"/>
      <c r="AH285" s="440"/>
      <c r="AI285" s="440"/>
      <c r="AJ285" s="440"/>
      <c r="AK285" s="440"/>
      <c r="AL285" s="440"/>
      <c r="AM285" s="440"/>
      <c r="AN285" s="440"/>
    </row>
    <row r="286" spans="1:40" s="599" customFormat="1" x14ac:dyDescent="0.3">
      <c r="A286" s="440"/>
      <c r="B286" s="440"/>
      <c r="C286" s="440"/>
      <c r="D286" s="440"/>
      <c r="E286" s="440"/>
      <c r="F286" s="440"/>
      <c r="G286" s="440"/>
      <c r="H286" s="440"/>
      <c r="I286" s="440"/>
      <c r="J286" s="440"/>
      <c r="K286" s="440"/>
      <c r="L286" s="440"/>
      <c r="M286" s="440"/>
      <c r="N286" s="440"/>
      <c r="O286" s="440"/>
      <c r="P286" s="440"/>
      <c r="Q286" s="440"/>
      <c r="R286" s="440"/>
      <c r="S286" s="440"/>
      <c r="T286" s="440"/>
      <c r="U286" s="440"/>
      <c r="V286" s="440"/>
      <c r="W286" s="440"/>
      <c r="X286" s="440"/>
      <c r="Y286" s="440"/>
      <c r="Z286" s="440"/>
      <c r="AA286" s="440"/>
      <c r="AB286" s="440"/>
      <c r="AC286" s="440"/>
      <c r="AD286" s="440"/>
      <c r="AE286" s="440"/>
      <c r="AF286" s="440"/>
      <c r="AG286" s="440"/>
      <c r="AH286" s="440"/>
      <c r="AI286" s="440"/>
      <c r="AJ286" s="440"/>
      <c r="AK286" s="440"/>
      <c r="AL286" s="440"/>
      <c r="AM286" s="440"/>
      <c r="AN286" s="440"/>
    </row>
    <row r="287" spans="1:40" s="599" customFormat="1" x14ac:dyDescent="0.3">
      <c r="A287" s="986" t="s">
        <v>131</v>
      </c>
      <c r="B287" s="986"/>
      <c r="C287" s="986"/>
      <c r="D287" s="986"/>
      <c r="E287" s="986"/>
      <c r="F287" s="986"/>
      <c r="G287" s="986"/>
      <c r="H287" s="986"/>
      <c r="I287" s="986"/>
      <c r="J287" s="986"/>
      <c r="K287" s="986"/>
      <c r="L287" s="986"/>
      <c r="M287" s="986"/>
      <c r="N287" s="986"/>
      <c r="O287" s="986"/>
      <c r="P287" s="986"/>
      <c r="Q287" s="986"/>
      <c r="R287" s="986"/>
      <c r="S287" s="986"/>
      <c r="T287" s="986"/>
      <c r="U287" s="986"/>
      <c r="V287" s="986"/>
      <c r="W287" s="986"/>
      <c r="X287" s="986"/>
      <c r="Y287" s="986"/>
      <c r="Z287" s="986"/>
      <c r="AA287" s="986"/>
      <c r="AB287" s="986"/>
      <c r="AC287" s="986"/>
      <c r="AD287" s="986"/>
      <c r="AE287" s="986"/>
      <c r="AF287" s="986"/>
      <c r="AG287" s="986"/>
      <c r="AH287" s="986"/>
      <c r="AI287" s="986"/>
      <c r="AJ287" s="986"/>
      <c r="AK287" s="986"/>
      <c r="AL287" s="986"/>
      <c r="AM287" s="986"/>
      <c r="AN287" s="986"/>
    </row>
    <row r="288" spans="1:40" s="599" customFormat="1" x14ac:dyDescent="0.3">
      <c r="A288" s="597"/>
      <c r="B288" s="597"/>
      <c r="C288" s="597"/>
      <c r="D288" s="597"/>
      <c r="E288" s="597"/>
      <c r="F288" s="597"/>
      <c r="G288" s="597"/>
      <c r="H288" s="597"/>
      <c r="I288" s="597"/>
      <c r="J288" s="597"/>
      <c r="K288" s="597"/>
      <c r="L288" s="597"/>
      <c r="M288" s="597"/>
      <c r="N288" s="597"/>
      <c r="O288" s="597"/>
      <c r="P288" s="597"/>
      <c r="Q288" s="597"/>
      <c r="R288" s="597"/>
      <c r="S288" s="597"/>
      <c r="T288" s="597"/>
      <c r="U288" s="597"/>
      <c r="V288" s="597"/>
      <c r="W288" s="597"/>
      <c r="X288" s="597"/>
      <c r="Y288" s="597"/>
      <c r="Z288" s="597"/>
      <c r="AA288" s="597"/>
      <c r="AB288" s="597"/>
      <c r="AC288" s="597"/>
      <c r="AD288" s="597"/>
      <c r="AE288" s="597"/>
      <c r="AF288" s="597"/>
      <c r="AG288" s="597"/>
      <c r="AH288" s="597"/>
      <c r="AI288" s="597"/>
      <c r="AJ288" s="597"/>
      <c r="AK288" s="597"/>
      <c r="AL288" s="597"/>
      <c r="AM288" s="597"/>
      <c r="AN288" s="597"/>
    </row>
    <row r="289" spans="1:40" s="599" customFormat="1" x14ac:dyDescent="0.3">
      <c r="A289" s="590" t="s">
        <v>292</v>
      </c>
      <c r="B289" s="591"/>
      <c r="C289" s="591"/>
      <c r="D289" s="591"/>
      <c r="E289" s="591"/>
      <c r="F289" s="591"/>
      <c r="G289" s="591"/>
      <c r="H289" s="591"/>
      <c r="I289" s="591"/>
      <c r="J289" s="591"/>
      <c r="K289" s="591"/>
      <c r="L289" s="591"/>
      <c r="M289" s="591"/>
      <c r="N289" s="591"/>
      <c r="O289" s="591"/>
      <c r="P289" s="591"/>
      <c r="Q289" s="591"/>
      <c r="R289" s="591"/>
      <c r="S289" s="591"/>
      <c r="T289" s="591"/>
      <c r="U289" s="591"/>
      <c r="V289" s="591"/>
      <c r="W289" s="591"/>
      <c r="X289" s="591"/>
      <c r="Y289" s="591"/>
      <c r="Z289" s="591"/>
      <c r="AA289" s="591"/>
      <c r="AB289" s="591" t="s">
        <v>149</v>
      </c>
      <c r="AC289" s="591"/>
      <c r="AD289" s="591"/>
      <c r="AE289" s="591"/>
      <c r="AF289" s="591"/>
      <c r="AG289" s="591"/>
      <c r="AH289" s="591"/>
      <c r="AI289" s="591"/>
      <c r="AJ289" s="591"/>
      <c r="AK289" s="591"/>
      <c r="AL289" s="591"/>
      <c r="AM289" s="591"/>
      <c r="AN289" s="591"/>
    </row>
    <row r="290" spans="1:40" s="599" customFormat="1" x14ac:dyDescent="0.3">
      <c r="A290" s="590" t="s">
        <v>226</v>
      </c>
      <c r="B290" s="591"/>
      <c r="C290" s="591"/>
      <c r="D290" s="591"/>
      <c r="E290" s="591"/>
      <c r="F290" s="591"/>
      <c r="G290" s="591"/>
      <c r="H290" s="591"/>
      <c r="I290" s="591"/>
      <c r="J290" s="591"/>
      <c r="K290" s="591"/>
      <c r="L290" s="591"/>
      <c r="M290" s="591"/>
      <c r="N290" s="591"/>
      <c r="O290" s="591"/>
      <c r="P290" s="591"/>
      <c r="Q290" s="591"/>
      <c r="R290" s="591"/>
      <c r="S290" s="591"/>
      <c r="T290" s="591"/>
      <c r="U290" s="591"/>
      <c r="V290" s="591"/>
      <c r="W290" s="591"/>
      <c r="X290" s="591"/>
      <c r="Y290" s="591"/>
      <c r="Z290" s="591"/>
      <c r="AA290" s="591"/>
      <c r="AB290" s="600" t="s">
        <v>439</v>
      </c>
      <c r="AC290" s="591"/>
      <c r="AD290" s="591"/>
      <c r="AE290" s="591"/>
      <c r="AF290" s="591"/>
      <c r="AG290" s="591"/>
      <c r="AH290" s="591"/>
      <c r="AI290" s="591"/>
      <c r="AJ290" s="591"/>
      <c r="AK290" s="591"/>
      <c r="AL290" s="591"/>
      <c r="AM290" s="591"/>
      <c r="AN290" s="591"/>
    </row>
    <row r="291" spans="1:40" s="599" customFormat="1" x14ac:dyDescent="0.3">
      <c r="A291" s="591"/>
      <c r="B291" s="591"/>
      <c r="C291" s="591"/>
      <c r="D291" s="591"/>
      <c r="E291" s="591"/>
      <c r="F291" s="591"/>
      <c r="G291" s="591"/>
      <c r="H291" s="591"/>
      <c r="I291" s="591"/>
      <c r="J291" s="591"/>
      <c r="K291" s="591"/>
      <c r="L291" s="591"/>
      <c r="M291" s="591"/>
      <c r="N291" s="591"/>
      <c r="O291" s="591"/>
      <c r="P291" s="591"/>
      <c r="Q291" s="591"/>
      <c r="R291" s="591"/>
      <c r="S291" s="591"/>
      <c r="T291" s="591"/>
      <c r="U291" s="591"/>
      <c r="V291" s="591"/>
      <c r="W291" s="591"/>
      <c r="X291" s="591"/>
      <c r="Y291" s="591"/>
      <c r="Z291" s="591"/>
      <c r="AA291" s="591"/>
      <c r="AB291" s="591"/>
      <c r="AC291" s="591"/>
      <c r="AD291" s="591"/>
      <c r="AE291" s="591"/>
      <c r="AF291" s="591"/>
      <c r="AG291" s="591"/>
      <c r="AH291" s="591"/>
      <c r="AI291" s="591"/>
      <c r="AJ291" s="591"/>
      <c r="AK291" s="591"/>
      <c r="AL291" s="591"/>
      <c r="AM291" s="591"/>
      <c r="AN291" s="591"/>
    </row>
    <row r="292" spans="1:40" s="599" customFormat="1" x14ac:dyDescent="0.3">
      <c r="A292" s="980" t="s">
        <v>1</v>
      </c>
      <c r="B292" s="980" t="s">
        <v>40</v>
      </c>
      <c r="C292" s="987" t="s">
        <v>118</v>
      </c>
      <c r="D292" s="978" t="s">
        <v>119</v>
      </c>
      <c r="E292" s="978" t="s">
        <v>127</v>
      </c>
      <c r="F292" s="978" t="s">
        <v>124</v>
      </c>
      <c r="G292" s="978" t="s">
        <v>120</v>
      </c>
      <c r="H292" s="978" t="s">
        <v>215</v>
      </c>
      <c r="I292" s="978" t="s">
        <v>122</v>
      </c>
      <c r="J292" s="978" t="s">
        <v>123</v>
      </c>
      <c r="K292" s="978" t="s">
        <v>218</v>
      </c>
      <c r="L292" s="1010" t="s">
        <v>420</v>
      </c>
      <c r="M292" s="978" t="s">
        <v>125</v>
      </c>
      <c r="N292" s="978" t="s">
        <v>130</v>
      </c>
      <c r="O292" s="978" t="s">
        <v>216</v>
      </c>
      <c r="P292" s="987" t="s">
        <v>121</v>
      </c>
      <c r="Q292" s="978" t="s">
        <v>45</v>
      </c>
      <c r="R292" s="978" t="s">
        <v>217</v>
      </c>
      <c r="S292" s="978" t="s">
        <v>219</v>
      </c>
      <c r="T292" s="978" t="s">
        <v>128</v>
      </c>
      <c r="U292" s="978" t="s">
        <v>221</v>
      </c>
      <c r="V292" s="978" t="s">
        <v>220</v>
      </c>
      <c r="W292" s="978" t="s">
        <v>222</v>
      </c>
      <c r="X292" s="978" t="s">
        <v>223</v>
      </c>
      <c r="Y292" s="978" t="s">
        <v>224</v>
      </c>
      <c r="Z292" s="978" t="s">
        <v>129</v>
      </c>
      <c r="AA292" s="989" t="s">
        <v>415</v>
      </c>
      <c r="AB292" s="981" t="s">
        <v>117</v>
      </c>
      <c r="AC292" s="982" t="s">
        <v>214</v>
      </c>
      <c r="AD292" s="982"/>
      <c r="AE292" s="982"/>
      <c r="AF292" s="592" t="s">
        <v>204</v>
      </c>
      <c r="AG292" s="982" t="s">
        <v>213</v>
      </c>
      <c r="AH292" s="982"/>
      <c r="AI292" s="983" t="s">
        <v>132</v>
      </c>
      <c r="AJ292" s="984"/>
      <c r="AK292" s="984"/>
      <c r="AL292" s="985"/>
      <c r="AM292" s="592" t="s">
        <v>205</v>
      </c>
      <c r="AN292" s="982" t="s">
        <v>206</v>
      </c>
    </row>
    <row r="293" spans="1:40" s="599" customFormat="1" x14ac:dyDescent="0.3">
      <c r="A293" s="980"/>
      <c r="B293" s="980"/>
      <c r="C293" s="988"/>
      <c r="D293" s="979"/>
      <c r="E293" s="979"/>
      <c r="F293" s="979"/>
      <c r="G293" s="979"/>
      <c r="H293" s="979"/>
      <c r="I293" s="979"/>
      <c r="J293" s="979"/>
      <c r="K293" s="979"/>
      <c r="L293" s="979"/>
      <c r="M293" s="979"/>
      <c r="N293" s="979"/>
      <c r="O293" s="979"/>
      <c r="P293" s="988"/>
      <c r="Q293" s="979"/>
      <c r="R293" s="979"/>
      <c r="S293" s="979"/>
      <c r="T293" s="979"/>
      <c r="U293" s="979"/>
      <c r="V293" s="979"/>
      <c r="W293" s="979"/>
      <c r="X293" s="979"/>
      <c r="Y293" s="979"/>
      <c r="Z293" s="979"/>
      <c r="AA293" s="979"/>
      <c r="AB293" s="981"/>
      <c r="AC293" s="593" t="s">
        <v>193</v>
      </c>
      <c r="AD293" s="593" t="s">
        <v>192</v>
      </c>
      <c r="AE293" s="593" t="s">
        <v>191</v>
      </c>
      <c r="AF293" s="594" t="s">
        <v>207</v>
      </c>
      <c r="AG293" s="593" t="s">
        <v>208</v>
      </c>
      <c r="AH293" s="593" t="s">
        <v>209</v>
      </c>
      <c r="AI293" s="593" t="s">
        <v>210</v>
      </c>
      <c r="AJ293" s="593" t="s">
        <v>211</v>
      </c>
      <c r="AK293" s="593" t="s">
        <v>88</v>
      </c>
      <c r="AL293" s="593" t="s">
        <v>18</v>
      </c>
      <c r="AM293" s="594" t="s">
        <v>212</v>
      </c>
      <c r="AN293" s="982"/>
    </row>
    <row r="294" spans="1:40" s="599" customFormat="1" x14ac:dyDescent="0.3">
      <c r="A294" s="595">
        <v>1</v>
      </c>
      <c r="B294" s="595" t="s">
        <v>371</v>
      </c>
      <c r="C294" s="477">
        <f>C7+C31+C55+C78+C102+C125+C149+C173+C197+C221+C245+C269</f>
        <v>0</v>
      </c>
      <c r="D294" s="477">
        <f t="shared" ref="D294:AA305" si="100">D7+D31+D55+D78+D102+D125+D149+D173+D197+D221+D245+D269</f>
        <v>0</v>
      </c>
      <c r="E294" s="477">
        <f t="shared" si="100"/>
        <v>0</v>
      </c>
      <c r="F294" s="477">
        <f t="shared" si="100"/>
        <v>0</v>
      </c>
      <c r="G294" s="477">
        <f t="shared" si="100"/>
        <v>0</v>
      </c>
      <c r="H294" s="477">
        <f t="shared" si="100"/>
        <v>0</v>
      </c>
      <c r="I294" s="477">
        <f t="shared" si="100"/>
        <v>0</v>
      </c>
      <c r="J294" s="477">
        <f t="shared" si="100"/>
        <v>0</v>
      </c>
      <c r="K294" s="477">
        <f t="shared" si="100"/>
        <v>0</v>
      </c>
      <c r="L294" s="477">
        <f t="shared" si="100"/>
        <v>0</v>
      </c>
      <c r="M294" s="477">
        <f t="shared" si="100"/>
        <v>0</v>
      </c>
      <c r="N294" s="477">
        <f t="shared" si="100"/>
        <v>0</v>
      </c>
      <c r="O294" s="477">
        <f t="shared" si="100"/>
        <v>0</v>
      </c>
      <c r="P294" s="477">
        <f t="shared" si="100"/>
        <v>0</v>
      </c>
      <c r="Q294" s="477">
        <f t="shared" si="100"/>
        <v>0</v>
      </c>
      <c r="R294" s="477">
        <f t="shared" si="100"/>
        <v>0</v>
      </c>
      <c r="S294" s="477">
        <f t="shared" si="100"/>
        <v>0</v>
      </c>
      <c r="T294" s="477">
        <f t="shared" si="100"/>
        <v>0</v>
      </c>
      <c r="U294" s="477">
        <f t="shared" si="100"/>
        <v>0</v>
      </c>
      <c r="V294" s="477">
        <f t="shared" si="100"/>
        <v>0</v>
      </c>
      <c r="W294" s="477">
        <f t="shared" si="100"/>
        <v>0</v>
      </c>
      <c r="X294" s="477">
        <f t="shared" si="100"/>
        <v>0</v>
      </c>
      <c r="Y294" s="477">
        <f t="shared" si="100"/>
        <v>0</v>
      </c>
      <c r="Z294" s="477">
        <f t="shared" si="100"/>
        <v>0</v>
      </c>
      <c r="AA294" s="477">
        <f t="shared" si="100"/>
        <v>0</v>
      </c>
      <c r="AB294" s="477">
        <f t="shared" ref="AB294:AN308" si="101">AB7+AB31+AB55+AB78+AB102+AB125+AB149+AB173+AB197+AB221+AB245+AB269</f>
        <v>0</v>
      </c>
      <c r="AC294" s="477">
        <f t="shared" si="101"/>
        <v>0</v>
      </c>
      <c r="AD294" s="477">
        <f t="shared" si="101"/>
        <v>0</v>
      </c>
      <c r="AE294" s="477">
        <f t="shared" si="101"/>
        <v>0</v>
      </c>
      <c r="AF294" s="477">
        <f t="shared" si="101"/>
        <v>0</v>
      </c>
      <c r="AG294" s="477">
        <f t="shared" si="101"/>
        <v>0</v>
      </c>
      <c r="AH294" s="477">
        <f t="shared" si="101"/>
        <v>0</v>
      </c>
      <c r="AI294" s="477">
        <f t="shared" si="101"/>
        <v>0</v>
      </c>
      <c r="AJ294" s="477">
        <f t="shared" si="101"/>
        <v>0</v>
      </c>
      <c r="AK294" s="477">
        <f t="shared" si="101"/>
        <v>0</v>
      </c>
      <c r="AL294" s="477">
        <f t="shared" si="101"/>
        <v>0</v>
      </c>
      <c r="AM294" s="477">
        <f t="shared" si="101"/>
        <v>0</v>
      </c>
      <c r="AN294" s="477">
        <f t="shared" si="101"/>
        <v>0</v>
      </c>
    </row>
    <row r="295" spans="1:40" s="599" customFormat="1" x14ac:dyDescent="0.3">
      <c r="A295" s="595">
        <v>2</v>
      </c>
      <c r="B295" s="595" t="s">
        <v>372</v>
      </c>
      <c r="C295" s="477">
        <f t="shared" ref="C295:R308" si="102">C8+C32+C56+C79+C103+C126+C150+C174+C198+C222+C246+C270</f>
        <v>0</v>
      </c>
      <c r="D295" s="477">
        <f t="shared" si="102"/>
        <v>0</v>
      </c>
      <c r="E295" s="477">
        <f t="shared" si="102"/>
        <v>0</v>
      </c>
      <c r="F295" s="477">
        <f t="shared" si="102"/>
        <v>0</v>
      </c>
      <c r="G295" s="477">
        <f t="shared" si="102"/>
        <v>0</v>
      </c>
      <c r="H295" s="477">
        <f t="shared" si="102"/>
        <v>0</v>
      </c>
      <c r="I295" s="477">
        <f t="shared" si="102"/>
        <v>0</v>
      </c>
      <c r="J295" s="477">
        <f t="shared" si="102"/>
        <v>0</v>
      </c>
      <c r="K295" s="477">
        <f t="shared" si="102"/>
        <v>0</v>
      </c>
      <c r="L295" s="477">
        <f t="shared" si="102"/>
        <v>0</v>
      </c>
      <c r="M295" s="477">
        <f t="shared" si="102"/>
        <v>0</v>
      </c>
      <c r="N295" s="477">
        <f t="shared" si="102"/>
        <v>0</v>
      </c>
      <c r="O295" s="477">
        <f t="shared" si="102"/>
        <v>0</v>
      </c>
      <c r="P295" s="477">
        <f t="shared" si="102"/>
        <v>0</v>
      </c>
      <c r="Q295" s="477">
        <f t="shared" si="102"/>
        <v>0</v>
      </c>
      <c r="R295" s="477">
        <f t="shared" si="102"/>
        <v>0</v>
      </c>
      <c r="S295" s="477">
        <f t="shared" si="100"/>
        <v>0</v>
      </c>
      <c r="T295" s="477">
        <f t="shared" si="100"/>
        <v>0</v>
      </c>
      <c r="U295" s="477">
        <f t="shared" si="100"/>
        <v>0</v>
      </c>
      <c r="V295" s="477">
        <f t="shared" si="100"/>
        <v>0</v>
      </c>
      <c r="W295" s="477">
        <f t="shared" si="100"/>
        <v>0</v>
      </c>
      <c r="X295" s="477">
        <f t="shared" si="100"/>
        <v>0</v>
      </c>
      <c r="Y295" s="477">
        <f t="shared" si="100"/>
        <v>0</v>
      </c>
      <c r="Z295" s="477">
        <f t="shared" si="100"/>
        <v>0</v>
      </c>
      <c r="AA295" s="477">
        <f t="shared" ref="AA295:AA308" si="103">AA8+AA32+AA56+AA79+AA103+AA126+AA150+AA174+AA198+AA222+AA246+AA270</f>
        <v>0</v>
      </c>
      <c r="AB295" s="477">
        <f t="shared" si="101"/>
        <v>0</v>
      </c>
      <c r="AC295" s="477">
        <f t="shared" si="101"/>
        <v>0</v>
      </c>
      <c r="AD295" s="477">
        <f t="shared" si="101"/>
        <v>0</v>
      </c>
      <c r="AE295" s="477">
        <f t="shared" si="101"/>
        <v>0</v>
      </c>
      <c r="AF295" s="477">
        <f t="shared" si="101"/>
        <v>0</v>
      </c>
      <c r="AG295" s="477">
        <f t="shared" si="101"/>
        <v>0</v>
      </c>
      <c r="AH295" s="477">
        <f t="shared" si="101"/>
        <v>0</v>
      </c>
      <c r="AI295" s="477">
        <f t="shared" si="101"/>
        <v>0</v>
      </c>
      <c r="AJ295" s="477">
        <f t="shared" si="101"/>
        <v>0</v>
      </c>
      <c r="AK295" s="477">
        <f t="shared" si="101"/>
        <v>0</v>
      </c>
      <c r="AL295" s="477">
        <f t="shared" si="101"/>
        <v>0</v>
      </c>
      <c r="AM295" s="477">
        <f t="shared" si="101"/>
        <v>0</v>
      </c>
      <c r="AN295" s="477">
        <f t="shared" si="101"/>
        <v>0</v>
      </c>
    </row>
    <row r="296" spans="1:40" s="599" customFormat="1" x14ac:dyDescent="0.3">
      <c r="A296" s="595">
        <v>3</v>
      </c>
      <c r="B296" s="595" t="s">
        <v>373</v>
      </c>
      <c r="C296" s="477">
        <f t="shared" si="102"/>
        <v>0</v>
      </c>
      <c r="D296" s="477">
        <f t="shared" si="100"/>
        <v>0</v>
      </c>
      <c r="E296" s="477">
        <f t="shared" si="100"/>
        <v>0</v>
      </c>
      <c r="F296" s="477">
        <f t="shared" si="100"/>
        <v>0</v>
      </c>
      <c r="G296" s="477">
        <f t="shared" si="100"/>
        <v>0</v>
      </c>
      <c r="H296" s="477">
        <f t="shared" si="100"/>
        <v>0</v>
      </c>
      <c r="I296" s="477">
        <f t="shared" si="100"/>
        <v>0</v>
      </c>
      <c r="J296" s="477">
        <f t="shared" si="100"/>
        <v>0</v>
      </c>
      <c r="K296" s="477">
        <f t="shared" si="100"/>
        <v>0</v>
      </c>
      <c r="L296" s="477">
        <f t="shared" si="100"/>
        <v>0</v>
      </c>
      <c r="M296" s="477">
        <f t="shared" si="100"/>
        <v>0</v>
      </c>
      <c r="N296" s="477">
        <f t="shared" si="100"/>
        <v>0</v>
      </c>
      <c r="O296" s="477">
        <f t="shared" si="100"/>
        <v>0</v>
      </c>
      <c r="P296" s="477">
        <f t="shared" si="100"/>
        <v>0</v>
      </c>
      <c r="Q296" s="477">
        <f t="shared" si="100"/>
        <v>0</v>
      </c>
      <c r="R296" s="477">
        <f t="shared" si="100"/>
        <v>0</v>
      </c>
      <c r="S296" s="477">
        <f t="shared" si="100"/>
        <v>0</v>
      </c>
      <c r="T296" s="477">
        <f t="shared" si="100"/>
        <v>0</v>
      </c>
      <c r="U296" s="477">
        <f t="shared" si="100"/>
        <v>0</v>
      </c>
      <c r="V296" s="477">
        <f t="shared" si="100"/>
        <v>0</v>
      </c>
      <c r="W296" s="477">
        <f t="shared" si="100"/>
        <v>0</v>
      </c>
      <c r="X296" s="477">
        <f t="shared" si="100"/>
        <v>0</v>
      </c>
      <c r="Y296" s="477">
        <f t="shared" si="100"/>
        <v>0</v>
      </c>
      <c r="Z296" s="477">
        <f t="shared" si="100"/>
        <v>0</v>
      </c>
      <c r="AA296" s="477">
        <f t="shared" si="103"/>
        <v>0</v>
      </c>
      <c r="AB296" s="477">
        <f t="shared" si="101"/>
        <v>0</v>
      </c>
      <c r="AC296" s="477">
        <f t="shared" si="101"/>
        <v>0</v>
      </c>
      <c r="AD296" s="477">
        <f t="shared" si="101"/>
        <v>0</v>
      </c>
      <c r="AE296" s="477">
        <f t="shared" si="101"/>
        <v>0</v>
      </c>
      <c r="AF296" s="477">
        <f t="shared" si="101"/>
        <v>0</v>
      </c>
      <c r="AG296" s="477">
        <f t="shared" si="101"/>
        <v>0</v>
      </c>
      <c r="AH296" s="477">
        <f t="shared" si="101"/>
        <v>0</v>
      </c>
      <c r="AI296" s="477">
        <f t="shared" si="101"/>
        <v>0</v>
      </c>
      <c r="AJ296" s="477">
        <f t="shared" si="101"/>
        <v>0</v>
      </c>
      <c r="AK296" s="477">
        <f t="shared" si="101"/>
        <v>0</v>
      </c>
      <c r="AL296" s="477">
        <f t="shared" si="101"/>
        <v>0</v>
      </c>
      <c r="AM296" s="477">
        <f t="shared" si="101"/>
        <v>0</v>
      </c>
      <c r="AN296" s="477">
        <f t="shared" si="101"/>
        <v>0</v>
      </c>
    </row>
    <row r="297" spans="1:40" s="599" customFormat="1" x14ac:dyDescent="0.3">
      <c r="A297" s="595">
        <v>4</v>
      </c>
      <c r="B297" s="595" t="s">
        <v>374</v>
      </c>
      <c r="C297" s="477">
        <f t="shared" si="102"/>
        <v>0</v>
      </c>
      <c r="D297" s="477">
        <f t="shared" si="100"/>
        <v>0</v>
      </c>
      <c r="E297" s="477">
        <f t="shared" si="100"/>
        <v>0</v>
      </c>
      <c r="F297" s="477">
        <f t="shared" si="100"/>
        <v>0</v>
      </c>
      <c r="G297" s="477">
        <f t="shared" si="100"/>
        <v>0</v>
      </c>
      <c r="H297" s="477">
        <f t="shared" si="100"/>
        <v>0</v>
      </c>
      <c r="I297" s="477">
        <f t="shared" si="100"/>
        <v>0</v>
      </c>
      <c r="J297" s="477">
        <f t="shared" si="100"/>
        <v>0</v>
      </c>
      <c r="K297" s="477">
        <f t="shared" si="100"/>
        <v>0</v>
      </c>
      <c r="L297" s="477">
        <f t="shared" si="100"/>
        <v>0</v>
      </c>
      <c r="M297" s="477">
        <f t="shared" si="100"/>
        <v>0</v>
      </c>
      <c r="N297" s="477">
        <f t="shared" si="100"/>
        <v>0</v>
      </c>
      <c r="O297" s="477">
        <f t="shared" si="100"/>
        <v>0</v>
      </c>
      <c r="P297" s="477">
        <f t="shared" si="100"/>
        <v>0</v>
      </c>
      <c r="Q297" s="477">
        <f t="shared" si="100"/>
        <v>0</v>
      </c>
      <c r="R297" s="477">
        <f t="shared" si="100"/>
        <v>0</v>
      </c>
      <c r="S297" s="477">
        <f t="shared" si="100"/>
        <v>0</v>
      </c>
      <c r="T297" s="477">
        <f t="shared" si="100"/>
        <v>0</v>
      </c>
      <c r="U297" s="477">
        <f t="shared" si="100"/>
        <v>0</v>
      </c>
      <c r="V297" s="477">
        <f t="shared" si="100"/>
        <v>0</v>
      </c>
      <c r="W297" s="477">
        <f t="shared" si="100"/>
        <v>0</v>
      </c>
      <c r="X297" s="477">
        <f t="shared" si="100"/>
        <v>0</v>
      </c>
      <c r="Y297" s="477">
        <f t="shared" si="100"/>
        <v>0</v>
      </c>
      <c r="Z297" s="477">
        <f t="shared" si="100"/>
        <v>0</v>
      </c>
      <c r="AA297" s="477">
        <f t="shared" si="103"/>
        <v>0</v>
      </c>
      <c r="AB297" s="477">
        <f t="shared" si="101"/>
        <v>0</v>
      </c>
      <c r="AC297" s="477">
        <f t="shared" si="101"/>
        <v>0</v>
      </c>
      <c r="AD297" s="477">
        <f t="shared" si="101"/>
        <v>0</v>
      </c>
      <c r="AE297" s="477">
        <f t="shared" si="101"/>
        <v>0</v>
      </c>
      <c r="AF297" s="477">
        <f t="shared" si="101"/>
        <v>0</v>
      </c>
      <c r="AG297" s="477">
        <f t="shared" si="101"/>
        <v>0</v>
      </c>
      <c r="AH297" s="477">
        <f t="shared" si="101"/>
        <v>0</v>
      </c>
      <c r="AI297" s="477">
        <f t="shared" si="101"/>
        <v>0</v>
      </c>
      <c r="AJ297" s="477">
        <f t="shared" si="101"/>
        <v>0</v>
      </c>
      <c r="AK297" s="477">
        <f t="shared" si="101"/>
        <v>0</v>
      </c>
      <c r="AL297" s="477">
        <f t="shared" si="101"/>
        <v>0</v>
      </c>
      <c r="AM297" s="477">
        <f t="shared" si="101"/>
        <v>0</v>
      </c>
      <c r="AN297" s="477">
        <f t="shared" si="101"/>
        <v>0</v>
      </c>
    </row>
    <row r="298" spans="1:40" s="599" customFormat="1" x14ac:dyDescent="0.3">
      <c r="A298" s="595">
        <v>5</v>
      </c>
      <c r="B298" s="595" t="s">
        <v>375</v>
      </c>
      <c r="C298" s="477">
        <f t="shared" si="102"/>
        <v>0</v>
      </c>
      <c r="D298" s="477">
        <f t="shared" si="100"/>
        <v>0</v>
      </c>
      <c r="E298" s="477">
        <f t="shared" si="100"/>
        <v>0</v>
      </c>
      <c r="F298" s="477">
        <f t="shared" si="100"/>
        <v>0</v>
      </c>
      <c r="G298" s="477">
        <f t="shared" si="100"/>
        <v>0</v>
      </c>
      <c r="H298" s="477">
        <f t="shared" si="100"/>
        <v>0</v>
      </c>
      <c r="I298" s="477">
        <f t="shared" si="100"/>
        <v>0</v>
      </c>
      <c r="J298" s="477">
        <f t="shared" si="100"/>
        <v>0</v>
      </c>
      <c r="K298" s="477">
        <f t="shared" si="100"/>
        <v>0</v>
      </c>
      <c r="L298" s="477">
        <f t="shared" si="100"/>
        <v>0</v>
      </c>
      <c r="M298" s="477">
        <f t="shared" si="100"/>
        <v>0</v>
      </c>
      <c r="N298" s="477">
        <f t="shared" si="100"/>
        <v>0</v>
      </c>
      <c r="O298" s="477">
        <f t="shared" si="100"/>
        <v>0</v>
      </c>
      <c r="P298" s="477">
        <f t="shared" si="100"/>
        <v>0</v>
      </c>
      <c r="Q298" s="477">
        <f t="shared" si="100"/>
        <v>0</v>
      </c>
      <c r="R298" s="477">
        <f t="shared" si="100"/>
        <v>0</v>
      </c>
      <c r="S298" s="477">
        <f t="shared" si="100"/>
        <v>0</v>
      </c>
      <c r="T298" s="477">
        <f t="shared" si="100"/>
        <v>0</v>
      </c>
      <c r="U298" s="477">
        <f t="shared" si="100"/>
        <v>0</v>
      </c>
      <c r="V298" s="477">
        <f t="shared" si="100"/>
        <v>0</v>
      </c>
      <c r="W298" s="477">
        <f t="shared" si="100"/>
        <v>0</v>
      </c>
      <c r="X298" s="477">
        <f t="shared" si="100"/>
        <v>0</v>
      </c>
      <c r="Y298" s="477">
        <f t="shared" si="100"/>
        <v>0</v>
      </c>
      <c r="Z298" s="477">
        <f t="shared" si="100"/>
        <v>0</v>
      </c>
      <c r="AA298" s="477">
        <f t="shared" si="103"/>
        <v>0</v>
      </c>
      <c r="AB298" s="477">
        <f t="shared" si="101"/>
        <v>0</v>
      </c>
      <c r="AC298" s="477">
        <f t="shared" si="101"/>
        <v>0</v>
      </c>
      <c r="AD298" s="477">
        <f t="shared" si="101"/>
        <v>0</v>
      </c>
      <c r="AE298" s="477">
        <f t="shared" si="101"/>
        <v>0</v>
      </c>
      <c r="AF298" s="477">
        <f t="shared" si="101"/>
        <v>0</v>
      </c>
      <c r="AG298" s="477">
        <f t="shared" si="101"/>
        <v>0</v>
      </c>
      <c r="AH298" s="477">
        <f t="shared" si="101"/>
        <v>0</v>
      </c>
      <c r="AI298" s="477">
        <f t="shared" si="101"/>
        <v>0</v>
      </c>
      <c r="AJ298" s="477">
        <f t="shared" si="101"/>
        <v>0</v>
      </c>
      <c r="AK298" s="477">
        <f t="shared" si="101"/>
        <v>0</v>
      </c>
      <c r="AL298" s="477">
        <f t="shared" si="101"/>
        <v>0</v>
      </c>
      <c r="AM298" s="477">
        <f t="shared" si="101"/>
        <v>0</v>
      </c>
      <c r="AN298" s="477">
        <f t="shared" si="101"/>
        <v>0</v>
      </c>
    </row>
    <row r="299" spans="1:40" s="599" customFormat="1" x14ac:dyDescent="0.3">
      <c r="A299" s="595">
        <v>6</v>
      </c>
      <c r="B299" s="595" t="s">
        <v>414</v>
      </c>
      <c r="C299" s="477">
        <f t="shared" si="102"/>
        <v>0</v>
      </c>
      <c r="D299" s="477">
        <f t="shared" si="100"/>
        <v>0</v>
      </c>
      <c r="E299" s="477">
        <f t="shared" si="100"/>
        <v>0</v>
      </c>
      <c r="F299" s="477">
        <f t="shared" si="100"/>
        <v>0</v>
      </c>
      <c r="G299" s="477">
        <f t="shared" si="100"/>
        <v>0</v>
      </c>
      <c r="H299" s="477">
        <f t="shared" si="100"/>
        <v>0</v>
      </c>
      <c r="I299" s="477">
        <f t="shared" si="100"/>
        <v>0</v>
      </c>
      <c r="J299" s="477">
        <f t="shared" si="100"/>
        <v>0</v>
      </c>
      <c r="K299" s="477">
        <f t="shared" si="100"/>
        <v>0</v>
      </c>
      <c r="L299" s="477">
        <f t="shared" si="100"/>
        <v>0</v>
      </c>
      <c r="M299" s="477">
        <f t="shared" si="100"/>
        <v>0</v>
      </c>
      <c r="N299" s="477">
        <f t="shared" si="100"/>
        <v>0</v>
      </c>
      <c r="O299" s="477">
        <f t="shared" si="100"/>
        <v>0</v>
      </c>
      <c r="P299" s="477">
        <f t="shared" si="100"/>
        <v>0</v>
      </c>
      <c r="Q299" s="477">
        <f t="shared" si="100"/>
        <v>0</v>
      </c>
      <c r="R299" s="477">
        <f t="shared" si="100"/>
        <v>0</v>
      </c>
      <c r="S299" s="477">
        <f t="shared" si="100"/>
        <v>0</v>
      </c>
      <c r="T299" s="477">
        <f t="shared" si="100"/>
        <v>0</v>
      </c>
      <c r="U299" s="477">
        <f t="shared" si="100"/>
        <v>0</v>
      </c>
      <c r="V299" s="477">
        <f t="shared" si="100"/>
        <v>0</v>
      </c>
      <c r="W299" s="477">
        <f t="shared" si="100"/>
        <v>0</v>
      </c>
      <c r="X299" s="477">
        <f t="shared" si="100"/>
        <v>0</v>
      </c>
      <c r="Y299" s="477">
        <f t="shared" si="100"/>
        <v>0</v>
      </c>
      <c r="Z299" s="477">
        <f t="shared" si="100"/>
        <v>0</v>
      </c>
      <c r="AA299" s="477">
        <f t="shared" si="103"/>
        <v>0</v>
      </c>
      <c r="AB299" s="477">
        <f t="shared" si="101"/>
        <v>0</v>
      </c>
      <c r="AC299" s="477">
        <f t="shared" si="101"/>
        <v>0</v>
      </c>
      <c r="AD299" s="477">
        <f t="shared" si="101"/>
        <v>0</v>
      </c>
      <c r="AE299" s="477">
        <f t="shared" si="101"/>
        <v>0</v>
      </c>
      <c r="AF299" s="477">
        <f t="shared" si="101"/>
        <v>0</v>
      </c>
      <c r="AG299" s="477">
        <f t="shared" si="101"/>
        <v>0</v>
      </c>
      <c r="AH299" s="477">
        <f t="shared" si="101"/>
        <v>0</v>
      </c>
      <c r="AI299" s="477">
        <f t="shared" si="101"/>
        <v>0</v>
      </c>
      <c r="AJ299" s="477">
        <f t="shared" si="101"/>
        <v>0</v>
      </c>
      <c r="AK299" s="477">
        <f t="shared" si="101"/>
        <v>0</v>
      </c>
      <c r="AL299" s="477">
        <f t="shared" si="101"/>
        <v>0</v>
      </c>
      <c r="AM299" s="477">
        <f t="shared" si="101"/>
        <v>0</v>
      </c>
      <c r="AN299" s="477">
        <f t="shared" si="101"/>
        <v>0</v>
      </c>
    </row>
    <row r="300" spans="1:40" s="599" customFormat="1" x14ac:dyDescent="0.3">
      <c r="A300" s="595">
        <v>7</v>
      </c>
      <c r="B300" s="595" t="s">
        <v>376</v>
      </c>
      <c r="C300" s="477">
        <f t="shared" si="102"/>
        <v>0</v>
      </c>
      <c r="D300" s="477">
        <f t="shared" si="100"/>
        <v>0</v>
      </c>
      <c r="E300" s="477">
        <f t="shared" si="100"/>
        <v>0</v>
      </c>
      <c r="F300" s="477">
        <f t="shared" si="100"/>
        <v>0</v>
      </c>
      <c r="G300" s="477">
        <f t="shared" si="100"/>
        <v>0</v>
      </c>
      <c r="H300" s="477">
        <f t="shared" si="100"/>
        <v>0</v>
      </c>
      <c r="I300" s="477">
        <f t="shared" si="100"/>
        <v>0</v>
      </c>
      <c r="J300" s="477">
        <f t="shared" si="100"/>
        <v>0</v>
      </c>
      <c r="K300" s="477">
        <f t="shared" si="100"/>
        <v>0</v>
      </c>
      <c r="L300" s="477">
        <f t="shared" si="100"/>
        <v>0</v>
      </c>
      <c r="M300" s="477">
        <f t="shared" si="100"/>
        <v>0</v>
      </c>
      <c r="N300" s="477">
        <f t="shared" si="100"/>
        <v>0</v>
      </c>
      <c r="O300" s="477">
        <f t="shared" si="100"/>
        <v>0</v>
      </c>
      <c r="P300" s="477">
        <f t="shared" si="100"/>
        <v>0</v>
      </c>
      <c r="Q300" s="477">
        <f t="shared" si="100"/>
        <v>0</v>
      </c>
      <c r="R300" s="477">
        <f t="shared" si="100"/>
        <v>0</v>
      </c>
      <c r="S300" s="477">
        <f t="shared" si="100"/>
        <v>0</v>
      </c>
      <c r="T300" s="477">
        <f t="shared" si="100"/>
        <v>0</v>
      </c>
      <c r="U300" s="477">
        <f t="shared" si="100"/>
        <v>0</v>
      </c>
      <c r="V300" s="477">
        <f t="shared" si="100"/>
        <v>0</v>
      </c>
      <c r="W300" s="477">
        <f t="shared" si="100"/>
        <v>0</v>
      </c>
      <c r="X300" s="477">
        <f t="shared" si="100"/>
        <v>0</v>
      </c>
      <c r="Y300" s="477">
        <f t="shared" si="100"/>
        <v>0</v>
      </c>
      <c r="Z300" s="477">
        <f t="shared" si="100"/>
        <v>0</v>
      </c>
      <c r="AA300" s="477">
        <f t="shared" si="103"/>
        <v>0</v>
      </c>
      <c r="AB300" s="477">
        <f t="shared" si="101"/>
        <v>0</v>
      </c>
      <c r="AC300" s="477">
        <f t="shared" si="101"/>
        <v>0</v>
      </c>
      <c r="AD300" s="477">
        <f t="shared" si="101"/>
        <v>0</v>
      </c>
      <c r="AE300" s="477">
        <f t="shared" si="101"/>
        <v>0</v>
      </c>
      <c r="AF300" s="477">
        <f t="shared" si="101"/>
        <v>0</v>
      </c>
      <c r="AG300" s="477">
        <f t="shared" si="101"/>
        <v>0</v>
      </c>
      <c r="AH300" s="477">
        <f t="shared" si="101"/>
        <v>0</v>
      </c>
      <c r="AI300" s="477">
        <f t="shared" si="101"/>
        <v>0</v>
      </c>
      <c r="AJ300" s="477">
        <f t="shared" si="101"/>
        <v>0</v>
      </c>
      <c r="AK300" s="477">
        <f t="shared" si="101"/>
        <v>0</v>
      </c>
      <c r="AL300" s="477">
        <f t="shared" si="101"/>
        <v>0</v>
      </c>
      <c r="AM300" s="477">
        <f t="shared" si="101"/>
        <v>0</v>
      </c>
      <c r="AN300" s="477">
        <f t="shared" si="101"/>
        <v>0</v>
      </c>
    </row>
    <row r="301" spans="1:40" s="599" customFormat="1" x14ac:dyDescent="0.3">
      <c r="A301" s="595">
        <v>8</v>
      </c>
      <c r="B301" s="595" t="s">
        <v>377</v>
      </c>
      <c r="C301" s="477">
        <f t="shared" si="102"/>
        <v>0</v>
      </c>
      <c r="D301" s="477">
        <f t="shared" si="100"/>
        <v>0</v>
      </c>
      <c r="E301" s="477">
        <f t="shared" si="100"/>
        <v>0</v>
      </c>
      <c r="F301" s="477">
        <f t="shared" si="100"/>
        <v>0</v>
      </c>
      <c r="G301" s="477">
        <f t="shared" si="100"/>
        <v>0</v>
      </c>
      <c r="H301" s="477">
        <f t="shared" si="100"/>
        <v>0</v>
      </c>
      <c r="I301" s="477">
        <f t="shared" si="100"/>
        <v>0</v>
      </c>
      <c r="J301" s="477">
        <f t="shared" si="100"/>
        <v>0</v>
      </c>
      <c r="K301" s="477">
        <f t="shared" si="100"/>
        <v>0</v>
      </c>
      <c r="L301" s="477">
        <f t="shared" si="100"/>
        <v>0</v>
      </c>
      <c r="M301" s="477">
        <f t="shared" si="100"/>
        <v>0</v>
      </c>
      <c r="N301" s="477">
        <f t="shared" si="100"/>
        <v>0</v>
      </c>
      <c r="O301" s="477">
        <f t="shared" si="100"/>
        <v>0</v>
      </c>
      <c r="P301" s="477">
        <f t="shared" si="100"/>
        <v>0</v>
      </c>
      <c r="Q301" s="477">
        <f t="shared" si="100"/>
        <v>0</v>
      </c>
      <c r="R301" s="477">
        <f t="shared" si="100"/>
        <v>0</v>
      </c>
      <c r="S301" s="477">
        <f t="shared" si="100"/>
        <v>0</v>
      </c>
      <c r="T301" s="477">
        <f t="shared" si="100"/>
        <v>0</v>
      </c>
      <c r="U301" s="477">
        <f t="shared" si="100"/>
        <v>0</v>
      </c>
      <c r="V301" s="477">
        <f t="shared" si="100"/>
        <v>0</v>
      </c>
      <c r="W301" s="477">
        <f t="shared" si="100"/>
        <v>0</v>
      </c>
      <c r="X301" s="477">
        <f t="shared" si="100"/>
        <v>0</v>
      </c>
      <c r="Y301" s="477">
        <f t="shared" si="100"/>
        <v>0</v>
      </c>
      <c r="Z301" s="477">
        <f t="shared" si="100"/>
        <v>0</v>
      </c>
      <c r="AA301" s="477">
        <f t="shared" si="103"/>
        <v>0</v>
      </c>
      <c r="AB301" s="477">
        <f t="shared" si="101"/>
        <v>0</v>
      </c>
      <c r="AC301" s="477">
        <f t="shared" si="101"/>
        <v>0</v>
      </c>
      <c r="AD301" s="477">
        <f t="shared" si="101"/>
        <v>0</v>
      </c>
      <c r="AE301" s="477">
        <f t="shared" si="101"/>
        <v>0</v>
      </c>
      <c r="AF301" s="477">
        <f t="shared" si="101"/>
        <v>0</v>
      </c>
      <c r="AG301" s="477">
        <f t="shared" si="101"/>
        <v>0</v>
      </c>
      <c r="AH301" s="477">
        <f t="shared" si="101"/>
        <v>0</v>
      </c>
      <c r="AI301" s="477">
        <f t="shared" si="101"/>
        <v>0</v>
      </c>
      <c r="AJ301" s="477">
        <f t="shared" si="101"/>
        <v>0</v>
      </c>
      <c r="AK301" s="477">
        <f t="shared" si="101"/>
        <v>0</v>
      </c>
      <c r="AL301" s="477">
        <f t="shared" si="101"/>
        <v>0</v>
      </c>
      <c r="AM301" s="477">
        <f t="shared" si="101"/>
        <v>0</v>
      </c>
      <c r="AN301" s="477">
        <f t="shared" si="101"/>
        <v>0</v>
      </c>
    </row>
    <row r="302" spans="1:40" s="599" customFormat="1" x14ac:dyDescent="0.3">
      <c r="A302" s="595">
        <v>9</v>
      </c>
      <c r="B302" s="595" t="s">
        <v>378</v>
      </c>
      <c r="C302" s="477">
        <f t="shared" si="102"/>
        <v>0</v>
      </c>
      <c r="D302" s="477">
        <f t="shared" si="100"/>
        <v>0</v>
      </c>
      <c r="E302" s="477">
        <f t="shared" si="100"/>
        <v>0</v>
      </c>
      <c r="F302" s="477">
        <f t="shared" si="100"/>
        <v>0</v>
      </c>
      <c r="G302" s="477">
        <f t="shared" si="100"/>
        <v>0</v>
      </c>
      <c r="H302" s="477">
        <f t="shared" si="100"/>
        <v>0</v>
      </c>
      <c r="I302" s="477">
        <f t="shared" si="100"/>
        <v>0</v>
      </c>
      <c r="J302" s="477">
        <f t="shared" si="100"/>
        <v>0</v>
      </c>
      <c r="K302" s="477">
        <f t="shared" si="100"/>
        <v>0</v>
      </c>
      <c r="L302" s="477">
        <f t="shared" si="100"/>
        <v>0</v>
      </c>
      <c r="M302" s="477">
        <f t="shared" si="100"/>
        <v>0</v>
      </c>
      <c r="N302" s="477">
        <f t="shared" si="100"/>
        <v>0</v>
      </c>
      <c r="O302" s="477">
        <f t="shared" si="100"/>
        <v>0</v>
      </c>
      <c r="P302" s="477">
        <f t="shared" si="100"/>
        <v>0</v>
      </c>
      <c r="Q302" s="477">
        <f t="shared" si="100"/>
        <v>0</v>
      </c>
      <c r="R302" s="477">
        <f t="shared" si="100"/>
        <v>0</v>
      </c>
      <c r="S302" s="477">
        <f t="shared" si="100"/>
        <v>0</v>
      </c>
      <c r="T302" s="477">
        <f t="shared" si="100"/>
        <v>0</v>
      </c>
      <c r="U302" s="477">
        <f t="shared" si="100"/>
        <v>0</v>
      </c>
      <c r="V302" s="477">
        <f t="shared" si="100"/>
        <v>0</v>
      </c>
      <c r="W302" s="477">
        <f t="shared" si="100"/>
        <v>0</v>
      </c>
      <c r="X302" s="477">
        <f t="shared" si="100"/>
        <v>0</v>
      </c>
      <c r="Y302" s="477">
        <f t="shared" si="100"/>
        <v>0</v>
      </c>
      <c r="Z302" s="477">
        <f t="shared" si="100"/>
        <v>0</v>
      </c>
      <c r="AA302" s="477">
        <f t="shared" si="103"/>
        <v>0</v>
      </c>
      <c r="AB302" s="477">
        <f t="shared" si="101"/>
        <v>0</v>
      </c>
      <c r="AC302" s="477">
        <f t="shared" si="101"/>
        <v>0</v>
      </c>
      <c r="AD302" s="477">
        <f t="shared" si="101"/>
        <v>0</v>
      </c>
      <c r="AE302" s="477">
        <f t="shared" si="101"/>
        <v>0</v>
      </c>
      <c r="AF302" s="477">
        <f t="shared" si="101"/>
        <v>0</v>
      </c>
      <c r="AG302" s="477">
        <f t="shared" si="101"/>
        <v>0</v>
      </c>
      <c r="AH302" s="477">
        <f t="shared" si="101"/>
        <v>0</v>
      </c>
      <c r="AI302" s="477">
        <f t="shared" si="101"/>
        <v>0</v>
      </c>
      <c r="AJ302" s="477">
        <f t="shared" si="101"/>
        <v>0</v>
      </c>
      <c r="AK302" s="477">
        <f t="shared" si="101"/>
        <v>0</v>
      </c>
      <c r="AL302" s="477">
        <f t="shared" si="101"/>
        <v>0</v>
      </c>
      <c r="AM302" s="477">
        <f t="shared" si="101"/>
        <v>0</v>
      </c>
      <c r="AN302" s="477">
        <f t="shared" si="101"/>
        <v>0</v>
      </c>
    </row>
    <row r="303" spans="1:40" s="599" customFormat="1" x14ac:dyDescent="0.3">
      <c r="A303" s="595">
        <v>10</v>
      </c>
      <c r="B303" s="595" t="s">
        <v>379</v>
      </c>
      <c r="C303" s="477">
        <f t="shared" si="102"/>
        <v>0</v>
      </c>
      <c r="D303" s="477">
        <f t="shared" si="100"/>
        <v>0</v>
      </c>
      <c r="E303" s="477">
        <f t="shared" si="100"/>
        <v>0</v>
      </c>
      <c r="F303" s="477">
        <f t="shared" si="100"/>
        <v>0</v>
      </c>
      <c r="G303" s="477">
        <f t="shared" si="100"/>
        <v>0</v>
      </c>
      <c r="H303" s="477">
        <f t="shared" si="100"/>
        <v>0</v>
      </c>
      <c r="I303" s="477">
        <f t="shared" si="100"/>
        <v>0</v>
      </c>
      <c r="J303" s="477">
        <f t="shared" si="100"/>
        <v>0</v>
      </c>
      <c r="K303" s="477">
        <f t="shared" si="100"/>
        <v>0</v>
      </c>
      <c r="L303" s="477">
        <f t="shared" si="100"/>
        <v>0</v>
      </c>
      <c r="M303" s="477">
        <f t="shared" si="100"/>
        <v>0</v>
      </c>
      <c r="N303" s="477">
        <f t="shared" si="100"/>
        <v>0</v>
      </c>
      <c r="O303" s="477">
        <f t="shared" si="100"/>
        <v>0</v>
      </c>
      <c r="P303" s="477">
        <f t="shared" si="100"/>
        <v>0</v>
      </c>
      <c r="Q303" s="477">
        <f t="shared" si="100"/>
        <v>0</v>
      </c>
      <c r="R303" s="477">
        <f t="shared" si="100"/>
        <v>0</v>
      </c>
      <c r="S303" s="477">
        <f t="shared" si="100"/>
        <v>0</v>
      </c>
      <c r="T303" s="477">
        <f t="shared" si="100"/>
        <v>0</v>
      </c>
      <c r="U303" s="477">
        <f t="shared" si="100"/>
        <v>0</v>
      </c>
      <c r="V303" s="477">
        <f t="shared" si="100"/>
        <v>0</v>
      </c>
      <c r="W303" s="477">
        <f t="shared" si="100"/>
        <v>0</v>
      </c>
      <c r="X303" s="477">
        <f t="shared" si="100"/>
        <v>0</v>
      </c>
      <c r="Y303" s="477">
        <f t="shared" si="100"/>
        <v>0</v>
      </c>
      <c r="Z303" s="477">
        <f t="shared" si="100"/>
        <v>0</v>
      </c>
      <c r="AA303" s="477">
        <f t="shared" si="103"/>
        <v>0</v>
      </c>
      <c r="AB303" s="477">
        <f t="shared" si="101"/>
        <v>0</v>
      </c>
      <c r="AC303" s="477">
        <f t="shared" si="101"/>
        <v>0</v>
      </c>
      <c r="AD303" s="477">
        <f t="shared" si="101"/>
        <v>0</v>
      </c>
      <c r="AE303" s="477">
        <f t="shared" si="101"/>
        <v>0</v>
      </c>
      <c r="AF303" s="477">
        <f t="shared" si="101"/>
        <v>0</v>
      </c>
      <c r="AG303" s="477">
        <f t="shared" si="101"/>
        <v>0</v>
      </c>
      <c r="AH303" s="477">
        <f t="shared" si="101"/>
        <v>0</v>
      </c>
      <c r="AI303" s="477">
        <f t="shared" si="101"/>
        <v>0</v>
      </c>
      <c r="AJ303" s="477">
        <f t="shared" si="101"/>
        <v>0</v>
      </c>
      <c r="AK303" s="477">
        <f t="shared" si="101"/>
        <v>0</v>
      </c>
      <c r="AL303" s="477">
        <f t="shared" si="101"/>
        <v>0</v>
      </c>
      <c r="AM303" s="477">
        <f t="shared" si="101"/>
        <v>0</v>
      </c>
      <c r="AN303" s="477">
        <f t="shared" si="101"/>
        <v>0</v>
      </c>
    </row>
    <row r="304" spans="1:40" s="599" customFormat="1" x14ac:dyDescent="0.3">
      <c r="A304" s="595">
        <v>11</v>
      </c>
      <c r="B304" s="595" t="s">
        <v>380</v>
      </c>
      <c r="C304" s="477">
        <f t="shared" si="102"/>
        <v>0</v>
      </c>
      <c r="D304" s="477">
        <f t="shared" si="100"/>
        <v>0</v>
      </c>
      <c r="E304" s="477">
        <f t="shared" si="100"/>
        <v>0</v>
      </c>
      <c r="F304" s="477">
        <f t="shared" si="100"/>
        <v>0</v>
      </c>
      <c r="G304" s="477">
        <f t="shared" si="100"/>
        <v>0</v>
      </c>
      <c r="H304" s="477">
        <f t="shared" si="100"/>
        <v>0</v>
      </c>
      <c r="I304" s="477">
        <f t="shared" si="100"/>
        <v>0</v>
      </c>
      <c r="J304" s="477">
        <f t="shared" si="100"/>
        <v>0</v>
      </c>
      <c r="K304" s="477">
        <f t="shared" si="100"/>
        <v>0</v>
      </c>
      <c r="L304" s="477">
        <f t="shared" si="100"/>
        <v>0</v>
      </c>
      <c r="M304" s="477">
        <f t="shared" si="100"/>
        <v>0</v>
      </c>
      <c r="N304" s="477">
        <f t="shared" si="100"/>
        <v>0</v>
      </c>
      <c r="O304" s="477">
        <f t="shared" si="100"/>
        <v>0</v>
      </c>
      <c r="P304" s="477">
        <f t="shared" si="100"/>
        <v>0</v>
      </c>
      <c r="Q304" s="477">
        <f t="shared" si="100"/>
        <v>0</v>
      </c>
      <c r="R304" s="477">
        <f t="shared" si="100"/>
        <v>0</v>
      </c>
      <c r="S304" s="477">
        <f t="shared" si="100"/>
        <v>0</v>
      </c>
      <c r="T304" s="477">
        <f t="shared" si="100"/>
        <v>0</v>
      </c>
      <c r="U304" s="477">
        <f t="shared" si="100"/>
        <v>0</v>
      </c>
      <c r="V304" s="477">
        <f t="shared" si="100"/>
        <v>0</v>
      </c>
      <c r="W304" s="477">
        <f t="shared" si="100"/>
        <v>0</v>
      </c>
      <c r="X304" s="477">
        <f t="shared" si="100"/>
        <v>0</v>
      </c>
      <c r="Y304" s="477">
        <f t="shared" si="100"/>
        <v>0</v>
      </c>
      <c r="Z304" s="477">
        <f t="shared" si="100"/>
        <v>0</v>
      </c>
      <c r="AA304" s="477">
        <f t="shared" si="103"/>
        <v>0</v>
      </c>
      <c r="AB304" s="477">
        <f t="shared" si="101"/>
        <v>0</v>
      </c>
      <c r="AC304" s="477">
        <f t="shared" si="101"/>
        <v>0</v>
      </c>
      <c r="AD304" s="477">
        <f t="shared" si="101"/>
        <v>0</v>
      </c>
      <c r="AE304" s="477">
        <f t="shared" si="101"/>
        <v>0</v>
      </c>
      <c r="AF304" s="477">
        <f t="shared" si="101"/>
        <v>0</v>
      </c>
      <c r="AG304" s="477">
        <f t="shared" si="101"/>
        <v>0</v>
      </c>
      <c r="AH304" s="477">
        <f t="shared" si="101"/>
        <v>0</v>
      </c>
      <c r="AI304" s="477">
        <f t="shared" si="101"/>
        <v>0</v>
      </c>
      <c r="AJ304" s="477">
        <f t="shared" si="101"/>
        <v>0</v>
      </c>
      <c r="AK304" s="477">
        <f t="shared" si="101"/>
        <v>0</v>
      </c>
      <c r="AL304" s="477">
        <f t="shared" si="101"/>
        <v>0</v>
      </c>
      <c r="AM304" s="477">
        <f t="shared" si="101"/>
        <v>0</v>
      </c>
      <c r="AN304" s="477">
        <f t="shared" si="101"/>
        <v>0</v>
      </c>
    </row>
    <row r="305" spans="1:40" s="599" customFormat="1" x14ac:dyDescent="0.3">
      <c r="A305" s="595">
        <v>12</v>
      </c>
      <c r="B305" s="595" t="s">
        <v>381</v>
      </c>
      <c r="C305" s="477">
        <f t="shared" si="102"/>
        <v>0</v>
      </c>
      <c r="D305" s="477">
        <f t="shared" si="100"/>
        <v>0</v>
      </c>
      <c r="E305" s="477">
        <f t="shared" si="100"/>
        <v>0</v>
      </c>
      <c r="F305" s="477">
        <f t="shared" si="100"/>
        <v>0</v>
      </c>
      <c r="G305" s="477">
        <f t="shared" si="100"/>
        <v>0</v>
      </c>
      <c r="H305" s="477">
        <f t="shared" si="100"/>
        <v>0</v>
      </c>
      <c r="I305" s="477">
        <f t="shared" si="100"/>
        <v>0</v>
      </c>
      <c r="J305" s="477">
        <f t="shared" ref="D305:Z308" si="104">J18+J42+J66+J89+J113+J136+J160+J184+J208+J232+J256+J280</f>
        <v>0</v>
      </c>
      <c r="K305" s="477">
        <f t="shared" si="104"/>
        <v>0</v>
      </c>
      <c r="L305" s="477">
        <f t="shared" si="104"/>
        <v>0</v>
      </c>
      <c r="M305" s="477">
        <f t="shared" si="104"/>
        <v>0</v>
      </c>
      <c r="N305" s="477">
        <f t="shared" si="104"/>
        <v>0</v>
      </c>
      <c r="O305" s="477">
        <f t="shared" si="104"/>
        <v>0</v>
      </c>
      <c r="P305" s="477">
        <f t="shared" si="104"/>
        <v>0</v>
      </c>
      <c r="Q305" s="477">
        <f t="shared" si="104"/>
        <v>0</v>
      </c>
      <c r="R305" s="477">
        <f t="shared" si="104"/>
        <v>0</v>
      </c>
      <c r="S305" s="477">
        <f t="shared" si="104"/>
        <v>0</v>
      </c>
      <c r="T305" s="477">
        <f t="shared" si="104"/>
        <v>0</v>
      </c>
      <c r="U305" s="477">
        <f t="shared" si="104"/>
        <v>0</v>
      </c>
      <c r="V305" s="477">
        <f t="shared" si="104"/>
        <v>0</v>
      </c>
      <c r="W305" s="477">
        <f t="shared" si="104"/>
        <v>0</v>
      </c>
      <c r="X305" s="477">
        <f t="shared" si="104"/>
        <v>0</v>
      </c>
      <c r="Y305" s="477">
        <f t="shared" si="104"/>
        <v>0</v>
      </c>
      <c r="Z305" s="477">
        <f t="shared" si="104"/>
        <v>0</v>
      </c>
      <c r="AA305" s="477">
        <f t="shared" si="103"/>
        <v>0</v>
      </c>
      <c r="AB305" s="477">
        <f t="shared" si="101"/>
        <v>0</v>
      </c>
      <c r="AC305" s="477">
        <f t="shared" si="101"/>
        <v>0</v>
      </c>
      <c r="AD305" s="477">
        <f t="shared" si="101"/>
        <v>0</v>
      </c>
      <c r="AE305" s="477">
        <f t="shared" si="101"/>
        <v>0</v>
      </c>
      <c r="AF305" s="477">
        <f t="shared" si="101"/>
        <v>0</v>
      </c>
      <c r="AG305" s="477">
        <f t="shared" si="101"/>
        <v>0</v>
      </c>
      <c r="AH305" s="477">
        <f t="shared" si="101"/>
        <v>0</v>
      </c>
      <c r="AI305" s="477">
        <f t="shared" si="101"/>
        <v>0</v>
      </c>
      <c r="AJ305" s="477">
        <f t="shared" si="101"/>
        <v>0</v>
      </c>
      <c r="AK305" s="477">
        <f t="shared" si="101"/>
        <v>0</v>
      </c>
      <c r="AL305" s="477">
        <f t="shared" si="101"/>
        <v>0</v>
      </c>
      <c r="AM305" s="477">
        <f t="shared" si="101"/>
        <v>0</v>
      </c>
      <c r="AN305" s="477">
        <f t="shared" si="101"/>
        <v>0</v>
      </c>
    </row>
    <row r="306" spans="1:40" s="599" customFormat="1" x14ac:dyDescent="0.3">
      <c r="A306" s="595">
        <v>13</v>
      </c>
      <c r="B306" s="595" t="s">
        <v>382</v>
      </c>
      <c r="C306" s="477">
        <f t="shared" si="102"/>
        <v>0</v>
      </c>
      <c r="D306" s="477">
        <f t="shared" si="104"/>
        <v>0</v>
      </c>
      <c r="E306" s="477">
        <f t="shared" si="104"/>
        <v>0</v>
      </c>
      <c r="F306" s="477">
        <f t="shared" si="104"/>
        <v>0</v>
      </c>
      <c r="G306" s="477">
        <f t="shared" si="104"/>
        <v>0</v>
      </c>
      <c r="H306" s="477">
        <f t="shared" si="104"/>
        <v>0</v>
      </c>
      <c r="I306" s="477">
        <f t="shared" si="104"/>
        <v>0</v>
      </c>
      <c r="J306" s="477">
        <f t="shared" si="104"/>
        <v>0</v>
      </c>
      <c r="K306" s="477">
        <f t="shared" si="104"/>
        <v>0</v>
      </c>
      <c r="L306" s="477">
        <f t="shared" si="104"/>
        <v>0</v>
      </c>
      <c r="M306" s="477">
        <f t="shared" si="104"/>
        <v>0</v>
      </c>
      <c r="N306" s="477">
        <f t="shared" si="104"/>
        <v>0</v>
      </c>
      <c r="O306" s="477">
        <f t="shared" si="104"/>
        <v>0</v>
      </c>
      <c r="P306" s="477">
        <f t="shared" si="104"/>
        <v>0</v>
      </c>
      <c r="Q306" s="477">
        <f t="shared" si="104"/>
        <v>0</v>
      </c>
      <c r="R306" s="477">
        <f t="shared" si="104"/>
        <v>0</v>
      </c>
      <c r="S306" s="477">
        <f t="shared" si="104"/>
        <v>0</v>
      </c>
      <c r="T306" s="477">
        <f t="shared" si="104"/>
        <v>0</v>
      </c>
      <c r="U306" s="477">
        <f t="shared" si="104"/>
        <v>0</v>
      </c>
      <c r="V306" s="477">
        <f t="shared" si="104"/>
        <v>0</v>
      </c>
      <c r="W306" s="477">
        <f t="shared" si="104"/>
        <v>0</v>
      </c>
      <c r="X306" s="477">
        <f t="shared" si="104"/>
        <v>0</v>
      </c>
      <c r="Y306" s="477">
        <f t="shared" si="104"/>
        <v>0</v>
      </c>
      <c r="Z306" s="477">
        <f t="shared" si="104"/>
        <v>0</v>
      </c>
      <c r="AA306" s="477">
        <f t="shared" si="103"/>
        <v>0</v>
      </c>
      <c r="AB306" s="477">
        <f t="shared" si="101"/>
        <v>0</v>
      </c>
      <c r="AC306" s="477">
        <f t="shared" si="101"/>
        <v>0</v>
      </c>
      <c r="AD306" s="477">
        <f t="shared" si="101"/>
        <v>0</v>
      </c>
      <c r="AE306" s="477">
        <f t="shared" si="101"/>
        <v>0</v>
      </c>
      <c r="AF306" s="477">
        <f t="shared" si="101"/>
        <v>0</v>
      </c>
      <c r="AG306" s="477">
        <f t="shared" si="101"/>
        <v>0</v>
      </c>
      <c r="AH306" s="477">
        <f t="shared" si="101"/>
        <v>0</v>
      </c>
      <c r="AI306" s="477">
        <f t="shared" si="101"/>
        <v>0</v>
      </c>
      <c r="AJ306" s="477">
        <f t="shared" si="101"/>
        <v>0</v>
      </c>
      <c r="AK306" s="477">
        <f t="shared" si="101"/>
        <v>0</v>
      </c>
      <c r="AL306" s="477">
        <f t="shared" si="101"/>
        <v>0</v>
      </c>
      <c r="AM306" s="477">
        <f t="shared" si="101"/>
        <v>0</v>
      </c>
      <c r="AN306" s="477">
        <f t="shared" si="101"/>
        <v>0</v>
      </c>
    </row>
    <row r="307" spans="1:40" s="599" customFormat="1" x14ac:dyDescent="0.3">
      <c r="A307" s="595">
        <v>14</v>
      </c>
      <c r="B307" s="595" t="s">
        <v>383</v>
      </c>
      <c r="C307" s="477">
        <f t="shared" si="102"/>
        <v>0</v>
      </c>
      <c r="D307" s="477">
        <f t="shared" si="104"/>
        <v>0</v>
      </c>
      <c r="E307" s="477">
        <f t="shared" si="104"/>
        <v>0</v>
      </c>
      <c r="F307" s="477">
        <f t="shared" si="104"/>
        <v>0</v>
      </c>
      <c r="G307" s="477">
        <f t="shared" si="104"/>
        <v>0</v>
      </c>
      <c r="H307" s="477">
        <f t="shared" si="104"/>
        <v>0</v>
      </c>
      <c r="I307" s="477">
        <f t="shared" si="104"/>
        <v>0</v>
      </c>
      <c r="J307" s="477">
        <f t="shared" si="104"/>
        <v>0</v>
      </c>
      <c r="K307" s="477">
        <f t="shared" si="104"/>
        <v>0</v>
      </c>
      <c r="L307" s="477">
        <f t="shared" si="104"/>
        <v>0</v>
      </c>
      <c r="M307" s="477">
        <f t="shared" si="104"/>
        <v>0</v>
      </c>
      <c r="N307" s="477">
        <f t="shared" si="104"/>
        <v>0</v>
      </c>
      <c r="O307" s="477">
        <f t="shared" si="104"/>
        <v>0</v>
      </c>
      <c r="P307" s="477">
        <f t="shared" si="104"/>
        <v>0</v>
      </c>
      <c r="Q307" s="477">
        <f t="shared" si="104"/>
        <v>0</v>
      </c>
      <c r="R307" s="477">
        <f t="shared" si="104"/>
        <v>0</v>
      </c>
      <c r="S307" s="477">
        <f t="shared" si="104"/>
        <v>0</v>
      </c>
      <c r="T307" s="477">
        <f t="shared" si="104"/>
        <v>0</v>
      </c>
      <c r="U307" s="477">
        <f t="shared" si="104"/>
        <v>0</v>
      </c>
      <c r="V307" s="477">
        <f t="shared" si="104"/>
        <v>0</v>
      </c>
      <c r="W307" s="477">
        <f t="shared" si="104"/>
        <v>0</v>
      </c>
      <c r="X307" s="477">
        <f t="shared" si="104"/>
        <v>0</v>
      </c>
      <c r="Y307" s="477">
        <f t="shared" si="104"/>
        <v>0</v>
      </c>
      <c r="Z307" s="477">
        <f t="shared" si="104"/>
        <v>0</v>
      </c>
      <c r="AA307" s="477">
        <f t="shared" si="103"/>
        <v>0</v>
      </c>
      <c r="AB307" s="477">
        <f t="shared" si="101"/>
        <v>0</v>
      </c>
      <c r="AC307" s="477">
        <f t="shared" si="101"/>
        <v>0</v>
      </c>
      <c r="AD307" s="477">
        <f t="shared" si="101"/>
        <v>0</v>
      </c>
      <c r="AE307" s="477">
        <f t="shared" si="101"/>
        <v>0</v>
      </c>
      <c r="AF307" s="477">
        <f t="shared" si="101"/>
        <v>0</v>
      </c>
      <c r="AG307" s="477">
        <f t="shared" si="101"/>
        <v>0</v>
      </c>
      <c r="AH307" s="477">
        <f t="shared" si="101"/>
        <v>0</v>
      </c>
      <c r="AI307" s="477">
        <f t="shared" si="101"/>
        <v>0</v>
      </c>
      <c r="AJ307" s="477">
        <f t="shared" si="101"/>
        <v>0</v>
      </c>
      <c r="AK307" s="477">
        <f t="shared" si="101"/>
        <v>0</v>
      </c>
      <c r="AL307" s="477">
        <f t="shared" si="101"/>
        <v>0</v>
      </c>
      <c r="AM307" s="477">
        <f t="shared" si="101"/>
        <v>0</v>
      </c>
      <c r="AN307" s="477">
        <f t="shared" si="101"/>
        <v>0</v>
      </c>
    </row>
    <row r="308" spans="1:40" s="599" customFormat="1" x14ac:dyDescent="0.3">
      <c r="A308" s="595">
        <v>15</v>
      </c>
      <c r="B308" s="477" t="s">
        <v>384</v>
      </c>
      <c r="C308" s="477">
        <f t="shared" si="102"/>
        <v>0</v>
      </c>
      <c r="D308" s="477">
        <f t="shared" si="104"/>
        <v>0</v>
      </c>
      <c r="E308" s="477">
        <f t="shared" si="104"/>
        <v>0</v>
      </c>
      <c r="F308" s="477">
        <f t="shared" si="104"/>
        <v>0</v>
      </c>
      <c r="G308" s="477">
        <f t="shared" si="104"/>
        <v>0</v>
      </c>
      <c r="H308" s="477">
        <f t="shared" si="104"/>
        <v>0</v>
      </c>
      <c r="I308" s="477">
        <f t="shared" si="104"/>
        <v>0</v>
      </c>
      <c r="J308" s="477">
        <f t="shared" si="104"/>
        <v>0</v>
      </c>
      <c r="K308" s="477">
        <f t="shared" si="104"/>
        <v>0</v>
      </c>
      <c r="L308" s="477">
        <f t="shared" si="104"/>
        <v>0</v>
      </c>
      <c r="M308" s="477">
        <f t="shared" si="104"/>
        <v>0</v>
      </c>
      <c r="N308" s="477">
        <f t="shared" si="104"/>
        <v>0</v>
      </c>
      <c r="O308" s="477">
        <f t="shared" si="104"/>
        <v>0</v>
      </c>
      <c r="P308" s="477">
        <f t="shared" si="104"/>
        <v>0</v>
      </c>
      <c r="Q308" s="477">
        <f t="shared" si="104"/>
        <v>0</v>
      </c>
      <c r="R308" s="477">
        <f t="shared" si="104"/>
        <v>0</v>
      </c>
      <c r="S308" s="477">
        <f t="shared" si="104"/>
        <v>0</v>
      </c>
      <c r="T308" s="477">
        <f t="shared" si="104"/>
        <v>0</v>
      </c>
      <c r="U308" s="477">
        <f t="shared" si="104"/>
        <v>0</v>
      </c>
      <c r="V308" s="477">
        <f t="shared" si="104"/>
        <v>0</v>
      </c>
      <c r="W308" s="477">
        <f t="shared" si="104"/>
        <v>0</v>
      </c>
      <c r="X308" s="477">
        <f t="shared" si="104"/>
        <v>0</v>
      </c>
      <c r="Y308" s="477">
        <f t="shared" si="104"/>
        <v>0</v>
      </c>
      <c r="Z308" s="477">
        <f t="shared" si="104"/>
        <v>0</v>
      </c>
      <c r="AA308" s="477">
        <f t="shared" si="103"/>
        <v>0</v>
      </c>
      <c r="AB308" s="477">
        <f t="shared" si="101"/>
        <v>0</v>
      </c>
      <c r="AC308" s="477">
        <f t="shared" si="101"/>
        <v>0</v>
      </c>
      <c r="AD308" s="477">
        <f t="shared" si="101"/>
        <v>0</v>
      </c>
      <c r="AE308" s="477">
        <f t="shared" si="101"/>
        <v>0</v>
      </c>
      <c r="AF308" s="477">
        <f t="shared" si="101"/>
        <v>0</v>
      </c>
      <c r="AG308" s="477">
        <f t="shared" si="101"/>
        <v>0</v>
      </c>
      <c r="AH308" s="477">
        <f t="shared" si="101"/>
        <v>0</v>
      </c>
      <c r="AI308" s="477">
        <f t="shared" si="101"/>
        <v>0</v>
      </c>
      <c r="AJ308" s="477">
        <f t="shared" si="101"/>
        <v>0</v>
      </c>
      <c r="AK308" s="477">
        <f t="shared" si="101"/>
        <v>0</v>
      </c>
      <c r="AL308" s="477">
        <f t="shared" si="101"/>
        <v>0</v>
      </c>
      <c r="AM308" s="477">
        <f t="shared" si="101"/>
        <v>0</v>
      </c>
      <c r="AN308" s="477">
        <f t="shared" si="101"/>
        <v>0</v>
      </c>
    </row>
    <row r="309" spans="1:40" s="599" customFormat="1" x14ac:dyDescent="0.3">
      <c r="A309" s="502"/>
      <c r="B309" s="596" t="s">
        <v>18</v>
      </c>
      <c r="C309" s="501">
        <f>SUM(C294:C308)</f>
        <v>0</v>
      </c>
      <c r="D309" s="501">
        <f t="shared" ref="D309:AN309" si="105">SUM(D294:D308)</f>
        <v>0</v>
      </c>
      <c r="E309" s="501">
        <f t="shared" si="105"/>
        <v>0</v>
      </c>
      <c r="F309" s="501">
        <f t="shared" si="105"/>
        <v>0</v>
      </c>
      <c r="G309" s="501">
        <f t="shared" si="105"/>
        <v>0</v>
      </c>
      <c r="H309" s="501">
        <f t="shared" si="105"/>
        <v>0</v>
      </c>
      <c r="I309" s="501">
        <f t="shared" si="105"/>
        <v>0</v>
      </c>
      <c r="J309" s="501">
        <f t="shared" si="105"/>
        <v>0</v>
      </c>
      <c r="K309" s="501">
        <f t="shared" si="105"/>
        <v>0</v>
      </c>
      <c r="L309" s="501">
        <f t="shared" si="105"/>
        <v>0</v>
      </c>
      <c r="M309" s="501">
        <f t="shared" si="105"/>
        <v>0</v>
      </c>
      <c r="N309" s="501">
        <f t="shared" si="105"/>
        <v>0</v>
      </c>
      <c r="O309" s="501">
        <f t="shared" si="105"/>
        <v>0</v>
      </c>
      <c r="P309" s="501">
        <f t="shared" si="105"/>
        <v>0</v>
      </c>
      <c r="Q309" s="501">
        <f t="shared" si="105"/>
        <v>0</v>
      </c>
      <c r="R309" s="501">
        <f t="shared" si="105"/>
        <v>0</v>
      </c>
      <c r="S309" s="501">
        <f t="shared" si="105"/>
        <v>0</v>
      </c>
      <c r="T309" s="501">
        <f t="shared" si="105"/>
        <v>0</v>
      </c>
      <c r="U309" s="501">
        <f t="shared" si="105"/>
        <v>0</v>
      </c>
      <c r="V309" s="501">
        <f t="shared" si="105"/>
        <v>0</v>
      </c>
      <c r="W309" s="501">
        <f t="shared" si="105"/>
        <v>0</v>
      </c>
      <c r="X309" s="501">
        <f t="shared" si="105"/>
        <v>0</v>
      </c>
      <c r="Y309" s="501">
        <f t="shared" si="105"/>
        <v>0</v>
      </c>
      <c r="Z309" s="501">
        <f t="shared" si="105"/>
        <v>0</v>
      </c>
      <c r="AA309" s="501">
        <f t="shared" si="105"/>
        <v>0</v>
      </c>
      <c r="AB309" s="501">
        <f t="shared" si="105"/>
        <v>0</v>
      </c>
      <c r="AC309" s="501">
        <f t="shared" si="105"/>
        <v>0</v>
      </c>
      <c r="AD309" s="501">
        <f t="shared" si="105"/>
        <v>0</v>
      </c>
      <c r="AE309" s="501">
        <f t="shared" si="105"/>
        <v>0</v>
      </c>
      <c r="AF309" s="501">
        <f t="shared" si="105"/>
        <v>0</v>
      </c>
      <c r="AG309" s="501">
        <f t="shared" si="105"/>
        <v>0</v>
      </c>
      <c r="AH309" s="501">
        <f t="shared" si="105"/>
        <v>0</v>
      </c>
      <c r="AI309" s="501">
        <f t="shared" si="105"/>
        <v>0</v>
      </c>
      <c r="AJ309" s="501">
        <f t="shared" si="105"/>
        <v>0</v>
      </c>
      <c r="AK309" s="501">
        <f t="shared" si="105"/>
        <v>0</v>
      </c>
      <c r="AL309" s="501">
        <f t="shared" si="105"/>
        <v>0</v>
      </c>
      <c r="AM309" s="501">
        <f t="shared" si="105"/>
        <v>0</v>
      </c>
      <c r="AN309" s="501">
        <f t="shared" si="105"/>
        <v>0</v>
      </c>
    </row>
  </sheetData>
  <mergeCells count="429">
    <mergeCell ref="R243:R244"/>
    <mergeCell ref="N243:N244"/>
    <mergeCell ref="AA195:AA196"/>
    <mergeCell ref="AA29:AA30"/>
    <mergeCell ref="V292:V293"/>
    <mergeCell ref="W292:W293"/>
    <mergeCell ref="X292:X293"/>
    <mergeCell ref="Y292:Y293"/>
    <mergeCell ref="Z292:Z293"/>
    <mergeCell ref="N292:N293"/>
    <mergeCell ref="O292:O293"/>
    <mergeCell ref="P292:P293"/>
    <mergeCell ref="Q292:Q293"/>
    <mergeCell ref="R292:R293"/>
    <mergeCell ref="S292:S293"/>
    <mergeCell ref="T292:T293"/>
    <mergeCell ref="U292:U293"/>
    <mergeCell ref="S267:S268"/>
    <mergeCell ref="S219:S220"/>
    <mergeCell ref="T219:T220"/>
    <mergeCell ref="U219:U220"/>
    <mergeCell ref="V219:V220"/>
    <mergeCell ref="W219:W220"/>
    <mergeCell ref="X219:X220"/>
    <mergeCell ref="R267:R268"/>
    <mergeCell ref="D292:D293"/>
    <mergeCell ref="E292:E293"/>
    <mergeCell ref="F292:F293"/>
    <mergeCell ref="G292:G293"/>
    <mergeCell ref="H292:H293"/>
    <mergeCell ref="I292:I293"/>
    <mergeCell ref="J292:J293"/>
    <mergeCell ref="K292:K293"/>
    <mergeCell ref="L292:L293"/>
    <mergeCell ref="I267:I268"/>
    <mergeCell ref="J267:J268"/>
    <mergeCell ref="K267:K268"/>
    <mergeCell ref="L267:L268"/>
    <mergeCell ref="M267:M268"/>
    <mergeCell ref="N267:N268"/>
    <mergeCell ref="O267:O268"/>
    <mergeCell ref="P267:P268"/>
    <mergeCell ref="Q267:Q268"/>
    <mergeCell ref="H267:H268"/>
    <mergeCell ref="G267:G268"/>
    <mergeCell ref="M292:M293"/>
    <mergeCell ref="F267:F268"/>
    <mergeCell ref="E219:E220"/>
    <mergeCell ref="F219:F220"/>
    <mergeCell ref="G219:G220"/>
    <mergeCell ref="H219:H220"/>
    <mergeCell ref="I219:I220"/>
    <mergeCell ref="N195:N196"/>
    <mergeCell ref="O195:O196"/>
    <mergeCell ref="P195:P196"/>
    <mergeCell ref="Q195:Q196"/>
    <mergeCell ref="N219:N220"/>
    <mergeCell ref="O219:O220"/>
    <mergeCell ref="C243:C244"/>
    <mergeCell ref="D243:D244"/>
    <mergeCell ref="E243:E244"/>
    <mergeCell ref="F243:F244"/>
    <mergeCell ref="G243:G244"/>
    <mergeCell ref="H243:H244"/>
    <mergeCell ref="K195:K196"/>
    <mergeCell ref="L195:L196"/>
    <mergeCell ref="M195:M196"/>
    <mergeCell ref="L243:L244"/>
    <mergeCell ref="M243:M244"/>
    <mergeCell ref="J219:J220"/>
    <mergeCell ref="K219:K220"/>
    <mergeCell ref="L219:L220"/>
    <mergeCell ref="M219:M220"/>
    <mergeCell ref="A215:AN215"/>
    <mergeCell ref="A219:A220"/>
    <mergeCell ref="B219:B220"/>
    <mergeCell ref="AB219:AB220"/>
    <mergeCell ref="AC219:AE219"/>
    <mergeCell ref="AG219:AH219"/>
    <mergeCell ref="AN219:AN220"/>
    <mergeCell ref="C219:C220"/>
    <mergeCell ref="D219:D220"/>
    <mergeCell ref="A171:A172"/>
    <mergeCell ref="B171:B172"/>
    <mergeCell ref="AB171:AB172"/>
    <mergeCell ref="AC171:AE171"/>
    <mergeCell ref="AG171:AH171"/>
    <mergeCell ref="AI171:AL171"/>
    <mergeCell ref="AN171:AN172"/>
    <mergeCell ref="Y171:Y172"/>
    <mergeCell ref="Z171:Z172"/>
    <mergeCell ref="C171:C172"/>
    <mergeCell ref="D171:D172"/>
    <mergeCell ref="E171:E172"/>
    <mergeCell ref="F171:F172"/>
    <mergeCell ref="G171:G172"/>
    <mergeCell ref="H171:H172"/>
    <mergeCell ref="I171:I172"/>
    <mergeCell ref="J171:J172"/>
    <mergeCell ref="K171:K172"/>
    <mergeCell ref="T171:T172"/>
    <mergeCell ref="X171:X172"/>
    <mergeCell ref="W100:W101"/>
    <mergeCell ref="X100:X101"/>
    <mergeCell ref="Y100:Y101"/>
    <mergeCell ref="Z100:Z101"/>
    <mergeCell ref="C123:C124"/>
    <mergeCell ref="D123:D124"/>
    <mergeCell ref="E123:E124"/>
    <mergeCell ref="F123:F124"/>
    <mergeCell ref="G123:G124"/>
    <mergeCell ref="H123:H124"/>
    <mergeCell ref="I123:I124"/>
    <mergeCell ref="J123:J124"/>
    <mergeCell ref="K123:K124"/>
    <mergeCell ref="L123:L124"/>
    <mergeCell ref="M123:M124"/>
    <mergeCell ref="N123:N124"/>
    <mergeCell ref="O123:O124"/>
    <mergeCell ref="P123:P124"/>
    <mergeCell ref="Q123:Q124"/>
    <mergeCell ref="R123:R124"/>
    <mergeCell ref="S123:S124"/>
    <mergeCell ref="T123:T124"/>
    <mergeCell ref="U123:U124"/>
    <mergeCell ref="V123:V124"/>
    <mergeCell ref="N100:N101"/>
    <mergeCell ref="O100:O101"/>
    <mergeCell ref="P100:P101"/>
    <mergeCell ref="Q100:Q101"/>
    <mergeCell ref="R100:R101"/>
    <mergeCell ref="S100:S101"/>
    <mergeCell ref="T100:T101"/>
    <mergeCell ref="U100:U101"/>
    <mergeCell ref="V100:V101"/>
    <mergeCell ref="A119:AN119"/>
    <mergeCell ref="A123:A124"/>
    <mergeCell ref="B123:B124"/>
    <mergeCell ref="AB123:AB124"/>
    <mergeCell ref="AC123:AE123"/>
    <mergeCell ref="AG123:AH123"/>
    <mergeCell ref="AI123:AL123"/>
    <mergeCell ref="AN123:AN124"/>
    <mergeCell ref="W123:W124"/>
    <mergeCell ref="X123:X124"/>
    <mergeCell ref="Y123:Y124"/>
    <mergeCell ref="Z123:Z124"/>
    <mergeCell ref="AA123:AA124"/>
    <mergeCell ref="E100:E101"/>
    <mergeCell ref="F100:F101"/>
    <mergeCell ref="G100:G101"/>
    <mergeCell ref="H100:H101"/>
    <mergeCell ref="I100:I101"/>
    <mergeCell ref="J100:J101"/>
    <mergeCell ref="K100:K101"/>
    <mergeCell ref="L100:L101"/>
    <mergeCell ref="M100:M101"/>
    <mergeCell ref="U53:U54"/>
    <mergeCell ref="A96:AN96"/>
    <mergeCell ref="A100:A101"/>
    <mergeCell ref="B100:B101"/>
    <mergeCell ref="AB100:AB101"/>
    <mergeCell ref="AC100:AE100"/>
    <mergeCell ref="AG100:AH100"/>
    <mergeCell ref="AI100:AL100"/>
    <mergeCell ref="AN100:AN101"/>
    <mergeCell ref="A76:A77"/>
    <mergeCell ref="B76:B77"/>
    <mergeCell ref="AB76:AB77"/>
    <mergeCell ref="AC76:AE76"/>
    <mergeCell ref="AG76:AH76"/>
    <mergeCell ref="AI76:AL76"/>
    <mergeCell ref="AN76:AN77"/>
    <mergeCell ref="V53:V54"/>
    <mergeCell ref="W53:W54"/>
    <mergeCell ref="X53:X54"/>
    <mergeCell ref="Y53:Y54"/>
    <mergeCell ref="Z53:Z54"/>
    <mergeCell ref="C76:C77"/>
    <mergeCell ref="D76:D77"/>
    <mergeCell ref="E76:E77"/>
    <mergeCell ref="F76:F77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A72:AN72"/>
    <mergeCell ref="U29:U30"/>
    <mergeCell ref="V29:V30"/>
    <mergeCell ref="W29:W30"/>
    <mergeCell ref="X29:X30"/>
    <mergeCell ref="Y29:Y30"/>
    <mergeCell ref="Z29:Z30"/>
    <mergeCell ref="C53:C54"/>
    <mergeCell ref="D53:D54"/>
    <mergeCell ref="E53:E54"/>
    <mergeCell ref="F53:F54"/>
    <mergeCell ref="G53:G54"/>
    <mergeCell ref="H53:H54"/>
    <mergeCell ref="I53:I54"/>
    <mergeCell ref="J53:J54"/>
    <mergeCell ref="K53:K54"/>
    <mergeCell ref="L53:L54"/>
    <mergeCell ref="M53:M54"/>
    <mergeCell ref="N53:N54"/>
    <mergeCell ref="O53:O54"/>
    <mergeCell ref="P53:P54"/>
    <mergeCell ref="Q53:Q54"/>
    <mergeCell ref="R53:R54"/>
    <mergeCell ref="S53:S54"/>
    <mergeCell ref="T53:T54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1:AN1"/>
    <mergeCell ref="A5:A6"/>
    <mergeCell ref="B5:B6"/>
    <mergeCell ref="AB5:AB6"/>
    <mergeCell ref="AC5:AE5"/>
    <mergeCell ref="AG5:AH5"/>
    <mergeCell ref="AI5:AL5"/>
    <mergeCell ref="AN5:AN6"/>
    <mergeCell ref="A49:AN49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A53:A54"/>
    <mergeCell ref="B53:B54"/>
    <mergeCell ref="AB53:AB54"/>
    <mergeCell ref="AC53:AE53"/>
    <mergeCell ref="AG53:AH53"/>
    <mergeCell ref="AI53:AL53"/>
    <mergeCell ref="AN53:AN54"/>
    <mergeCell ref="A25:AN25"/>
    <mergeCell ref="A29:A30"/>
    <mergeCell ref="B29:B30"/>
    <mergeCell ref="AB29:AB30"/>
    <mergeCell ref="AC29:AE29"/>
    <mergeCell ref="AG29:AH29"/>
    <mergeCell ref="AI29:AL29"/>
    <mergeCell ref="AN29:AN30"/>
    <mergeCell ref="C29:C30"/>
    <mergeCell ref="D29:D30"/>
    <mergeCell ref="E29:E30"/>
    <mergeCell ref="F29:F30"/>
    <mergeCell ref="G29:G30"/>
    <mergeCell ref="H29:H30"/>
    <mergeCell ref="I29:I30"/>
    <mergeCell ref="J29:J30"/>
    <mergeCell ref="K29:K30"/>
    <mergeCell ref="U76:U77"/>
    <mergeCell ref="V76:V77"/>
    <mergeCell ref="W76:W77"/>
    <mergeCell ref="X76:X77"/>
    <mergeCell ref="Y76:Y77"/>
    <mergeCell ref="Z76:Z77"/>
    <mergeCell ref="C100:C101"/>
    <mergeCell ref="D100:D101"/>
    <mergeCell ref="Y195:Y196"/>
    <mergeCell ref="Z195:Z196"/>
    <mergeCell ref="I195:I196"/>
    <mergeCell ref="J195:J196"/>
    <mergeCell ref="A143:AN143"/>
    <mergeCell ref="A147:A148"/>
    <mergeCell ref="B147:B148"/>
    <mergeCell ref="AB147:AB148"/>
    <mergeCell ref="AC147:AE147"/>
    <mergeCell ref="AG147:AH147"/>
    <mergeCell ref="AI147:AL147"/>
    <mergeCell ref="AN147:AN148"/>
    <mergeCell ref="C147:C148"/>
    <mergeCell ref="D147:D148"/>
    <mergeCell ref="E147:E148"/>
    <mergeCell ref="F147:F148"/>
    <mergeCell ref="V243:V244"/>
    <mergeCell ref="O147:O148"/>
    <mergeCell ref="U171:U172"/>
    <mergeCell ref="V171:V172"/>
    <mergeCell ref="O243:O244"/>
    <mergeCell ref="P243:P244"/>
    <mergeCell ref="Q243:Q244"/>
    <mergeCell ref="K243:K244"/>
    <mergeCell ref="L171:L172"/>
    <mergeCell ref="M171:M172"/>
    <mergeCell ref="N171:N172"/>
    <mergeCell ref="O171:O172"/>
    <mergeCell ref="P171:P172"/>
    <mergeCell ref="Q171:Q172"/>
    <mergeCell ref="R171:R172"/>
    <mergeCell ref="S171:S172"/>
    <mergeCell ref="P147:P148"/>
    <mergeCell ref="Q147:Q148"/>
    <mergeCell ref="R147:R148"/>
    <mergeCell ref="S147:S148"/>
    <mergeCell ref="T147:T148"/>
    <mergeCell ref="U147:U148"/>
    <mergeCell ref="V147:V148"/>
    <mergeCell ref="A167:AN167"/>
    <mergeCell ref="AI219:AL219"/>
    <mergeCell ref="G147:G148"/>
    <mergeCell ref="H147:H148"/>
    <mergeCell ref="I147:I148"/>
    <mergeCell ref="J147:J148"/>
    <mergeCell ref="K147:K148"/>
    <mergeCell ref="L147:L148"/>
    <mergeCell ref="M147:M148"/>
    <mergeCell ref="N147:N148"/>
    <mergeCell ref="W171:W172"/>
    <mergeCell ref="W147:W148"/>
    <mergeCell ref="X147:X148"/>
    <mergeCell ref="AA147:AA148"/>
    <mergeCell ref="Y147:Y148"/>
    <mergeCell ref="Z147:Z148"/>
    <mergeCell ref="R195:R196"/>
    <mergeCell ref="S195:S196"/>
    <mergeCell ref="R219:R220"/>
    <mergeCell ref="Z219:Z220"/>
    <mergeCell ref="Y219:Y220"/>
    <mergeCell ref="AA219:AA220"/>
    <mergeCell ref="AA171:AA172"/>
    <mergeCell ref="U243:U244"/>
    <mergeCell ref="W243:W244"/>
    <mergeCell ref="X243:X244"/>
    <mergeCell ref="Y243:Y244"/>
    <mergeCell ref="Z243:Z244"/>
    <mergeCell ref="A191:AN191"/>
    <mergeCell ref="A195:A196"/>
    <mergeCell ref="B195:B196"/>
    <mergeCell ref="AB195:AB196"/>
    <mergeCell ref="AC195:AE195"/>
    <mergeCell ref="AG195:AH195"/>
    <mergeCell ref="AI195:AL195"/>
    <mergeCell ref="AN195:AN196"/>
    <mergeCell ref="C195:C196"/>
    <mergeCell ref="D195:D196"/>
    <mergeCell ref="E195:E196"/>
    <mergeCell ref="F195:F196"/>
    <mergeCell ref="G195:G196"/>
    <mergeCell ref="H195:H196"/>
    <mergeCell ref="T195:T196"/>
    <mergeCell ref="U195:U196"/>
    <mergeCell ref="V195:V196"/>
    <mergeCell ref="W195:W196"/>
    <mergeCell ref="X195:X196"/>
    <mergeCell ref="C292:C293"/>
    <mergeCell ref="AA100:AA101"/>
    <mergeCell ref="AA76:AA77"/>
    <mergeCell ref="AA53:AA54"/>
    <mergeCell ref="AA5:AA6"/>
    <mergeCell ref="A287:AN287"/>
    <mergeCell ref="P219:P220"/>
    <mergeCell ref="Q219:Q220"/>
    <mergeCell ref="I243:I244"/>
    <mergeCell ref="J243:J244"/>
    <mergeCell ref="X267:X268"/>
    <mergeCell ref="Y267:Y268"/>
    <mergeCell ref="Z267:Z268"/>
    <mergeCell ref="A239:AN239"/>
    <mergeCell ref="A243:A244"/>
    <mergeCell ref="B243:B244"/>
    <mergeCell ref="AB243:AB244"/>
    <mergeCell ref="AC243:AE243"/>
    <mergeCell ref="AG243:AH243"/>
    <mergeCell ref="AI243:AL243"/>
    <mergeCell ref="AN243:AN244"/>
    <mergeCell ref="S243:S244"/>
    <mergeCell ref="T243:T244"/>
    <mergeCell ref="AA243:AA244"/>
    <mergeCell ref="AA267:AA268"/>
    <mergeCell ref="A292:A293"/>
    <mergeCell ref="B292:B293"/>
    <mergeCell ref="AB292:AB293"/>
    <mergeCell ref="AC292:AE292"/>
    <mergeCell ref="AG292:AH292"/>
    <mergeCell ref="AI292:AL292"/>
    <mergeCell ref="AN292:AN293"/>
    <mergeCell ref="A263:AN263"/>
    <mergeCell ref="A267:A268"/>
    <mergeCell ref="B267:B268"/>
    <mergeCell ref="AB267:AB268"/>
    <mergeCell ref="AC267:AE267"/>
    <mergeCell ref="AG267:AH267"/>
    <mergeCell ref="AI267:AL267"/>
    <mergeCell ref="AN267:AN268"/>
    <mergeCell ref="T267:T268"/>
    <mergeCell ref="U267:U268"/>
    <mergeCell ref="V267:V268"/>
    <mergeCell ref="W267:W268"/>
    <mergeCell ref="C267:C268"/>
    <mergeCell ref="D267:D268"/>
    <mergeCell ref="E267:E268"/>
    <mergeCell ref="AA292:AA293"/>
  </mergeCells>
  <pageMargins left="0.7" right="0.7" top="0.75" bottom="0.75" header="0.3" footer="0.3"/>
  <pageSetup paperSize="5" orientation="landscape" r:id="rId1"/>
  <headerFooter>
    <oddFooter>&amp;LLaporan Kegiatan PONED&amp;CDesember 2020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tabColor theme="3" tint="0.59999389629810485"/>
  </sheetPr>
  <dimension ref="A1:O571"/>
  <sheetViews>
    <sheetView view="pageBreakPreview" topLeftCell="B121" zoomScale="60" zoomScaleNormal="90" workbookViewId="0">
      <selection activeCell="K164" sqref="K164"/>
    </sheetView>
  </sheetViews>
  <sheetFormatPr defaultColWidth="9.1796875" defaultRowHeight="12.5" x14ac:dyDescent="0.25"/>
  <cols>
    <col min="1" max="1" width="4" style="3" customWidth="1"/>
    <col min="2" max="2" width="32.7265625" style="3" customWidth="1"/>
    <col min="3" max="3" width="16.54296875" style="3" customWidth="1"/>
    <col min="4" max="7" width="9.1796875" style="3"/>
    <col min="8" max="8" width="9.7265625" style="3" customWidth="1"/>
    <col min="9" max="9" width="10.54296875" style="3" customWidth="1"/>
    <col min="10" max="10" width="9.1796875" style="3"/>
    <col min="11" max="11" width="10.81640625" style="3" customWidth="1"/>
    <col min="12" max="12" width="9.1796875" style="3"/>
    <col min="13" max="13" width="9.7265625" style="3" customWidth="1"/>
    <col min="14" max="14" width="9.1796875" style="3"/>
    <col min="15" max="15" width="20.1796875" style="3" customWidth="1"/>
    <col min="16" max="16384" width="9.1796875" style="3"/>
  </cols>
  <sheetData>
    <row r="1" spans="1:15" ht="14" x14ac:dyDescent="0.25">
      <c r="A1" s="1015" t="s">
        <v>131</v>
      </c>
      <c r="B1" s="1015"/>
      <c r="C1" s="1015"/>
      <c r="D1" s="1015"/>
      <c r="E1" s="1015"/>
      <c r="F1" s="1015"/>
      <c r="G1" s="1015"/>
      <c r="H1" s="1015"/>
      <c r="I1" s="1015"/>
      <c r="J1" s="1015"/>
      <c r="K1" s="1015"/>
      <c r="L1" s="1015"/>
      <c r="M1" s="1015"/>
      <c r="N1" s="1015"/>
      <c r="O1" s="1015"/>
    </row>
    <row r="2" spans="1:15" ht="14" x14ac:dyDescent="0.3">
      <c r="A2" s="19" t="s">
        <v>225</v>
      </c>
      <c r="B2" s="19"/>
      <c r="C2" s="260" t="str">
        <f>PETUNJUK!C5</f>
        <v>PECANGAAN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ht="14" x14ac:dyDescent="0.3">
      <c r="A3" s="19" t="s">
        <v>226</v>
      </c>
      <c r="B3" s="19"/>
      <c r="C3" s="261" t="s">
        <v>393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4" x14ac:dyDescent="0.3">
      <c r="A4" s="19"/>
      <c r="B4" s="19"/>
      <c r="C4" s="261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</row>
    <row r="5" spans="1:15" ht="18.649999999999999" customHeight="1" x14ac:dyDescent="0.3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</row>
    <row r="6" spans="1:15" ht="20.149999999999999" customHeight="1" x14ac:dyDescent="0.25">
      <c r="A6" s="1018" t="s">
        <v>1</v>
      </c>
      <c r="B6" s="1018" t="s">
        <v>116</v>
      </c>
      <c r="C6" s="1019" t="s">
        <v>117</v>
      </c>
      <c r="D6" s="1020" t="s">
        <v>214</v>
      </c>
      <c r="E6" s="1020"/>
      <c r="F6" s="1020"/>
      <c r="G6" s="263" t="s">
        <v>204</v>
      </c>
      <c r="H6" s="1020" t="s">
        <v>213</v>
      </c>
      <c r="I6" s="1020"/>
      <c r="J6" s="1021" t="s">
        <v>132</v>
      </c>
      <c r="K6" s="1022"/>
      <c r="L6" s="1022"/>
      <c r="M6" s="1023"/>
      <c r="N6" s="263" t="s">
        <v>205</v>
      </c>
      <c r="O6" s="1020" t="s">
        <v>206</v>
      </c>
    </row>
    <row r="7" spans="1:15" ht="20.149999999999999" customHeight="1" x14ac:dyDescent="0.25">
      <c r="A7" s="1018"/>
      <c r="B7" s="1018"/>
      <c r="C7" s="1019"/>
      <c r="D7" s="262" t="s">
        <v>193</v>
      </c>
      <c r="E7" s="262" t="s">
        <v>192</v>
      </c>
      <c r="F7" s="262" t="s">
        <v>191</v>
      </c>
      <c r="G7" s="264" t="s">
        <v>207</v>
      </c>
      <c r="H7" s="262" t="s">
        <v>208</v>
      </c>
      <c r="I7" s="262" t="s">
        <v>209</v>
      </c>
      <c r="J7" s="262" t="s">
        <v>210</v>
      </c>
      <c r="K7" s="262" t="s">
        <v>211</v>
      </c>
      <c r="L7" s="262" t="s">
        <v>88</v>
      </c>
      <c r="M7" s="262" t="s">
        <v>18</v>
      </c>
      <c r="N7" s="264" t="s">
        <v>212</v>
      </c>
      <c r="O7" s="1020"/>
    </row>
    <row r="8" spans="1:15" ht="18" customHeight="1" x14ac:dyDescent="0.25">
      <c r="A8" s="265">
        <v>1</v>
      </c>
      <c r="B8" s="266" t="s">
        <v>118</v>
      </c>
      <c r="C8" s="283">
        <v>7</v>
      </c>
      <c r="D8" s="283"/>
      <c r="E8" s="283"/>
      <c r="F8" s="283"/>
      <c r="G8" s="283">
        <v>7</v>
      </c>
      <c r="H8" s="283">
        <v>7</v>
      </c>
      <c r="I8" s="283"/>
      <c r="J8" s="283"/>
      <c r="K8" s="283"/>
      <c r="L8" s="283"/>
      <c r="M8" s="283">
        <f>SUM(J8:L8)</f>
        <v>0</v>
      </c>
      <c r="N8" s="283"/>
      <c r="O8" s="283"/>
    </row>
    <row r="9" spans="1:15" ht="18" customHeight="1" x14ac:dyDescent="0.25">
      <c r="A9" s="265">
        <v>2</v>
      </c>
      <c r="B9" s="266" t="s">
        <v>119</v>
      </c>
      <c r="C9" s="283"/>
      <c r="D9" s="283"/>
      <c r="E9" s="283"/>
      <c r="F9" s="283"/>
      <c r="G9" s="283"/>
      <c r="H9" s="283"/>
      <c r="I9" s="283"/>
      <c r="J9" s="283"/>
      <c r="K9" s="283"/>
      <c r="L9" s="283"/>
      <c r="M9" s="283"/>
      <c r="N9" s="283"/>
      <c r="O9" s="283"/>
    </row>
    <row r="10" spans="1:15" ht="18" customHeight="1" x14ac:dyDescent="0.25">
      <c r="A10" s="265">
        <v>3</v>
      </c>
      <c r="B10" s="266" t="s">
        <v>127</v>
      </c>
      <c r="C10" s="283"/>
      <c r="D10" s="283"/>
      <c r="E10" s="283"/>
      <c r="F10" s="283"/>
      <c r="G10" s="283"/>
      <c r="H10" s="283"/>
      <c r="I10" s="283"/>
      <c r="J10" s="283"/>
      <c r="K10" s="283"/>
      <c r="L10" s="283"/>
      <c r="M10" s="283"/>
      <c r="N10" s="283"/>
      <c r="O10" s="283"/>
    </row>
    <row r="11" spans="1:15" ht="18" customHeight="1" x14ac:dyDescent="0.25">
      <c r="A11" s="265">
        <v>4</v>
      </c>
      <c r="B11" s="266" t="s">
        <v>124</v>
      </c>
      <c r="C11" s="283"/>
      <c r="D11" s="283"/>
      <c r="E11" s="283"/>
      <c r="F11" s="283"/>
      <c r="G11" s="283"/>
      <c r="H11" s="283"/>
      <c r="I11" s="283"/>
      <c r="J11" s="283"/>
      <c r="K11" s="283"/>
      <c r="L11" s="283"/>
      <c r="M11" s="283"/>
      <c r="N11" s="283"/>
      <c r="O11" s="283"/>
    </row>
    <row r="12" spans="1:15" ht="18" customHeight="1" x14ac:dyDescent="0.25">
      <c r="A12" s="265">
        <v>5</v>
      </c>
      <c r="B12" s="266" t="s">
        <v>120</v>
      </c>
      <c r="C12" s="283"/>
      <c r="D12" s="283"/>
      <c r="E12" s="283"/>
      <c r="F12" s="283"/>
      <c r="G12" s="283"/>
      <c r="H12" s="283"/>
      <c r="I12" s="283"/>
      <c r="J12" s="283"/>
      <c r="K12" s="283"/>
      <c r="L12" s="283"/>
      <c r="M12" s="283"/>
      <c r="N12" s="283"/>
      <c r="O12" s="283"/>
    </row>
    <row r="13" spans="1:15" ht="18" customHeight="1" x14ac:dyDescent="0.25">
      <c r="A13" s="265">
        <v>6</v>
      </c>
      <c r="B13" s="266" t="s">
        <v>215</v>
      </c>
      <c r="C13" s="283">
        <v>3</v>
      </c>
      <c r="D13" s="283"/>
      <c r="E13" s="283"/>
      <c r="F13" s="283"/>
      <c r="G13" s="283">
        <v>3</v>
      </c>
      <c r="H13" s="283"/>
      <c r="I13" s="283"/>
      <c r="J13" s="283">
        <v>3</v>
      </c>
      <c r="K13" s="283"/>
      <c r="L13" s="283"/>
      <c r="M13" s="283">
        <f t="shared" ref="M13:M14" si="0">SUM(J13:L13)</f>
        <v>3</v>
      </c>
      <c r="N13" s="283"/>
      <c r="O13" s="283"/>
    </row>
    <row r="14" spans="1:15" ht="18" customHeight="1" x14ac:dyDescent="0.25">
      <c r="A14" s="265">
        <v>7</v>
      </c>
      <c r="B14" s="266" t="s">
        <v>122</v>
      </c>
      <c r="C14" s="283">
        <v>2</v>
      </c>
      <c r="D14" s="283"/>
      <c r="E14" s="283">
        <v>1</v>
      </c>
      <c r="F14" s="283"/>
      <c r="G14" s="283">
        <v>1</v>
      </c>
      <c r="H14" s="283">
        <v>1</v>
      </c>
      <c r="I14" s="283"/>
      <c r="J14" s="283">
        <v>1</v>
      </c>
      <c r="K14" s="283"/>
      <c r="L14" s="283"/>
      <c r="M14" s="283">
        <f t="shared" si="0"/>
        <v>1</v>
      </c>
      <c r="N14" s="283"/>
      <c r="O14" s="283"/>
    </row>
    <row r="15" spans="1:15" ht="18" customHeight="1" x14ac:dyDescent="0.25">
      <c r="A15" s="265">
        <v>8</v>
      </c>
      <c r="B15" s="266" t="s">
        <v>123</v>
      </c>
      <c r="C15" s="283"/>
      <c r="D15" s="283"/>
      <c r="E15" s="283"/>
      <c r="F15" s="283"/>
      <c r="G15" s="283"/>
      <c r="H15" s="283"/>
      <c r="I15" s="283"/>
      <c r="J15" s="283"/>
      <c r="K15" s="283"/>
      <c r="L15" s="283"/>
      <c r="M15" s="283"/>
      <c r="N15" s="283"/>
      <c r="O15" s="283"/>
    </row>
    <row r="16" spans="1:15" ht="18" customHeight="1" x14ac:dyDescent="0.25">
      <c r="A16" s="265">
        <v>9</v>
      </c>
      <c r="B16" s="266" t="s">
        <v>218</v>
      </c>
      <c r="C16" s="283"/>
      <c r="D16" s="283"/>
      <c r="E16" s="283"/>
      <c r="F16" s="283"/>
      <c r="G16" s="283"/>
      <c r="H16" s="283"/>
      <c r="I16" s="283"/>
      <c r="J16" s="283"/>
      <c r="K16" s="283"/>
      <c r="L16" s="283"/>
      <c r="M16" s="283"/>
      <c r="N16" s="283"/>
      <c r="O16" s="283"/>
    </row>
    <row r="17" spans="1:15" ht="18" customHeight="1" x14ac:dyDescent="0.25">
      <c r="A17" s="265">
        <v>10</v>
      </c>
      <c r="B17" s="266" t="s">
        <v>126</v>
      </c>
      <c r="C17" s="283"/>
      <c r="D17" s="283"/>
      <c r="E17" s="283"/>
      <c r="F17" s="283"/>
      <c r="G17" s="283"/>
      <c r="H17" s="283"/>
      <c r="I17" s="283"/>
      <c r="J17" s="283"/>
      <c r="K17" s="283"/>
      <c r="L17" s="283"/>
      <c r="M17" s="283"/>
      <c r="N17" s="283"/>
      <c r="O17" s="283"/>
    </row>
    <row r="18" spans="1:15" ht="18" customHeight="1" x14ac:dyDescent="0.25">
      <c r="A18" s="265">
        <v>11</v>
      </c>
      <c r="B18" s="266" t="s">
        <v>125</v>
      </c>
      <c r="C18" s="283"/>
      <c r="D18" s="283"/>
      <c r="E18" s="283"/>
      <c r="F18" s="283"/>
      <c r="G18" s="283"/>
      <c r="H18" s="283"/>
      <c r="I18" s="283"/>
      <c r="J18" s="283"/>
      <c r="K18" s="283"/>
      <c r="L18" s="283"/>
      <c r="M18" s="283"/>
      <c r="N18" s="283"/>
      <c r="O18" s="283"/>
    </row>
    <row r="19" spans="1:15" ht="18" customHeight="1" x14ac:dyDescent="0.25">
      <c r="A19" s="265">
        <v>12</v>
      </c>
      <c r="B19" s="266" t="s">
        <v>130</v>
      </c>
      <c r="C19" s="283"/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</row>
    <row r="20" spans="1:15" ht="18" customHeight="1" x14ac:dyDescent="0.25">
      <c r="A20" s="265">
        <v>13</v>
      </c>
      <c r="B20" s="269" t="s">
        <v>216</v>
      </c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</row>
    <row r="21" spans="1:15" ht="18" customHeight="1" x14ac:dyDescent="0.25">
      <c r="A21" s="265">
        <v>14</v>
      </c>
      <c r="B21" s="266" t="s">
        <v>121</v>
      </c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</row>
    <row r="22" spans="1:15" ht="18" customHeight="1" x14ac:dyDescent="0.25">
      <c r="A22" s="265">
        <v>15</v>
      </c>
      <c r="B22" s="266" t="s">
        <v>45</v>
      </c>
      <c r="C22" s="283"/>
      <c r="D22" s="283"/>
      <c r="E22" s="283"/>
      <c r="F22" s="283"/>
      <c r="G22" s="283"/>
      <c r="H22" s="283"/>
      <c r="I22" s="283"/>
      <c r="J22" s="283"/>
      <c r="K22" s="283"/>
      <c r="L22" s="283"/>
      <c r="M22" s="283"/>
      <c r="N22" s="283"/>
      <c r="O22" s="283"/>
    </row>
    <row r="23" spans="1:15" ht="18" customHeight="1" x14ac:dyDescent="0.25">
      <c r="A23" s="265">
        <v>16</v>
      </c>
      <c r="B23" s="269" t="s">
        <v>217</v>
      </c>
      <c r="C23" s="283"/>
      <c r="D23" s="283"/>
      <c r="E23" s="283"/>
      <c r="F23" s="283"/>
      <c r="G23" s="283"/>
      <c r="H23" s="283"/>
      <c r="I23" s="283"/>
      <c r="J23" s="283"/>
      <c r="K23" s="283"/>
      <c r="L23" s="283"/>
      <c r="M23" s="283"/>
      <c r="N23" s="283"/>
      <c r="O23" s="283"/>
    </row>
    <row r="24" spans="1:15" ht="18" customHeight="1" x14ac:dyDescent="0.25">
      <c r="A24" s="265">
        <v>17</v>
      </c>
      <c r="B24" s="266" t="s">
        <v>219</v>
      </c>
      <c r="C24" s="283">
        <v>2</v>
      </c>
      <c r="D24" s="283"/>
      <c r="E24" s="283"/>
      <c r="F24" s="283"/>
      <c r="G24" s="283">
        <v>2</v>
      </c>
      <c r="H24" s="283">
        <v>1</v>
      </c>
      <c r="I24" s="283"/>
      <c r="J24" s="283">
        <v>1</v>
      </c>
      <c r="K24" s="283"/>
      <c r="L24" s="283"/>
      <c r="M24" s="283">
        <f>SUM(J24:L24)</f>
        <v>1</v>
      </c>
      <c r="N24" s="283"/>
      <c r="O24" s="283"/>
    </row>
    <row r="25" spans="1:15" ht="18" customHeight="1" x14ac:dyDescent="0.25">
      <c r="A25" s="265">
        <v>18</v>
      </c>
      <c r="B25" s="266" t="s">
        <v>128</v>
      </c>
      <c r="C25" s="283"/>
      <c r="D25" s="283"/>
      <c r="E25" s="283"/>
      <c r="F25" s="283"/>
      <c r="G25" s="283"/>
      <c r="H25" s="283"/>
      <c r="I25" s="283"/>
      <c r="J25" s="283"/>
      <c r="K25" s="283"/>
      <c r="L25" s="283"/>
      <c r="M25" s="283"/>
      <c r="N25" s="283"/>
      <c r="O25" s="283"/>
    </row>
    <row r="26" spans="1:15" ht="18" customHeight="1" x14ac:dyDescent="0.25">
      <c r="A26" s="265">
        <v>19</v>
      </c>
      <c r="B26" s="266" t="s">
        <v>221</v>
      </c>
      <c r="C26" s="283">
        <v>1</v>
      </c>
      <c r="D26" s="283"/>
      <c r="E26" s="283"/>
      <c r="F26" s="283"/>
      <c r="G26" s="283">
        <v>1</v>
      </c>
      <c r="H26" s="283">
        <v>1</v>
      </c>
      <c r="I26" s="283"/>
      <c r="J26" s="283"/>
      <c r="K26" s="283"/>
      <c r="L26" s="283"/>
      <c r="M26" s="283"/>
      <c r="N26" s="283"/>
      <c r="O26" s="283"/>
    </row>
    <row r="27" spans="1:15" ht="18" customHeight="1" x14ac:dyDescent="0.25">
      <c r="A27" s="265">
        <v>20</v>
      </c>
      <c r="B27" s="266" t="s">
        <v>220</v>
      </c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3"/>
    </row>
    <row r="28" spans="1:15" ht="18" customHeight="1" x14ac:dyDescent="0.25">
      <c r="A28" s="265">
        <v>21</v>
      </c>
      <c r="B28" s="266" t="s">
        <v>222</v>
      </c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3"/>
    </row>
    <row r="29" spans="1:15" ht="18" customHeight="1" x14ac:dyDescent="0.25">
      <c r="A29" s="265">
        <v>22</v>
      </c>
      <c r="B29" s="266" t="s">
        <v>223</v>
      </c>
      <c r="C29" s="283"/>
      <c r="D29" s="283"/>
      <c r="E29" s="283"/>
      <c r="F29" s="283"/>
      <c r="G29" s="283"/>
      <c r="H29" s="283"/>
      <c r="I29" s="283"/>
      <c r="J29" s="283"/>
      <c r="K29" s="283"/>
      <c r="L29" s="283"/>
      <c r="M29" s="283"/>
      <c r="N29" s="283"/>
      <c r="O29" s="283"/>
    </row>
    <row r="30" spans="1:15" ht="18" customHeight="1" x14ac:dyDescent="0.25">
      <c r="A30" s="265">
        <v>23</v>
      </c>
      <c r="B30" s="269" t="s">
        <v>224</v>
      </c>
      <c r="C30" s="283">
        <v>1</v>
      </c>
      <c r="D30" s="283"/>
      <c r="E30" s="283"/>
      <c r="F30" s="283"/>
      <c r="G30" s="283">
        <v>1</v>
      </c>
      <c r="H30" s="283">
        <v>1</v>
      </c>
      <c r="I30" s="283"/>
      <c r="J30" s="283"/>
      <c r="K30" s="283"/>
      <c r="L30" s="283"/>
      <c r="M30" s="283"/>
      <c r="N30" s="283"/>
      <c r="O30" s="283"/>
    </row>
    <row r="31" spans="1:15" ht="18" customHeight="1" x14ac:dyDescent="0.25">
      <c r="A31" s="265">
        <v>24</v>
      </c>
      <c r="B31" s="266" t="s">
        <v>129</v>
      </c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3"/>
    </row>
    <row r="32" spans="1:15" ht="18" customHeight="1" x14ac:dyDescent="0.3">
      <c r="A32" s="265">
        <v>25</v>
      </c>
      <c r="B32" s="270" t="s">
        <v>530</v>
      </c>
      <c r="C32" s="283">
        <v>2</v>
      </c>
      <c r="D32" s="283"/>
      <c r="E32" s="283"/>
      <c r="F32" s="283"/>
      <c r="G32" s="284">
        <v>2</v>
      </c>
      <c r="H32" s="284">
        <v>1</v>
      </c>
      <c r="I32" s="283"/>
      <c r="J32" s="283">
        <v>1</v>
      </c>
      <c r="K32" s="283"/>
      <c r="L32" s="283"/>
      <c r="M32" s="283">
        <f>SUM(J32:L32)</f>
        <v>1</v>
      </c>
      <c r="N32" s="283"/>
      <c r="O32" s="268"/>
    </row>
    <row r="33" spans="1:15" ht="18" customHeight="1" x14ac:dyDescent="0.3">
      <c r="A33" s="265">
        <v>26</v>
      </c>
      <c r="B33" s="270" t="s">
        <v>531</v>
      </c>
      <c r="C33" s="283">
        <v>1</v>
      </c>
      <c r="D33" s="283"/>
      <c r="E33" s="283"/>
      <c r="F33" s="283"/>
      <c r="G33" s="283">
        <v>1</v>
      </c>
      <c r="H33" s="283">
        <v>1</v>
      </c>
      <c r="I33" s="283"/>
      <c r="J33" s="284"/>
      <c r="K33" s="283"/>
      <c r="L33" s="283"/>
      <c r="M33" s="284"/>
      <c r="N33" s="283"/>
      <c r="O33" s="268"/>
    </row>
    <row r="34" spans="1:15" ht="18" customHeight="1" x14ac:dyDescent="0.3">
      <c r="A34" s="265">
        <v>27</v>
      </c>
      <c r="B34" s="270" t="s">
        <v>532</v>
      </c>
      <c r="C34" s="283">
        <v>3</v>
      </c>
      <c r="D34" s="283"/>
      <c r="E34" s="283"/>
      <c r="F34" s="283"/>
      <c r="G34" s="283">
        <v>3</v>
      </c>
      <c r="H34" s="283">
        <v>3</v>
      </c>
      <c r="I34" s="283"/>
      <c r="J34" s="284"/>
      <c r="K34" s="284"/>
      <c r="L34" s="283"/>
      <c r="M34" s="284"/>
      <c r="N34" s="283"/>
      <c r="O34" s="268"/>
    </row>
    <row r="35" spans="1:15" ht="18" customHeight="1" x14ac:dyDescent="0.3">
      <c r="A35" s="265">
        <v>28</v>
      </c>
      <c r="B35" s="270" t="s">
        <v>533</v>
      </c>
      <c r="C35" s="283">
        <v>1</v>
      </c>
      <c r="D35" s="268"/>
      <c r="E35" s="268"/>
      <c r="F35" s="268"/>
      <c r="G35" s="283">
        <v>1</v>
      </c>
      <c r="H35" s="268"/>
      <c r="I35" s="268"/>
      <c r="J35" s="283">
        <v>1</v>
      </c>
      <c r="K35" s="284"/>
      <c r="L35" s="283"/>
      <c r="M35" s="283">
        <f>SUM(J35:L35)</f>
        <v>1</v>
      </c>
      <c r="N35" s="283"/>
      <c r="O35" s="268"/>
    </row>
    <row r="36" spans="1:15" ht="18" customHeight="1" x14ac:dyDescent="0.3">
      <c r="A36" s="265">
        <v>29</v>
      </c>
      <c r="B36" s="270"/>
      <c r="C36" s="267"/>
      <c r="D36" s="268"/>
      <c r="E36" s="268"/>
      <c r="F36" s="268"/>
      <c r="G36" s="268"/>
      <c r="H36" s="268"/>
      <c r="I36" s="268"/>
      <c r="J36" s="268"/>
      <c r="K36" s="268"/>
      <c r="L36" s="268"/>
      <c r="M36" s="271"/>
      <c r="N36" s="268"/>
      <c r="O36" s="268"/>
    </row>
    <row r="37" spans="1:15" ht="18" customHeight="1" x14ac:dyDescent="0.3">
      <c r="A37" s="265">
        <v>30</v>
      </c>
      <c r="B37" s="270"/>
      <c r="C37" s="267"/>
      <c r="D37" s="268"/>
      <c r="E37" s="268"/>
      <c r="F37" s="268"/>
      <c r="G37" s="268"/>
      <c r="H37" s="268"/>
      <c r="I37" s="268"/>
      <c r="J37" s="268"/>
      <c r="K37" s="268"/>
      <c r="L37" s="268"/>
      <c r="M37" s="271"/>
      <c r="N37" s="268"/>
      <c r="O37" s="268"/>
    </row>
    <row r="38" spans="1:15" ht="18" customHeight="1" x14ac:dyDescent="0.3">
      <c r="A38" s="265">
        <v>31</v>
      </c>
      <c r="B38" s="270"/>
      <c r="C38" s="267"/>
      <c r="D38" s="268"/>
      <c r="E38" s="268"/>
      <c r="F38" s="268"/>
      <c r="G38" s="268"/>
      <c r="H38" s="268"/>
      <c r="I38" s="268"/>
      <c r="J38" s="268"/>
      <c r="K38" s="268"/>
      <c r="L38" s="268"/>
      <c r="M38" s="271"/>
      <c r="N38" s="268"/>
      <c r="O38" s="268"/>
    </row>
    <row r="39" spans="1:15" ht="18" customHeight="1" x14ac:dyDescent="0.3">
      <c r="A39" s="265">
        <v>32</v>
      </c>
      <c r="B39" s="270"/>
      <c r="C39" s="267"/>
      <c r="D39" s="268"/>
      <c r="E39" s="268"/>
      <c r="F39" s="268"/>
      <c r="G39" s="268"/>
      <c r="H39" s="268"/>
      <c r="I39" s="268"/>
      <c r="J39" s="268"/>
      <c r="K39" s="268"/>
      <c r="L39" s="268"/>
      <c r="M39" s="271"/>
      <c r="N39" s="268"/>
      <c r="O39" s="268"/>
    </row>
    <row r="40" spans="1:15" ht="18" customHeight="1" x14ac:dyDescent="0.3">
      <c r="A40" s="265">
        <v>33</v>
      </c>
      <c r="B40" s="270"/>
      <c r="C40" s="267"/>
      <c r="D40" s="268"/>
      <c r="E40" s="268"/>
      <c r="F40" s="268"/>
      <c r="G40" s="268"/>
      <c r="H40" s="268"/>
      <c r="I40" s="268"/>
      <c r="J40" s="268"/>
      <c r="K40" s="268"/>
      <c r="L40" s="268"/>
      <c r="M40" s="271"/>
      <c r="N40" s="268"/>
      <c r="O40" s="268"/>
    </row>
    <row r="41" spans="1:15" ht="18" customHeight="1" x14ac:dyDescent="0.3">
      <c r="A41" s="265">
        <v>34</v>
      </c>
      <c r="B41" s="268"/>
      <c r="C41" s="267"/>
      <c r="D41" s="268"/>
      <c r="E41" s="268"/>
      <c r="F41" s="268"/>
      <c r="G41" s="268"/>
      <c r="H41" s="268"/>
      <c r="I41" s="268"/>
      <c r="J41" s="268"/>
      <c r="K41" s="268"/>
      <c r="L41" s="268"/>
      <c r="M41" s="271"/>
      <c r="N41" s="268"/>
      <c r="O41" s="268"/>
    </row>
    <row r="42" spans="1:15" ht="18" customHeight="1" x14ac:dyDescent="0.3">
      <c r="A42" s="265">
        <v>35</v>
      </c>
      <c r="B42" s="268"/>
      <c r="C42" s="267"/>
      <c r="D42" s="268"/>
      <c r="E42" s="268"/>
      <c r="F42" s="268"/>
      <c r="G42" s="268"/>
      <c r="H42" s="268"/>
      <c r="I42" s="268"/>
      <c r="J42" s="268"/>
      <c r="K42" s="268"/>
      <c r="L42" s="268"/>
      <c r="M42" s="271"/>
      <c r="N42" s="268"/>
      <c r="O42" s="268"/>
    </row>
    <row r="43" spans="1:15" ht="18" customHeight="1" x14ac:dyDescent="0.3">
      <c r="A43" s="267"/>
      <c r="B43" s="272" t="s">
        <v>18</v>
      </c>
      <c r="C43" s="265">
        <f t="shared" ref="C43:N43" si="1">SUM(C8:C42)</f>
        <v>23</v>
      </c>
      <c r="D43" s="265">
        <f t="shared" si="1"/>
        <v>0</v>
      </c>
      <c r="E43" s="265">
        <f t="shared" si="1"/>
        <v>1</v>
      </c>
      <c r="F43" s="265">
        <f t="shared" si="1"/>
        <v>0</v>
      </c>
      <c r="G43" s="265">
        <f t="shared" si="1"/>
        <v>22</v>
      </c>
      <c r="H43" s="265">
        <f t="shared" si="1"/>
        <v>16</v>
      </c>
      <c r="I43" s="265">
        <f t="shared" si="1"/>
        <v>0</v>
      </c>
      <c r="J43" s="265">
        <f t="shared" si="1"/>
        <v>7</v>
      </c>
      <c r="K43" s="265">
        <f t="shared" si="1"/>
        <v>0</v>
      </c>
      <c r="L43" s="265">
        <f t="shared" si="1"/>
        <v>0</v>
      </c>
      <c r="M43" s="265">
        <f t="shared" si="1"/>
        <v>7</v>
      </c>
      <c r="N43" s="265">
        <f t="shared" si="1"/>
        <v>0</v>
      </c>
      <c r="O43" s="268"/>
    </row>
    <row r="44" spans="1:15" ht="14" x14ac:dyDescent="0.3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</row>
    <row r="45" spans="1:15" ht="14" x14ac:dyDescent="0.3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</row>
    <row r="46" spans="1:15" ht="14" x14ac:dyDescent="0.25">
      <c r="A46" s="1015" t="s">
        <v>131</v>
      </c>
      <c r="B46" s="1015"/>
      <c r="C46" s="1015"/>
      <c r="D46" s="1015"/>
      <c r="E46" s="1015"/>
      <c r="F46" s="1015"/>
      <c r="G46" s="1015"/>
      <c r="H46" s="1015"/>
      <c r="I46" s="1015"/>
      <c r="J46" s="1015"/>
      <c r="K46" s="1015"/>
      <c r="L46" s="1015"/>
      <c r="M46" s="1015"/>
      <c r="N46" s="1015"/>
      <c r="O46" s="1015"/>
    </row>
    <row r="47" spans="1:15" ht="14" x14ac:dyDescent="0.3">
      <c r="A47" s="19" t="s">
        <v>225</v>
      </c>
      <c r="B47" s="19"/>
      <c r="C47" s="260" t="str">
        <f>PETUNJUK!C5</f>
        <v>PECANGAAN</v>
      </c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</row>
    <row r="48" spans="1:15" ht="14" x14ac:dyDescent="0.3">
      <c r="A48" s="19" t="s">
        <v>226</v>
      </c>
      <c r="B48" s="19"/>
      <c r="C48" s="261" t="s">
        <v>394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</row>
    <row r="49" spans="1:15" ht="9.75" customHeight="1" x14ac:dyDescent="0.3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</row>
    <row r="50" spans="1:15" ht="18" customHeight="1" x14ac:dyDescent="0.25">
      <c r="A50" s="1018" t="s">
        <v>1</v>
      </c>
      <c r="B50" s="1018" t="s">
        <v>116</v>
      </c>
      <c r="C50" s="1019" t="s">
        <v>117</v>
      </c>
      <c r="D50" s="1020" t="s">
        <v>214</v>
      </c>
      <c r="E50" s="1020"/>
      <c r="F50" s="1020"/>
      <c r="G50" s="263" t="s">
        <v>204</v>
      </c>
      <c r="H50" s="1020" t="s">
        <v>213</v>
      </c>
      <c r="I50" s="1020"/>
      <c r="J50" s="1021" t="s">
        <v>132</v>
      </c>
      <c r="K50" s="1022"/>
      <c r="L50" s="1022"/>
      <c r="M50" s="1023"/>
      <c r="N50" s="263" t="s">
        <v>205</v>
      </c>
      <c r="O50" s="1020" t="s">
        <v>206</v>
      </c>
    </row>
    <row r="51" spans="1:15" ht="18" customHeight="1" x14ac:dyDescent="0.25">
      <c r="A51" s="1018"/>
      <c r="B51" s="1018"/>
      <c r="C51" s="1019"/>
      <c r="D51" s="262" t="s">
        <v>193</v>
      </c>
      <c r="E51" s="262" t="s">
        <v>192</v>
      </c>
      <c r="F51" s="262" t="s">
        <v>191</v>
      </c>
      <c r="G51" s="264" t="s">
        <v>207</v>
      </c>
      <c r="H51" s="262" t="s">
        <v>208</v>
      </c>
      <c r="I51" s="262" t="s">
        <v>209</v>
      </c>
      <c r="J51" s="262" t="s">
        <v>210</v>
      </c>
      <c r="K51" s="262" t="s">
        <v>211</v>
      </c>
      <c r="L51" s="262" t="s">
        <v>88</v>
      </c>
      <c r="M51" s="262" t="s">
        <v>18</v>
      </c>
      <c r="N51" s="264" t="s">
        <v>212</v>
      </c>
      <c r="O51" s="1020"/>
    </row>
    <row r="52" spans="1:15" ht="18" customHeight="1" x14ac:dyDescent="0.3">
      <c r="A52" s="265">
        <v>1</v>
      </c>
      <c r="B52" s="266" t="s">
        <v>118</v>
      </c>
      <c r="C52" s="267">
        <v>8</v>
      </c>
      <c r="D52" s="267"/>
      <c r="E52" s="267">
        <v>1</v>
      </c>
      <c r="F52" s="267"/>
      <c r="G52" s="267">
        <v>7</v>
      </c>
      <c r="H52" s="267">
        <v>8</v>
      </c>
      <c r="I52" s="267"/>
      <c r="J52" s="267"/>
      <c r="K52" s="267"/>
      <c r="L52" s="267"/>
      <c r="M52" s="267"/>
      <c r="N52" s="267"/>
      <c r="O52" s="268"/>
    </row>
    <row r="53" spans="1:15" ht="18" customHeight="1" x14ac:dyDescent="0.3">
      <c r="A53" s="265">
        <v>2</v>
      </c>
      <c r="B53" s="266" t="s">
        <v>119</v>
      </c>
      <c r="C53" s="267"/>
      <c r="D53" s="267"/>
      <c r="E53" s="267"/>
      <c r="F53" s="267"/>
      <c r="G53" s="267"/>
      <c r="H53" s="267"/>
      <c r="I53" s="267"/>
      <c r="J53" s="267"/>
      <c r="K53" s="267"/>
      <c r="L53" s="267"/>
      <c r="M53" s="267"/>
      <c r="N53" s="267"/>
      <c r="O53" s="268"/>
    </row>
    <row r="54" spans="1:15" ht="18" customHeight="1" x14ac:dyDescent="0.3">
      <c r="A54" s="265">
        <v>3</v>
      </c>
      <c r="B54" s="266" t="s">
        <v>127</v>
      </c>
      <c r="C54" s="267"/>
      <c r="D54" s="267"/>
      <c r="E54" s="267"/>
      <c r="F54" s="267"/>
      <c r="G54" s="267"/>
      <c r="H54" s="267"/>
      <c r="I54" s="267"/>
      <c r="J54" s="267"/>
      <c r="K54" s="267"/>
      <c r="L54" s="267"/>
      <c r="M54" s="267"/>
      <c r="N54" s="267"/>
      <c r="O54" s="268"/>
    </row>
    <row r="55" spans="1:15" ht="18" customHeight="1" x14ac:dyDescent="0.3">
      <c r="A55" s="265">
        <v>4</v>
      </c>
      <c r="B55" s="266" t="s">
        <v>124</v>
      </c>
      <c r="C55" s="267"/>
      <c r="D55" s="267"/>
      <c r="E55" s="267"/>
      <c r="F55" s="267"/>
      <c r="G55" s="267"/>
      <c r="H55" s="267"/>
      <c r="I55" s="267"/>
      <c r="J55" s="267"/>
      <c r="K55" s="267"/>
      <c r="L55" s="267"/>
      <c r="M55" s="267"/>
      <c r="N55" s="267"/>
      <c r="O55" s="268"/>
    </row>
    <row r="56" spans="1:15" ht="18" customHeight="1" x14ac:dyDescent="0.3">
      <c r="A56" s="265">
        <v>5</v>
      </c>
      <c r="B56" s="266" t="s">
        <v>120</v>
      </c>
      <c r="C56" s="267"/>
      <c r="D56" s="267"/>
      <c r="E56" s="267"/>
      <c r="F56" s="267"/>
      <c r="G56" s="267"/>
      <c r="H56" s="267"/>
      <c r="I56" s="267"/>
      <c r="J56" s="267"/>
      <c r="K56" s="267"/>
      <c r="L56" s="267"/>
      <c r="M56" s="267"/>
      <c r="N56" s="267"/>
      <c r="O56" s="268"/>
    </row>
    <row r="57" spans="1:15" ht="18" customHeight="1" x14ac:dyDescent="0.3">
      <c r="A57" s="265">
        <v>6</v>
      </c>
      <c r="B57" s="266" t="s">
        <v>215</v>
      </c>
      <c r="C57" s="267">
        <v>3</v>
      </c>
      <c r="D57" s="267"/>
      <c r="E57" s="267"/>
      <c r="F57" s="267"/>
      <c r="G57" s="267">
        <v>3</v>
      </c>
      <c r="H57" s="267"/>
      <c r="I57" s="267"/>
      <c r="J57" s="267">
        <v>3</v>
      </c>
      <c r="K57" s="267"/>
      <c r="L57" s="267"/>
      <c r="M57" s="267"/>
      <c r="N57" s="267"/>
      <c r="O57" s="268"/>
    </row>
    <row r="58" spans="1:15" ht="18" customHeight="1" x14ac:dyDescent="0.3">
      <c r="A58" s="265">
        <v>7</v>
      </c>
      <c r="B58" s="266" t="s">
        <v>122</v>
      </c>
      <c r="C58" s="267">
        <v>3</v>
      </c>
      <c r="D58" s="267"/>
      <c r="E58" s="267"/>
      <c r="F58" s="267"/>
      <c r="G58" s="267">
        <v>3</v>
      </c>
      <c r="H58" s="267"/>
      <c r="I58" s="267"/>
      <c r="J58" s="267">
        <v>3</v>
      </c>
      <c r="K58" s="267"/>
      <c r="L58" s="267"/>
      <c r="M58" s="267"/>
      <c r="N58" s="267"/>
      <c r="O58" s="268"/>
    </row>
    <row r="59" spans="1:15" ht="18" customHeight="1" x14ac:dyDescent="0.3">
      <c r="A59" s="265">
        <v>8</v>
      </c>
      <c r="B59" s="266" t="s">
        <v>123</v>
      </c>
      <c r="C59" s="267"/>
      <c r="D59" s="267"/>
      <c r="E59" s="267"/>
      <c r="F59" s="267"/>
      <c r="G59" s="267"/>
      <c r="H59" s="267"/>
      <c r="I59" s="267"/>
      <c r="J59" s="267"/>
      <c r="K59" s="267"/>
      <c r="L59" s="267"/>
      <c r="M59" s="267"/>
      <c r="N59" s="267"/>
      <c r="O59" s="268"/>
    </row>
    <row r="60" spans="1:15" ht="18" customHeight="1" x14ac:dyDescent="0.3">
      <c r="A60" s="265">
        <v>9</v>
      </c>
      <c r="B60" s="266" t="s">
        <v>218</v>
      </c>
      <c r="C60" s="267"/>
      <c r="D60" s="267"/>
      <c r="E60" s="267"/>
      <c r="F60" s="267"/>
      <c r="G60" s="267"/>
      <c r="H60" s="267"/>
      <c r="I60" s="267"/>
      <c r="J60" s="267"/>
      <c r="K60" s="267"/>
      <c r="L60" s="267"/>
      <c r="M60" s="267"/>
      <c r="N60" s="267"/>
      <c r="O60" s="268"/>
    </row>
    <row r="61" spans="1:15" ht="18" customHeight="1" x14ac:dyDescent="0.3">
      <c r="A61" s="265">
        <v>10</v>
      </c>
      <c r="B61" s="266" t="s">
        <v>126</v>
      </c>
      <c r="C61" s="267">
        <v>1</v>
      </c>
      <c r="D61" s="267"/>
      <c r="E61" s="267"/>
      <c r="F61" s="267"/>
      <c r="G61" s="267">
        <v>1</v>
      </c>
      <c r="H61" s="267"/>
      <c r="I61" s="267"/>
      <c r="J61" s="267">
        <v>1</v>
      </c>
      <c r="K61" s="267"/>
      <c r="L61" s="267"/>
      <c r="M61" s="267"/>
      <c r="N61" s="267"/>
      <c r="O61" s="268"/>
    </row>
    <row r="62" spans="1:15" ht="18" customHeight="1" x14ac:dyDescent="0.3">
      <c r="A62" s="265">
        <v>11</v>
      </c>
      <c r="B62" s="266" t="s">
        <v>125</v>
      </c>
      <c r="C62" s="267">
        <v>2</v>
      </c>
      <c r="D62" s="267"/>
      <c r="E62" s="267"/>
      <c r="F62" s="267"/>
      <c r="G62" s="267">
        <v>2</v>
      </c>
      <c r="H62" s="267">
        <v>1</v>
      </c>
      <c r="I62" s="267"/>
      <c r="J62" s="267">
        <v>1</v>
      </c>
      <c r="K62" s="267"/>
      <c r="L62" s="267"/>
      <c r="M62" s="267"/>
      <c r="N62" s="267"/>
      <c r="O62" s="268"/>
    </row>
    <row r="63" spans="1:15" ht="18" customHeight="1" x14ac:dyDescent="0.3">
      <c r="A63" s="265">
        <v>12</v>
      </c>
      <c r="B63" s="266" t="s">
        <v>130</v>
      </c>
      <c r="C63" s="267"/>
      <c r="D63" s="267"/>
      <c r="E63" s="267"/>
      <c r="F63" s="267"/>
      <c r="G63" s="267"/>
      <c r="H63" s="267"/>
      <c r="I63" s="267"/>
      <c r="J63" s="267"/>
      <c r="K63" s="267"/>
      <c r="L63" s="267"/>
      <c r="M63" s="267"/>
      <c r="N63" s="267"/>
      <c r="O63" s="268"/>
    </row>
    <row r="64" spans="1:15" ht="18" customHeight="1" x14ac:dyDescent="0.3">
      <c r="A64" s="265">
        <v>13</v>
      </c>
      <c r="B64" s="269" t="s">
        <v>216</v>
      </c>
      <c r="C64" s="267"/>
      <c r="D64" s="267"/>
      <c r="E64" s="267"/>
      <c r="F64" s="267"/>
      <c r="G64" s="267"/>
      <c r="H64" s="267"/>
      <c r="I64" s="267"/>
      <c r="J64" s="267"/>
      <c r="K64" s="267"/>
      <c r="L64" s="267"/>
      <c r="M64" s="267"/>
      <c r="N64" s="267"/>
      <c r="O64" s="268"/>
    </row>
    <row r="65" spans="1:15" ht="18" customHeight="1" x14ac:dyDescent="0.3">
      <c r="A65" s="265">
        <v>14</v>
      </c>
      <c r="B65" s="266" t="s">
        <v>121</v>
      </c>
      <c r="C65" s="267"/>
      <c r="D65" s="267"/>
      <c r="E65" s="267"/>
      <c r="F65" s="267"/>
      <c r="G65" s="267"/>
      <c r="H65" s="267"/>
      <c r="I65" s="267"/>
      <c r="J65" s="267"/>
      <c r="K65" s="267"/>
      <c r="L65" s="267"/>
      <c r="M65" s="267"/>
      <c r="N65" s="267"/>
      <c r="O65" s="268"/>
    </row>
    <row r="66" spans="1:15" ht="18" customHeight="1" x14ac:dyDescent="0.3">
      <c r="A66" s="265">
        <v>15</v>
      </c>
      <c r="B66" s="266" t="s">
        <v>45</v>
      </c>
      <c r="C66" s="267"/>
      <c r="D66" s="267"/>
      <c r="E66" s="267"/>
      <c r="F66" s="267"/>
      <c r="G66" s="267"/>
      <c r="H66" s="267"/>
      <c r="I66" s="267"/>
      <c r="J66" s="267"/>
      <c r="K66" s="267"/>
      <c r="L66" s="267"/>
      <c r="M66" s="267"/>
      <c r="N66" s="267"/>
      <c r="O66" s="268"/>
    </row>
    <row r="67" spans="1:15" ht="18" customHeight="1" x14ac:dyDescent="0.3">
      <c r="A67" s="265">
        <v>16</v>
      </c>
      <c r="B67" s="269" t="s">
        <v>217</v>
      </c>
      <c r="C67" s="267">
        <v>1</v>
      </c>
      <c r="D67" s="267"/>
      <c r="E67" s="267"/>
      <c r="F67" s="267"/>
      <c r="G67" s="267">
        <v>1</v>
      </c>
      <c r="H67" s="267"/>
      <c r="I67" s="267"/>
      <c r="J67" s="267">
        <v>1</v>
      </c>
      <c r="K67" s="267"/>
      <c r="L67" s="267"/>
      <c r="M67" s="267"/>
      <c r="N67" s="267"/>
      <c r="O67" s="268"/>
    </row>
    <row r="68" spans="1:15" ht="18" customHeight="1" x14ac:dyDescent="0.3">
      <c r="A68" s="265">
        <v>17</v>
      </c>
      <c r="B68" s="266" t="s">
        <v>219</v>
      </c>
      <c r="C68" s="267">
        <v>1</v>
      </c>
      <c r="D68" s="267"/>
      <c r="E68" s="267"/>
      <c r="F68" s="267"/>
      <c r="G68" s="267">
        <v>1</v>
      </c>
      <c r="H68" s="267"/>
      <c r="I68" s="267"/>
      <c r="J68" s="267">
        <v>1</v>
      </c>
      <c r="K68" s="267"/>
      <c r="L68" s="267"/>
      <c r="M68" s="267"/>
      <c r="N68" s="267"/>
      <c r="O68" s="268"/>
    </row>
    <row r="69" spans="1:15" ht="18" customHeight="1" x14ac:dyDescent="0.3">
      <c r="A69" s="265">
        <v>18</v>
      </c>
      <c r="B69" s="266" t="s">
        <v>128</v>
      </c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8"/>
    </row>
    <row r="70" spans="1:15" ht="18" customHeight="1" x14ac:dyDescent="0.3">
      <c r="A70" s="265">
        <v>19</v>
      </c>
      <c r="B70" s="266" t="s">
        <v>221</v>
      </c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8"/>
    </row>
    <row r="71" spans="1:15" ht="18" customHeight="1" x14ac:dyDescent="0.3">
      <c r="A71" s="265">
        <v>20</v>
      </c>
      <c r="B71" s="266" t="s">
        <v>220</v>
      </c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8"/>
    </row>
    <row r="72" spans="1:15" ht="18" customHeight="1" x14ac:dyDescent="0.3">
      <c r="A72" s="265">
        <v>21</v>
      </c>
      <c r="B72" s="266" t="s">
        <v>222</v>
      </c>
      <c r="C72" s="267"/>
      <c r="D72" s="267"/>
      <c r="E72" s="267"/>
      <c r="F72" s="267"/>
      <c r="G72" s="267"/>
      <c r="H72" s="267"/>
      <c r="I72" s="267"/>
      <c r="J72" s="267"/>
      <c r="K72" s="267"/>
      <c r="L72" s="267"/>
      <c r="M72" s="267"/>
      <c r="N72" s="267"/>
      <c r="O72" s="268"/>
    </row>
    <row r="73" spans="1:15" ht="18" customHeight="1" x14ac:dyDescent="0.3">
      <c r="A73" s="265">
        <v>22</v>
      </c>
      <c r="B73" s="266" t="s">
        <v>223</v>
      </c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8"/>
    </row>
    <row r="74" spans="1:15" ht="18" customHeight="1" x14ac:dyDescent="0.3">
      <c r="A74" s="265">
        <v>23</v>
      </c>
      <c r="B74" s="269" t="s">
        <v>224</v>
      </c>
      <c r="C74" s="267"/>
      <c r="D74" s="267"/>
      <c r="E74" s="267"/>
      <c r="F74" s="267"/>
      <c r="G74" s="267"/>
      <c r="H74" s="267"/>
      <c r="I74" s="267"/>
      <c r="J74" s="267"/>
      <c r="K74" s="267"/>
      <c r="L74" s="267"/>
      <c r="M74" s="267"/>
      <c r="N74" s="267"/>
      <c r="O74" s="268"/>
    </row>
    <row r="75" spans="1:15" ht="18" customHeight="1" x14ac:dyDescent="0.3">
      <c r="A75" s="265">
        <v>24</v>
      </c>
      <c r="B75" s="266" t="s">
        <v>129</v>
      </c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8"/>
    </row>
    <row r="76" spans="1:15" ht="18" customHeight="1" x14ac:dyDescent="0.3">
      <c r="A76" s="265">
        <v>25</v>
      </c>
      <c r="B76" s="270" t="s">
        <v>594</v>
      </c>
      <c r="C76" s="267">
        <v>1</v>
      </c>
      <c r="D76" s="268"/>
      <c r="E76" s="268"/>
      <c r="F76" s="268"/>
      <c r="G76" s="274">
        <v>1</v>
      </c>
      <c r="H76" s="268"/>
      <c r="I76" s="268"/>
      <c r="J76" s="274">
        <v>1</v>
      </c>
      <c r="K76" s="268"/>
      <c r="L76" s="268"/>
      <c r="M76" s="271"/>
      <c r="N76" s="268"/>
      <c r="O76" s="268"/>
    </row>
    <row r="77" spans="1:15" ht="18" customHeight="1" x14ac:dyDescent="0.3">
      <c r="A77" s="265">
        <v>26</v>
      </c>
      <c r="B77" s="270" t="s">
        <v>595</v>
      </c>
      <c r="C77" s="267">
        <v>1</v>
      </c>
      <c r="D77" s="268"/>
      <c r="E77" s="268"/>
      <c r="F77" s="268"/>
      <c r="G77" s="274">
        <v>1</v>
      </c>
      <c r="H77" s="268"/>
      <c r="I77" s="268"/>
      <c r="J77" s="274">
        <v>1</v>
      </c>
      <c r="K77" s="268"/>
      <c r="L77" s="268"/>
      <c r="M77" s="271"/>
      <c r="N77" s="268"/>
      <c r="O77" s="268"/>
    </row>
    <row r="78" spans="1:15" ht="18" customHeight="1" x14ac:dyDescent="0.3">
      <c r="A78" s="265">
        <v>27</v>
      </c>
      <c r="B78" s="270" t="s">
        <v>59</v>
      </c>
      <c r="C78" s="267">
        <v>1</v>
      </c>
      <c r="D78" s="268"/>
      <c r="E78" s="268"/>
      <c r="F78" s="268"/>
      <c r="G78" s="274">
        <v>1</v>
      </c>
      <c r="H78" s="274">
        <v>1</v>
      </c>
      <c r="I78" s="268"/>
      <c r="J78" s="274"/>
      <c r="K78" s="268"/>
      <c r="L78" s="268"/>
      <c r="M78" s="271"/>
      <c r="N78" s="268"/>
      <c r="O78" s="268"/>
    </row>
    <row r="79" spans="1:15" ht="18" customHeight="1" x14ac:dyDescent="0.3">
      <c r="A79" s="265">
        <v>28</v>
      </c>
      <c r="B79" s="270" t="s">
        <v>596</v>
      </c>
      <c r="C79" s="267">
        <v>1</v>
      </c>
      <c r="D79" s="268"/>
      <c r="E79" s="268"/>
      <c r="F79" s="268"/>
      <c r="G79" s="274">
        <v>1</v>
      </c>
      <c r="H79" s="268"/>
      <c r="I79" s="268"/>
      <c r="J79" s="274">
        <v>1</v>
      </c>
      <c r="K79" s="268"/>
      <c r="L79" s="268"/>
      <c r="M79" s="271"/>
      <c r="N79" s="268"/>
      <c r="O79" s="268"/>
    </row>
    <row r="80" spans="1:15" ht="18" customHeight="1" x14ac:dyDescent="0.3">
      <c r="A80" s="265">
        <v>29</v>
      </c>
      <c r="B80" s="270"/>
      <c r="C80" s="267"/>
      <c r="D80" s="268"/>
      <c r="E80" s="268"/>
      <c r="F80" s="268"/>
      <c r="G80" s="268"/>
      <c r="H80" s="268"/>
      <c r="I80" s="268"/>
      <c r="J80" s="268"/>
      <c r="K80" s="268"/>
      <c r="L80" s="268"/>
      <c r="M80" s="271"/>
      <c r="N80" s="268"/>
      <c r="O80" s="268"/>
    </row>
    <row r="81" spans="1:15" ht="18" customHeight="1" x14ac:dyDescent="0.3">
      <c r="A81" s="265">
        <v>30</v>
      </c>
      <c r="B81" s="268"/>
      <c r="C81" s="267"/>
      <c r="D81" s="268"/>
      <c r="E81" s="268"/>
      <c r="F81" s="268"/>
      <c r="G81" s="268"/>
      <c r="H81" s="268"/>
      <c r="I81" s="268"/>
      <c r="J81" s="268"/>
      <c r="K81" s="268"/>
      <c r="L81" s="268"/>
      <c r="M81" s="271"/>
      <c r="N81" s="268"/>
      <c r="O81" s="268"/>
    </row>
    <row r="82" spans="1:15" ht="18" customHeight="1" x14ac:dyDescent="0.3">
      <c r="A82" s="265">
        <v>31</v>
      </c>
      <c r="B82" s="268"/>
      <c r="C82" s="267"/>
      <c r="D82" s="268"/>
      <c r="E82" s="268"/>
      <c r="F82" s="268"/>
      <c r="G82" s="268"/>
      <c r="H82" s="268"/>
      <c r="I82" s="268"/>
      <c r="J82" s="268"/>
      <c r="K82" s="268"/>
      <c r="L82" s="268"/>
      <c r="M82" s="271"/>
      <c r="N82" s="268"/>
      <c r="O82" s="268"/>
    </row>
    <row r="83" spans="1:15" ht="18" customHeight="1" x14ac:dyDescent="0.3">
      <c r="A83" s="265">
        <v>32</v>
      </c>
      <c r="B83" s="268"/>
      <c r="C83" s="267"/>
      <c r="D83" s="268"/>
      <c r="E83" s="268"/>
      <c r="F83" s="268"/>
      <c r="G83" s="268"/>
      <c r="H83" s="268"/>
      <c r="I83" s="268"/>
      <c r="J83" s="268"/>
      <c r="K83" s="268"/>
      <c r="L83" s="268"/>
      <c r="M83" s="271"/>
      <c r="N83" s="268"/>
      <c r="O83" s="268"/>
    </row>
    <row r="84" spans="1:15" ht="18" customHeight="1" x14ac:dyDescent="0.3">
      <c r="A84" s="265">
        <v>33</v>
      </c>
      <c r="B84" s="268"/>
      <c r="C84" s="267"/>
      <c r="D84" s="268"/>
      <c r="E84" s="268"/>
      <c r="F84" s="268"/>
      <c r="G84" s="268"/>
      <c r="H84" s="268"/>
      <c r="I84" s="268"/>
      <c r="J84" s="268"/>
      <c r="K84" s="268"/>
      <c r="L84" s="268"/>
      <c r="M84" s="271"/>
      <c r="N84" s="268"/>
      <c r="O84" s="268"/>
    </row>
    <row r="85" spans="1:15" ht="18" customHeight="1" x14ac:dyDescent="0.3">
      <c r="A85" s="265">
        <v>34</v>
      </c>
      <c r="B85" s="268"/>
      <c r="C85" s="267"/>
      <c r="D85" s="268"/>
      <c r="E85" s="268"/>
      <c r="F85" s="268"/>
      <c r="G85" s="268"/>
      <c r="H85" s="268"/>
      <c r="I85" s="268"/>
      <c r="J85" s="268"/>
      <c r="K85" s="268"/>
      <c r="L85" s="268"/>
      <c r="M85" s="271"/>
      <c r="N85" s="268"/>
      <c r="O85" s="268"/>
    </row>
    <row r="86" spans="1:15" ht="18" customHeight="1" x14ac:dyDescent="0.3">
      <c r="A86" s="265">
        <v>35</v>
      </c>
      <c r="B86" s="268"/>
      <c r="C86" s="267"/>
      <c r="D86" s="268"/>
      <c r="E86" s="268"/>
      <c r="F86" s="268"/>
      <c r="G86" s="268"/>
      <c r="H86" s="268"/>
      <c r="I86" s="268"/>
      <c r="J86" s="268"/>
      <c r="K86" s="268"/>
      <c r="L86" s="268"/>
      <c r="M86" s="271"/>
      <c r="N86" s="268"/>
      <c r="O86" s="268"/>
    </row>
    <row r="87" spans="1:15" ht="18" customHeight="1" x14ac:dyDescent="0.3">
      <c r="A87" s="267"/>
      <c r="B87" s="272" t="s">
        <v>18</v>
      </c>
      <c r="C87" s="265">
        <f>SUM(C52:C86)</f>
        <v>23</v>
      </c>
      <c r="D87" s="265">
        <f t="shared" ref="D87:N87" si="2">SUM(D52:D86)</f>
        <v>0</v>
      </c>
      <c r="E87" s="265">
        <f t="shared" si="2"/>
        <v>1</v>
      </c>
      <c r="F87" s="265">
        <f t="shared" si="2"/>
        <v>0</v>
      </c>
      <c r="G87" s="265">
        <f t="shared" si="2"/>
        <v>22</v>
      </c>
      <c r="H87" s="265">
        <f t="shared" si="2"/>
        <v>10</v>
      </c>
      <c r="I87" s="265">
        <f t="shared" si="2"/>
        <v>0</v>
      </c>
      <c r="J87" s="265">
        <f t="shared" si="2"/>
        <v>13</v>
      </c>
      <c r="K87" s="265">
        <f t="shared" si="2"/>
        <v>0</v>
      </c>
      <c r="L87" s="265">
        <f t="shared" si="2"/>
        <v>0</v>
      </c>
      <c r="M87" s="265">
        <f t="shared" si="2"/>
        <v>0</v>
      </c>
      <c r="N87" s="265">
        <f t="shared" si="2"/>
        <v>0</v>
      </c>
      <c r="O87" s="268"/>
    </row>
    <row r="88" spans="1:15" ht="14" x14ac:dyDescent="0.3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</row>
    <row r="89" spans="1:15" ht="14" x14ac:dyDescent="0.3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</row>
    <row r="90" spans="1:15" ht="14" x14ac:dyDescent="0.25">
      <c r="A90" s="1015" t="s">
        <v>131</v>
      </c>
      <c r="B90" s="1015"/>
      <c r="C90" s="1015"/>
      <c r="D90" s="1015"/>
      <c r="E90" s="1015"/>
      <c r="F90" s="1015"/>
      <c r="G90" s="1015"/>
      <c r="H90" s="1015"/>
      <c r="I90" s="1015"/>
      <c r="J90" s="1015"/>
      <c r="K90" s="1015"/>
      <c r="L90" s="1015"/>
      <c r="M90" s="1015"/>
      <c r="N90" s="1015"/>
      <c r="O90" s="1015"/>
    </row>
    <row r="91" spans="1:15" ht="14" x14ac:dyDescent="0.3">
      <c r="A91" s="19" t="s">
        <v>225</v>
      </c>
      <c r="B91" s="19"/>
      <c r="C91" s="260" t="str">
        <f>PETUNJUK!C5</f>
        <v>PECANGAAN</v>
      </c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</row>
    <row r="92" spans="1:15" ht="14" x14ac:dyDescent="0.3">
      <c r="A92" s="19" t="s">
        <v>226</v>
      </c>
      <c r="B92" s="19"/>
      <c r="C92" s="261" t="s">
        <v>395</v>
      </c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</row>
    <row r="93" spans="1:15" ht="14" x14ac:dyDescent="0.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</row>
    <row r="94" spans="1:15" ht="18" customHeight="1" x14ac:dyDescent="0.25">
      <c r="A94" s="1018" t="s">
        <v>1</v>
      </c>
      <c r="B94" s="1018" t="s">
        <v>116</v>
      </c>
      <c r="C94" s="1019" t="s">
        <v>117</v>
      </c>
      <c r="D94" s="1020" t="s">
        <v>214</v>
      </c>
      <c r="E94" s="1020"/>
      <c r="F94" s="1020"/>
      <c r="G94" s="263" t="s">
        <v>204</v>
      </c>
      <c r="H94" s="1020" t="s">
        <v>213</v>
      </c>
      <c r="I94" s="1020"/>
      <c r="J94" s="1021" t="s">
        <v>132</v>
      </c>
      <c r="K94" s="1022"/>
      <c r="L94" s="1022"/>
      <c r="M94" s="1023"/>
      <c r="N94" s="263" t="s">
        <v>205</v>
      </c>
      <c r="O94" s="1020" t="s">
        <v>206</v>
      </c>
    </row>
    <row r="95" spans="1:15" ht="18" customHeight="1" x14ac:dyDescent="0.25">
      <c r="A95" s="1018"/>
      <c r="B95" s="1018"/>
      <c r="C95" s="1019"/>
      <c r="D95" s="262" t="s">
        <v>193</v>
      </c>
      <c r="E95" s="262" t="s">
        <v>192</v>
      </c>
      <c r="F95" s="262" t="s">
        <v>191</v>
      </c>
      <c r="G95" s="264" t="s">
        <v>207</v>
      </c>
      <c r="H95" s="262" t="s">
        <v>208</v>
      </c>
      <c r="I95" s="262" t="s">
        <v>209</v>
      </c>
      <c r="J95" s="262" t="s">
        <v>210</v>
      </c>
      <c r="K95" s="262" t="s">
        <v>211</v>
      </c>
      <c r="L95" s="262" t="s">
        <v>88</v>
      </c>
      <c r="M95" s="262" t="s">
        <v>18</v>
      </c>
      <c r="N95" s="264" t="s">
        <v>212</v>
      </c>
      <c r="O95" s="1020"/>
    </row>
    <row r="96" spans="1:15" ht="18" customHeight="1" x14ac:dyDescent="0.3">
      <c r="A96" s="265">
        <v>1</v>
      </c>
      <c r="B96" s="266" t="s">
        <v>118</v>
      </c>
      <c r="C96" s="267">
        <v>5</v>
      </c>
      <c r="D96" s="267"/>
      <c r="E96" s="267"/>
      <c r="F96" s="267"/>
      <c r="G96" s="267">
        <v>5</v>
      </c>
      <c r="H96" s="267">
        <v>5</v>
      </c>
      <c r="I96" s="267"/>
      <c r="J96" s="267"/>
      <c r="K96" s="267"/>
      <c r="L96" s="267"/>
      <c r="M96" s="267"/>
      <c r="N96" s="267"/>
      <c r="O96" s="268"/>
    </row>
    <row r="97" spans="1:15" ht="18" customHeight="1" x14ac:dyDescent="0.3">
      <c r="A97" s="265">
        <v>2</v>
      </c>
      <c r="B97" s="266" t="s">
        <v>119</v>
      </c>
      <c r="C97" s="267">
        <v>1</v>
      </c>
      <c r="D97" s="267"/>
      <c r="E97" s="267"/>
      <c r="F97" s="267"/>
      <c r="G97" s="267">
        <v>1</v>
      </c>
      <c r="H97" s="267"/>
      <c r="I97" s="267"/>
      <c r="J97" s="267">
        <v>1</v>
      </c>
      <c r="K97" s="267"/>
      <c r="L97" s="267"/>
      <c r="M97" s="267"/>
      <c r="N97" s="267"/>
      <c r="O97" s="268"/>
    </row>
    <row r="98" spans="1:15" ht="18" customHeight="1" x14ac:dyDescent="0.3">
      <c r="A98" s="265">
        <v>3</v>
      </c>
      <c r="B98" s="266" t="s">
        <v>127</v>
      </c>
      <c r="C98" s="267"/>
      <c r="D98" s="267"/>
      <c r="E98" s="267"/>
      <c r="F98" s="267"/>
      <c r="G98" s="267"/>
      <c r="H98" s="267"/>
      <c r="I98" s="267"/>
      <c r="J98" s="267"/>
      <c r="K98" s="267"/>
      <c r="L98" s="267"/>
      <c r="M98" s="267"/>
      <c r="N98" s="267"/>
      <c r="O98" s="268"/>
    </row>
    <row r="99" spans="1:15" ht="18" customHeight="1" x14ac:dyDescent="0.3">
      <c r="A99" s="265">
        <v>4</v>
      </c>
      <c r="B99" s="266" t="s">
        <v>124</v>
      </c>
      <c r="C99" s="267"/>
      <c r="D99" s="267"/>
      <c r="E99" s="267"/>
      <c r="F99" s="267"/>
      <c r="G99" s="267"/>
      <c r="H99" s="267"/>
      <c r="I99" s="267"/>
      <c r="J99" s="267"/>
      <c r="K99" s="267"/>
      <c r="L99" s="267"/>
      <c r="M99" s="267"/>
      <c r="N99" s="267"/>
      <c r="O99" s="268"/>
    </row>
    <row r="100" spans="1:15" ht="18" customHeight="1" x14ac:dyDescent="0.3">
      <c r="A100" s="265">
        <v>5</v>
      </c>
      <c r="B100" s="266" t="s">
        <v>120</v>
      </c>
      <c r="C100" s="267"/>
      <c r="D100" s="267"/>
      <c r="E100" s="267"/>
      <c r="F100" s="267"/>
      <c r="G100" s="267"/>
      <c r="H100" s="267"/>
      <c r="I100" s="267"/>
      <c r="J100" s="267"/>
      <c r="K100" s="267"/>
      <c r="L100" s="267"/>
      <c r="M100" s="267"/>
      <c r="N100" s="267"/>
      <c r="O100" s="268"/>
    </row>
    <row r="101" spans="1:15" ht="18" customHeight="1" x14ac:dyDescent="0.3">
      <c r="A101" s="265">
        <v>6</v>
      </c>
      <c r="B101" s="266" t="s">
        <v>215</v>
      </c>
      <c r="C101" s="267">
        <v>3</v>
      </c>
      <c r="D101" s="267"/>
      <c r="E101" s="267"/>
      <c r="F101" s="267"/>
      <c r="G101" s="267">
        <v>3</v>
      </c>
      <c r="H101" s="267"/>
      <c r="I101" s="267"/>
      <c r="J101" s="267">
        <v>2</v>
      </c>
      <c r="K101" s="267">
        <v>1</v>
      </c>
      <c r="L101" s="267"/>
      <c r="M101" s="267"/>
      <c r="N101" s="267"/>
      <c r="O101" s="268"/>
    </row>
    <row r="102" spans="1:15" ht="18" customHeight="1" x14ac:dyDescent="0.3">
      <c r="A102" s="265">
        <v>7</v>
      </c>
      <c r="B102" s="266" t="s">
        <v>122</v>
      </c>
      <c r="C102" s="267"/>
      <c r="D102" s="267"/>
      <c r="E102" s="267"/>
      <c r="F102" s="267"/>
      <c r="G102" s="267"/>
      <c r="H102" s="267"/>
      <c r="I102" s="267"/>
      <c r="J102" s="267"/>
      <c r="K102" s="267"/>
      <c r="L102" s="267"/>
      <c r="M102" s="267"/>
      <c r="N102" s="267"/>
      <c r="O102" s="268"/>
    </row>
    <row r="103" spans="1:15" ht="18" customHeight="1" x14ac:dyDescent="0.3">
      <c r="A103" s="265">
        <v>8</v>
      </c>
      <c r="B103" s="266" t="s">
        <v>123</v>
      </c>
      <c r="C103" s="267"/>
      <c r="D103" s="267"/>
      <c r="E103" s="267"/>
      <c r="F103" s="267"/>
      <c r="G103" s="267"/>
      <c r="H103" s="267"/>
      <c r="I103" s="267"/>
      <c r="J103" s="267"/>
      <c r="K103" s="267"/>
      <c r="L103" s="267"/>
      <c r="M103" s="267"/>
      <c r="N103" s="267"/>
      <c r="O103" s="268"/>
    </row>
    <row r="104" spans="1:15" ht="18" customHeight="1" x14ac:dyDescent="0.3">
      <c r="A104" s="265">
        <v>9</v>
      </c>
      <c r="B104" s="266" t="s">
        <v>218</v>
      </c>
      <c r="C104" s="267">
        <v>1</v>
      </c>
      <c r="D104" s="267"/>
      <c r="E104" s="267"/>
      <c r="F104" s="267"/>
      <c r="G104" s="267">
        <v>1</v>
      </c>
      <c r="H104" s="267">
        <v>1</v>
      </c>
      <c r="I104" s="267"/>
      <c r="J104" s="267"/>
      <c r="K104" s="267"/>
      <c r="L104" s="267"/>
      <c r="M104" s="267"/>
      <c r="N104" s="267"/>
      <c r="O104" s="268"/>
    </row>
    <row r="105" spans="1:15" ht="18" customHeight="1" x14ac:dyDescent="0.3">
      <c r="A105" s="265">
        <v>10</v>
      </c>
      <c r="B105" s="266" t="s">
        <v>126</v>
      </c>
      <c r="C105" s="267"/>
      <c r="D105" s="267"/>
      <c r="E105" s="267"/>
      <c r="F105" s="267"/>
      <c r="G105" s="267"/>
      <c r="H105" s="267"/>
      <c r="I105" s="267"/>
      <c r="J105" s="267"/>
      <c r="K105" s="267"/>
      <c r="L105" s="267"/>
      <c r="M105" s="267"/>
      <c r="N105" s="267"/>
      <c r="O105" s="268"/>
    </row>
    <row r="106" spans="1:15" ht="18" customHeight="1" x14ac:dyDescent="0.3">
      <c r="A106" s="265">
        <v>11</v>
      </c>
      <c r="B106" s="266" t="s">
        <v>125</v>
      </c>
      <c r="C106" s="267"/>
      <c r="D106" s="267"/>
      <c r="E106" s="267"/>
      <c r="F106" s="267"/>
      <c r="G106" s="267"/>
      <c r="H106" s="267"/>
      <c r="I106" s="267"/>
      <c r="J106" s="267"/>
      <c r="K106" s="267"/>
      <c r="L106" s="267"/>
      <c r="M106" s="267"/>
      <c r="N106" s="267"/>
      <c r="O106" s="268"/>
    </row>
    <row r="107" spans="1:15" ht="18" customHeight="1" x14ac:dyDescent="0.3">
      <c r="A107" s="265">
        <v>12</v>
      </c>
      <c r="B107" s="266" t="s">
        <v>130</v>
      </c>
      <c r="C107" s="267"/>
      <c r="D107" s="267"/>
      <c r="E107" s="267"/>
      <c r="F107" s="267"/>
      <c r="G107" s="267"/>
      <c r="H107" s="267"/>
      <c r="I107" s="267"/>
      <c r="J107" s="267"/>
      <c r="K107" s="267"/>
      <c r="L107" s="267"/>
      <c r="M107" s="267"/>
      <c r="N107" s="267"/>
      <c r="O107" s="268"/>
    </row>
    <row r="108" spans="1:15" ht="18" customHeight="1" x14ac:dyDescent="0.3">
      <c r="A108" s="265">
        <v>13</v>
      </c>
      <c r="B108" s="269" t="s">
        <v>216</v>
      </c>
      <c r="C108" s="267"/>
      <c r="D108" s="267"/>
      <c r="E108" s="267"/>
      <c r="F108" s="267"/>
      <c r="G108" s="267"/>
      <c r="H108" s="267"/>
      <c r="I108" s="267"/>
      <c r="J108" s="267"/>
      <c r="K108" s="267"/>
      <c r="L108" s="267"/>
      <c r="M108" s="267"/>
      <c r="N108" s="267"/>
      <c r="O108" s="268"/>
    </row>
    <row r="109" spans="1:15" ht="18" customHeight="1" x14ac:dyDescent="0.3">
      <c r="A109" s="265">
        <v>14</v>
      </c>
      <c r="B109" s="266" t="s">
        <v>121</v>
      </c>
      <c r="C109" s="267"/>
      <c r="D109" s="267"/>
      <c r="E109" s="267"/>
      <c r="F109" s="267"/>
      <c r="G109" s="267"/>
      <c r="H109" s="267"/>
      <c r="I109" s="267"/>
      <c r="J109" s="267"/>
      <c r="K109" s="267"/>
      <c r="L109" s="267"/>
      <c r="M109" s="267"/>
      <c r="N109" s="267"/>
      <c r="O109" s="268"/>
    </row>
    <row r="110" spans="1:15" ht="18" customHeight="1" x14ac:dyDescent="0.3">
      <c r="A110" s="265">
        <v>15</v>
      </c>
      <c r="B110" s="266" t="s">
        <v>45</v>
      </c>
      <c r="C110" s="267"/>
      <c r="D110" s="267"/>
      <c r="E110" s="267"/>
      <c r="F110" s="267"/>
      <c r="G110" s="267"/>
      <c r="H110" s="267"/>
      <c r="I110" s="267"/>
      <c r="J110" s="267"/>
      <c r="K110" s="267"/>
      <c r="L110" s="267"/>
      <c r="M110" s="267"/>
      <c r="N110" s="267"/>
      <c r="O110" s="268"/>
    </row>
    <row r="111" spans="1:15" ht="18" customHeight="1" x14ac:dyDescent="0.3">
      <c r="A111" s="265">
        <v>16</v>
      </c>
      <c r="B111" s="269" t="s">
        <v>217</v>
      </c>
      <c r="C111" s="267"/>
      <c r="D111" s="267"/>
      <c r="E111" s="267"/>
      <c r="F111" s="267"/>
      <c r="G111" s="267"/>
      <c r="H111" s="267"/>
      <c r="I111" s="267"/>
      <c r="J111" s="267"/>
      <c r="K111" s="267"/>
      <c r="L111" s="267"/>
      <c r="M111" s="267"/>
      <c r="N111" s="267"/>
      <c r="O111" s="268"/>
    </row>
    <row r="112" spans="1:15" ht="18" customHeight="1" x14ac:dyDescent="0.3">
      <c r="A112" s="265">
        <v>17</v>
      </c>
      <c r="B112" s="266" t="s">
        <v>219</v>
      </c>
      <c r="C112" s="267"/>
      <c r="D112" s="267"/>
      <c r="E112" s="267"/>
      <c r="F112" s="267"/>
      <c r="G112" s="267"/>
      <c r="H112" s="267"/>
      <c r="I112" s="267"/>
      <c r="J112" s="267"/>
      <c r="K112" s="267"/>
      <c r="L112" s="267"/>
      <c r="M112" s="267"/>
      <c r="N112" s="267"/>
      <c r="O112" s="268"/>
    </row>
    <row r="113" spans="1:15" ht="18" customHeight="1" x14ac:dyDescent="0.3">
      <c r="A113" s="265">
        <v>18</v>
      </c>
      <c r="B113" s="266" t="s">
        <v>128</v>
      </c>
      <c r="C113" s="267"/>
      <c r="D113" s="267"/>
      <c r="E113" s="267"/>
      <c r="F113" s="267"/>
      <c r="G113" s="267"/>
      <c r="H113" s="267"/>
      <c r="I113" s="267"/>
      <c r="J113" s="267"/>
      <c r="K113" s="267"/>
      <c r="L113" s="267"/>
      <c r="M113" s="267"/>
      <c r="N113" s="267"/>
      <c r="O113" s="268"/>
    </row>
    <row r="114" spans="1:15" ht="18" customHeight="1" x14ac:dyDescent="0.3">
      <c r="A114" s="265">
        <v>19</v>
      </c>
      <c r="B114" s="266" t="s">
        <v>221</v>
      </c>
      <c r="C114" s="267"/>
      <c r="D114" s="267"/>
      <c r="E114" s="267"/>
      <c r="F114" s="267"/>
      <c r="G114" s="267"/>
      <c r="H114" s="267"/>
      <c r="I114" s="267"/>
      <c r="J114" s="267"/>
      <c r="K114" s="267"/>
      <c r="L114" s="267"/>
      <c r="M114" s="267"/>
      <c r="N114" s="267"/>
      <c r="O114" s="268"/>
    </row>
    <row r="115" spans="1:15" ht="18" customHeight="1" x14ac:dyDescent="0.3">
      <c r="A115" s="265">
        <v>20</v>
      </c>
      <c r="B115" s="266" t="s">
        <v>220</v>
      </c>
      <c r="C115" s="267"/>
      <c r="D115" s="267"/>
      <c r="E115" s="267"/>
      <c r="F115" s="267"/>
      <c r="G115" s="267"/>
      <c r="H115" s="267"/>
      <c r="I115" s="267"/>
      <c r="J115" s="267"/>
      <c r="K115" s="267"/>
      <c r="L115" s="267"/>
      <c r="M115" s="267"/>
      <c r="N115" s="267"/>
      <c r="O115" s="268"/>
    </row>
    <row r="116" spans="1:15" ht="18" customHeight="1" x14ac:dyDescent="0.3">
      <c r="A116" s="265">
        <v>21</v>
      </c>
      <c r="B116" s="266" t="s">
        <v>222</v>
      </c>
      <c r="C116" s="267"/>
      <c r="D116" s="267"/>
      <c r="E116" s="267"/>
      <c r="F116" s="267"/>
      <c r="G116" s="267"/>
      <c r="H116" s="267"/>
      <c r="I116" s="267"/>
      <c r="J116" s="267"/>
      <c r="K116" s="267"/>
      <c r="L116" s="267"/>
      <c r="M116" s="267"/>
      <c r="N116" s="267"/>
      <c r="O116" s="268"/>
    </row>
    <row r="117" spans="1:15" ht="18" customHeight="1" x14ac:dyDescent="0.3">
      <c r="A117" s="265">
        <v>22</v>
      </c>
      <c r="B117" s="266" t="s">
        <v>223</v>
      </c>
      <c r="C117" s="267"/>
      <c r="D117" s="267"/>
      <c r="E117" s="267"/>
      <c r="F117" s="267"/>
      <c r="G117" s="267"/>
      <c r="H117" s="267"/>
      <c r="I117" s="267"/>
      <c r="J117" s="267"/>
      <c r="K117" s="267"/>
      <c r="L117" s="267"/>
      <c r="M117" s="267"/>
      <c r="N117" s="267"/>
      <c r="O117" s="268"/>
    </row>
    <row r="118" spans="1:15" ht="18" customHeight="1" x14ac:dyDescent="0.3">
      <c r="A118" s="265">
        <v>23</v>
      </c>
      <c r="B118" s="269" t="s">
        <v>224</v>
      </c>
      <c r="C118" s="267">
        <v>1</v>
      </c>
      <c r="D118" s="267"/>
      <c r="E118" s="267"/>
      <c r="F118" s="267"/>
      <c r="G118" s="267">
        <v>1</v>
      </c>
      <c r="H118" s="267">
        <v>1</v>
      </c>
      <c r="I118" s="267"/>
      <c r="J118" s="267"/>
      <c r="K118" s="267"/>
      <c r="L118" s="267"/>
      <c r="M118" s="267"/>
      <c r="N118" s="267"/>
      <c r="O118" s="268"/>
    </row>
    <row r="119" spans="1:15" ht="18" customHeight="1" x14ac:dyDescent="0.3">
      <c r="A119" s="265">
        <v>24</v>
      </c>
      <c r="B119" s="266" t="s">
        <v>129</v>
      </c>
      <c r="C119" s="267"/>
      <c r="D119" s="267"/>
      <c r="E119" s="267"/>
      <c r="F119" s="267"/>
      <c r="G119" s="267"/>
      <c r="H119" s="267"/>
      <c r="I119" s="267"/>
      <c r="J119" s="267"/>
      <c r="K119" s="267"/>
      <c r="L119" s="267"/>
      <c r="M119" s="267"/>
      <c r="N119" s="267"/>
      <c r="O119" s="268"/>
    </row>
    <row r="120" spans="1:15" ht="18" customHeight="1" x14ac:dyDescent="0.3">
      <c r="A120" s="265">
        <v>25</v>
      </c>
      <c r="B120" s="270" t="s">
        <v>595</v>
      </c>
      <c r="C120" s="267">
        <v>3</v>
      </c>
      <c r="D120" s="268"/>
      <c r="E120" s="268"/>
      <c r="F120" s="268"/>
      <c r="G120" s="267">
        <v>3</v>
      </c>
      <c r="H120" s="267"/>
      <c r="I120" s="268"/>
      <c r="J120" s="267">
        <v>1</v>
      </c>
      <c r="K120" s="267">
        <v>2</v>
      </c>
      <c r="L120" s="268"/>
      <c r="M120" s="271"/>
      <c r="N120" s="268"/>
      <c r="O120" s="268"/>
    </row>
    <row r="121" spans="1:15" ht="18" customHeight="1" x14ac:dyDescent="0.3">
      <c r="A121" s="265">
        <v>26</v>
      </c>
      <c r="B121" s="270" t="s">
        <v>630</v>
      </c>
      <c r="C121" s="267">
        <v>1</v>
      </c>
      <c r="D121" s="268"/>
      <c r="E121" s="268"/>
      <c r="F121" s="268"/>
      <c r="G121" s="267">
        <v>1</v>
      </c>
      <c r="H121" s="267">
        <v>1</v>
      </c>
      <c r="I121" s="268"/>
      <c r="J121" s="267"/>
      <c r="K121" s="267"/>
      <c r="L121" s="268"/>
      <c r="M121" s="271"/>
      <c r="N121" s="268"/>
      <c r="O121" s="268"/>
    </row>
    <row r="122" spans="1:15" ht="18" customHeight="1" x14ac:dyDescent="0.3">
      <c r="A122" s="265">
        <v>27</v>
      </c>
      <c r="B122" s="270" t="s">
        <v>629</v>
      </c>
      <c r="C122" s="267">
        <v>1</v>
      </c>
      <c r="D122" s="268"/>
      <c r="E122" s="268"/>
      <c r="F122" s="268"/>
      <c r="G122" s="267">
        <v>1</v>
      </c>
      <c r="H122" s="267"/>
      <c r="I122" s="268"/>
      <c r="J122" s="267">
        <v>1</v>
      </c>
      <c r="K122" s="267"/>
      <c r="L122" s="268"/>
      <c r="M122" s="271"/>
      <c r="N122" s="268"/>
      <c r="O122" s="268"/>
    </row>
    <row r="123" spans="1:15" ht="18" customHeight="1" x14ac:dyDescent="0.3">
      <c r="A123" s="265">
        <v>28</v>
      </c>
      <c r="B123" s="270"/>
      <c r="C123" s="267"/>
      <c r="D123" s="268"/>
      <c r="E123" s="268"/>
      <c r="F123" s="268"/>
      <c r="G123" s="268"/>
      <c r="H123" s="267"/>
      <c r="I123" s="268"/>
      <c r="J123" s="268"/>
      <c r="K123" s="268"/>
      <c r="L123" s="268"/>
      <c r="M123" s="271"/>
      <c r="N123" s="268"/>
      <c r="O123" s="268"/>
    </row>
    <row r="124" spans="1:15" ht="18" customHeight="1" x14ac:dyDescent="0.3">
      <c r="A124" s="265">
        <v>29</v>
      </c>
      <c r="B124" s="270"/>
      <c r="C124" s="267"/>
      <c r="D124" s="268"/>
      <c r="E124" s="268"/>
      <c r="F124" s="268"/>
      <c r="G124" s="268"/>
      <c r="H124" s="268"/>
      <c r="I124" s="268"/>
      <c r="J124" s="268"/>
      <c r="K124" s="268"/>
      <c r="L124" s="268"/>
      <c r="M124" s="271"/>
      <c r="N124" s="268"/>
      <c r="O124" s="268"/>
    </row>
    <row r="125" spans="1:15" ht="18" customHeight="1" x14ac:dyDescent="0.3">
      <c r="A125" s="265">
        <v>30</v>
      </c>
      <c r="B125" s="268"/>
      <c r="C125" s="267"/>
      <c r="D125" s="268"/>
      <c r="E125" s="268"/>
      <c r="F125" s="268"/>
      <c r="G125" s="268"/>
      <c r="H125" s="268"/>
      <c r="I125" s="268"/>
      <c r="J125" s="268"/>
      <c r="K125" s="268"/>
      <c r="L125" s="268"/>
      <c r="M125" s="271"/>
      <c r="N125" s="268"/>
      <c r="O125" s="268"/>
    </row>
    <row r="126" spans="1:15" ht="18" customHeight="1" x14ac:dyDescent="0.3">
      <c r="A126" s="265">
        <v>31</v>
      </c>
      <c r="B126" s="268"/>
      <c r="C126" s="267"/>
      <c r="D126" s="268"/>
      <c r="E126" s="268"/>
      <c r="F126" s="268"/>
      <c r="G126" s="268"/>
      <c r="H126" s="268"/>
      <c r="I126" s="268"/>
      <c r="J126" s="268"/>
      <c r="K126" s="268"/>
      <c r="L126" s="268"/>
      <c r="M126" s="271"/>
      <c r="N126" s="268"/>
      <c r="O126" s="268"/>
    </row>
    <row r="127" spans="1:15" ht="18" customHeight="1" x14ac:dyDescent="0.3">
      <c r="A127" s="265">
        <v>32</v>
      </c>
      <c r="B127" s="268"/>
      <c r="C127" s="267"/>
      <c r="D127" s="268"/>
      <c r="E127" s="268"/>
      <c r="F127" s="268"/>
      <c r="G127" s="268"/>
      <c r="H127" s="268"/>
      <c r="I127" s="268"/>
      <c r="J127" s="268"/>
      <c r="K127" s="268"/>
      <c r="L127" s="268"/>
      <c r="M127" s="271"/>
      <c r="N127" s="268"/>
      <c r="O127" s="268"/>
    </row>
    <row r="128" spans="1:15" ht="18" customHeight="1" x14ac:dyDescent="0.3">
      <c r="A128" s="265">
        <v>33</v>
      </c>
      <c r="B128" s="268"/>
      <c r="C128" s="267"/>
      <c r="D128" s="268"/>
      <c r="E128" s="268"/>
      <c r="F128" s="268"/>
      <c r="G128" s="268"/>
      <c r="H128" s="268"/>
      <c r="I128" s="268"/>
      <c r="J128" s="268"/>
      <c r="K128" s="268"/>
      <c r="L128" s="268"/>
      <c r="M128" s="271"/>
      <c r="N128" s="268"/>
      <c r="O128" s="268"/>
    </row>
    <row r="129" spans="1:15" ht="18" customHeight="1" x14ac:dyDescent="0.3">
      <c r="A129" s="265">
        <v>34</v>
      </c>
      <c r="B129" s="268"/>
      <c r="C129" s="267"/>
      <c r="D129" s="268"/>
      <c r="E129" s="268"/>
      <c r="F129" s="268"/>
      <c r="G129" s="268"/>
      <c r="H129" s="268"/>
      <c r="I129" s="268"/>
      <c r="J129" s="268"/>
      <c r="K129" s="268"/>
      <c r="L129" s="268"/>
      <c r="M129" s="271"/>
      <c r="N129" s="268"/>
      <c r="O129" s="268"/>
    </row>
    <row r="130" spans="1:15" ht="18" customHeight="1" x14ac:dyDescent="0.3">
      <c r="A130" s="265">
        <v>35</v>
      </c>
      <c r="B130" s="268"/>
      <c r="C130" s="267"/>
      <c r="D130" s="268"/>
      <c r="E130" s="268"/>
      <c r="F130" s="268"/>
      <c r="G130" s="268"/>
      <c r="H130" s="268"/>
      <c r="I130" s="268"/>
      <c r="J130" s="268"/>
      <c r="K130" s="268"/>
      <c r="L130" s="268"/>
      <c r="M130" s="271"/>
      <c r="N130" s="268"/>
      <c r="O130" s="268"/>
    </row>
    <row r="131" spans="1:15" ht="18" customHeight="1" x14ac:dyDescent="0.3">
      <c r="A131" s="267"/>
      <c r="B131" s="272" t="s">
        <v>18</v>
      </c>
      <c r="C131" s="265">
        <f>SUM(C96:C130)</f>
        <v>16</v>
      </c>
      <c r="D131" s="265">
        <f>SUM(D96:D130)</f>
        <v>0</v>
      </c>
      <c r="E131" s="265">
        <f t="shared" ref="E131:M131" si="3">SUM(E96:E130)</f>
        <v>0</v>
      </c>
      <c r="F131" s="265">
        <f t="shared" si="3"/>
        <v>0</v>
      </c>
      <c r="G131" s="265">
        <f t="shared" si="3"/>
        <v>16</v>
      </c>
      <c r="H131" s="265">
        <f t="shared" si="3"/>
        <v>8</v>
      </c>
      <c r="I131" s="265">
        <f t="shared" si="3"/>
        <v>0</v>
      </c>
      <c r="J131" s="265">
        <f t="shared" si="3"/>
        <v>5</v>
      </c>
      <c r="K131" s="265">
        <f t="shared" si="3"/>
        <v>3</v>
      </c>
      <c r="L131" s="265">
        <f t="shared" si="3"/>
        <v>0</v>
      </c>
      <c r="M131" s="265">
        <f t="shared" si="3"/>
        <v>0</v>
      </c>
      <c r="N131" s="265">
        <f>SUM(N96:N130)</f>
        <v>0</v>
      </c>
      <c r="O131" s="268"/>
    </row>
    <row r="132" spans="1:15" ht="14" x14ac:dyDescent="0.3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</row>
    <row r="133" spans="1:15" ht="14" x14ac:dyDescent="0.3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</row>
    <row r="134" spans="1:15" ht="14" x14ac:dyDescent="0.25">
      <c r="A134" s="1015" t="s">
        <v>131</v>
      </c>
      <c r="B134" s="1015"/>
      <c r="C134" s="1015"/>
      <c r="D134" s="1015"/>
      <c r="E134" s="1015"/>
      <c r="F134" s="1015"/>
      <c r="G134" s="1015"/>
      <c r="H134" s="1015"/>
      <c r="I134" s="1015"/>
      <c r="J134" s="1015"/>
      <c r="K134" s="1015"/>
      <c r="L134" s="1015"/>
      <c r="M134" s="1015"/>
      <c r="N134" s="1015"/>
      <c r="O134" s="1015"/>
    </row>
    <row r="135" spans="1:15" ht="14" x14ac:dyDescent="0.3">
      <c r="A135" s="19" t="s">
        <v>225</v>
      </c>
      <c r="B135" s="19"/>
      <c r="C135" s="260" t="str">
        <f>PETUNJUK!C5</f>
        <v>PECANGAAN</v>
      </c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</row>
    <row r="136" spans="1:15" ht="14" x14ac:dyDescent="0.3">
      <c r="A136" s="19" t="s">
        <v>226</v>
      </c>
      <c r="B136" s="19"/>
      <c r="C136" s="261" t="s">
        <v>401</v>
      </c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</row>
    <row r="137" spans="1:15" ht="14" x14ac:dyDescent="0.3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</row>
    <row r="138" spans="1:15" ht="18" customHeight="1" x14ac:dyDescent="0.25">
      <c r="A138" s="1018" t="s">
        <v>1</v>
      </c>
      <c r="B138" s="1018" t="s">
        <v>116</v>
      </c>
      <c r="C138" s="1019" t="s">
        <v>117</v>
      </c>
      <c r="D138" s="1020" t="s">
        <v>214</v>
      </c>
      <c r="E138" s="1020"/>
      <c r="F138" s="1020"/>
      <c r="G138" s="263" t="s">
        <v>204</v>
      </c>
      <c r="H138" s="1020" t="s">
        <v>213</v>
      </c>
      <c r="I138" s="1020"/>
      <c r="J138" s="1021" t="s">
        <v>132</v>
      </c>
      <c r="K138" s="1022"/>
      <c r="L138" s="1022"/>
      <c r="M138" s="1023"/>
      <c r="N138" s="263" t="s">
        <v>205</v>
      </c>
      <c r="O138" s="1020" t="s">
        <v>206</v>
      </c>
    </row>
    <row r="139" spans="1:15" ht="18" customHeight="1" x14ac:dyDescent="0.25">
      <c r="A139" s="1018"/>
      <c r="B139" s="1018"/>
      <c r="C139" s="1019"/>
      <c r="D139" s="262" t="s">
        <v>193</v>
      </c>
      <c r="E139" s="262" t="s">
        <v>192</v>
      </c>
      <c r="F139" s="262" t="s">
        <v>191</v>
      </c>
      <c r="G139" s="264" t="s">
        <v>207</v>
      </c>
      <c r="H139" s="262" t="s">
        <v>208</v>
      </c>
      <c r="I139" s="262" t="s">
        <v>209</v>
      </c>
      <c r="J139" s="262" t="s">
        <v>210</v>
      </c>
      <c r="K139" s="262" t="s">
        <v>211</v>
      </c>
      <c r="L139" s="262" t="s">
        <v>88</v>
      </c>
      <c r="M139" s="262" t="s">
        <v>18</v>
      </c>
      <c r="N139" s="264" t="s">
        <v>212</v>
      </c>
      <c r="O139" s="1020"/>
    </row>
    <row r="140" spans="1:15" ht="18" customHeight="1" x14ac:dyDescent="0.3">
      <c r="A140" s="265">
        <v>1</v>
      </c>
      <c r="B140" s="266" t="s">
        <v>118</v>
      </c>
      <c r="C140" s="267">
        <v>13</v>
      </c>
      <c r="D140" s="267"/>
      <c r="E140" s="267"/>
      <c r="F140" s="267"/>
      <c r="G140" s="267">
        <v>13</v>
      </c>
      <c r="H140" s="267">
        <v>13</v>
      </c>
      <c r="I140" s="267"/>
      <c r="J140" s="267"/>
      <c r="K140" s="267"/>
      <c r="L140" s="267"/>
      <c r="M140" s="267"/>
      <c r="N140" s="267"/>
      <c r="O140" s="268"/>
    </row>
    <row r="141" spans="1:15" ht="18" customHeight="1" x14ac:dyDescent="0.3">
      <c r="A141" s="265">
        <v>2</v>
      </c>
      <c r="B141" s="266" t="s">
        <v>119</v>
      </c>
      <c r="C141" s="267"/>
      <c r="D141" s="267"/>
      <c r="E141" s="267"/>
      <c r="F141" s="267"/>
      <c r="G141" s="267"/>
      <c r="H141" s="267"/>
      <c r="I141" s="267"/>
      <c r="J141" s="267"/>
      <c r="K141" s="267"/>
      <c r="L141" s="267"/>
      <c r="M141" s="267"/>
      <c r="N141" s="267"/>
      <c r="O141" s="268"/>
    </row>
    <row r="142" spans="1:15" ht="18" customHeight="1" x14ac:dyDescent="0.3">
      <c r="A142" s="265">
        <v>3</v>
      </c>
      <c r="B142" s="266" t="s">
        <v>127</v>
      </c>
      <c r="C142" s="267">
        <v>1</v>
      </c>
      <c r="D142" s="267"/>
      <c r="E142" s="267"/>
      <c r="F142" s="267"/>
      <c r="G142" s="267">
        <v>1</v>
      </c>
      <c r="H142" s="267">
        <v>1</v>
      </c>
      <c r="I142" s="267"/>
      <c r="J142" s="267"/>
      <c r="K142" s="267"/>
      <c r="L142" s="267"/>
      <c r="M142" s="267"/>
      <c r="N142" s="267"/>
      <c r="O142" s="268"/>
    </row>
    <row r="143" spans="1:15" ht="18" customHeight="1" x14ac:dyDescent="0.3">
      <c r="A143" s="265">
        <v>4</v>
      </c>
      <c r="B143" s="266" t="s">
        <v>124</v>
      </c>
      <c r="C143" s="267"/>
      <c r="D143" s="267"/>
      <c r="E143" s="267"/>
      <c r="F143" s="267"/>
      <c r="G143" s="267"/>
      <c r="H143" s="267"/>
      <c r="I143" s="267"/>
      <c r="J143" s="267"/>
      <c r="K143" s="267"/>
      <c r="L143" s="267"/>
      <c r="M143" s="267"/>
      <c r="N143" s="267"/>
      <c r="O143" s="268"/>
    </row>
    <row r="144" spans="1:15" ht="18" customHeight="1" x14ac:dyDescent="0.3">
      <c r="A144" s="265">
        <v>5</v>
      </c>
      <c r="B144" s="266" t="s">
        <v>120</v>
      </c>
      <c r="C144" s="267">
        <v>1</v>
      </c>
      <c r="D144" s="267"/>
      <c r="E144" s="267"/>
      <c r="F144" s="267"/>
      <c r="G144" s="267">
        <v>1</v>
      </c>
      <c r="H144" s="267"/>
      <c r="I144" s="267"/>
      <c r="J144" s="267">
        <v>1</v>
      </c>
      <c r="K144" s="267"/>
      <c r="L144" s="267"/>
      <c r="M144" s="267"/>
      <c r="N144" s="267"/>
      <c r="O144" s="268"/>
    </row>
    <row r="145" spans="1:15" ht="18" customHeight="1" x14ac:dyDescent="0.3">
      <c r="A145" s="265">
        <v>6</v>
      </c>
      <c r="B145" s="266" t="s">
        <v>215</v>
      </c>
      <c r="C145" s="267">
        <v>1</v>
      </c>
      <c r="D145" s="267"/>
      <c r="E145" s="267"/>
      <c r="F145" s="267"/>
      <c r="G145" s="267">
        <v>1</v>
      </c>
      <c r="H145" s="267"/>
      <c r="I145" s="267"/>
      <c r="J145" s="267">
        <v>1</v>
      </c>
      <c r="K145" s="267"/>
      <c r="L145" s="267"/>
      <c r="M145" s="267"/>
      <c r="N145" s="267"/>
      <c r="O145" s="268"/>
    </row>
    <row r="146" spans="1:15" ht="18" customHeight="1" x14ac:dyDescent="0.3">
      <c r="A146" s="265">
        <v>7</v>
      </c>
      <c r="B146" s="266" t="s">
        <v>122</v>
      </c>
      <c r="C146" s="267">
        <v>2</v>
      </c>
      <c r="D146" s="267"/>
      <c r="E146" s="267"/>
      <c r="F146" s="267"/>
      <c r="G146" s="267">
        <v>2</v>
      </c>
      <c r="H146" s="267"/>
      <c r="I146" s="267"/>
      <c r="J146" s="267"/>
      <c r="K146" s="267">
        <v>2</v>
      </c>
      <c r="L146" s="267"/>
      <c r="M146" s="267"/>
      <c r="N146" s="267"/>
      <c r="O146" s="268"/>
    </row>
    <row r="147" spans="1:15" ht="18" customHeight="1" x14ac:dyDescent="0.3">
      <c r="A147" s="265">
        <v>8</v>
      </c>
      <c r="B147" s="266" t="s">
        <v>123</v>
      </c>
      <c r="C147" s="267"/>
      <c r="D147" s="267"/>
      <c r="E147" s="267"/>
      <c r="F147" s="267"/>
      <c r="G147" s="267"/>
      <c r="H147" s="267"/>
      <c r="I147" s="267"/>
      <c r="J147" s="267"/>
      <c r="K147" s="267"/>
      <c r="L147" s="267"/>
      <c r="M147" s="267"/>
      <c r="N147" s="267"/>
      <c r="O147" s="268"/>
    </row>
    <row r="148" spans="1:15" ht="18" customHeight="1" x14ac:dyDescent="0.3">
      <c r="A148" s="265">
        <v>9</v>
      </c>
      <c r="B148" s="266" t="s">
        <v>218</v>
      </c>
      <c r="C148" s="267">
        <v>1</v>
      </c>
      <c r="D148" s="267"/>
      <c r="E148" s="267"/>
      <c r="F148" s="267"/>
      <c r="G148" s="267">
        <v>1</v>
      </c>
      <c r="H148" s="267">
        <v>1</v>
      </c>
      <c r="I148" s="267"/>
      <c r="J148" s="267"/>
      <c r="K148" s="267"/>
      <c r="L148" s="267"/>
      <c r="M148" s="267"/>
      <c r="N148" s="267"/>
      <c r="O148" s="268"/>
    </row>
    <row r="149" spans="1:15" ht="18" customHeight="1" x14ac:dyDescent="0.3">
      <c r="A149" s="265">
        <v>10</v>
      </c>
      <c r="B149" s="266" t="s">
        <v>126</v>
      </c>
      <c r="C149" s="267"/>
      <c r="D149" s="267"/>
      <c r="E149" s="267"/>
      <c r="F149" s="267"/>
      <c r="G149" s="267"/>
      <c r="H149" s="267"/>
      <c r="I149" s="267"/>
      <c r="J149" s="267"/>
      <c r="K149" s="267"/>
      <c r="L149" s="267"/>
      <c r="M149" s="267"/>
      <c r="N149" s="267"/>
      <c r="O149" s="268"/>
    </row>
    <row r="150" spans="1:15" ht="18" customHeight="1" x14ac:dyDescent="0.3">
      <c r="A150" s="265">
        <v>11</v>
      </c>
      <c r="B150" s="266" t="s">
        <v>125</v>
      </c>
      <c r="C150" s="267"/>
      <c r="D150" s="267"/>
      <c r="E150" s="267"/>
      <c r="F150" s="267"/>
      <c r="G150" s="267"/>
      <c r="H150" s="267"/>
      <c r="I150" s="267"/>
      <c r="J150" s="267"/>
      <c r="K150" s="267"/>
      <c r="L150" s="267"/>
      <c r="M150" s="267"/>
      <c r="N150" s="267"/>
      <c r="O150" s="268"/>
    </row>
    <row r="151" spans="1:15" ht="18" customHeight="1" x14ac:dyDescent="0.3">
      <c r="A151" s="265">
        <v>12</v>
      </c>
      <c r="B151" s="266" t="s">
        <v>130</v>
      </c>
      <c r="C151" s="267"/>
      <c r="D151" s="267"/>
      <c r="E151" s="267"/>
      <c r="F151" s="267"/>
      <c r="G151" s="267"/>
      <c r="H151" s="267"/>
      <c r="I151" s="267"/>
      <c r="J151" s="267"/>
      <c r="K151" s="267"/>
      <c r="L151" s="267"/>
      <c r="M151" s="267"/>
      <c r="N151" s="267"/>
      <c r="O151" s="268"/>
    </row>
    <row r="152" spans="1:15" ht="18" customHeight="1" x14ac:dyDescent="0.3">
      <c r="A152" s="265">
        <v>13</v>
      </c>
      <c r="B152" s="269" t="s">
        <v>216</v>
      </c>
      <c r="C152" s="267"/>
      <c r="D152" s="267"/>
      <c r="E152" s="267"/>
      <c r="F152" s="267"/>
      <c r="G152" s="267"/>
      <c r="H152" s="267"/>
      <c r="I152" s="267"/>
      <c r="J152" s="267"/>
      <c r="K152" s="267"/>
      <c r="L152" s="267"/>
      <c r="M152" s="267"/>
      <c r="N152" s="267"/>
      <c r="O152" s="268"/>
    </row>
    <row r="153" spans="1:15" ht="18" customHeight="1" x14ac:dyDescent="0.3">
      <c r="A153" s="265">
        <v>14</v>
      </c>
      <c r="B153" s="266" t="s">
        <v>121</v>
      </c>
      <c r="C153" s="267"/>
      <c r="D153" s="267"/>
      <c r="E153" s="267"/>
      <c r="F153" s="267"/>
      <c r="G153" s="267"/>
      <c r="H153" s="267"/>
      <c r="I153" s="267"/>
      <c r="J153" s="267"/>
      <c r="K153" s="267"/>
      <c r="L153" s="267"/>
      <c r="M153" s="267"/>
      <c r="N153" s="267"/>
      <c r="O153" s="268"/>
    </row>
    <row r="154" spans="1:15" ht="18" customHeight="1" x14ac:dyDescent="0.3">
      <c r="A154" s="265">
        <v>15</v>
      </c>
      <c r="B154" s="266" t="s">
        <v>45</v>
      </c>
      <c r="C154" s="267"/>
      <c r="D154" s="267"/>
      <c r="E154" s="267"/>
      <c r="F154" s="267"/>
      <c r="G154" s="267"/>
      <c r="H154" s="267"/>
      <c r="I154" s="267"/>
      <c r="J154" s="267"/>
      <c r="K154" s="267"/>
      <c r="L154" s="267"/>
      <c r="M154" s="267"/>
      <c r="N154" s="267"/>
      <c r="O154" s="268"/>
    </row>
    <row r="155" spans="1:15" ht="18" customHeight="1" x14ac:dyDescent="0.3">
      <c r="A155" s="265">
        <v>16</v>
      </c>
      <c r="B155" s="269" t="s">
        <v>217</v>
      </c>
      <c r="C155" s="267"/>
      <c r="D155" s="267"/>
      <c r="E155" s="267"/>
      <c r="F155" s="267"/>
      <c r="G155" s="267"/>
      <c r="H155" s="267"/>
      <c r="I155" s="267"/>
      <c r="J155" s="267"/>
      <c r="K155" s="267"/>
      <c r="L155" s="267"/>
      <c r="M155" s="267"/>
      <c r="N155" s="267"/>
      <c r="O155" s="268"/>
    </row>
    <row r="156" spans="1:15" ht="18" customHeight="1" x14ac:dyDescent="0.3">
      <c r="A156" s="265">
        <v>17</v>
      </c>
      <c r="B156" s="266" t="s">
        <v>219</v>
      </c>
      <c r="C156" s="267">
        <v>1</v>
      </c>
      <c r="D156" s="267"/>
      <c r="E156" s="267"/>
      <c r="F156" s="267"/>
      <c r="G156" s="267">
        <v>1</v>
      </c>
      <c r="H156" s="267"/>
      <c r="I156" s="267"/>
      <c r="J156" s="267">
        <v>1</v>
      </c>
      <c r="K156" s="267"/>
      <c r="L156" s="267"/>
      <c r="M156" s="267"/>
      <c r="N156" s="267"/>
      <c r="O156" s="268"/>
    </row>
    <row r="157" spans="1:15" ht="18" customHeight="1" x14ac:dyDescent="0.3">
      <c r="A157" s="265">
        <v>18</v>
      </c>
      <c r="B157" s="266" t="s">
        <v>128</v>
      </c>
      <c r="C157" s="267"/>
      <c r="D157" s="267"/>
      <c r="E157" s="267"/>
      <c r="F157" s="267"/>
      <c r="G157" s="267"/>
      <c r="H157" s="267"/>
      <c r="I157" s="267"/>
      <c r="J157" s="267"/>
      <c r="K157" s="267"/>
      <c r="L157" s="267"/>
      <c r="M157" s="267"/>
      <c r="N157" s="267"/>
      <c r="O157" s="268"/>
    </row>
    <row r="158" spans="1:15" ht="18" customHeight="1" x14ac:dyDescent="0.3">
      <c r="A158" s="265">
        <v>19</v>
      </c>
      <c r="B158" s="266" t="s">
        <v>221</v>
      </c>
      <c r="C158" s="267"/>
      <c r="D158" s="267"/>
      <c r="E158" s="267"/>
      <c r="F158" s="267"/>
      <c r="G158" s="267"/>
      <c r="H158" s="267"/>
      <c r="I158" s="267"/>
      <c r="J158" s="267"/>
      <c r="K158" s="267"/>
      <c r="L158" s="267"/>
      <c r="M158" s="267"/>
      <c r="N158" s="267"/>
      <c r="O158" s="268"/>
    </row>
    <row r="159" spans="1:15" ht="18" customHeight="1" x14ac:dyDescent="0.3">
      <c r="A159" s="265">
        <v>20</v>
      </c>
      <c r="B159" s="266" t="s">
        <v>220</v>
      </c>
      <c r="C159" s="267"/>
      <c r="D159" s="267"/>
      <c r="E159" s="267"/>
      <c r="F159" s="267"/>
      <c r="G159" s="267"/>
      <c r="H159" s="267"/>
      <c r="I159" s="267"/>
      <c r="J159" s="267"/>
      <c r="K159" s="267"/>
      <c r="L159" s="267"/>
      <c r="M159" s="267"/>
      <c r="N159" s="267"/>
      <c r="O159" s="268"/>
    </row>
    <row r="160" spans="1:15" ht="18" customHeight="1" x14ac:dyDescent="0.3">
      <c r="A160" s="265">
        <v>21</v>
      </c>
      <c r="B160" s="266" t="s">
        <v>222</v>
      </c>
      <c r="C160" s="267"/>
      <c r="D160" s="267"/>
      <c r="E160" s="267"/>
      <c r="F160" s="267"/>
      <c r="G160" s="267"/>
      <c r="H160" s="267"/>
      <c r="I160" s="267"/>
      <c r="J160" s="267"/>
      <c r="K160" s="267"/>
      <c r="L160" s="267"/>
      <c r="M160" s="267"/>
      <c r="N160" s="267"/>
      <c r="O160" s="268"/>
    </row>
    <row r="161" spans="1:15" ht="18" customHeight="1" x14ac:dyDescent="0.3">
      <c r="A161" s="265">
        <v>22</v>
      </c>
      <c r="B161" s="266" t="s">
        <v>223</v>
      </c>
      <c r="C161" s="267"/>
      <c r="D161" s="267"/>
      <c r="E161" s="267"/>
      <c r="F161" s="267"/>
      <c r="G161" s="267"/>
      <c r="H161" s="267"/>
      <c r="I161" s="267"/>
      <c r="J161" s="267"/>
      <c r="K161" s="267"/>
      <c r="L161" s="267"/>
      <c r="M161" s="267"/>
      <c r="N161" s="267"/>
      <c r="O161" s="268"/>
    </row>
    <row r="162" spans="1:15" ht="18" customHeight="1" x14ac:dyDescent="0.3">
      <c r="A162" s="265">
        <v>23</v>
      </c>
      <c r="B162" s="269" t="s">
        <v>224</v>
      </c>
      <c r="C162" s="267"/>
      <c r="D162" s="267"/>
      <c r="E162" s="267"/>
      <c r="F162" s="267"/>
      <c r="G162" s="267"/>
      <c r="H162" s="267"/>
      <c r="I162" s="267"/>
      <c r="J162" s="267"/>
      <c r="K162" s="267"/>
      <c r="L162" s="267"/>
      <c r="M162" s="267"/>
      <c r="N162" s="267"/>
      <c r="O162" s="268"/>
    </row>
    <row r="163" spans="1:15" ht="18" customHeight="1" x14ac:dyDescent="0.3">
      <c r="A163" s="265">
        <v>24</v>
      </c>
      <c r="B163" s="266" t="s">
        <v>129</v>
      </c>
      <c r="C163" s="267">
        <v>1</v>
      </c>
      <c r="D163" s="267"/>
      <c r="E163" s="267"/>
      <c r="F163" s="267"/>
      <c r="G163" s="267">
        <v>1</v>
      </c>
      <c r="H163" s="267"/>
      <c r="I163" s="267"/>
      <c r="J163" s="267"/>
      <c r="K163" s="267">
        <v>1</v>
      </c>
      <c r="L163" s="267"/>
      <c r="M163" s="267"/>
      <c r="N163" s="267"/>
      <c r="O163" s="268"/>
    </row>
    <row r="164" spans="1:15" ht="18" customHeight="1" x14ac:dyDescent="0.3">
      <c r="A164" s="265">
        <v>25</v>
      </c>
      <c r="B164" s="270" t="s">
        <v>711</v>
      </c>
      <c r="C164" s="267">
        <v>1</v>
      </c>
      <c r="D164" s="268"/>
      <c r="E164" s="268"/>
      <c r="F164" s="268"/>
      <c r="G164" s="267">
        <v>1</v>
      </c>
      <c r="H164" s="268"/>
      <c r="I164" s="268"/>
      <c r="J164" s="268"/>
      <c r="K164" s="268">
        <v>1</v>
      </c>
      <c r="L164" s="268"/>
      <c r="M164" s="271"/>
      <c r="N164" s="268"/>
      <c r="O164" s="268"/>
    </row>
    <row r="165" spans="1:15" ht="18" customHeight="1" x14ac:dyDescent="0.3">
      <c r="A165" s="265">
        <v>26</v>
      </c>
      <c r="B165" s="270"/>
      <c r="C165" s="267"/>
      <c r="D165" s="268"/>
      <c r="E165" s="268"/>
      <c r="F165" s="268"/>
      <c r="G165" s="267"/>
      <c r="H165" s="268"/>
      <c r="I165" s="268"/>
      <c r="J165" s="268"/>
      <c r="K165" s="268"/>
      <c r="L165" s="268"/>
      <c r="M165" s="271"/>
      <c r="N165" s="268"/>
      <c r="O165" s="268"/>
    </row>
    <row r="166" spans="1:15" ht="18" customHeight="1" x14ac:dyDescent="0.3">
      <c r="A166" s="265">
        <v>27</v>
      </c>
      <c r="B166" s="270"/>
      <c r="C166" s="267"/>
      <c r="D166" s="268"/>
      <c r="E166" s="268"/>
      <c r="F166" s="268"/>
      <c r="G166" s="268"/>
      <c r="H166" s="268"/>
      <c r="I166" s="268"/>
      <c r="J166" s="268"/>
      <c r="K166" s="268"/>
      <c r="L166" s="268"/>
      <c r="M166" s="271"/>
      <c r="N166" s="268"/>
      <c r="O166" s="268"/>
    </row>
    <row r="167" spans="1:15" ht="18" customHeight="1" x14ac:dyDescent="0.3">
      <c r="A167" s="265">
        <v>28</v>
      </c>
      <c r="B167" s="270"/>
      <c r="C167" s="267"/>
      <c r="D167" s="268"/>
      <c r="E167" s="268"/>
      <c r="F167" s="268"/>
      <c r="G167" s="268"/>
      <c r="H167" s="268"/>
      <c r="I167" s="268"/>
      <c r="J167" s="268"/>
      <c r="K167" s="268"/>
      <c r="L167" s="268"/>
      <c r="M167" s="271"/>
      <c r="N167" s="268"/>
      <c r="O167" s="268"/>
    </row>
    <row r="168" spans="1:15" ht="18" customHeight="1" x14ac:dyDescent="0.3">
      <c r="A168" s="265">
        <v>29</v>
      </c>
      <c r="B168" s="270"/>
      <c r="C168" s="267"/>
      <c r="D168" s="268"/>
      <c r="E168" s="268"/>
      <c r="F168" s="268"/>
      <c r="G168" s="268"/>
      <c r="H168" s="268"/>
      <c r="I168" s="268"/>
      <c r="J168" s="268"/>
      <c r="K168" s="268"/>
      <c r="L168" s="268"/>
      <c r="M168" s="271"/>
      <c r="N168" s="268"/>
      <c r="O168" s="268"/>
    </row>
    <row r="169" spans="1:15" ht="18" customHeight="1" x14ac:dyDescent="0.3">
      <c r="A169" s="265">
        <v>30</v>
      </c>
      <c r="B169" s="268"/>
      <c r="C169" s="267"/>
      <c r="D169" s="268"/>
      <c r="E169" s="268"/>
      <c r="F169" s="268"/>
      <c r="G169" s="268"/>
      <c r="H169" s="268"/>
      <c r="I169" s="268"/>
      <c r="J169" s="268"/>
      <c r="K169" s="268"/>
      <c r="L169" s="268"/>
      <c r="M169" s="271"/>
      <c r="N169" s="268"/>
      <c r="O169" s="268"/>
    </row>
    <row r="170" spans="1:15" ht="18" customHeight="1" x14ac:dyDescent="0.3">
      <c r="A170" s="265">
        <v>31</v>
      </c>
      <c r="B170" s="268"/>
      <c r="C170" s="267"/>
      <c r="D170" s="268"/>
      <c r="E170" s="268"/>
      <c r="F170" s="268"/>
      <c r="G170" s="268"/>
      <c r="H170" s="268"/>
      <c r="I170" s="268"/>
      <c r="J170" s="268"/>
      <c r="K170" s="268"/>
      <c r="L170" s="268"/>
      <c r="M170" s="271"/>
      <c r="N170" s="268"/>
      <c r="O170" s="268"/>
    </row>
    <row r="171" spans="1:15" ht="18" customHeight="1" x14ac:dyDescent="0.3">
      <c r="A171" s="265">
        <v>32</v>
      </c>
      <c r="B171" s="268"/>
      <c r="C171" s="267"/>
      <c r="D171" s="268"/>
      <c r="E171" s="268"/>
      <c r="F171" s="268"/>
      <c r="G171" s="268"/>
      <c r="H171" s="268"/>
      <c r="I171" s="268"/>
      <c r="J171" s="268"/>
      <c r="K171" s="268"/>
      <c r="L171" s="268"/>
      <c r="M171" s="271"/>
      <c r="N171" s="268"/>
      <c r="O171" s="268"/>
    </row>
    <row r="172" spans="1:15" ht="18" customHeight="1" x14ac:dyDescent="0.3">
      <c r="A172" s="265">
        <v>33</v>
      </c>
      <c r="B172" s="268"/>
      <c r="C172" s="267"/>
      <c r="D172" s="268"/>
      <c r="E172" s="268"/>
      <c r="F172" s="268"/>
      <c r="G172" s="268"/>
      <c r="H172" s="268"/>
      <c r="I172" s="268"/>
      <c r="J172" s="268"/>
      <c r="K172" s="268"/>
      <c r="L172" s="268"/>
      <c r="M172" s="271"/>
      <c r="N172" s="268"/>
      <c r="O172" s="268"/>
    </row>
    <row r="173" spans="1:15" ht="18" customHeight="1" x14ac:dyDescent="0.3">
      <c r="A173" s="265">
        <v>34</v>
      </c>
      <c r="B173" s="268"/>
      <c r="C173" s="267"/>
      <c r="D173" s="268"/>
      <c r="E173" s="268"/>
      <c r="F173" s="268"/>
      <c r="G173" s="268"/>
      <c r="H173" s="268"/>
      <c r="I173" s="268"/>
      <c r="J173" s="268"/>
      <c r="K173" s="268"/>
      <c r="L173" s="268"/>
      <c r="M173" s="271"/>
      <c r="N173" s="268"/>
      <c r="O173" s="268"/>
    </row>
    <row r="174" spans="1:15" ht="18" customHeight="1" x14ac:dyDescent="0.3">
      <c r="A174" s="265">
        <v>35</v>
      </c>
      <c r="B174" s="268"/>
      <c r="C174" s="267"/>
      <c r="D174" s="268"/>
      <c r="E174" s="268"/>
      <c r="F174" s="268"/>
      <c r="G174" s="268"/>
      <c r="H174" s="268"/>
      <c r="I174" s="268"/>
      <c r="J174" s="268"/>
      <c r="K174" s="268"/>
      <c r="L174" s="268"/>
      <c r="M174" s="271"/>
      <c r="N174" s="268"/>
      <c r="O174" s="268"/>
    </row>
    <row r="175" spans="1:15" ht="18" customHeight="1" x14ac:dyDescent="0.3">
      <c r="A175" s="267"/>
      <c r="B175" s="272" t="s">
        <v>18</v>
      </c>
      <c r="C175" s="265">
        <f>SUM(C140:C174)</f>
        <v>22</v>
      </c>
      <c r="D175" s="265">
        <f t="shared" ref="D175:N175" si="4">SUM(D140:D174)</f>
        <v>0</v>
      </c>
      <c r="E175" s="265">
        <f t="shared" si="4"/>
        <v>0</v>
      </c>
      <c r="F175" s="265">
        <f t="shared" si="4"/>
        <v>0</v>
      </c>
      <c r="G175" s="265">
        <f t="shared" si="4"/>
        <v>22</v>
      </c>
      <c r="H175" s="265">
        <f t="shared" si="4"/>
        <v>15</v>
      </c>
      <c r="I175" s="265">
        <f t="shared" si="4"/>
        <v>0</v>
      </c>
      <c r="J175" s="265">
        <f t="shared" si="4"/>
        <v>3</v>
      </c>
      <c r="K175" s="718">
        <f t="shared" si="4"/>
        <v>4</v>
      </c>
      <c r="L175" s="265">
        <f t="shared" si="4"/>
        <v>0</v>
      </c>
      <c r="M175" s="265">
        <f t="shared" si="4"/>
        <v>0</v>
      </c>
      <c r="N175" s="265">
        <f t="shared" si="4"/>
        <v>0</v>
      </c>
      <c r="O175" s="268"/>
    </row>
    <row r="176" spans="1:15" ht="14" x14ac:dyDescent="0.3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</row>
    <row r="177" spans="1:15" ht="14" x14ac:dyDescent="0.3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</row>
    <row r="178" spans="1:15" ht="14" x14ac:dyDescent="0.25">
      <c r="A178" s="1015" t="s">
        <v>131</v>
      </c>
      <c r="B178" s="1015"/>
      <c r="C178" s="1015"/>
      <c r="D178" s="1015"/>
      <c r="E178" s="1015"/>
      <c r="F178" s="1015"/>
      <c r="G178" s="1015"/>
      <c r="H178" s="1015"/>
      <c r="I178" s="1015"/>
      <c r="J178" s="1015"/>
      <c r="K178" s="1015"/>
      <c r="L178" s="1015"/>
      <c r="M178" s="1015"/>
      <c r="N178" s="1015"/>
      <c r="O178" s="1015"/>
    </row>
    <row r="179" spans="1:15" ht="14" x14ac:dyDescent="0.3">
      <c r="A179" s="19" t="s">
        <v>225</v>
      </c>
      <c r="B179" s="19"/>
      <c r="C179" s="260" t="str">
        <f>PETUNJUK!C5</f>
        <v>PECANGAAN</v>
      </c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</row>
    <row r="180" spans="1:15" ht="14" x14ac:dyDescent="0.3">
      <c r="A180" s="19" t="s">
        <v>226</v>
      </c>
      <c r="B180" s="19"/>
      <c r="C180" s="261" t="s">
        <v>385</v>
      </c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</row>
    <row r="181" spans="1:15" ht="14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</row>
    <row r="182" spans="1:15" ht="18" customHeight="1" x14ac:dyDescent="0.25">
      <c r="A182" s="1018" t="s">
        <v>1</v>
      </c>
      <c r="B182" s="1018" t="s">
        <v>116</v>
      </c>
      <c r="C182" s="1019" t="s">
        <v>117</v>
      </c>
      <c r="D182" s="1020" t="s">
        <v>214</v>
      </c>
      <c r="E182" s="1020"/>
      <c r="F182" s="1020"/>
      <c r="G182" s="263" t="s">
        <v>204</v>
      </c>
      <c r="H182" s="1020" t="s">
        <v>213</v>
      </c>
      <c r="I182" s="1020"/>
      <c r="J182" s="1021" t="s">
        <v>132</v>
      </c>
      <c r="K182" s="1022"/>
      <c r="L182" s="1022"/>
      <c r="M182" s="1023"/>
      <c r="N182" s="263" t="s">
        <v>205</v>
      </c>
      <c r="O182" s="1020" t="s">
        <v>206</v>
      </c>
    </row>
    <row r="183" spans="1:15" ht="18" customHeight="1" x14ac:dyDescent="0.25">
      <c r="A183" s="1018"/>
      <c r="B183" s="1018"/>
      <c r="C183" s="1019"/>
      <c r="D183" s="262" t="s">
        <v>193</v>
      </c>
      <c r="E183" s="262" t="s">
        <v>192</v>
      </c>
      <c r="F183" s="262" t="s">
        <v>191</v>
      </c>
      <c r="G183" s="264" t="s">
        <v>207</v>
      </c>
      <c r="H183" s="262" t="s">
        <v>208</v>
      </c>
      <c r="I183" s="262" t="s">
        <v>209</v>
      </c>
      <c r="J183" s="262" t="s">
        <v>210</v>
      </c>
      <c r="K183" s="262" t="s">
        <v>211</v>
      </c>
      <c r="L183" s="262" t="s">
        <v>88</v>
      </c>
      <c r="M183" s="262" t="s">
        <v>18</v>
      </c>
      <c r="N183" s="264" t="s">
        <v>212</v>
      </c>
      <c r="O183" s="1020"/>
    </row>
    <row r="184" spans="1:15" ht="18" customHeight="1" x14ac:dyDescent="0.3">
      <c r="A184" s="265">
        <v>1</v>
      </c>
      <c r="B184" s="270" t="s">
        <v>118</v>
      </c>
      <c r="C184" s="267"/>
      <c r="D184" s="267"/>
      <c r="E184" s="267"/>
      <c r="F184" s="267"/>
      <c r="G184" s="267"/>
      <c r="H184" s="267"/>
      <c r="I184" s="267"/>
      <c r="J184" s="267"/>
      <c r="K184" s="267"/>
      <c r="L184" s="267"/>
      <c r="M184" s="267"/>
      <c r="N184" s="267"/>
      <c r="O184" s="268"/>
    </row>
    <row r="185" spans="1:15" ht="18" customHeight="1" x14ac:dyDescent="0.3">
      <c r="A185" s="265">
        <v>2</v>
      </c>
      <c r="B185" s="270" t="s">
        <v>119</v>
      </c>
      <c r="C185" s="267"/>
      <c r="D185" s="267"/>
      <c r="E185" s="267"/>
      <c r="F185" s="267"/>
      <c r="G185" s="267"/>
      <c r="H185" s="267"/>
      <c r="I185" s="267"/>
      <c r="J185" s="267"/>
      <c r="K185" s="267"/>
      <c r="L185" s="267"/>
      <c r="M185" s="267"/>
      <c r="N185" s="267"/>
      <c r="O185" s="268"/>
    </row>
    <row r="186" spans="1:15" ht="18" customHeight="1" x14ac:dyDescent="0.3">
      <c r="A186" s="265">
        <v>3</v>
      </c>
      <c r="B186" s="270" t="s">
        <v>127</v>
      </c>
      <c r="C186" s="267"/>
      <c r="D186" s="267"/>
      <c r="E186" s="267"/>
      <c r="F186" s="267"/>
      <c r="G186" s="267"/>
      <c r="H186" s="267"/>
      <c r="I186" s="267"/>
      <c r="J186" s="267"/>
      <c r="K186" s="267"/>
      <c r="L186" s="267"/>
      <c r="M186" s="267"/>
      <c r="N186" s="267"/>
      <c r="O186" s="268"/>
    </row>
    <row r="187" spans="1:15" ht="18" customHeight="1" x14ac:dyDescent="0.3">
      <c r="A187" s="265">
        <v>4</v>
      </c>
      <c r="B187" s="270" t="s">
        <v>124</v>
      </c>
      <c r="C187" s="267"/>
      <c r="D187" s="267"/>
      <c r="E187" s="267"/>
      <c r="F187" s="267"/>
      <c r="G187" s="267"/>
      <c r="H187" s="267"/>
      <c r="I187" s="267"/>
      <c r="J187" s="267"/>
      <c r="K187" s="267"/>
      <c r="L187" s="267"/>
      <c r="M187" s="267"/>
      <c r="N187" s="267"/>
      <c r="O187" s="268"/>
    </row>
    <row r="188" spans="1:15" ht="18" customHeight="1" x14ac:dyDescent="0.3">
      <c r="A188" s="265">
        <v>5</v>
      </c>
      <c r="B188" s="270" t="s">
        <v>120</v>
      </c>
      <c r="C188" s="267"/>
      <c r="D188" s="267"/>
      <c r="E188" s="267"/>
      <c r="F188" s="267"/>
      <c r="G188" s="267"/>
      <c r="H188" s="267"/>
      <c r="I188" s="267"/>
      <c r="J188" s="267"/>
      <c r="K188" s="267"/>
      <c r="L188" s="267"/>
      <c r="M188" s="267"/>
      <c r="N188" s="267"/>
      <c r="O188" s="268"/>
    </row>
    <row r="189" spans="1:15" ht="18" customHeight="1" x14ac:dyDescent="0.3">
      <c r="A189" s="265">
        <v>6</v>
      </c>
      <c r="B189" s="270" t="s">
        <v>215</v>
      </c>
      <c r="C189" s="267"/>
      <c r="D189" s="267"/>
      <c r="E189" s="267"/>
      <c r="F189" s="267"/>
      <c r="G189" s="267"/>
      <c r="H189" s="267"/>
      <c r="I189" s="267"/>
      <c r="J189" s="267"/>
      <c r="K189" s="267"/>
      <c r="L189" s="267"/>
      <c r="M189" s="267"/>
      <c r="N189" s="267"/>
      <c r="O189" s="268"/>
    </row>
    <row r="190" spans="1:15" ht="18" customHeight="1" x14ac:dyDescent="0.3">
      <c r="A190" s="265">
        <v>7</v>
      </c>
      <c r="B190" s="270" t="s">
        <v>122</v>
      </c>
      <c r="C190" s="267"/>
      <c r="D190" s="267"/>
      <c r="E190" s="267"/>
      <c r="F190" s="267"/>
      <c r="G190" s="267"/>
      <c r="H190" s="267"/>
      <c r="I190" s="267"/>
      <c r="J190" s="267"/>
      <c r="K190" s="267"/>
      <c r="L190" s="267"/>
      <c r="M190" s="267"/>
      <c r="N190" s="267"/>
      <c r="O190" s="268"/>
    </row>
    <row r="191" spans="1:15" ht="18" customHeight="1" x14ac:dyDescent="0.3">
      <c r="A191" s="265">
        <v>8</v>
      </c>
      <c r="B191" s="270" t="s">
        <v>123</v>
      </c>
      <c r="C191" s="267"/>
      <c r="D191" s="267"/>
      <c r="E191" s="267"/>
      <c r="F191" s="267"/>
      <c r="G191" s="267"/>
      <c r="H191" s="267"/>
      <c r="I191" s="267"/>
      <c r="J191" s="267"/>
      <c r="K191" s="267"/>
      <c r="L191" s="267"/>
      <c r="M191" s="267"/>
      <c r="N191" s="267"/>
      <c r="O191" s="268"/>
    </row>
    <row r="192" spans="1:15" ht="18" customHeight="1" x14ac:dyDescent="0.3">
      <c r="A192" s="265">
        <v>9</v>
      </c>
      <c r="B192" s="270" t="s">
        <v>218</v>
      </c>
      <c r="C192" s="267"/>
      <c r="D192" s="267"/>
      <c r="E192" s="267"/>
      <c r="F192" s="267"/>
      <c r="G192" s="267"/>
      <c r="H192" s="267"/>
      <c r="I192" s="267"/>
      <c r="J192" s="267"/>
      <c r="K192" s="267"/>
      <c r="L192" s="267"/>
      <c r="M192" s="267"/>
      <c r="N192" s="267"/>
      <c r="O192" s="268"/>
    </row>
    <row r="193" spans="1:15" ht="18" customHeight="1" x14ac:dyDescent="0.3">
      <c r="A193" s="265">
        <v>10</v>
      </c>
      <c r="B193" s="270" t="s">
        <v>126</v>
      </c>
      <c r="C193" s="267"/>
      <c r="D193" s="267"/>
      <c r="E193" s="267"/>
      <c r="F193" s="267"/>
      <c r="G193" s="267"/>
      <c r="H193" s="267"/>
      <c r="I193" s="267"/>
      <c r="J193" s="267"/>
      <c r="K193" s="267"/>
      <c r="L193" s="267"/>
      <c r="M193" s="267"/>
      <c r="N193" s="267"/>
      <c r="O193" s="268"/>
    </row>
    <row r="194" spans="1:15" ht="18" customHeight="1" x14ac:dyDescent="0.3">
      <c r="A194" s="265">
        <v>11</v>
      </c>
      <c r="B194" s="270" t="s">
        <v>125</v>
      </c>
      <c r="C194" s="267"/>
      <c r="D194" s="267"/>
      <c r="E194" s="267"/>
      <c r="F194" s="267"/>
      <c r="G194" s="267"/>
      <c r="H194" s="267"/>
      <c r="I194" s="267"/>
      <c r="J194" s="267"/>
      <c r="K194" s="267"/>
      <c r="L194" s="267"/>
      <c r="M194" s="267"/>
      <c r="N194" s="267"/>
      <c r="O194" s="268"/>
    </row>
    <row r="195" spans="1:15" ht="18" customHeight="1" x14ac:dyDescent="0.3">
      <c r="A195" s="265">
        <v>12</v>
      </c>
      <c r="B195" s="270" t="s">
        <v>130</v>
      </c>
      <c r="C195" s="267"/>
      <c r="D195" s="267"/>
      <c r="E195" s="267"/>
      <c r="F195" s="267"/>
      <c r="G195" s="267"/>
      <c r="H195" s="267"/>
      <c r="I195" s="267"/>
      <c r="J195" s="267"/>
      <c r="K195" s="267"/>
      <c r="L195" s="267"/>
      <c r="M195" s="267"/>
      <c r="N195" s="267"/>
      <c r="O195" s="268"/>
    </row>
    <row r="196" spans="1:15" ht="18" customHeight="1" x14ac:dyDescent="0.3">
      <c r="A196" s="265">
        <v>13</v>
      </c>
      <c r="B196" s="273" t="s">
        <v>216</v>
      </c>
      <c r="C196" s="267"/>
      <c r="D196" s="267"/>
      <c r="E196" s="267"/>
      <c r="F196" s="267"/>
      <c r="G196" s="267"/>
      <c r="H196" s="267"/>
      <c r="I196" s="267"/>
      <c r="J196" s="267"/>
      <c r="K196" s="267"/>
      <c r="L196" s="267"/>
      <c r="M196" s="267"/>
      <c r="N196" s="267"/>
      <c r="O196" s="268"/>
    </row>
    <row r="197" spans="1:15" ht="18" customHeight="1" x14ac:dyDescent="0.3">
      <c r="A197" s="265">
        <v>14</v>
      </c>
      <c r="B197" s="270" t="s">
        <v>121</v>
      </c>
      <c r="C197" s="267"/>
      <c r="D197" s="267"/>
      <c r="E197" s="267"/>
      <c r="F197" s="267"/>
      <c r="G197" s="267"/>
      <c r="H197" s="267"/>
      <c r="I197" s="267"/>
      <c r="J197" s="267"/>
      <c r="K197" s="267"/>
      <c r="L197" s="267"/>
      <c r="M197" s="267"/>
      <c r="N197" s="267"/>
      <c r="O197" s="268"/>
    </row>
    <row r="198" spans="1:15" ht="18" customHeight="1" x14ac:dyDescent="0.3">
      <c r="A198" s="265">
        <v>15</v>
      </c>
      <c r="B198" s="270" t="s">
        <v>45</v>
      </c>
      <c r="C198" s="267"/>
      <c r="D198" s="267"/>
      <c r="E198" s="267"/>
      <c r="F198" s="267"/>
      <c r="G198" s="267"/>
      <c r="H198" s="267"/>
      <c r="I198" s="267"/>
      <c r="J198" s="267"/>
      <c r="K198" s="267"/>
      <c r="L198" s="267"/>
      <c r="M198" s="267"/>
      <c r="N198" s="267"/>
      <c r="O198" s="268"/>
    </row>
    <row r="199" spans="1:15" ht="18" customHeight="1" x14ac:dyDescent="0.3">
      <c r="A199" s="265">
        <v>16</v>
      </c>
      <c r="B199" s="273" t="s">
        <v>217</v>
      </c>
      <c r="C199" s="267"/>
      <c r="D199" s="267"/>
      <c r="E199" s="267"/>
      <c r="F199" s="267"/>
      <c r="G199" s="267"/>
      <c r="H199" s="267"/>
      <c r="I199" s="267"/>
      <c r="J199" s="267"/>
      <c r="K199" s="267"/>
      <c r="L199" s="267"/>
      <c r="M199" s="267"/>
      <c r="N199" s="267"/>
      <c r="O199" s="268"/>
    </row>
    <row r="200" spans="1:15" ht="18" customHeight="1" x14ac:dyDescent="0.3">
      <c r="A200" s="265">
        <v>17</v>
      </c>
      <c r="B200" s="270" t="s">
        <v>219</v>
      </c>
      <c r="C200" s="267"/>
      <c r="D200" s="267"/>
      <c r="E200" s="267"/>
      <c r="F200" s="267"/>
      <c r="G200" s="267"/>
      <c r="H200" s="267"/>
      <c r="I200" s="267"/>
      <c r="J200" s="267"/>
      <c r="K200" s="267"/>
      <c r="L200" s="267"/>
      <c r="M200" s="267"/>
      <c r="N200" s="267"/>
      <c r="O200" s="268"/>
    </row>
    <row r="201" spans="1:15" ht="18" customHeight="1" x14ac:dyDescent="0.3">
      <c r="A201" s="265">
        <v>18</v>
      </c>
      <c r="B201" s="270" t="s">
        <v>128</v>
      </c>
      <c r="C201" s="267"/>
      <c r="D201" s="267"/>
      <c r="E201" s="267"/>
      <c r="F201" s="267"/>
      <c r="G201" s="267"/>
      <c r="H201" s="267"/>
      <c r="I201" s="267"/>
      <c r="J201" s="267"/>
      <c r="K201" s="267"/>
      <c r="L201" s="267"/>
      <c r="M201" s="267"/>
      <c r="N201" s="267"/>
      <c r="O201" s="268"/>
    </row>
    <row r="202" spans="1:15" ht="18" customHeight="1" x14ac:dyDescent="0.3">
      <c r="A202" s="265">
        <v>19</v>
      </c>
      <c r="B202" s="270" t="s">
        <v>221</v>
      </c>
      <c r="C202" s="267"/>
      <c r="D202" s="267"/>
      <c r="E202" s="267"/>
      <c r="F202" s="267"/>
      <c r="G202" s="267"/>
      <c r="H202" s="267"/>
      <c r="I202" s="267"/>
      <c r="J202" s="267"/>
      <c r="K202" s="267"/>
      <c r="L202" s="267"/>
      <c r="M202" s="267"/>
      <c r="N202" s="267"/>
      <c r="O202" s="268"/>
    </row>
    <row r="203" spans="1:15" ht="18" customHeight="1" x14ac:dyDescent="0.3">
      <c r="A203" s="265">
        <v>20</v>
      </c>
      <c r="B203" s="270" t="s">
        <v>220</v>
      </c>
      <c r="C203" s="267"/>
      <c r="D203" s="267"/>
      <c r="E203" s="267"/>
      <c r="F203" s="267"/>
      <c r="G203" s="267"/>
      <c r="H203" s="267"/>
      <c r="I203" s="267"/>
      <c r="J203" s="267"/>
      <c r="K203" s="267"/>
      <c r="L203" s="267"/>
      <c r="M203" s="267"/>
      <c r="N203" s="267"/>
      <c r="O203" s="268"/>
    </row>
    <row r="204" spans="1:15" ht="18" customHeight="1" x14ac:dyDescent="0.3">
      <c r="A204" s="265">
        <v>21</v>
      </c>
      <c r="B204" s="270" t="s">
        <v>222</v>
      </c>
      <c r="C204" s="267"/>
      <c r="D204" s="267"/>
      <c r="E204" s="267"/>
      <c r="F204" s="267"/>
      <c r="G204" s="267"/>
      <c r="H204" s="267"/>
      <c r="I204" s="267"/>
      <c r="J204" s="267"/>
      <c r="K204" s="267"/>
      <c r="L204" s="267"/>
      <c r="M204" s="267"/>
      <c r="N204" s="267"/>
      <c r="O204" s="268"/>
    </row>
    <row r="205" spans="1:15" ht="18" customHeight="1" x14ac:dyDescent="0.3">
      <c r="A205" s="265">
        <v>22</v>
      </c>
      <c r="B205" s="270" t="s">
        <v>223</v>
      </c>
      <c r="C205" s="267"/>
      <c r="D205" s="267"/>
      <c r="E205" s="267"/>
      <c r="F205" s="267"/>
      <c r="G205" s="267"/>
      <c r="H205" s="267"/>
      <c r="I205" s="267"/>
      <c r="J205" s="267"/>
      <c r="K205" s="267"/>
      <c r="L205" s="267"/>
      <c r="M205" s="267"/>
      <c r="N205" s="267"/>
      <c r="O205" s="268"/>
    </row>
    <row r="206" spans="1:15" ht="18" customHeight="1" x14ac:dyDescent="0.3">
      <c r="A206" s="265">
        <v>23</v>
      </c>
      <c r="B206" s="273" t="s">
        <v>224</v>
      </c>
      <c r="C206" s="267"/>
      <c r="D206" s="267"/>
      <c r="E206" s="267"/>
      <c r="F206" s="267"/>
      <c r="G206" s="267"/>
      <c r="H206" s="267"/>
      <c r="I206" s="267"/>
      <c r="J206" s="267"/>
      <c r="K206" s="267"/>
      <c r="L206" s="267"/>
      <c r="M206" s="267"/>
      <c r="N206" s="267"/>
      <c r="O206" s="268"/>
    </row>
    <row r="207" spans="1:15" ht="18" customHeight="1" x14ac:dyDescent="0.3">
      <c r="A207" s="265">
        <v>24</v>
      </c>
      <c r="B207" s="270" t="s">
        <v>129</v>
      </c>
      <c r="C207" s="267"/>
      <c r="D207" s="267"/>
      <c r="E207" s="267"/>
      <c r="F207" s="267"/>
      <c r="G207" s="267"/>
      <c r="H207" s="267"/>
      <c r="I207" s="267"/>
      <c r="J207" s="267"/>
      <c r="K207" s="267"/>
      <c r="L207" s="267"/>
      <c r="M207" s="267"/>
      <c r="N207" s="267"/>
      <c r="O207" s="268"/>
    </row>
    <row r="208" spans="1:15" ht="18" customHeight="1" x14ac:dyDescent="0.3">
      <c r="A208" s="265">
        <v>25</v>
      </c>
      <c r="B208" s="270"/>
      <c r="C208" s="267"/>
      <c r="D208" s="268"/>
      <c r="E208" s="268"/>
      <c r="F208" s="268"/>
      <c r="G208" s="268"/>
      <c r="H208" s="268"/>
      <c r="I208" s="268"/>
      <c r="J208" s="268"/>
      <c r="K208" s="268"/>
      <c r="L208" s="268"/>
      <c r="M208" s="271"/>
      <c r="N208" s="268"/>
      <c r="O208" s="268"/>
    </row>
    <row r="209" spans="1:15" ht="18" customHeight="1" x14ac:dyDescent="0.3">
      <c r="A209" s="265">
        <v>26</v>
      </c>
      <c r="B209" s="270"/>
      <c r="C209" s="267"/>
      <c r="D209" s="268"/>
      <c r="E209" s="268"/>
      <c r="F209" s="268"/>
      <c r="G209" s="268"/>
      <c r="H209" s="268"/>
      <c r="I209" s="268"/>
      <c r="J209" s="268"/>
      <c r="K209" s="268"/>
      <c r="L209" s="268"/>
      <c r="M209" s="271"/>
      <c r="N209" s="268"/>
      <c r="O209" s="268"/>
    </row>
    <row r="210" spans="1:15" ht="18" customHeight="1" x14ac:dyDescent="0.3">
      <c r="A210" s="265">
        <v>27</v>
      </c>
      <c r="B210" s="270"/>
      <c r="C210" s="267"/>
      <c r="D210" s="268"/>
      <c r="E210" s="268"/>
      <c r="F210" s="268"/>
      <c r="G210" s="268"/>
      <c r="H210" s="268"/>
      <c r="I210" s="268"/>
      <c r="J210" s="268"/>
      <c r="K210" s="268"/>
      <c r="L210" s="268"/>
      <c r="M210" s="271"/>
      <c r="N210" s="268"/>
      <c r="O210" s="268"/>
    </row>
    <row r="211" spans="1:15" ht="18" customHeight="1" x14ac:dyDescent="0.3">
      <c r="A211" s="265">
        <v>28</v>
      </c>
      <c r="B211" s="270"/>
      <c r="C211" s="267"/>
      <c r="D211" s="268"/>
      <c r="E211" s="268"/>
      <c r="F211" s="268"/>
      <c r="G211" s="268"/>
      <c r="H211" s="268"/>
      <c r="I211" s="268"/>
      <c r="J211" s="268"/>
      <c r="K211" s="268"/>
      <c r="L211" s="268"/>
      <c r="M211" s="271"/>
      <c r="N211" s="268"/>
      <c r="O211" s="268"/>
    </row>
    <row r="212" spans="1:15" ht="18" customHeight="1" x14ac:dyDescent="0.3">
      <c r="A212" s="265">
        <v>29</v>
      </c>
      <c r="B212" s="270"/>
      <c r="C212" s="267"/>
      <c r="D212" s="268"/>
      <c r="E212" s="268"/>
      <c r="F212" s="268"/>
      <c r="G212" s="268"/>
      <c r="H212" s="268"/>
      <c r="I212" s="268"/>
      <c r="J212" s="268"/>
      <c r="K212" s="268"/>
      <c r="L212" s="268"/>
      <c r="M212" s="271"/>
      <c r="N212" s="268"/>
      <c r="O212" s="268"/>
    </row>
    <row r="213" spans="1:15" ht="18" customHeight="1" x14ac:dyDescent="0.3">
      <c r="A213" s="265">
        <v>30</v>
      </c>
      <c r="B213" s="268"/>
      <c r="C213" s="267"/>
      <c r="D213" s="268"/>
      <c r="E213" s="268"/>
      <c r="F213" s="268"/>
      <c r="G213" s="268"/>
      <c r="H213" s="268"/>
      <c r="I213" s="268"/>
      <c r="J213" s="268"/>
      <c r="K213" s="268"/>
      <c r="L213" s="268"/>
      <c r="M213" s="271"/>
      <c r="N213" s="268"/>
      <c r="O213" s="268"/>
    </row>
    <row r="214" spans="1:15" ht="18" customHeight="1" x14ac:dyDescent="0.3">
      <c r="A214" s="265">
        <v>31</v>
      </c>
      <c r="B214" s="268"/>
      <c r="C214" s="267"/>
      <c r="D214" s="268"/>
      <c r="E214" s="268"/>
      <c r="F214" s="268"/>
      <c r="G214" s="268"/>
      <c r="H214" s="268"/>
      <c r="I214" s="268"/>
      <c r="J214" s="268"/>
      <c r="K214" s="268"/>
      <c r="L214" s="268"/>
      <c r="M214" s="271"/>
      <c r="N214" s="268"/>
      <c r="O214" s="268"/>
    </row>
    <row r="215" spans="1:15" ht="18" customHeight="1" x14ac:dyDescent="0.3">
      <c r="A215" s="265">
        <v>32</v>
      </c>
      <c r="B215" s="268"/>
      <c r="C215" s="267"/>
      <c r="D215" s="268"/>
      <c r="E215" s="268"/>
      <c r="F215" s="268"/>
      <c r="G215" s="268"/>
      <c r="H215" s="268"/>
      <c r="I215" s="268"/>
      <c r="J215" s="268"/>
      <c r="K215" s="268"/>
      <c r="L215" s="268"/>
      <c r="M215" s="271"/>
      <c r="N215" s="268"/>
      <c r="O215" s="268"/>
    </row>
    <row r="216" spans="1:15" ht="18" customHeight="1" x14ac:dyDescent="0.3">
      <c r="A216" s="265">
        <v>33</v>
      </c>
      <c r="B216" s="268"/>
      <c r="C216" s="267"/>
      <c r="D216" s="268"/>
      <c r="E216" s="268"/>
      <c r="F216" s="268"/>
      <c r="G216" s="268"/>
      <c r="H216" s="268"/>
      <c r="I216" s="268"/>
      <c r="J216" s="268"/>
      <c r="K216" s="268"/>
      <c r="L216" s="268"/>
      <c r="M216" s="271"/>
      <c r="N216" s="268"/>
      <c r="O216" s="268"/>
    </row>
    <row r="217" spans="1:15" ht="18" customHeight="1" x14ac:dyDescent="0.3">
      <c r="A217" s="265">
        <v>34</v>
      </c>
      <c r="B217" s="268"/>
      <c r="C217" s="267"/>
      <c r="D217" s="268"/>
      <c r="E217" s="268"/>
      <c r="F217" s="268"/>
      <c r="G217" s="268"/>
      <c r="H217" s="268"/>
      <c r="I217" s="268"/>
      <c r="J217" s="268"/>
      <c r="K217" s="268"/>
      <c r="L217" s="268"/>
      <c r="M217" s="271"/>
      <c r="N217" s="268"/>
      <c r="O217" s="268"/>
    </row>
    <row r="218" spans="1:15" ht="18" customHeight="1" x14ac:dyDescent="0.3">
      <c r="A218" s="265">
        <v>35</v>
      </c>
      <c r="B218" s="268"/>
      <c r="C218" s="267"/>
      <c r="D218" s="268"/>
      <c r="E218" s="268"/>
      <c r="F218" s="268"/>
      <c r="G218" s="268"/>
      <c r="H218" s="268"/>
      <c r="I218" s="268"/>
      <c r="J218" s="268"/>
      <c r="K218" s="268"/>
      <c r="L218" s="268"/>
      <c r="M218" s="271"/>
      <c r="N218" s="268"/>
      <c r="O218" s="268"/>
    </row>
    <row r="219" spans="1:15" ht="18" customHeight="1" x14ac:dyDescent="0.3">
      <c r="A219" s="267"/>
      <c r="B219" s="272" t="s">
        <v>18</v>
      </c>
      <c r="C219" s="265">
        <f>SUM(C184:C218)</f>
        <v>0</v>
      </c>
      <c r="D219" s="265">
        <f t="shared" ref="D219:N219" si="5">SUM(D184:D218)</f>
        <v>0</v>
      </c>
      <c r="E219" s="265">
        <f t="shared" si="5"/>
        <v>0</v>
      </c>
      <c r="F219" s="265">
        <f t="shared" si="5"/>
        <v>0</v>
      </c>
      <c r="G219" s="265">
        <f t="shared" si="5"/>
        <v>0</v>
      </c>
      <c r="H219" s="265">
        <f t="shared" si="5"/>
        <v>0</v>
      </c>
      <c r="I219" s="265">
        <f t="shared" si="5"/>
        <v>0</v>
      </c>
      <c r="J219" s="265">
        <f t="shared" si="5"/>
        <v>0</v>
      </c>
      <c r="K219" s="265">
        <f t="shared" si="5"/>
        <v>0</v>
      </c>
      <c r="L219" s="265">
        <f t="shared" si="5"/>
        <v>0</v>
      </c>
      <c r="M219" s="265">
        <f t="shared" si="5"/>
        <v>0</v>
      </c>
      <c r="N219" s="265">
        <f t="shared" si="5"/>
        <v>0</v>
      </c>
      <c r="O219" s="268"/>
    </row>
    <row r="220" spans="1:15" ht="14" x14ac:dyDescent="0.3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</row>
    <row r="221" spans="1:15" ht="14" x14ac:dyDescent="0.3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</row>
    <row r="222" spans="1:15" ht="14" x14ac:dyDescent="0.25">
      <c r="A222" s="1015" t="s">
        <v>131</v>
      </c>
      <c r="B222" s="1015"/>
      <c r="C222" s="1015"/>
      <c r="D222" s="1015"/>
      <c r="E222" s="1015"/>
      <c r="F222" s="1015"/>
      <c r="G222" s="1015"/>
      <c r="H222" s="1015"/>
      <c r="I222" s="1015"/>
      <c r="J222" s="1015"/>
      <c r="K222" s="1015"/>
      <c r="L222" s="1015"/>
      <c r="M222" s="1015"/>
      <c r="N222" s="1015"/>
      <c r="O222" s="1015"/>
    </row>
    <row r="223" spans="1:15" ht="14" x14ac:dyDescent="0.3">
      <c r="A223" s="19" t="s">
        <v>225</v>
      </c>
      <c r="B223" s="19"/>
      <c r="C223" s="260" t="str">
        <f>PETUNJUK!C5</f>
        <v>PECANGAAN</v>
      </c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</row>
    <row r="224" spans="1:15" ht="14" x14ac:dyDescent="0.3">
      <c r="A224" s="19" t="s">
        <v>226</v>
      </c>
      <c r="B224" s="19"/>
      <c r="C224" s="261" t="s">
        <v>396</v>
      </c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</row>
    <row r="225" spans="1:15" ht="14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</row>
    <row r="226" spans="1:15" ht="18" customHeight="1" x14ac:dyDescent="0.25">
      <c r="A226" s="1018" t="s">
        <v>1</v>
      </c>
      <c r="B226" s="1018" t="s">
        <v>116</v>
      </c>
      <c r="C226" s="1019" t="s">
        <v>117</v>
      </c>
      <c r="D226" s="1020" t="s">
        <v>214</v>
      </c>
      <c r="E226" s="1020"/>
      <c r="F226" s="1020"/>
      <c r="G226" s="263" t="s">
        <v>204</v>
      </c>
      <c r="H226" s="1020" t="s">
        <v>213</v>
      </c>
      <c r="I226" s="1020"/>
      <c r="J226" s="1021" t="s">
        <v>132</v>
      </c>
      <c r="K226" s="1022"/>
      <c r="L226" s="1022"/>
      <c r="M226" s="1023"/>
      <c r="N226" s="263" t="s">
        <v>205</v>
      </c>
      <c r="O226" s="1020" t="s">
        <v>206</v>
      </c>
    </row>
    <row r="227" spans="1:15" ht="18" customHeight="1" x14ac:dyDescent="0.25">
      <c r="A227" s="1018"/>
      <c r="B227" s="1018"/>
      <c r="C227" s="1019"/>
      <c r="D227" s="262" t="s">
        <v>193</v>
      </c>
      <c r="E227" s="262" t="s">
        <v>192</v>
      </c>
      <c r="F227" s="262" t="s">
        <v>191</v>
      </c>
      <c r="G227" s="264" t="s">
        <v>207</v>
      </c>
      <c r="H227" s="262" t="s">
        <v>208</v>
      </c>
      <c r="I227" s="262" t="s">
        <v>209</v>
      </c>
      <c r="J227" s="262" t="s">
        <v>210</v>
      </c>
      <c r="K227" s="262" t="s">
        <v>211</v>
      </c>
      <c r="L227" s="262" t="s">
        <v>88</v>
      </c>
      <c r="M227" s="262" t="s">
        <v>18</v>
      </c>
      <c r="N227" s="264" t="s">
        <v>212</v>
      </c>
      <c r="O227" s="1020"/>
    </row>
    <row r="228" spans="1:15" ht="18" customHeight="1" x14ac:dyDescent="0.3">
      <c r="A228" s="265">
        <v>1</v>
      </c>
      <c r="B228" s="266" t="s">
        <v>118</v>
      </c>
      <c r="C228" s="267"/>
      <c r="D228" s="267"/>
      <c r="E228" s="267"/>
      <c r="F228" s="267"/>
      <c r="G228" s="267"/>
      <c r="H228" s="267"/>
      <c r="I228" s="267"/>
      <c r="J228" s="267"/>
      <c r="K228" s="267"/>
      <c r="L228" s="267"/>
      <c r="M228" s="267"/>
      <c r="N228" s="267"/>
      <c r="O228" s="268"/>
    </row>
    <row r="229" spans="1:15" ht="18" customHeight="1" x14ac:dyDescent="0.3">
      <c r="A229" s="265">
        <v>2</v>
      </c>
      <c r="B229" s="266" t="s">
        <v>119</v>
      </c>
      <c r="C229" s="267"/>
      <c r="D229" s="267"/>
      <c r="E229" s="267"/>
      <c r="F229" s="267"/>
      <c r="G229" s="267"/>
      <c r="H229" s="267"/>
      <c r="I229" s="267"/>
      <c r="J229" s="267"/>
      <c r="K229" s="267"/>
      <c r="L229" s="267"/>
      <c r="M229" s="267"/>
      <c r="N229" s="267"/>
      <c r="O229" s="268"/>
    </row>
    <row r="230" spans="1:15" ht="18" customHeight="1" x14ac:dyDescent="0.3">
      <c r="A230" s="265">
        <v>3</v>
      </c>
      <c r="B230" s="266" t="s">
        <v>127</v>
      </c>
      <c r="C230" s="267"/>
      <c r="D230" s="267"/>
      <c r="E230" s="267"/>
      <c r="F230" s="267"/>
      <c r="G230" s="267"/>
      <c r="H230" s="267"/>
      <c r="I230" s="267"/>
      <c r="J230" s="267"/>
      <c r="K230" s="267"/>
      <c r="L230" s="267"/>
      <c r="M230" s="267"/>
      <c r="N230" s="267"/>
      <c r="O230" s="268"/>
    </row>
    <row r="231" spans="1:15" ht="18" customHeight="1" x14ac:dyDescent="0.3">
      <c r="A231" s="265">
        <v>4</v>
      </c>
      <c r="B231" s="266" t="s">
        <v>124</v>
      </c>
      <c r="C231" s="267"/>
      <c r="D231" s="267"/>
      <c r="E231" s="267"/>
      <c r="F231" s="267"/>
      <c r="G231" s="267"/>
      <c r="H231" s="267"/>
      <c r="I231" s="267"/>
      <c r="J231" s="267"/>
      <c r="K231" s="267"/>
      <c r="L231" s="267"/>
      <c r="M231" s="267"/>
      <c r="N231" s="267"/>
      <c r="O231" s="268"/>
    </row>
    <row r="232" spans="1:15" ht="18" customHeight="1" x14ac:dyDescent="0.3">
      <c r="A232" s="265">
        <v>5</v>
      </c>
      <c r="B232" s="266" t="s">
        <v>120</v>
      </c>
      <c r="C232" s="267"/>
      <c r="D232" s="267"/>
      <c r="E232" s="267"/>
      <c r="F232" s="267"/>
      <c r="G232" s="267"/>
      <c r="H232" s="267"/>
      <c r="I232" s="267"/>
      <c r="J232" s="267"/>
      <c r="K232" s="267"/>
      <c r="L232" s="267"/>
      <c r="M232" s="267"/>
      <c r="N232" s="267"/>
      <c r="O232" s="268"/>
    </row>
    <row r="233" spans="1:15" ht="18" customHeight="1" x14ac:dyDescent="0.3">
      <c r="A233" s="265">
        <v>6</v>
      </c>
      <c r="B233" s="266" t="s">
        <v>215</v>
      </c>
      <c r="C233" s="267"/>
      <c r="D233" s="267"/>
      <c r="E233" s="267"/>
      <c r="F233" s="267"/>
      <c r="G233" s="267"/>
      <c r="H233" s="267"/>
      <c r="I233" s="267"/>
      <c r="J233" s="267"/>
      <c r="K233" s="267"/>
      <c r="L233" s="267"/>
      <c r="M233" s="267"/>
      <c r="N233" s="267"/>
      <c r="O233" s="268"/>
    </row>
    <row r="234" spans="1:15" ht="18" customHeight="1" x14ac:dyDescent="0.3">
      <c r="A234" s="265">
        <v>7</v>
      </c>
      <c r="B234" s="266" t="s">
        <v>122</v>
      </c>
      <c r="C234" s="267"/>
      <c r="D234" s="267"/>
      <c r="E234" s="267"/>
      <c r="F234" s="267"/>
      <c r="G234" s="267"/>
      <c r="H234" s="267"/>
      <c r="I234" s="267"/>
      <c r="J234" s="267"/>
      <c r="K234" s="267"/>
      <c r="L234" s="267"/>
      <c r="M234" s="267"/>
      <c r="N234" s="267"/>
      <c r="O234" s="268"/>
    </row>
    <row r="235" spans="1:15" ht="18" customHeight="1" x14ac:dyDescent="0.3">
      <c r="A235" s="265">
        <v>8</v>
      </c>
      <c r="B235" s="266" t="s">
        <v>123</v>
      </c>
      <c r="C235" s="267"/>
      <c r="D235" s="267"/>
      <c r="E235" s="267"/>
      <c r="F235" s="267"/>
      <c r="G235" s="267"/>
      <c r="H235" s="267"/>
      <c r="I235" s="267"/>
      <c r="J235" s="267"/>
      <c r="K235" s="267"/>
      <c r="L235" s="267"/>
      <c r="M235" s="267"/>
      <c r="N235" s="267"/>
      <c r="O235" s="268"/>
    </row>
    <row r="236" spans="1:15" ht="18" customHeight="1" x14ac:dyDescent="0.3">
      <c r="A236" s="265">
        <v>9</v>
      </c>
      <c r="B236" s="266" t="s">
        <v>218</v>
      </c>
      <c r="C236" s="267"/>
      <c r="D236" s="267"/>
      <c r="E236" s="267"/>
      <c r="F236" s="267"/>
      <c r="G236" s="267"/>
      <c r="H236" s="267"/>
      <c r="I236" s="267"/>
      <c r="J236" s="267"/>
      <c r="K236" s="267"/>
      <c r="L236" s="267"/>
      <c r="M236" s="267"/>
      <c r="N236" s="267"/>
      <c r="O236" s="268"/>
    </row>
    <row r="237" spans="1:15" ht="18" customHeight="1" x14ac:dyDescent="0.3">
      <c r="A237" s="265">
        <v>10</v>
      </c>
      <c r="B237" s="266" t="s">
        <v>126</v>
      </c>
      <c r="C237" s="267"/>
      <c r="D237" s="267"/>
      <c r="E237" s="267"/>
      <c r="F237" s="267"/>
      <c r="G237" s="267"/>
      <c r="H237" s="267"/>
      <c r="I237" s="267"/>
      <c r="J237" s="267"/>
      <c r="K237" s="267"/>
      <c r="L237" s="267"/>
      <c r="M237" s="267"/>
      <c r="N237" s="267"/>
      <c r="O237" s="268"/>
    </row>
    <row r="238" spans="1:15" ht="18" customHeight="1" x14ac:dyDescent="0.3">
      <c r="A238" s="265">
        <v>11</v>
      </c>
      <c r="B238" s="266" t="s">
        <v>125</v>
      </c>
      <c r="C238" s="267"/>
      <c r="D238" s="267"/>
      <c r="E238" s="267"/>
      <c r="F238" s="267"/>
      <c r="G238" s="267"/>
      <c r="H238" s="267"/>
      <c r="I238" s="267"/>
      <c r="J238" s="267"/>
      <c r="K238" s="267"/>
      <c r="L238" s="267"/>
      <c r="M238" s="267"/>
      <c r="N238" s="267"/>
      <c r="O238" s="268"/>
    </row>
    <row r="239" spans="1:15" ht="18" customHeight="1" x14ac:dyDescent="0.3">
      <c r="A239" s="265">
        <v>12</v>
      </c>
      <c r="B239" s="266" t="s">
        <v>130</v>
      </c>
      <c r="C239" s="267"/>
      <c r="D239" s="267"/>
      <c r="E239" s="267"/>
      <c r="F239" s="267"/>
      <c r="G239" s="267"/>
      <c r="H239" s="267"/>
      <c r="I239" s="267"/>
      <c r="J239" s="267"/>
      <c r="K239" s="267"/>
      <c r="L239" s="267"/>
      <c r="M239" s="267"/>
      <c r="N239" s="267"/>
      <c r="O239" s="268"/>
    </row>
    <row r="240" spans="1:15" ht="18" customHeight="1" x14ac:dyDescent="0.3">
      <c r="A240" s="265">
        <v>13</v>
      </c>
      <c r="B240" s="269" t="s">
        <v>216</v>
      </c>
      <c r="C240" s="267"/>
      <c r="D240" s="267"/>
      <c r="E240" s="267"/>
      <c r="F240" s="267"/>
      <c r="G240" s="267"/>
      <c r="H240" s="267"/>
      <c r="I240" s="267"/>
      <c r="J240" s="267"/>
      <c r="K240" s="267"/>
      <c r="L240" s="267"/>
      <c r="M240" s="267"/>
      <c r="N240" s="267"/>
      <c r="O240" s="268"/>
    </row>
    <row r="241" spans="1:15" ht="18" customHeight="1" x14ac:dyDescent="0.3">
      <c r="A241" s="265">
        <v>14</v>
      </c>
      <c r="B241" s="266" t="s">
        <v>121</v>
      </c>
      <c r="C241" s="267"/>
      <c r="D241" s="267"/>
      <c r="E241" s="267"/>
      <c r="F241" s="267"/>
      <c r="G241" s="267"/>
      <c r="H241" s="267"/>
      <c r="I241" s="267"/>
      <c r="J241" s="267"/>
      <c r="K241" s="267"/>
      <c r="L241" s="267"/>
      <c r="M241" s="267"/>
      <c r="N241" s="267"/>
      <c r="O241" s="268"/>
    </row>
    <row r="242" spans="1:15" ht="18" customHeight="1" x14ac:dyDescent="0.3">
      <c r="A242" s="265">
        <v>15</v>
      </c>
      <c r="B242" s="266" t="s">
        <v>45</v>
      </c>
      <c r="C242" s="267"/>
      <c r="D242" s="267"/>
      <c r="E242" s="267"/>
      <c r="F242" s="267"/>
      <c r="G242" s="267"/>
      <c r="H242" s="267"/>
      <c r="I242" s="267"/>
      <c r="J242" s="267"/>
      <c r="K242" s="267"/>
      <c r="L242" s="267"/>
      <c r="M242" s="267"/>
      <c r="N242" s="267"/>
      <c r="O242" s="268"/>
    </row>
    <row r="243" spans="1:15" ht="18" customHeight="1" x14ac:dyDescent="0.3">
      <c r="A243" s="265">
        <v>16</v>
      </c>
      <c r="B243" s="269" t="s">
        <v>217</v>
      </c>
      <c r="C243" s="267"/>
      <c r="D243" s="267"/>
      <c r="E243" s="267"/>
      <c r="F243" s="267"/>
      <c r="G243" s="267"/>
      <c r="H243" s="267"/>
      <c r="I243" s="267"/>
      <c r="J243" s="267"/>
      <c r="K243" s="267"/>
      <c r="L243" s="267"/>
      <c r="M243" s="267"/>
      <c r="N243" s="267"/>
      <c r="O243" s="268"/>
    </row>
    <row r="244" spans="1:15" ht="18" customHeight="1" x14ac:dyDescent="0.3">
      <c r="A244" s="265">
        <v>17</v>
      </c>
      <c r="B244" s="266" t="s">
        <v>219</v>
      </c>
      <c r="C244" s="267"/>
      <c r="D244" s="267"/>
      <c r="E244" s="267"/>
      <c r="F244" s="267"/>
      <c r="G244" s="267"/>
      <c r="H244" s="267"/>
      <c r="I244" s="267"/>
      <c r="J244" s="267"/>
      <c r="K244" s="267"/>
      <c r="L244" s="267"/>
      <c r="M244" s="267"/>
      <c r="N244" s="267"/>
      <c r="O244" s="268"/>
    </row>
    <row r="245" spans="1:15" ht="18" customHeight="1" x14ac:dyDescent="0.3">
      <c r="A245" s="265">
        <v>18</v>
      </c>
      <c r="B245" s="266" t="s">
        <v>128</v>
      </c>
      <c r="C245" s="267"/>
      <c r="D245" s="267"/>
      <c r="E245" s="267"/>
      <c r="F245" s="267"/>
      <c r="G245" s="267"/>
      <c r="H245" s="267"/>
      <c r="I245" s="267"/>
      <c r="J245" s="267"/>
      <c r="K245" s="267"/>
      <c r="L245" s="267"/>
      <c r="M245" s="267"/>
      <c r="N245" s="267"/>
      <c r="O245" s="268"/>
    </row>
    <row r="246" spans="1:15" ht="18" customHeight="1" x14ac:dyDescent="0.3">
      <c r="A246" s="265">
        <v>19</v>
      </c>
      <c r="B246" s="266" t="s">
        <v>221</v>
      </c>
      <c r="C246" s="267"/>
      <c r="D246" s="267"/>
      <c r="E246" s="267"/>
      <c r="F246" s="267"/>
      <c r="G246" s="267"/>
      <c r="H246" s="267"/>
      <c r="I246" s="267"/>
      <c r="J246" s="267"/>
      <c r="K246" s="267"/>
      <c r="L246" s="267"/>
      <c r="M246" s="267"/>
      <c r="N246" s="267"/>
      <c r="O246" s="268"/>
    </row>
    <row r="247" spans="1:15" ht="18" customHeight="1" x14ac:dyDescent="0.3">
      <c r="A247" s="265">
        <v>20</v>
      </c>
      <c r="B247" s="266" t="s">
        <v>220</v>
      </c>
      <c r="C247" s="267"/>
      <c r="D247" s="267"/>
      <c r="E247" s="267"/>
      <c r="F247" s="267"/>
      <c r="G247" s="267"/>
      <c r="H247" s="267"/>
      <c r="I247" s="267"/>
      <c r="J247" s="267"/>
      <c r="K247" s="267"/>
      <c r="L247" s="267"/>
      <c r="M247" s="267"/>
      <c r="N247" s="267"/>
      <c r="O247" s="268"/>
    </row>
    <row r="248" spans="1:15" ht="18" customHeight="1" x14ac:dyDescent="0.3">
      <c r="A248" s="265">
        <v>21</v>
      </c>
      <c r="B248" s="266" t="s">
        <v>222</v>
      </c>
      <c r="C248" s="267"/>
      <c r="D248" s="267"/>
      <c r="E248" s="267"/>
      <c r="F248" s="267"/>
      <c r="G248" s="267"/>
      <c r="H248" s="267"/>
      <c r="I248" s="267"/>
      <c r="J248" s="267"/>
      <c r="K248" s="267"/>
      <c r="L248" s="267"/>
      <c r="M248" s="267"/>
      <c r="N248" s="267"/>
      <c r="O248" s="268"/>
    </row>
    <row r="249" spans="1:15" ht="18" customHeight="1" x14ac:dyDescent="0.3">
      <c r="A249" s="265">
        <v>22</v>
      </c>
      <c r="B249" s="266" t="s">
        <v>223</v>
      </c>
      <c r="C249" s="267"/>
      <c r="D249" s="267"/>
      <c r="E249" s="267"/>
      <c r="F249" s="267"/>
      <c r="G249" s="267"/>
      <c r="H249" s="267"/>
      <c r="I249" s="267"/>
      <c r="J249" s="267"/>
      <c r="K249" s="267"/>
      <c r="L249" s="267"/>
      <c r="M249" s="267"/>
      <c r="N249" s="267"/>
      <c r="O249" s="268"/>
    </row>
    <row r="250" spans="1:15" ht="18" customHeight="1" x14ac:dyDescent="0.3">
      <c r="A250" s="265">
        <v>23</v>
      </c>
      <c r="B250" s="269" t="s">
        <v>224</v>
      </c>
      <c r="C250" s="267"/>
      <c r="D250" s="267"/>
      <c r="E250" s="267"/>
      <c r="F250" s="267"/>
      <c r="G250" s="267"/>
      <c r="H250" s="267"/>
      <c r="I250" s="267"/>
      <c r="J250" s="267"/>
      <c r="K250" s="267"/>
      <c r="L250" s="267"/>
      <c r="M250" s="267"/>
      <c r="N250" s="267"/>
      <c r="O250" s="268"/>
    </row>
    <row r="251" spans="1:15" ht="18" customHeight="1" x14ac:dyDescent="0.3">
      <c r="A251" s="265">
        <v>24</v>
      </c>
      <c r="B251" s="266" t="s">
        <v>129</v>
      </c>
      <c r="C251" s="267"/>
      <c r="D251" s="267"/>
      <c r="E251" s="267"/>
      <c r="F251" s="267"/>
      <c r="G251" s="267"/>
      <c r="H251" s="267"/>
      <c r="I251" s="267"/>
      <c r="J251" s="267"/>
      <c r="K251" s="267"/>
      <c r="L251" s="267"/>
      <c r="M251" s="267"/>
      <c r="N251" s="267"/>
      <c r="O251" s="268"/>
    </row>
    <row r="252" spans="1:15" ht="18" customHeight="1" x14ac:dyDescent="0.3">
      <c r="A252" s="265">
        <v>25</v>
      </c>
      <c r="B252" s="270"/>
      <c r="C252" s="267"/>
      <c r="D252" s="268"/>
      <c r="E252" s="268"/>
      <c r="F252" s="268"/>
      <c r="G252" s="268"/>
      <c r="H252" s="268"/>
      <c r="I252" s="268"/>
      <c r="J252" s="268"/>
      <c r="K252" s="268"/>
      <c r="L252" s="268"/>
      <c r="M252" s="271"/>
      <c r="N252" s="268"/>
      <c r="O252" s="268"/>
    </row>
    <row r="253" spans="1:15" ht="18" customHeight="1" x14ac:dyDescent="0.3">
      <c r="A253" s="265">
        <v>26</v>
      </c>
      <c r="B253" s="270"/>
      <c r="C253" s="267"/>
      <c r="D253" s="268"/>
      <c r="E253" s="268"/>
      <c r="F253" s="268"/>
      <c r="G253" s="268"/>
      <c r="H253" s="268"/>
      <c r="I253" s="268"/>
      <c r="J253" s="268"/>
      <c r="K253" s="268"/>
      <c r="L253" s="268"/>
      <c r="M253" s="271"/>
      <c r="N253" s="268"/>
      <c r="O253" s="268"/>
    </row>
    <row r="254" spans="1:15" ht="18" customHeight="1" x14ac:dyDescent="0.3">
      <c r="A254" s="265">
        <v>27</v>
      </c>
      <c r="B254" s="270"/>
      <c r="C254" s="267"/>
      <c r="D254" s="268"/>
      <c r="E254" s="268"/>
      <c r="F254" s="268"/>
      <c r="G254" s="268"/>
      <c r="H254" s="268"/>
      <c r="I254" s="268"/>
      <c r="J254" s="268"/>
      <c r="K254" s="268"/>
      <c r="L254" s="268"/>
      <c r="M254" s="271"/>
      <c r="N254" s="268"/>
      <c r="O254" s="268"/>
    </row>
    <row r="255" spans="1:15" ht="18" customHeight="1" x14ac:dyDescent="0.3">
      <c r="A255" s="265">
        <v>28</v>
      </c>
      <c r="B255" s="270"/>
      <c r="C255" s="267"/>
      <c r="D255" s="268"/>
      <c r="E255" s="268"/>
      <c r="F255" s="268"/>
      <c r="G255" s="268"/>
      <c r="H255" s="268"/>
      <c r="I255" s="268"/>
      <c r="J255" s="268"/>
      <c r="K255" s="268"/>
      <c r="L255" s="268"/>
      <c r="M255" s="271"/>
      <c r="N255" s="268"/>
      <c r="O255" s="268"/>
    </row>
    <row r="256" spans="1:15" ht="18" customHeight="1" x14ac:dyDescent="0.3">
      <c r="A256" s="265">
        <v>29</v>
      </c>
      <c r="B256" s="270"/>
      <c r="C256" s="267"/>
      <c r="D256" s="268"/>
      <c r="E256" s="268"/>
      <c r="F256" s="268"/>
      <c r="G256" s="268"/>
      <c r="H256" s="268"/>
      <c r="I256" s="268"/>
      <c r="J256" s="268"/>
      <c r="K256" s="268"/>
      <c r="L256" s="268"/>
      <c r="M256" s="271"/>
      <c r="N256" s="268"/>
      <c r="O256" s="268"/>
    </row>
    <row r="257" spans="1:15" ht="18" customHeight="1" x14ac:dyDescent="0.3">
      <c r="A257" s="265">
        <v>30</v>
      </c>
      <c r="B257" s="268"/>
      <c r="C257" s="267"/>
      <c r="D257" s="268"/>
      <c r="E257" s="268"/>
      <c r="F257" s="268"/>
      <c r="G257" s="268"/>
      <c r="H257" s="268"/>
      <c r="I257" s="268"/>
      <c r="J257" s="268"/>
      <c r="K257" s="268"/>
      <c r="L257" s="268"/>
      <c r="M257" s="271"/>
      <c r="N257" s="268"/>
      <c r="O257" s="268"/>
    </row>
    <row r="258" spans="1:15" ht="18" customHeight="1" x14ac:dyDescent="0.3">
      <c r="A258" s="265">
        <v>31</v>
      </c>
      <c r="B258" s="268"/>
      <c r="C258" s="267"/>
      <c r="D258" s="268"/>
      <c r="E258" s="268"/>
      <c r="F258" s="268"/>
      <c r="G258" s="268"/>
      <c r="H258" s="268"/>
      <c r="I258" s="268"/>
      <c r="J258" s="268"/>
      <c r="K258" s="268"/>
      <c r="L258" s="268"/>
      <c r="M258" s="271"/>
      <c r="N258" s="268"/>
      <c r="O258" s="268"/>
    </row>
    <row r="259" spans="1:15" ht="18" customHeight="1" x14ac:dyDescent="0.3">
      <c r="A259" s="265">
        <v>32</v>
      </c>
      <c r="B259" s="268"/>
      <c r="C259" s="267"/>
      <c r="D259" s="268"/>
      <c r="E259" s="268"/>
      <c r="F259" s="268"/>
      <c r="G259" s="268"/>
      <c r="H259" s="268"/>
      <c r="I259" s="268"/>
      <c r="J259" s="268"/>
      <c r="K259" s="268"/>
      <c r="L259" s="268"/>
      <c r="M259" s="271"/>
      <c r="N259" s="268"/>
      <c r="O259" s="268"/>
    </row>
    <row r="260" spans="1:15" ht="18" customHeight="1" x14ac:dyDescent="0.3">
      <c r="A260" s="265">
        <v>33</v>
      </c>
      <c r="B260" s="268"/>
      <c r="C260" s="267"/>
      <c r="D260" s="268"/>
      <c r="E260" s="268"/>
      <c r="F260" s="268"/>
      <c r="G260" s="268"/>
      <c r="H260" s="268"/>
      <c r="I260" s="268"/>
      <c r="J260" s="268"/>
      <c r="K260" s="268"/>
      <c r="L260" s="268"/>
      <c r="M260" s="271"/>
      <c r="N260" s="268"/>
      <c r="O260" s="268"/>
    </row>
    <row r="261" spans="1:15" ht="18" customHeight="1" x14ac:dyDescent="0.3">
      <c r="A261" s="265">
        <v>34</v>
      </c>
      <c r="B261" s="268"/>
      <c r="C261" s="267"/>
      <c r="D261" s="268"/>
      <c r="E261" s="268"/>
      <c r="F261" s="268"/>
      <c r="G261" s="268"/>
      <c r="H261" s="268"/>
      <c r="I261" s="268"/>
      <c r="J261" s="268"/>
      <c r="K261" s="268"/>
      <c r="L261" s="268"/>
      <c r="M261" s="271"/>
      <c r="N261" s="268"/>
      <c r="O261" s="268"/>
    </row>
    <row r="262" spans="1:15" ht="18" customHeight="1" x14ac:dyDescent="0.3">
      <c r="A262" s="265">
        <v>35</v>
      </c>
      <c r="B262" s="268"/>
      <c r="C262" s="267"/>
      <c r="D262" s="268"/>
      <c r="E262" s="268"/>
      <c r="F262" s="268"/>
      <c r="G262" s="268"/>
      <c r="H262" s="268"/>
      <c r="I262" s="268"/>
      <c r="J262" s="268"/>
      <c r="K262" s="268"/>
      <c r="L262" s="268"/>
      <c r="M262" s="271"/>
      <c r="N262" s="268"/>
      <c r="O262" s="268"/>
    </row>
    <row r="263" spans="1:15" ht="18" customHeight="1" x14ac:dyDescent="0.3">
      <c r="A263" s="267"/>
      <c r="B263" s="272" t="s">
        <v>18</v>
      </c>
      <c r="C263" s="265">
        <f>SUM(C228:C262)</f>
        <v>0</v>
      </c>
      <c r="D263" s="265">
        <f t="shared" ref="D263:N263" si="6">SUM(D228:D262)</f>
        <v>0</v>
      </c>
      <c r="E263" s="265">
        <f t="shared" si="6"/>
        <v>0</v>
      </c>
      <c r="F263" s="265">
        <f t="shared" si="6"/>
        <v>0</v>
      </c>
      <c r="G263" s="265">
        <f t="shared" si="6"/>
        <v>0</v>
      </c>
      <c r="H263" s="265">
        <f t="shared" si="6"/>
        <v>0</v>
      </c>
      <c r="I263" s="265">
        <f t="shared" si="6"/>
        <v>0</v>
      </c>
      <c r="J263" s="265">
        <f t="shared" si="6"/>
        <v>0</v>
      </c>
      <c r="K263" s="265">
        <f t="shared" si="6"/>
        <v>0</v>
      </c>
      <c r="L263" s="265">
        <f t="shared" si="6"/>
        <v>0</v>
      </c>
      <c r="M263" s="265">
        <f t="shared" si="6"/>
        <v>0</v>
      </c>
      <c r="N263" s="265">
        <f t="shared" si="6"/>
        <v>0</v>
      </c>
      <c r="O263" s="268"/>
    </row>
    <row r="264" spans="1:15" ht="14" x14ac:dyDescent="0.3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</row>
    <row r="265" spans="1:15" ht="14" x14ac:dyDescent="0.3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</row>
    <row r="266" spans="1:15" ht="14" x14ac:dyDescent="0.25">
      <c r="A266" s="1015" t="s">
        <v>131</v>
      </c>
      <c r="B266" s="1015"/>
      <c r="C266" s="1015"/>
      <c r="D266" s="1015"/>
      <c r="E266" s="1015"/>
      <c r="F266" s="1015"/>
      <c r="G266" s="1015"/>
      <c r="H266" s="1015"/>
      <c r="I266" s="1015"/>
      <c r="J266" s="1015"/>
      <c r="K266" s="1015"/>
      <c r="L266" s="1015"/>
      <c r="M266" s="1015"/>
      <c r="N266" s="1015"/>
      <c r="O266" s="1015"/>
    </row>
    <row r="267" spans="1:15" ht="14" x14ac:dyDescent="0.3">
      <c r="A267" s="19" t="s">
        <v>225</v>
      </c>
      <c r="B267" s="19"/>
      <c r="C267" s="260" t="str">
        <f>PETUNJUK!C5</f>
        <v>PECANGAAN</v>
      </c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</row>
    <row r="268" spans="1:15" ht="14" x14ac:dyDescent="0.3">
      <c r="A268" s="19" t="s">
        <v>226</v>
      </c>
      <c r="B268" s="19"/>
      <c r="C268" s="261" t="s">
        <v>397</v>
      </c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</row>
    <row r="269" spans="1:15" ht="14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</row>
    <row r="270" spans="1:15" ht="18" customHeight="1" x14ac:dyDescent="0.25">
      <c r="A270" s="1018" t="s">
        <v>1</v>
      </c>
      <c r="B270" s="1018" t="s">
        <v>116</v>
      </c>
      <c r="C270" s="1019" t="s">
        <v>117</v>
      </c>
      <c r="D270" s="1020" t="s">
        <v>214</v>
      </c>
      <c r="E270" s="1020"/>
      <c r="F270" s="1020"/>
      <c r="G270" s="263" t="s">
        <v>204</v>
      </c>
      <c r="H270" s="1020" t="s">
        <v>213</v>
      </c>
      <c r="I270" s="1020"/>
      <c r="J270" s="1021" t="s">
        <v>132</v>
      </c>
      <c r="K270" s="1022"/>
      <c r="L270" s="1022"/>
      <c r="M270" s="1023"/>
      <c r="N270" s="263" t="s">
        <v>205</v>
      </c>
      <c r="O270" s="1020" t="s">
        <v>206</v>
      </c>
    </row>
    <row r="271" spans="1:15" ht="18" customHeight="1" x14ac:dyDescent="0.25">
      <c r="A271" s="1018"/>
      <c r="B271" s="1018"/>
      <c r="C271" s="1019"/>
      <c r="D271" s="262" t="s">
        <v>193</v>
      </c>
      <c r="E271" s="262" t="s">
        <v>192</v>
      </c>
      <c r="F271" s="262" t="s">
        <v>191</v>
      </c>
      <c r="G271" s="264" t="s">
        <v>207</v>
      </c>
      <c r="H271" s="262" t="s">
        <v>208</v>
      </c>
      <c r="I271" s="262" t="s">
        <v>209</v>
      </c>
      <c r="J271" s="262" t="s">
        <v>210</v>
      </c>
      <c r="K271" s="262" t="s">
        <v>211</v>
      </c>
      <c r="L271" s="262" t="s">
        <v>88</v>
      </c>
      <c r="M271" s="262" t="s">
        <v>18</v>
      </c>
      <c r="N271" s="264" t="s">
        <v>212</v>
      </c>
      <c r="O271" s="1020"/>
    </row>
    <row r="272" spans="1:15" ht="18" customHeight="1" x14ac:dyDescent="0.3">
      <c r="A272" s="265">
        <v>1</v>
      </c>
      <c r="B272" s="266" t="s">
        <v>118</v>
      </c>
      <c r="C272" s="267"/>
      <c r="D272" s="267"/>
      <c r="E272" s="267"/>
      <c r="F272" s="267"/>
      <c r="G272" s="267"/>
      <c r="H272" s="267"/>
      <c r="I272" s="267"/>
      <c r="J272" s="267"/>
      <c r="K272" s="267"/>
      <c r="L272" s="267"/>
      <c r="M272" s="267"/>
      <c r="N272" s="267"/>
      <c r="O272" s="268"/>
    </row>
    <row r="273" spans="1:15" ht="18" customHeight="1" x14ac:dyDescent="0.3">
      <c r="A273" s="265">
        <v>2</v>
      </c>
      <c r="B273" s="266" t="s">
        <v>119</v>
      </c>
      <c r="C273" s="267"/>
      <c r="D273" s="267"/>
      <c r="E273" s="267"/>
      <c r="F273" s="267"/>
      <c r="G273" s="267"/>
      <c r="H273" s="267"/>
      <c r="I273" s="267"/>
      <c r="J273" s="267"/>
      <c r="K273" s="267"/>
      <c r="L273" s="267"/>
      <c r="M273" s="267"/>
      <c r="N273" s="267"/>
      <c r="O273" s="268"/>
    </row>
    <row r="274" spans="1:15" ht="18" customHeight="1" x14ac:dyDescent="0.3">
      <c r="A274" s="265">
        <v>3</v>
      </c>
      <c r="B274" s="266" t="s">
        <v>127</v>
      </c>
      <c r="C274" s="267"/>
      <c r="D274" s="267"/>
      <c r="E274" s="267"/>
      <c r="F274" s="267"/>
      <c r="G274" s="267"/>
      <c r="H274" s="267"/>
      <c r="I274" s="267"/>
      <c r="J274" s="267"/>
      <c r="K274" s="267"/>
      <c r="L274" s="267"/>
      <c r="M274" s="267"/>
      <c r="N274" s="267"/>
      <c r="O274" s="268"/>
    </row>
    <row r="275" spans="1:15" ht="18" customHeight="1" x14ac:dyDescent="0.3">
      <c r="A275" s="265">
        <v>4</v>
      </c>
      <c r="B275" s="266" t="s">
        <v>124</v>
      </c>
      <c r="C275" s="267"/>
      <c r="D275" s="267"/>
      <c r="E275" s="267"/>
      <c r="F275" s="267"/>
      <c r="G275" s="267"/>
      <c r="H275" s="267"/>
      <c r="I275" s="267"/>
      <c r="J275" s="267"/>
      <c r="K275" s="267"/>
      <c r="L275" s="267"/>
      <c r="M275" s="267"/>
      <c r="N275" s="267"/>
      <c r="O275" s="268"/>
    </row>
    <row r="276" spans="1:15" ht="18" customHeight="1" x14ac:dyDescent="0.3">
      <c r="A276" s="265">
        <v>5</v>
      </c>
      <c r="B276" s="266" t="s">
        <v>120</v>
      </c>
      <c r="C276" s="267"/>
      <c r="D276" s="267"/>
      <c r="E276" s="267"/>
      <c r="F276" s="267"/>
      <c r="G276" s="267"/>
      <c r="H276" s="267"/>
      <c r="I276" s="267"/>
      <c r="J276" s="267"/>
      <c r="K276" s="267"/>
      <c r="L276" s="267"/>
      <c r="M276" s="267"/>
      <c r="N276" s="267"/>
      <c r="O276" s="268"/>
    </row>
    <row r="277" spans="1:15" ht="18" customHeight="1" x14ac:dyDescent="0.3">
      <c r="A277" s="265">
        <v>6</v>
      </c>
      <c r="B277" s="266" t="s">
        <v>215</v>
      </c>
      <c r="C277" s="267"/>
      <c r="D277" s="267"/>
      <c r="E277" s="267"/>
      <c r="F277" s="267"/>
      <c r="G277" s="267"/>
      <c r="H277" s="267"/>
      <c r="I277" s="267"/>
      <c r="J277" s="267"/>
      <c r="K277" s="267"/>
      <c r="L277" s="267"/>
      <c r="M277" s="267"/>
      <c r="N277" s="267"/>
      <c r="O277" s="268"/>
    </row>
    <row r="278" spans="1:15" ht="18" customHeight="1" x14ac:dyDescent="0.3">
      <c r="A278" s="265">
        <v>7</v>
      </c>
      <c r="B278" s="266" t="s">
        <v>122</v>
      </c>
      <c r="C278" s="267"/>
      <c r="D278" s="267"/>
      <c r="E278" s="267"/>
      <c r="F278" s="267"/>
      <c r="G278" s="267"/>
      <c r="H278" s="267"/>
      <c r="I278" s="267"/>
      <c r="J278" s="267"/>
      <c r="K278" s="267"/>
      <c r="L278" s="267"/>
      <c r="M278" s="267"/>
      <c r="N278" s="267"/>
      <c r="O278" s="268"/>
    </row>
    <row r="279" spans="1:15" ht="18" customHeight="1" x14ac:dyDescent="0.3">
      <c r="A279" s="265">
        <v>8</v>
      </c>
      <c r="B279" s="266" t="s">
        <v>123</v>
      </c>
      <c r="C279" s="267"/>
      <c r="D279" s="267"/>
      <c r="E279" s="267"/>
      <c r="F279" s="267"/>
      <c r="G279" s="267"/>
      <c r="H279" s="267"/>
      <c r="I279" s="267"/>
      <c r="J279" s="267"/>
      <c r="K279" s="267"/>
      <c r="L279" s="267"/>
      <c r="M279" s="267"/>
      <c r="N279" s="267"/>
      <c r="O279" s="268"/>
    </row>
    <row r="280" spans="1:15" ht="18" customHeight="1" x14ac:dyDescent="0.3">
      <c r="A280" s="265">
        <v>9</v>
      </c>
      <c r="B280" s="266" t="s">
        <v>218</v>
      </c>
      <c r="C280" s="267"/>
      <c r="D280" s="267"/>
      <c r="E280" s="267"/>
      <c r="F280" s="267"/>
      <c r="G280" s="267"/>
      <c r="H280" s="267"/>
      <c r="I280" s="267"/>
      <c r="J280" s="267"/>
      <c r="K280" s="267"/>
      <c r="L280" s="267"/>
      <c r="M280" s="267"/>
      <c r="N280" s="267"/>
      <c r="O280" s="268"/>
    </row>
    <row r="281" spans="1:15" ht="18" customHeight="1" x14ac:dyDescent="0.3">
      <c r="A281" s="265">
        <v>10</v>
      </c>
      <c r="B281" s="266" t="s">
        <v>126</v>
      </c>
      <c r="C281" s="267"/>
      <c r="D281" s="267"/>
      <c r="E281" s="267"/>
      <c r="F281" s="267"/>
      <c r="G281" s="267"/>
      <c r="H281" s="267"/>
      <c r="I281" s="267"/>
      <c r="J281" s="267"/>
      <c r="K281" s="267"/>
      <c r="L281" s="267"/>
      <c r="M281" s="267"/>
      <c r="N281" s="267"/>
      <c r="O281" s="268"/>
    </row>
    <row r="282" spans="1:15" ht="18" customHeight="1" x14ac:dyDescent="0.3">
      <c r="A282" s="265">
        <v>11</v>
      </c>
      <c r="B282" s="266" t="s">
        <v>125</v>
      </c>
      <c r="C282" s="267"/>
      <c r="D282" s="267"/>
      <c r="E282" s="267"/>
      <c r="F282" s="267"/>
      <c r="G282" s="267"/>
      <c r="H282" s="267"/>
      <c r="I282" s="267"/>
      <c r="J282" s="267"/>
      <c r="K282" s="267"/>
      <c r="L282" s="267"/>
      <c r="M282" s="267"/>
      <c r="N282" s="267"/>
      <c r="O282" s="268"/>
    </row>
    <row r="283" spans="1:15" ht="18" customHeight="1" x14ac:dyDescent="0.3">
      <c r="A283" s="265">
        <v>12</v>
      </c>
      <c r="B283" s="266" t="s">
        <v>130</v>
      </c>
      <c r="C283" s="267"/>
      <c r="D283" s="267"/>
      <c r="E283" s="267"/>
      <c r="F283" s="267"/>
      <c r="G283" s="267"/>
      <c r="H283" s="267"/>
      <c r="I283" s="267"/>
      <c r="J283" s="267"/>
      <c r="K283" s="267"/>
      <c r="L283" s="267"/>
      <c r="M283" s="267"/>
      <c r="N283" s="267"/>
      <c r="O283" s="268"/>
    </row>
    <row r="284" spans="1:15" ht="18" customHeight="1" x14ac:dyDescent="0.3">
      <c r="A284" s="265">
        <v>13</v>
      </c>
      <c r="B284" s="269" t="s">
        <v>216</v>
      </c>
      <c r="C284" s="267"/>
      <c r="D284" s="267"/>
      <c r="E284" s="267"/>
      <c r="F284" s="267"/>
      <c r="G284" s="267"/>
      <c r="H284" s="267"/>
      <c r="I284" s="267"/>
      <c r="J284" s="267"/>
      <c r="K284" s="267"/>
      <c r="L284" s="267"/>
      <c r="M284" s="267"/>
      <c r="N284" s="267"/>
      <c r="O284" s="268"/>
    </row>
    <row r="285" spans="1:15" ht="18" customHeight="1" x14ac:dyDescent="0.3">
      <c r="A285" s="265">
        <v>14</v>
      </c>
      <c r="B285" s="266" t="s">
        <v>121</v>
      </c>
      <c r="C285" s="267"/>
      <c r="D285" s="267"/>
      <c r="E285" s="267"/>
      <c r="F285" s="267"/>
      <c r="G285" s="267"/>
      <c r="H285" s="267"/>
      <c r="I285" s="267"/>
      <c r="J285" s="267"/>
      <c r="K285" s="267"/>
      <c r="L285" s="267"/>
      <c r="M285" s="267"/>
      <c r="N285" s="267"/>
      <c r="O285" s="268"/>
    </row>
    <row r="286" spans="1:15" ht="18" customHeight="1" x14ac:dyDescent="0.3">
      <c r="A286" s="265">
        <v>15</v>
      </c>
      <c r="B286" s="266" t="s">
        <v>45</v>
      </c>
      <c r="C286" s="267"/>
      <c r="D286" s="267"/>
      <c r="E286" s="267"/>
      <c r="F286" s="267"/>
      <c r="G286" s="267"/>
      <c r="H286" s="267"/>
      <c r="I286" s="267"/>
      <c r="J286" s="267"/>
      <c r="K286" s="267"/>
      <c r="L286" s="267"/>
      <c r="M286" s="267"/>
      <c r="N286" s="267"/>
      <c r="O286" s="268"/>
    </row>
    <row r="287" spans="1:15" ht="18" customHeight="1" x14ac:dyDescent="0.3">
      <c r="A287" s="265">
        <v>16</v>
      </c>
      <c r="B287" s="269" t="s">
        <v>217</v>
      </c>
      <c r="C287" s="267"/>
      <c r="D287" s="267"/>
      <c r="E287" s="267"/>
      <c r="F287" s="267"/>
      <c r="G287" s="267"/>
      <c r="H287" s="267"/>
      <c r="I287" s="267"/>
      <c r="J287" s="267"/>
      <c r="K287" s="267"/>
      <c r="L287" s="267"/>
      <c r="M287" s="267"/>
      <c r="N287" s="267"/>
      <c r="O287" s="268"/>
    </row>
    <row r="288" spans="1:15" ht="18" customHeight="1" x14ac:dyDescent="0.3">
      <c r="A288" s="265">
        <v>17</v>
      </c>
      <c r="B288" s="266" t="s">
        <v>219</v>
      </c>
      <c r="C288" s="267"/>
      <c r="D288" s="267"/>
      <c r="E288" s="267"/>
      <c r="F288" s="267"/>
      <c r="G288" s="267"/>
      <c r="H288" s="267"/>
      <c r="I288" s="267"/>
      <c r="J288" s="267"/>
      <c r="K288" s="267"/>
      <c r="L288" s="267"/>
      <c r="M288" s="267"/>
      <c r="N288" s="267"/>
      <c r="O288" s="268"/>
    </row>
    <row r="289" spans="1:15" ht="18" customHeight="1" x14ac:dyDescent="0.3">
      <c r="A289" s="265">
        <v>18</v>
      </c>
      <c r="B289" s="266" t="s">
        <v>128</v>
      </c>
      <c r="C289" s="267"/>
      <c r="D289" s="267"/>
      <c r="E289" s="267"/>
      <c r="F289" s="267"/>
      <c r="G289" s="267"/>
      <c r="H289" s="267"/>
      <c r="I289" s="267"/>
      <c r="J289" s="267"/>
      <c r="K289" s="267"/>
      <c r="L289" s="267"/>
      <c r="M289" s="267"/>
      <c r="N289" s="267"/>
      <c r="O289" s="268"/>
    </row>
    <row r="290" spans="1:15" ht="18" customHeight="1" x14ac:dyDescent="0.3">
      <c r="A290" s="265">
        <v>19</v>
      </c>
      <c r="B290" s="266" t="s">
        <v>221</v>
      </c>
      <c r="C290" s="267"/>
      <c r="D290" s="267"/>
      <c r="E290" s="267"/>
      <c r="F290" s="267"/>
      <c r="G290" s="267"/>
      <c r="H290" s="267"/>
      <c r="I290" s="267"/>
      <c r="J290" s="267"/>
      <c r="K290" s="267"/>
      <c r="L290" s="267"/>
      <c r="M290" s="267"/>
      <c r="N290" s="267"/>
      <c r="O290" s="268"/>
    </row>
    <row r="291" spans="1:15" ht="18" customHeight="1" x14ac:dyDescent="0.3">
      <c r="A291" s="265">
        <v>20</v>
      </c>
      <c r="B291" s="266" t="s">
        <v>220</v>
      </c>
      <c r="C291" s="267"/>
      <c r="D291" s="267"/>
      <c r="E291" s="267"/>
      <c r="F291" s="267"/>
      <c r="G291" s="267"/>
      <c r="H291" s="267"/>
      <c r="I291" s="267"/>
      <c r="J291" s="267"/>
      <c r="K291" s="267"/>
      <c r="L291" s="267"/>
      <c r="M291" s="267"/>
      <c r="N291" s="267"/>
      <c r="O291" s="268"/>
    </row>
    <row r="292" spans="1:15" ht="18" customHeight="1" x14ac:dyDescent="0.3">
      <c r="A292" s="265">
        <v>21</v>
      </c>
      <c r="B292" s="266" t="s">
        <v>222</v>
      </c>
      <c r="C292" s="267"/>
      <c r="D292" s="267"/>
      <c r="E292" s="267"/>
      <c r="F292" s="267"/>
      <c r="G292" s="267"/>
      <c r="H292" s="267"/>
      <c r="I292" s="267"/>
      <c r="J292" s="267"/>
      <c r="K292" s="267"/>
      <c r="L292" s="267"/>
      <c r="M292" s="267"/>
      <c r="N292" s="267"/>
      <c r="O292" s="268"/>
    </row>
    <row r="293" spans="1:15" ht="18" customHeight="1" x14ac:dyDescent="0.3">
      <c r="A293" s="265">
        <v>22</v>
      </c>
      <c r="B293" s="266" t="s">
        <v>223</v>
      </c>
      <c r="C293" s="267"/>
      <c r="D293" s="267"/>
      <c r="E293" s="267"/>
      <c r="F293" s="267"/>
      <c r="G293" s="267"/>
      <c r="H293" s="267"/>
      <c r="I293" s="267"/>
      <c r="J293" s="267"/>
      <c r="K293" s="267"/>
      <c r="L293" s="267"/>
      <c r="M293" s="267"/>
      <c r="N293" s="267"/>
      <c r="O293" s="268"/>
    </row>
    <row r="294" spans="1:15" ht="18" customHeight="1" x14ac:dyDescent="0.3">
      <c r="A294" s="265">
        <v>23</v>
      </c>
      <c r="B294" s="269" t="s">
        <v>224</v>
      </c>
      <c r="C294" s="267"/>
      <c r="D294" s="267"/>
      <c r="E294" s="267"/>
      <c r="F294" s="267"/>
      <c r="G294" s="267"/>
      <c r="H294" s="267"/>
      <c r="I294" s="267"/>
      <c r="J294" s="267"/>
      <c r="K294" s="267"/>
      <c r="L294" s="267"/>
      <c r="M294" s="267"/>
      <c r="N294" s="267"/>
      <c r="O294" s="268"/>
    </row>
    <row r="295" spans="1:15" ht="18" customHeight="1" x14ac:dyDescent="0.3">
      <c r="A295" s="265">
        <v>24</v>
      </c>
      <c r="B295" s="266" t="s">
        <v>129</v>
      </c>
      <c r="C295" s="267"/>
      <c r="D295" s="267"/>
      <c r="E295" s="267"/>
      <c r="F295" s="267"/>
      <c r="G295" s="267"/>
      <c r="H295" s="267"/>
      <c r="I295" s="267"/>
      <c r="J295" s="267"/>
      <c r="K295" s="267"/>
      <c r="L295" s="267"/>
      <c r="M295" s="267"/>
      <c r="N295" s="267"/>
      <c r="O295" s="268"/>
    </row>
    <row r="296" spans="1:15" ht="18" customHeight="1" x14ac:dyDescent="0.3">
      <c r="A296" s="265">
        <v>25</v>
      </c>
      <c r="B296" s="270"/>
      <c r="C296" s="267"/>
      <c r="D296" s="268"/>
      <c r="E296" s="268"/>
      <c r="F296" s="268"/>
      <c r="G296" s="268"/>
      <c r="H296" s="268"/>
      <c r="I296" s="268"/>
      <c r="J296" s="268"/>
      <c r="K296" s="268"/>
      <c r="L296" s="268"/>
      <c r="M296" s="271"/>
      <c r="N296" s="268"/>
      <c r="O296" s="268"/>
    </row>
    <row r="297" spans="1:15" ht="18" customHeight="1" x14ac:dyDescent="0.3">
      <c r="A297" s="265">
        <v>26</v>
      </c>
      <c r="B297" s="270"/>
      <c r="C297" s="267"/>
      <c r="D297" s="268"/>
      <c r="E297" s="268"/>
      <c r="F297" s="268"/>
      <c r="G297" s="268"/>
      <c r="H297" s="268"/>
      <c r="I297" s="268"/>
      <c r="J297" s="268"/>
      <c r="K297" s="268"/>
      <c r="L297" s="268"/>
      <c r="M297" s="271"/>
      <c r="N297" s="268"/>
      <c r="O297" s="268"/>
    </row>
    <row r="298" spans="1:15" ht="18" customHeight="1" x14ac:dyDescent="0.3">
      <c r="A298" s="265">
        <v>27</v>
      </c>
      <c r="B298" s="270"/>
      <c r="C298" s="267"/>
      <c r="D298" s="268"/>
      <c r="E298" s="268"/>
      <c r="F298" s="268"/>
      <c r="G298" s="268"/>
      <c r="H298" s="268"/>
      <c r="I298" s="268"/>
      <c r="J298" s="268"/>
      <c r="K298" s="268"/>
      <c r="L298" s="268"/>
      <c r="M298" s="271"/>
      <c r="N298" s="268"/>
      <c r="O298" s="268"/>
    </row>
    <row r="299" spans="1:15" ht="18" customHeight="1" x14ac:dyDescent="0.3">
      <c r="A299" s="265">
        <v>28</v>
      </c>
      <c r="B299" s="270"/>
      <c r="C299" s="267"/>
      <c r="D299" s="268"/>
      <c r="E299" s="268"/>
      <c r="F299" s="268"/>
      <c r="G299" s="268"/>
      <c r="H299" s="268"/>
      <c r="I299" s="268"/>
      <c r="J299" s="268"/>
      <c r="K299" s="268"/>
      <c r="L299" s="268"/>
      <c r="M299" s="271"/>
      <c r="N299" s="268"/>
      <c r="O299" s="268"/>
    </row>
    <row r="300" spans="1:15" ht="18" customHeight="1" x14ac:dyDescent="0.3">
      <c r="A300" s="265">
        <v>29</v>
      </c>
      <c r="B300" s="270"/>
      <c r="C300" s="267"/>
      <c r="D300" s="268"/>
      <c r="E300" s="268"/>
      <c r="F300" s="268"/>
      <c r="G300" s="268"/>
      <c r="H300" s="268"/>
      <c r="I300" s="268"/>
      <c r="J300" s="268"/>
      <c r="K300" s="268"/>
      <c r="L300" s="268"/>
      <c r="M300" s="271"/>
      <c r="N300" s="268"/>
      <c r="O300" s="268"/>
    </row>
    <row r="301" spans="1:15" ht="18" customHeight="1" x14ac:dyDescent="0.3">
      <c r="A301" s="265">
        <v>30</v>
      </c>
      <c r="B301" s="268"/>
      <c r="C301" s="267"/>
      <c r="D301" s="268"/>
      <c r="E301" s="268"/>
      <c r="F301" s="268"/>
      <c r="G301" s="268"/>
      <c r="H301" s="268"/>
      <c r="I301" s="268"/>
      <c r="J301" s="268"/>
      <c r="K301" s="268"/>
      <c r="L301" s="268"/>
      <c r="M301" s="271"/>
      <c r="N301" s="268"/>
      <c r="O301" s="268"/>
    </row>
    <row r="302" spans="1:15" ht="18" customHeight="1" x14ac:dyDescent="0.3">
      <c r="A302" s="265">
        <v>31</v>
      </c>
      <c r="B302" s="268"/>
      <c r="C302" s="267"/>
      <c r="D302" s="268"/>
      <c r="E302" s="268"/>
      <c r="F302" s="268"/>
      <c r="G302" s="268"/>
      <c r="H302" s="268"/>
      <c r="I302" s="268"/>
      <c r="J302" s="268"/>
      <c r="K302" s="268"/>
      <c r="L302" s="268"/>
      <c r="M302" s="271"/>
      <c r="N302" s="268"/>
      <c r="O302" s="268"/>
    </row>
    <row r="303" spans="1:15" ht="18" customHeight="1" x14ac:dyDescent="0.3">
      <c r="A303" s="265">
        <v>32</v>
      </c>
      <c r="B303" s="268"/>
      <c r="C303" s="267"/>
      <c r="D303" s="268"/>
      <c r="E303" s="268"/>
      <c r="F303" s="268"/>
      <c r="G303" s="268"/>
      <c r="H303" s="268"/>
      <c r="I303" s="268"/>
      <c r="J303" s="268"/>
      <c r="K303" s="268"/>
      <c r="L303" s="268"/>
      <c r="M303" s="271"/>
      <c r="N303" s="268"/>
      <c r="O303" s="268"/>
    </row>
    <row r="304" spans="1:15" ht="18" customHeight="1" x14ac:dyDescent="0.3">
      <c r="A304" s="265">
        <v>33</v>
      </c>
      <c r="B304" s="268"/>
      <c r="C304" s="267"/>
      <c r="D304" s="268"/>
      <c r="E304" s="268"/>
      <c r="F304" s="268"/>
      <c r="G304" s="268"/>
      <c r="H304" s="268"/>
      <c r="I304" s="268"/>
      <c r="J304" s="268"/>
      <c r="K304" s="268"/>
      <c r="L304" s="268"/>
      <c r="M304" s="271"/>
      <c r="N304" s="268"/>
      <c r="O304" s="268"/>
    </row>
    <row r="305" spans="1:15" ht="18" customHeight="1" x14ac:dyDescent="0.3">
      <c r="A305" s="265">
        <v>34</v>
      </c>
      <c r="B305" s="268"/>
      <c r="C305" s="267"/>
      <c r="D305" s="268"/>
      <c r="E305" s="268"/>
      <c r="F305" s="268"/>
      <c r="G305" s="268"/>
      <c r="H305" s="268"/>
      <c r="I305" s="268"/>
      <c r="J305" s="268"/>
      <c r="K305" s="268"/>
      <c r="L305" s="268"/>
      <c r="M305" s="271"/>
      <c r="N305" s="268"/>
      <c r="O305" s="268"/>
    </row>
    <row r="306" spans="1:15" ht="18" customHeight="1" x14ac:dyDescent="0.3">
      <c r="A306" s="265">
        <v>35</v>
      </c>
      <c r="B306" s="268"/>
      <c r="C306" s="267"/>
      <c r="D306" s="268"/>
      <c r="E306" s="268"/>
      <c r="F306" s="268"/>
      <c r="G306" s="268"/>
      <c r="H306" s="268"/>
      <c r="I306" s="268"/>
      <c r="J306" s="268"/>
      <c r="K306" s="268"/>
      <c r="L306" s="268"/>
      <c r="M306" s="271"/>
      <c r="N306" s="268"/>
      <c r="O306" s="268"/>
    </row>
    <row r="307" spans="1:15" ht="18" customHeight="1" x14ac:dyDescent="0.3">
      <c r="A307" s="267"/>
      <c r="B307" s="272" t="s">
        <v>18</v>
      </c>
      <c r="C307" s="265">
        <f>SUM(C272:C306)</f>
        <v>0</v>
      </c>
      <c r="D307" s="265">
        <f t="shared" ref="D307:N307" si="7">SUM(D272:D306)</f>
        <v>0</v>
      </c>
      <c r="E307" s="265">
        <f t="shared" si="7"/>
        <v>0</v>
      </c>
      <c r="F307" s="265">
        <f t="shared" si="7"/>
        <v>0</v>
      </c>
      <c r="G307" s="265">
        <f t="shared" si="7"/>
        <v>0</v>
      </c>
      <c r="H307" s="265">
        <f t="shared" si="7"/>
        <v>0</v>
      </c>
      <c r="I307" s="265">
        <f t="shared" si="7"/>
        <v>0</v>
      </c>
      <c r="J307" s="265">
        <f t="shared" si="7"/>
        <v>0</v>
      </c>
      <c r="K307" s="265">
        <f t="shared" si="7"/>
        <v>0</v>
      </c>
      <c r="L307" s="265">
        <f t="shared" si="7"/>
        <v>0</v>
      </c>
      <c r="M307" s="265">
        <f t="shared" si="7"/>
        <v>0</v>
      </c>
      <c r="N307" s="265">
        <f t="shared" si="7"/>
        <v>0</v>
      </c>
      <c r="O307" s="268"/>
    </row>
    <row r="308" spans="1:15" ht="14" x14ac:dyDescent="0.3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</row>
    <row r="309" spans="1:15" ht="14" x14ac:dyDescent="0.3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</row>
    <row r="310" spans="1:15" ht="14" x14ac:dyDescent="0.25">
      <c r="A310" s="1015" t="s">
        <v>131</v>
      </c>
      <c r="B310" s="1015"/>
      <c r="C310" s="1015"/>
      <c r="D310" s="1015"/>
      <c r="E310" s="1015"/>
      <c r="F310" s="1015"/>
      <c r="G310" s="1015"/>
      <c r="H310" s="1015"/>
      <c r="I310" s="1015"/>
      <c r="J310" s="1015"/>
      <c r="K310" s="1015"/>
      <c r="L310" s="1015"/>
      <c r="M310" s="1015"/>
      <c r="N310" s="1015"/>
      <c r="O310" s="1015"/>
    </row>
    <row r="311" spans="1:15" ht="14" x14ac:dyDescent="0.3">
      <c r="A311" s="19" t="s">
        <v>225</v>
      </c>
      <c r="B311" s="19"/>
      <c r="C311" s="260" t="str">
        <f>PETUNJUK!C5</f>
        <v>PECANGAAN</v>
      </c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</row>
    <row r="312" spans="1:15" ht="14" x14ac:dyDescent="0.3">
      <c r="A312" s="19" t="s">
        <v>226</v>
      </c>
      <c r="B312" s="19"/>
      <c r="C312" s="261" t="s">
        <v>386</v>
      </c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</row>
    <row r="313" spans="1:15" ht="14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</row>
    <row r="314" spans="1:15" ht="18" customHeight="1" x14ac:dyDescent="0.25">
      <c r="A314" s="1018" t="s">
        <v>1</v>
      </c>
      <c r="B314" s="1018" t="s">
        <v>116</v>
      </c>
      <c r="C314" s="1019" t="s">
        <v>117</v>
      </c>
      <c r="D314" s="1020" t="s">
        <v>214</v>
      </c>
      <c r="E314" s="1020"/>
      <c r="F314" s="1020"/>
      <c r="G314" s="263" t="s">
        <v>204</v>
      </c>
      <c r="H314" s="1020" t="s">
        <v>213</v>
      </c>
      <c r="I314" s="1020"/>
      <c r="J314" s="1021" t="s">
        <v>132</v>
      </c>
      <c r="K314" s="1022"/>
      <c r="L314" s="1022"/>
      <c r="M314" s="1023"/>
      <c r="N314" s="263" t="s">
        <v>205</v>
      </c>
      <c r="O314" s="1020" t="s">
        <v>206</v>
      </c>
    </row>
    <row r="315" spans="1:15" ht="18" customHeight="1" x14ac:dyDescent="0.25">
      <c r="A315" s="1018"/>
      <c r="B315" s="1018"/>
      <c r="C315" s="1019"/>
      <c r="D315" s="262" t="s">
        <v>193</v>
      </c>
      <c r="E315" s="262" t="s">
        <v>192</v>
      </c>
      <c r="F315" s="262" t="s">
        <v>191</v>
      </c>
      <c r="G315" s="264" t="s">
        <v>207</v>
      </c>
      <c r="H315" s="262" t="s">
        <v>208</v>
      </c>
      <c r="I315" s="262" t="s">
        <v>209</v>
      </c>
      <c r="J315" s="262" t="s">
        <v>210</v>
      </c>
      <c r="K315" s="262" t="s">
        <v>211</v>
      </c>
      <c r="L315" s="262" t="s">
        <v>88</v>
      </c>
      <c r="M315" s="262" t="s">
        <v>18</v>
      </c>
      <c r="N315" s="264" t="s">
        <v>212</v>
      </c>
      <c r="O315" s="1020"/>
    </row>
    <row r="316" spans="1:15" ht="18" customHeight="1" x14ac:dyDescent="0.3">
      <c r="A316" s="265">
        <v>1</v>
      </c>
      <c r="B316" s="266" t="s">
        <v>118</v>
      </c>
      <c r="C316" s="267"/>
      <c r="D316" s="267"/>
      <c r="E316" s="267"/>
      <c r="F316" s="267"/>
      <c r="G316" s="267"/>
      <c r="H316" s="267"/>
      <c r="I316" s="267"/>
      <c r="J316" s="267"/>
      <c r="K316" s="267"/>
      <c r="L316" s="267"/>
      <c r="M316" s="267"/>
      <c r="N316" s="267"/>
      <c r="O316" s="268"/>
    </row>
    <row r="317" spans="1:15" ht="18" customHeight="1" x14ac:dyDescent="0.3">
      <c r="A317" s="265">
        <v>2</v>
      </c>
      <c r="B317" s="266" t="s">
        <v>119</v>
      </c>
      <c r="C317" s="267"/>
      <c r="D317" s="267"/>
      <c r="E317" s="267"/>
      <c r="F317" s="267"/>
      <c r="G317" s="267"/>
      <c r="H317" s="267"/>
      <c r="I317" s="267"/>
      <c r="J317" s="267"/>
      <c r="K317" s="267"/>
      <c r="L317" s="267"/>
      <c r="M317" s="267"/>
      <c r="N317" s="267"/>
      <c r="O317" s="268"/>
    </row>
    <row r="318" spans="1:15" ht="18" customHeight="1" x14ac:dyDescent="0.3">
      <c r="A318" s="265">
        <v>3</v>
      </c>
      <c r="B318" s="266" t="s">
        <v>127</v>
      </c>
      <c r="C318" s="267"/>
      <c r="D318" s="267"/>
      <c r="E318" s="267"/>
      <c r="F318" s="267"/>
      <c r="G318" s="267"/>
      <c r="H318" s="267"/>
      <c r="I318" s="267"/>
      <c r="J318" s="267"/>
      <c r="K318" s="267"/>
      <c r="L318" s="267"/>
      <c r="M318" s="267"/>
      <c r="N318" s="267"/>
      <c r="O318" s="268"/>
    </row>
    <row r="319" spans="1:15" ht="18" customHeight="1" x14ac:dyDescent="0.3">
      <c r="A319" s="265">
        <v>4</v>
      </c>
      <c r="B319" s="266" t="s">
        <v>124</v>
      </c>
      <c r="C319" s="267"/>
      <c r="D319" s="267"/>
      <c r="E319" s="267"/>
      <c r="F319" s="267"/>
      <c r="G319" s="267"/>
      <c r="H319" s="267"/>
      <c r="I319" s="267"/>
      <c r="J319" s="267"/>
      <c r="K319" s="267"/>
      <c r="L319" s="267"/>
      <c r="M319" s="267"/>
      <c r="N319" s="267"/>
      <c r="O319" s="268"/>
    </row>
    <row r="320" spans="1:15" ht="18" customHeight="1" x14ac:dyDescent="0.3">
      <c r="A320" s="265">
        <v>5</v>
      </c>
      <c r="B320" s="266" t="s">
        <v>120</v>
      </c>
      <c r="C320" s="267"/>
      <c r="D320" s="267"/>
      <c r="E320" s="267"/>
      <c r="F320" s="267"/>
      <c r="G320" s="267"/>
      <c r="H320" s="267"/>
      <c r="I320" s="267"/>
      <c r="J320" s="267"/>
      <c r="K320" s="267"/>
      <c r="L320" s="267"/>
      <c r="M320" s="267"/>
      <c r="N320" s="267"/>
      <c r="O320" s="268"/>
    </row>
    <row r="321" spans="1:15" ht="18" customHeight="1" x14ac:dyDescent="0.3">
      <c r="A321" s="265">
        <v>6</v>
      </c>
      <c r="B321" s="266" t="s">
        <v>215</v>
      </c>
      <c r="C321" s="267"/>
      <c r="D321" s="267"/>
      <c r="E321" s="267"/>
      <c r="F321" s="267"/>
      <c r="G321" s="267"/>
      <c r="H321" s="267"/>
      <c r="I321" s="267"/>
      <c r="J321" s="267"/>
      <c r="K321" s="267"/>
      <c r="L321" s="267"/>
      <c r="M321" s="267"/>
      <c r="N321" s="267"/>
      <c r="O321" s="268"/>
    </row>
    <row r="322" spans="1:15" ht="18" customHeight="1" x14ac:dyDescent="0.3">
      <c r="A322" s="265">
        <v>7</v>
      </c>
      <c r="B322" s="266" t="s">
        <v>122</v>
      </c>
      <c r="C322" s="267"/>
      <c r="D322" s="267"/>
      <c r="E322" s="267"/>
      <c r="F322" s="267"/>
      <c r="G322" s="267"/>
      <c r="H322" s="267"/>
      <c r="I322" s="267"/>
      <c r="J322" s="267"/>
      <c r="K322" s="267"/>
      <c r="L322" s="267"/>
      <c r="M322" s="267"/>
      <c r="N322" s="267"/>
      <c r="O322" s="268"/>
    </row>
    <row r="323" spans="1:15" ht="18" customHeight="1" x14ac:dyDescent="0.3">
      <c r="A323" s="265">
        <v>8</v>
      </c>
      <c r="B323" s="266" t="s">
        <v>123</v>
      </c>
      <c r="C323" s="267"/>
      <c r="D323" s="267"/>
      <c r="E323" s="267"/>
      <c r="F323" s="267"/>
      <c r="G323" s="267"/>
      <c r="H323" s="267"/>
      <c r="I323" s="267"/>
      <c r="J323" s="267"/>
      <c r="K323" s="267"/>
      <c r="L323" s="267"/>
      <c r="M323" s="267"/>
      <c r="N323" s="267"/>
      <c r="O323" s="268"/>
    </row>
    <row r="324" spans="1:15" ht="18" customHeight="1" x14ac:dyDescent="0.3">
      <c r="A324" s="265">
        <v>9</v>
      </c>
      <c r="B324" s="266" t="s">
        <v>218</v>
      </c>
      <c r="C324" s="267"/>
      <c r="D324" s="267"/>
      <c r="E324" s="267"/>
      <c r="F324" s="267"/>
      <c r="G324" s="267"/>
      <c r="H324" s="267"/>
      <c r="I324" s="267"/>
      <c r="J324" s="267"/>
      <c r="K324" s="267"/>
      <c r="L324" s="267"/>
      <c r="M324" s="267"/>
      <c r="N324" s="267"/>
      <c r="O324" s="268"/>
    </row>
    <row r="325" spans="1:15" ht="18" customHeight="1" x14ac:dyDescent="0.3">
      <c r="A325" s="265">
        <v>10</v>
      </c>
      <c r="B325" s="266" t="s">
        <v>126</v>
      </c>
      <c r="C325" s="267"/>
      <c r="D325" s="267"/>
      <c r="E325" s="267"/>
      <c r="F325" s="267"/>
      <c r="G325" s="267"/>
      <c r="H325" s="267"/>
      <c r="I325" s="267"/>
      <c r="J325" s="267"/>
      <c r="K325" s="267"/>
      <c r="L325" s="267"/>
      <c r="M325" s="267"/>
      <c r="N325" s="267"/>
      <c r="O325" s="268"/>
    </row>
    <row r="326" spans="1:15" ht="18" customHeight="1" x14ac:dyDescent="0.3">
      <c r="A326" s="265">
        <v>11</v>
      </c>
      <c r="B326" s="266" t="s">
        <v>125</v>
      </c>
      <c r="C326" s="267"/>
      <c r="D326" s="267"/>
      <c r="E326" s="267"/>
      <c r="F326" s="267"/>
      <c r="G326" s="267"/>
      <c r="H326" s="267"/>
      <c r="I326" s="267"/>
      <c r="J326" s="267"/>
      <c r="K326" s="267"/>
      <c r="L326" s="267"/>
      <c r="M326" s="267"/>
      <c r="N326" s="267"/>
      <c r="O326" s="268"/>
    </row>
    <row r="327" spans="1:15" ht="18" customHeight="1" x14ac:dyDescent="0.3">
      <c r="A327" s="265">
        <v>12</v>
      </c>
      <c r="B327" s="266" t="s">
        <v>130</v>
      </c>
      <c r="C327" s="267"/>
      <c r="D327" s="267"/>
      <c r="E327" s="267"/>
      <c r="F327" s="267"/>
      <c r="G327" s="267"/>
      <c r="H327" s="267"/>
      <c r="I327" s="267"/>
      <c r="J327" s="267"/>
      <c r="K327" s="267"/>
      <c r="L327" s="267"/>
      <c r="M327" s="267"/>
      <c r="N327" s="267"/>
      <c r="O327" s="268"/>
    </row>
    <row r="328" spans="1:15" ht="18" customHeight="1" x14ac:dyDescent="0.3">
      <c r="A328" s="265">
        <v>13</v>
      </c>
      <c r="B328" s="269" t="s">
        <v>216</v>
      </c>
      <c r="C328" s="267"/>
      <c r="D328" s="267"/>
      <c r="E328" s="267"/>
      <c r="F328" s="267"/>
      <c r="G328" s="267"/>
      <c r="H328" s="267"/>
      <c r="I328" s="267"/>
      <c r="J328" s="267"/>
      <c r="K328" s="267"/>
      <c r="L328" s="267"/>
      <c r="M328" s="267"/>
      <c r="N328" s="267"/>
      <c r="O328" s="268"/>
    </row>
    <row r="329" spans="1:15" ht="18" customHeight="1" x14ac:dyDescent="0.3">
      <c r="A329" s="265">
        <v>14</v>
      </c>
      <c r="B329" s="266" t="s">
        <v>121</v>
      </c>
      <c r="C329" s="267"/>
      <c r="D329" s="267"/>
      <c r="E329" s="267"/>
      <c r="F329" s="267"/>
      <c r="G329" s="267"/>
      <c r="H329" s="267"/>
      <c r="I329" s="267"/>
      <c r="J329" s="267"/>
      <c r="K329" s="267"/>
      <c r="L329" s="267"/>
      <c r="M329" s="267"/>
      <c r="N329" s="267"/>
      <c r="O329" s="268"/>
    </row>
    <row r="330" spans="1:15" ht="18" customHeight="1" x14ac:dyDescent="0.3">
      <c r="A330" s="265">
        <v>15</v>
      </c>
      <c r="B330" s="266" t="s">
        <v>45</v>
      </c>
      <c r="C330" s="267"/>
      <c r="D330" s="267"/>
      <c r="E330" s="267"/>
      <c r="F330" s="267"/>
      <c r="G330" s="267"/>
      <c r="H330" s="267"/>
      <c r="I330" s="267"/>
      <c r="J330" s="267"/>
      <c r="K330" s="267"/>
      <c r="L330" s="267"/>
      <c r="M330" s="267"/>
      <c r="N330" s="267"/>
      <c r="O330" s="268"/>
    </row>
    <row r="331" spans="1:15" ht="18" customHeight="1" x14ac:dyDescent="0.3">
      <c r="A331" s="265">
        <v>16</v>
      </c>
      <c r="B331" s="269" t="s">
        <v>217</v>
      </c>
      <c r="C331" s="267"/>
      <c r="D331" s="267"/>
      <c r="E331" s="267"/>
      <c r="F331" s="267"/>
      <c r="G331" s="267"/>
      <c r="H331" s="267"/>
      <c r="I331" s="267"/>
      <c r="J331" s="267"/>
      <c r="K331" s="267"/>
      <c r="L331" s="267"/>
      <c r="M331" s="267"/>
      <c r="N331" s="267"/>
      <c r="O331" s="268"/>
    </row>
    <row r="332" spans="1:15" ht="18" customHeight="1" x14ac:dyDescent="0.3">
      <c r="A332" s="265">
        <v>17</v>
      </c>
      <c r="B332" s="266" t="s">
        <v>219</v>
      </c>
      <c r="C332" s="267"/>
      <c r="D332" s="267"/>
      <c r="E332" s="267"/>
      <c r="F332" s="267"/>
      <c r="G332" s="267"/>
      <c r="H332" s="267"/>
      <c r="I332" s="267"/>
      <c r="J332" s="267"/>
      <c r="K332" s="267"/>
      <c r="L332" s="267"/>
      <c r="M332" s="267"/>
      <c r="N332" s="267"/>
      <c r="O332" s="268"/>
    </row>
    <row r="333" spans="1:15" ht="18" customHeight="1" x14ac:dyDescent="0.3">
      <c r="A333" s="265">
        <v>18</v>
      </c>
      <c r="B333" s="266" t="s">
        <v>128</v>
      </c>
      <c r="C333" s="267"/>
      <c r="D333" s="267"/>
      <c r="E333" s="267"/>
      <c r="F333" s="267"/>
      <c r="G333" s="267"/>
      <c r="H333" s="267"/>
      <c r="I333" s="267"/>
      <c r="J333" s="267"/>
      <c r="K333" s="267"/>
      <c r="L333" s="267"/>
      <c r="M333" s="267"/>
      <c r="N333" s="267"/>
      <c r="O333" s="268"/>
    </row>
    <row r="334" spans="1:15" ht="18" customHeight="1" x14ac:dyDescent="0.3">
      <c r="A334" s="265">
        <v>19</v>
      </c>
      <c r="B334" s="266" t="s">
        <v>221</v>
      </c>
      <c r="C334" s="267"/>
      <c r="D334" s="267"/>
      <c r="E334" s="267"/>
      <c r="F334" s="267"/>
      <c r="G334" s="267"/>
      <c r="H334" s="267"/>
      <c r="I334" s="267"/>
      <c r="J334" s="267"/>
      <c r="K334" s="267"/>
      <c r="L334" s="267"/>
      <c r="M334" s="267"/>
      <c r="N334" s="267"/>
      <c r="O334" s="268"/>
    </row>
    <row r="335" spans="1:15" ht="18" customHeight="1" x14ac:dyDescent="0.3">
      <c r="A335" s="265">
        <v>20</v>
      </c>
      <c r="B335" s="266" t="s">
        <v>220</v>
      </c>
      <c r="C335" s="267"/>
      <c r="D335" s="267"/>
      <c r="E335" s="267"/>
      <c r="F335" s="267"/>
      <c r="G335" s="267"/>
      <c r="H335" s="267"/>
      <c r="I335" s="267"/>
      <c r="J335" s="267"/>
      <c r="K335" s="267"/>
      <c r="L335" s="267"/>
      <c r="M335" s="267"/>
      <c r="N335" s="267"/>
      <c r="O335" s="268"/>
    </row>
    <row r="336" spans="1:15" ht="18" customHeight="1" x14ac:dyDescent="0.3">
      <c r="A336" s="265">
        <v>21</v>
      </c>
      <c r="B336" s="266" t="s">
        <v>222</v>
      </c>
      <c r="C336" s="267"/>
      <c r="D336" s="267"/>
      <c r="E336" s="267"/>
      <c r="F336" s="267"/>
      <c r="G336" s="267"/>
      <c r="H336" s="267"/>
      <c r="I336" s="267"/>
      <c r="J336" s="267"/>
      <c r="K336" s="267"/>
      <c r="L336" s="267"/>
      <c r="M336" s="267"/>
      <c r="N336" s="267"/>
      <c r="O336" s="268"/>
    </row>
    <row r="337" spans="1:15" ht="18" customHeight="1" x14ac:dyDescent="0.3">
      <c r="A337" s="265">
        <v>22</v>
      </c>
      <c r="B337" s="266" t="s">
        <v>223</v>
      </c>
      <c r="C337" s="267"/>
      <c r="D337" s="267"/>
      <c r="E337" s="267"/>
      <c r="F337" s="267"/>
      <c r="G337" s="267"/>
      <c r="H337" s="267"/>
      <c r="I337" s="267"/>
      <c r="J337" s="267"/>
      <c r="K337" s="267"/>
      <c r="L337" s="267"/>
      <c r="M337" s="267"/>
      <c r="N337" s="267"/>
      <c r="O337" s="268"/>
    </row>
    <row r="338" spans="1:15" ht="18" customHeight="1" x14ac:dyDescent="0.3">
      <c r="A338" s="265">
        <v>23</v>
      </c>
      <c r="B338" s="269" t="s">
        <v>224</v>
      </c>
      <c r="C338" s="267"/>
      <c r="D338" s="267"/>
      <c r="E338" s="267"/>
      <c r="F338" s="267"/>
      <c r="G338" s="267"/>
      <c r="H338" s="267"/>
      <c r="I338" s="267"/>
      <c r="J338" s="267"/>
      <c r="K338" s="267"/>
      <c r="L338" s="267"/>
      <c r="M338" s="267"/>
      <c r="N338" s="267"/>
      <c r="O338" s="268"/>
    </row>
    <row r="339" spans="1:15" ht="18" customHeight="1" x14ac:dyDescent="0.3">
      <c r="A339" s="265">
        <v>24</v>
      </c>
      <c r="B339" s="266" t="s">
        <v>129</v>
      </c>
      <c r="C339" s="267"/>
      <c r="D339" s="267"/>
      <c r="E339" s="267"/>
      <c r="F339" s="267"/>
      <c r="G339" s="267"/>
      <c r="H339" s="267"/>
      <c r="I339" s="267"/>
      <c r="J339" s="267"/>
      <c r="K339" s="267"/>
      <c r="L339" s="267"/>
      <c r="M339" s="267"/>
      <c r="N339" s="267"/>
      <c r="O339" s="268"/>
    </row>
    <row r="340" spans="1:15" ht="18" customHeight="1" x14ac:dyDescent="0.3">
      <c r="A340" s="265">
        <v>25</v>
      </c>
      <c r="B340" s="270"/>
      <c r="C340" s="267"/>
      <c r="D340" s="268"/>
      <c r="E340" s="268"/>
      <c r="F340" s="268"/>
      <c r="G340" s="268"/>
      <c r="H340" s="268"/>
      <c r="I340" s="268"/>
      <c r="J340" s="268"/>
      <c r="K340" s="268"/>
      <c r="L340" s="268"/>
      <c r="M340" s="271"/>
      <c r="N340" s="268"/>
      <c r="O340" s="268"/>
    </row>
    <row r="341" spans="1:15" ht="18" customHeight="1" x14ac:dyDescent="0.3">
      <c r="A341" s="265">
        <v>26</v>
      </c>
      <c r="B341" s="270"/>
      <c r="C341" s="267"/>
      <c r="D341" s="268"/>
      <c r="E341" s="268"/>
      <c r="F341" s="268"/>
      <c r="G341" s="268"/>
      <c r="H341" s="268"/>
      <c r="I341" s="268"/>
      <c r="J341" s="268"/>
      <c r="K341" s="268"/>
      <c r="L341" s="268"/>
      <c r="M341" s="271"/>
      <c r="N341" s="268"/>
      <c r="O341" s="268"/>
    </row>
    <row r="342" spans="1:15" ht="18" customHeight="1" x14ac:dyDescent="0.3">
      <c r="A342" s="265">
        <v>27</v>
      </c>
      <c r="B342" s="270"/>
      <c r="C342" s="267"/>
      <c r="D342" s="268"/>
      <c r="E342" s="268"/>
      <c r="F342" s="268"/>
      <c r="G342" s="268"/>
      <c r="H342" s="268"/>
      <c r="I342" s="268"/>
      <c r="J342" s="268"/>
      <c r="K342" s="268"/>
      <c r="L342" s="268"/>
      <c r="M342" s="271"/>
      <c r="N342" s="268"/>
      <c r="O342" s="268"/>
    </row>
    <row r="343" spans="1:15" ht="18" customHeight="1" x14ac:dyDescent="0.3">
      <c r="A343" s="265">
        <v>28</v>
      </c>
      <c r="B343" s="270"/>
      <c r="C343" s="267"/>
      <c r="D343" s="268"/>
      <c r="E343" s="268"/>
      <c r="F343" s="268"/>
      <c r="G343" s="268"/>
      <c r="H343" s="268"/>
      <c r="I343" s="268"/>
      <c r="J343" s="268"/>
      <c r="K343" s="268"/>
      <c r="L343" s="268"/>
      <c r="M343" s="271"/>
      <c r="N343" s="268"/>
      <c r="O343" s="268"/>
    </row>
    <row r="344" spans="1:15" ht="18" customHeight="1" x14ac:dyDescent="0.3">
      <c r="A344" s="265">
        <v>29</v>
      </c>
      <c r="B344" s="270"/>
      <c r="C344" s="267"/>
      <c r="D344" s="268"/>
      <c r="E344" s="268"/>
      <c r="F344" s="268"/>
      <c r="G344" s="268"/>
      <c r="H344" s="268"/>
      <c r="I344" s="268"/>
      <c r="J344" s="268"/>
      <c r="K344" s="268"/>
      <c r="L344" s="268"/>
      <c r="M344" s="271"/>
      <c r="N344" s="268"/>
      <c r="O344" s="268"/>
    </row>
    <row r="345" spans="1:15" ht="18" customHeight="1" x14ac:dyDescent="0.3">
      <c r="A345" s="265">
        <v>30</v>
      </c>
      <c r="B345" s="268"/>
      <c r="C345" s="267"/>
      <c r="D345" s="268"/>
      <c r="E345" s="268"/>
      <c r="F345" s="268"/>
      <c r="G345" s="268"/>
      <c r="H345" s="268"/>
      <c r="I345" s="268"/>
      <c r="J345" s="268"/>
      <c r="K345" s="268"/>
      <c r="L345" s="268"/>
      <c r="M345" s="271"/>
      <c r="N345" s="268"/>
      <c r="O345" s="268"/>
    </row>
    <row r="346" spans="1:15" ht="18" customHeight="1" x14ac:dyDescent="0.3">
      <c r="A346" s="265">
        <v>31</v>
      </c>
      <c r="B346" s="268"/>
      <c r="C346" s="267"/>
      <c r="D346" s="268"/>
      <c r="E346" s="268"/>
      <c r="F346" s="268"/>
      <c r="G346" s="268"/>
      <c r="H346" s="268"/>
      <c r="I346" s="268"/>
      <c r="J346" s="268"/>
      <c r="K346" s="268"/>
      <c r="L346" s="268"/>
      <c r="M346" s="271"/>
      <c r="N346" s="268"/>
      <c r="O346" s="268"/>
    </row>
    <row r="347" spans="1:15" ht="18" customHeight="1" x14ac:dyDescent="0.3">
      <c r="A347" s="265">
        <v>32</v>
      </c>
      <c r="B347" s="268"/>
      <c r="C347" s="267"/>
      <c r="D347" s="268"/>
      <c r="E347" s="268"/>
      <c r="F347" s="268"/>
      <c r="G347" s="268"/>
      <c r="H347" s="268"/>
      <c r="I347" s="268"/>
      <c r="J347" s="268"/>
      <c r="K347" s="268"/>
      <c r="L347" s="268"/>
      <c r="M347" s="271"/>
      <c r="N347" s="268"/>
      <c r="O347" s="268"/>
    </row>
    <row r="348" spans="1:15" ht="18" customHeight="1" x14ac:dyDescent="0.3">
      <c r="A348" s="265">
        <v>33</v>
      </c>
      <c r="B348" s="268"/>
      <c r="C348" s="267"/>
      <c r="D348" s="268"/>
      <c r="E348" s="268"/>
      <c r="F348" s="268"/>
      <c r="G348" s="268"/>
      <c r="H348" s="268"/>
      <c r="I348" s="268"/>
      <c r="J348" s="268"/>
      <c r="K348" s="268"/>
      <c r="L348" s="268"/>
      <c r="M348" s="271"/>
      <c r="N348" s="268"/>
      <c r="O348" s="268"/>
    </row>
    <row r="349" spans="1:15" ht="18" customHeight="1" x14ac:dyDescent="0.3">
      <c r="A349" s="265">
        <v>34</v>
      </c>
      <c r="B349" s="268"/>
      <c r="C349" s="267"/>
      <c r="D349" s="268"/>
      <c r="E349" s="268"/>
      <c r="F349" s="268"/>
      <c r="G349" s="268"/>
      <c r="H349" s="268"/>
      <c r="I349" s="268"/>
      <c r="J349" s="268"/>
      <c r="K349" s="268"/>
      <c r="L349" s="268"/>
      <c r="M349" s="271"/>
      <c r="N349" s="268"/>
      <c r="O349" s="268"/>
    </row>
    <row r="350" spans="1:15" ht="18" customHeight="1" x14ac:dyDescent="0.3">
      <c r="A350" s="265">
        <v>35</v>
      </c>
      <c r="B350" s="268"/>
      <c r="C350" s="267"/>
      <c r="D350" s="268"/>
      <c r="E350" s="268"/>
      <c r="F350" s="268"/>
      <c r="G350" s="268"/>
      <c r="H350" s="268"/>
      <c r="I350" s="268"/>
      <c r="J350" s="268"/>
      <c r="K350" s="268"/>
      <c r="L350" s="268"/>
      <c r="M350" s="271"/>
      <c r="N350" s="268"/>
      <c r="O350" s="268"/>
    </row>
    <row r="351" spans="1:15" ht="18" customHeight="1" x14ac:dyDescent="0.3">
      <c r="A351" s="267"/>
      <c r="B351" s="272" t="s">
        <v>18</v>
      </c>
      <c r="C351" s="265">
        <f>SUM(C316:C350)</f>
        <v>0</v>
      </c>
      <c r="D351" s="265">
        <f t="shared" ref="D351:N351" si="8">SUM(D316:D350)</f>
        <v>0</v>
      </c>
      <c r="E351" s="265">
        <f t="shared" si="8"/>
        <v>0</v>
      </c>
      <c r="F351" s="265">
        <f t="shared" si="8"/>
        <v>0</v>
      </c>
      <c r="G351" s="265">
        <f t="shared" si="8"/>
        <v>0</v>
      </c>
      <c r="H351" s="265">
        <f t="shared" si="8"/>
        <v>0</v>
      </c>
      <c r="I351" s="265">
        <f t="shared" si="8"/>
        <v>0</v>
      </c>
      <c r="J351" s="265">
        <f t="shared" si="8"/>
        <v>0</v>
      </c>
      <c r="K351" s="265">
        <f t="shared" si="8"/>
        <v>0</v>
      </c>
      <c r="L351" s="265">
        <f t="shared" si="8"/>
        <v>0</v>
      </c>
      <c r="M351" s="265">
        <f t="shared" si="8"/>
        <v>0</v>
      </c>
      <c r="N351" s="265">
        <f t="shared" si="8"/>
        <v>0</v>
      </c>
      <c r="O351" s="268"/>
    </row>
    <row r="352" spans="1:15" ht="14" x14ac:dyDescent="0.3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</row>
    <row r="353" spans="1:15" ht="14" x14ac:dyDescent="0.3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</row>
    <row r="354" spans="1:15" ht="14" x14ac:dyDescent="0.25">
      <c r="A354" s="1015" t="s">
        <v>131</v>
      </c>
      <c r="B354" s="1015"/>
      <c r="C354" s="1015"/>
      <c r="D354" s="1015"/>
      <c r="E354" s="1015"/>
      <c r="F354" s="1015"/>
      <c r="G354" s="1015"/>
      <c r="H354" s="1015"/>
      <c r="I354" s="1015"/>
      <c r="J354" s="1015"/>
      <c r="K354" s="1015"/>
      <c r="L354" s="1015"/>
      <c r="M354" s="1015"/>
      <c r="N354" s="1015"/>
      <c r="O354" s="1015"/>
    </row>
    <row r="355" spans="1:15" ht="14" x14ac:dyDescent="0.3">
      <c r="A355" s="19" t="s">
        <v>225</v>
      </c>
      <c r="B355" s="19"/>
      <c r="C355" s="260" t="str">
        <f>PETUNJUK!C5</f>
        <v>PECANGAAN</v>
      </c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</row>
    <row r="356" spans="1:15" ht="14" x14ac:dyDescent="0.3">
      <c r="A356" s="19" t="s">
        <v>226</v>
      </c>
      <c r="B356" s="19"/>
      <c r="C356" s="261" t="s">
        <v>387</v>
      </c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</row>
    <row r="357" spans="1:15" ht="14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</row>
    <row r="358" spans="1:15" ht="18" customHeight="1" x14ac:dyDescent="0.25">
      <c r="A358" s="1018" t="s">
        <v>1</v>
      </c>
      <c r="B358" s="1018" t="s">
        <v>116</v>
      </c>
      <c r="C358" s="1019" t="s">
        <v>117</v>
      </c>
      <c r="D358" s="1020" t="s">
        <v>214</v>
      </c>
      <c r="E358" s="1020"/>
      <c r="F358" s="1020"/>
      <c r="G358" s="263" t="s">
        <v>204</v>
      </c>
      <c r="H358" s="1020" t="s">
        <v>213</v>
      </c>
      <c r="I358" s="1020"/>
      <c r="J358" s="1021" t="s">
        <v>132</v>
      </c>
      <c r="K358" s="1022"/>
      <c r="L358" s="1022"/>
      <c r="M358" s="1023"/>
      <c r="N358" s="263" t="s">
        <v>205</v>
      </c>
      <c r="O358" s="1020" t="s">
        <v>206</v>
      </c>
    </row>
    <row r="359" spans="1:15" ht="18" customHeight="1" x14ac:dyDescent="0.25">
      <c r="A359" s="1018"/>
      <c r="B359" s="1018"/>
      <c r="C359" s="1019"/>
      <c r="D359" s="262" t="s">
        <v>193</v>
      </c>
      <c r="E359" s="262" t="s">
        <v>192</v>
      </c>
      <c r="F359" s="262" t="s">
        <v>191</v>
      </c>
      <c r="G359" s="264" t="s">
        <v>207</v>
      </c>
      <c r="H359" s="262" t="s">
        <v>208</v>
      </c>
      <c r="I359" s="262" t="s">
        <v>209</v>
      </c>
      <c r="J359" s="262" t="s">
        <v>210</v>
      </c>
      <c r="K359" s="262" t="s">
        <v>211</v>
      </c>
      <c r="L359" s="262" t="s">
        <v>88</v>
      </c>
      <c r="M359" s="262" t="s">
        <v>18</v>
      </c>
      <c r="N359" s="264" t="s">
        <v>212</v>
      </c>
      <c r="O359" s="1020"/>
    </row>
    <row r="360" spans="1:15" ht="18" customHeight="1" x14ac:dyDescent="0.3">
      <c r="A360" s="265">
        <v>1</v>
      </c>
      <c r="B360" s="266" t="s">
        <v>118</v>
      </c>
      <c r="C360" s="267"/>
      <c r="D360" s="267"/>
      <c r="E360" s="267"/>
      <c r="F360" s="267"/>
      <c r="G360" s="267"/>
      <c r="H360" s="267"/>
      <c r="I360" s="267"/>
      <c r="J360" s="267"/>
      <c r="K360" s="267"/>
      <c r="L360" s="267"/>
      <c r="M360" s="267"/>
      <c r="N360" s="274"/>
      <c r="O360" s="268"/>
    </row>
    <row r="361" spans="1:15" ht="18" customHeight="1" x14ac:dyDescent="0.3">
      <c r="A361" s="265">
        <v>2</v>
      </c>
      <c r="B361" s="266" t="s">
        <v>119</v>
      </c>
      <c r="C361" s="267"/>
      <c r="D361" s="267"/>
      <c r="E361" s="267"/>
      <c r="F361" s="267"/>
      <c r="G361" s="267"/>
      <c r="H361" s="267"/>
      <c r="I361" s="267"/>
      <c r="J361" s="267"/>
      <c r="K361" s="267"/>
      <c r="L361" s="267"/>
      <c r="M361" s="267"/>
      <c r="N361" s="268"/>
      <c r="O361" s="268"/>
    </row>
    <row r="362" spans="1:15" ht="18" customHeight="1" x14ac:dyDescent="0.3">
      <c r="A362" s="265">
        <v>3</v>
      </c>
      <c r="B362" s="266" t="s">
        <v>127</v>
      </c>
      <c r="C362" s="267"/>
      <c r="D362" s="267"/>
      <c r="E362" s="267"/>
      <c r="F362" s="267"/>
      <c r="G362" s="267"/>
      <c r="H362" s="267"/>
      <c r="I362" s="267"/>
      <c r="J362" s="267"/>
      <c r="K362" s="267"/>
      <c r="L362" s="267"/>
      <c r="M362" s="267"/>
      <c r="N362" s="268"/>
      <c r="O362" s="268"/>
    </row>
    <row r="363" spans="1:15" ht="18" customHeight="1" x14ac:dyDescent="0.3">
      <c r="A363" s="265">
        <v>4</v>
      </c>
      <c r="B363" s="266" t="s">
        <v>124</v>
      </c>
      <c r="C363" s="267"/>
      <c r="D363" s="267"/>
      <c r="E363" s="267"/>
      <c r="F363" s="267"/>
      <c r="G363" s="267"/>
      <c r="H363" s="267"/>
      <c r="I363" s="267"/>
      <c r="J363" s="267"/>
      <c r="K363" s="267"/>
      <c r="L363" s="267"/>
      <c r="M363" s="267"/>
      <c r="N363" s="268"/>
      <c r="O363" s="268"/>
    </row>
    <row r="364" spans="1:15" ht="18" customHeight="1" x14ac:dyDescent="0.3">
      <c r="A364" s="265">
        <v>5</v>
      </c>
      <c r="B364" s="266" t="s">
        <v>120</v>
      </c>
      <c r="C364" s="267"/>
      <c r="D364" s="267"/>
      <c r="E364" s="267"/>
      <c r="F364" s="267"/>
      <c r="G364" s="267"/>
      <c r="H364" s="267"/>
      <c r="I364" s="267"/>
      <c r="J364" s="267"/>
      <c r="K364" s="267"/>
      <c r="L364" s="267"/>
      <c r="M364" s="267"/>
      <c r="N364" s="268"/>
      <c r="O364" s="268"/>
    </row>
    <row r="365" spans="1:15" ht="18" customHeight="1" x14ac:dyDescent="0.3">
      <c r="A365" s="265">
        <v>6</v>
      </c>
      <c r="B365" s="266" t="s">
        <v>215</v>
      </c>
      <c r="C365" s="267"/>
      <c r="D365" s="267"/>
      <c r="E365" s="267"/>
      <c r="F365" s="267"/>
      <c r="G365" s="267"/>
      <c r="H365" s="267"/>
      <c r="I365" s="267"/>
      <c r="J365" s="267"/>
      <c r="K365" s="267"/>
      <c r="L365" s="267"/>
      <c r="M365" s="267"/>
      <c r="N365" s="268"/>
      <c r="O365" s="268"/>
    </row>
    <row r="366" spans="1:15" ht="18" customHeight="1" x14ac:dyDescent="0.3">
      <c r="A366" s="265">
        <v>7</v>
      </c>
      <c r="B366" s="266" t="s">
        <v>122</v>
      </c>
      <c r="C366" s="267"/>
      <c r="D366" s="267"/>
      <c r="E366" s="267"/>
      <c r="F366" s="267"/>
      <c r="G366" s="267"/>
      <c r="H366" s="267"/>
      <c r="I366" s="267"/>
      <c r="J366" s="267"/>
      <c r="K366" s="267"/>
      <c r="L366" s="267"/>
      <c r="M366" s="267"/>
      <c r="N366" s="268"/>
      <c r="O366" s="268"/>
    </row>
    <row r="367" spans="1:15" ht="18" customHeight="1" x14ac:dyDescent="0.3">
      <c r="A367" s="265">
        <v>8</v>
      </c>
      <c r="B367" s="266" t="s">
        <v>123</v>
      </c>
      <c r="C367" s="267"/>
      <c r="D367" s="267"/>
      <c r="E367" s="267"/>
      <c r="F367" s="267"/>
      <c r="G367" s="267"/>
      <c r="H367" s="267"/>
      <c r="I367" s="267"/>
      <c r="J367" s="267"/>
      <c r="K367" s="267"/>
      <c r="L367" s="267"/>
      <c r="M367" s="267"/>
      <c r="N367" s="268"/>
      <c r="O367" s="268"/>
    </row>
    <row r="368" spans="1:15" ht="18" customHeight="1" x14ac:dyDescent="0.3">
      <c r="A368" s="265">
        <v>9</v>
      </c>
      <c r="B368" s="266" t="s">
        <v>218</v>
      </c>
      <c r="C368" s="267"/>
      <c r="D368" s="267"/>
      <c r="E368" s="267"/>
      <c r="F368" s="267"/>
      <c r="G368" s="267"/>
      <c r="H368" s="267"/>
      <c r="I368" s="267"/>
      <c r="J368" s="267"/>
      <c r="K368" s="267"/>
      <c r="L368" s="267"/>
      <c r="M368" s="267"/>
      <c r="N368" s="268"/>
      <c r="O368" s="268"/>
    </row>
    <row r="369" spans="1:15" ht="18" customHeight="1" x14ac:dyDescent="0.3">
      <c r="A369" s="265">
        <v>10</v>
      </c>
      <c r="B369" s="266" t="s">
        <v>126</v>
      </c>
      <c r="C369" s="267"/>
      <c r="D369" s="267"/>
      <c r="E369" s="267"/>
      <c r="F369" s="267"/>
      <c r="G369" s="267"/>
      <c r="H369" s="267"/>
      <c r="I369" s="267"/>
      <c r="J369" s="267"/>
      <c r="K369" s="267"/>
      <c r="L369" s="267"/>
      <c r="M369" s="267"/>
      <c r="N369" s="268"/>
      <c r="O369" s="268"/>
    </row>
    <row r="370" spans="1:15" ht="18" customHeight="1" x14ac:dyDescent="0.3">
      <c r="A370" s="265">
        <v>11</v>
      </c>
      <c r="B370" s="266" t="s">
        <v>125</v>
      </c>
      <c r="C370" s="267"/>
      <c r="D370" s="267"/>
      <c r="E370" s="267"/>
      <c r="F370" s="267"/>
      <c r="G370" s="267"/>
      <c r="H370" s="267"/>
      <c r="I370" s="267"/>
      <c r="J370" s="267"/>
      <c r="K370" s="267"/>
      <c r="L370" s="267"/>
      <c r="M370" s="267"/>
      <c r="N370" s="268"/>
      <c r="O370" s="268"/>
    </row>
    <row r="371" spans="1:15" ht="18" customHeight="1" x14ac:dyDescent="0.3">
      <c r="A371" s="265">
        <v>12</v>
      </c>
      <c r="B371" s="266" t="s">
        <v>130</v>
      </c>
      <c r="C371" s="267"/>
      <c r="D371" s="267"/>
      <c r="E371" s="267"/>
      <c r="F371" s="267"/>
      <c r="G371" s="267"/>
      <c r="H371" s="267"/>
      <c r="I371" s="267"/>
      <c r="J371" s="267"/>
      <c r="K371" s="267"/>
      <c r="L371" s="267"/>
      <c r="M371" s="267"/>
      <c r="N371" s="268"/>
      <c r="O371" s="268"/>
    </row>
    <row r="372" spans="1:15" ht="18" customHeight="1" x14ac:dyDescent="0.3">
      <c r="A372" s="265">
        <v>13</v>
      </c>
      <c r="B372" s="269" t="s">
        <v>216</v>
      </c>
      <c r="C372" s="267"/>
      <c r="D372" s="267"/>
      <c r="E372" s="267"/>
      <c r="F372" s="267"/>
      <c r="G372" s="267"/>
      <c r="H372" s="267"/>
      <c r="I372" s="267"/>
      <c r="J372" s="267"/>
      <c r="K372" s="267"/>
      <c r="L372" s="267"/>
      <c r="M372" s="267"/>
      <c r="N372" s="268"/>
      <c r="O372" s="268"/>
    </row>
    <row r="373" spans="1:15" ht="18" customHeight="1" x14ac:dyDescent="0.3">
      <c r="A373" s="265">
        <v>14</v>
      </c>
      <c r="B373" s="266" t="s">
        <v>121</v>
      </c>
      <c r="C373" s="267"/>
      <c r="D373" s="267"/>
      <c r="E373" s="267"/>
      <c r="F373" s="267"/>
      <c r="G373" s="267"/>
      <c r="H373" s="267"/>
      <c r="I373" s="267"/>
      <c r="J373" s="267"/>
      <c r="K373" s="267"/>
      <c r="L373" s="267"/>
      <c r="M373" s="267"/>
      <c r="N373" s="268"/>
      <c r="O373" s="268"/>
    </row>
    <row r="374" spans="1:15" ht="18" customHeight="1" x14ac:dyDescent="0.3">
      <c r="A374" s="265">
        <v>15</v>
      </c>
      <c r="B374" s="266" t="s">
        <v>45</v>
      </c>
      <c r="C374" s="267"/>
      <c r="D374" s="267"/>
      <c r="E374" s="267"/>
      <c r="F374" s="267"/>
      <c r="G374" s="267"/>
      <c r="H374" s="267"/>
      <c r="I374" s="267"/>
      <c r="J374" s="267"/>
      <c r="K374" s="267"/>
      <c r="L374" s="267"/>
      <c r="M374" s="267"/>
      <c r="N374" s="268"/>
      <c r="O374" s="268"/>
    </row>
    <row r="375" spans="1:15" ht="18" customHeight="1" x14ac:dyDescent="0.3">
      <c r="A375" s="265">
        <v>16</v>
      </c>
      <c r="B375" s="269" t="s">
        <v>217</v>
      </c>
      <c r="C375" s="267"/>
      <c r="D375" s="267"/>
      <c r="E375" s="267"/>
      <c r="F375" s="267"/>
      <c r="G375" s="267"/>
      <c r="H375" s="267"/>
      <c r="I375" s="267"/>
      <c r="J375" s="267"/>
      <c r="K375" s="267"/>
      <c r="L375" s="267"/>
      <c r="M375" s="267"/>
      <c r="N375" s="268"/>
      <c r="O375" s="268"/>
    </row>
    <row r="376" spans="1:15" ht="18" customHeight="1" x14ac:dyDescent="0.3">
      <c r="A376" s="265">
        <v>17</v>
      </c>
      <c r="B376" s="266" t="s">
        <v>219</v>
      </c>
      <c r="C376" s="267"/>
      <c r="D376" s="267"/>
      <c r="E376" s="267"/>
      <c r="F376" s="267"/>
      <c r="G376" s="267"/>
      <c r="H376" s="267"/>
      <c r="I376" s="267"/>
      <c r="J376" s="267"/>
      <c r="K376" s="267"/>
      <c r="L376" s="267"/>
      <c r="M376" s="267"/>
      <c r="N376" s="268"/>
      <c r="O376" s="268"/>
    </row>
    <row r="377" spans="1:15" ht="18" customHeight="1" x14ac:dyDescent="0.3">
      <c r="A377" s="265">
        <v>18</v>
      </c>
      <c r="B377" s="266" t="s">
        <v>128</v>
      </c>
      <c r="C377" s="267"/>
      <c r="D377" s="267"/>
      <c r="E377" s="267"/>
      <c r="F377" s="267"/>
      <c r="G377" s="267"/>
      <c r="H377" s="267"/>
      <c r="I377" s="267"/>
      <c r="J377" s="267"/>
      <c r="K377" s="267"/>
      <c r="L377" s="267"/>
      <c r="M377" s="267"/>
      <c r="N377" s="268"/>
      <c r="O377" s="268"/>
    </row>
    <row r="378" spans="1:15" ht="18" customHeight="1" x14ac:dyDescent="0.3">
      <c r="A378" s="265">
        <v>19</v>
      </c>
      <c r="B378" s="266" t="s">
        <v>221</v>
      </c>
      <c r="C378" s="267"/>
      <c r="D378" s="267"/>
      <c r="E378" s="267"/>
      <c r="F378" s="267"/>
      <c r="G378" s="267"/>
      <c r="H378" s="267"/>
      <c r="I378" s="267"/>
      <c r="J378" s="267"/>
      <c r="K378" s="267"/>
      <c r="L378" s="267"/>
      <c r="M378" s="267"/>
      <c r="N378" s="268"/>
      <c r="O378" s="268"/>
    </row>
    <row r="379" spans="1:15" ht="18" customHeight="1" x14ac:dyDescent="0.3">
      <c r="A379" s="265">
        <v>20</v>
      </c>
      <c r="B379" s="266" t="s">
        <v>220</v>
      </c>
      <c r="C379" s="267"/>
      <c r="D379" s="267"/>
      <c r="E379" s="267"/>
      <c r="F379" s="267"/>
      <c r="G379" s="267"/>
      <c r="H379" s="267"/>
      <c r="I379" s="267"/>
      <c r="J379" s="267"/>
      <c r="K379" s="267"/>
      <c r="L379" s="267"/>
      <c r="M379" s="267"/>
      <c r="N379" s="268"/>
      <c r="O379" s="268"/>
    </row>
    <row r="380" spans="1:15" ht="18" customHeight="1" x14ac:dyDescent="0.3">
      <c r="A380" s="265">
        <v>21</v>
      </c>
      <c r="B380" s="266" t="s">
        <v>222</v>
      </c>
      <c r="C380" s="267"/>
      <c r="D380" s="267"/>
      <c r="E380" s="267"/>
      <c r="F380" s="267"/>
      <c r="G380" s="267"/>
      <c r="H380" s="267"/>
      <c r="I380" s="267"/>
      <c r="J380" s="267"/>
      <c r="K380" s="267"/>
      <c r="L380" s="267"/>
      <c r="M380" s="267"/>
      <c r="N380" s="268"/>
      <c r="O380" s="268"/>
    </row>
    <row r="381" spans="1:15" ht="18" customHeight="1" x14ac:dyDescent="0.3">
      <c r="A381" s="265">
        <v>22</v>
      </c>
      <c r="B381" s="266" t="s">
        <v>223</v>
      </c>
      <c r="C381" s="267"/>
      <c r="D381" s="267"/>
      <c r="E381" s="267"/>
      <c r="F381" s="267"/>
      <c r="G381" s="267"/>
      <c r="H381" s="267"/>
      <c r="I381" s="267"/>
      <c r="J381" s="267"/>
      <c r="K381" s="267"/>
      <c r="L381" s="267"/>
      <c r="M381" s="267"/>
      <c r="N381" s="268"/>
      <c r="O381" s="268"/>
    </row>
    <row r="382" spans="1:15" ht="18" customHeight="1" x14ac:dyDescent="0.3">
      <c r="A382" s="265">
        <v>23</v>
      </c>
      <c r="B382" s="269" t="s">
        <v>224</v>
      </c>
      <c r="C382" s="267"/>
      <c r="D382" s="267"/>
      <c r="E382" s="267"/>
      <c r="F382" s="267"/>
      <c r="G382" s="267"/>
      <c r="H382" s="267"/>
      <c r="I382" s="267"/>
      <c r="J382" s="267"/>
      <c r="K382" s="267"/>
      <c r="L382" s="267"/>
      <c r="M382" s="267"/>
      <c r="N382" s="268"/>
      <c r="O382" s="268"/>
    </row>
    <row r="383" spans="1:15" ht="18" customHeight="1" x14ac:dyDescent="0.3">
      <c r="A383" s="265">
        <v>24</v>
      </c>
      <c r="B383" s="266" t="s">
        <v>129</v>
      </c>
      <c r="C383" s="267"/>
      <c r="D383" s="267"/>
      <c r="E383" s="267"/>
      <c r="F383" s="267"/>
      <c r="G383" s="267"/>
      <c r="H383" s="267"/>
      <c r="I383" s="267"/>
      <c r="J383" s="267"/>
      <c r="K383" s="267"/>
      <c r="L383" s="267"/>
      <c r="M383" s="267"/>
      <c r="N383" s="268"/>
      <c r="O383" s="268"/>
    </row>
    <row r="384" spans="1:15" ht="18" customHeight="1" x14ac:dyDescent="0.3">
      <c r="A384" s="265">
        <v>25</v>
      </c>
      <c r="B384" s="270"/>
      <c r="C384" s="267"/>
      <c r="D384" s="268"/>
      <c r="E384" s="268"/>
      <c r="F384" s="268"/>
      <c r="G384" s="268"/>
      <c r="H384" s="268"/>
      <c r="I384" s="268"/>
      <c r="J384" s="268"/>
      <c r="K384" s="268"/>
      <c r="L384" s="268"/>
      <c r="M384" s="271"/>
      <c r="N384" s="268"/>
      <c r="O384" s="268"/>
    </row>
    <row r="385" spans="1:15" ht="18" customHeight="1" x14ac:dyDescent="0.3">
      <c r="A385" s="265">
        <v>26</v>
      </c>
      <c r="B385" s="270"/>
      <c r="C385" s="267"/>
      <c r="D385" s="268"/>
      <c r="E385" s="268"/>
      <c r="F385" s="268"/>
      <c r="G385" s="268"/>
      <c r="H385" s="268"/>
      <c r="I385" s="268"/>
      <c r="J385" s="268"/>
      <c r="K385" s="268"/>
      <c r="L385" s="268"/>
      <c r="M385" s="271"/>
      <c r="N385" s="268"/>
      <c r="O385" s="268"/>
    </row>
    <row r="386" spans="1:15" ht="18" customHeight="1" x14ac:dyDescent="0.3">
      <c r="A386" s="265">
        <v>27</v>
      </c>
      <c r="B386" s="270"/>
      <c r="C386" s="267"/>
      <c r="D386" s="268"/>
      <c r="E386" s="268"/>
      <c r="F386" s="268"/>
      <c r="G386" s="268"/>
      <c r="H386" s="268"/>
      <c r="I386" s="268"/>
      <c r="J386" s="268"/>
      <c r="K386" s="268"/>
      <c r="L386" s="268"/>
      <c r="M386" s="271"/>
      <c r="N386" s="268"/>
      <c r="O386" s="268"/>
    </row>
    <row r="387" spans="1:15" ht="18" customHeight="1" x14ac:dyDescent="0.3">
      <c r="A387" s="265">
        <v>28</v>
      </c>
      <c r="B387" s="270"/>
      <c r="C387" s="267"/>
      <c r="D387" s="268"/>
      <c r="E387" s="268"/>
      <c r="F387" s="268"/>
      <c r="G387" s="268"/>
      <c r="H387" s="268"/>
      <c r="I387" s="268"/>
      <c r="J387" s="268"/>
      <c r="K387" s="268"/>
      <c r="L387" s="268"/>
      <c r="M387" s="271"/>
      <c r="N387" s="268"/>
      <c r="O387" s="268"/>
    </row>
    <row r="388" spans="1:15" ht="18" customHeight="1" x14ac:dyDescent="0.3">
      <c r="A388" s="265">
        <v>29</v>
      </c>
      <c r="B388" s="270"/>
      <c r="C388" s="267"/>
      <c r="D388" s="268"/>
      <c r="E388" s="268"/>
      <c r="F388" s="268"/>
      <c r="G388" s="268"/>
      <c r="H388" s="268"/>
      <c r="I388" s="268"/>
      <c r="J388" s="268"/>
      <c r="K388" s="268"/>
      <c r="L388" s="268"/>
      <c r="M388" s="271"/>
      <c r="N388" s="268"/>
      <c r="O388" s="268"/>
    </row>
    <row r="389" spans="1:15" ht="18" customHeight="1" x14ac:dyDescent="0.3">
      <c r="A389" s="265">
        <v>30</v>
      </c>
      <c r="B389" s="268"/>
      <c r="C389" s="267"/>
      <c r="D389" s="268"/>
      <c r="E389" s="268"/>
      <c r="F389" s="268"/>
      <c r="G389" s="268"/>
      <c r="H389" s="268"/>
      <c r="I389" s="268"/>
      <c r="J389" s="268"/>
      <c r="K389" s="268"/>
      <c r="L389" s="268"/>
      <c r="M389" s="271"/>
      <c r="N389" s="268"/>
      <c r="O389" s="268"/>
    </row>
    <row r="390" spans="1:15" ht="18" customHeight="1" x14ac:dyDescent="0.3">
      <c r="A390" s="265">
        <v>31</v>
      </c>
      <c r="B390" s="268"/>
      <c r="C390" s="267"/>
      <c r="D390" s="268"/>
      <c r="E390" s="268"/>
      <c r="F390" s="268"/>
      <c r="G390" s="268"/>
      <c r="H390" s="268"/>
      <c r="I390" s="268"/>
      <c r="J390" s="268"/>
      <c r="K390" s="268"/>
      <c r="L390" s="268"/>
      <c r="M390" s="271"/>
      <c r="N390" s="268"/>
      <c r="O390" s="268"/>
    </row>
    <row r="391" spans="1:15" ht="18" customHeight="1" x14ac:dyDescent="0.3">
      <c r="A391" s="265">
        <v>32</v>
      </c>
      <c r="B391" s="268"/>
      <c r="C391" s="267"/>
      <c r="D391" s="268"/>
      <c r="E391" s="268"/>
      <c r="F391" s="268"/>
      <c r="G391" s="268"/>
      <c r="H391" s="268"/>
      <c r="I391" s="268"/>
      <c r="J391" s="268"/>
      <c r="K391" s="268"/>
      <c r="L391" s="268"/>
      <c r="M391" s="271"/>
      <c r="N391" s="268"/>
      <c r="O391" s="268"/>
    </row>
    <row r="392" spans="1:15" ht="18" customHeight="1" x14ac:dyDescent="0.3">
      <c r="A392" s="265">
        <v>33</v>
      </c>
      <c r="B392" s="268"/>
      <c r="C392" s="267"/>
      <c r="D392" s="268"/>
      <c r="E392" s="268"/>
      <c r="F392" s="268"/>
      <c r="G392" s="268"/>
      <c r="H392" s="268"/>
      <c r="I392" s="268"/>
      <c r="J392" s="268"/>
      <c r="K392" s="268"/>
      <c r="L392" s="268"/>
      <c r="M392" s="271"/>
      <c r="N392" s="268"/>
      <c r="O392" s="268"/>
    </row>
    <row r="393" spans="1:15" ht="18" customHeight="1" x14ac:dyDescent="0.3">
      <c r="A393" s="265">
        <v>34</v>
      </c>
      <c r="B393" s="268"/>
      <c r="C393" s="267"/>
      <c r="D393" s="268"/>
      <c r="E393" s="268"/>
      <c r="F393" s="268"/>
      <c r="G393" s="268"/>
      <c r="H393" s="268"/>
      <c r="I393" s="268"/>
      <c r="J393" s="268"/>
      <c r="K393" s="268"/>
      <c r="L393" s="268"/>
      <c r="M393" s="271"/>
      <c r="N393" s="268"/>
      <c r="O393" s="268"/>
    </row>
    <row r="394" spans="1:15" ht="18" customHeight="1" x14ac:dyDescent="0.3">
      <c r="A394" s="265">
        <v>35</v>
      </c>
      <c r="B394" s="268"/>
      <c r="C394" s="267"/>
      <c r="D394" s="268"/>
      <c r="E394" s="268"/>
      <c r="F394" s="268"/>
      <c r="G394" s="268"/>
      <c r="H394" s="268"/>
      <c r="I394" s="268"/>
      <c r="J394" s="268"/>
      <c r="K394" s="268"/>
      <c r="L394" s="268"/>
      <c r="M394" s="271"/>
      <c r="N394" s="268"/>
      <c r="O394" s="268"/>
    </row>
    <row r="395" spans="1:15" ht="18" customHeight="1" x14ac:dyDescent="0.3">
      <c r="A395" s="267"/>
      <c r="B395" s="272" t="s">
        <v>18</v>
      </c>
      <c r="C395" s="265">
        <f>SUM(C360:C394)</f>
        <v>0</v>
      </c>
      <c r="D395" s="265">
        <f t="shared" ref="D395:N395" si="9">SUM(D360:D394)</f>
        <v>0</v>
      </c>
      <c r="E395" s="265">
        <f t="shared" si="9"/>
        <v>0</v>
      </c>
      <c r="F395" s="265">
        <f t="shared" si="9"/>
        <v>0</v>
      </c>
      <c r="G395" s="265">
        <f t="shared" si="9"/>
        <v>0</v>
      </c>
      <c r="H395" s="265">
        <f t="shared" si="9"/>
        <v>0</v>
      </c>
      <c r="I395" s="265">
        <f t="shared" si="9"/>
        <v>0</v>
      </c>
      <c r="J395" s="265">
        <f t="shared" si="9"/>
        <v>0</v>
      </c>
      <c r="K395" s="265">
        <f t="shared" si="9"/>
        <v>0</v>
      </c>
      <c r="L395" s="265">
        <f t="shared" si="9"/>
        <v>0</v>
      </c>
      <c r="M395" s="265">
        <f t="shared" si="9"/>
        <v>0</v>
      </c>
      <c r="N395" s="265">
        <f t="shared" si="9"/>
        <v>0</v>
      </c>
      <c r="O395" s="268"/>
    </row>
    <row r="396" spans="1:15" ht="14" x14ac:dyDescent="0.3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</row>
    <row r="397" spans="1:15" ht="14" x14ac:dyDescent="0.3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</row>
    <row r="398" spans="1:15" ht="14" x14ac:dyDescent="0.25">
      <c r="A398" s="1015" t="s">
        <v>131</v>
      </c>
      <c r="B398" s="1015"/>
      <c r="C398" s="1015"/>
      <c r="D398" s="1015"/>
      <c r="E398" s="1015"/>
      <c r="F398" s="1015"/>
      <c r="G398" s="1015"/>
      <c r="H398" s="1015"/>
      <c r="I398" s="1015"/>
      <c r="J398" s="1015"/>
      <c r="K398" s="1015"/>
      <c r="L398" s="1015"/>
      <c r="M398" s="1015"/>
      <c r="N398" s="1015"/>
      <c r="O398" s="1015"/>
    </row>
    <row r="399" spans="1:15" ht="14" x14ac:dyDescent="0.3">
      <c r="A399" s="19" t="s">
        <v>225</v>
      </c>
      <c r="B399" s="19"/>
      <c r="C399" s="260" t="str">
        <f>PETUNJUK!C5</f>
        <v>PECANGAAN</v>
      </c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</row>
    <row r="400" spans="1:15" ht="14" x14ac:dyDescent="0.3">
      <c r="A400" s="19" t="s">
        <v>226</v>
      </c>
      <c r="B400" s="19"/>
      <c r="C400" s="261" t="s">
        <v>398</v>
      </c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</row>
    <row r="401" spans="1:15" ht="14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</row>
    <row r="402" spans="1:15" ht="18" customHeight="1" x14ac:dyDescent="0.25">
      <c r="A402" s="1016" t="s">
        <v>1</v>
      </c>
      <c r="B402" s="1016" t="s">
        <v>116</v>
      </c>
      <c r="C402" s="1017" t="s">
        <v>117</v>
      </c>
      <c r="D402" s="1011" t="s">
        <v>214</v>
      </c>
      <c r="E402" s="1011"/>
      <c r="F402" s="1011"/>
      <c r="G402" s="275" t="s">
        <v>204</v>
      </c>
      <c r="H402" s="1011" t="s">
        <v>213</v>
      </c>
      <c r="I402" s="1011"/>
      <c r="J402" s="1012" t="s">
        <v>132</v>
      </c>
      <c r="K402" s="1013"/>
      <c r="L402" s="1013"/>
      <c r="M402" s="1014"/>
      <c r="N402" s="275" t="s">
        <v>205</v>
      </c>
      <c r="O402" s="1011" t="s">
        <v>206</v>
      </c>
    </row>
    <row r="403" spans="1:15" ht="18" customHeight="1" x14ac:dyDescent="0.25">
      <c r="A403" s="1016"/>
      <c r="B403" s="1016"/>
      <c r="C403" s="1017"/>
      <c r="D403" s="265" t="s">
        <v>193</v>
      </c>
      <c r="E403" s="265" t="s">
        <v>192</v>
      </c>
      <c r="F403" s="265" t="s">
        <v>191</v>
      </c>
      <c r="G403" s="276" t="s">
        <v>207</v>
      </c>
      <c r="H403" s="265" t="s">
        <v>208</v>
      </c>
      <c r="I403" s="265" t="s">
        <v>209</v>
      </c>
      <c r="J403" s="265" t="s">
        <v>210</v>
      </c>
      <c r="K403" s="265" t="s">
        <v>211</v>
      </c>
      <c r="L403" s="265" t="s">
        <v>88</v>
      </c>
      <c r="M403" s="265" t="s">
        <v>18</v>
      </c>
      <c r="N403" s="276" t="s">
        <v>212</v>
      </c>
      <c r="O403" s="1011"/>
    </row>
    <row r="404" spans="1:15" ht="18" customHeight="1" x14ac:dyDescent="0.3">
      <c r="A404" s="265">
        <v>1</v>
      </c>
      <c r="B404" s="266" t="s">
        <v>118</v>
      </c>
      <c r="C404" s="267"/>
      <c r="D404" s="267"/>
      <c r="E404" s="267"/>
      <c r="F404" s="267"/>
      <c r="G404" s="267"/>
      <c r="H404" s="267"/>
      <c r="I404" s="267"/>
      <c r="J404" s="267"/>
      <c r="K404" s="267"/>
      <c r="L404" s="267"/>
      <c r="M404" s="267"/>
      <c r="N404" s="267"/>
      <c r="O404" s="268"/>
    </row>
    <row r="405" spans="1:15" ht="18" customHeight="1" x14ac:dyDescent="0.3">
      <c r="A405" s="265">
        <v>2</v>
      </c>
      <c r="B405" s="266" t="s">
        <v>119</v>
      </c>
      <c r="C405" s="267"/>
      <c r="D405" s="267"/>
      <c r="E405" s="267"/>
      <c r="F405" s="267"/>
      <c r="G405" s="267"/>
      <c r="H405" s="267"/>
      <c r="I405" s="267"/>
      <c r="J405" s="267"/>
      <c r="K405" s="267"/>
      <c r="L405" s="267"/>
      <c r="M405" s="267"/>
      <c r="N405" s="267"/>
      <c r="O405" s="268"/>
    </row>
    <row r="406" spans="1:15" ht="18" customHeight="1" x14ac:dyDescent="0.3">
      <c r="A406" s="265">
        <v>3</v>
      </c>
      <c r="B406" s="266" t="s">
        <v>127</v>
      </c>
      <c r="C406" s="267"/>
      <c r="D406" s="267"/>
      <c r="E406" s="267"/>
      <c r="F406" s="267"/>
      <c r="G406" s="267"/>
      <c r="H406" s="267"/>
      <c r="I406" s="267"/>
      <c r="J406" s="267"/>
      <c r="K406" s="267"/>
      <c r="L406" s="267"/>
      <c r="M406" s="267"/>
      <c r="N406" s="267"/>
      <c r="O406" s="268"/>
    </row>
    <row r="407" spans="1:15" ht="18" customHeight="1" x14ac:dyDescent="0.3">
      <c r="A407" s="265">
        <v>4</v>
      </c>
      <c r="B407" s="266" t="s">
        <v>124</v>
      </c>
      <c r="C407" s="267"/>
      <c r="D407" s="267"/>
      <c r="E407" s="267"/>
      <c r="F407" s="267"/>
      <c r="G407" s="267"/>
      <c r="H407" s="267"/>
      <c r="I407" s="267"/>
      <c r="J407" s="267"/>
      <c r="K407" s="267"/>
      <c r="L407" s="267"/>
      <c r="M407" s="267"/>
      <c r="N407" s="267"/>
      <c r="O407" s="268"/>
    </row>
    <row r="408" spans="1:15" ht="18" customHeight="1" x14ac:dyDescent="0.3">
      <c r="A408" s="265">
        <v>5</v>
      </c>
      <c r="B408" s="266" t="s">
        <v>120</v>
      </c>
      <c r="C408" s="267"/>
      <c r="D408" s="267"/>
      <c r="E408" s="267"/>
      <c r="F408" s="267"/>
      <c r="G408" s="267"/>
      <c r="H408" s="267"/>
      <c r="I408" s="267"/>
      <c r="J408" s="267"/>
      <c r="K408" s="267"/>
      <c r="L408" s="267"/>
      <c r="M408" s="267"/>
      <c r="N408" s="267"/>
      <c r="O408" s="268"/>
    </row>
    <row r="409" spans="1:15" ht="18" customHeight="1" x14ac:dyDescent="0.3">
      <c r="A409" s="265">
        <v>6</v>
      </c>
      <c r="B409" s="266" t="s">
        <v>215</v>
      </c>
      <c r="C409" s="267"/>
      <c r="D409" s="267"/>
      <c r="E409" s="267"/>
      <c r="F409" s="267"/>
      <c r="G409" s="267"/>
      <c r="H409" s="267"/>
      <c r="I409" s="267"/>
      <c r="J409" s="267"/>
      <c r="K409" s="267"/>
      <c r="L409" s="267"/>
      <c r="M409" s="267"/>
      <c r="N409" s="267"/>
      <c r="O409" s="268"/>
    </row>
    <row r="410" spans="1:15" ht="18" customHeight="1" x14ac:dyDescent="0.3">
      <c r="A410" s="265">
        <v>7</v>
      </c>
      <c r="B410" s="266" t="s">
        <v>122</v>
      </c>
      <c r="C410" s="267"/>
      <c r="D410" s="267"/>
      <c r="E410" s="267"/>
      <c r="F410" s="267"/>
      <c r="G410" s="267"/>
      <c r="H410" s="267"/>
      <c r="I410" s="267"/>
      <c r="J410" s="267"/>
      <c r="K410" s="267"/>
      <c r="L410" s="267"/>
      <c r="M410" s="267"/>
      <c r="N410" s="267"/>
      <c r="O410" s="268"/>
    </row>
    <row r="411" spans="1:15" ht="18" customHeight="1" x14ac:dyDescent="0.3">
      <c r="A411" s="265">
        <v>8</v>
      </c>
      <c r="B411" s="266" t="s">
        <v>123</v>
      </c>
      <c r="C411" s="267"/>
      <c r="D411" s="267"/>
      <c r="E411" s="267"/>
      <c r="F411" s="267"/>
      <c r="G411" s="267"/>
      <c r="H411" s="267"/>
      <c r="I411" s="267"/>
      <c r="J411" s="267"/>
      <c r="K411" s="267"/>
      <c r="L411" s="267"/>
      <c r="M411" s="267"/>
      <c r="N411" s="267"/>
      <c r="O411" s="268"/>
    </row>
    <row r="412" spans="1:15" ht="18" customHeight="1" x14ac:dyDescent="0.3">
      <c r="A412" s="265">
        <v>9</v>
      </c>
      <c r="B412" s="266" t="s">
        <v>218</v>
      </c>
      <c r="C412" s="267"/>
      <c r="D412" s="267"/>
      <c r="E412" s="267"/>
      <c r="F412" s="267"/>
      <c r="G412" s="267"/>
      <c r="H412" s="267"/>
      <c r="I412" s="267"/>
      <c r="J412" s="267"/>
      <c r="K412" s="267"/>
      <c r="L412" s="267"/>
      <c r="M412" s="267"/>
      <c r="N412" s="267"/>
      <c r="O412" s="268"/>
    </row>
    <row r="413" spans="1:15" ht="18" customHeight="1" x14ac:dyDescent="0.3">
      <c r="A413" s="265">
        <v>10</v>
      </c>
      <c r="B413" s="266" t="s">
        <v>126</v>
      </c>
      <c r="C413" s="267"/>
      <c r="D413" s="267"/>
      <c r="E413" s="267"/>
      <c r="F413" s="267"/>
      <c r="G413" s="267"/>
      <c r="H413" s="267"/>
      <c r="I413" s="267"/>
      <c r="J413" s="267"/>
      <c r="K413" s="267"/>
      <c r="L413" s="267"/>
      <c r="M413" s="267"/>
      <c r="N413" s="267"/>
      <c r="O413" s="268"/>
    </row>
    <row r="414" spans="1:15" ht="18" customHeight="1" x14ac:dyDescent="0.3">
      <c r="A414" s="265">
        <v>11</v>
      </c>
      <c r="B414" s="266" t="s">
        <v>125</v>
      </c>
      <c r="C414" s="267"/>
      <c r="D414" s="267"/>
      <c r="E414" s="267"/>
      <c r="F414" s="267"/>
      <c r="G414" s="267"/>
      <c r="H414" s="267"/>
      <c r="I414" s="267"/>
      <c r="J414" s="267"/>
      <c r="K414" s="267"/>
      <c r="L414" s="267"/>
      <c r="M414" s="267"/>
      <c r="N414" s="267"/>
      <c r="O414" s="268"/>
    </row>
    <row r="415" spans="1:15" ht="18" customHeight="1" x14ac:dyDescent="0.3">
      <c r="A415" s="265">
        <v>12</v>
      </c>
      <c r="B415" s="266" t="s">
        <v>130</v>
      </c>
      <c r="C415" s="267"/>
      <c r="D415" s="267"/>
      <c r="E415" s="267"/>
      <c r="F415" s="267"/>
      <c r="G415" s="267"/>
      <c r="H415" s="267"/>
      <c r="I415" s="267"/>
      <c r="J415" s="267"/>
      <c r="K415" s="267"/>
      <c r="L415" s="267"/>
      <c r="M415" s="267"/>
      <c r="N415" s="267"/>
      <c r="O415" s="268"/>
    </row>
    <row r="416" spans="1:15" ht="18" customHeight="1" x14ac:dyDescent="0.3">
      <c r="A416" s="265">
        <v>13</v>
      </c>
      <c r="B416" s="269" t="s">
        <v>216</v>
      </c>
      <c r="C416" s="267"/>
      <c r="D416" s="267"/>
      <c r="E416" s="267"/>
      <c r="F416" s="267"/>
      <c r="G416" s="267"/>
      <c r="H416" s="267"/>
      <c r="I416" s="267"/>
      <c r="J416" s="267"/>
      <c r="K416" s="267"/>
      <c r="L416" s="267"/>
      <c r="M416" s="267"/>
      <c r="N416" s="267"/>
      <c r="O416" s="268"/>
    </row>
    <row r="417" spans="1:15" ht="18" customHeight="1" x14ac:dyDescent="0.3">
      <c r="A417" s="265">
        <v>14</v>
      </c>
      <c r="B417" s="266" t="s">
        <v>121</v>
      </c>
      <c r="C417" s="267"/>
      <c r="D417" s="267"/>
      <c r="E417" s="267"/>
      <c r="F417" s="267"/>
      <c r="G417" s="267"/>
      <c r="H417" s="267"/>
      <c r="I417" s="267"/>
      <c r="J417" s="267"/>
      <c r="K417" s="267"/>
      <c r="L417" s="267"/>
      <c r="M417" s="267"/>
      <c r="N417" s="267"/>
      <c r="O417" s="268"/>
    </row>
    <row r="418" spans="1:15" ht="18" customHeight="1" x14ac:dyDescent="0.3">
      <c r="A418" s="265">
        <v>15</v>
      </c>
      <c r="B418" s="266" t="s">
        <v>45</v>
      </c>
      <c r="C418" s="267"/>
      <c r="D418" s="267"/>
      <c r="E418" s="267"/>
      <c r="F418" s="267"/>
      <c r="G418" s="267"/>
      <c r="H418" s="267"/>
      <c r="I418" s="267"/>
      <c r="J418" s="267"/>
      <c r="K418" s="267"/>
      <c r="L418" s="267"/>
      <c r="M418" s="267"/>
      <c r="N418" s="267"/>
      <c r="O418" s="268"/>
    </row>
    <row r="419" spans="1:15" ht="18" customHeight="1" x14ac:dyDescent="0.3">
      <c r="A419" s="265">
        <v>16</v>
      </c>
      <c r="B419" s="269" t="s">
        <v>217</v>
      </c>
      <c r="C419" s="267"/>
      <c r="D419" s="267"/>
      <c r="E419" s="267"/>
      <c r="F419" s="267"/>
      <c r="G419" s="267"/>
      <c r="H419" s="267"/>
      <c r="I419" s="267"/>
      <c r="J419" s="267"/>
      <c r="K419" s="267"/>
      <c r="L419" s="267"/>
      <c r="M419" s="267"/>
      <c r="N419" s="267"/>
      <c r="O419" s="268"/>
    </row>
    <row r="420" spans="1:15" ht="18" customHeight="1" x14ac:dyDescent="0.3">
      <c r="A420" s="265">
        <v>17</v>
      </c>
      <c r="B420" s="266" t="s">
        <v>219</v>
      </c>
      <c r="C420" s="267"/>
      <c r="D420" s="267"/>
      <c r="E420" s="267"/>
      <c r="F420" s="267"/>
      <c r="G420" s="267"/>
      <c r="H420" s="267"/>
      <c r="I420" s="267"/>
      <c r="J420" s="267"/>
      <c r="K420" s="267"/>
      <c r="L420" s="267"/>
      <c r="M420" s="267"/>
      <c r="N420" s="267"/>
      <c r="O420" s="268"/>
    </row>
    <row r="421" spans="1:15" ht="18" customHeight="1" x14ac:dyDescent="0.3">
      <c r="A421" s="265">
        <v>18</v>
      </c>
      <c r="B421" s="266" t="s">
        <v>128</v>
      </c>
      <c r="C421" s="267"/>
      <c r="D421" s="267"/>
      <c r="E421" s="267"/>
      <c r="F421" s="267"/>
      <c r="G421" s="267"/>
      <c r="H421" s="267"/>
      <c r="I421" s="267"/>
      <c r="J421" s="267"/>
      <c r="K421" s="267"/>
      <c r="L421" s="267"/>
      <c r="M421" s="267"/>
      <c r="N421" s="267"/>
      <c r="O421" s="268"/>
    </row>
    <row r="422" spans="1:15" ht="18" customHeight="1" x14ac:dyDescent="0.3">
      <c r="A422" s="265">
        <v>19</v>
      </c>
      <c r="B422" s="266" t="s">
        <v>221</v>
      </c>
      <c r="C422" s="267"/>
      <c r="D422" s="267"/>
      <c r="E422" s="267"/>
      <c r="F422" s="267"/>
      <c r="G422" s="267"/>
      <c r="H422" s="267"/>
      <c r="I422" s="267"/>
      <c r="J422" s="267"/>
      <c r="K422" s="267"/>
      <c r="L422" s="267"/>
      <c r="M422" s="267"/>
      <c r="N422" s="267"/>
      <c r="O422" s="268"/>
    </row>
    <row r="423" spans="1:15" ht="18" customHeight="1" x14ac:dyDescent="0.3">
      <c r="A423" s="265">
        <v>20</v>
      </c>
      <c r="B423" s="266" t="s">
        <v>220</v>
      </c>
      <c r="C423" s="267"/>
      <c r="D423" s="267"/>
      <c r="E423" s="267"/>
      <c r="F423" s="267"/>
      <c r="G423" s="267"/>
      <c r="H423" s="267"/>
      <c r="I423" s="267"/>
      <c r="J423" s="267"/>
      <c r="K423" s="267"/>
      <c r="L423" s="267"/>
      <c r="M423" s="267"/>
      <c r="N423" s="267"/>
      <c r="O423" s="268"/>
    </row>
    <row r="424" spans="1:15" ht="18" customHeight="1" x14ac:dyDescent="0.3">
      <c r="A424" s="265">
        <v>21</v>
      </c>
      <c r="B424" s="266" t="s">
        <v>222</v>
      </c>
      <c r="C424" s="267"/>
      <c r="D424" s="267"/>
      <c r="E424" s="267"/>
      <c r="F424" s="267"/>
      <c r="G424" s="267"/>
      <c r="H424" s="267"/>
      <c r="I424" s="267"/>
      <c r="J424" s="267"/>
      <c r="K424" s="267"/>
      <c r="L424" s="267"/>
      <c r="M424" s="267"/>
      <c r="N424" s="267"/>
      <c r="O424" s="268"/>
    </row>
    <row r="425" spans="1:15" ht="18" customHeight="1" x14ac:dyDescent="0.3">
      <c r="A425" s="265">
        <v>22</v>
      </c>
      <c r="B425" s="266" t="s">
        <v>223</v>
      </c>
      <c r="C425" s="267"/>
      <c r="D425" s="267"/>
      <c r="E425" s="267"/>
      <c r="F425" s="267"/>
      <c r="G425" s="267"/>
      <c r="H425" s="267"/>
      <c r="I425" s="267"/>
      <c r="J425" s="267"/>
      <c r="K425" s="267"/>
      <c r="L425" s="267"/>
      <c r="M425" s="267"/>
      <c r="N425" s="267"/>
      <c r="O425" s="268"/>
    </row>
    <row r="426" spans="1:15" ht="18" customHeight="1" x14ac:dyDescent="0.3">
      <c r="A426" s="265">
        <v>23</v>
      </c>
      <c r="B426" s="269" t="s">
        <v>224</v>
      </c>
      <c r="C426" s="267"/>
      <c r="D426" s="267"/>
      <c r="E426" s="267"/>
      <c r="F426" s="267"/>
      <c r="G426" s="267"/>
      <c r="H426" s="267"/>
      <c r="I426" s="267"/>
      <c r="J426" s="267"/>
      <c r="K426" s="267"/>
      <c r="L426" s="267"/>
      <c r="M426" s="267"/>
      <c r="N426" s="267"/>
      <c r="O426" s="268"/>
    </row>
    <row r="427" spans="1:15" ht="18" customHeight="1" x14ac:dyDescent="0.3">
      <c r="A427" s="265">
        <v>24</v>
      </c>
      <c r="B427" s="266" t="s">
        <v>129</v>
      </c>
      <c r="C427" s="267"/>
      <c r="D427" s="267"/>
      <c r="E427" s="267"/>
      <c r="F427" s="267"/>
      <c r="G427" s="267"/>
      <c r="H427" s="267"/>
      <c r="I427" s="267"/>
      <c r="J427" s="267"/>
      <c r="K427" s="267"/>
      <c r="L427" s="267"/>
      <c r="M427" s="267"/>
      <c r="N427" s="267"/>
      <c r="O427" s="268"/>
    </row>
    <row r="428" spans="1:15" ht="18" customHeight="1" x14ac:dyDescent="0.3">
      <c r="A428" s="265">
        <v>25</v>
      </c>
      <c r="B428" s="270"/>
      <c r="C428" s="267"/>
      <c r="D428" s="268"/>
      <c r="E428" s="268"/>
      <c r="F428" s="268"/>
      <c r="G428" s="268"/>
      <c r="H428" s="268"/>
      <c r="I428" s="268"/>
      <c r="J428" s="268"/>
      <c r="K428" s="268"/>
      <c r="L428" s="268"/>
      <c r="M428" s="271"/>
      <c r="N428" s="268"/>
      <c r="O428" s="268"/>
    </row>
    <row r="429" spans="1:15" ht="18" customHeight="1" x14ac:dyDescent="0.3">
      <c r="A429" s="265">
        <v>26</v>
      </c>
      <c r="B429" s="270"/>
      <c r="C429" s="267"/>
      <c r="D429" s="268"/>
      <c r="E429" s="268"/>
      <c r="F429" s="268"/>
      <c r="G429" s="268"/>
      <c r="H429" s="268"/>
      <c r="I429" s="268"/>
      <c r="J429" s="268"/>
      <c r="K429" s="268"/>
      <c r="L429" s="268"/>
      <c r="M429" s="271"/>
      <c r="N429" s="268"/>
      <c r="O429" s="268"/>
    </row>
    <row r="430" spans="1:15" ht="18" customHeight="1" x14ac:dyDescent="0.3">
      <c r="A430" s="265">
        <v>27</v>
      </c>
      <c r="B430" s="270"/>
      <c r="C430" s="267"/>
      <c r="D430" s="268"/>
      <c r="E430" s="268"/>
      <c r="F430" s="268"/>
      <c r="G430" s="268"/>
      <c r="H430" s="268"/>
      <c r="I430" s="268"/>
      <c r="J430" s="268"/>
      <c r="K430" s="268"/>
      <c r="L430" s="268"/>
      <c r="M430" s="271"/>
      <c r="N430" s="268"/>
      <c r="O430" s="268"/>
    </row>
    <row r="431" spans="1:15" ht="18" customHeight="1" x14ac:dyDescent="0.3">
      <c r="A431" s="265">
        <v>28</v>
      </c>
      <c r="B431" s="270"/>
      <c r="C431" s="267"/>
      <c r="D431" s="268"/>
      <c r="E431" s="268"/>
      <c r="F431" s="268"/>
      <c r="G431" s="268"/>
      <c r="H431" s="268"/>
      <c r="I431" s="268"/>
      <c r="J431" s="268"/>
      <c r="K431" s="268"/>
      <c r="L431" s="268"/>
      <c r="M431" s="271"/>
      <c r="N431" s="268"/>
      <c r="O431" s="268"/>
    </row>
    <row r="432" spans="1:15" ht="18" customHeight="1" x14ac:dyDescent="0.3">
      <c r="A432" s="265">
        <v>29</v>
      </c>
      <c r="B432" s="270"/>
      <c r="C432" s="267"/>
      <c r="D432" s="268"/>
      <c r="E432" s="268"/>
      <c r="F432" s="268"/>
      <c r="G432" s="268"/>
      <c r="H432" s="268"/>
      <c r="I432" s="268"/>
      <c r="J432" s="268"/>
      <c r="K432" s="268"/>
      <c r="L432" s="268"/>
      <c r="M432" s="271"/>
      <c r="N432" s="268"/>
      <c r="O432" s="268"/>
    </row>
    <row r="433" spans="1:15" ht="18" customHeight="1" x14ac:dyDescent="0.3">
      <c r="A433" s="265">
        <v>30</v>
      </c>
      <c r="B433" s="268"/>
      <c r="C433" s="267"/>
      <c r="D433" s="268"/>
      <c r="E433" s="268"/>
      <c r="F433" s="268"/>
      <c r="G433" s="268"/>
      <c r="H433" s="268"/>
      <c r="I433" s="268"/>
      <c r="J433" s="268"/>
      <c r="K433" s="268"/>
      <c r="L433" s="268"/>
      <c r="M433" s="271"/>
      <c r="N433" s="268"/>
      <c r="O433" s="268"/>
    </row>
    <row r="434" spans="1:15" ht="18" customHeight="1" x14ac:dyDescent="0.3">
      <c r="A434" s="265">
        <v>31</v>
      </c>
      <c r="B434" s="268"/>
      <c r="C434" s="267"/>
      <c r="D434" s="268"/>
      <c r="E434" s="268"/>
      <c r="F434" s="268"/>
      <c r="G434" s="268"/>
      <c r="H434" s="268"/>
      <c r="I434" s="268"/>
      <c r="J434" s="268"/>
      <c r="K434" s="268"/>
      <c r="L434" s="268"/>
      <c r="M434" s="271"/>
      <c r="N434" s="268"/>
      <c r="O434" s="268"/>
    </row>
    <row r="435" spans="1:15" ht="18" customHeight="1" x14ac:dyDescent="0.3">
      <c r="A435" s="265">
        <v>32</v>
      </c>
      <c r="B435" s="268"/>
      <c r="C435" s="267"/>
      <c r="D435" s="268"/>
      <c r="E435" s="268"/>
      <c r="F435" s="268"/>
      <c r="G435" s="268"/>
      <c r="H435" s="268"/>
      <c r="I435" s="268"/>
      <c r="J435" s="268"/>
      <c r="K435" s="268"/>
      <c r="L435" s="268"/>
      <c r="M435" s="271"/>
      <c r="N435" s="268"/>
      <c r="O435" s="268"/>
    </row>
    <row r="436" spans="1:15" ht="18" customHeight="1" x14ac:dyDescent="0.3">
      <c r="A436" s="265">
        <v>33</v>
      </c>
      <c r="B436" s="268"/>
      <c r="C436" s="267"/>
      <c r="D436" s="268"/>
      <c r="E436" s="268"/>
      <c r="F436" s="268"/>
      <c r="G436" s="268"/>
      <c r="H436" s="268"/>
      <c r="I436" s="268"/>
      <c r="J436" s="268"/>
      <c r="K436" s="268"/>
      <c r="L436" s="268"/>
      <c r="M436" s="271"/>
      <c r="N436" s="268"/>
      <c r="O436" s="268"/>
    </row>
    <row r="437" spans="1:15" ht="18" customHeight="1" x14ac:dyDescent="0.3">
      <c r="A437" s="265">
        <v>34</v>
      </c>
      <c r="B437" s="268"/>
      <c r="C437" s="267"/>
      <c r="D437" s="268"/>
      <c r="E437" s="268"/>
      <c r="F437" s="268"/>
      <c r="G437" s="268"/>
      <c r="H437" s="268"/>
      <c r="I437" s="268"/>
      <c r="J437" s="268"/>
      <c r="K437" s="268"/>
      <c r="L437" s="268"/>
      <c r="M437" s="271"/>
      <c r="N437" s="268"/>
      <c r="O437" s="268"/>
    </row>
    <row r="438" spans="1:15" ht="18" customHeight="1" x14ac:dyDescent="0.3">
      <c r="A438" s="265">
        <v>35</v>
      </c>
      <c r="B438" s="268"/>
      <c r="C438" s="267"/>
      <c r="D438" s="268"/>
      <c r="E438" s="268"/>
      <c r="F438" s="268"/>
      <c r="G438" s="268"/>
      <c r="H438" s="268"/>
      <c r="I438" s="268"/>
      <c r="J438" s="268"/>
      <c r="K438" s="268"/>
      <c r="L438" s="268"/>
      <c r="M438" s="271"/>
      <c r="N438" s="268"/>
      <c r="O438" s="268"/>
    </row>
    <row r="439" spans="1:15" ht="18" customHeight="1" x14ac:dyDescent="0.3">
      <c r="A439" s="267"/>
      <c r="B439" s="277" t="s">
        <v>18</v>
      </c>
      <c r="C439" s="265">
        <f>SUM(C404:C438)</f>
        <v>0</v>
      </c>
      <c r="D439" s="265">
        <f t="shared" ref="D439:N439" si="10">SUM(D404:D438)</f>
        <v>0</v>
      </c>
      <c r="E439" s="265">
        <f t="shared" si="10"/>
        <v>0</v>
      </c>
      <c r="F439" s="265">
        <f t="shared" si="10"/>
        <v>0</v>
      </c>
      <c r="G439" s="265">
        <f t="shared" si="10"/>
        <v>0</v>
      </c>
      <c r="H439" s="265">
        <f t="shared" si="10"/>
        <v>0</v>
      </c>
      <c r="I439" s="265">
        <f t="shared" si="10"/>
        <v>0</v>
      </c>
      <c r="J439" s="265">
        <f t="shared" si="10"/>
        <v>0</v>
      </c>
      <c r="K439" s="265">
        <f t="shared" si="10"/>
        <v>0</v>
      </c>
      <c r="L439" s="265">
        <f t="shared" si="10"/>
        <v>0</v>
      </c>
      <c r="M439" s="265">
        <f t="shared" si="10"/>
        <v>0</v>
      </c>
      <c r="N439" s="265">
        <f t="shared" si="10"/>
        <v>0</v>
      </c>
      <c r="O439" s="268"/>
    </row>
    <row r="440" spans="1:15" ht="14" x14ac:dyDescent="0.3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</row>
    <row r="441" spans="1:15" ht="14" x14ac:dyDescent="0.3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</row>
    <row r="442" spans="1:15" ht="14" x14ac:dyDescent="0.25">
      <c r="A442" s="1015" t="s">
        <v>131</v>
      </c>
      <c r="B442" s="1015"/>
      <c r="C442" s="1015"/>
      <c r="D442" s="1015"/>
      <c r="E442" s="1015"/>
      <c r="F442" s="1015"/>
      <c r="G442" s="1015"/>
      <c r="H442" s="1015"/>
      <c r="I442" s="1015"/>
      <c r="J442" s="1015"/>
      <c r="K442" s="1015"/>
      <c r="L442" s="1015"/>
      <c r="M442" s="1015"/>
      <c r="N442" s="1015"/>
      <c r="O442" s="1015"/>
    </row>
    <row r="443" spans="1:15" ht="14" x14ac:dyDescent="0.3">
      <c r="A443" s="19" t="s">
        <v>225</v>
      </c>
      <c r="B443" s="19"/>
      <c r="C443" s="260" t="str">
        <f>PETUNJUK!C5</f>
        <v>PECANGAAN</v>
      </c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</row>
    <row r="444" spans="1:15" ht="14" x14ac:dyDescent="0.3">
      <c r="A444" s="19" t="s">
        <v>226</v>
      </c>
      <c r="B444" s="19"/>
      <c r="C444" s="261" t="s">
        <v>399</v>
      </c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</row>
    <row r="445" spans="1:15" ht="14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</row>
    <row r="446" spans="1:15" ht="18" customHeight="1" x14ac:dyDescent="0.25">
      <c r="A446" s="1016" t="s">
        <v>1</v>
      </c>
      <c r="B446" s="1016" t="s">
        <v>116</v>
      </c>
      <c r="C446" s="1017" t="s">
        <v>117</v>
      </c>
      <c r="D446" s="1011" t="s">
        <v>214</v>
      </c>
      <c r="E446" s="1011"/>
      <c r="F446" s="1011"/>
      <c r="G446" s="275" t="s">
        <v>204</v>
      </c>
      <c r="H446" s="1011" t="s">
        <v>213</v>
      </c>
      <c r="I446" s="1011"/>
      <c r="J446" s="1012" t="s">
        <v>132</v>
      </c>
      <c r="K446" s="1013"/>
      <c r="L446" s="1013"/>
      <c r="M446" s="1014"/>
      <c r="N446" s="275" t="s">
        <v>205</v>
      </c>
      <c r="O446" s="1011" t="s">
        <v>206</v>
      </c>
    </row>
    <row r="447" spans="1:15" ht="18" customHeight="1" x14ac:dyDescent="0.25">
      <c r="A447" s="1016"/>
      <c r="B447" s="1016"/>
      <c r="C447" s="1017"/>
      <c r="D447" s="265" t="s">
        <v>193</v>
      </c>
      <c r="E447" s="265" t="s">
        <v>192</v>
      </c>
      <c r="F447" s="265" t="s">
        <v>191</v>
      </c>
      <c r="G447" s="276" t="s">
        <v>207</v>
      </c>
      <c r="H447" s="265" t="s">
        <v>208</v>
      </c>
      <c r="I447" s="265" t="s">
        <v>209</v>
      </c>
      <c r="J447" s="265" t="s">
        <v>210</v>
      </c>
      <c r="K447" s="265" t="s">
        <v>211</v>
      </c>
      <c r="L447" s="265" t="s">
        <v>88</v>
      </c>
      <c r="M447" s="265" t="s">
        <v>18</v>
      </c>
      <c r="N447" s="276" t="s">
        <v>212</v>
      </c>
      <c r="O447" s="1011"/>
    </row>
    <row r="448" spans="1:15" ht="18" customHeight="1" x14ac:dyDescent="0.3">
      <c r="A448" s="265">
        <v>1</v>
      </c>
      <c r="B448" s="266" t="s">
        <v>118</v>
      </c>
      <c r="C448" s="267"/>
      <c r="D448" s="267"/>
      <c r="E448" s="267"/>
      <c r="F448" s="267"/>
      <c r="G448" s="267"/>
      <c r="H448" s="267"/>
      <c r="I448" s="267"/>
      <c r="J448" s="267"/>
      <c r="K448" s="267"/>
      <c r="L448" s="267"/>
      <c r="M448" s="267"/>
      <c r="N448" s="267"/>
      <c r="O448" s="268"/>
    </row>
    <row r="449" spans="1:15" ht="18" customHeight="1" x14ac:dyDescent="0.3">
      <c r="A449" s="265">
        <v>2</v>
      </c>
      <c r="B449" s="266" t="s">
        <v>119</v>
      </c>
      <c r="C449" s="267"/>
      <c r="D449" s="267"/>
      <c r="E449" s="267"/>
      <c r="F449" s="267"/>
      <c r="G449" s="267"/>
      <c r="H449" s="267"/>
      <c r="I449" s="267"/>
      <c r="J449" s="267"/>
      <c r="K449" s="267"/>
      <c r="L449" s="267"/>
      <c r="M449" s="267"/>
      <c r="N449" s="267"/>
      <c r="O449" s="268"/>
    </row>
    <row r="450" spans="1:15" ht="18" customHeight="1" x14ac:dyDescent="0.3">
      <c r="A450" s="265">
        <v>3</v>
      </c>
      <c r="B450" s="266" t="s">
        <v>127</v>
      </c>
      <c r="C450" s="267"/>
      <c r="D450" s="267"/>
      <c r="E450" s="267"/>
      <c r="F450" s="267"/>
      <c r="G450" s="267"/>
      <c r="H450" s="267"/>
      <c r="I450" s="267"/>
      <c r="J450" s="267"/>
      <c r="K450" s="267"/>
      <c r="L450" s="267"/>
      <c r="M450" s="267"/>
      <c r="N450" s="267"/>
      <c r="O450" s="268"/>
    </row>
    <row r="451" spans="1:15" ht="18" customHeight="1" x14ac:dyDescent="0.3">
      <c r="A451" s="265">
        <v>4</v>
      </c>
      <c r="B451" s="266" t="s">
        <v>124</v>
      </c>
      <c r="C451" s="267"/>
      <c r="D451" s="267"/>
      <c r="E451" s="267"/>
      <c r="F451" s="267"/>
      <c r="G451" s="267"/>
      <c r="H451" s="267"/>
      <c r="I451" s="267"/>
      <c r="J451" s="267"/>
      <c r="K451" s="267"/>
      <c r="L451" s="267"/>
      <c r="M451" s="267"/>
      <c r="N451" s="267"/>
      <c r="O451" s="268"/>
    </row>
    <row r="452" spans="1:15" ht="18" customHeight="1" x14ac:dyDescent="0.3">
      <c r="A452" s="265">
        <v>5</v>
      </c>
      <c r="B452" s="266" t="s">
        <v>120</v>
      </c>
      <c r="C452" s="267"/>
      <c r="D452" s="267"/>
      <c r="E452" s="267"/>
      <c r="F452" s="267"/>
      <c r="G452" s="267"/>
      <c r="H452" s="267"/>
      <c r="I452" s="267"/>
      <c r="J452" s="267"/>
      <c r="K452" s="267"/>
      <c r="L452" s="267"/>
      <c r="M452" s="267"/>
      <c r="N452" s="267"/>
      <c r="O452" s="268"/>
    </row>
    <row r="453" spans="1:15" ht="18" customHeight="1" x14ac:dyDescent="0.3">
      <c r="A453" s="265">
        <v>6</v>
      </c>
      <c r="B453" s="266" t="s">
        <v>215</v>
      </c>
      <c r="C453" s="267"/>
      <c r="D453" s="267"/>
      <c r="E453" s="267"/>
      <c r="F453" s="267"/>
      <c r="G453" s="267"/>
      <c r="H453" s="267"/>
      <c r="I453" s="267"/>
      <c r="J453" s="267"/>
      <c r="K453" s="267"/>
      <c r="L453" s="267"/>
      <c r="M453" s="267"/>
      <c r="N453" s="267"/>
      <c r="O453" s="268"/>
    </row>
    <row r="454" spans="1:15" ht="18" customHeight="1" x14ac:dyDescent="0.3">
      <c r="A454" s="265">
        <v>7</v>
      </c>
      <c r="B454" s="266" t="s">
        <v>122</v>
      </c>
      <c r="C454" s="267"/>
      <c r="D454" s="267"/>
      <c r="E454" s="267"/>
      <c r="F454" s="267"/>
      <c r="G454" s="267"/>
      <c r="H454" s="267"/>
      <c r="I454" s="267"/>
      <c r="J454" s="267"/>
      <c r="K454" s="267"/>
      <c r="L454" s="267"/>
      <c r="M454" s="267"/>
      <c r="N454" s="267"/>
      <c r="O454" s="268"/>
    </row>
    <row r="455" spans="1:15" ht="18" customHeight="1" x14ac:dyDescent="0.3">
      <c r="A455" s="265">
        <v>8</v>
      </c>
      <c r="B455" s="266" t="s">
        <v>123</v>
      </c>
      <c r="C455" s="267"/>
      <c r="D455" s="267"/>
      <c r="E455" s="267"/>
      <c r="F455" s="267"/>
      <c r="G455" s="267"/>
      <c r="H455" s="267"/>
      <c r="I455" s="267"/>
      <c r="J455" s="267"/>
      <c r="K455" s="267"/>
      <c r="L455" s="267"/>
      <c r="M455" s="267"/>
      <c r="N455" s="267"/>
      <c r="O455" s="268"/>
    </row>
    <row r="456" spans="1:15" ht="18" customHeight="1" x14ac:dyDescent="0.3">
      <c r="A456" s="265">
        <v>9</v>
      </c>
      <c r="B456" s="266" t="s">
        <v>218</v>
      </c>
      <c r="C456" s="267"/>
      <c r="D456" s="267"/>
      <c r="E456" s="267"/>
      <c r="F456" s="267"/>
      <c r="G456" s="267"/>
      <c r="H456" s="267"/>
      <c r="I456" s="267"/>
      <c r="J456" s="267"/>
      <c r="K456" s="267"/>
      <c r="L456" s="267"/>
      <c r="M456" s="267"/>
      <c r="N456" s="267"/>
      <c r="O456" s="268"/>
    </row>
    <row r="457" spans="1:15" ht="18" customHeight="1" x14ac:dyDescent="0.3">
      <c r="A457" s="265">
        <v>10</v>
      </c>
      <c r="B457" s="266" t="s">
        <v>126</v>
      </c>
      <c r="C457" s="267"/>
      <c r="D457" s="267"/>
      <c r="E457" s="267"/>
      <c r="F457" s="267"/>
      <c r="G457" s="267"/>
      <c r="H457" s="267"/>
      <c r="I457" s="267"/>
      <c r="J457" s="267"/>
      <c r="K457" s="267"/>
      <c r="L457" s="267"/>
      <c r="M457" s="267"/>
      <c r="N457" s="267"/>
      <c r="O457" s="268"/>
    </row>
    <row r="458" spans="1:15" ht="18" customHeight="1" x14ac:dyDescent="0.3">
      <c r="A458" s="265">
        <v>11</v>
      </c>
      <c r="B458" s="266" t="s">
        <v>125</v>
      </c>
      <c r="C458" s="267"/>
      <c r="D458" s="267"/>
      <c r="E458" s="267"/>
      <c r="F458" s="267"/>
      <c r="G458" s="267"/>
      <c r="H458" s="267"/>
      <c r="I458" s="267"/>
      <c r="J458" s="267"/>
      <c r="K458" s="267"/>
      <c r="L458" s="267"/>
      <c r="M458" s="267"/>
      <c r="N458" s="267"/>
      <c r="O458" s="268"/>
    </row>
    <row r="459" spans="1:15" ht="18" customHeight="1" x14ac:dyDescent="0.3">
      <c r="A459" s="265">
        <v>12</v>
      </c>
      <c r="B459" s="266" t="s">
        <v>130</v>
      </c>
      <c r="C459" s="267"/>
      <c r="D459" s="267"/>
      <c r="E459" s="267"/>
      <c r="F459" s="267"/>
      <c r="G459" s="267"/>
      <c r="H459" s="267"/>
      <c r="I459" s="267"/>
      <c r="J459" s="267"/>
      <c r="K459" s="267"/>
      <c r="L459" s="267"/>
      <c r="M459" s="267"/>
      <c r="N459" s="267"/>
      <c r="O459" s="268"/>
    </row>
    <row r="460" spans="1:15" ht="18" customHeight="1" x14ac:dyDescent="0.3">
      <c r="A460" s="265">
        <v>13</v>
      </c>
      <c r="B460" s="269" t="s">
        <v>216</v>
      </c>
      <c r="C460" s="267"/>
      <c r="D460" s="267"/>
      <c r="E460" s="267"/>
      <c r="F460" s="267"/>
      <c r="G460" s="267"/>
      <c r="H460" s="267"/>
      <c r="I460" s="267"/>
      <c r="J460" s="267"/>
      <c r="K460" s="267"/>
      <c r="L460" s="267"/>
      <c r="M460" s="267"/>
      <c r="N460" s="267"/>
      <c r="O460" s="268"/>
    </row>
    <row r="461" spans="1:15" ht="18" customHeight="1" x14ac:dyDescent="0.3">
      <c r="A461" s="265">
        <v>14</v>
      </c>
      <c r="B461" s="266" t="s">
        <v>121</v>
      </c>
      <c r="C461" s="267"/>
      <c r="D461" s="267"/>
      <c r="E461" s="267"/>
      <c r="F461" s="267"/>
      <c r="G461" s="267"/>
      <c r="H461" s="267"/>
      <c r="I461" s="267"/>
      <c r="J461" s="267"/>
      <c r="K461" s="267"/>
      <c r="L461" s="267"/>
      <c r="M461" s="267"/>
      <c r="N461" s="267"/>
      <c r="O461" s="268"/>
    </row>
    <row r="462" spans="1:15" ht="18" customHeight="1" x14ac:dyDescent="0.3">
      <c r="A462" s="265">
        <v>15</v>
      </c>
      <c r="B462" s="266" t="s">
        <v>45</v>
      </c>
      <c r="C462" s="267"/>
      <c r="D462" s="267"/>
      <c r="E462" s="267"/>
      <c r="F462" s="267"/>
      <c r="G462" s="267"/>
      <c r="H462" s="267"/>
      <c r="I462" s="267"/>
      <c r="J462" s="267"/>
      <c r="K462" s="267"/>
      <c r="L462" s="267"/>
      <c r="M462" s="267"/>
      <c r="N462" s="267"/>
      <c r="O462" s="268"/>
    </row>
    <row r="463" spans="1:15" ht="18" customHeight="1" x14ac:dyDescent="0.3">
      <c r="A463" s="265">
        <v>16</v>
      </c>
      <c r="B463" s="269" t="s">
        <v>217</v>
      </c>
      <c r="C463" s="267"/>
      <c r="D463" s="267"/>
      <c r="E463" s="267"/>
      <c r="F463" s="267"/>
      <c r="G463" s="267"/>
      <c r="H463" s="267"/>
      <c r="I463" s="267"/>
      <c r="J463" s="267"/>
      <c r="K463" s="267"/>
      <c r="L463" s="267"/>
      <c r="M463" s="267"/>
      <c r="N463" s="267"/>
      <c r="O463" s="268"/>
    </row>
    <row r="464" spans="1:15" ht="18" customHeight="1" x14ac:dyDescent="0.3">
      <c r="A464" s="265">
        <v>17</v>
      </c>
      <c r="B464" s="266" t="s">
        <v>219</v>
      </c>
      <c r="C464" s="267"/>
      <c r="D464" s="267"/>
      <c r="E464" s="267"/>
      <c r="F464" s="267"/>
      <c r="G464" s="267"/>
      <c r="H464" s="267"/>
      <c r="I464" s="267"/>
      <c r="J464" s="267"/>
      <c r="K464" s="267"/>
      <c r="L464" s="267"/>
      <c r="M464" s="267"/>
      <c r="N464" s="267"/>
      <c r="O464" s="268"/>
    </row>
    <row r="465" spans="1:15" ht="18" customHeight="1" x14ac:dyDescent="0.3">
      <c r="A465" s="265">
        <v>18</v>
      </c>
      <c r="B465" s="266" t="s">
        <v>128</v>
      </c>
      <c r="C465" s="267"/>
      <c r="D465" s="267"/>
      <c r="E465" s="267"/>
      <c r="F465" s="267"/>
      <c r="G465" s="267"/>
      <c r="H465" s="267"/>
      <c r="I465" s="267"/>
      <c r="J465" s="267"/>
      <c r="K465" s="267"/>
      <c r="L465" s="267"/>
      <c r="M465" s="267"/>
      <c r="N465" s="267"/>
      <c r="O465" s="268"/>
    </row>
    <row r="466" spans="1:15" ht="18" customHeight="1" x14ac:dyDescent="0.3">
      <c r="A466" s="265">
        <v>19</v>
      </c>
      <c r="B466" s="266" t="s">
        <v>221</v>
      </c>
      <c r="C466" s="267"/>
      <c r="D466" s="267"/>
      <c r="E466" s="267"/>
      <c r="F466" s="267"/>
      <c r="G466" s="267"/>
      <c r="H466" s="267"/>
      <c r="I466" s="267"/>
      <c r="J466" s="267"/>
      <c r="K466" s="267"/>
      <c r="L466" s="267"/>
      <c r="M466" s="267"/>
      <c r="N466" s="267"/>
      <c r="O466" s="268"/>
    </row>
    <row r="467" spans="1:15" ht="18" customHeight="1" x14ac:dyDescent="0.3">
      <c r="A467" s="265">
        <v>20</v>
      </c>
      <c r="B467" s="266" t="s">
        <v>220</v>
      </c>
      <c r="C467" s="267"/>
      <c r="D467" s="267"/>
      <c r="E467" s="267"/>
      <c r="F467" s="267"/>
      <c r="G467" s="267"/>
      <c r="H467" s="267"/>
      <c r="I467" s="267"/>
      <c r="J467" s="267"/>
      <c r="K467" s="267"/>
      <c r="L467" s="267"/>
      <c r="M467" s="267"/>
      <c r="N467" s="267"/>
      <c r="O467" s="268"/>
    </row>
    <row r="468" spans="1:15" ht="18" customHeight="1" x14ac:dyDescent="0.3">
      <c r="A468" s="265">
        <v>21</v>
      </c>
      <c r="B468" s="266" t="s">
        <v>222</v>
      </c>
      <c r="C468" s="267"/>
      <c r="D468" s="267"/>
      <c r="E468" s="267"/>
      <c r="F468" s="267"/>
      <c r="G468" s="267"/>
      <c r="H468" s="267"/>
      <c r="I468" s="267"/>
      <c r="J468" s="267"/>
      <c r="K468" s="267"/>
      <c r="L468" s="267"/>
      <c r="M468" s="267"/>
      <c r="N468" s="267"/>
      <c r="O468" s="268"/>
    </row>
    <row r="469" spans="1:15" ht="18" customHeight="1" x14ac:dyDescent="0.3">
      <c r="A469" s="265">
        <v>22</v>
      </c>
      <c r="B469" s="266" t="s">
        <v>223</v>
      </c>
      <c r="C469" s="267"/>
      <c r="D469" s="267"/>
      <c r="E469" s="267"/>
      <c r="F469" s="267"/>
      <c r="G469" s="267"/>
      <c r="H469" s="267"/>
      <c r="I469" s="267"/>
      <c r="J469" s="267"/>
      <c r="K469" s="267"/>
      <c r="L469" s="267"/>
      <c r="M469" s="267"/>
      <c r="N469" s="267"/>
      <c r="O469" s="268"/>
    </row>
    <row r="470" spans="1:15" ht="18" customHeight="1" x14ac:dyDescent="0.3">
      <c r="A470" s="265">
        <v>23</v>
      </c>
      <c r="B470" s="269" t="s">
        <v>224</v>
      </c>
      <c r="C470" s="267"/>
      <c r="D470" s="267"/>
      <c r="E470" s="267"/>
      <c r="F470" s="267"/>
      <c r="G470" s="267"/>
      <c r="H470" s="267"/>
      <c r="I470" s="267"/>
      <c r="J470" s="267"/>
      <c r="K470" s="267"/>
      <c r="L470" s="267"/>
      <c r="M470" s="267"/>
      <c r="N470" s="267"/>
      <c r="O470" s="268"/>
    </row>
    <row r="471" spans="1:15" ht="18" customHeight="1" x14ac:dyDescent="0.3">
      <c r="A471" s="265">
        <v>24</v>
      </c>
      <c r="B471" s="266" t="s">
        <v>129</v>
      </c>
      <c r="C471" s="267"/>
      <c r="D471" s="267"/>
      <c r="E471" s="267"/>
      <c r="F471" s="267"/>
      <c r="G471" s="267"/>
      <c r="H471" s="267"/>
      <c r="I471" s="267"/>
      <c r="J471" s="267"/>
      <c r="K471" s="267"/>
      <c r="L471" s="267"/>
      <c r="M471" s="267"/>
      <c r="N471" s="267"/>
      <c r="O471" s="268"/>
    </row>
    <row r="472" spans="1:15" ht="18" customHeight="1" x14ac:dyDescent="0.3">
      <c r="A472" s="265">
        <v>25</v>
      </c>
      <c r="B472" s="270"/>
      <c r="C472" s="267"/>
      <c r="D472" s="268"/>
      <c r="E472" s="268"/>
      <c r="F472" s="268"/>
      <c r="G472" s="268"/>
      <c r="H472" s="268"/>
      <c r="I472" s="268"/>
      <c r="J472" s="268"/>
      <c r="K472" s="268"/>
      <c r="L472" s="268"/>
      <c r="M472" s="271"/>
      <c r="N472" s="268"/>
      <c r="O472" s="268"/>
    </row>
    <row r="473" spans="1:15" ht="18" customHeight="1" x14ac:dyDescent="0.3">
      <c r="A473" s="265">
        <v>26</v>
      </c>
      <c r="B473" s="270"/>
      <c r="C473" s="267"/>
      <c r="D473" s="268"/>
      <c r="E473" s="268"/>
      <c r="F473" s="268"/>
      <c r="G473" s="268"/>
      <c r="H473" s="268"/>
      <c r="I473" s="268"/>
      <c r="J473" s="268"/>
      <c r="K473" s="268"/>
      <c r="L473" s="268"/>
      <c r="M473" s="271"/>
      <c r="N473" s="268"/>
      <c r="O473" s="268"/>
    </row>
    <row r="474" spans="1:15" ht="18" customHeight="1" x14ac:dyDescent="0.3">
      <c r="A474" s="265">
        <v>27</v>
      </c>
      <c r="B474" s="270"/>
      <c r="C474" s="267"/>
      <c r="D474" s="268"/>
      <c r="E474" s="268"/>
      <c r="F474" s="268"/>
      <c r="G474" s="268"/>
      <c r="H474" s="268"/>
      <c r="I474" s="268"/>
      <c r="J474" s="268"/>
      <c r="K474" s="268"/>
      <c r="L474" s="268"/>
      <c r="M474" s="271"/>
      <c r="N474" s="268"/>
      <c r="O474" s="268"/>
    </row>
    <row r="475" spans="1:15" ht="18" customHeight="1" x14ac:dyDescent="0.3">
      <c r="A475" s="265">
        <v>28</v>
      </c>
      <c r="B475" s="270"/>
      <c r="C475" s="267"/>
      <c r="D475" s="268"/>
      <c r="E475" s="268"/>
      <c r="F475" s="268"/>
      <c r="G475" s="268"/>
      <c r="H475" s="268"/>
      <c r="I475" s="268"/>
      <c r="J475" s="268"/>
      <c r="K475" s="268"/>
      <c r="L475" s="268"/>
      <c r="M475" s="271"/>
      <c r="N475" s="268"/>
      <c r="O475" s="268"/>
    </row>
    <row r="476" spans="1:15" ht="18" customHeight="1" x14ac:dyDescent="0.3">
      <c r="A476" s="265">
        <v>29</v>
      </c>
      <c r="B476" s="270"/>
      <c r="C476" s="267"/>
      <c r="D476" s="268"/>
      <c r="E476" s="268"/>
      <c r="F476" s="268"/>
      <c r="G476" s="268"/>
      <c r="H476" s="268"/>
      <c r="I476" s="268"/>
      <c r="J476" s="268"/>
      <c r="K476" s="268"/>
      <c r="L476" s="268"/>
      <c r="M476" s="271"/>
      <c r="N476" s="268"/>
      <c r="O476" s="268"/>
    </row>
    <row r="477" spans="1:15" ht="18" customHeight="1" x14ac:dyDescent="0.3">
      <c r="A477" s="265">
        <v>30</v>
      </c>
      <c r="B477" s="268"/>
      <c r="C477" s="267"/>
      <c r="D477" s="268"/>
      <c r="E477" s="268"/>
      <c r="F477" s="268"/>
      <c r="G477" s="268"/>
      <c r="H477" s="268"/>
      <c r="I477" s="268"/>
      <c r="J477" s="268"/>
      <c r="K477" s="268"/>
      <c r="L477" s="268"/>
      <c r="M477" s="271"/>
      <c r="N477" s="268"/>
      <c r="O477" s="268"/>
    </row>
    <row r="478" spans="1:15" ht="18" customHeight="1" x14ac:dyDescent="0.3">
      <c r="A478" s="265">
        <v>31</v>
      </c>
      <c r="B478" s="268"/>
      <c r="C478" s="267"/>
      <c r="D478" s="268"/>
      <c r="E478" s="268"/>
      <c r="F478" s="268"/>
      <c r="G478" s="268"/>
      <c r="H478" s="268"/>
      <c r="I478" s="268"/>
      <c r="J478" s="268"/>
      <c r="K478" s="268"/>
      <c r="L478" s="268"/>
      <c r="M478" s="271"/>
      <c r="N478" s="268"/>
      <c r="O478" s="268"/>
    </row>
    <row r="479" spans="1:15" ht="18" customHeight="1" x14ac:dyDescent="0.3">
      <c r="A479" s="265">
        <v>32</v>
      </c>
      <c r="B479" s="268"/>
      <c r="C479" s="267"/>
      <c r="D479" s="268"/>
      <c r="E479" s="268"/>
      <c r="F479" s="268"/>
      <c r="G479" s="268"/>
      <c r="H479" s="268"/>
      <c r="I479" s="268"/>
      <c r="J479" s="268"/>
      <c r="K479" s="268"/>
      <c r="L479" s="268"/>
      <c r="M479" s="271"/>
      <c r="N479" s="268"/>
      <c r="O479" s="268"/>
    </row>
    <row r="480" spans="1:15" ht="18" customHeight="1" x14ac:dyDescent="0.3">
      <c r="A480" s="265">
        <v>33</v>
      </c>
      <c r="B480" s="75"/>
      <c r="C480" s="267"/>
      <c r="D480" s="268"/>
      <c r="E480" s="268"/>
      <c r="F480" s="268"/>
      <c r="G480" s="268"/>
      <c r="H480" s="268"/>
      <c r="I480" s="268"/>
      <c r="J480" s="268"/>
      <c r="K480" s="268"/>
      <c r="L480" s="268"/>
      <c r="M480" s="271"/>
      <c r="N480" s="268"/>
      <c r="O480" s="268"/>
    </row>
    <row r="481" spans="1:15" ht="18" customHeight="1" x14ac:dyDescent="0.3">
      <c r="A481" s="265">
        <v>34</v>
      </c>
      <c r="B481" s="268"/>
      <c r="C481" s="267"/>
      <c r="D481" s="268"/>
      <c r="E481" s="268"/>
      <c r="F481" s="268"/>
      <c r="G481" s="268"/>
      <c r="H481" s="268"/>
      <c r="I481" s="268"/>
      <c r="J481" s="268"/>
      <c r="K481" s="268"/>
      <c r="L481" s="268"/>
      <c r="M481" s="271"/>
      <c r="N481" s="268"/>
      <c r="O481" s="268"/>
    </row>
    <row r="482" spans="1:15" ht="18" customHeight="1" x14ac:dyDescent="0.3">
      <c r="A482" s="265">
        <v>35</v>
      </c>
      <c r="B482" s="268"/>
      <c r="C482" s="267"/>
      <c r="D482" s="268"/>
      <c r="E482" s="268"/>
      <c r="F482" s="268"/>
      <c r="G482" s="268"/>
      <c r="H482" s="268"/>
      <c r="I482" s="268"/>
      <c r="J482" s="268"/>
      <c r="K482" s="268"/>
      <c r="L482" s="268"/>
      <c r="M482" s="271"/>
      <c r="N482" s="268"/>
      <c r="O482" s="268"/>
    </row>
    <row r="483" spans="1:15" ht="18" customHeight="1" x14ac:dyDescent="0.3">
      <c r="A483" s="267"/>
      <c r="B483" s="272" t="s">
        <v>18</v>
      </c>
      <c r="C483" s="265">
        <f>SUM(C448:C482)</f>
        <v>0</v>
      </c>
      <c r="D483" s="265">
        <f t="shared" ref="D483:N483" si="11">SUM(D448:D482)</f>
        <v>0</v>
      </c>
      <c r="E483" s="265">
        <f t="shared" si="11"/>
        <v>0</v>
      </c>
      <c r="F483" s="265">
        <f t="shared" si="11"/>
        <v>0</v>
      </c>
      <c r="G483" s="265">
        <f t="shared" si="11"/>
        <v>0</v>
      </c>
      <c r="H483" s="265">
        <f t="shared" si="11"/>
        <v>0</v>
      </c>
      <c r="I483" s="265">
        <f t="shared" si="11"/>
        <v>0</v>
      </c>
      <c r="J483" s="265">
        <f t="shared" si="11"/>
        <v>0</v>
      </c>
      <c r="K483" s="265">
        <f t="shared" si="11"/>
        <v>0</v>
      </c>
      <c r="L483" s="265">
        <f t="shared" si="11"/>
        <v>0</v>
      </c>
      <c r="M483" s="265">
        <f t="shared" si="11"/>
        <v>0</v>
      </c>
      <c r="N483" s="265">
        <f t="shared" si="11"/>
        <v>0</v>
      </c>
      <c r="O483" s="268"/>
    </row>
    <row r="484" spans="1:15" ht="14" x14ac:dyDescent="0.3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</row>
    <row r="485" spans="1:15" ht="14" x14ac:dyDescent="0.3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</row>
    <row r="486" spans="1:15" ht="14" x14ac:dyDescent="0.25">
      <c r="A486" s="1015" t="s">
        <v>131</v>
      </c>
      <c r="B486" s="1015"/>
      <c r="C486" s="1015"/>
      <c r="D486" s="1015"/>
      <c r="E486" s="1015"/>
      <c r="F486" s="1015"/>
      <c r="G486" s="1015"/>
      <c r="H486" s="1015"/>
      <c r="I486" s="1015"/>
      <c r="J486" s="1015"/>
      <c r="K486" s="1015"/>
      <c r="L486" s="1015"/>
      <c r="M486" s="1015"/>
      <c r="N486" s="1015"/>
      <c r="O486" s="1015"/>
    </row>
    <row r="487" spans="1:15" ht="14" x14ac:dyDescent="0.3">
      <c r="A487" s="19" t="s">
        <v>225</v>
      </c>
      <c r="B487" s="19"/>
      <c r="C487" s="260" t="str">
        <f>PETUNJUK!C5</f>
        <v>PECANGAAN</v>
      </c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</row>
    <row r="488" spans="1:15" ht="14" x14ac:dyDescent="0.3">
      <c r="A488" s="19" t="s">
        <v>226</v>
      </c>
      <c r="B488" s="19"/>
      <c r="C488" s="261" t="s">
        <v>400</v>
      </c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</row>
    <row r="489" spans="1:15" ht="14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</row>
    <row r="490" spans="1:15" ht="18" customHeight="1" x14ac:dyDescent="0.25">
      <c r="A490" s="1016" t="s">
        <v>1</v>
      </c>
      <c r="B490" s="1016" t="s">
        <v>116</v>
      </c>
      <c r="C490" s="1017" t="s">
        <v>117</v>
      </c>
      <c r="D490" s="1011" t="s">
        <v>214</v>
      </c>
      <c r="E490" s="1011"/>
      <c r="F490" s="1011"/>
      <c r="G490" s="275" t="s">
        <v>204</v>
      </c>
      <c r="H490" s="1011" t="s">
        <v>213</v>
      </c>
      <c r="I490" s="1011"/>
      <c r="J490" s="1012" t="s">
        <v>132</v>
      </c>
      <c r="K490" s="1013"/>
      <c r="L490" s="1013"/>
      <c r="M490" s="1014"/>
      <c r="N490" s="275" t="s">
        <v>205</v>
      </c>
      <c r="O490" s="1011" t="s">
        <v>206</v>
      </c>
    </row>
    <row r="491" spans="1:15" ht="18" customHeight="1" x14ac:dyDescent="0.25">
      <c r="A491" s="1016"/>
      <c r="B491" s="1016"/>
      <c r="C491" s="1017"/>
      <c r="D491" s="265" t="s">
        <v>193</v>
      </c>
      <c r="E491" s="265" t="s">
        <v>192</v>
      </c>
      <c r="F491" s="265" t="s">
        <v>191</v>
      </c>
      <c r="G491" s="276" t="s">
        <v>207</v>
      </c>
      <c r="H491" s="265" t="s">
        <v>208</v>
      </c>
      <c r="I491" s="265" t="s">
        <v>209</v>
      </c>
      <c r="J491" s="265" t="s">
        <v>210</v>
      </c>
      <c r="K491" s="265" t="s">
        <v>211</v>
      </c>
      <c r="L491" s="265" t="s">
        <v>88</v>
      </c>
      <c r="M491" s="265" t="s">
        <v>18</v>
      </c>
      <c r="N491" s="276" t="s">
        <v>212</v>
      </c>
      <c r="O491" s="1011"/>
    </row>
    <row r="492" spans="1:15" ht="18" customHeight="1" x14ac:dyDescent="0.3">
      <c r="A492" s="265">
        <v>1</v>
      </c>
      <c r="B492" s="266" t="s">
        <v>118</v>
      </c>
      <c r="C492" s="267">
        <v>0</v>
      </c>
      <c r="D492" s="267">
        <v>0</v>
      </c>
      <c r="E492" s="267">
        <v>0</v>
      </c>
      <c r="F492" s="267">
        <v>0</v>
      </c>
      <c r="G492" s="267">
        <v>0</v>
      </c>
      <c r="H492" s="267">
        <v>0</v>
      </c>
      <c r="I492" s="267">
        <v>0</v>
      </c>
      <c r="J492" s="267">
        <v>0</v>
      </c>
      <c r="K492" s="267">
        <v>0</v>
      </c>
      <c r="L492" s="267">
        <v>0</v>
      </c>
      <c r="M492" s="267">
        <v>0</v>
      </c>
      <c r="N492" s="267">
        <v>0</v>
      </c>
      <c r="O492" s="268"/>
    </row>
    <row r="493" spans="1:15" ht="18" customHeight="1" x14ac:dyDescent="0.3">
      <c r="A493" s="265">
        <v>2</v>
      </c>
      <c r="B493" s="266" t="s">
        <v>119</v>
      </c>
      <c r="C493" s="267">
        <v>0</v>
      </c>
      <c r="D493" s="267">
        <v>0</v>
      </c>
      <c r="E493" s="267">
        <v>0</v>
      </c>
      <c r="F493" s="267">
        <v>0</v>
      </c>
      <c r="G493" s="267">
        <v>0</v>
      </c>
      <c r="H493" s="267">
        <v>0</v>
      </c>
      <c r="I493" s="267">
        <v>0</v>
      </c>
      <c r="J493" s="267">
        <v>0</v>
      </c>
      <c r="K493" s="267">
        <v>0</v>
      </c>
      <c r="L493" s="267">
        <v>0</v>
      </c>
      <c r="M493" s="267">
        <v>0</v>
      </c>
      <c r="N493" s="267">
        <v>0</v>
      </c>
      <c r="O493" s="268"/>
    </row>
    <row r="494" spans="1:15" ht="18" customHeight="1" x14ac:dyDescent="0.3">
      <c r="A494" s="265">
        <v>3</v>
      </c>
      <c r="B494" s="266" t="s">
        <v>127</v>
      </c>
      <c r="C494" s="267">
        <v>0</v>
      </c>
      <c r="D494" s="267">
        <v>0</v>
      </c>
      <c r="E494" s="267">
        <v>0</v>
      </c>
      <c r="F494" s="267">
        <v>0</v>
      </c>
      <c r="G494" s="267">
        <v>0</v>
      </c>
      <c r="H494" s="267">
        <v>0</v>
      </c>
      <c r="I494" s="267">
        <v>0</v>
      </c>
      <c r="J494" s="267">
        <v>0</v>
      </c>
      <c r="K494" s="267">
        <v>0</v>
      </c>
      <c r="L494" s="267">
        <v>0</v>
      </c>
      <c r="M494" s="267">
        <v>0</v>
      </c>
      <c r="N494" s="267">
        <v>0</v>
      </c>
      <c r="O494" s="268"/>
    </row>
    <row r="495" spans="1:15" ht="18" customHeight="1" x14ac:dyDescent="0.3">
      <c r="A495" s="265">
        <v>4</v>
      </c>
      <c r="B495" s="266" t="s">
        <v>124</v>
      </c>
      <c r="C495" s="267">
        <v>0</v>
      </c>
      <c r="D495" s="267">
        <v>0</v>
      </c>
      <c r="E495" s="267">
        <v>0</v>
      </c>
      <c r="F495" s="267">
        <v>0</v>
      </c>
      <c r="G495" s="267">
        <v>0</v>
      </c>
      <c r="H495" s="267">
        <v>0</v>
      </c>
      <c r="I495" s="267">
        <v>0</v>
      </c>
      <c r="J495" s="267">
        <v>0</v>
      </c>
      <c r="K495" s="267">
        <v>0</v>
      </c>
      <c r="L495" s="267">
        <v>0</v>
      </c>
      <c r="M495" s="267">
        <v>0</v>
      </c>
      <c r="N495" s="267">
        <v>0</v>
      </c>
      <c r="O495" s="268"/>
    </row>
    <row r="496" spans="1:15" ht="18" customHeight="1" x14ac:dyDescent="0.3">
      <c r="A496" s="265">
        <v>5</v>
      </c>
      <c r="B496" s="266" t="s">
        <v>120</v>
      </c>
      <c r="C496" s="267">
        <v>0</v>
      </c>
      <c r="D496" s="267">
        <v>0</v>
      </c>
      <c r="E496" s="267">
        <v>0</v>
      </c>
      <c r="F496" s="267">
        <v>0</v>
      </c>
      <c r="G496" s="267">
        <v>0</v>
      </c>
      <c r="H496" s="267">
        <v>0</v>
      </c>
      <c r="I496" s="267">
        <v>0</v>
      </c>
      <c r="J496" s="267">
        <v>0</v>
      </c>
      <c r="K496" s="267">
        <v>0</v>
      </c>
      <c r="L496" s="267">
        <v>0</v>
      </c>
      <c r="M496" s="267">
        <v>0</v>
      </c>
      <c r="N496" s="267">
        <v>0</v>
      </c>
      <c r="O496" s="268"/>
    </row>
    <row r="497" spans="1:15" ht="18" customHeight="1" x14ac:dyDescent="0.3">
      <c r="A497" s="265">
        <v>6</v>
      </c>
      <c r="B497" s="266" t="s">
        <v>215</v>
      </c>
      <c r="C497" s="267">
        <v>0</v>
      </c>
      <c r="D497" s="267">
        <v>0</v>
      </c>
      <c r="E497" s="267">
        <v>0</v>
      </c>
      <c r="F497" s="267">
        <v>0</v>
      </c>
      <c r="G497" s="267">
        <v>0</v>
      </c>
      <c r="H497" s="267">
        <v>0</v>
      </c>
      <c r="I497" s="267">
        <v>0</v>
      </c>
      <c r="J497" s="267">
        <v>0</v>
      </c>
      <c r="K497" s="267">
        <v>0</v>
      </c>
      <c r="L497" s="267">
        <v>0</v>
      </c>
      <c r="M497" s="267">
        <v>0</v>
      </c>
      <c r="N497" s="267">
        <v>0</v>
      </c>
      <c r="O497" s="268"/>
    </row>
    <row r="498" spans="1:15" ht="18" customHeight="1" x14ac:dyDescent="0.3">
      <c r="A498" s="265">
        <v>7</v>
      </c>
      <c r="B498" s="266" t="s">
        <v>122</v>
      </c>
      <c r="C498" s="267">
        <v>0</v>
      </c>
      <c r="D498" s="267">
        <v>0</v>
      </c>
      <c r="E498" s="267">
        <v>0</v>
      </c>
      <c r="F498" s="267">
        <v>0</v>
      </c>
      <c r="G498" s="267">
        <v>0</v>
      </c>
      <c r="H498" s="267">
        <v>0</v>
      </c>
      <c r="I498" s="267">
        <v>0</v>
      </c>
      <c r="J498" s="267">
        <v>0</v>
      </c>
      <c r="K498" s="267">
        <v>0</v>
      </c>
      <c r="L498" s="267">
        <v>0</v>
      </c>
      <c r="M498" s="267">
        <v>0</v>
      </c>
      <c r="N498" s="267">
        <v>0</v>
      </c>
      <c r="O498" s="268"/>
    </row>
    <row r="499" spans="1:15" ht="18" customHeight="1" x14ac:dyDescent="0.3">
      <c r="A499" s="265">
        <v>8</v>
      </c>
      <c r="B499" s="266" t="s">
        <v>123</v>
      </c>
      <c r="C499" s="267">
        <v>0</v>
      </c>
      <c r="D499" s="267">
        <v>0</v>
      </c>
      <c r="E499" s="267">
        <v>0</v>
      </c>
      <c r="F499" s="267">
        <v>0</v>
      </c>
      <c r="G499" s="267">
        <v>0</v>
      </c>
      <c r="H499" s="267">
        <v>0</v>
      </c>
      <c r="I499" s="267">
        <v>0</v>
      </c>
      <c r="J499" s="267">
        <v>0</v>
      </c>
      <c r="K499" s="267">
        <v>0</v>
      </c>
      <c r="L499" s="267">
        <v>0</v>
      </c>
      <c r="M499" s="267">
        <v>0</v>
      </c>
      <c r="N499" s="267">
        <v>0</v>
      </c>
      <c r="O499" s="268"/>
    </row>
    <row r="500" spans="1:15" ht="18" customHeight="1" x14ac:dyDescent="0.3">
      <c r="A500" s="265">
        <v>9</v>
      </c>
      <c r="B500" s="266" t="s">
        <v>218</v>
      </c>
      <c r="C500" s="267">
        <v>0</v>
      </c>
      <c r="D500" s="267">
        <v>0</v>
      </c>
      <c r="E500" s="267">
        <v>0</v>
      </c>
      <c r="F500" s="267">
        <v>0</v>
      </c>
      <c r="G500" s="267">
        <v>0</v>
      </c>
      <c r="H500" s="267">
        <v>0</v>
      </c>
      <c r="I500" s="267">
        <v>0</v>
      </c>
      <c r="J500" s="267">
        <v>0</v>
      </c>
      <c r="K500" s="267">
        <v>0</v>
      </c>
      <c r="L500" s="267">
        <v>0</v>
      </c>
      <c r="M500" s="267">
        <v>0</v>
      </c>
      <c r="N500" s="267">
        <v>0</v>
      </c>
      <c r="O500" s="268"/>
    </row>
    <row r="501" spans="1:15" ht="18" customHeight="1" x14ac:dyDescent="0.3">
      <c r="A501" s="265">
        <v>10</v>
      </c>
      <c r="B501" s="266" t="s">
        <v>126</v>
      </c>
      <c r="C501" s="267">
        <v>0</v>
      </c>
      <c r="D501" s="267">
        <v>0</v>
      </c>
      <c r="E501" s="267">
        <v>0</v>
      </c>
      <c r="F501" s="267">
        <v>0</v>
      </c>
      <c r="G501" s="267">
        <v>0</v>
      </c>
      <c r="H501" s="267">
        <v>0</v>
      </c>
      <c r="I501" s="267">
        <v>0</v>
      </c>
      <c r="J501" s="267">
        <v>0</v>
      </c>
      <c r="K501" s="267">
        <v>0</v>
      </c>
      <c r="L501" s="267">
        <v>0</v>
      </c>
      <c r="M501" s="267">
        <v>0</v>
      </c>
      <c r="N501" s="267">
        <v>0</v>
      </c>
      <c r="O501" s="268"/>
    </row>
    <row r="502" spans="1:15" ht="18" customHeight="1" x14ac:dyDescent="0.3">
      <c r="A502" s="265">
        <v>11</v>
      </c>
      <c r="B502" s="266" t="s">
        <v>125</v>
      </c>
      <c r="C502" s="267">
        <v>0</v>
      </c>
      <c r="D502" s="267">
        <v>0</v>
      </c>
      <c r="E502" s="267">
        <v>0</v>
      </c>
      <c r="F502" s="267">
        <v>0</v>
      </c>
      <c r="G502" s="267">
        <v>0</v>
      </c>
      <c r="H502" s="267">
        <v>0</v>
      </c>
      <c r="I502" s="267">
        <v>0</v>
      </c>
      <c r="J502" s="267">
        <v>0</v>
      </c>
      <c r="K502" s="267">
        <v>0</v>
      </c>
      <c r="L502" s="267">
        <v>0</v>
      </c>
      <c r="M502" s="267">
        <v>0</v>
      </c>
      <c r="N502" s="267">
        <v>0</v>
      </c>
      <c r="O502" s="268"/>
    </row>
    <row r="503" spans="1:15" ht="18" customHeight="1" x14ac:dyDescent="0.3">
      <c r="A503" s="265">
        <v>12</v>
      </c>
      <c r="B503" s="266" t="s">
        <v>130</v>
      </c>
      <c r="C503" s="267">
        <v>0</v>
      </c>
      <c r="D503" s="267">
        <v>0</v>
      </c>
      <c r="E503" s="267">
        <v>0</v>
      </c>
      <c r="F503" s="267">
        <v>0</v>
      </c>
      <c r="G503" s="267">
        <v>0</v>
      </c>
      <c r="H503" s="267">
        <v>0</v>
      </c>
      <c r="I503" s="267">
        <v>0</v>
      </c>
      <c r="J503" s="267">
        <v>0</v>
      </c>
      <c r="K503" s="267">
        <v>0</v>
      </c>
      <c r="L503" s="267">
        <v>0</v>
      </c>
      <c r="M503" s="267">
        <v>0</v>
      </c>
      <c r="N503" s="267">
        <v>0</v>
      </c>
      <c r="O503" s="268"/>
    </row>
    <row r="504" spans="1:15" ht="18" customHeight="1" x14ac:dyDescent="0.3">
      <c r="A504" s="265">
        <v>13</v>
      </c>
      <c r="B504" s="269" t="s">
        <v>216</v>
      </c>
      <c r="C504" s="267">
        <v>0</v>
      </c>
      <c r="D504" s="267">
        <v>0</v>
      </c>
      <c r="E504" s="267">
        <v>0</v>
      </c>
      <c r="F504" s="267">
        <v>0</v>
      </c>
      <c r="G504" s="267">
        <v>0</v>
      </c>
      <c r="H504" s="267">
        <v>0</v>
      </c>
      <c r="I504" s="267">
        <v>0</v>
      </c>
      <c r="J504" s="267">
        <v>0</v>
      </c>
      <c r="K504" s="267">
        <v>0</v>
      </c>
      <c r="L504" s="267">
        <v>0</v>
      </c>
      <c r="M504" s="267">
        <v>0</v>
      </c>
      <c r="N504" s="267">
        <v>0</v>
      </c>
      <c r="O504" s="268"/>
    </row>
    <row r="505" spans="1:15" ht="18" customHeight="1" x14ac:dyDescent="0.3">
      <c r="A505" s="265">
        <v>14</v>
      </c>
      <c r="B505" s="266" t="s">
        <v>121</v>
      </c>
      <c r="C505" s="267">
        <v>0</v>
      </c>
      <c r="D505" s="267">
        <v>0</v>
      </c>
      <c r="E505" s="267">
        <v>0</v>
      </c>
      <c r="F505" s="267">
        <v>0</v>
      </c>
      <c r="G505" s="267">
        <v>0</v>
      </c>
      <c r="H505" s="267">
        <v>0</v>
      </c>
      <c r="I505" s="267">
        <v>0</v>
      </c>
      <c r="J505" s="267">
        <v>0</v>
      </c>
      <c r="K505" s="267">
        <v>0</v>
      </c>
      <c r="L505" s="267">
        <v>0</v>
      </c>
      <c r="M505" s="267">
        <v>0</v>
      </c>
      <c r="N505" s="267">
        <v>0</v>
      </c>
      <c r="O505" s="268"/>
    </row>
    <row r="506" spans="1:15" ht="18" customHeight="1" x14ac:dyDescent="0.3">
      <c r="A506" s="265">
        <v>15</v>
      </c>
      <c r="B506" s="266" t="s">
        <v>45</v>
      </c>
      <c r="C506" s="267">
        <v>0</v>
      </c>
      <c r="D506" s="267">
        <v>0</v>
      </c>
      <c r="E506" s="267">
        <v>0</v>
      </c>
      <c r="F506" s="267">
        <v>0</v>
      </c>
      <c r="G506" s="267">
        <v>0</v>
      </c>
      <c r="H506" s="267">
        <v>0</v>
      </c>
      <c r="I506" s="267">
        <v>0</v>
      </c>
      <c r="J506" s="267">
        <v>0</v>
      </c>
      <c r="K506" s="267">
        <v>0</v>
      </c>
      <c r="L506" s="267">
        <v>0</v>
      </c>
      <c r="M506" s="267">
        <v>0</v>
      </c>
      <c r="N506" s="267">
        <v>0</v>
      </c>
      <c r="O506" s="268"/>
    </row>
    <row r="507" spans="1:15" ht="18" customHeight="1" x14ac:dyDescent="0.3">
      <c r="A507" s="265">
        <v>16</v>
      </c>
      <c r="B507" s="269" t="s">
        <v>217</v>
      </c>
      <c r="C507" s="267">
        <v>0</v>
      </c>
      <c r="D507" s="267">
        <v>0</v>
      </c>
      <c r="E507" s="267">
        <v>0</v>
      </c>
      <c r="F507" s="267">
        <v>0</v>
      </c>
      <c r="G507" s="267">
        <v>0</v>
      </c>
      <c r="H507" s="267">
        <v>0</v>
      </c>
      <c r="I507" s="267">
        <v>0</v>
      </c>
      <c r="J507" s="267">
        <v>0</v>
      </c>
      <c r="K507" s="267">
        <v>0</v>
      </c>
      <c r="L507" s="267">
        <v>0</v>
      </c>
      <c r="M507" s="267">
        <v>0</v>
      </c>
      <c r="N507" s="267">
        <v>0</v>
      </c>
      <c r="O507" s="268"/>
    </row>
    <row r="508" spans="1:15" ht="18" customHeight="1" x14ac:dyDescent="0.3">
      <c r="A508" s="265">
        <v>17</v>
      </c>
      <c r="B508" s="266" t="s">
        <v>219</v>
      </c>
      <c r="C508" s="267">
        <v>0</v>
      </c>
      <c r="D508" s="267">
        <v>0</v>
      </c>
      <c r="E508" s="267">
        <v>0</v>
      </c>
      <c r="F508" s="267">
        <v>0</v>
      </c>
      <c r="G508" s="267">
        <v>0</v>
      </c>
      <c r="H508" s="267">
        <v>0</v>
      </c>
      <c r="I508" s="267">
        <v>0</v>
      </c>
      <c r="J508" s="267">
        <v>0</v>
      </c>
      <c r="K508" s="267">
        <v>0</v>
      </c>
      <c r="L508" s="267">
        <v>0</v>
      </c>
      <c r="M508" s="267">
        <v>0</v>
      </c>
      <c r="N508" s="267">
        <v>0</v>
      </c>
      <c r="O508" s="268"/>
    </row>
    <row r="509" spans="1:15" ht="18" customHeight="1" x14ac:dyDescent="0.3">
      <c r="A509" s="265">
        <v>18</v>
      </c>
      <c r="B509" s="266" t="s">
        <v>128</v>
      </c>
      <c r="C509" s="267">
        <v>0</v>
      </c>
      <c r="D509" s="267">
        <v>0</v>
      </c>
      <c r="E509" s="267">
        <v>0</v>
      </c>
      <c r="F509" s="267">
        <v>0</v>
      </c>
      <c r="G509" s="267">
        <v>0</v>
      </c>
      <c r="H509" s="267">
        <v>0</v>
      </c>
      <c r="I509" s="267">
        <v>0</v>
      </c>
      <c r="J509" s="267">
        <v>0</v>
      </c>
      <c r="K509" s="267">
        <v>0</v>
      </c>
      <c r="L509" s="267">
        <v>0</v>
      </c>
      <c r="M509" s="267">
        <v>0</v>
      </c>
      <c r="N509" s="267">
        <v>0</v>
      </c>
      <c r="O509" s="268"/>
    </row>
    <row r="510" spans="1:15" ht="18" customHeight="1" x14ac:dyDescent="0.3">
      <c r="A510" s="265">
        <v>19</v>
      </c>
      <c r="B510" s="266" t="s">
        <v>221</v>
      </c>
      <c r="C510" s="267">
        <v>0</v>
      </c>
      <c r="D510" s="267">
        <v>0</v>
      </c>
      <c r="E510" s="267">
        <v>0</v>
      </c>
      <c r="F510" s="267">
        <v>0</v>
      </c>
      <c r="G510" s="267">
        <v>0</v>
      </c>
      <c r="H510" s="267">
        <v>0</v>
      </c>
      <c r="I510" s="267">
        <v>0</v>
      </c>
      <c r="J510" s="267">
        <v>0</v>
      </c>
      <c r="K510" s="267">
        <v>0</v>
      </c>
      <c r="L510" s="267">
        <v>0</v>
      </c>
      <c r="M510" s="267">
        <v>0</v>
      </c>
      <c r="N510" s="267">
        <v>0</v>
      </c>
      <c r="O510" s="268"/>
    </row>
    <row r="511" spans="1:15" ht="18" customHeight="1" x14ac:dyDescent="0.3">
      <c r="A511" s="265">
        <v>20</v>
      </c>
      <c r="B511" s="266" t="s">
        <v>220</v>
      </c>
      <c r="C511" s="267">
        <v>0</v>
      </c>
      <c r="D511" s="267">
        <v>0</v>
      </c>
      <c r="E511" s="267">
        <v>0</v>
      </c>
      <c r="F511" s="267">
        <v>0</v>
      </c>
      <c r="G511" s="267">
        <v>0</v>
      </c>
      <c r="H511" s="267">
        <v>0</v>
      </c>
      <c r="I511" s="267">
        <v>0</v>
      </c>
      <c r="J511" s="267">
        <v>0</v>
      </c>
      <c r="K511" s="267">
        <v>0</v>
      </c>
      <c r="L511" s="267">
        <v>0</v>
      </c>
      <c r="M511" s="267">
        <v>0</v>
      </c>
      <c r="N511" s="267">
        <v>0</v>
      </c>
      <c r="O511" s="268"/>
    </row>
    <row r="512" spans="1:15" ht="18" customHeight="1" x14ac:dyDescent="0.3">
      <c r="A512" s="265">
        <v>21</v>
      </c>
      <c r="B512" s="266" t="s">
        <v>222</v>
      </c>
      <c r="C512" s="267">
        <v>0</v>
      </c>
      <c r="D512" s="267">
        <v>0</v>
      </c>
      <c r="E512" s="267">
        <v>0</v>
      </c>
      <c r="F512" s="267">
        <v>0</v>
      </c>
      <c r="G512" s="267">
        <v>0</v>
      </c>
      <c r="H512" s="267">
        <v>0</v>
      </c>
      <c r="I512" s="267">
        <v>0</v>
      </c>
      <c r="J512" s="267">
        <v>0</v>
      </c>
      <c r="K512" s="267">
        <v>0</v>
      </c>
      <c r="L512" s="267">
        <v>0</v>
      </c>
      <c r="M512" s="267">
        <v>0</v>
      </c>
      <c r="N512" s="267">
        <v>0</v>
      </c>
      <c r="O512" s="268"/>
    </row>
    <row r="513" spans="1:15" ht="18" customHeight="1" x14ac:dyDescent="0.3">
      <c r="A513" s="265">
        <v>22</v>
      </c>
      <c r="B513" s="266" t="s">
        <v>223</v>
      </c>
      <c r="C513" s="267">
        <v>0</v>
      </c>
      <c r="D513" s="267">
        <v>0</v>
      </c>
      <c r="E513" s="267">
        <v>0</v>
      </c>
      <c r="F513" s="267">
        <v>0</v>
      </c>
      <c r="G513" s="267">
        <v>0</v>
      </c>
      <c r="H513" s="267">
        <v>0</v>
      </c>
      <c r="I513" s="267">
        <v>0</v>
      </c>
      <c r="J513" s="267">
        <v>0</v>
      </c>
      <c r="K513" s="267">
        <v>0</v>
      </c>
      <c r="L513" s="267">
        <v>0</v>
      </c>
      <c r="M513" s="267">
        <v>0</v>
      </c>
      <c r="N513" s="267">
        <v>0</v>
      </c>
      <c r="O513" s="268"/>
    </row>
    <row r="514" spans="1:15" ht="18" customHeight="1" x14ac:dyDescent="0.3">
      <c r="A514" s="265">
        <v>23</v>
      </c>
      <c r="B514" s="269" t="s">
        <v>224</v>
      </c>
      <c r="C514" s="267">
        <v>0</v>
      </c>
      <c r="D514" s="267">
        <v>0</v>
      </c>
      <c r="E514" s="267">
        <v>0</v>
      </c>
      <c r="F514" s="267">
        <v>0</v>
      </c>
      <c r="G514" s="267">
        <v>0</v>
      </c>
      <c r="H514" s="267">
        <v>0</v>
      </c>
      <c r="I514" s="267">
        <v>0</v>
      </c>
      <c r="J514" s="267">
        <v>0</v>
      </c>
      <c r="K514" s="267">
        <v>0</v>
      </c>
      <c r="L514" s="267">
        <v>0</v>
      </c>
      <c r="M514" s="267">
        <v>0</v>
      </c>
      <c r="N514" s="267">
        <v>0</v>
      </c>
      <c r="O514" s="268"/>
    </row>
    <row r="515" spans="1:15" ht="18" customHeight="1" x14ac:dyDescent="0.3">
      <c r="A515" s="265">
        <v>24</v>
      </c>
      <c r="B515" s="266" t="s">
        <v>129</v>
      </c>
      <c r="C515" s="267">
        <v>0</v>
      </c>
      <c r="D515" s="267">
        <v>0</v>
      </c>
      <c r="E515" s="267">
        <v>0</v>
      </c>
      <c r="F515" s="267">
        <v>0</v>
      </c>
      <c r="G515" s="267">
        <v>0</v>
      </c>
      <c r="H515" s="267">
        <v>0</v>
      </c>
      <c r="I515" s="267">
        <v>0</v>
      </c>
      <c r="J515" s="267">
        <v>0</v>
      </c>
      <c r="K515" s="267">
        <v>0</v>
      </c>
      <c r="L515" s="267">
        <v>0</v>
      </c>
      <c r="M515" s="267">
        <v>0</v>
      </c>
      <c r="N515" s="267">
        <v>0</v>
      </c>
      <c r="O515" s="268"/>
    </row>
    <row r="516" spans="1:15" ht="18" customHeight="1" x14ac:dyDescent="0.3">
      <c r="A516" s="265">
        <v>25</v>
      </c>
      <c r="B516" s="270"/>
      <c r="C516" s="267"/>
      <c r="D516" s="268"/>
      <c r="E516" s="268"/>
      <c r="F516" s="268"/>
      <c r="G516" s="268"/>
      <c r="H516" s="268"/>
      <c r="I516" s="268"/>
      <c r="J516" s="268"/>
      <c r="K516" s="268"/>
      <c r="L516" s="268"/>
      <c r="M516" s="271"/>
      <c r="N516" s="268"/>
      <c r="O516" s="268"/>
    </row>
    <row r="517" spans="1:15" ht="18" customHeight="1" x14ac:dyDescent="0.3">
      <c r="A517" s="265">
        <v>26</v>
      </c>
      <c r="B517" s="270"/>
      <c r="C517" s="267"/>
      <c r="D517" s="268"/>
      <c r="E517" s="268"/>
      <c r="F517" s="268"/>
      <c r="G517" s="268"/>
      <c r="H517" s="268"/>
      <c r="I517" s="268"/>
      <c r="J517" s="268"/>
      <c r="K517" s="268"/>
      <c r="L517" s="268"/>
      <c r="M517" s="271"/>
      <c r="N517" s="268"/>
      <c r="O517" s="268"/>
    </row>
    <row r="518" spans="1:15" ht="18" customHeight="1" x14ac:dyDescent="0.3">
      <c r="A518" s="265">
        <v>27</v>
      </c>
      <c r="B518" s="270"/>
      <c r="C518" s="267"/>
      <c r="D518" s="268"/>
      <c r="E518" s="268"/>
      <c r="F518" s="268"/>
      <c r="G518" s="268"/>
      <c r="H518" s="268"/>
      <c r="I518" s="268"/>
      <c r="J518" s="268"/>
      <c r="K518" s="268"/>
      <c r="L518" s="268"/>
      <c r="M518" s="271"/>
      <c r="N518" s="268"/>
      <c r="O518" s="268"/>
    </row>
    <row r="519" spans="1:15" ht="18" customHeight="1" x14ac:dyDescent="0.3">
      <c r="A519" s="265">
        <v>28</v>
      </c>
      <c r="B519" s="270"/>
      <c r="C519" s="267"/>
      <c r="D519" s="268"/>
      <c r="E519" s="268"/>
      <c r="F519" s="268"/>
      <c r="G519" s="268"/>
      <c r="H519" s="268"/>
      <c r="I519" s="268"/>
      <c r="J519" s="268"/>
      <c r="K519" s="268"/>
      <c r="L519" s="268"/>
      <c r="M519" s="271"/>
      <c r="N519" s="268"/>
      <c r="O519" s="268"/>
    </row>
    <row r="520" spans="1:15" ht="18" customHeight="1" x14ac:dyDescent="0.3">
      <c r="A520" s="265">
        <v>29</v>
      </c>
      <c r="B520" s="270"/>
      <c r="C520" s="267"/>
      <c r="D520" s="268"/>
      <c r="E520" s="268"/>
      <c r="F520" s="268"/>
      <c r="G520" s="268"/>
      <c r="H520" s="268"/>
      <c r="I520" s="268"/>
      <c r="J520" s="268"/>
      <c r="K520" s="268"/>
      <c r="L520" s="268"/>
      <c r="M520" s="271"/>
      <c r="N520" s="268"/>
      <c r="O520" s="268"/>
    </row>
    <row r="521" spans="1:15" ht="18" customHeight="1" x14ac:dyDescent="0.3">
      <c r="A521" s="265">
        <v>30</v>
      </c>
      <c r="B521" s="268"/>
      <c r="C521" s="267"/>
      <c r="D521" s="268"/>
      <c r="E521" s="268"/>
      <c r="F521" s="268"/>
      <c r="G521" s="268"/>
      <c r="H521" s="268"/>
      <c r="I521" s="268"/>
      <c r="J521" s="268"/>
      <c r="K521" s="268"/>
      <c r="L521" s="268"/>
      <c r="M521" s="271"/>
      <c r="N521" s="268"/>
      <c r="O521" s="268"/>
    </row>
    <row r="522" spans="1:15" ht="18" customHeight="1" x14ac:dyDescent="0.3">
      <c r="A522" s="265">
        <v>31</v>
      </c>
      <c r="B522" s="268"/>
      <c r="C522" s="267"/>
      <c r="D522" s="268"/>
      <c r="E522" s="268"/>
      <c r="F522" s="268"/>
      <c r="G522" s="268"/>
      <c r="H522" s="268"/>
      <c r="I522" s="268"/>
      <c r="J522" s="268"/>
      <c r="K522" s="268"/>
      <c r="L522" s="268"/>
      <c r="M522" s="271"/>
      <c r="N522" s="268"/>
      <c r="O522" s="268"/>
    </row>
    <row r="523" spans="1:15" ht="18" customHeight="1" x14ac:dyDescent="0.3">
      <c r="A523" s="265">
        <v>32</v>
      </c>
      <c r="B523" s="268"/>
      <c r="C523" s="267"/>
      <c r="D523" s="268"/>
      <c r="E523" s="268"/>
      <c r="F523" s="268"/>
      <c r="G523" s="268"/>
      <c r="H523" s="268"/>
      <c r="I523" s="268"/>
      <c r="J523" s="268"/>
      <c r="K523" s="268"/>
      <c r="L523" s="268"/>
      <c r="M523" s="271"/>
      <c r="N523" s="268"/>
      <c r="O523" s="268"/>
    </row>
    <row r="524" spans="1:15" ht="18" customHeight="1" x14ac:dyDescent="0.3">
      <c r="A524" s="265">
        <v>33</v>
      </c>
      <c r="B524" s="75"/>
      <c r="C524" s="267"/>
      <c r="D524" s="268"/>
      <c r="E524" s="268"/>
      <c r="F524" s="268"/>
      <c r="G524" s="268"/>
      <c r="H524" s="268"/>
      <c r="I524" s="268"/>
      <c r="J524" s="268"/>
      <c r="K524" s="268"/>
      <c r="L524" s="268"/>
      <c r="M524" s="271"/>
      <c r="N524" s="268"/>
      <c r="O524" s="268"/>
    </row>
    <row r="525" spans="1:15" ht="18" customHeight="1" x14ac:dyDescent="0.3">
      <c r="A525" s="265">
        <v>34</v>
      </c>
      <c r="B525" s="268"/>
      <c r="C525" s="267"/>
      <c r="D525" s="268"/>
      <c r="E525" s="268"/>
      <c r="F525" s="268"/>
      <c r="G525" s="268"/>
      <c r="H525" s="268"/>
      <c r="I525" s="268"/>
      <c r="J525" s="268"/>
      <c r="K525" s="268"/>
      <c r="L525" s="268"/>
      <c r="M525" s="271"/>
      <c r="N525" s="268"/>
      <c r="O525" s="268"/>
    </row>
    <row r="526" spans="1:15" ht="18" customHeight="1" x14ac:dyDescent="0.3">
      <c r="A526" s="265">
        <v>35</v>
      </c>
      <c r="B526" s="268"/>
      <c r="C526" s="267"/>
      <c r="D526" s="268"/>
      <c r="E526" s="268"/>
      <c r="F526" s="268"/>
      <c r="G526" s="268"/>
      <c r="H526" s="268"/>
      <c r="I526" s="268"/>
      <c r="J526" s="268"/>
      <c r="K526" s="268"/>
      <c r="L526" s="268"/>
      <c r="M526" s="271"/>
      <c r="N526" s="268"/>
      <c r="O526" s="268"/>
    </row>
    <row r="527" spans="1:15" ht="18" customHeight="1" x14ac:dyDescent="0.3">
      <c r="A527" s="267"/>
      <c r="B527" s="272" t="s">
        <v>18</v>
      </c>
      <c r="C527" s="265">
        <f>SUM(C492:C526)</f>
        <v>0</v>
      </c>
      <c r="D527" s="265">
        <f t="shared" ref="D527:M527" si="12">SUM(D492:D526)</f>
        <v>0</v>
      </c>
      <c r="E527" s="265">
        <f t="shared" si="12"/>
        <v>0</v>
      </c>
      <c r="F527" s="265">
        <f t="shared" si="12"/>
        <v>0</v>
      </c>
      <c r="G527" s="265">
        <f t="shared" si="12"/>
        <v>0</v>
      </c>
      <c r="H527" s="265">
        <f t="shared" si="12"/>
        <v>0</v>
      </c>
      <c r="I527" s="265">
        <f t="shared" si="12"/>
        <v>0</v>
      </c>
      <c r="J527" s="265">
        <f t="shared" si="12"/>
        <v>0</v>
      </c>
      <c r="K527" s="265">
        <f t="shared" si="12"/>
        <v>0</v>
      </c>
      <c r="L527" s="265">
        <f t="shared" si="12"/>
        <v>0</v>
      </c>
      <c r="M527" s="265">
        <f t="shared" si="12"/>
        <v>0</v>
      </c>
      <c r="N527" s="265">
        <f>SUM(N492:N526)</f>
        <v>0</v>
      </c>
      <c r="O527" s="268"/>
    </row>
    <row r="528" spans="1:15" ht="14" x14ac:dyDescent="0.3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</row>
    <row r="529" spans="1:15" ht="14" x14ac:dyDescent="0.3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</row>
    <row r="530" spans="1:15" ht="14" x14ac:dyDescent="0.25">
      <c r="A530" s="1015" t="s">
        <v>131</v>
      </c>
      <c r="B530" s="1015"/>
      <c r="C530" s="1015"/>
      <c r="D530" s="1015"/>
      <c r="E530" s="1015"/>
      <c r="F530" s="1015"/>
      <c r="G530" s="1015"/>
      <c r="H530" s="1015"/>
      <c r="I530" s="1015"/>
      <c r="J530" s="1015"/>
      <c r="K530" s="1015"/>
      <c r="L530" s="1015"/>
      <c r="M530" s="1015"/>
      <c r="N530" s="1015"/>
      <c r="O530" s="1015"/>
    </row>
    <row r="531" spans="1:15" ht="14" x14ac:dyDescent="0.3">
      <c r="A531" s="19" t="s">
        <v>225</v>
      </c>
      <c r="B531" s="19"/>
      <c r="C531" s="260" t="str">
        <f>PETUNJUK!C5</f>
        <v>PECANGAAN</v>
      </c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</row>
    <row r="532" spans="1:15" ht="14" x14ac:dyDescent="0.3">
      <c r="A532" s="19" t="s">
        <v>226</v>
      </c>
      <c r="B532" s="19"/>
      <c r="C532" s="261" t="s">
        <v>405</v>
      </c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</row>
    <row r="533" spans="1:15" ht="14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</row>
    <row r="534" spans="1:15" ht="18" customHeight="1" x14ac:dyDescent="0.25">
      <c r="A534" s="1016" t="s">
        <v>1</v>
      </c>
      <c r="B534" s="1016" t="s">
        <v>116</v>
      </c>
      <c r="C534" s="1017" t="s">
        <v>117</v>
      </c>
      <c r="D534" s="1011" t="s">
        <v>214</v>
      </c>
      <c r="E534" s="1011"/>
      <c r="F534" s="1011"/>
      <c r="G534" s="275" t="s">
        <v>204</v>
      </c>
      <c r="H534" s="1011" t="s">
        <v>213</v>
      </c>
      <c r="I534" s="1011"/>
      <c r="J534" s="1012" t="s">
        <v>132</v>
      </c>
      <c r="K534" s="1013"/>
      <c r="L534" s="1013"/>
      <c r="M534" s="1014"/>
      <c r="N534" s="275" t="s">
        <v>205</v>
      </c>
      <c r="O534" s="1011" t="s">
        <v>206</v>
      </c>
    </row>
    <row r="535" spans="1:15" ht="18" customHeight="1" x14ac:dyDescent="0.25">
      <c r="A535" s="1016"/>
      <c r="B535" s="1016"/>
      <c r="C535" s="1017"/>
      <c r="D535" s="265" t="s">
        <v>193</v>
      </c>
      <c r="E535" s="265" t="s">
        <v>192</v>
      </c>
      <c r="F535" s="265" t="s">
        <v>191</v>
      </c>
      <c r="G535" s="276" t="s">
        <v>207</v>
      </c>
      <c r="H535" s="265" t="s">
        <v>208</v>
      </c>
      <c r="I535" s="265" t="s">
        <v>209</v>
      </c>
      <c r="J535" s="265" t="s">
        <v>210</v>
      </c>
      <c r="K535" s="265" t="s">
        <v>211</v>
      </c>
      <c r="L535" s="265" t="s">
        <v>88</v>
      </c>
      <c r="M535" s="265" t="s">
        <v>18</v>
      </c>
      <c r="N535" s="276" t="s">
        <v>212</v>
      </c>
      <c r="O535" s="1011"/>
    </row>
    <row r="536" spans="1:15" ht="18" customHeight="1" x14ac:dyDescent="0.3">
      <c r="A536" s="265">
        <v>1</v>
      </c>
      <c r="B536" s="266" t="s">
        <v>118</v>
      </c>
      <c r="C536" s="265">
        <f t="shared" ref="C536:L536" si="13">C8+C52+C96+C140+C184+C228+C272+C316+C360+C404+C448+C492</f>
        <v>33</v>
      </c>
      <c r="D536" s="265">
        <f t="shared" si="13"/>
        <v>0</v>
      </c>
      <c r="E536" s="265">
        <f t="shared" si="13"/>
        <v>1</v>
      </c>
      <c r="F536" s="265">
        <f t="shared" si="13"/>
        <v>0</v>
      </c>
      <c r="G536" s="265">
        <f t="shared" si="13"/>
        <v>32</v>
      </c>
      <c r="H536" s="265">
        <f t="shared" si="13"/>
        <v>33</v>
      </c>
      <c r="I536" s="265">
        <f t="shared" si="13"/>
        <v>0</v>
      </c>
      <c r="J536" s="265">
        <f t="shared" si="13"/>
        <v>0</v>
      </c>
      <c r="K536" s="265">
        <f t="shared" si="13"/>
        <v>0</v>
      </c>
      <c r="L536" s="265">
        <f t="shared" si="13"/>
        <v>0</v>
      </c>
      <c r="M536" s="271">
        <f>SUM(J536:L536)</f>
        <v>0</v>
      </c>
      <c r="N536" s="265">
        <f t="shared" ref="N536:N559" si="14">N8+N52+N96+N140+N184+N228+N272+N316+N360+N404+N448+N492</f>
        <v>0</v>
      </c>
      <c r="O536" s="278"/>
    </row>
    <row r="537" spans="1:15" ht="18" customHeight="1" x14ac:dyDescent="0.3">
      <c r="A537" s="265">
        <v>2</v>
      </c>
      <c r="B537" s="266" t="s">
        <v>119</v>
      </c>
      <c r="C537" s="265">
        <f t="shared" ref="C537:L537" si="15">C9+C53+C97+C141+C185+C229+C273+C317+C361+C405+C449+C493</f>
        <v>1</v>
      </c>
      <c r="D537" s="265">
        <f t="shared" si="15"/>
        <v>0</v>
      </c>
      <c r="E537" s="265">
        <f t="shared" si="15"/>
        <v>0</v>
      </c>
      <c r="F537" s="265">
        <f t="shared" si="15"/>
        <v>0</v>
      </c>
      <c r="G537" s="265">
        <f t="shared" si="15"/>
        <v>1</v>
      </c>
      <c r="H537" s="265">
        <f t="shared" si="15"/>
        <v>0</v>
      </c>
      <c r="I537" s="265">
        <f t="shared" si="15"/>
        <v>0</v>
      </c>
      <c r="J537" s="265">
        <f t="shared" si="15"/>
        <v>1</v>
      </c>
      <c r="K537" s="265">
        <f t="shared" si="15"/>
        <v>0</v>
      </c>
      <c r="L537" s="265">
        <f t="shared" si="15"/>
        <v>0</v>
      </c>
      <c r="M537" s="271">
        <f t="shared" ref="M537:M559" si="16">SUM(J537:L537)</f>
        <v>1</v>
      </c>
      <c r="N537" s="265">
        <f t="shared" si="14"/>
        <v>0</v>
      </c>
      <c r="O537" s="278"/>
    </row>
    <row r="538" spans="1:15" ht="18" customHeight="1" x14ac:dyDescent="0.3">
      <c r="A538" s="265">
        <v>3</v>
      </c>
      <c r="B538" s="266" t="s">
        <v>127</v>
      </c>
      <c r="C538" s="265">
        <f t="shared" ref="C538:L538" si="17">C10+C54+C98+C142+C186+C230+C274+C318+C362+C406+C450+C494</f>
        <v>1</v>
      </c>
      <c r="D538" s="265">
        <f t="shared" si="17"/>
        <v>0</v>
      </c>
      <c r="E538" s="265">
        <f t="shared" si="17"/>
        <v>0</v>
      </c>
      <c r="F538" s="265">
        <f t="shared" si="17"/>
        <v>0</v>
      </c>
      <c r="G538" s="265">
        <f t="shared" si="17"/>
        <v>1</v>
      </c>
      <c r="H538" s="265">
        <f t="shared" si="17"/>
        <v>1</v>
      </c>
      <c r="I538" s="265">
        <f t="shared" si="17"/>
        <v>0</v>
      </c>
      <c r="J538" s="265">
        <f t="shared" si="17"/>
        <v>0</v>
      </c>
      <c r="K538" s="265">
        <f t="shared" si="17"/>
        <v>0</v>
      </c>
      <c r="L538" s="265">
        <f t="shared" si="17"/>
        <v>0</v>
      </c>
      <c r="M538" s="271">
        <f t="shared" si="16"/>
        <v>0</v>
      </c>
      <c r="N538" s="265">
        <f t="shared" si="14"/>
        <v>0</v>
      </c>
      <c r="O538" s="278"/>
    </row>
    <row r="539" spans="1:15" ht="18" customHeight="1" x14ac:dyDescent="0.3">
      <c r="A539" s="265">
        <v>4</v>
      </c>
      <c r="B539" s="266" t="s">
        <v>124</v>
      </c>
      <c r="C539" s="265">
        <f t="shared" ref="C539:L539" si="18">C11+C55+C99+C143+C187+C231+C275+C319+C363+C407+C451+C495</f>
        <v>0</v>
      </c>
      <c r="D539" s="265">
        <f t="shared" si="18"/>
        <v>0</v>
      </c>
      <c r="E539" s="265">
        <f t="shared" si="18"/>
        <v>0</v>
      </c>
      <c r="F539" s="265">
        <f t="shared" si="18"/>
        <v>0</v>
      </c>
      <c r="G539" s="265">
        <f t="shared" si="18"/>
        <v>0</v>
      </c>
      <c r="H539" s="265">
        <f t="shared" si="18"/>
        <v>0</v>
      </c>
      <c r="I539" s="265">
        <f t="shared" si="18"/>
        <v>0</v>
      </c>
      <c r="J539" s="265">
        <f t="shared" si="18"/>
        <v>0</v>
      </c>
      <c r="K539" s="265">
        <f t="shared" si="18"/>
        <v>0</v>
      </c>
      <c r="L539" s="265">
        <f t="shared" si="18"/>
        <v>0</v>
      </c>
      <c r="M539" s="271">
        <f t="shared" si="16"/>
        <v>0</v>
      </c>
      <c r="N539" s="265">
        <f t="shared" si="14"/>
        <v>0</v>
      </c>
      <c r="O539" s="278"/>
    </row>
    <row r="540" spans="1:15" ht="18" customHeight="1" x14ac:dyDescent="0.3">
      <c r="A540" s="265">
        <v>5</v>
      </c>
      <c r="B540" s="266" t="s">
        <v>120</v>
      </c>
      <c r="C540" s="265">
        <f t="shared" ref="C540:L540" si="19">C12+C56+C100+C144+C188+C232+C276+C320+C364+C408+C452+C496</f>
        <v>1</v>
      </c>
      <c r="D540" s="265">
        <f t="shared" si="19"/>
        <v>0</v>
      </c>
      <c r="E540" s="265">
        <f t="shared" si="19"/>
        <v>0</v>
      </c>
      <c r="F540" s="265">
        <f t="shared" si="19"/>
        <v>0</v>
      </c>
      <c r="G540" s="265">
        <f t="shared" si="19"/>
        <v>1</v>
      </c>
      <c r="H540" s="265">
        <f t="shared" si="19"/>
        <v>0</v>
      </c>
      <c r="I540" s="265">
        <f t="shared" si="19"/>
        <v>0</v>
      </c>
      <c r="J540" s="265">
        <f t="shared" si="19"/>
        <v>1</v>
      </c>
      <c r="K540" s="265">
        <f t="shared" si="19"/>
        <v>0</v>
      </c>
      <c r="L540" s="265">
        <f t="shared" si="19"/>
        <v>0</v>
      </c>
      <c r="M540" s="271">
        <f t="shared" si="16"/>
        <v>1</v>
      </c>
      <c r="N540" s="265">
        <f t="shared" si="14"/>
        <v>0</v>
      </c>
      <c r="O540" s="278"/>
    </row>
    <row r="541" spans="1:15" ht="18" customHeight="1" x14ac:dyDescent="0.3">
      <c r="A541" s="265">
        <v>6</v>
      </c>
      <c r="B541" s="266" t="s">
        <v>215</v>
      </c>
      <c r="C541" s="265">
        <f t="shared" ref="C541:L541" si="20">C13+C57+C101+C145+C189+C233+C277+C321+C365+C409+C453+C497</f>
        <v>10</v>
      </c>
      <c r="D541" s="265">
        <f t="shared" si="20"/>
        <v>0</v>
      </c>
      <c r="E541" s="265">
        <f t="shared" si="20"/>
        <v>0</v>
      </c>
      <c r="F541" s="265">
        <f t="shared" si="20"/>
        <v>0</v>
      </c>
      <c r="G541" s="265">
        <f t="shared" si="20"/>
        <v>10</v>
      </c>
      <c r="H541" s="265">
        <f t="shared" si="20"/>
        <v>0</v>
      </c>
      <c r="I541" s="265">
        <f t="shared" si="20"/>
        <v>0</v>
      </c>
      <c r="J541" s="265">
        <f t="shared" si="20"/>
        <v>9</v>
      </c>
      <c r="K541" s="265">
        <f t="shared" si="20"/>
        <v>1</v>
      </c>
      <c r="L541" s="265">
        <f t="shared" si="20"/>
        <v>0</v>
      </c>
      <c r="M541" s="271">
        <f t="shared" si="16"/>
        <v>10</v>
      </c>
      <c r="N541" s="265">
        <f t="shared" si="14"/>
        <v>0</v>
      </c>
      <c r="O541" s="278"/>
    </row>
    <row r="542" spans="1:15" ht="18" customHeight="1" x14ac:dyDescent="0.3">
      <c r="A542" s="265">
        <v>7</v>
      </c>
      <c r="B542" s="266" t="s">
        <v>122</v>
      </c>
      <c r="C542" s="265">
        <f t="shared" ref="C542:L542" si="21">C14+C58+C102+C146+C190+C234+C278+C322+C366+C410+C454+C498</f>
        <v>7</v>
      </c>
      <c r="D542" s="265">
        <f t="shared" si="21"/>
        <v>0</v>
      </c>
      <c r="E542" s="265">
        <f t="shared" si="21"/>
        <v>1</v>
      </c>
      <c r="F542" s="265">
        <f t="shared" si="21"/>
        <v>0</v>
      </c>
      <c r="G542" s="265">
        <f t="shared" si="21"/>
        <v>6</v>
      </c>
      <c r="H542" s="265">
        <f t="shared" si="21"/>
        <v>1</v>
      </c>
      <c r="I542" s="265">
        <f t="shared" si="21"/>
        <v>0</v>
      </c>
      <c r="J542" s="265">
        <f t="shared" si="21"/>
        <v>4</v>
      </c>
      <c r="K542" s="265">
        <f t="shared" si="21"/>
        <v>2</v>
      </c>
      <c r="L542" s="265">
        <f t="shared" si="21"/>
        <v>0</v>
      </c>
      <c r="M542" s="271">
        <f t="shared" si="16"/>
        <v>6</v>
      </c>
      <c r="N542" s="265">
        <f t="shared" si="14"/>
        <v>0</v>
      </c>
      <c r="O542" s="278"/>
    </row>
    <row r="543" spans="1:15" ht="18" customHeight="1" x14ac:dyDescent="0.3">
      <c r="A543" s="265">
        <v>8</v>
      </c>
      <c r="B543" s="266" t="s">
        <v>123</v>
      </c>
      <c r="C543" s="265">
        <f t="shared" ref="C543:L543" si="22">C15+C59+C103+C147+C191+C235+C279+C323+C367+C411+C455+C499</f>
        <v>0</v>
      </c>
      <c r="D543" s="265">
        <f t="shared" si="22"/>
        <v>0</v>
      </c>
      <c r="E543" s="265">
        <f t="shared" si="22"/>
        <v>0</v>
      </c>
      <c r="F543" s="265">
        <f t="shared" si="22"/>
        <v>0</v>
      </c>
      <c r="G543" s="265">
        <f t="shared" si="22"/>
        <v>0</v>
      </c>
      <c r="H543" s="265">
        <f t="shared" si="22"/>
        <v>0</v>
      </c>
      <c r="I543" s="265">
        <f t="shared" si="22"/>
        <v>0</v>
      </c>
      <c r="J543" s="265">
        <f t="shared" si="22"/>
        <v>0</v>
      </c>
      <c r="K543" s="265">
        <f t="shared" si="22"/>
        <v>0</v>
      </c>
      <c r="L543" s="265">
        <f t="shared" si="22"/>
        <v>0</v>
      </c>
      <c r="M543" s="271">
        <f t="shared" si="16"/>
        <v>0</v>
      </c>
      <c r="N543" s="265">
        <f t="shared" si="14"/>
        <v>0</v>
      </c>
      <c r="O543" s="278"/>
    </row>
    <row r="544" spans="1:15" ht="18" customHeight="1" x14ac:dyDescent="0.3">
      <c r="A544" s="265">
        <v>9</v>
      </c>
      <c r="B544" s="266" t="s">
        <v>218</v>
      </c>
      <c r="C544" s="265">
        <f t="shared" ref="C544:L544" si="23">C16+C60+C104+C148+C192+C236+C280+C324+C368+C412+C456+C500</f>
        <v>2</v>
      </c>
      <c r="D544" s="265">
        <f t="shared" si="23"/>
        <v>0</v>
      </c>
      <c r="E544" s="265">
        <f t="shared" si="23"/>
        <v>0</v>
      </c>
      <c r="F544" s="265">
        <f t="shared" si="23"/>
        <v>0</v>
      </c>
      <c r="G544" s="265">
        <f t="shared" si="23"/>
        <v>2</v>
      </c>
      <c r="H544" s="265">
        <f t="shared" si="23"/>
        <v>2</v>
      </c>
      <c r="I544" s="265">
        <f t="shared" si="23"/>
        <v>0</v>
      </c>
      <c r="J544" s="265">
        <f t="shared" si="23"/>
        <v>0</v>
      </c>
      <c r="K544" s="265">
        <f t="shared" si="23"/>
        <v>0</v>
      </c>
      <c r="L544" s="265">
        <f t="shared" si="23"/>
        <v>0</v>
      </c>
      <c r="M544" s="271">
        <f t="shared" si="16"/>
        <v>0</v>
      </c>
      <c r="N544" s="265">
        <f t="shared" si="14"/>
        <v>0</v>
      </c>
      <c r="O544" s="278"/>
    </row>
    <row r="545" spans="1:15" ht="18" customHeight="1" x14ac:dyDescent="0.3">
      <c r="A545" s="265">
        <v>10</v>
      </c>
      <c r="B545" s="266" t="s">
        <v>126</v>
      </c>
      <c r="C545" s="265">
        <f t="shared" ref="C545:L545" si="24">C17+C61+C105+C149+C193+C237+C281+C325+C369+C413+C457+C501</f>
        <v>1</v>
      </c>
      <c r="D545" s="265">
        <f t="shared" si="24"/>
        <v>0</v>
      </c>
      <c r="E545" s="265">
        <f t="shared" si="24"/>
        <v>0</v>
      </c>
      <c r="F545" s="265">
        <f t="shared" si="24"/>
        <v>0</v>
      </c>
      <c r="G545" s="265">
        <f t="shared" si="24"/>
        <v>1</v>
      </c>
      <c r="H545" s="265">
        <f t="shared" si="24"/>
        <v>0</v>
      </c>
      <c r="I545" s="265">
        <f t="shared" si="24"/>
        <v>0</v>
      </c>
      <c r="J545" s="265">
        <f t="shared" si="24"/>
        <v>1</v>
      </c>
      <c r="K545" s="265">
        <f t="shared" si="24"/>
        <v>0</v>
      </c>
      <c r="L545" s="265">
        <f t="shared" si="24"/>
        <v>0</v>
      </c>
      <c r="M545" s="271">
        <f t="shared" si="16"/>
        <v>1</v>
      </c>
      <c r="N545" s="265">
        <f t="shared" si="14"/>
        <v>0</v>
      </c>
      <c r="O545" s="278"/>
    </row>
    <row r="546" spans="1:15" ht="18" customHeight="1" x14ac:dyDescent="0.3">
      <c r="A546" s="265">
        <v>11</v>
      </c>
      <c r="B546" s="266" t="s">
        <v>125</v>
      </c>
      <c r="C546" s="265">
        <f t="shared" ref="C546:L546" si="25">C18+C62+C106+C150+C194+C238+C282+C326+C370+C414+C458+C502</f>
        <v>2</v>
      </c>
      <c r="D546" s="265">
        <f t="shared" si="25"/>
        <v>0</v>
      </c>
      <c r="E546" s="265">
        <f t="shared" si="25"/>
        <v>0</v>
      </c>
      <c r="F546" s="265">
        <f t="shared" si="25"/>
        <v>0</v>
      </c>
      <c r="G546" s="265">
        <f t="shared" si="25"/>
        <v>2</v>
      </c>
      <c r="H546" s="265">
        <f t="shared" si="25"/>
        <v>1</v>
      </c>
      <c r="I546" s="265">
        <f t="shared" si="25"/>
        <v>0</v>
      </c>
      <c r="J546" s="265">
        <f t="shared" si="25"/>
        <v>1</v>
      </c>
      <c r="K546" s="265">
        <f t="shared" si="25"/>
        <v>0</v>
      </c>
      <c r="L546" s="265">
        <f t="shared" si="25"/>
        <v>0</v>
      </c>
      <c r="M546" s="271">
        <f t="shared" si="16"/>
        <v>1</v>
      </c>
      <c r="N546" s="265">
        <f t="shared" si="14"/>
        <v>0</v>
      </c>
      <c r="O546" s="278"/>
    </row>
    <row r="547" spans="1:15" ht="18" customHeight="1" x14ac:dyDescent="0.3">
      <c r="A547" s="265">
        <v>12</v>
      </c>
      <c r="B547" s="266" t="s">
        <v>130</v>
      </c>
      <c r="C547" s="265">
        <f t="shared" ref="C547:L547" si="26">C19+C63+C107+C151+C195+C239+C283+C327+C371+C415+C459+C503</f>
        <v>0</v>
      </c>
      <c r="D547" s="265">
        <f t="shared" si="26"/>
        <v>0</v>
      </c>
      <c r="E547" s="265">
        <f t="shared" si="26"/>
        <v>0</v>
      </c>
      <c r="F547" s="265">
        <f t="shared" si="26"/>
        <v>0</v>
      </c>
      <c r="G547" s="265">
        <f t="shared" si="26"/>
        <v>0</v>
      </c>
      <c r="H547" s="265">
        <f t="shared" si="26"/>
        <v>0</v>
      </c>
      <c r="I547" s="265">
        <f t="shared" si="26"/>
        <v>0</v>
      </c>
      <c r="J547" s="265">
        <f t="shared" si="26"/>
        <v>0</v>
      </c>
      <c r="K547" s="265">
        <f t="shared" si="26"/>
        <v>0</v>
      </c>
      <c r="L547" s="265">
        <f t="shared" si="26"/>
        <v>0</v>
      </c>
      <c r="M547" s="271">
        <f t="shared" si="16"/>
        <v>0</v>
      </c>
      <c r="N547" s="265">
        <f t="shared" si="14"/>
        <v>0</v>
      </c>
      <c r="O547" s="278"/>
    </row>
    <row r="548" spans="1:15" ht="18" customHeight="1" x14ac:dyDescent="0.3">
      <c r="A548" s="265">
        <v>13</v>
      </c>
      <c r="B548" s="269" t="s">
        <v>216</v>
      </c>
      <c r="C548" s="265">
        <f t="shared" ref="C548:L548" si="27">C20+C64+C108+C152+C196+C240+C284+C328+C372+C416+C460+C504</f>
        <v>0</v>
      </c>
      <c r="D548" s="265">
        <f t="shared" si="27"/>
        <v>0</v>
      </c>
      <c r="E548" s="265">
        <f t="shared" si="27"/>
        <v>0</v>
      </c>
      <c r="F548" s="265">
        <f t="shared" si="27"/>
        <v>0</v>
      </c>
      <c r="G548" s="265">
        <f t="shared" si="27"/>
        <v>0</v>
      </c>
      <c r="H548" s="265">
        <f t="shared" si="27"/>
        <v>0</v>
      </c>
      <c r="I548" s="265">
        <f t="shared" si="27"/>
        <v>0</v>
      </c>
      <c r="J548" s="265">
        <f t="shared" si="27"/>
        <v>0</v>
      </c>
      <c r="K548" s="265">
        <f t="shared" si="27"/>
        <v>0</v>
      </c>
      <c r="L548" s="265">
        <f t="shared" si="27"/>
        <v>0</v>
      </c>
      <c r="M548" s="271">
        <f t="shared" si="16"/>
        <v>0</v>
      </c>
      <c r="N548" s="265">
        <f t="shared" si="14"/>
        <v>0</v>
      </c>
      <c r="O548" s="278"/>
    </row>
    <row r="549" spans="1:15" ht="18" customHeight="1" x14ac:dyDescent="0.3">
      <c r="A549" s="265">
        <v>14</v>
      </c>
      <c r="B549" s="266" t="s">
        <v>121</v>
      </c>
      <c r="C549" s="265">
        <f t="shared" ref="C549:L549" si="28">C21+C65+C109+C153+C197+C241+C285+C329+C373+C417+C461+C505</f>
        <v>0</v>
      </c>
      <c r="D549" s="265">
        <f t="shared" si="28"/>
        <v>0</v>
      </c>
      <c r="E549" s="265">
        <f t="shared" si="28"/>
        <v>0</v>
      </c>
      <c r="F549" s="265">
        <f t="shared" si="28"/>
        <v>0</v>
      </c>
      <c r="G549" s="265">
        <f t="shared" si="28"/>
        <v>0</v>
      </c>
      <c r="H549" s="265">
        <f t="shared" si="28"/>
        <v>0</v>
      </c>
      <c r="I549" s="265">
        <f t="shared" si="28"/>
        <v>0</v>
      </c>
      <c r="J549" s="265">
        <f t="shared" si="28"/>
        <v>0</v>
      </c>
      <c r="K549" s="265">
        <f t="shared" si="28"/>
        <v>0</v>
      </c>
      <c r="L549" s="265">
        <f t="shared" si="28"/>
        <v>0</v>
      </c>
      <c r="M549" s="271">
        <f t="shared" si="16"/>
        <v>0</v>
      </c>
      <c r="N549" s="265">
        <f t="shared" si="14"/>
        <v>0</v>
      </c>
      <c r="O549" s="278"/>
    </row>
    <row r="550" spans="1:15" ht="18" customHeight="1" x14ac:dyDescent="0.3">
      <c r="A550" s="265">
        <v>15</v>
      </c>
      <c r="B550" s="266" t="s">
        <v>45</v>
      </c>
      <c r="C550" s="265">
        <f t="shared" ref="C550:L550" si="29">C22+C66+C110+C154+C198+C242+C286+C330+C374+C418+C462+C506</f>
        <v>0</v>
      </c>
      <c r="D550" s="265">
        <f t="shared" si="29"/>
        <v>0</v>
      </c>
      <c r="E550" s="265">
        <f t="shared" si="29"/>
        <v>0</v>
      </c>
      <c r="F550" s="265">
        <f t="shared" si="29"/>
        <v>0</v>
      </c>
      <c r="G550" s="265">
        <f t="shared" si="29"/>
        <v>0</v>
      </c>
      <c r="H550" s="265">
        <f t="shared" si="29"/>
        <v>0</v>
      </c>
      <c r="I550" s="265">
        <f t="shared" si="29"/>
        <v>0</v>
      </c>
      <c r="J550" s="265">
        <f t="shared" si="29"/>
        <v>0</v>
      </c>
      <c r="K550" s="265">
        <f t="shared" si="29"/>
        <v>0</v>
      </c>
      <c r="L550" s="265">
        <f t="shared" si="29"/>
        <v>0</v>
      </c>
      <c r="M550" s="271">
        <f t="shared" si="16"/>
        <v>0</v>
      </c>
      <c r="N550" s="265">
        <f t="shared" si="14"/>
        <v>0</v>
      </c>
      <c r="O550" s="278"/>
    </row>
    <row r="551" spans="1:15" ht="18" customHeight="1" x14ac:dyDescent="0.3">
      <c r="A551" s="265">
        <v>16</v>
      </c>
      <c r="B551" s="269" t="s">
        <v>217</v>
      </c>
      <c r="C551" s="265">
        <f t="shared" ref="C551:L551" si="30">C23+C67+C111+C155+C199+C243+C287+C331+C375+C419+C463+C507</f>
        <v>1</v>
      </c>
      <c r="D551" s="265">
        <f t="shared" si="30"/>
        <v>0</v>
      </c>
      <c r="E551" s="265">
        <f t="shared" si="30"/>
        <v>0</v>
      </c>
      <c r="F551" s="265">
        <f t="shared" si="30"/>
        <v>0</v>
      </c>
      <c r="G551" s="265">
        <f t="shared" si="30"/>
        <v>1</v>
      </c>
      <c r="H551" s="265">
        <f t="shared" si="30"/>
        <v>0</v>
      </c>
      <c r="I551" s="265">
        <f t="shared" si="30"/>
        <v>0</v>
      </c>
      <c r="J551" s="265">
        <f t="shared" si="30"/>
        <v>1</v>
      </c>
      <c r="K551" s="265">
        <f t="shared" si="30"/>
        <v>0</v>
      </c>
      <c r="L551" s="265">
        <f t="shared" si="30"/>
        <v>0</v>
      </c>
      <c r="M551" s="271">
        <f t="shared" si="16"/>
        <v>1</v>
      </c>
      <c r="N551" s="265">
        <f t="shared" si="14"/>
        <v>0</v>
      </c>
      <c r="O551" s="278"/>
    </row>
    <row r="552" spans="1:15" ht="18" customHeight="1" x14ac:dyDescent="0.3">
      <c r="A552" s="265">
        <v>17</v>
      </c>
      <c r="B552" s="266" t="s">
        <v>219</v>
      </c>
      <c r="C552" s="265">
        <f t="shared" ref="C552:L552" si="31">C24+C68+C112+C156+C200+C244+C288+C332+C376+C420+C464+C508</f>
        <v>4</v>
      </c>
      <c r="D552" s="265">
        <f t="shared" si="31"/>
        <v>0</v>
      </c>
      <c r="E552" s="265">
        <f t="shared" si="31"/>
        <v>0</v>
      </c>
      <c r="F552" s="265">
        <f t="shared" si="31"/>
        <v>0</v>
      </c>
      <c r="G552" s="265">
        <f t="shared" si="31"/>
        <v>4</v>
      </c>
      <c r="H552" s="265">
        <f t="shared" si="31"/>
        <v>1</v>
      </c>
      <c r="I552" s="265">
        <f t="shared" si="31"/>
        <v>0</v>
      </c>
      <c r="J552" s="265">
        <f t="shared" si="31"/>
        <v>3</v>
      </c>
      <c r="K552" s="265">
        <f t="shared" si="31"/>
        <v>0</v>
      </c>
      <c r="L552" s="265">
        <f t="shared" si="31"/>
        <v>0</v>
      </c>
      <c r="M552" s="271">
        <f t="shared" si="16"/>
        <v>3</v>
      </c>
      <c r="N552" s="265">
        <f t="shared" si="14"/>
        <v>0</v>
      </c>
      <c r="O552" s="278"/>
    </row>
    <row r="553" spans="1:15" ht="18" customHeight="1" x14ac:dyDescent="0.3">
      <c r="A553" s="265">
        <v>18</v>
      </c>
      <c r="B553" s="266" t="s">
        <v>128</v>
      </c>
      <c r="C553" s="265">
        <f t="shared" ref="C553:L553" si="32">C25+C69+C113+C157+C201+C245+C289+C333+C377+C421+C465+C509</f>
        <v>0</v>
      </c>
      <c r="D553" s="265">
        <f t="shared" si="32"/>
        <v>0</v>
      </c>
      <c r="E553" s="265">
        <f t="shared" si="32"/>
        <v>0</v>
      </c>
      <c r="F553" s="265">
        <f t="shared" si="32"/>
        <v>0</v>
      </c>
      <c r="G553" s="265">
        <f t="shared" si="32"/>
        <v>0</v>
      </c>
      <c r="H553" s="265">
        <f t="shared" si="32"/>
        <v>0</v>
      </c>
      <c r="I553" s="265">
        <f t="shared" si="32"/>
        <v>0</v>
      </c>
      <c r="J553" s="265">
        <f t="shared" si="32"/>
        <v>0</v>
      </c>
      <c r="K553" s="265">
        <f t="shared" si="32"/>
        <v>0</v>
      </c>
      <c r="L553" s="265">
        <f t="shared" si="32"/>
        <v>0</v>
      </c>
      <c r="M553" s="271">
        <f t="shared" si="16"/>
        <v>0</v>
      </c>
      <c r="N553" s="265">
        <f t="shared" si="14"/>
        <v>0</v>
      </c>
      <c r="O553" s="278"/>
    </row>
    <row r="554" spans="1:15" ht="18" customHeight="1" x14ac:dyDescent="0.3">
      <c r="A554" s="265">
        <v>19</v>
      </c>
      <c r="B554" s="266" t="s">
        <v>221</v>
      </c>
      <c r="C554" s="265">
        <f t="shared" ref="C554:L554" si="33">C26+C70+C114+C158+C202+C246+C290+C334+C378+C422+C466+C510</f>
        <v>1</v>
      </c>
      <c r="D554" s="265">
        <f t="shared" si="33"/>
        <v>0</v>
      </c>
      <c r="E554" s="265">
        <f t="shared" si="33"/>
        <v>0</v>
      </c>
      <c r="F554" s="265">
        <f t="shared" si="33"/>
        <v>0</v>
      </c>
      <c r="G554" s="265">
        <f t="shared" si="33"/>
        <v>1</v>
      </c>
      <c r="H554" s="265">
        <f t="shared" si="33"/>
        <v>1</v>
      </c>
      <c r="I554" s="265">
        <f t="shared" si="33"/>
        <v>0</v>
      </c>
      <c r="J554" s="265">
        <f t="shared" si="33"/>
        <v>0</v>
      </c>
      <c r="K554" s="265">
        <f t="shared" si="33"/>
        <v>0</v>
      </c>
      <c r="L554" s="265">
        <f t="shared" si="33"/>
        <v>0</v>
      </c>
      <c r="M554" s="271">
        <f t="shared" si="16"/>
        <v>0</v>
      </c>
      <c r="N554" s="265">
        <f t="shared" si="14"/>
        <v>0</v>
      </c>
      <c r="O554" s="278"/>
    </row>
    <row r="555" spans="1:15" ht="18" customHeight="1" x14ac:dyDescent="0.3">
      <c r="A555" s="265">
        <v>20</v>
      </c>
      <c r="B555" s="266" t="s">
        <v>220</v>
      </c>
      <c r="C555" s="265">
        <f t="shared" ref="C555:L555" si="34">C27+C71+C115+C159+C203+C247+C291+C335+C379+C423+C467+C511</f>
        <v>0</v>
      </c>
      <c r="D555" s="265">
        <f t="shared" si="34"/>
        <v>0</v>
      </c>
      <c r="E555" s="265">
        <f t="shared" si="34"/>
        <v>0</v>
      </c>
      <c r="F555" s="265">
        <f t="shared" si="34"/>
        <v>0</v>
      </c>
      <c r="G555" s="265">
        <f t="shared" si="34"/>
        <v>0</v>
      </c>
      <c r="H555" s="265">
        <f t="shared" si="34"/>
        <v>0</v>
      </c>
      <c r="I555" s="265">
        <f t="shared" si="34"/>
        <v>0</v>
      </c>
      <c r="J555" s="265">
        <f t="shared" si="34"/>
        <v>0</v>
      </c>
      <c r="K555" s="265">
        <f t="shared" si="34"/>
        <v>0</v>
      </c>
      <c r="L555" s="265">
        <f t="shared" si="34"/>
        <v>0</v>
      </c>
      <c r="M555" s="271">
        <f t="shared" si="16"/>
        <v>0</v>
      </c>
      <c r="N555" s="265">
        <f t="shared" si="14"/>
        <v>0</v>
      </c>
      <c r="O555" s="278"/>
    </row>
    <row r="556" spans="1:15" ht="18" customHeight="1" x14ac:dyDescent="0.3">
      <c r="A556" s="265">
        <v>21</v>
      </c>
      <c r="B556" s="266" t="s">
        <v>222</v>
      </c>
      <c r="C556" s="265">
        <f t="shared" ref="C556:L556" si="35">C28+C72+C116+C160+C204+C248+C292+C336+C380+C424+C468+C512</f>
        <v>0</v>
      </c>
      <c r="D556" s="265">
        <f t="shared" si="35"/>
        <v>0</v>
      </c>
      <c r="E556" s="265">
        <f t="shared" si="35"/>
        <v>0</v>
      </c>
      <c r="F556" s="265">
        <f t="shared" si="35"/>
        <v>0</v>
      </c>
      <c r="G556" s="265">
        <f t="shared" si="35"/>
        <v>0</v>
      </c>
      <c r="H556" s="265">
        <f t="shared" si="35"/>
        <v>0</v>
      </c>
      <c r="I556" s="265">
        <f t="shared" si="35"/>
        <v>0</v>
      </c>
      <c r="J556" s="265">
        <f t="shared" si="35"/>
        <v>0</v>
      </c>
      <c r="K556" s="265">
        <f t="shared" si="35"/>
        <v>0</v>
      </c>
      <c r="L556" s="265">
        <f t="shared" si="35"/>
        <v>0</v>
      </c>
      <c r="M556" s="271">
        <f t="shared" si="16"/>
        <v>0</v>
      </c>
      <c r="N556" s="265">
        <f t="shared" si="14"/>
        <v>0</v>
      </c>
      <c r="O556" s="278"/>
    </row>
    <row r="557" spans="1:15" ht="18" customHeight="1" x14ac:dyDescent="0.3">
      <c r="A557" s="265">
        <v>22</v>
      </c>
      <c r="B557" s="266" t="s">
        <v>223</v>
      </c>
      <c r="C557" s="265">
        <f t="shared" ref="C557:L557" si="36">C29+C73+C117+C161+C205+C249+C293+C337+C381+C425+C469+C513</f>
        <v>0</v>
      </c>
      <c r="D557" s="265">
        <f t="shared" si="36"/>
        <v>0</v>
      </c>
      <c r="E557" s="265">
        <f t="shared" si="36"/>
        <v>0</v>
      </c>
      <c r="F557" s="265">
        <f t="shared" si="36"/>
        <v>0</v>
      </c>
      <c r="G557" s="265">
        <f t="shared" si="36"/>
        <v>0</v>
      </c>
      <c r="H557" s="265">
        <f t="shared" si="36"/>
        <v>0</v>
      </c>
      <c r="I557" s="265">
        <f t="shared" si="36"/>
        <v>0</v>
      </c>
      <c r="J557" s="265">
        <f t="shared" si="36"/>
        <v>0</v>
      </c>
      <c r="K557" s="265">
        <f t="shared" si="36"/>
        <v>0</v>
      </c>
      <c r="L557" s="265">
        <f t="shared" si="36"/>
        <v>0</v>
      </c>
      <c r="M557" s="271">
        <f t="shared" si="16"/>
        <v>0</v>
      </c>
      <c r="N557" s="265">
        <f t="shared" si="14"/>
        <v>0</v>
      </c>
      <c r="O557" s="278"/>
    </row>
    <row r="558" spans="1:15" ht="18" customHeight="1" x14ac:dyDescent="0.3">
      <c r="A558" s="265">
        <v>23</v>
      </c>
      <c r="B558" s="269" t="s">
        <v>224</v>
      </c>
      <c r="C558" s="265">
        <f t="shared" ref="C558:L558" si="37">C30+C74+C118+C162+C206+C250+C294+C338+C382+C426+C470+C514</f>
        <v>2</v>
      </c>
      <c r="D558" s="265">
        <f t="shared" si="37"/>
        <v>0</v>
      </c>
      <c r="E558" s="265">
        <f t="shared" si="37"/>
        <v>0</v>
      </c>
      <c r="F558" s="265">
        <f t="shared" si="37"/>
        <v>0</v>
      </c>
      <c r="G558" s="265">
        <f t="shared" si="37"/>
        <v>2</v>
      </c>
      <c r="H558" s="265">
        <f t="shared" si="37"/>
        <v>2</v>
      </c>
      <c r="I558" s="265">
        <f t="shared" si="37"/>
        <v>0</v>
      </c>
      <c r="J558" s="265">
        <f t="shared" si="37"/>
        <v>0</v>
      </c>
      <c r="K558" s="265">
        <f t="shared" si="37"/>
        <v>0</v>
      </c>
      <c r="L558" s="265">
        <f t="shared" si="37"/>
        <v>0</v>
      </c>
      <c r="M558" s="271">
        <f t="shared" si="16"/>
        <v>0</v>
      </c>
      <c r="N558" s="265">
        <f t="shared" si="14"/>
        <v>0</v>
      </c>
      <c r="O558" s="278"/>
    </row>
    <row r="559" spans="1:15" ht="18" customHeight="1" x14ac:dyDescent="0.3">
      <c r="A559" s="265">
        <v>24</v>
      </c>
      <c r="B559" s="266" t="s">
        <v>129</v>
      </c>
      <c r="C559" s="265">
        <f t="shared" ref="C559:L559" si="38">C31+C75+C119+C163+C207+C251+C295+C339+C383+C427+C471+C515</f>
        <v>1</v>
      </c>
      <c r="D559" s="265">
        <f t="shared" si="38"/>
        <v>0</v>
      </c>
      <c r="E559" s="265">
        <f t="shared" si="38"/>
        <v>0</v>
      </c>
      <c r="F559" s="265">
        <f t="shared" si="38"/>
        <v>0</v>
      </c>
      <c r="G559" s="265">
        <f t="shared" si="38"/>
        <v>1</v>
      </c>
      <c r="H559" s="265">
        <f t="shared" si="38"/>
        <v>0</v>
      </c>
      <c r="I559" s="265">
        <f t="shared" si="38"/>
        <v>0</v>
      </c>
      <c r="J559" s="265">
        <f t="shared" si="38"/>
        <v>0</v>
      </c>
      <c r="K559" s="265">
        <f t="shared" si="38"/>
        <v>1</v>
      </c>
      <c r="L559" s="265">
        <f t="shared" si="38"/>
        <v>0</v>
      </c>
      <c r="M559" s="271">
        <f t="shared" si="16"/>
        <v>1</v>
      </c>
      <c r="N559" s="265">
        <f t="shared" si="14"/>
        <v>0</v>
      </c>
      <c r="O559" s="278"/>
    </row>
    <row r="560" spans="1:15" ht="18" customHeight="1" x14ac:dyDescent="0.3">
      <c r="A560" s="265">
        <v>25</v>
      </c>
      <c r="B560" s="270"/>
      <c r="C560" s="265"/>
      <c r="D560" s="265"/>
      <c r="E560" s="265"/>
      <c r="F560" s="265"/>
      <c r="G560" s="265"/>
      <c r="H560" s="265"/>
      <c r="I560" s="265"/>
      <c r="J560" s="265"/>
      <c r="K560" s="265"/>
      <c r="L560" s="265"/>
      <c r="M560" s="271"/>
      <c r="N560" s="265"/>
      <c r="O560" s="278"/>
    </row>
    <row r="561" spans="1:15" ht="18" customHeight="1" x14ac:dyDescent="0.3">
      <c r="A561" s="265">
        <v>26</v>
      </c>
      <c r="B561" s="270"/>
      <c r="C561" s="265"/>
      <c r="D561" s="265"/>
      <c r="E561" s="265"/>
      <c r="F561" s="265"/>
      <c r="G561" s="265"/>
      <c r="H561" s="265"/>
      <c r="I561" s="265"/>
      <c r="J561" s="265"/>
      <c r="K561" s="265"/>
      <c r="L561" s="265"/>
      <c r="M561" s="271"/>
      <c r="N561" s="265"/>
      <c r="O561" s="278"/>
    </row>
    <row r="562" spans="1:15" ht="18" customHeight="1" x14ac:dyDescent="0.3">
      <c r="A562" s="265">
        <v>27</v>
      </c>
      <c r="B562" s="270"/>
      <c r="C562" s="265"/>
      <c r="D562" s="265"/>
      <c r="E562" s="265"/>
      <c r="F562" s="265"/>
      <c r="G562" s="265"/>
      <c r="H562" s="265"/>
      <c r="I562" s="265"/>
      <c r="J562" s="265"/>
      <c r="K562" s="265"/>
      <c r="L562" s="265"/>
      <c r="M562" s="271"/>
      <c r="N562" s="265"/>
      <c r="O562" s="278"/>
    </row>
    <row r="563" spans="1:15" ht="18" customHeight="1" x14ac:dyDescent="0.3">
      <c r="A563" s="265">
        <v>28</v>
      </c>
      <c r="B563" s="270"/>
      <c r="C563" s="265"/>
      <c r="D563" s="265"/>
      <c r="E563" s="265"/>
      <c r="F563" s="265"/>
      <c r="G563" s="265"/>
      <c r="H563" s="265"/>
      <c r="I563" s="265"/>
      <c r="J563" s="265"/>
      <c r="K563" s="265"/>
      <c r="L563" s="265"/>
      <c r="M563" s="271"/>
      <c r="N563" s="265"/>
      <c r="O563" s="278"/>
    </row>
    <row r="564" spans="1:15" ht="18" customHeight="1" x14ac:dyDescent="0.3">
      <c r="A564" s="265">
        <v>29</v>
      </c>
      <c r="B564" s="270"/>
      <c r="C564" s="265"/>
      <c r="D564" s="265"/>
      <c r="E564" s="265"/>
      <c r="F564" s="265"/>
      <c r="G564" s="265"/>
      <c r="H564" s="265"/>
      <c r="I564" s="265"/>
      <c r="J564" s="265"/>
      <c r="K564" s="265"/>
      <c r="L564" s="265"/>
      <c r="M564" s="271"/>
      <c r="N564" s="265"/>
      <c r="O564" s="278"/>
    </row>
    <row r="565" spans="1:15" ht="18" customHeight="1" x14ac:dyDescent="0.3">
      <c r="A565" s="265">
        <v>30</v>
      </c>
      <c r="B565" s="270"/>
      <c r="C565" s="265"/>
      <c r="D565" s="265"/>
      <c r="E565" s="265"/>
      <c r="F565" s="265"/>
      <c r="G565" s="265"/>
      <c r="H565" s="265"/>
      <c r="I565" s="265"/>
      <c r="J565" s="265"/>
      <c r="K565" s="265"/>
      <c r="L565" s="265"/>
      <c r="M565" s="271"/>
      <c r="N565" s="265"/>
      <c r="O565" s="278"/>
    </row>
    <row r="566" spans="1:15" ht="18" customHeight="1" x14ac:dyDescent="0.3">
      <c r="A566" s="265">
        <v>31</v>
      </c>
      <c r="B566" s="270"/>
      <c r="C566" s="265"/>
      <c r="D566" s="265"/>
      <c r="E566" s="265"/>
      <c r="F566" s="265"/>
      <c r="G566" s="265"/>
      <c r="H566" s="265"/>
      <c r="I566" s="265"/>
      <c r="J566" s="265"/>
      <c r="K566" s="265"/>
      <c r="L566" s="265"/>
      <c r="M566" s="271"/>
      <c r="N566" s="265"/>
      <c r="O566" s="278"/>
    </row>
    <row r="567" spans="1:15" ht="18" customHeight="1" x14ac:dyDescent="0.3">
      <c r="A567" s="265">
        <v>32</v>
      </c>
      <c r="B567" s="270"/>
      <c r="C567" s="265"/>
      <c r="D567" s="265"/>
      <c r="E567" s="265"/>
      <c r="F567" s="265"/>
      <c r="G567" s="265"/>
      <c r="H567" s="265"/>
      <c r="I567" s="265"/>
      <c r="J567" s="265"/>
      <c r="K567" s="265"/>
      <c r="L567" s="265"/>
      <c r="M567" s="271"/>
      <c r="N567" s="265"/>
      <c r="O567" s="278"/>
    </row>
    <row r="568" spans="1:15" ht="18" customHeight="1" x14ac:dyDescent="0.3">
      <c r="A568" s="265">
        <v>33</v>
      </c>
      <c r="B568" s="268"/>
      <c r="C568" s="265"/>
      <c r="D568" s="265"/>
      <c r="E568" s="265"/>
      <c r="F568" s="265"/>
      <c r="G568" s="265"/>
      <c r="H568" s="265"/>
      <c r="I568" s="265"/>
      <c r="J568" s="265"/>
      <c r="K568" s="265"/>
      <c r="L568" s="265"/>
      <c r="M568" s="271"/>
      <c r="N568" s="265"/>
      <c r="O568" s="278"/>
    </row>
    <row r="569" spans="1:15" ht="18" customHeight="1" x14ac:dyDescent="0.3">
      <c r="A569" s="265">
        <v>34</v>
      </c>
      <c r="B569" s="268"/>
      <c r="C569" s="265"/>
      <c r="D569" s="265"/>
      <c r="E569" s="265"/>
      <c r="F569" s="265"/>
      <c r="G569" s="265"/>
      <c r="H569" s="265"/>
      <c r="I569" s="265"/>
      <c r="J569" s="265"/>
      <c r="K569" s="265"/>
      <c r="L569" s="265"/>
      <c r="M569" s="271"/>
      <c r="N569" s="265"/>
      <c r="O569" s="278"/>
    </row>
    <row r="570" spans="1:15" ht="18" customHeight="1" x14ac:dyDescent="0.3">
      <c r="A570" s="265">
        <v>35</v>
      </c>
      <c r="B570" s="268"/>
      <c r="C570" s="265"/>
      <c r="D570" s="265"/>
      <c r="E570" s="265"/>
      <c r="F570" s="265"/>
      <c r="G570" s="265"/>
      <c r="H570" s="265"/>
      <c r="I570" s="265"/>
      <c r="J570" s="265"/>
      <c r="K570" s="265"/>
      <c r="L570" s="265"/>
      <c r="M570" s="271"/>
      <c r="N570" s="265"/>
      <c r="O570" s="278"/>
    </row>
    <row r="571" spans="1:15" ht="18" customHeight="1" x14ac:dyDescent="0.3">
      <c r="A571" s="267"/>
      <c r="B571" s="272" t="s">
        <v>18</v>
      </c>
      <c r="C571" s="265">
        <f t="shared" ref="C571:M571" si="39">SUM(C536:C570)</f>
        <v>67</v>
      </c>
      <c r="D571" s="265">
        <f t="shared" si="39"/>
        <v>0</v>
      </c>
      <c r="E571" s="265">
        <f t="shared" si="39"/>
        <v>2</v>
      </c>
      <c r="F571" s="265">
        <f t="shared" si="39"/>
        <v>0</v>
      </c>
      <c r="G571" s="265">
        <f t="shared" si="39"/>
        <v>65</v>
      </c>
      <c r="H571" s="265">
        <f t="shared" si="39"/>
        <v>42</v>
      </c>
      <c r="I571" s="265">
        <f t="shared" si="39"/>
        <v>0</v>
      </c>
      <c r="J571" s="265">
        <f t="shared" si="39"/>
        <v>21</v>
      </c>
      <c r="K571" s="265">
        <f t="shared" si="39"/>
        <v>4</v>
      </c>
      <c r="L571" s="265">
        <f t="shared" si="39"/>
        <v>0</v>
      </c>
      <c r="M571" s="265">
        <f t="shared" si="39"/>
        <v>25</v>
      </c>
      <c r="N571" s="265">
        <f>SUM(N536:N570)</f>
        <v>0</v>
      </c>
      <c r="O571" s="278"/>
    </row>
  </sheetData>
  <mergeCells count="104">
    <mergeCell ref="A486:O486"/>
    <mergeCell ref="A490:A491"/>
    <mergeCell ref="B490:B491"/>
    <mergeCell ref="C490:C491"/>
    <mergeCell ref="D490:F490"/>
    <mergeCell ref="A178:O178"/>
    <mergeCell ref="A182:A183"/>
    <mergeCell ref="B182:B183"/>
    <mergeCell ref="C182:C183"/>
    <mergeCell ref="D182:F182"/>
    <mergeCell ref="A266:O266"/>
    <mergeCell ref="A270:A271"/>
    <mergeCell ref="B270:B271"/>
    <mergeCell ref="C270:C271"/>
    <mergeCell ref="A222:O222"/>
    <mergeCell ref="A226:A227"/>
    <mergeCell ref="B226:B227"/>
    <mergeCell ref="C226:C227"/>
    <mergeCell ref="D226:F226"/>
    <mergeCell ref="H226:I226"/>
    <mergeCell ref="J226:M226"/>
    <mergeCell ref="O226:O227"/>
    <mergeCell ref="D270:F270"/>
    <mergeCell ref="H270:I270"/>
    <mergeCell ref="A50:A51"/>
    <mergeCell ref="B50:B51"/>
    <mergeCell ref="C50:C51"/>
    <mergeCell ref="D50:F50"/>
    <mergeCell ref="H50:I50"/>
    <mergeCell ref="J50:M50"/>
    <mergeCell ref="O50:O51"/>
    <mergeCell ref="A90:O90"/>
    <mergeCell ref="A94:A95"/>
    <mergeCell ref="B94:B95"/>
    <mergeCell ref="C94:C95"/>
    <mergeCell ref="D94:F94"/>
    <mergeCell ref="H94:I94"/>
    <mergeCell ref="J94:M94"/>
    <mergeCell ref="O94:O95"/>
    <mergeCell ref="A6:A7"/>
    <mergeCell ref="B6:B7"/>
    <mergeCell ref="C6:C7"/>
    <mergeCell ref="D6:F6"/>
    <mergeCell ref="H6:I6"/>
    <mergeCell ref="O6:O7"/>
    <mergeCell ref="A1:O1"/>
    <mergeCell ref="J6:M6"/>
    <mergeCell ref="A46:O46"/>
    <mergeCell ref="A134:O134"/>
    <mergeCell ref="A138:A139"/>
    <mergeCell ref="B138:B139"/>
    <mergeCell ref="C138:C139"/>
    <mergeCell ref="D138:F138"/>
    <mergeCell ref="H138:I138"/>
    <mergeCell ref="J138:M138"/>
    <mergeCell ref="O138:O139"/>
    <mergeCell ref="H182:I182"/>
    <mergeCell ref="J182:M182"/>
    <mergeCell ref="O182:O183"/>
    <mergeCell ref="J270:M270"/>
    <mergeCell ref="O270:O271"/>
    <mergeCell ref="A310:O310"/>
    <mergeCell ref="A314:A315"/>
    <mergeCell ref="B314:B315"/>
    <mergeCell ref="C314:C315"/>
    <mergeCell ref="D314:F314"/>
    <mergeCell ref="H314:I314"/>
    <mergeCell ref="J314:M314"/>
    <mergeCell ref="O314:O315"/>
    <mergeCell ref="A354:O354"/>
    <mergeCell ref="A358:A359"/>
    <mergeCell ref="B358:B359"/>
    <mergeCell ref="C358:C359"/>
    <mergeCell ref="D358:F358"/>
    <mergeCell ref="H358:I358"/>
    <mergeCell ref="J358:M358"/>
    <mergeCell ref="O358:O359"/>
    <mergeCell ref="A398:O398"/>
    <mergeCell ref="D402:F402"/>
    <mergeCell ref="H402:I402"/>
    <mergeCell ref="J402:M402"/>
    <mergeCell ref="O402:O403"/>
    <mergeCell ref="A442:O442"/>
    <mergeCell ref="A446:A447"/>
    <mergeCell ref="B446:B447"/>
    <mergeCell ref="C446:C447"/>
    <mergeCell ref="D446:F446"/>
    <mergeCell ref="H446:I446"/>
    <mergeCell ref="J446:M446"/>
    <mergeCell ref="O446:O447"/>
    <mergeCell ref="A402:A403"/>
    <mergeCell ref="B402:B403"/>
    <mergeCell ref="C402:C403"/>
    <mergeCell ref="H490:I490"/>
    <mergeCell ref="J490:M490"/>
    <mergeCell ref="O490:O491"/>
    <mergeCell ref="A530:O530"/>
    <mergeCell ref="A534:A535"/>
    <mergeCell ref="B534:B535"/>
    <mergeCell ref="C534:C535"/>
    <mergeCell ref="D534:F534"/>
    <mergeCell ref="H534:I534"/>
    <mergeCell ref="J534:M534"/>
    <mergeCell ref="O534:O535"/>
  </mergeCells>
  <phoneticPr fontId="0" type="noConversion"/>
  <pageMargins left="0.31496062992125984" right="0.19685039370078741" top="0.31496062992125984" bottom="0.15748031496062992" header="0.31496062992125984" footer="0.31496062992125984"/>
  <pageSetup paperSize="256" scale="90" orientation="landscape" r:id="rId1"/>
  <rowBreaks count="12" manualBreakCount="12">
    <brk id="45" max="16383" man="1"/>
    <brk id="89" max="16383" man="1"/>
    <brk id="133" max="16383" man="1"/>
    <brk id="177" max="16383" man="1"/>
    <brk id="221" max="16383" man="1"/>
    <brk id="265" max="16383" man="1"/>
    <brk id="309" max="16383" man="1"/>
    <brk id="353" max="16383" man="1"/>
    <brk id="397" max="16383" man="1"/>
    <brk id="441" max="16383" man="1"/>
    <brk id="485" max="16383" man="1"/>
    <brk id="529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70C0"/>
  </sheetPr>
  <dimension ref="A1:AJ409"/>
  <sheetViews>
    <sheetView topLeftCell="A92" zoomScale="85" zoomScaleNormal="85" workbookViewId="0">
      <selection activeCell="O101" sqref="O101"/>
    </sheetView>
  </sheetViews>
  <sheetFormatPr defaultRowHeight="15.5" x14ac:dyDescent="0.35"/>
  <cols>
    <col min="1" max="1" width="8.7265625" style="30"/>
    <col min="2" max="2" width="21.1796875" style="30" bestFit="1" customWidth="1"/>
    <col min="3" max="3" width="11" style="30" customWidth="1"/>
    <col min="4" max="5" width="8.7265625" style="30"/>
    <col min="6" max="6" width="21.54296875" style="30" customWidth="1"/>
    <col min="7" max="7" width="18" style="30" customWidth="1"/>
    <col min="8" max="8" width="21.7265625" style="30" customWidth="1"/>
    <col min="9" max="9" width="13" style="30" customWidth="1"/>
    <col min="10" max="10" width="18.54296875" style="30" customWidth="1"/>
    <col min="11" max="11" width="17.1796875" style="30" customWidth="1"/>
    <col min="12" max="12" width="23.81640625" style="30" customWidth="1"/>
    <col min="13" max="13" width="18.453125" style="30" customWidth="1"/>
    <col min="14" max="14" width="17.453125" style="30" customWidth="1"/>
    <col min="15" max="15" width="17.81640625" style="30" customWidth="1"/>
    <col min="16" max="16" width="24.26953125" style="30" customWidth="1"/>
  </cols>
  <sheetData>
    <row r="1" spans="1:36" s="16" customFormat="1" x14ac:dyDescent="0.35">
      <c r="A1" s="1029" t="s">
        <v>425</v>
      </c>
      <c r="B1" s="1029"/>
      <c r="C1" s="1029"/>
      <c r="D1" s="1029"/>
      <c r="E1" s="1029"/>
      <c r="F1" s="1029"/>
      <c r="G1" s="1029"/>
      <c r="H1" s="1029"/>
      <c r="I1" s="1029"/>
      <c r="J1" s="1029"/>
      <c r="K1" s="1029"/>
      <c r="L1" s="1029"/>
      <c r="M1" s="1029"/>
      <c r="N1" s="1029"/>
      <c r="O1" s="1029"/>
      <c r="P1" s="1029"/>
      <c r="Q1" s="689"/>
      <c r="R1" s="689"/>
      <c r="S1" s="689"/>
      <c r="T1" s="689"/>
      <c r="U1" s="689"/>
      <c r="V1" s="689"/>
      <c r="W1" s="689"/>
      <c r="X1" s="689"/>
      <c r="Y1" s="689"/>
      <c r="Z1" s="689"/>
      <c r="AA1" s="689"/>
      <c r="AB1" s="689"/>
      <c r="AC1" s="689"/>
      <c r="AD1" s="689"/>
      <c r="AE1" s="689"/>
      <c r="AF1" s="689"/>
      <c r="AG1" s="689"/>
      <c r="AH1" s="689"/>
      <c r="AI1" s="689"/>
      <c r="AJ1" s="689"/>
    </row>
    <row r="2" spans="1:36" s="17" customFormat="1" x14ac:dyDescent="0.35">
      <c r="A2" s="1029" t="s">
        <v>426</v>
      </c>
      <c r="B2" s="1029"/>
      <c r="C2" s="691" t="str">
        <f>PETUNJUK!C5</f>
        <v>PECANGAAN</v>
      </c>
      <c r="D2" s="690"/>
      <c r="E2" s="690"/>
      <c r="F2" s="690"/>
      <c r="G2" s="690"/>
      <c r="H2" s="690"/>
      <c r="I2" s="690"/>
      <c r="J2" s="690"/>
      <c r="K2" s="690"/>
      <c r="L2" s="690"/>
      <c r="M2" s="690"/>
      <c r="N2" s="690"/>
      <c r="O2" s="690"/>
      <c r="P2" s="690"/>
      <c r="Q2" s="690"/>
      <c r="R2" s="690"/>
      <c r="S2" s="690"/>
      <c r="T2" s="690"/>
      <c r="U2" s="690"/>
      <c r="V2" s="690"/>
      <c r="W2" s="690"/>
      <c r="X2" s="690"/>
      <c r="Y2" s="690"/>
      <c r="Z2" s="690"/>
      <c r="AA2" s="690"/>
      <c r="AB2" s="690"/>
      <c r="AC2" s="690"/>
      <c r="AD2" s="690"/>
      <c r="AE2" s="690"/>
      <c r="AF2" s="690"/>
      <c r="AG2" s="692"/>
      <c r="AH2" s="692"/>
      <c r="AI2" s="692"/>
      <c r="AJ2" s="692"/>
    </row>
    <row r="3" spans="1:36" s="17" customFormat="1" x14ac:dyDescent="0.35">
      <c r="A3" s="1029" t="s">
        <v>0</v>
      </c>
      <c r="B3" s="1029"/>
      <c r="C3" s="1031" t="s">
        <v>393</v>
      </c>
      <c r="D3" s="1031"/>
      <c r="E3" s="690"/>
      <c r="F3" s="690"/>
      <c r="G3" s="690"/>
      <c r="H3" s="690"/>
      <c r="I3" s="690"/>
      <c r="J3" s="690"/>
      <c r="K3" s="690"/>
      <c r="L3" s="690"/>
      <c r="M3" s="690"/>
      <c r="N3" s="690"/>
      <c r="O3" s="690"/>
      <c r="P3" s="690"/>
      <c r="Q3" s="690"/>
      <c r="R3" s="690"/>
      <c r="S3" s="690"/>
      <c r="T3" s="690"/>
      <c r="U3" s="690"/>
      <c r="V3" s="690"/>
      <c r="W3" s="690"/>
      <c r="X3" s="690"/>
      <c r="Y3" s="690"/>
      <c r="Z3" s="690"/>
      <c r="AA3" s="690"/>
      <c r="AB3" s="690"/>
      <c r="AC3" s="690"/>
      <c r="AD3" s="690"/>
      <c r="AE3" s="690"/>
      <c r="AF3" s="690"/>
      <c r="AG3" s="692"/>
      <c r="AH3" s="692"/>
      <c r="AI3" s="692"/>
      <c r="AJ3" s="692"/>
    </row>
    <row r="5" spans="1:36" ht="15.65" customHeight="1" x14ac:dyDescent="0.35">
      <c r="A5" s="754" t="s">
        <v>1</v>
      </c>
      <c r="B5" s="754" t="s">
        <v>2</v>
      </c>
      <c r="C5" s="754" t="s">
        <v>174</v>
      </c>
      <c r="D5" s="754"/>
      <c r="E5" s="754"/>
      <c r="F5" s="1024" t="s">
        <v>440</v>
      </c>
      <c r="G5" s="1024" t="s">
        <v>441</v>
      </c>
      <c r="H5" s="1024" t="s">
        <v>444</v>
      </c>
      <c r="I5" s="964" t="s">
        <v>442</v>
      </c>
      <c r="J5" s="964" t="s">
        <v>428</v>
      </c>
      <c r="K5" s="964" t="s">
        <v>443</v>
      </c>
      <c r="L5" s="964" t="s">
        <v>430</v>
      </c>
      <c r="M5" s="964" t="s">
        <v>432</v>
      </c>
      <c r="N5" s="964" t="s">
        <v>431</v>
      </c>
      <c r="O5" s="1032" t="s">
        <v>433</v>
      </c>
      <c r="P5" s="1032" t="s">
        <v>434</v>
      </c>
    </row>
    <row r="6" spans="1:36" ht="15.65" customHeight="1" x14ac:dyDescent="0.35">
      <c r="A6" s="754"/>
      <c r="B6" s="754"/>
      <c r="C6" s="732" t="s">
        <v>5</v>
      </c>
      <c r="D6" s="732" t="s">
        <v>6</v>
      </c>
      <c r="E6" s="732" t="s">
        <v>133</v>
      </c>
      <c r="F6" s="1025"/>
      <c r="G6" s="1027"/>
      <c r="H6" s="1025"/>
      <c r="I6" s="1033"/>
      <c r="J6" s="1033"/>
      <c r="K6" s="1033"/>
      <c r="L6" s="1033"/>
      <c r="M6" s="1033"/>
      <c r="N6" s="964"/>
      <c r="O6" s="962"/>
      <c r="P6" s="962"/>
    </row>
    <row r="7" spans="1:36" ht="71.5" customHeight="1" x14ac:dyDescent="0.35">
      <c r="A7" s="754"/>
      <c r="B7" s="754"/>
      <c r="C7" s="732"/>
      <c r="D7" s="732"/>
      <c r="E7" s="732"/>
      <c r="F7" s="1026"/>
      <c r="G7" s="1028"/>
      <c r="H7" s="1026"/>
      <c r="I7" s="1033"/>
      <c r="J7" s="1033"/>
      <c r="K7" s="1033"/>
      <c r="L7" s="1033"/>
      <c r="M7" s="1033"/>
      <c r="N7" s="964"/>
      <c r="O7" s="963"/>
      <c r="P7" s="963"/>
    </row>
    <row r="8" spans="1:36" x14ac:dyDescent="0.35">
      <c r="A8" s="507">
        <v>1</v>
      </c>
      <c r="B8" s="702" t="str">
        <f>PETUNJUK!B9</f>
        <v>Pecangaan Kulon</v>
      </c>
      <c r="C8" s="346">
        <f>'1.DATA KIA'!C9</f>
        <v>101.2</v>
      </c>
      <c r="D8" s="346">
        <f>'1.DATA KIA'!D9</f>
        <v>96.600000000000009</v>
      </c>
      <c r="E8" s="507">
        <f>C8*20%</f>
        <v>20.240000000000002</v>
      </c>
      <c r="F8" s="676">
        <f>'1.DATA KIA'!F9</f>
        <v>7</v>
      </c>
      <c r="G8" s="676">
        <f>'1.DATA KIA'!F9</f>
        <v>7</v>
      </c>
      <c r="H8" s="676">
        <f>'1.DATA KIA'!J9</f>
        <v>6</v>
      </c>
      <c r="I8" s="698">
        <f>F8</f>
        <v>7</v>
      </c>
      <c r="J8" s="698">
        <f>F8</f>
        <v>7</v>
      </c>
      <c r="K8" s="695"/>
      <c r="L8" s="695"/>
      <c r="M8" s="695"/>
      <c r="N8" s="695"/>
      <c r="O8" s="695"/>
      <c r="P8" s="695"/>
    </row>
    <row r="9" spans="1:36" x14ac:dyDescent="0.35">
      <c r="A9" s="507">
        <v>2</v>
      </c>
      <c r="B9" s="702" t="str">
        <f>PETUNJUK!B10</f>
        <v>Rengging</v>
      </c>
      <c r="C9" s="346">
        <f>'1.DATA KIA'!C10</f>
        <v>111.10000000000001</v>
      </c>
      <c r="D9" s="346">
        <f>'1.DATA KIA'!D10</f>
        <v>106.05000000000001</v>
      </c>
      <c r="E9" s="507">
        <f t="shared" ref="E9:E29" si="0">C9*20%</f>
        <v>22.220000000000002</v>
      </c>
      <c r="F9" s="676">
        <f>'1.DATA KIA'!F10</f>
        <v>23</v>
      </c>
      <c r="G9" s="676">
        <f>'1.DATA KIA'!F10</f>
        <v>23</v>
      </c>
      <c r="H9" s="676">
        <f>'1.DATA KIA'!J10</f>
        <v>9</v>
      </c>
      <c r="I9" s="698">
        <f t="shared" ref="I9:I19" si="1">F9</f>
        <v>23</v>
      </c>
      <c r="J9" s="698">
        <f t="shared" ref="J9:J19" si="2">F9</f>
        <v>23</v>
      </c>
      <c r="K9" s="695">
        <v>1</v>
      </c>
      <c r="L9" s="695">
        <v>1</v>
      </c>
      <c r="M9" s="695">
        <v>1</v>
      </c>
      <c r="N9" s="695">
        <v>1</v>
      </c>
      <c r="O9" s="695"/>
      <c r="P9" s="695"/>
    </row>
    <row r="10" spans="1:36" x14ac:dyDescent="0.35">
      <c r="A10" s="507">
        <v>3</v>
      </c>
      <c r="B10" s="702" t="str">
        <f>PETUNJUK!B11</f>
        <v>Troso</v>
      </c>
      <c r="C10" s="346">
        <f>'1.DATA KIA'!C11</f>
        <v>205.70000000000002</v>
      </c>
      <c r="D10" s="346">
        <f>'1.DATA KIA'!D11</f>
        <v>196.35</v>
      </c>
      <c r="E10" s="507">
        <f t="shared" si="0"/>
        <v>41.140000000000008</v>
      </c>
      <c r="F10" s="676">
        <f>'1.DATA KIA'!F11</f>
        <v>18</v>
      </c>
      <c r="G10" s="676">
        <f>'1.DATA KIA'!F11</f>
        <v>18</v>
      </c>
      <c r="H10" s="676">
        <f>'1.DATA KIA'!J11</f>
        <v>15</v>
      </c>
      <c r="I10" s="698">
        <f t="shared" si="1"/>
        <v>18</v>
      </c>
      <c r="J10" s="698">
        <f t="shared" si="2"/>
        <v>18</v>
      </c>
      <c r="K10" s="695">
        <v>1</v>
      </c>
      <c r="L10" s="695">
        <v>1</v>
      </c>
      <c r="M10" s="695"/>
      <c r="N10" s="695"/>
      <c r="O10" s="695"/>
      <c r="P10" s="695"/>
    </row>
    <row r="11" spans="1:36" x14ac:dyDescent="0.35">
      <c r="A11" s="507">
        <v>4</v>
      </c>
      <c r="B11" s="702" t="str">
        <f>PETUNJUK!B12</f>
        <v>Ngeling</v>
      </c>
      <c r="C11" s="346">
        <f>'1.DATA KIA'!C12</f>
        <v>95.7</v>
      </c>
      <c r="D11" s="346">
        <f>'1.DATA KIA'!D12</f>
        <v>91.350000000000009</v>
      </c>
      <c r="E11" s="507">
        <f t="shared" si="0"/>
        <v>19.14</v>
      </c>
      <c r="F11" s="676">
        <f>'1.DATA KIA'!F12</f>
        <v>7</v>
      </c>
      <c r="G11" s="676">
        <f>'1.DATA KIA'!F12</f>
        <v>7</v>
      </c>
      <c r="H11" s="676">
        <f>'1.DATA KIA'!J12</f>
        <v>8</v>
      </c>
      <c r="I11" s="698">
        <f t="shared" si="1"/>
        <v>7</v>
      </c>
      <c r="J11" s="698">
        <f t="shared" si="2"/>
        <v>7</v>
      </c>
      <c r="K11" s="695"/>
      <c r="L11" s="695"/>
      <c r="M11" s="695"/>
      <c r="N11" s="695"/>
      <c r="O11" s="695"/>
      <c r="P11" s="695"/>
    </row>
    <row r="12" spans="1:36" x14ac:dyDescent="0.35">
      <c r="A12" s="507">
        <v>5</v>
      </c>
      <c r="B12" s="702" t="str">
        <f>PETUNJUK!B13</f>
        <v>Lebuawu</v>
      </c>
      <c r="C12" s="346">
        <f>'1.DATA KIA'!C13</f>
        <v>85.800000000000011</v>
      </c>
      <c r="D12" s="346">
        <f>'1.DATA KIA'!D13</f>
        <v>81.900000000000006</v>
      </c>
      <c r="E12" s="507">
        <f t="shared" si="0"/>
        <v>17.160000000000004</v>
      </c>
      <c r="F12" s="676">
        <f>'1.DATA KIA'!F13</f>
        <v>9</v>
      </c>
      <c r="G12" s="676">
        <f>'1.DATA KIA'!F13</f>
        <v>9</v>
      </c>
      <c r="H12" s="676">
        <f>'1.DATA KIA'!J13</f>
        <v>7</v>
      </c>
      <c r="I12" s="698">
        <f t="shared" si="1"/>
        <v>9</v>
      </c>
      <c r="J12" s="698">
        <f t="shared" si="2"/>
        <v>9</v>
      </c>
      <c r="K12" s="695"/>
      <c r="L12" s="695"/>
      <c r="M12" s="695"/>
      <c r="N12" s="695"/>
      <c r="O12" s="695"/>
      <c r="P12" s="695"/>
    </row>
    <row r="13" spans="1:36" x14ac:dyDescent="0.35">
      <c r="A13" s="507">
        <v>6</v>
      </c>
      <c r="B13" s="702" t="str">
        <f>PETUNJUK!B14</f>
        <v>Pulodarat</v>
      </c>
      <c r="C13" s="346">
        <f>'1.DATA KIA'!C14</f>
        <v>82.5</v>
      </c>
      <c r="D13" s="346">
        <f>'1.DATA KIA'!D14</f>
        <v>78.75</v>
      </c>
      <c r="E13" s="507">
        <f t="shared" si="0"/>
        <v>16.5</v>
      </c>
      <c r="F13" s="676">
        <f>'1.DATA KIA'!F14</f>
        <v>5</v>
      </c>
      <c r="G13" s="676">
        <f>'1.DATA KIA'!F14</f>
        <v>5</v>
      </c>
      <c r="H13" s="676">
        <f>'1.DATA KIA'!J14</f>
        <v>6</v>
      </c>
      <c r="I13" s="698">
        <f t="shared" si="1"/>
        <v>5</v>
      </c>
      <c r="J13" s="698">
        <f t="shared" si="2"/>
        <v>5</v>
      </c>
      <c r="K13" s="695"/>
      <c r="L13" s="695"/>
      <c r="M13" s="695"/>
      <c r="N13" s="695"/>
      <c r="O13" s="695"/>
      <c r="P13" s="695"/>
    </row>
    <row r="14" spans="1:36" x14ac:dyDescent="0.35">
      <c r="A14" s="507">
        <v>7</v>
      </c>
      <c r="B14" s="702" t="str">
        <f>PETUNJUK!B15</f>
        <v>Karangrandu</v>
      </c>
      <c r="C14" s="346">
        <f>'1.DATA KIA'!C15</f>
        <v>93.500000000000014</v>
      </c>
      <c r="D14" s="346">
        <f>'1.DATA KIA'!D15</f>
        <v>89.25</v>
      </c>
      <c r="E14" s="507">
        <f t="shared" si="0"/>
        <v>18.700000000000003</v>
      </c>
      <c r="F14" s="676">
        <f>'1.DATA KIA'!F15</f>
        <v>7</v>
      </c>
      <c r="G14" s="676">
        <f>'1.DATA KIA'!F15</f>
        <v>7</v>
      </c>
      <c r="H14" s="676">
        <f>'1.DATA KIA'!J15</f>
        <v>5</v>
      </c>
      <c r="I14" s="698">
        <f t="shared" si="1"/>
        <v>7</v>
      </c>
      <c r="J14" s="698">
        <f t="shared" si="2"/>
        <v>7</v>
      </c>
      <c r="K14" s="695"/>
      <c r="L14" s="695"/>
      <c r="M14" s="695"/>
      <c r="N14" s="695"/>
      <c r="O14" s="695"/>
      <c r="P14" s="695"/>
    </row>
    <row r="15" spans="1:36" x14ac:dyDescent="0.35">
      <c r="A15" s="507">
        <v>8</v>
      </c>
      <c r="B15" s="702" t="str">
        <f>PETUNJUK!B16</f>
        <v>Kaliombo</v>
      </c>
      <c r="C15" s="346">
        <f>'1.DATA KIA'!C16</f>
        <v>46.2</v>
      </c>
      <c r="D15" s="346">
        <f>'1.DATA KIA'!D16</f>
        <v>44.1</v>
      </c>
      <c r="E15" s="507">
        <f t="shared" si="0"/>
        <v>9.24</v>
      </c>
      <c r="F15" s="676">
        <f>'1.DATA KIA'!F16</f>
        <v>1</v>
      </c>
      <c r="G15" s="676">
        <f>'1.DATA KIA'!F16</f>
        <v>1</v>
      </c>
      <c r="H15" s="676">
        <f>'1.DATA KIA'!J16</f>
        <v>1</v>
      </c>
      <c r="I15" s="698">
        <f t="shared" si="1"/>
        <v>1</v>
      </c>
      <c r="J15" s="698">
        <f t="shared" si="2"/>
        <v>1</v>
      </c>
      <c r="K15" s="695"/>
      <c r="L15" s="695"/>
      <c r="M15" s="695"/>
      <c r="N15" s="695"/>
      <c r="O15" s="695"/>
      <c r="P15" s="695"/>
    </row>
    <row r="16" spans="1:36" x14ac:dyDescent="0.35">
      <c r="A16" s="507">
        <v>9</v>
      </c>
      <c r="B16" s="702" t="str">
        <f>PETUNJUK!B17</f>
        <v>Gemulung</v>
      </c>
      <c r="C16" s="346">
        <f>'1.DATA KIA'!C17</f>
        <v>53.900000000000006</v>
      </c>
      <c r="D16" s="346">
        <f>'1.DATA KIA'!D17</f>
        <v>51.45</v>
      </c>
      <c r="E16" s="507">
        <f t="shared" si="0"/>
        <v>10.780000000000001</v>
      </c>
      <c r="F16" s="676">
        <f>'1.DATA KIA'!F17</f>
        <v>4</v>
      </c>
      <c r="G16" s="676">
        <f>'1.DATA KIA'!F17</f>
        <v>4</v>
      </c>
      <c r="H16" s="676">
        <f>'1.DATA KIA'!J17</f>
        <v>5</v>
      </c>
      <c r="I16" s="698">
        <f t="shared" si="1"/>
        <v>4</v>
      </c>
      <c r="J16" s="698">
        <f t="shared" si="2"/>
        <v>4</v>
      </c>
      <c r="K16" s="695"/>
      <c r="L16" s="695"/>
      <c r="M16" s="695"/>
      <c r="N16" s="695"/>
      <c r="O16" s="695"/>
      <c r="P16" s="695"/>
    </row>
    <row r="17" spans="1:36" x14ac:dyDescent="0.35">
      <c r="A17" s="507">
        <v>10</v>
      </c>
      <c r="B17" s="702" t="str">
        <f>PETUNJUK!B18</f>
        <v>Pecangaan Wetan</v>
      </c>
      <c r="C17" s="346">
        <f>'1.DATA KIA'!C18</f>
        <v>50.6</v>
      </c>
      <c r="D17" s="346">
        <f>'1.DATA KIA'!D18</f>
        <v>48.300000000000004</v>
      </c>
      <c r="E17" s="507">
        <f t="shared" si="0"/>
        <v>10.120000000000001</v>
      </c>
      <c r="F17" s="676">
        <f>'1.DATA KIA'!F18</f>
        <v>4</v>
      </c>
      <c r="G17" s="676">
        <f>'1.DATA KIA'!F18</f>
        <v>4</v>
      </c>
      <c r="H17" s="676">
        <f>'1.DATA KIA'!J18</f>
        <v>3</v>
      </c>
      <c r="I17" s="698">
        <f t="shared" si="1"/>
        <v>4</v>
      </c>
      <c r="J17" s="698">
        <f t="shared" si="2"/>
        <v>4</v>
      </c>
      <c r="K17" s="695"/>
      <c r="L17" s="695"/>
      <c r="M17" s="695"/>
      <c r="N17" s="695"/>
      <c r="O17" s="695"/>
      <c r="P17" s="695"/>
    </row>
    <row r="18" spans="1:36" x14ac:dyDescent="0.35">
      <c r="A18" s="507">
        <v>11</v>
      </c>
      <c r="B18" s="702" t="str">
        <f>PETUNJUK!B19</f>
        <v>Krasak</v>
      </c>
      <c r="C18" s="346">
        <f>'1.DATA KIA'!C19</f>
        <v>117.7</v>
      </c>
      <c r="D18" s="346">
        <f>'1.DATA KIA'!D19</f>
        <v>112.35000000000001</v>
      </c>
      <c r="E18" s="507">
        <f t="shared" si="0"/>
        <v>23.540000000000003</v>
      </c>
      <c r="F18" s="676">
        <f>'1.DATA KIA'!F19</f>
        <v>15</v>
      </c>
      <c r="G18" s="676">
        <f>'1.DATA KIA'!F19</f>
        <v>15</v>
      </c>
      <c r="H18" s="676">
        <f>'1.DATA KIA'!J19</f>
        <v>4</v>
      </c>
      <c r="I18" s="698">
        <f t="shared" si="1"/>
        <v>15</v>
      </c>
      <c r="J18" s="698">
        <f t="shared" si="2"/>
        <v>15</v>
      </c>
      <c r="K18" s="695"/>
      <c r="L18" s="695"/>
      <c r="M18" s="695"/>
      <c r="N18" s="695"/>
      <c r="O18" s="695"/>
      <c r="P18" s="695"/>
    </row>
    <row r="19" spans="1:36" x14ac:dyDescent="0.35">
      <c r="A19" s="507">
        <v>12</v>
      </c>
      <c r="B19" s="702" t="str">
        <f>PETUNJUK!B20</f>
        <v>Gerdu</v>
      </c>
      <c r="C19" s="346">
        <f>'1.DATA KIA'!C20</f>
        <v>23.1</v>
      </c>
      <c r="D19" s="346">
        <f>'1.DATA KIA'!D20</f>
        <v>22.05</v>
      </c>
      <c r="E19" s="507">
        <f t="shared" si="0"/>
        <v>4.62</v>
      </c>
      <c r="F19" s="676">
        <f>'1.DATA KIA'!F20</f>
        <v>1</v>
      </c>
      <c r="G19" s="676">
        <f>'1.DATA KIA'!F20</f>
        <v>1</v>
      </c>
      <c r="H19" s="676">
        <f>'1.DATA KIA'!J20</f>
        <v>3</v>
      </c>
      <c r="I19" s="698">
        <f t="shared" si="1"/>
        <v>1</v>
      </c>
      <c r="J19" s="698">
        <f t="shared" si="2"/>
        <v>1</v>
      </c>
      <c r="K19" s="695"/>
      <c r="L19" s="695"/>
      <c r="M19" s="695"/>
      <c r="N19" s="695"/>
      <c r="O19" s="695"/>
      <c r="P19" s="695"/>
    </row>
    <row r="20" spans="1:36" x14ac:dyDescent="0.35">
      <c r="A20" s="507">
        <v>13</v>
      </c>
      <c r="B20" s="507">
        <f>PETUNJUK!B21</f>
        <v>0</v>
      </c>
      <c r="C20" s="346">
        <f>'1.DATA KIA'!C21</f>
        <v>0</v>
      </c>
      <c r="D20" s="346">
        <f>'1.DATA KIA'!D21</f>
        <v>0</v>
      </c>
      <c r="E20" s="507">
        <f t="shared" si="0"/>
        <v>0</v>
      </c>
      <c r="F20" s="676">
        <f>'1.DATA KIA'!F21</f>
        <v>0</v>
      </c>
      <c r="G20" s="676"/>
      <c r="H20" s="676"/>
      <c r="I20" s="695"/>
      <c r="J20" s="695"/>
      <c r="K20" s="695"/>
      <c r="L20" s="695"/>
      <c r="M20" s="695"/>
      <c r="N20" s="695"/>
      <c r="O20" s="695"/>
      <c r="P20" s="695"/>
    </row>
    <row r="21" spans="1:36" x14ac:dyDescent="0.35">
      <c r="A21" s="507">
        <v>14</v>
      </c>
      <c r="B21" s="507">
        <f>PETUNJUK!B22</f>
        <v>0</v>
      </c>
      <c r="C21" s="346">
        <f>'1.DATA KIA'!C22</f>
        <v>0</v>
      </c>
      <c r="D21" s="346">
        <f>'1.DATA KIA'!D22</f>
        <v>0</v>
      </c>
      <c r="E21" s="507">
        <f t="shared" si="0"/>
        <v>0</v>
      </c>
      <c r="F21" s="676">
        <f>'1.DATA KIA'!F22</f>
        <v>0</v>
      </c>
      <c r="G21" s="676"/>
      <c r="H21" s="676"/>
      <c r="I21" s="695"/>
      <c r="J21" s="695"/>
      <c r="K21" s="695"/>
      <c r="L21" s="695"/>
      <c r="M21" s="695"/>
      <c r="N21" s="695"/>
      <c r="O21" s="695"/>
      <c r="P21" s="695"/>
    </row>
    <row r="22" spans="1:36" x14ac:dyDescent="0.35">
      <c r="A22" s="507">
        <v>15</v>
      </c>
      <c r="B22" s="507">
        <f>PETUNJUK!B23</f>
        <v>0</v>
      </c>
      <c r="C22" s="346">
        <f>'1.DATA KIA'!C23</f>
        <v>0</v>
      </c>
      <c r="D22" s="346">
        <f>'1.DATA KIA'!D23</f>
        <v>0</v>
      </c>
      <c r="E22" s="507">
        <f t="shared" si="0"/>
        <v>0</v>
      </c>
      <c r="F22" s="676">
        <f>'1.DATA KIA'!F23</f>
        <v>0</v>
      </c>
      <c r="G22" s="676"/>
      <c r="H22" s="676"/>
      <c r="I22" s="695"/>
      <c r="J22" s="695"/>
      <c r="K22" s="695"/>
      <c r="L22" s="695"/>
      <c r="M22" s="695"/>
      <c r="N22" s="695"/>
      <c r="O22" s="695"/>
      <c r="P22" s="695"/>
    </row>
    <row r="23" spans="1:36" x14ac:dyDescent="0.35">
      <c r="A23" s="507">
        <v>16</v>
      </c>
      <c r="B23" s="507">
        <f>PETUNJUK!B24</f>
        <v>0</v>
      </c>
      <c r="C23" s="346">
        <f>'1.DATA KIA'!C24</f>
        <v>0</v>
      </c>
      <c r="D23" s="346">
        <f>'1.DATA KIA'!D24</f>
        <v>0</v>
      </c>
      <c r="E23" s="507">
        <f t="shared" si="0"/>
        <v>0</v>
      </c>
      <c r="F23" s="676">
        <f>'1.DATA KIA'!F24</f>
        <v>0</v>
      </c>
      <c r="G23" s="676"/>
      <c r="H23" s="676"/>
      <c r="I23" s="695"/>
      <c r="J23" s="695"/>
      <c r="K23" s="695"/>
      <c r="L23" s="695"/>
      <c r="M23" s="695"/>
      <c r="N23" s="695"/>
      <c r="O23" s="695"/>
      <c r="P23" s="695"/>
    </row>
    <row r="24" spans="1:36" x14ac:dyDescent="0.35">
      <c r="A24" s="507">
        <v>17</v>
      </c>
      <c r="B24" s="507">
        <f>PETUNJUK!B25</f>
        <v>0</v>
      </c>
      <c r="C24" s="346">
        <f>'1.DATA KIA'!C25</f>
        <v>0</v>
      </c>
      <c r="D24" s="346">
        <f>'1.DATA KIA'!D25</f>
        <v>0</v>
      </c>
      <c r="E24" s="507">
        <f t="shared" si="0"/>
        <v>0</v>
      </c>
      <c r="F24" s="676">
        <f>'1.DATA KIA'!F25</f>
        <v>0</v>
      </c>
      <c r="G24" s="676"/>
      <c r="H24" s="676"/>
      <c r="I24" s="695"/>
      <c r="J24" s="695"/>
      <c r="K24" s="695"/>
      <c r="L24" s="695"/>
      <c r="M24" s="695"/>
      <c r="N24" s="695"/>
      <c r="O24" s="695"/>
      <c r="P24" s="695"/>
    </row>
    <row r="25" spans="1:36" x14ac:dyDescent="0.35">
      <c r="A25" s="507">
        <v>18</v>
      </c>
      <c r="B25" s="507">
        <f>PETUNJUK!B26</f>
        <v>0</v>
      </c>
      <c r="C25" s="346">
        <f>'1.DATA KIA'!C26</f>
        <v>0</v>
      </c>
      <c r="D25" s="346">
        <f>'1.DATA KIA'!D26</f>
        <v>0</v>
      </c>
      <c r="E25" s="507">
        <f t="shared" si="0"/>
        <v>0</v>
      </c>
      <c r="F25" s="676">
        <f>'1.DATA KIA'!F26</f>
        <v>0</v>
      </c>
      <c r="G25" s="676"/>
      <c r="H25" s="676"/>
      <c r="I25" s="695"/>
      <c r="J25" s="695"/>
      <c r="K25" s="695"/>
      <c r="L25" s="695"/>
      <c r="M25" s="695"/>
      <c r="N25" s="695"/>
      <c r="O25" s="695"/>
      <c r="P25" s="695"/>
    </row>
    <row r="26" spans="1:36" x14ac:dyDescent="0.35">
      <c r="A26" s="507">
        <v>19</v>
      </c>
      <c r="B26" s="507">
        <f>PETUNJUK!B27</f>
        <v>0</v>
      </c>
      <c r="C26" s="346">
        <f>'1.DATA KIA'!C27</f>
        <v>0</v>
      </c>
      <c r="D26" s="346">
        <f>'1.DATA KIA'!D27</f>
        <v>0</v>
      </c>
      <c r="E26" s="507">
        <f t="shared" si="0"/>
        <v>0</v>
      </c>
      <c r="F26" s="676">
        <f>'1.DATA KIA'!F27</f>
        <v>0</v>
      </c>
      <c r="G26" s="676"/>
      <c r="H26" s="676"/>
      <c r="I26" s="695"/>
      <c r="J26" s="695"/>
      <c r="K26" s="695"/>
      <c r="L26" s="695"/>
      <c r="M26" s="695"/>
      <c r="N26" s="695"/>
      <c r="O26" s="695"/>
      <c r="P26" s="695"/>
    </row>
    <row r="27" spans="1:36" x14ac:dyDescent="0.35">
      <c r="A27" s="507">
        <v>20</v>
      </c>
      <c r="B27" s="507">
        <f>PETUNJUK!B28</f>
        <v>0</v>
      </c>
      <c r="C27" s="346">
        <f>'1.DATA KIA'!C28</f>
        <v>0</v>
      </c>
      <c r="D27" s="346">
        <f>'1.DATA KIA'!D28</f>
        <v>0</v>
      </c>
      <c r="E27" s="507">
        <f t="shared" si="0"/>
        <v>0</v>
      </c>
      <c r="F27" s="676">
        <f>'1.DATA KIA'!F28</f>
        <v>0</v>
      </c>
      <c r="G27" s="676"/>
      <c r="H27" s="676"/>
      <c r="I27" s="695"/>
      <c r="J27" s="695"/>
      <c r="K27" s="695"/>
      <c r="L27" s="695"/>
      <c r="M27" s="695"/>
      <c r="N27" s="695"/>
      <c r="O27" s="695"/>
      <c r="P27" s="695"/>
    </row>
    <row r="28" spans="1:36" x14ac:dyDescent="0.35">
      <c r="A28" s="507">
        <v>21</v>
      </c>
      <c r="B28" s="507">
        <f>PETUNJUK!B29</f>
        <v>0</v>
      </c>
      <c r="C28" s="346">
        <f>'1.DATA KIA'!C29</f>
        <v>0</v>
      </c>
      <c r="D28" s="346">
        <f>'1.DATA KIA'!D29</f>
        <v>0</v>
      </c>
      <c r="E28" s="507">
        <f t="shared" si="0"/>
        <v>0</v>
      </c>
      <c r="F28" s="676">
        <f>'1.DATA KIA'!F29</f>
        <v>0</v>
      </c>
      <c r="G28" s="676"/>
      <c r="H28" s="676"/>
      <c r="I28" s="695"/>
      <c r="J28" s="695"/>
      <c r="K28" s="695"/>
      <c r="L28" s="695"/>
      <c r="M28" s="695"/>
      <c r="N28" s="695"/>
      <c r="O28" s="695"/>
      <c r="P28" s="695"/>
    </row>
    <row r="29" spans="1:36" x14ac:dyDescent="0.35">
      <c r="A29" s="512">
        <v>22</v>
      </c>
      <c r="B29" s="512">
        <f>PETUNJUK!B30</f>
        <v>0</v>
      </c>
      <c r="C29" s="346">
        <f>'1.DATA KIA'!C30</f>
        <v>0</v>
      </c>
      <c r="D29" s="346">
        <f>'1.DATA KIA'!D30</f>
        <v>0</v>
      </c>
      <c r="E29" s="512">
        <f t="shared" si="0"/>
        <v>0</v>
      </c>
      <c r="F29" s="676">
        <f>'1.DATA KIA'!F30</f>
        <v>0</v>
      </c>
      <c r="G29" s="512"/>
      <c r="H29" s="512"/>
      <c r="I29" s="696"/>
      <c r="J29" s="696"/>
      <c r="K29" s="696"/>
      <c r="L29" s="696"/>
      <c r="M29" s="696"/>
      <c r="N29" s="696"/>
      <c r="O29" s="696"/>
      <c r="P29" s="696"/>
    </row>
    <row r="30" spans="1:36" x14ac:dyDescent="0.35">
      <c r="A30" s="1030" t="s">
        <v>18</v>
      </c>
      <c r="B30" s="1030"/>
      <c r="C30" s="688">
        <f>SUM(C8:C29)</f>
        <v>1067</v>
      </c>
      <c r="D30" s="688">
        <f t="shared" ref="D30:P30" si="3">SUM(D8:D29)</f>
        <v>1018.5</v>
      </c>
      <c r="E30" s="688">
        <f t="shared" si="3"/>
        <v>213.40000000000003</v>
      </c>
      <c r="F30" s="688">
        <f t="shared" si="3"/>
        <v>101</v>
      </c>
      <c r="G30" s="688">
        <f t="shared" si="3"/>
        <v>101</v>
      </c>
      <c r="H30" s="688">
        <f t="shared" si="3"/>
        <v>72</v>
      </c>
      <c r="I30" s="688">
        <f t="shared" si="3"/>
        <v>101</v>
      </c>
      <c r="J30" s="688">
        <f t="shared" si="3"/>
        <v>101</v>
      </c>
      <c r="K30" s="688">
        <f t="shared" si="3"/>
        <v>2</v>
      </c>
      <c r="L30" s="688">
        <f t="shared" si="3"/>
        <v>2</v>
      </c>
      <c r="M30" s="688">
        <f t="shared" si="3"/>
        <v>1</v>
      </c>
      <c r="N30" s="688">
        <f t="shared" si="3"/>
        <v>1</v>
      </c>
      <c r="O30" s="688">
        <f t="shared" si="3"/>
        <v>0</v>
      </c>
      <c r="P30" s="688">
        <f t="shared" si="3"/>
        <v>0</v>
      </c>
    </row>
    <row r="32" spans="1:36" s="17" customFormat="1" x14ac:dyDescent="0.35">
      <c r="A32" s="1029" t="s">
        <v>426</v>
      </c>
      <c r="B32" s="1029"/>
      <c r="C32" s="691">
        <f>PETUNJUK!C35</f>
        <v>0</v>
      </c>
      <c r="D32" s="690"/>
      <c r="E32" s="690"/>
      <c r="F32" s="690"/>
      <c r="G32" s="690"/>
      <c r="H32" s="690"/>
      <c r="I32" s="690"/>
      <c r="J32" s="690"/>
      <c r="K32" s="690"/>
      <c r="L32" s="690"/>
      <c r="M32" s="690"/>
      <c r="N32" s="690"/>
      <c r="O32" s="690"/>
      <c r="P32" s="690"/>
      <c r="Q32" s="690"/>
      <c r="R32" s="690"/>
      <c r="S32" s="690"/>
      <c r="T32" s="690"/>
      <c r="U32" s="690"/>
      <c r="V32" s="690"/>
      <c r="W32" s="690"/>
      <c r="X32" s="690"/>
      <c r="Y32" s="690"/>
      <c r="Z32" s="690"/>
      <c r="AA32" s="690"/>
      <c r="AB32" s="690"/>
      <c r="AC32" s="690"/>
      <c r="AD32" s="690"/>
      <c r="AE32" s="690"/>
      <c r="AF32" s="690"/>
      <c r="AG32" s="692"/>
      <c r="AH32" s="692"/>
      <c r="AI32" s="692"/>
      <c r="AJ32" s="692"/>
    </row>
    <row r="33" spans="1:36" s="17" customFormat="1" x14ac:dyDescent="0.35">
      <c r="A33" s="1029" t="s">
        <v>0</v>
      </c>
      <c r="B33" s="1029"/>
      <c r="C33" s="1031" t="s">
        <v>416</v>
      </c>
      <c r="D33" s="1031"/>
      <c r="E33" s="690"/>
      <c r="F33" s="690"/>
      <c r="G33" s="690"/>
      <c r="H33" s="690"/>
      <c r="I33" s="690"/>
      <c r="J33" s="690"/>
      <c r="K33" s="690"/>
      <c r="L33" s="690"/>
      <c r="M33" s="690"/>
      <c r="N33" s="690"/>
      <c r="O33" s="690"/>
      <c r="P33" s="690"/>
      <c r="Q33" s="690"/>
      <c r="R33" s="690"/>
      <c r="S33" s="690"/>
      <c r="T33" s="690"/>
      <c r="U33" s="690"/>
      <c r="V33" s="690"/>
      <c r="W33" s="690"/>
      <c r="X33" s="690"/>
      <c r="Y33" s="690"/>
      <c r="Z33" s="690"/>
      <c r="AA33" s="690"/>
      <c r="AB33" s="690"/>
      <c r="AC33" s="690"/>
      <c r="AD33" s="690"/>
      <c r="AE33" s="690"/>
      <c r="AF33" s="690"/>
      <c r="AG33" s="692"/>
      <c r="AH33" s="692"/>
      <c r="AI33" s="692"/>
      <c r="AJ33" s="692"/>
    </row>
    <row r="35" spans="1:36" x14ac:dyDescent="0.35">
      <c r="A35" s="754" t="s">
        <v>1</v>
      </c>
      <c r="B35" s="754" t="s">
        <v>2</v>
      </c>
      <c r="C35" s="754" t="s">
        <v>174</v>
      </c>
      <c r="D35" s="754"/>
      <c r="E35" s="754"/>
      <c r="F35" s="1024" t="s">
        <v>440</v>
      </c>
      <c r="G35" s="1024" t="s">
        <v>441</v>
      </c>
      <c r="H35" s="1024" t="s">
        <v>444</v>
      </c>
      <c r="I35" s="964" t="s">
        <v>427</v>
      </c>
      <c r="J35" s="964" t="s">
        <v>428</v>
      </c>
      <c r="K35" s="964" t="s">
        <v>429</v>
      </c>
      <c r="L35" s="964" t="s">
        <v>430</v>
      </c>
      <c r="M35" s="964" t="s">
        <v>432</v>
      </c>
      <c r="N35" s="964" t="s">
        <v>431</v>
      </c>
      <c r="O35" s="1032" t="s">
        <v>433</v>
      </c>
      <c r="P35" s="1032" t="s">
        <v>434</v>
      </c>
    </row>
    <row r="36" spans="1:36" ht="14.5" x14ac:dyDescent="0.35">
      <c r="A36" s="754"/>
      <c r="B36" s="754"/>
      <c r="C36" s="732" t="s">
        <v>5</v>
      </c>
      <c r="D36" s="732" t="s">
        <v>6</v>
      </c>
      <c r="E36" s="732" t="s">
        <v>133</v>
      </c>
      <c r="F36" s="1025"/>
      <c r="G36" s="1027"/>
      <c r="H36" s="1025"/>
      <c r="I36" s="1033"/>
      <c r="J36" s="1033"/>
      <c r="K36" s="1033"/>
      <c r="L36" s="1033"/>
      <c r="M36" s="1033"/>
      <c r="N36" s="964"/>
      <c r="O36" s="962"/>
      <c r="P36" s="962"/>
    </row>
    <row r="37" spans="1:36" ht="59.5" customHeight="1" x14ac:dyDescent="0.35">
      <c r="A37" s="754"/>
      <c r="B37" s="754"/>
      <c r="C37" s="732"/>
      <c r="D37" s="732"/>
      <c r="E37" s="732"/>
      <c r="F37" s="1026"/>
      <c r="G37" s="1028"/>
      <c r="H37" s="1026"/>
      <c r="I37" s="1033"/>
      <c r="J37" s="1033"/>
      <c r="K37" s="1033"/>
      <c r="L37" s="1033"/>
      <c r="M37" s="1033"/>
      <c r="N37" s="964"/>
      <c r="O37" s="963"/>
      <c r="P37" s="963"/>
    </row>
    <row r="38" spans="1:36" x14ac:dyDescent="0.35">
      <c r="A38" s="507">
        <v>1</v>
      </c>
      <c r="B38" s="702" t="str">
        <f>'1.DATA KIA'!B43</f>
        <v>Pecangaan Kulon</v>
      </c>
      <c r="C38" s="346">
        <f>C8</f>
        <v>101.2</v>
      </c>
      <c r="D38" s="346">
        <f>D8</f>
        <v>96.600000000000009</v>
      </c>
      <c r="E38" s="507">
        <f>C38*20%</f>
        <v>20.240000000000002</v>
      </c>
      <c r="F38" s="676">
        <f>'1.DATA KIA'!F43</f>
        <v>8</v>
      </c>
      <c r="G38" s="676">
        <f>'1.DATA KIA'!F43</f>
        <v>8</v>
      </c>
      <c r="H38" s="676">
        <f>'1.DATA KIA'!J43</f>
        <v>7</v>
      </c>
      <c r="I38" s="698">
        <f>F38</f>
        <v>8</v>
      </c>
      <c r="J38" s="698">
        <f>G38</f>
        <v>8</v>
      </c>
      <c r="K38" s="695">
        <v>1</v>
      </c>
      <c r="L38" s="695">
        <v>1</v>
      </c>
      <c r="M38" s="695"/>
      <c r="N38" s="695"/>
      <c r="O38" s="695"/>
      <c r="P38" s="695"/>
    </row>
    <row r="39" spans="1:36" x14ac:dyDescent="0.35">
      <c r="A39" s="507">
        <v>2</v>
      </c>
      <c r="B39" s="702" t="str">
        <f>'1.DATA KIA'!B44</f>
        <v>Rengging</v>
      </c>
      <c r="C39" s="346">
        <f t="shared" ref="C39:D39" si="4">C9</f>
        <v>111.10000000000001</v>
      </c>
      <c r="D39" s="346">
        <f t="shared" si="4"/>
        <v>106.05000000000001</v>
      </c>
      <c r="E39" s="507">
        <f t="shared" ref="E39:E59" si="5">C39*20%</f>
        <v>22.220000000000002</v>
      </c>
      <c r="F39" s="676">
        <f>'1.DATA KIA'!F44</f>
        <v>6</v>
      </c>
      <c r="G39" s="676">
        <f>'1.DATA KIA'!F44</f>
        <v>6</v>
      </c>
      <c r="H39" s="676">
        <f>'1.DATA KIA'!J44</f>
        <v>4</v>
      </c>
      <c r="I39" s="698">
        <f t="shared" ref="I39:I49" si="6">F39</f>
        <v>6</v>
      </c>
      <c r="J39" s="698">
        <f t="shared" ref="J39:J49" si="7">G39</f>
        <v>6</v>
      </c>
      <c r="K39" s="695"/>
      <c r="L39" s="695"/>
      <c r="M39" s="695"/>
      <c r="N39" s="695"/>
      <c r="O39" s="695"/>
      <c r="P39" s="695"/>
    </row>
    <row r="40" spans="1:36" x14ac:dyDescent="0.35">
      <c r="A40" s="507">
        <v>3</v>
      </c>
      <c r="B40" s="702" t="str">
        <f>'1.DATA KIA'!B45</f>
        <v>Troso</v>
      </c>
      <c r="C40" s="346">
        <f t="shared" ref="C40:D40" si="8">C10</f>
        <v>205.70000000000002</v>
      </c>
      <c r="D40" s="346">
        <f t="shared" si="8"/>
        <v>196.35</v>
      </c>
      <c r="E40" s="507">
        <f t="shared" si="5"/>
        <v>41.140000000000008</v>
      </c>
      <c r="F40" s="676">
        <f>'1.DATA KIA'!F45</f>
        <v>17</v>
      </c>
      <c r="G40" s="676">
        <f>'1.DATA KIA'!F45</f>
        <v>17</v>
      </c>
      <c r="H40" s="676">
        <f>'1.DATA KIA'!J45</f>
        <v>13</v>
      </c>
      <c r="I40" s="698">
        <f t="shared" si="6"/>
        <v>17</v>
      </c>
      <c r="J40" s="698">
        <f t="shared" si="7"/>
        <v>17</v>
      </c>
      <c r="K40" s="695"/>
      <c r="L40" s="695"/>
      <c r="M40" s="695"/>
      <c r="N40" s="695"/>
      <c r="O40" s="695"/>
      <c r="P40" s="695"/>
    </row>
    <row r="41" spans="1:36" x14ac:dyDescent="0.35">
      <c r="A41" s="507">
        <v>4</v>
      </c>
      <c r="B41" s="702" t="str">
        <f>'1.DATA KIA'!B46</f>
        <v>Ngeling</v>
      </c>
      <c r="C41" s="346">
        <f t="shared" ref="C41:D41" si="9">C11</f>
        <v>95.7</v>
      </c>
      <c r="D41" s="346">
        <f t="shared" si="9"/>
        <v>91.350000000000009</v>
      </c>
      <c r="E41" s="507">
        <f t="shared" si="5"/>
        <v>19.14</v>
      </c>
      <c r="F41" s="676">
        <f>'1.DATA KIA'!F46</f>
        <v>4</v>
      </c>
      <c r="G41" s="676">
        <f>'1.DATA KIA'!F46</f>
        <v>4</v>
      </c>
      <c r="H41" s="676">
        <f>'1.DATA KIA'!J46</f>
        <v>6</v>
      </c>
      <c r="I41" s="698">
        <f t="shared" si="6"/>
        <v>4</v>
      </c>
      <c r="J41" s="698">
        <f t="shared" si="7"/>
        <v>4</v>
      </c>
      <c r="K41" s="695"/>
      <c r="L41" s="695"/>
      <c r="M41" s="695"/>
      <c r="N41" s="695"/>
      <c r="O41" s="695"/>
      <c r="P41" s="695"/>
    </row>
    <row r="42" spans="1:36" x14ac:dyDescent="0.35">
      <c r="A42" s="507">
        <v>5</v>
      </c>
      <c r="B42" s="702" t="str">
        <f>'1.DATA KIA'!B47</f>
        <v>Lebuawu</v>
      </c>
      <c r="C42" s="346">
        <f t="shared" ref="C42:D42" si="10">C12</f>
        <v>85.800000000000011</v>
      </c>
      <c r="D42" s="346">
        <f t="shared" si="10"/>
        <v>81.900000000000006</v>
      </c>
      <c r="E42" s="507">
        <f t="shared" si="5"/>
        <v>17.160000000000004</v>
      </c>
      <c r="F42" s="676">
        <f>'1.DATA KIA'!F47</f>
        <v>11</v>
      </c>
      <c r="G42" s="676">
        <f>'1.DATA KIA'!F47</f>
        <v>11</v>
      </c>
      <c r="H42" s="676">
        <f>'1.DATA KIA'!J47</f>
        <v>5</v>
      </c>
      <c r="I42" s="698">
        <f t="shared" si="6"/>
        <v>11</v>
      </c>
      <c r="J42" s="698">
        <f t="shared" si="7"/>
        <v>11</v>
      </c>
      <c r="K42" s="695"/>
      <c r="L42" s="695"/>
      <c r="M42" s="695"/>
      <c r="N42" s="695"/>
      <c r="O42" s="695"/>
      <c r="P42" s="695"/>
    </row>
    <row r="43" spans="1:36" x14ac:dyDescent="0.35">
      <c r="A43" s="507">
        <v>6</v>
      </c>
      <c r="B43" s="702" t="str">
        <f>'1.DATA KIA'!B48</f>
        <v>Pulodarat</v>
      </c>
      <c r="C43" s="346">
        <f t="shared" ref="C43:D43" si="11">C13</f>
        <v>82.5</v>
      </c>
      <c r="D43" s="346">
        <f t="shared" si="11"/>
        <v>78.75</v>
      </c>
      <c r="E43" s="507">
        <f t="shared" si="5"/>
        <v>16.5</v>
      </c>
      <c r="F43" s="676">
        <f>'1.DATA KIA'!F48</f>
        <v>4</v>
      </c>
      <c r="G43" s="676">
        <f>'1.DATA KIA'!F48</f>
        <v>4</v>
      </c>
      <c r="H43" s="676">
        <f>'1.DATA KIA'!J48</f>
        <v>5</v>
      </c>
      <c r="I43" s="698">
        <f t="shared" si="6"/>
        <v>4</v>
      </c>
      <c r="J43" s="698">
        <f t="shared" si="7"/>
        <v>4</v>
      </c>
      <c r="K43" s="695"/>
      <c r="L43" s="695"/>
      <c r="M43" s="695"/>
      <c r="N43" s="695"/>
      <c r="O43" s="695"/>
      <c r="P43" s="695"/>
    </row>
    <row r="44" spans="1:36" x14ac:dyDescent="0.35">
      <c r="A44" s="507">
        <v>7</v>
      </c>
      <c r="B44" s="702" t="str">
        <f>'1.DATA KIA'!B49</f>
        <v>Karangrandu</v>
      </c>
      <c r="C44" s="346">
        <f t="shared" ref="C44:D44" si="12">C14</f>
        <v>93.500000000000014</v>
      </c>
      <c r="D44" s="346">
        <f t="shared" si="12"/>
        <v>89.25</v>
      </c>
      <c r="E44" s="507">
        <f t="shared" si="5"/>
        <v>18.700000000000003</v>
      </c>
      <c r="F44" s="676">
        <f>'1.DATA KIA'!F49</f>
        <v>8</v>
      </c>
      <c r="G44" s="676">
        <f>'1.DATA KIA'!F49</f>
        <v>8</v>
      </c>
      <c r="H44" s="676">
        <f>'1.DATA KIA'!J49</f>
        <v>8</v>
      </c>
      <c r="I44" s="698">
        <f t="shared" si="6"/>
        <v>8</v>
      </c>
      <c r="J44" s="698">
        <f t="shared" si="7"/>
        <v>8</v>
      </c>
      <c r="K44" s="695"/>
      <c r="L44" s="695"/>
      <c r="M44" s="695"/>
      <c r="N44" s="695"/>
      <c r="O44" s="695"/>
      <c r="P44" s="695"/>
    </row>
    <row r="45" spans="1:36" x14ac:dyDescent="0.35">
      <c r="A45" s="507">
        <v>8</v>
      </c>
      <c r="B45" s="702" t="str">
        <f>'1.DATA KIA'!B50</f>
        <v>Kaliombo</v>
      </c>
      <c r="C45" s="346">
        <f t="shared" ref="C45:D45" si="13">C15</f>
        <v>46.2</v>
      </c>
      <c r="D45" s="346">
        <f t="shared" si="13"/>
        <v>44.1</v>
      </c>
      <c r="E45" s="507">
        <f t="shared" si="5"/>
        <v>9.24</v>
      </c>
      <c r="F45" s="676">
        <f>'1.DATA KIA'!F50</f>
        <v>5</v>
      </c>
      <c r="G45" s="676">
        <f>'1.DATA KIA'!F50</f>
        <v>5</v>
      </c>
      <c r="H45" s="676">
        <f>'1.DATA KIA'!J50</f>
        <v>5</v>
      </c>
      <c r="I45" s="698">
        <f t="shared" si="6"/>
        <v>5</v>
      </c>
      <c r="J45" s="698">
        <f t="shared" si="7"/>
        <v>5</v>
      </c>
      <c r="K45" s="695"/>
      <c r="L45" s="695"/>
      <c r="M45" s="695"/>
      <c r="N45" s="695"/>
      <c r="O45" s="695"/>
      <c r="P45" s="695"/>
    </row>
    <row r="46" spans="1:36" x14ac:dyDescent="0.35">
      <c r="A46" s="507">
        <v>9</v>
      </c>
      <c r="B46" s="702" t="str">
        <f>'1.DATA KIA'!B51</f>
        <v>Gemulung</v>
      </c>
      <c r="C46" s="346">
        <f t="shared" ref="C46:D46" si="14">C16</f>
        <v>53.900000000000006</v>
      </c>
      <c r="D46" s="346">
        <f t="shared" si="14"/>
        <v>51.45</v>
      </c>
      <c r="E46" s="507">
        <f t="shared" si="5"/>
        <v>10.780000000000001</v>
      </c>
      <c r="F46" s="676">
        <f>'1.DATA KIA'!F51</f>
        <v>5</v>
      </c>
      <c r="G46" s="676">
        <f>'1.DATA KIA'!F51</f>
        <v>5</v>
      </c>
      <c r="H46" s="676">
        <f>'1.DATA KIA'!J51</f>
        <v>4</v>
      </c>
      <c r="I46" s="698">
        <f t="shared" si="6"/>
        <v>5</v>
      </c>
      <c r="J46" s="698">
        <f t="shared" si="7"/>
        <v>5</v>
      </c>
      <c r="K46" s="695"/>
      <c r="L46" s="695"/>
      <c r="M46" s="695"/>
      <c r="N46" s="695"/>
      <c r="O46" s="695"/>
      <c r="P46" s="695"/>
    </row>
    <row r="47" spans="1:36" x14ac:dyDescent="0.35">
      <c r="A47" s="507">
        <v>10</v>
      </c>
      <c r="B47" s="702" t="str">
        <f>'1.DATA KIA'!B52</f>
        <v>Pecangaan Wetan</v>
      </c>
      <c r="C47" s="346">
        <f t="shared" ref="C47:D47" si="15">C17</f>
        <v>50.6</v>
      </c>
      <c r="D47" s="346">
        <f t="shared" si="15"/>
        <v>48.300000000000004</v>
      </c>
      <c r="E47" s="507">
        <f t="shared" si="5"/>
        <v>10.120000000000001</v>
      </c>
      <c r="F47" s="676">
        <f>'1.DATA KIA'!F52</f>
        <v>6</v>
      </c>
      <c r="G47" s="676">
        <f>'1.DATA KIA'!F52</f>
        <v>6</v>
      </c>
      <c r="H47" s="676">
        <f>'1.DATA KIA'!J52</f>
        <v>4</v>
      </c>
      <c r="I47" s="698">
        <f t="shared" si="6"/>
        <v>6</v>
      </c>
      <c r="J47" s="698">
        <f t="shared" si="7"/>
        <v>6</v>
      </c>
      <c r="K47" s="695"/>
      <c r="L47" s="695"/>
      <c r="M47" s="695"/>
      <c r="N47" s="695"/>
      <c r="O47" s="695"/>
      <c r="P47" s="695"/>
    </row>
    <row r="48" spans="1:36" x14ac:dyDescent="0.35">
      <c r="A48" s="507">
        <v>11</v>
      </c>
      <c r="B48" s="702" t="str">
        <f>'1.DATA KIA'!B53</f>
        <v>Krasak</v>
      </c>
      <c r="C48" s="346">
        <f t="shared" ref="C48:D48" si="16">C18</f>
        <v>117.7</v>
      </c>
      <c r="D48" s="346">
        <f t="shared" si="16"/>
        <v>112.35000000000001</v>
      </c>
      <c r="E48" s="507">
        <f t="shared" si="5"/>
        <v>23.540000000000003</v>
      </c>
      <c r="F48" s="676">
        <f>'1.DATA KIA'!F53</f>
        <v>10</v>
      </c>
      <c r="G48" s="676">
        <f>'1.DATA KIA'!F53</f>
        <v>10</v>
      </c>
      <c r="H48" s="676">
        <f>'1.DATA KIA'!J53</f>
        <v>7</v>
      </c>
      <c r="I48" s="698">
        <f t="shared" si="6"/>
        <v>10</v>
      </c>
      <c r="J48" s="698">
        <f t="shared" si="7"/>
        <v>10</v>
      </c>
      <c r="K48" s="695">
        <v>1</v>
      </c>
      <c r="L48" s="695">
        <v>1</v>
      </c>
      <c r="M48" s="695">
        <v>1</v>
      </c>
      <c r="N48" s="695"/>
      <c r="O48" s="695"/>
      <c r="P48" s="695"/>
    </row>
    <row r="49" spans="1:16" x14ac:dyDescent="0.35">
      <c r="A49" s="507">
        <v>12</v>
      </c>
      <c r="B49" s="702" t="str">
        <f>'1.DATA KIA'!B54</f>
        <v>Gerdu</v>
      </c>
      <c r="C49" s="346">
        <f t="shared" ref="C49:D49" si="17">C19</f>
        <v>23.1</v>
      </c>
      <c r="D49" s="346">
        <f t="shared" si="17"/>
        <v>22.05</v>
      </c>
      <c r="E49" s="507">
        <f t="shared" si="5"/>
        <v>4.62</v>
      </c>
      <c r="F49" s="676">
        <f>'1.DATA KIA'!F54</f>
        <v>1</v>
      </c>
      <c r="G49" s="676">
        <f>'1.DATA KIA'!F54</f>
        <v>1</v>
      </c>
      <c r="H49" s="676">
        <f>'1.DATA KIA'!J54</f>
        <v>2</v>
      </c>
      <c r="I49" s="698">
        <f t="shared" si="6"/>
        <v>1</v>
      </c>
      <c r="J49" s="698">
        <f t="shared" si="7"/>
        <v>1</v>
      </c>
      <c r="K49" s="695"/>
      <c r="L49" s="695"/>
      <c r="M49" s="695"/>
      <c r="N49" s="695"/>
      <c r="O49" s="695"/>
      <c r="P49" s="695"/>
    </row>
    <row r="50" spans="1:16" x14ac:dyDescent="0.35">
      <c r="A50" s="507">
        <v>13</v>
      </c>
      <c r="B50" s="507">
        <f>PETUNJUK!B51</f>
        <v>0</v>
      </c>
      <c r="C50" s="346">
        <f t="shared" ref="C50:D50" si="18">C20</f>
        <v>0</v>
      </c>
      <c r="D50" s="346">
        <f t="shared" si="18"/>
        <v>0</v>
      </c>
      <c r="E50" s="507">
        <f t="shared" si="5"/>
        <v>0</v>
      </c>
      <c r="F50" s="676">
        <f>'1.DATA KIA'!F55</f>
        <v>0</v>
      </c>
      <c r="G50" s="676"/>
      <c r="H50" s="676"/>
      <c r="I50" s="695"/>
      <c r="J50" s="695"/>
      <c r="K50" s="695"/>
      <c r="L50" s="695"/>
      <c r="M50" s="695"/>
      <c r="N50" s="695"/>
      <c r="O50" s="695"/>
      <c r="P50" s="695"/>
    </row>
    <row r="51" spans="1:16" x14ac:dyDescent="0.35">
      <c r="A51" s="507">
        <v>14</v>
      </c>
      <c r="B51" s="507">
        <f>PETUNJUK!B52</f>
        <v>0</v>
      </c>
      <c r="C51" s="346">
        <f t="shared" ref="C51:D51" si="19">C21</f>
        <v>0</v>
      </c>
      <c r="D51" s="346">
        <f t="shared" si="19"/>
        <v>0</v>
      </c>
      <c r="E51" s="507">
        <f t="shared" si="5"/>
        <v>0</v>
      </c>
      <c r="F51" s="676">
        <f>'1.DATA KIA'!F56</f>
        <v>0</v>
      </c>
      <c r="G51" s="676"/>
      <c r="H51" s="676"/>
      <c r="I51" s="695"/>
      <c r="J51" s="695"/>
      <c r="K51" s="695"/>
      <c r="L51" s="695"/>
      <c r="M51" s="695"/>
      <c r="N51" s="695"/>
      <c r="O51" s="695"/>
      <c r="P51" s="695"/>
    </row>
    <row r="52" spans="1:16" x14ac:dyDescent="0.35">
      <c r="A52" s="507">
        <v>15</v>
      </c>
      <c r="B52" s="507">
        <f>PETUNJUK!B53</f>
        <v>0</v>
      </c>
      <c r="C52" s="346">
        <f t="shared" ref="C52:D52" si="20">C22</f>
        <v>0</v>
      </c>
      <c r="D52" s="346">
        <f t="shared" si="20"/>
        <v>0</v>
      </c>
      <c r="E52" s="507">
        <f t="shared" si="5"/>
        <v>0</v>
      </c>
      <c r="F52" s="676">
        <f>'1.DATA KIA'!F57</f>
        <v>0</v>
      </c>
      <c r="G52" s="676"/>
      <c r="H52" s="676"/>
      <c r="I52" s="695"/>
      <c r="J52" s="695"/>
      <c r="K52" s="695"/>
      <c r="L52" s="695"/>
      <c r="M52" s="695"/>
      <c r="N52" s="695"/>
      <c r="O52" s="695"/>
      <c r="P52" s="695"/>
    </row>
    <row r="53" spans="1:16" x14ac:dyDescent="0.35">
      <c r="A53" s="507">
        <v>16</v>
      </c>
      <c r="B53" s="507">
        <f>PETUNJUK!B54</f>
        <v>0</v>
      </c>
      <c r="C53" s="346">
        <f t="shared" ref="C53:D53" si="21">C23</f>
        <v>0</v>
      </c>
      <c r="D53" s="346">
        <f t="shared" si="21"/>
        <v>0</v>
      </c>
      <c r="E53" s="507">
        <f t="shared" si="5"/>
        <v>0</v>
      </c>
      <c r="F53" s="676">
        <f>'1.DATA KIA'!F58</f>
        <v>0</v>
      </c>
      <c r="G53" s="676"/>
      <c r="H53" s="676"/>
      <c r="I53" s="695"/>
      <c r="J53" s="695"/>
      <c r="K53" s="695"/>
      <c r="L53" s="695"/>
      <c r="M53" s="695"/>
      <c r="N53" s="695"/>
      <c r="O53" s="695"/>
      <c r="P53" s="695"/>
    </row>
    <row r="54" spans="1:16" x14ac:dyDescent="0.35">
      <c r="A54" s="507">
        <v>17</v>
      </c>
      <c r="B54" s="507">
        <f>PETUNJUK!B55</f>
        <v>0</v>
      </c>
      <c r="C54" s="346">
        <f t="shared" ref="C54:D54" si="22">C24</f>
        <v>0</v>
      </c>
      <c r="D54" s="346">
        <f t="shared" si="22"/>
        <v>0</v>
      </c>
      <c r="E54" s="507">
        <f t="shared" si="5"/>
        <v>0</v>
      </c>
      <c r="F54" s="676">
        <f>'1.DATA KIA'!F59</f>
        <v>0</v>
      </c>
      <c r="G54" s="676"/>
      <c r="H54" s="676"/>
      <c r="I54" s="695"/>
      <c r="J54" s="695"/>
      <c r="K54" s="695"/>
      <c r="L54" s="695"/>
      <c r="M54" s="695"/>
      <c r="N54" s="695"/>
      <c r="O54" s="695"/>
      <c r="P54" s="695"/>
    </row>
    <row r="55" spans="1:16" x14ac:dyDescent="0.35">
      <c r="A55" s="507">
        <v>18</v>
      </c>
      <c r="B55" s="507">
        <f>PETUNJUK!B56</f>
        <v>0</v>
      </c>
      <c r="C55" s="346">
        <f t="shared" ref="C55:D55" si="23">C25</f>
        <v>0</v>
      </c>
      <c r="D55" s="346">
        <f t="shared" si="23"/>
        <v>0</v>
      </c>
      <c r="E55" s="507">
        <f t="shared" si="5"/>
        <v>0</v>
      </c>
      <c r="F55" s="676">
        <f>'1.DATA KIA'!F60</f>
        <v>0</v>
      </c>
      <c r="G55" s="676"/>
      <c r="H55" s="676"/>
      <c r="I55" s="695"/>
      <c r="J55" s="695"/>
      <c r="K55" s="695"/>
      <c r="L55" s="695"/>
      <c r="M55" s="695"/>
      <c r="N55" s="695"/>
      <c r="O55" s="695"/>
      <c r="P55" s="695"/>
    </row>
    <row r="56" spans="1:16" x14ac:dyDescent="0.35">
      <c r="A56" s="507">
        <v>19</v>
      </c>
      <c r="B56" s="507">
        <f>PETUNJUK!B57</f>
        <v>0</v>
      </c>
      <c r="C56" s="346">
        <f t="shared" ref="C56:D56" si="24">C26</f>
        <v>0</v>
      </c>
      <c r="D56" s="346">
        <f t="shared" si="24"/>
        <v>0</v>
      </c>
      <c r="E56" s="507">
        <f t="shared" si="5"/>
        <v>0</v>
      </c>
      <c r="F56" s="676">
        <f>'1.DATA KIA'!F61</f>
        <v>0</v>
      </c>
      <c r="G56" s="676"/>
      <c r="H56" s="676"/>
      <c r="I56" s="695"/>
      <c r="J56" s="695"/>
      <c r="K56" s="695"/>
      <c r="L56" s="695"/>
      <c r="M56" s="695"/>
      <c r="N56" s="695"/>
      <c r="O56" s="695"/>
      <c r="P56" s="695"/>
    </row>
    <row r="57" spans="1:16" x14ac:dyDescent="0.35">
      <c r="A57" s="507">
        <v>20</v>
      </c>
      <c r="B57" s="507">
        <f>PETUNJUK!B58</f>
        <v>0</v>
      </c>
      <c r="C57" s="346">
        <f t="shared" ref="C57:D57" si="25">C27</f>
        <v>0</v>
      </c>
      <c r="D57" s="346">
        <f t="shared" si="25"/>
        <v>0</v>
      </c>
      <c r="E57" s="507">
        <f t="shared" si="5"/>
        <v>0</v>
      </c>
      <c r="F57" s="676">
        <f>'1.DATA KIA'!F62</f>
        <v>0</v>
      </c>
      <c r="G57" s="676"/>
      <c r="H57" s="676"/>
      <c r="I57" s="695"/>
      <c r="J57" s="695"/>
      <c r="K57" s="695"/>
      <c r="L57" s="695"/>
      <c r="M57" s="695"/>
      <c r="N57" s="695"/>
      <c r="O57" s="695"/>
      <c r="P57" s="695"/>
    </row>
    <row r="58" spans="1:16" x14ac:dyDescent="0.35">
      <c r="A58" s="507">
        <v>21</v>
      </c>
      <c r="B58" s="507">
        <f>PETUNJUK!B59</f>
        <v>0</v>
      </c>
      <c r="C58" s="346">
        <f t="shared" ref="C58:D58" si="26">C28</f>
        <v>0</v>
      </c>
      <c r="D58" s="346">
        <f t="shared" si="26"/>
        <v>0</v>
      </c>
      <c r="E58" s="507">
        <f t="shared" si="5"/>
        <v>0</v>
      </c>
      <c r="F58" s="676">
        <f>'1.DATA KIA'!F63</f>
        <v>0</v>
      </c>
      <c r="G58" s="676"/>
      <c r="H58" s="676"/>
      <c r="I58" s="695"/>
      <c r="J58" s="695"/>
      <c r="K58" s="695"/>
      <c r="L58" s="695"/>
      <c r="M58" s="695"/>
      <c r="N58" s="695"/>
      <c r="O58" s="695"/>
      <c r="P58" s="695"/>
    </row>
    <row r="59" spans="1:16" x14ac:dyDescent="0.35">
      <c r="A59" s="512">
        <v>22</v>
      </c>
      <c r="B59" s="512">
        <f>PETUNJUK!B60</f>
        <v>0</v>
      </c>
      <c r="C59" s="346">
        <f t="shared" ref="C59:D59" si="27">C29</f>
        <v>0</v>
      </c>
      <c r="D59" s="346">
        <f t="shared" si="27"/>
        <v>0</v>
      </c>
      <c r="E59" s="512">
        <f t="shared" si="5"/>
        <v>0</v>
      </c>
      <c r="F59" s="676">
        <f>'1.DATA KIA'!F64</f>
        <v>0</v>
      </c>
      <c r="G59" s="512"/>
      <c r="H59" s="512"/>
      <c r="I59" s="696"/>
      <c r="J59" s="696"/>
      <c r="K59" s="696"/>
      <c r="L59" s="696"/>
      <c r="M59" s="696"/>
      <c r="N59" s="696"/>
      <c r="O59" s="696"/>
      <c r="P59" s="696"/>
    </row>
    <row r="60" spans="1:16" x14ac:dyDescent="0.35">
      <c r="A60" s="1030" t="s">
        <v>18</v>
      </c>
      <c r="B60" s="1030"/>
      <c r="C60" s="688">
        <f>SUM(C38:C59)</f>
        <v>1067</v>
      </c>
      <c r="D60" s="688">
        <f t="shared" ref="D60:P60" si="28">SUM(D38:D59)</f>
        <v>1018.5</v>
      </c>
      <c r="E60" s="688">
        <f t="shared" si="28"/>
        <v>213.40000000000003</v>
      </c>
      <c r="F60" s="688">
        <f t="shared" si="28"/>
        <v>85</v>
      </c>
      <c r="G60" s="688">
        <f t="shared" si="28"/>
        <v>85</v>
      </c>
      <c r="H60" s="688">
        <f t="shared" si="28"/>
        <v>70</v>
      </c>
      <c r="I60" s="688">
        <f t="shared" si="28"/>
        <v>85</v>
      </c>
      <c r="J60" s="688">
        <f t="shared" si="28"/>
        <v>85</v>
      </c>
      <c r="K60" s="688">
        <f t="shared" si="28"/>
        <v>2</v>
      </c>
      <c r="L60" s="688">
        <f t="shared" si="28"/>
        <v>2</v>
      </c>
      <c r="M60" s="688">
        <f t="shared" si="28"/>
        <v>1</v>
      </c>
      <c r="N60" s="688">
        <f t="shared" si="28"/>
        <v>0</v>
      </c>
      <c r="O60" s="688">
        <f t="shared" si="28"/>
        <v>0</v>
      </c>
      <c r="P60" s="688">
        <f t="shared" si="28"/>
        <v>0</v>
      </c>
    </row>
    <row r="62" spans="1:16" s="693" customFormat="1" x14ac:dyDescent="0.35">
      <c r="A62" s="1029" t="s">
        <v>426</v>
      </c>
      <c r="B62" s="1029"/>
      <c r="C62" s="691">
        <f>PETUNJUK!C65</f>
        <v>0</v>
      </c>
      <c r="D62" s="690"/>
      <c r="E62" s="690"/>
      <c r="F62" s="690"/>
      <c r="G62" s="690"/>
      <c r="H62" s="690"/>
      <c r="I62" s="690"/>
      <c r="J62" s="690"/>
      <c r="K62" s="690"/>
      <c r="L62" s="690"/>
      <c r="M62" s="690"/>
      <c r="N62" s="690"/>
      <c r="O62" s="690"/>
      <c r="P62" s="690"/>
    </row>
    <row r="63" spans="1:16" s="693" customFormat="1" x14ac:dyDescent="0.35">
      <c r="A63" s="1029" t="s">
        <v>0</v>
      </c>
      <c r="B63" s="1029"/>
      <c r="C63" s="1031" t="s">
        <v>138</v>
      </c>
      <c r="D63" s="1031"/>
      <c r="E63" s="690"/>
      <c r="F63" s="690"/>
      <c r="G63" s="690"/>
      <c r="H63" s="690"/>
      <c r="I63" s="690"/>
      <c r="J63" s="690"/>
      <c r="K63" s="690"/>
      <c r="L63" s="690"/>
      <c r="M63" s="690"/>
      <c r="N63" s="690"/>
      <c r="O63" s="690"/>
      <c r="P63" s="690"/>
    </row>
    <row r="65" spans="1:16" x14ac:dyDescent="0.35">
      <c r="A65" s="754" t="s">
        <v>1</v>
      </c>
      <c r="B65" s="754" t="s">
        <v>2</v>
      </c>
      <c r="C65" s="754" t="s">
        <v>174</v>
      </c>
      <c r="D65" s="754"/>
      <c r="E65" s="754"/>
      <c r="F65" s="1024" t="s">
        <v>440</v>
      </c>
      <c r="G65" s="1024" t="s">
        <v>441</v>
      </c>
      <c r="H65" s="1024" t="s">
        <v>444</v>
      </c>
      <c r="I65" s="964" t="s">
        <v>427</v>
      </c>
      <c r="J65" s="964" t="s">
        <v>428</v>
      </c>
      <c r="K65" s="964" t="s">
        <v>429</v>
      </c>
      <c r="L65" s="964" t="s">
        <v>430</v>
      </c>
      <c r="M65" s="964" t="s">
        <v>432</v>
      </c>
      <c r="N65" s="964" t="s">
        <v>431</v>
      </c>
      <c r="O65" s="1032" t="s">
        <v>433</v>
      </c>
      <c r="P65" s="1032" t="s">
        <v>434</v>
      </c>
    </row>
    <row r="66" spans="1:16" ht="14.5" x14ac:dyDescent="0.35">
      <c r="A66" s="754"/>
      <c r="B66" s="754"/>
      <c r="C66" s="732" t="s">
        <v>5</v>
      </c>
      <c r="D66" s="732" t="s">
        <v>6</v>
      </c>
      <c r="E66" s="732" t="s">
        <v>133</v>
      </c>
      <c r="F66" s="1025"/>
      <c r="G66" s="1027"/>
      <c r="H66" s="1025"/>
      <c r="I66" s="1033"/>
      <c r="J66" s="1033"/>
      <c r="K66" s="1033"/>
      <c r="L66" s="1033"/>
      <c r="M66" s="1033"/>
      <c r="N66" s="964"/>
      <c r="O66" s="962"/>
      <c r="P66" s="962"/>
    </row>
    <row r="67" spans="1:16" ht="65.5" customHeight="1" x14ac:dyDescent="0.35">
      <c r="A67" s="754"/>
      <c r="B67" s="754"/>
      <c r="C67" s="732"/>
      <c r="D67" s="732"/>
      <c r="E67" s="732"/>
      <c r="F67" s="1026"/>
      <c r="G67" s="1028"/>
      <c r="H67" s="1026"/>
      <c r="I67" s="1033"/>
      <c r="J67" s="1033"/>
      <c r="K67" s="1033"/>
      <c r="L67" s="1033"/>
      <c r="M67" s="1033"/>
      <c r="N67" s="964"/>
      <c r="O67" s="963"/>
      <c r="P67" s="963"/>
    </row>
    <row r="68" spans="1:16" x14ac:dyDescent="0.35">
      <c r="A68" s="507">
        <v>1</v>
      </c>
      <c r="B68" s="702" t="str">
        <f>'1.DATA KIA'!B77</f>
        <v>Pecangaan Kulon</v>
      </c>
      <c r="C68" s="346">
        <f>C38</f>
        <v>101.2</v>
      </c>
      <c r="D68" s="346">
        <f>D38</f>
        <v>96.600000000000009</v>
      </c>
      <c r="E68" s="507">
        <f>C68*20%</f>
        <v>20.240000000000002</v>
      </c>
      <c r="F68" s="676">
        <f>'1.DATA KIA'!F77</f>
        <v>7</v>
      </c>
      <c r="G68" s="676">
        <f>'1.DATA KIA'!F77</f>
        <v>7</v>
      </c>
      <c r="H68" s="676">
        <f>'1.DATA KIA'!J77</f>
        <v>8</v>
      </c>
      <c r="I68" s="698">
        <f>F68</f>
        <v>7</v>
      </c>
      <c r="J68" s="698">
        <f>F68</f>
        <v>7</v>
      </c>
      <c r="K68" s="695"/>
      <c r="L68" s="695"/>
      <c r="M68" s="695"/>
      <c r="N68" s="695"/>
      <c r="O68" s="695"/>
      <c r="P68" s="695"/>
    </row>
    <row r="69" spans="1:16" x14ac:dyDescent="0.35">
      <c r="A69" s="507">
        <v>2</v>
      </c>
      <c r="B69" s="702" t="str">
        <f>'1.DATA KIA'!B78</f>
        <v>Rengging</v>
      </c>
      <c r="C69" s="346">
        <f t="shared" ref="C69:D69" si="29">C39</f>
        <v>111.10000000000001</v>
      </c>
      <c r="D69" s="346">
        <f t="shared" si="29"/>
        <v>106.05000000000001</v>
      </c>
      <c r="E69" s="507">
        <f t="shared" ref="E69:E89" si="30">C69*20%</f>
        <v>22.220000000000002</v>
      </c>
      <c r="F69" s="676">
        <f>'1.DATA KIA'!F78</f>
        <v>6</v>
      </c>
      <c r="G69" s="676">
        <f>'1.DATA KIA'!F78</f>
        <v>6</v>
      </c>
      <c r="H69" s="676">
        <f>'1.DATA KIA'!J78</f>
        <v>3</v>
      </c>
      <c r="I69" s="698">
        <f t="shared" ref="I69:I79" si="31">F69</f>
        <v>6</v>
      </c>
      <c r="J69" s="698">
        <f t="shared" ref="J69:J79" si="32">F69</f>
        <v>6</v>
      </c>
      <c r="K69" s="695"/>
      <c r="L69" s="695"/>
      <c r="M69" s="695"/>
      <c r="N69" s="695"/>
      <c r="O69" s="695"/>
      <c r="P69" s="695"/>
    </row>
    <row r="70" spans="1:16" x14ac:dyDescent="0.35">
      <c r="A70" s="507">
        <v>3</v>
      </c>
      <c r="B70" s="702" t="str">
        <f>'1.DATA KIA'!B79</f>
        <v>Troso</v>
      </c>
      <c r="C70" s="346">
        <f t="shared" ref="C70:D70" si="33">C40</f>
        <v>205.70000000000002</v>
      </c>
      <c r="D70" s="346">
        <f t="shared" si="33"/>
        <v>196.35</v>
      </c>
      <c r="E70" s="507">
        <f t="shared" si="30"/>
        <v>41.140000000000008</v>
      </c>
      <c r="F70" s="676">
        <f>'1.DATA KIA'!F79</f>
        <v>17</v>
      </c>
      <c r="G70" s="676">
        <f>'1.DATA KIA'!F79</f>
        <v>17</v>
      </c>
      <c r="H70" s="676">
        <f>'1.DATA KIA'!J79</f>
        <v>17</v>
      </c>
      <c r="I70" s="698">
        <f t="shared" si="31"/>
        <v>17</v>
      </c>
      <c r="J70" s="698">
        <f t="shared" si="32"/>
        <v>17</v>
      </c>
      <c r="K70" s="695">
        <v>1</v>
      </c>
      <c r="L70" s="695">
        <v>1</v>
      </c>
      <c r="M70" s="695"/>
      <c r="N70" s="695"/>
      <c r="O70" s="695"/>
      <c r="P70" s="695"/>
    </row>
    <row r="71" spans="1:16" x14ac:dyDescent="0.35">
      <c r="A71" s="507">
        <v>4</v>
      </c>
      <c r="B71" s="702" t="str">
        <f>'1.DATA KIA'!B80</f>
        <v>Ngeling</v>
      </c>
      <c r="C71" s="346">
        <f t="shared" ref="C71:D71" si="34">C41</f>
        <v>95.7</v>
      </c>
      <c r="D71" s="346">
        <f t="shared" si="34"/>
        <v>91.350000000000009</v>
      </c>
      <c r="E71" s="507">
        <f t="shared" si="30"/>
        <v>19.14</v>
      </c>
      <c r="F71" s="676">
        <f>'1.DATA KIA'!F80</f>
        <v>10</v>
      </c>
      <c r="G71" s="676">
        <f>'1.DATA KIA'!F80</f>
        <v>10</v>
      </c>
      <c r="H71" s="676">
        <f>'1.DATA KIA'!J80</f>
        <v>7</v>
      </c>
      <c r="I71" s="698">
        <f t="shared" si="31"/>
        <v>10</v>
      </c>
      <c r="J71" s="698">
        <f t="shared" si="32"/>
        <v>10</v>
      </c>
      <c r="K71" s="695"/>
      <c r="L71" s="695"/>
      <c r="M71" s="695"/>
      <c r="N71" s="695"/>
      <c r="O71" s="695"/>
      <c r="P71" s="695"/>
    </row>
    <row r="72" spans="1:16" x14ac:dyDescent="0.35">
      <c r="A72" s="507">
        <v>5</v>
      </c>
      <c r="B72" s="702" t="str">
        <f>'1.DATA KIA'!B81</f>
        <v>Lebuawu</v>
      </c>
      <c r="C72" s="346">
        <f t="shared" ref="C72:D72" si="35">C42</f>
        <v>85.800000000000011</v>
      </c>
      <c r="D72" s="346">
        <f t="shared" si="35"/>
        <v>81.900000000000006</v>
      </c>
      <c r="E72" s="507">
        <f t="shared" si="30"/>
        <v>17.160000000000004</v>
      </c>
      <c r="F72" s="676">
        <f>'1.DATA KIA'!F81</f>
        <v>5</v>
      </c>
      <c r="G72" s="676">
        <f>'1.DATA KIA'!F81</f>
        <v>5</v>
      </c>
      <c r="H72" s="676">
        <f>'1.DATA KIA'!J81</f>
        <v>6</v>
      </c>
      <c r="I72" s="698">
        <f t="shared" si="31"/>
        <v>5</v>
      </c>
      <c r="J72" s="698">
        <f t="shared" si="32"/>
        <v>5</v>
      </c>
      <c r="K72" s="695"/>
      <c r="L72" s="695"/>
      <c r="M72" s="695"/>
      <c r="N72" s="695"/>
      <c r="O72" s="695"/>
      <c r="P72" s="695"/>
    </row>
    <row r="73" spans="1:16" x14ac:dyDescent="0.35">
      <c r="A73" s="507">
        <v>6</v>
      </c>
      <c r="B73" s="702" t="str">
        <f>'1.DATA KIA'!B82</f>
        <v>Pulodarat</v>
      </c>
      <c r="C73" s="346">
        <f t="shared" ref="C73:D73" si="36">C43</f>
        <v>82.5</v>
      </c>
      <c r="D73" s="346">
        <f t="shared" si="36"/>
        <v>78.75</v>
      </c>
      <c r="E73" s="507">
        <f t="shared" si="30"/>
        <v>16.5</v>
      </c>
      <c r="F73" s="676">
        <f>'1.DATA KIA'!F82</f>
        <v>5</v>
      </c>
      <c r="G73" s="676">
        <f>'1.DATA KIA'!F82</f>
        <v>5</v>
      </c>
      <c r="H73" s="676">
        <f>'1.DATA KIA'!J82</f>
        <v>4</v>
      </c>
      <c r="I73" s="698">
        <f t="shared" si="31"/>
        <v>5</v>
      </c>
      <c r="J73" s="698">
        <f t="shared" si="32"/>
        <v>5</v>
      </c>
      <c r="K73" s="695">
        <v>1</v>
      </c>
      <c r="L73" s="695">
        <v>1</v>
      </c>
      <c r="M73" s="695"/>
      <c r="N73" s="695"/>
      <c r="O73" s="695"/>
      <c r="P73" s="695"/>
    </row>
    <row r="74" spans="1:16" x14ac:dyDescent="0.35">
      <c r="A74" s="507">
        <v>7</v>
      </c>
      <c r="B74" s="702" t="str">
        <f>'1.DATA KIA'!B83</f>
        <v>Karangrandu</v>
      </c>
      <c r="C74" s="346">
        <f t="shared" ref="C74:D74" si="37">C44</f>
        <v>93.500000000000014</v>
      </c>
      <c r="D74" s="346">
        <f t="shared" si="37"/>
        <v>89.25</v>
      </c>
      <c r="E74" s="507">
        <f t="shared" si="30"/>
        <v>18.700000000000003</v>
      </c>
      <c r="F74" s="676">
        <f>'1.DATA KIA'!F83</f>
        <v>7</v>
      </c>
      <c r="G74" s="676">
        <f>'1.DATA KIA'!F83</f>
        <v>7</v>
      </c>
      <c r="H74" s="676">
        <f>'1.DATA KIA'!J83</f>
        <v>5</v>
      </c>
      <c r="I74" s="698">
        <f t="shared" si="31"/>
        <v>7</v>
      </c>
      <c r="J74" s="698">
        <f t="shared" si="32"/>
        <v>7</v>
      </c>
      <c r="K74" s="695"/>
      <c r="L74" s="695"/>
      <c r="M74" s="695"/>
      <c r="N74" s="695"/>
      <c r="O74" s="695"/>
      <c r="P74" s="695"/>
    </row>
    <row r="75" spans="1:16" x14ac:dyDescent="0.35">
      <c r="A75" s="507">
        <v>8</v>
      </c>
      <c r="B75" s="702" t="str">
        <f>'1.DATA KIA'!B84</f>
        <v>Kaliombo</v>
      </c>
      <c r="C75" s="346">
        <f t="shared" ref="C75:D75" si="38">C45</f>
        <v>46.2</v>
      </c>
      <c r="D75" s="346">
        <f t="shared" si="38"/>
        <v>44.1</v>
      </c>
      <c r="E75" s="507">
        <f t="shared" si="30"/>
        <v>9.24</v>
      </c>
      <c r="F75" s="676">
        <f>'1.DATA KIA'!F84</f>
        <v>2</v>
      </c>
      <c r="G75" s="676">
        <f>'1.DATA KIA'!F84</f>
        <v>2</v>
      </c>
      <c r="H75" s="676">
        <f>'1.DATA KIA'!J84</f>
        <v>2</v>
      </c>
      <c r="I75" s="698">
        <f t="shared" si="31"/>
        <v>2</v>
      </c>
      <c r="J75" s="698">
        <f t="shared" si="32"/>
        <v>2</v>
      </c>
      <c r="K75" s="695"/>
      <c r="L75" s="695"/>
      <c r="M75" s="695"/>
      <c r="N75" s="695"/>
      <c r="O75" s="695"/>
      <c r="P75" s="695"/>
    </row>
    <row r="76" spans="1:16" x14ac:dyDescent="0.35">
      <c r="A76" s="507">
        <v>9</v>
      </c>
      <c r="B76" s="702" t="str">
        <f>'1.DATA KIA'!B85</f>
        <v>Gemulung</v>
      </c>
      <c r="C76" s="346">
        <f t="shared" ref="C76:D76" si="39">C46</f>
        <v>53.900000000000006</v>
      </c>
      <c r="D76" s="346">
        <f t="shared" si="39"/>
        <v>51.45</v>
      </c>
      <c r="E76" s="507">
        <f t="shared" si="30"/>
        <v>10.780000000000001</v>
      </c>
      <c r="F76" s="676">
        <f>'1.DATA KIA'!F85</f>
        <v>5</v>
      </c>
      <c r="G76" s="676">
        <f>'1.DATA KIA'!F85</f>
        <v>5</v>
      </c>
      <c r="H76" s="676">
        <f>'1.DATA KIA'!J85</f>
        <v>5</v>
      </c>
      <c r="I76" s="698">
        <f t="shared" si="31"/>
        <v>5</v>
      </c>
      <c r="J76" s="698">
        <f t="shared" si="32"/>
        <v>5</v>
      </c>
      <c r="K76" s="695"/>
      <c r="L76" s="695"/>
      <c r="M76" s="695"/>
      <c r="N76" s="695"/>
      <c r="O76" s="695"/>
      <c r="P76" s="695"/>
    </row>
    <row r="77" spans="1:16" x14ac:dyDescent="0.35">
      <c r="A77" s="507">
        <v>10</v>
      </c>
      <c r="B77" s="702" t="str">
        <f>'1.DATA KIA'!B86</f>
        <v>Pecangaan Wetan</v>
      </c>
      <c r="C77" s="346">
        <f t="shared" ref="C77:D77" si="40">C47</f>
        <v>50.6</v>
      </c>
      <c r="D77" s="346">
        <f t="shared" si="40"/>
        <v>48.300000000000004</v>
      </c>
      <c r="E77" s="507">
        <f t="shared" si="30"/>
        <v>10.120000000000001</v>
      </c>
      <c r="F77" s="676">
        <f>'1.DATA KIA'!F86</f>
        <v>2</v>
      </c>
      <c r="G77" s="676">
        <f>'1.DATA KIA'!F86</f>
        <v>2</v>
      </c>
      <c r="H77" s="676">
        <f>'1.DATA KIA'!J86</f>
        <v>3</v>
      </c>
      <c r="I77" s="698">
        <f t="shared" si="31"/>
        <v>2</v>
      </c>
      <c r="J77" s="698">
        <f t="shared" si="32"/>
        <v>2</v>
      </c>
      <c r="K77" s="695"/>
      <c r="L77" s="695"/>
      <c r="M77" s="695"/>
      <c r="N77" s="695"/>
      <c r="O77" s="695"/>
      <c r="P77" s="695"/>
    </row>
    <row r="78" spans="1:16" x14ac:dyDescent="0.35">
      <c r="A78" s="507">
        <v>11</v>
      </c>
      <c r="B78" s="702" t="str">
        <f>'1.DATA KIA'!B87</f>
        <v>Krasak</v>
      </c>
      <c r="C78" s="346">
        <f t="shared" ref="C78:D78" si="41">C48</f>
        <v>117.7</v>
      </c>
      <c r="D78" s="346">
        <f t="shared" si="41"/>
        <v>112.35000000000001</v>
      </c>
      <c r="E78" s="507">
        <f t="shared" si="30"/>
        <v>23.540000000000003</v>
      </c>
      <c r="F78" s="676">
        <f>'1.DATA KIA'!F87</f>
        <v>9</v>
      </c>
      <c r="G78" s="676">
        <f>'1.DATA KIA'!F87</f>
        <v>9</v>
      </c>
      <c r="H78" s="676">
        <f>'1.DATA KIA'!J87</f>
        <v>5</v>
      </c>
      <c r="I78" s="698">
        <f t="shared" si="31"/>
        <v>9</v>
      </c>
      <c r="J78" s="698">
        <f t="shared" si="32"/>
        <v>9</v>
      </c>
      <c r="K78" s="695">
        <v>1</v>
      </c>
      <c r="L78" s="695">
        <v>1</v>
      </c>
      <c r="M78" s="695"/>
      <c r="N78" s="695"/>
      <c r="O78" s="695"/>
      <c r="P78" s="695"/>
    </row>
    <row r="79" spans="1:16" x14ac:dyDescent="0.35">
      <c r="A79" s="507">
        <v>12</v>
      </c>
      <c r="B79" s="702" t="str">
        <f>'1.DATA KIA'!B88</f>
        <v>Gerdu</v>
      </c>
      <c r="C79" s="346">
        <f t="shared" ref="C79:D79" si="42">C49</f>
        <v>23.1</v>
      </c>
      <c r="D79" s="346">
        <f t="shared" si="42"/>
        <v>22.05</v>
      </c>
      <c r="E79" s="507">
        <f t="shared" si="30"/>
        <v>4.62</v>
      </c>
      <c r="F79" s="676">
        <f>'1.DATA KIA'!F88</f>
        <v>3</v>
      </c>
      <c r="G79" s="676">
        <f>'1.DATA KIA'!F88</f>
        <v>3</v>
      </c>
      <c r="H79" s="676">
        <f>'1.DATA KIA'!J88</f>
        <v>0</v>
      </c>
      <c r="I79" s="698">
        <f t="shared" si="31"/>
        <v>3</v>
      </c>
      <c r="J79" s="698">
        <f t="shared" si="32"/>
        <v>3</v>
      </c>
      <c r="K79" s="695"/>
      <c r="L79" s="695"/>
      <c r="M79" s="695"/>
      <c r="N79" s="695"/>
      <c r="O79" s="695"/>
      <c r="P79" s="695"/>
    </row>
    <row r="80" spans="1:16" x14ac:dyDescent="0.35">
      <c r="A80" s="507">
        <v>13</v>
      </c>
      <c r="B80" s="507"/>
      <c r="C80" s="346">
        <f t="shared" ref="C80:D80" si="43">C50</f>
        <v>0</v>
      </c>
      <c r="D80" s="346">
        <f t="shared" si="43"/>
        <v>0</v>
      </c>
      <c r="E80" s="507">
        <f t="shared" si="30"/>
        <v>0</v>
      </c>
      <c r="F80" s="676">
        <f>'1.DATA KIA'!F89</f>
        <v>0</v>
      </c>
      <c r="G80" s="676"/>
      <c r="H80" s="676"/>
      <c r="I80" s="695"/>
      <c r="J80" s="695"/>
      <c r="K80" s="695"/>
      <c r="L80" s="695"/>
      <c r="M80" s="695"/>
      <c r="N80" s="695"/>
      <c r="O80" s="695"/>
      <c r="P80" s="695"/>
    </row>
    <row r="81" spans="1:16" x14ac:dyDescent="0.35">
      <c r="A81" s="507">
        <v>14</v>
      </c>
      <c r="B81" s="507"/>
      <c r="C81" s="346">
        <f t="shared" ref="C81:D81" si="44">C51</f>
        <v>0</v>
      </c>
      <c r="D81" s="346">
        <f t="shared" si="44"/>
        <v>0</v>
      </c>
      <c r="E81" s="507">
        <f t="shared" si="30"/>
        <v>0</v>
      </c>
      <c r="F81" s="676">
        <f>'1.DATA KIA'!F90</f>
        <v>0</v>
      </c>
      <c r="G81" s="676"/>
      <c r="H81" s="676"/>
      <c r="I81" s="695"/>
      <c r="J81" s="695"/>
      <c r="K81" s="695"/>
      <c r="L81" s="695"/>
      <c r="M81" s="695"/>
      <c r="N81" s="695"/>
      <c r="O81" s="695"/>
      <c r="P81" s="695"/>
    </row>
    <row r="82" spans="1:16" x14ac:dyDescent="0.35">
      <c r="A82" s="507">
        <v>15</v>
      </c>
      <c r="B82" s="507"/>
      <c r="C82" s="346">
        <f t="shared" ref="C82:D82" si="45">C52</f>
        <v>0</v>
      </c>
      <c r="D82" s="346">
        <f t="shared" si="45"/>
        <v>0</v>
      </c>
      <c r="E82" s="507">
        <f t="shared" si="30"/>
        <v>0</v>
      </c>
      <c r="F82" s="676">
        <f>'1.DATA KIA'!F91</f>
        <v>0</v>
      </c>
      <c r="G82" s="676"/>
      <c r="H82" s="676"/>
      <c r="I82" s="695"/>
      <c r="J82" s="695"/>
      <c r="K82" s="695"/>
      <c r="L82" s="695"/>
      <c r="M82" s="695"/>
      <c r="N82" s="695"/>
      <c r="O82" s="695"/>
      <c r="P82" s="695"/>
    </row>
    <row r="83" spans="1:16" x14ac:dyDescent="0.35">
      <c r="A83" s="507">
        <v>16</v>
      </c>
      <c r="B83" s="507"/>
      <c r="C83" s="346">
        <f t="shared" ref="C83:D83" si="46">C53</f>
        <v>0</v>
      </c>
      <c r="D83" s="346">
        <f t="shared" si="46"/>
        <v>0</v>
      </c>
      <c r="E83" s="507">
        <f t="shared" si="30"/>
        <v>0</v>
      </c>
      <c r="F83" s="676">
        <f>'1.DATA KIA'!F92</f>
        <v>0</v>
      </c>
      <c r="G83" s="676"/>
      <c r="H83" s="676"/>
      <c r="I83" s="695"/>
      <c r="J83" s="695"/>
      <c r="K83" s="695"/>
      <c r="L83" s="695"/>
      <c r="M83" s="695"/>
      <c r="N83" s="695"/>
      <c r="O83" s="695"/>
      <c r="P83" s="695"/>
    </row>
    <row r="84" spans="1:16" x14ac:dyDescent="0.35">
      <c r="A84" s="507">
        <v>17</v>
      </c>
      <c r="B84" s="507"/>
      <c r="C84" s="346">
        <f t="shared" ref="C84:D84" si="47">C54</f>
        <v>0</v>
      </c>
      <c r="D84" s="346">
        <f t="shared" si="47"/>
        <v>0</v>
      </c>
      <c r="E84" s="507">
        <f t="shared" si="30"/>
        <v>0</v>
      </c>
      <c r="F84" s="676">
        <f>'1.DATA KIA'!F93</f>
        <v>0</v>
      </c>
      <c r="G84" s="676"/>
      <c r="H84" s="676"/>
      <c r="I84" s="695"/>
      <c r="J84" s="695"/>
      <c r="K84" s="695"/>
      <c r="L84" s="695"/>
      <c r="M84" s="695"/>
      <c r="N84" s="695"/>
      <c r="O84" s="695"/>
      <c r="P84" s="695"/>
    </row>
    <row r="85" spans="1:16" x14ac:dyDescent="0.35">
      <c r="A85" s="507">
        <v>18</v>
      </c>
      <c r="B85" s="507"/>
      <c r="C85" s="346">
        <f t="shared" ref="C85:D85" si="48">C55</f>
        <v>0</v>
      </c>
      <c r="D85" s="346">
        <f t="shared" si="48"/>
        <v>0</v>
      </c>
      <c r="E85" s="507">
        <f t="shared" si="30"/>
        <v>0</v>
      </c>
      <c r="F85" s="676">
        <f>'1.DATA KIA'!F94</f>
        <v>0</v>
      </c>
      <c r="G85" s="676"/>
      <c r="H85" s="676"/>
      <c r="I85" s="695"/>
      <c r="J85" s="695"/>
      <c r="K85" s="695"/>
      <c r="L85" s="695"/>
      <c r="M85" s="695"/>
      <c r="N85" s="695"/>
      <c r="O85" s="695"/>
      <c r="P85" s="695"/>
    </row>
    <row r="86" spans="1:16" x14ac:dyDescent="0.35">
      <c r="A86" s="507">
        <v>19</v>
      </c>
      <c r="B86" s="507"/>
      <c r="C86" s="346">
        <f t="shared" ref="C86:D86" si="49">C56</f>
        <v>0</v>
      </c>
      <c r="D86" s="346">
        <f t="shared" si="49"/>
        <v>0</v>
      </c>
      <c r="E86" s="507">
        <f t="shared" si="30"/>
        <v>0</v>
      </c>
      <c r="F86" s="676">
        <f>'1.DATA KIA'!F95</f>
        <v>0</v>
      </c>
      <c r="G86" s="676"/>
      <c r="H86" s="676"/>
      <c r="I86" s="695"/>
      <c r="J86" s="695"/>
      <c r="K86" s="695"/>
      <c r="L86" s="695"/>
      <c r="M86" s="695"/>
      <c r="N86" s="695"/>
      <c r="O86" s="695"/>
      <c r="P86" s="695"/>
    </row>
    <row r="87" spans="1:16" x14ac:dyDescent="0.35">
      <c r="A87" s="507">
        <v>20</v>
      </c>
      <c r="B87" s="507"/>
      <c r="C87" s="346">
        <f t="shared" ref="C87:D87" si="50">C57</f>
        <v>0</v>
      </c>
      <c r="D87" s="346">
        <f t="shared" si="50"/>
        <v>0</v>
      </c>
      <c r="E87" s="507">
        <f t="shared" si="30"/>
        <v>0</v>
      </c>
      <c r="F87" s="676">
        <f>'1.DATA KIA'!F96</f>
        <v>0</v>
      </c>
      <c r="G87" s="676"/>
      <c r="H87" s="676"/>
      <c r="I87" s="695"/>
      <c r="J87" s="695"/>
      <c r="K87" s="695"/>
      <c r="L87" s="695"/>
      <c r="M87" s="695"/>
      <c r="N87" s="695"/>
      <c r="O87" s="695"/>
      <c r="P87" s="695"/>
    </row>
    <row r="88" spans="1:16" x14ac:dyDescent="0.35">
      <c r="A88" s="507">
        <v>21</v>
      </c>
      <c r="B88" s="507"/>
      <c r="C88" s="346">
        <f t="shared" ref="C88:D88" si="51">C58</f>
        <v>0</v>
      </c>
      <c r="D88" s="346">
        <f t="shared" si="51"/>
        <v>0</v>
      </c>
      <c r="E88" s="507">
        <f t="shared" si="30"/>
        <v>0</v>
      </c>
      <c r="F88" s="676">
        <f>'1.DATA KIA'!F97</f>
        <v>0</v>
      </c>
      <c r="G88" s="676"/>
      <c r="H88" s="676"/>
      <c r="I88" s="695"/>
      <c r="J88" s="695"/>
      <c r="K88" s="695"/>
      <c r="L88" s="695"/>
      <c r="M88" s="695"/>
      <c r="N88" s="695"/>
      <c r="O88" s="695"/>
      <c r="P88" s="695"/>
    </row>
    <row r="89" spans="1:16" x14ac:dyDescent="0.35">
      <c r="A89" s="512">
        <v>22</v>
      </c>
      <c r="B89" s="512"/>
      <c r="C89" s="346">
        <f t="shared" ref="C89:D89" si="52">C59</f>
        <v>0</v>
      </c>
      <c r="D89" s="346">
        <f t="shared" si="52"/>
        <v>0</v>
      </c>
      <c r="E89" s="512">
        <f t="shared" si="30"/>
        <v>0</v>
      </c>
      <c r="F89" s="676">
        <f>'1.DATA KIA'!F98</f>
        <v>0</v>
      </c>
      <c r="G89" s="512"/>
      <c r="H89" s="512"/>
      <c r="I89" s="696"/>
      <c r="J89" s="696"/>
      <c r="K89" s="696"/>
      <c r="L89" s="696"/>
      <c r="M89" s="696"/>
      <c r="N89" s="696"/>
      <c r="O89" s="696"/>
      <c r="P89" s="696"/>
    </row>
    <row r="90" spans="1:16" x14ac:dyDescent="0.35">
      <c r="A90" s="1030" t="s">
        <v>18</v>
      </c>
      <c r="B90" s="1030"/>
      <c r="C90" s="688">
        <f>SUM(C68:C89)</f>
        <v>1067</v>
      </c>
      <c r="D90" s="688">
        <f t="shared" ref="D90:P90" si="53">SUM(D68:D89)</f>
        <v>1018.5</v>
      </c>
      <c r="E90" s="688">
        <f t="shared" si="53"/>
        <v>213.40000000000003</v>
      </c>
      <c r="F90" s="688">
        <f t="shared" si="53"/>
        <v>78</v>
      </c>
      <c r="G90" s="688">
        <f t="shared" si="53"/>
        <v>78</v>
      </c>
      <c r="H90" s="688">
        <f t="shared" si="53"/>
        <v>65</v>
      </c>
      <c r="I90" s="688">
        <f t="shared" si="53"/>
        <v>78</v>
      </c>
      <c r="J90" s="688">
        <f t="shared" si="53"/>
        <v>78</v>
      </c>
      <c r="K90" s="688">
        <f t="shared" si="53"/>
        <v>3</v>
      </c>
      <c r="L90" s="688">
        <f t="shared" si="53"/>
        <v>3</v>
      </c>
      <c r="M90" s="688">
        <f t="shared" si="53"/>
        <v>0</v>
      </c>
      <c r="N90" s="688">
        <f t="shared" si="53"/>
        <v>0</v>
      </c>
      <c r="O90" s="688">
        <f t="shared" si="53"/>
        <v>0</v>
      </c>
      <c r="P90" s="688">
        <f t="shared" si="53"/>
        <v>0</v>
      </c>
    </row>
    <row r="92" spans="1:16" x14ac:dyDescent="0.35">
      <c r="A92" s="731" t="s">
        <v>426</v>
      </c>
      <c r="B92" s="731"/>
      <c r="C92" s="679">
        <f>PETUNJUK!C95</f>
        <v>0</v>
      </c>
      <c r="D92" s="504"/>
      <c r="E92" s="504"/>
      <c r="F92" s="504"/>
      <c r="G92" s="504"/>
      <c r="H92" s="504"/>
      <c r="I92" s="504"/>
      <c r="J92" s="504"/>
      <c r="K92" s="504"/>
      <c r="L92" s="504"/>
      <c r="M92" s="504"/>
      <c r="N92" s="504"/>
      <c r="O92" s="504"/>
      <c r="P92" s="504"/>
    </row>
    <row r="93" spans="1:16" x14ac:dyDescent="0.35">
      <c r="A93" s="731" t="s">
        <v>0</v>
      </c>
      <c r="B93" s="731"/>
      <c r="C93" s="1034" t="s">
        <v>139</v>
      </c>
      <c r="D93" s="1034"/>
      <c r="E93" s="504"/>
      <c r="F93" s="504"/>
      <c r="G93" s="504"/>
      <c r="H93" s="504"/>
      <c r="I93" s="504"/>
      <c r="J93" s="504"/>
      <c r="K93" s="504"/>
      <c r="L93" s="504"/>
      <c r="M93" s="504"/>
      <c r="N93" s="504"/>
      <c r="O93" s="504"/>
      <c r="P93" s="504"/>
    </row>
    <row r="95" spans="1:16" x14ac:dyDescent="0.35">
      <c r="A95" s="754" t="s">
        <v>1</v>
      </c>
      <c r="B95" s="754" t="s">
        <v>2</v>
      </c>
      <c r="C95" s="754" t="s">
        <v>174</v>
      </c>
      <c r="D95" s="754"/>
      <c r="E95" s="754"/>
      <c r="F95" s="1024" t="s">
        <v>440</v>
      </c>
      <c r="G95" s="1024" t="s">
        <v>441</v>
      </c>
      <c r="H95" s="1024" t="s">
        <v>444</v>
      </c>
      <c r="I95" s="964" t="s">
        <v>427</v>
      </c>
      <c r="J95" s="964" t="s">
        <v>428</v>
      </c>
      <c r="K95" s="964" t="s">
        <v>429</v>
      </c>
      <c r="L95" s="964" t="s">
        <v>430</v>
      </c>
      <c r="M95" s="964" t="s">
        <v>432</v>
      </c>
      <c r="N95" s="964" t="s">
        <v>431</v>
      </c>
      <c r="O95" s="1032" t="s">
        <v>433</v>
      </c>
      <c r="P95" s="1032" t="s">
        <v>434</v>
      </c>
    </row>
    <row r="96" spans="1:16" ht="14.5" x14ac:dyDescent="0.35">
      <c r="A96" s="754"/>
      <c r="B96" s="754"/>
      <c r="C96" s="732" t="s">
        <v>5</v>
      </c>
      <c r="D96" s="732" t="s">
        <v>6</v>
      </c>
      <c r="E96" s="732" t="s">
        <v>133</v>
      </c>
      <c r="F96" s="1025"/>
      <c r="G96" s="1027"/>
      <c r="H96" s="1025"/>
      <c r="I96" s="1033"/>
      <c r="J96" s="1033"/>
      <c r="K96" s="1033"/>
      <c r="L96" s="1033"/>
      <c r="M96" s="1033"/>
      <c r="N96" s="964"/>
      <c r="O96" s="962"/>
      <c r="P96" s="962"/>
    </row>
    <row r="97" spans="1:16" ht="69.650000000000006" customHeight="1" x14ac:dyDescent="0.35">
      <c r="A97" s="754"/>
      <c r="B97" s="754"/>
      <c r="C97" s="732"/>
      <c r="D97" s="732"/>
      <c r="E97" s="732"/>
      <c r="F97" s="1026"/>
      <c r="G97" s="1028"/>
      <c r="H97" s="1026"/>
      <c r="I97" s="1033"/>
      <c r="J97" s="1033"/>
      <c r="K97" s="1033"/>
      <c r="L97" s="1033"/>
      <c r="M97" s="1033"/>
      <c r="N97" s="964"/>
      <c r="O97" s="963"/>
      <c r="P97" s="963"/>
    </row>
    <row r="98" spans="1:16" x14ac:dyDescent="0.35">
      <c r="A98" s="507">
        <v>1</v>
      </c>
      <c r="B98" s="507">
        <f>PETUNJUK!B99</f>
        <v>0</v>
      </c>
      <c r="C98" s="346">
        <f>C68</f>
        <v>101.2</v>
      </c>
      <c r="D98" s="346">
        <f>D68</f>
        <v>96.600000000000009</v>
      </c>
      <c r="E98" s="507">
        <f>C98*20%</f>
        <v>20.240000000000002</v>
      </c>
      <c r="F98" s="676">
        <f>'1.DATA KIA'!F111</f>
        <v>8</v>
      </c>
      <c r="G98" s="676">
        <f>'1.DATA KIA'!F111</f>
        <v>8</v>
      </c>
      <c r="H98" s="676">
        <f>'1.DATA KIA'!M111</f>
        <v>7</v>
      </c>
      <c r="I98" s="698">
        <f>G98</f>
        <v>8</v>
      </c>
      <c r="J98" s="698">
        <f t="shared" ref="J98:J109" si="54">F98</f>
        <v>8</v>
      </c>
      <c r="K98" s="695">
        <v>1</v>
      </c>
      <c r="L98" s="695">
        <v>1</v>
      </c>
      <c r="M98" s="695"/>
      <c r="N98" s="695"/>
      <c r="O98" s="695"/>
      <c r="P98" s="695"/>
    </row>
    <row r="99" spans="1:16" x14ac:dyDescent="0.35">
      <c r="A99" s="507">
        <v>2</v>
      </c>
      <c r="B99" s="507">
        <f>PETUNJUK!B100</f>
        <v>0</v>
      </c>
      <c r="C99" s="346">
        <f t="shared" ref="C99:D99" si="55">C69</f>
        <v>111.10000000000001</v>
      </c>
      <c r="D99" s="346">
        <f t="shared" si="55"/>
        <v>106.05000000000001</v>
      </c>
      <c r="E99" s="507">
        <f t="shared" ref="E99:E119" si="56">C99*20%</f>
        <v>22.220000000000002</v>
      </c>
      <c r="F99" s="676">
        <f>'1.DATA KIA'!F112</f>
        <v>19</v>
      </c>
      <c r="G99" s="676">
        <f>'1.DATA KIA'!F112</f>
        <v>19</v>
      </c>
      <c r="H99" s="676">
        <f>'1.DATA KIA'!M112</f>
        <v>4</v>
      </c>
      <c r="I99" s="698">
        <f t="shared" ref="I99:I109" si="57">G99</f>
        <v>19</v>
      </c>
      <c r="J99" s="698">
        <f t="shared" si="54"/>
        <v>19</v>
      </c>
      <c r="K99" s="695"/>
      <c r="L99" s="695"/>
      <c r="M99" s="695"/>
      <c r="N99" s="695"/>
      <c r="O99" s="695"/>
      <c r="P99" s="695"/>
    </row>
    <row r="100" spans="1:16" x14ac:dyDescent="0.35">
      <c r="A100" s="507">
        <v>3</v>
      </c>
      <c r="B100" s="507">
        <f>PETUNJUK!B101</f>
        <v>0</v>
      </c>
      <c r="C100" s="346">
        <f t="shared" ref="C100:D100" si="58">C70</f>
        <v>205.70000000000002</v>
      </c>
      <c r="D100" s="346">
        <f t="shared" si="58"/>
        <v>196.35</v>
      </c>
      <c r="E100" s="507">
        <f t="shared" si="56"/>
        <v>41.140000000000008</v>
      </c>
      <c r="F100" s="676">
        <f>'1.DATA KIA'!F113</f>
        <v>26</v>
      </c>
      <c r="G100" s="676">
        <f>'1.DATA KIA'!F113</f>
        <v>26</v>
      </c>
      <c r="H100" s="676">
        <f>'1.DATA KIA'!M113</f>
        <v>21</v>
      </c>
      <c r="I100" s="698">
        <f t="shared" si="57"/>
        <v>26</v>
      </c>
      <c r="J100" s="698">
        <f t="shared" si="54"/>
        <v>26</v>
      </c>
      <c r="K100" s="695"/>
      <c r="L100" s="695"/>
      <c r="M100" s="695"/>
      <c r="N100" s="695"/>
      <c r="O100" s="695">
        <v>1</v>
      </c>
      <c r="P100" s="695">
        <v>1</v>
      </c>
    </row>
    <row r="101" spans="1:16" x14ac:dyDescent="0.35">
      <c r="A101" s="507">
        <v>4</v>
      </c>
      <c r="B101" s="507">
        <f>PETUNJUK!B102</f>
        <v>0</v>
      </c>
      <c r="C101" s="346">
        <f t="shared" ref="C101:D101" si="59">C71</f>
        <v>95.7</v>
      </c>
      <c r="D101" s="346">
        <f t="shared" si="59"/>
        <v>91.350000000000009</v>
      </c>
      <c r="E101" s="507">
        <f t="shared" si="56"/>
        <v>19.14</v>
      </c>
      <c r="F101" s="676">
        <f>'1.DATA KIA'!F114</f>
        <v>9</v>
      </c>
      <c r="G101" s="676">
        <f>'1.DATA KIA'!F114</f>
        <v>9</v>
      </c>
      <c r="H101" s="676">
        <f>'1.DATA KIA'!M114</f>
        <v>8</v>
      </c>
      <c r="I101" s="698">
        <f t="shared" si="57"/>
        <v>9</v>
      </c>
      <c r="J101" s="698">
        <f t="shared" si="54"/>
        <v>9</v>
      </c>
      <c r="K101" s="695"/>
      <c r="L101" s="695"/>
      <c r="M101" s="695"/>
      <c r="N101" s="695"/>
      <c r="O101" s="695"/>
      <c r="P101" s="695"/>
    </row>
    <row r="102" spans="1:16" x14ac:dyDescent="0.35">
      <c r="A102" s="507">
        <v>5</v>
      </c>
      <c r="B102" s="507">
        <f>PETUNJUK!B103</f>
        <v>0</v>
      </c>
      <c r="C102" s="346">
        <f t="shared" ref="C102:D102" si="60">C72</f>
        <v>85.800000000000011</v>
      </c>
      <c r="D102" s="346">
        <f t="shared" si="60"/>
        <v>81.900000000000006</v>
      </c>
      <c r="E102" s="507">
        <f t="shared" si="56"/>
        <v>17.160000000000004</v>
      </c>
      <c r="F102" s="676">
        <f>'1.DATA KIA'!F115</f>
        <v>8</v>
      </c>
      <c r="G102" s="676">
        <f>'1.DATA KIA'!F115</f>
        <v>8</v>
      </c>
      <c r="H102" s="676">
        <f>'1.DATA KIA'!M115</f>
        <v>5</v>
      </c>
      <c r="I102" s="698">
        <f t="shared" si="57"/>
        <v>8</v>
      </c>
      <c r="J102" s="698">
        <f t="shared" si="54"/>
        <v>8</v>
      </c>
      <c r="K102" s="695">
        <v>1</v>
      </c>
      <c r="L102" s="695">
        <v>1</v>
      </c>
      <c r="M102" s="695">
        <v>1</v>
      </c>
      <c r="N102" s="695">
        <v>1</v>
      </c>
      <c r="O102" s="695"/>
      <c r="P102" s="695"/>
    </row>
    <row r="103" spans="1:16" x14ac:dyDescent="0.35">
      <c r="A103" s="507">
        <v>6</v>
      </c>
      <c r="B103" s="507">
        <f>PETUNJUK!B104</f>
        <v>0</v>
      </c>
      <c r="C103" s="346">
        <f t="shared" ref="C103:D103" si="61">C73</f>
        <v>82.5</v>
      </c>
      <c r="D103" s="346">
        <f t="shared" si="61"/>
        <v>78.75</v>
      </c>
      <c r="E103" s="507">
        <f t="shared" si="56"/>
        <v>16.5</v>
      </c>
      <c r="F103" s="676">
        <f>'1.DATA KIA'!F116</f>
        <v>4</v>
      </c>
      <c r="G103" s="676">
        <f>'1.DATA KIA'!F116</f>
        <v>4</v>
      </c>
      <c r="H103" s="676">
        <f>'1.DATA KIA'!M116</f>
        <v>5</v>
      </c>
      <c r="I103" s="698">
        <f t="shared" si="57"/>
        <v>4</v>
      </c>
      <c r="J103" s="698">
        <f t="shared" si="54"/>
        <v>4</v>
      </c>
      <c r="K103" s="695">
        <v>1</v>
      </c>
      <c r="L103" s="695">
        <v>1</v>
      </c>
      <c r="M103" s="695"/>
      <c r="N103" s="695"/>
      <c r="O103" s="695"/>
      <c r="P103" s="695"/>
    </row>
    <row r="104" spans="1:16" x14ac:dyDescent="0.35">
      <c r="A104" s="507">
        <v>7</v>
      </c>
      <c r="B104" s="507">
        <f>PETUNJUK!B105</f>
        <v>0</v>
      </c>
      <c r="C104" s="346">
        <f t="shared" ref="C104:D104" si="62">C74</f>
        <v>93.500000000000014</v>
      </c>
      <c r="D104" s="346">
        <f t="shared" si="62"/>
        <v>89.25</v>
      </c>
      <c r="E104" s="507">
        <f t="shared" si="56"/>
        <v>18.700000000000003</v>
      </c>
      <c r="F104" s="676">
        <f>'1.DATA KIA'!F117</f>
        <v>9</v>
      </c>
      <c r="G104" s="676">
        <f>'1.DATA KIA'!F117</f>
        <v>9</v>
      </c>
      <c r="H104" s="676">
        <f>'1.DATA KIA'!M117</f>
        <v>8</v>
      </c>
      <c r="I104" s="698">
        <f t="shared" si="57"/>
        <v>9</v>
      </c>
      <c r="J104" s="698">
        <f t="shared" si="54"/>
        <v>9</v>
      </c>
      <c r="K104" s="695"/>
      <c r="L104" s="695"/>
      <c r="M104" s="695"/>
      <c r="N104" s="695"/>
      <c r="O104" s="695"/>
      <c r="P104" s="695"/>
    </row>
    <row r="105" spans="1:16" x14ac:dyDescent="0.35">
      <c r="A105" s="507">
        <v>8</v>
      </c>
      <c r="B105" s="507">
        <f>PETUNJUK!B106</f>
        <v>0</v>
      </c>
      <c r="C105" s="346">
        <f t="shared" ref="C105:D105" si="63">C75</f>
        <v>46.2</v>
      </c>
      <c r="D105" s="346">
        <f t="shared" si="63"/>
        <v>44.1</v>
      </c>
      <c r="E105" s="507">
        <f t="shared" si="56"/>
        <v>9.24</v>
      </c>
      <c r="F105" s="676">
        <f>'1.DATA KIA'!F118</f>
        <v>5</v>
      </c>
      <c r="G105" s="676">
        <f>'1.DATA KIA'!F118</f>
        <v>5</v>
      </c>
      <c r="H105" s="676">
        <f>'1.DATA KIA'!M118</f>
        <v>5</v>
      </c>
      <c r="I105" s="698">
        <f t="shared" si="57"/>
        <v>5</v>
      </c>
      <c r="J105" s="698">
        <f t="shared" si="54"/>
        <v>5</v>
      </c>
      <c r="K105" s="695"/>
      <c r="L105" s="695"/>
      <c r="M105" s="695"/>
      <c r="N105" s="695"/>
      <c r="O105" s="695"/>
      <c r="P105" s="695"/>
    </row>
    <row r="106" spans="1:16" x14ac:dyDescent="0.35">
      <c r="A106" s="507">
        <v>9</v>
      </c>
      <c r="B106" s="507">
        <f>PETUNJUK!B107</f>
        <v>0</v>
      </c>
      <c r="C106" s="346">
        <f t="shared" ref="C106:D106" si="64">C76</f>
        <v>53.900000000000006</v>
      </c>
      <c r="D106" s="346">
        <f t="shared" si="64"/>
        <v>51.45</v>
      </c>
      <c r="E106" s="507">
        <f t="shared" si="56"/>
        <v>10.780000000000001</v>
      </c>
      <c r="F106" s="676">
        <f>'1.DATA KIA'!F119</f>
        <v>5</v>
      </c>
      <c r="G106" s="676">
        <f>'1.DATA KIA'!F119</f>
        <v>5</v>
      </c>
      <c r="H106" s="676">
        <f>'1.DATA KIA'!M119</f>
        <v>4</v>
      </c>
      <c r="I106" s="698">
        <f t="shared" si="57"/>
        <v>5</v>
      </c>
      <c r="J106" s="698">
        <f t="shared" si="54"/>
        <v>5</v>
      </c>
      <c r="K106" s="695"/>
      <c r="L106" s="695"/>
      <c r="M106" s="695"/>
      <c r="N106" s="695"/>
      <c r="O106" s="695"/>
      <c r="P106" s="695"/>
    </row>
    <row r="107" spans="1:16" x14ac:dyDescent="0.35">
      <c r="A107" s="507">
        <v>10</v>
      </c>
      <c r="B107" s="507">
        <f>PETUNJUK!B108</f>
        <v>0</v>
      </c>
      <c r="C107" s="346">
        <f t="shared" ref="C107:D107" si="65">C77</f>
        <v>50.6</v>
      </c>
      <c r="D107" s="346">
        <f t="shared" si="65"/>
        <v>48.300000000000004</v>
      </c>
      <c r="E107" s="507">
        <f t="shared" si="56"/>
        <v>10.120000000000001</v>
      </c>
      <c r="F107" s="676">
        <f>'1.DATA KIA'!F120</f>
        <v>3</v>
      </c>
      <c r="G107" s="676">
        <f>'1.DATA KIA'!F120</f>
        <v>3</v>
      </c>
      <c r="H107" s="676">
        <f>'1.DATA KIA'!M120</f>
        <v>2</v>
      </c>
      <c r="I107" s="698">
        <f t="shared" si="57"/>
        <v>3</v>
      </c>
      <c r="J107" s="698">
        <f t="shared" si="54"/>
        <v>3</v>
      </c>
      <c r="K107" s="695"/>
      <c r="L107" s="695"/>
      <c r="M107" s="695"/>
      <c r="N107" s="695"/>
      <c r="O107" s="695"/>
      <c r="P107" s="695"/>
    </row>
    <row r="108" spans="1:16" x14ac:dyDescent="0.35">
      <c r="A108" s="507">
        <v>11</v>
      </c>
      <c r="B108" s="507">
        <f>PETUNJUK!B109</f>
        <v>0</v>
      </c>
      <c r="C108" s="346">
        <f t="shared" ref="C108:D108" si="66">C78</f>
        <v>117.7</v>
      </c>
      <c r="D108" s="346">
        <f t="shared" si="66"/>
        <v>112.35000000000001</v>
      </c>
      <c r="E108" s="507">
        <f t="shared" si="56"/>
        <v>23.540000000000003</v>
      </c>
      <c r="F108" s="676">
        <f>'1.DATA KIA'!F121</f>
        <v>11</v>
      </c>
      <c r="G108" s="676">
        <f>'1.DATA KIA'!F121</f>
        <v>11</v>
      </c>
      <c r="H108" s="676">
        <f>'1.DATA KIA'!M121</f>
        <v>7</v>
      </c>
      <c r="I108" s="698">
        <f t="shared" si="57"/>
        <v>11</v>
      </c>
      <c r="J108" s="698">
        <f t="shared" si="54"/>
        <v>11</v>
      </c>
      <c r="K108" s="695">
        <v>1</v>
      </c>
      <c r="L108" s="695">
        <v>1</v>
      </c>
      <c r="M108" s="695">
        <v>1</v>
      </c>
      <c r="N108" s="695">
        <v>1</v>
      </c>
      <c r="O108" s="695"/>
      <c r="P108" s="695"/>
    </row>
    <row r="109" spans="1:16" x14ac:dyDescent="0.35">
      <c r="A109" s="507">
        <v>12</v>
      </c>
      <c r="B109" s="507">
        <f>PETUNJUK!B110</f>
        <v>0</v>
      </c>
      <c r="C109" s="346">
        <f t="shared" ref="C109:D109" si="67">C79</f>
        <v>23.1</v>
      </c>
      <c r="D109" s="346">
        <f t="shared" si="67"/>
        <v>22.05</v>
      </c>
      <c r="E109" s="507">
        <f t="shared" si="56"/>
        <v>4.62</v>
      </c>
      <c r="F109" s="676">
        <f>'1.DATA KIA'!F122</f>
        <v>3</v>
      </c>
      <c r="G109" s="676">
        <f>'1.DATA KIA'!F122</f>
        <v>3</v>
      </c>
      <c r="H109" s="676">
        <f>'1.DATA KIA'!M122</f>
        <v>2</v>
      </c>
      <c r="I109" s="698">
        <f t="shared" si="57"/>
        <v>3</v>
      </c>
      <c r="J109" s="698">
        <f t="shared" si="54"/>
        <v>3</v>
      </c>
      <c r="K109" s="695"/>
      <c r="L109" s="695"/>
      <c r="M109" s="695"/>
      <c r="N109" s="695"/>
      <c r="O109" s="695"/>
      <c r="P109" s="695"/>
    </row>
    <row r="110" spans="1:16" x14ac:dyDescent="0.35">
      <c r="A110" s="507">
        <v>13</v>
      </c>
      <c r="B110" s="507">
        <f>PETUNJUK!B111</f>
        <v>0</v>
      </c>
      <c r="C110" s="346">
        <f t="shared" ref="C110:D110" si="68">C80</f>
        <v>0</v>
      </c>
      <c r="D110" s="346">
        <f t="shared" si="68"/>
        <v>0</v>
      </c>
      <c r="E110" s="507">
        <f t="shared" si="56"/>
        <v>0</v>
      </c>
      <c r="F110" s="676"/>
      <c r="G110" s="676"/>
      <c r="H110" s="676"/>
      <c r="I110" s="698"/>
      <c r="J110" s="695"/>
      <c r="K110" s="695"/>
      <c r="L110" s="695"/>
      <c r="M110" s="695"/>
      <c r="N110" s="695"/>
      <c r="O110" s="695"/>
      <c r="P110" s="695"/>
    </row>
    <row r="111" spans="1:16" x14ac:dyDescent="0.35">
      <c r="A111" s="507">
        <v>14</v>
      </c>
      <c r="B111" s="507">
        <f>PETUNJUK!B112</f>
        <v>0</v>
      </c>
      <c r="C111" s="346">
        <f t="shared" ref="C111:D111" si="69">C81</f>
        <v>0</v>
      </c>
      <c r="D111" s="346">
        <f t="shared" si="69"/>
        <v>0</v>
      </c>
      <c r="E111" s="507">
        <f t="shared" si="56"/>
        <v>0</v>
      </c>
      <c r="F111" s="676"/>
      <c r="G111" s="676"/>
      <c r="H111" s="676"/>
      <c r="I111" s="698"/>
      <c r="J111" s="695"/>
      <c r="K111" s="695"/>
      <c r="L111" s="695"/>
      <c r="M111" s="695"/>
      <c r="N111" s="695"/>
      <c r="O111" s="695"/>
      <c r="P111" s="695"/>
    </row>
    <row r="112" spans="1:16" x14ac:dyDescent="0.35">
      <c r="A112" s="507">
        <v>15</v>
      </c>
      <c r="B112" s="507">
        <f>PETUNJUK!B113</f>
        <v>0</v>
      </c>
      <c r="C112" s="346">
        <f t="shared" ref="C112:D112" si="70">C82</f>
        <v>0</v>
      </c>
      <c r="D112" s="346">
        <f t="shared" si="70"/>
        <v>0</v>
      </c>
      <c r="E112" s="507">
        <f t="shared" si="56"/>
        <v>0</v>
      </c>
      <c r="F112" s="676"/>
      <c r="G112" s="676"/>
      <c r="H112" s="676"/>
      <c r="I112" s="698"/>
      <c r="J112" s="695"/>
      <c r="K112" s="695"/>
      <c r="L112" s="695"/>
      <c r="M112" s="695"/>
      <c r="N112" s="695"/>
      <c r="O112" s="695"/>
      <c r="P112" s="695"/>
    </row>
    <row r="113" spans="1:16" x14ac:dyDescent="0.35">
      <c r="A113" s="507">
        <v>16</v>
      </c>
      <c r="B113" s="507">
        <f>PETUNJUK!B114</f>
        <v>0</v>
      </c>
      <c r="C113" s="346">
        <f t="shared" ref="C113:D113" si="71">C83</f>
        <v>0</v>
      </c>
      <c r="D113" s="346">
        <f t="shared" si="71"/>
        <v>0</v>
      </c>
      <c r="E113" s="507">
        <f t="shared" si="56"/>
        <v>0</v>
      </c>
      <c r="F113" s="676"/>
      <c r="G113" s="676"/>
      <c r="H113" s="676"/>
      <c r="I113" s="698"/>
      <c r="J113" s="695"/>
      <c r="K113" s="695"/>
      <c r="L113" s="695"/>
      <c r="M113" s="695"/>
      <c r="N113" s="695"/>
      <c r="O113" s="695"/>
      <c r="P113" s="695"/>
    </row>
    <row r="114" spans="1:16" x14ac:dyDescent="0.35">
      <c r="A114" s="507">
        <v>17</v>
      </c>
      <c r="B114" s="507">
        <f>PETUNJUK!B115</f>
        <v>0</v>
      </c>
      <c r="C114" s="346">
        <f t="shared" ref="C114:D114" si="72">C84</f>
        <v>0</v>
      </c>
      <c r="D114" s="346">
        <f t="shared" si="72"/>
        <v>0</v>
      </c>
      <c r="E114" s="507">
        <f t="shared" si="56"/>
        <v>0</v>
      </c>
      <c r="F114" s="676"/>
      <c r="G114" s="676"/>
      <c r="H114" s="676"/>
      <c r="I114" s="695"/>
      <c r="J114" s="695"/>
      <c r="K114" s="695"/>
      <c r="L114" s="695"/>
      <c r="M114" s="695"/>
      <c r="N114" s="695"/>
      <c r="O114" s="695"/>
      <c r="P114" s="695"/>
    </row>
    <row r="115" spans="1:16" x14ac:dyDescent="0.35">
      <c r="A115" s="507">
        <v>18</v>
      </c>
      <c r="B115" s="507">
        <f>PETUNJUK!B116</f>
        <v>0</v>
      </c>
      <c r="C115" s="346">
        <f t="shared" ref="C115:D115" si="73">C85</f>
        <v>0</v>
      </c>
      <c r="D115" s="346">
        <f t="shared" si="73"/>
        <v>0</v>
      </c>
      <c r="E115" s="507">
        <f t="shared" si="56"/>
        <v>0</v>
      </c>
      <c r="F115" s="676"/>
      <c r="G115" s="676"/>
      <c r="H115" s="676"/>
      <c r="I115" s="695"/>
      <c r="J115" s="695"/>
      <c r="K115" s="695"/>
      <c r="L115" s="695"/>
      <c r="M115" s="695"/>
      <c r="N115" s="695"/>
      <c r="O115" s="695"/>
      <c r="P115" s="695"/>
    </row>
    <row r="116" spans="1:16" x14ac:dyDescent="0.35">
      <c r="A116" s="507">
        <v>19</v>
      </c>
      <c r="B116" s="507">
        <f>PETUNJUK!B117</f>
        <v>0</v>
      </c>
      <c r="C116" s="346">
        <f t="shared" ref="C116:D116" si="74">C86</f>
        <v>0</v>
      </c>
      <c r="D116" s="346">
        <f t="shared" si="74"/>
        <v>0</v>
      </c>
      <c r="E116" s="507">
        <f t="shared" si="56"/>
        <v>0</v>
      </c>
      <c r="F116" s="676"/>
      <c r="G116" s="676"/>
      <c r="H116" s="676"/>
      <c r="I116" s="695"/>
      <c r="J116" s="695"/>
      <c r="K116" s="695"/>
      <c r="L116" s="695"/>
      <c r="M116" s="695"/>
      <c r="N116" s="695"/>
      <c r="O116" s="695"/>
      <c r="P116" s="695"/>
    </row>
    <row r="117" spans="1:16" x14ac:dyDescent="0.35">
      <c r="A117" s="507">
        <v>20</v>
      </c>
      <c r="B117" s="507">
        <f>PETUNJUK!B118</f>
        <v>0</v>
      </c>
      <c r="C117" s="346">
        <f t="shared" ref="C117:D117" si="75">C87</f>
        <v>0</v>
      </c>
      <c r="D117" s="346">
        <f t="shared" si="75"/>
        <v>0</v>
      </c>
      <c r="E117" s="507">
        <f t="shared" si="56"/>
        <v>0</v>
      </c>
      <c r="F117" s="676"/>
      <c r="G117" s="676"/>
      <c r="H117" s="676"/>
      <c r="I117" s="695"/>
      <c r="J117" s="695"/>
      <c r="K117" s="695"/>
      <c r="L117" s="695"/>
      <c r="M117" s="695"/>
      <c r="N117" s="695"/>
      <c r="O117" s="695"/>
      <c r="P117" s="695"/>
    </row>
    <row r="118" spans="1:16" x14ac:dyDescent="0.35">
      <c r="A118" s="507">
        <v>21</v>
      </c>
      <c r="B118" s="507">
        <f>PETUNJUK!B119</f>
        <v>0</v>
      </c>
      <c r="C118" s="346">
        <f t="shared" ref="C118:D118" si="76">C88</f>
        <v>0</v>
      </c>
      <c r="D118" s="346">
        <f t="shared" si="76"/>
        <v>0</v>
      </c>
      <c r="E118" s="507">
        <f t="shared" si="56"/>
        <v>0</v>
      </c>
      <c r="F118" s="676"/>
      <c r="G118" s="676"/>
      <c r="H118" s="676"/>
      <c r="I118" s="695"/>
      <c r="J118" s="695"/>
      <c r="K118" s="695"/>
      <c r="L118" s="695"/>
      <c r="M118" s="695"/>
      <c r="N118" s="695"/>
      <c r="O118" s="695"/>
      <c r="P118" s="695"/>
    </row>
    <row r="119" spans="1:16" x14ac:dyDescent="0.35">
      <c r="A119" s="512">
        <v>22</v>
      </c>
      <c r="B119" s="512">
        <f>PETUNJUK!B120</f>
        <v>0</v>
      </c>
      <c r="C119" s="346">
        <f t="shared" ref="C119:D119" si="77">C89</f>
        <v>0</v>
      </c>
      <c r="D119" s="346">
        <f t="shared" si="77"/>
        <v>0</v>
      </c>
      <c r="E119" s="512">
        <f t="shared" si="56"/>
        <v>0</v>
      </c>
      <c r="F119" s="676"/>
      <c r="G119" s="512"/>
      <c r="H119" s="512"/>
      <c r="I119" s="696"/>
      <c r="J119" s="696"/>
      <c r="K119" s="696"/>
      <c r="L119" s="696"/>
      <c r="M119" s="696"/>
      <c r="N119" s="696"/>
      <c r="O119" s="696"/>
      <c r="P119" s="696"/>
    </row>
    <row r="120" spans="1:16" x14ac:dyDescent="0.35">
      <c r="A120" s="1030" t="s">
        <v>18</v>
      </c>
      <c r="B120" s="1030"/>
      <c r="C120" s="688">
        <f>SUM(C98:C119)</f>
        <v>1067</v>
      </c>
      <c r="D120" s="688">
        <f t="shared" ref="D120:P120" si="78">SUM(D98:D119)</f>
        <v>1018.5</v>
      </c>
      <c r="E120" s="688">
        <f t="shared" si="78"/>
        <v>213.40000000000003</v>
      </c>
      <c r="F120" s="688">
        <f t="shared" si="78"/>
        <v>110</v>
      </c>
      <c r="G120" s="688">
        <f t="shared" si="78"/>
        <v>110</v>
      </c>
      <c r="H120" s="688">
        <f t="shared" si="78"/>
        <v>78</v>
      </c>
      <c r="I120" s="688">
        <f t="shared" si="78"/>
        <v>110</v>
      </c>
      <c r="J120" s="688">
        <f t="shared" si="78"/>
        <v>110</v>
      </c>
      <c r="K120" s="688">
        <f t="shared" si="78"/>
        <v>4</v>
      </c>
      <c r="L120" s="688">
        <f t="shared" si="78"/>
        <v>4</v>
      </c>
      <c r="M120" s="688">
        <f t="shared" si="78"/>
        <v>2</v>
      </c>
      <c r="N120" s="688">
        <f t="shared" si="78"/>
        <v>2</v>
      </c>
      <c r="O120" s="688">
        <f t="shared" si="78"/>
        <v>1</v>
      </c>
      <c r="P120" s="688">
        <f t="shared" si="78"/>
        <v>1</v>
      </c>
    </row>
    <row r="122" spans="1:16" s="693" customFormat="1" x14ac:dyDescent="0.35">
      <c r="A122" s="1029" t="s">
        <v>426</v>
      </c>
      <c r="B122" s="1029"/>
      <c r="C122" s="691">
        <f>PETUNJUK!C125</f>
        <v>0</v>
      </c>
      <c r="D122" s="690"/>
      <c r="E122" s="690"/>
      <c r="F122" s="690"/>
      <c r="G122" s="690"/>
      <c r="H122" s="690"/>
      <c r="I122" s="690"/>
      <c r="J122" s="690"/>
      <c r="K122" s="690"/>
      <c r="L122" s="690"/>
      <c r="M122" s="690"/>
      <c r="N122" s="690"/>
      <c r="O122" s="690"/>
      <c r="P122" s="690"/>
    </row>
    <row r="123" spans="1:16" s="693" customFormat="1" x14ac:dyDescent="0.35">
      <c r="A123" s="1029" t="s">
        <v>0</v>
      </c>
      <c r="B123" s="1029"/>
      <c r="C123" s="1031" t="s">
        <v>140</v>
      </c>
      <c r="D123" s="1031"/>
      <c r="E123" s="690"/>
      <c r="F123" s="690"/>
      <c r="G123" s="690"/>
      <c r="H123" s="690"/>
      <c r="I123" s="690"/>
      <c r="J123" s="690"/>
      <c r="K123" s="690"/>
      <c r="L123" s="690"/>
      <c r="M123" s="690"/>
      <c r="N123" s="690"/>
      <c r="O123" s="690"/>
      <c r="P123" s="690"/>
    </row>
    <row r="125" spans="1:16" x14ac:dyDescent="0.35">
      <c r="A125" s="754" t="s">
        <v>1</v>
      </c>
      <c r="B125" s="754" t="s">
        <v>2</v>
      </c>
      <c r="C125" s="754" t="s">
        <v>174</v>
      </c>
      <c r="D125" s="754"/>
      <c r="E125" s="754"/>
      <c r="F125" s="1024" t="s">
        <v>440</v>
      </c>
      <c r="G125" s="1024" t="s">
        <v>441</v>
      </c>
      <c r="H125" s="1024" t="s">
        <v>444</v>
      </c>
      <c r="I125" s="964" t="s">
        <v>427</v>
      </c>
      <c r="J125" s="964" t="s">
        <v>428</v>
      </c>
      <c r="K125" s="964" t="s">
        <v>429</v>
      </c>
      <c r="L125" s="964" t="s">
        <v>430</v>
      </c>
      <c r="M125" s="964" t="s">
        <v>432</v>
      </c>
      <c r="N125" s="964" t="s">
        <v>431</v>
      </c>
      <c r="O125" s="1032" t="s">
        <v>433</v>
      </c>
      <c r="P125" s="1032" t="s">
        <v>434</v>
      </c>
    </row>
    <row r="126" spans="1:16" ht="14.5" x14ac:dyDescent="0.35">
      <c r="A126" s="754"/>
      <c r="B126" s="754"/>
      <c r="C126" s="732" t="s">
        <v>5</v>
      </c>
      <c r="D126" s="732" t="s">
        <v>6</v>
      </c>
      <c r="E126" s="732" t="s">
        <v>133</v>
      </c>
      <c r="F126" s="1025"/>
      <c r="G126" s="1027"/>
      <c r="H126" s="1025"/>
      <c r="I126" s="1033"/>
      <c r="J126" s="1033"/>
      <c r="K126" s="1033"/>
      <c r="L126" s="1033"/>
      <c r="M126" s="1033"/>
      <c r="N126" s="964"/>
      <c r="O126" s="962"/>
      <c r="P126" s="962"/>
    </row>
    <row r="127" spans="1:16" ht="73" customHeight="1" x14ac:dyDescent="0.35">
      <c r="A127" s="754"/>
      <c r="B127" s="754"/>
      <c r="C127" s="732"/>
      <c r="D127" s="732"/>
      <c r="E127" s="732"/>
      <c r="F127" s="1026"/>
      <c r="G127" s="1028"/>
      <c r="H127" s="1026"/>
      <c r="I127" s="1033"/>
      <c r="J127" s="1033"/>
      <c r="K127" s="1033"/>
      <c r="L127" s="1033"/>
      <c r="M127" s="1033"/>
      <c r="N127" s="964"/>
      <c r="O127" s="963"/>
      <c r="P127" s="963"/>
    </row>
    <row r="128" spans="1:16" x14ac:dyDescent="0.35">
      <c r="A128" s="507">
        <v>1</v>
      </c>
      <c r="B128" s="507">
        <f>PETUNJUK!B129</f>
        <v>0</v>
      </c>
      <c r="C128" s="346">
        <f>C98</f>
        <v>101.2</v>
      </c>
      <c r="D128" s="346">
        <f>D98</f>
        <v>96.600000000000009</v>
      </c>
      <c r="E128" s="507">
        <f>C128*20%</f>
        <v>20.240000000000002</v>
      </c>
      <c r="F128" s="676">
        <f>'1.DATA KIA'!F145</f>
        <v>0</v>
      </c>
      <c r="G128" s="676"/>
      <c r="H128" s="676"/>
      <c r="I128" s="695"/>
      <c r="J128" s="695"/>
      <c r="K128" s="695"/>
      <c r="L128" s="695"/>
      <c r="M128" s="695"/>
      <c r="N128" s="695"/>
      <c r="O128" s="695"/>
      <c r="P128" s="695"/>
    </row>
    <row r="129" spans="1:16" x14ac:dyDescent="0.35">
      <c r="A129" s="507">
        <v>2</v>
      </c>
      <c r="B129" s="507">
        <f>PETUNJUK!B130</f>
        <v>0</v>
      </c>
      <c r="C129" s="346">
        <f t="shared" ref="C129:D129" si="79">C99</f>
        <v>111.10000000000001</v>
      </c>
      <c r="D129" s="346">
        <f t="shared" si="79"/>
        <v>106.05000000000001</v>
      </c>
      <c r="E129" s="507">
        <f t="shared" ref="E129:E149" si="80">C129*20%</f>
        <v>22.220000000000002</v>
      </c>
      <c r="F129" s="676">
        <f>'1.DATA KIA'!F146</f>
        <v>0</v>
      </c>
      <c r="G129" s="676"/>
      <c r="H129" s="676"/>
      <c r="I129" s="695"/>
      <c r="J129" s="695"/>
      <c r="K129" s="695"/>
      <c r="L129" s="695"/>
      <c r="M129" s="695"/>
      <c r="N129" s="695"/>
      <c r="O129" s="695"/>
      <c r="P129" s="695"/>
    </row>
    <row r="130" spans="1:16" x14ac:dyDescent="0.35">
      <c r="A130" s="507">
        <v>3</v>
      </c>
      <c r="B130" s="507">
        <f>PETUNJUK!B131</f>
        <v>0</v>
      </c>
      <c r="C130" s="346">
        <f t="shared" ref="C130:D130" si="81">C100</f>
        <v>205.70000000000002</v>
      </c>
      <c r="D130" s="346">
        <f t="shared" si="81"/>
        <v>196.35</v>
      </c>
      <c r="E130" s="507">
        <f t="shared" si="80"/>
        <v>41.140000000000008</v>
      </c>
      <c r="F130" s="676">
        <f>'1.DATA KIA'!F147</f>
        <v>0</v>
      </c>
      <c r="G130" s="676"/>
      <c r="H130" s="676"/>
      <c r="I130" s="695"/>
      <c r="J130" s="695"/>
      <c r="K130" s="695"/>
      <c r="L130" s="695"/>
      <c r="M130" s="695"/>
      <c r="N130" s="695"/>
      <c r="O130" s="695"/>
      <c r="P130" s="695"/>
    </row>
    <row r="131" spans="1:16" x14ac:dyDescent="0.35">
      <c r="A131" s="507">
        <v>4</v>
      </c>
      <c r="B131" s="507">
        <f>PETUNJUK!B132</f>
        <v>0</v>
      </c>
      <c r="C131" s="346">
        <f t="shared" ref="C131:D131" si="82">C101</f>
        <v>95.7</v>
      </c>
      <c r="D131" s="346">
        <f t="shared" si="82"/>
        <v>91.350000000000009</v>
      </c>
      <c r="E131" s="507">
        <f t="shared" si="80"/>
        <v>19.14</v>
      </c>
      <c r="F131" s="676">
        <f>'1.DATA KIA'!F148</f>
        <v>0</v>
      </c>
      <c r="G131" s="676"/>
      <c r="H131" s="676"/>
      <c r="I131" s="695"/>
      <c r="J131" s="695"/>
      <c r="K131" s="695"/>
      <c r="L131" s="695"/>
      <c r="M131" s="695"/>
      <c r="N131" s="695"/>
      <c r="O131" s="695"/>
      <c r="P131" s="695"/>
    </row>
    <row r="132" spans="1:16" x14ac:dyDescent="0.35">
      <c r="A132" s="507">
        <v>5</v>
      </c>
      <c r="B132" s="507">
        <f>PETUNJUK!B133</f>
        <v>0</v>
      </c>
      <c r="C132" s="346">
        <f t="shared" ref="C132:D132" si="83">C102</f>
        <v>85.800000000000011</v>
      </c>
      <c r="D132" s="346">
        <f t="shared" si="83"/>
        <v>81.900000000000006</v>
      </c>
      <c r="E132" s="507">
        <f t="shared" si="80"/>
        <v>17.160000000000004</v>
      </c>
      <c r="F132" s="676">
        <f>'1.DATA KIA'!F149</f>
        <v>0</v>
      </c>
      <c r="G132" s="676"/>
      <c r="H132" s="676"/>
      <c r="I132" s="695"/>
      <c r="J132" s="695"/>
      <c r="K132" s="695"/>
      <c r="L132" s="695"/>
      <c r="M132" s="695"/>
      <c r="N132" s="695"/>
      <c r="O132" s="695"/>
      <c r="P132" s="695"/>
    </row>
    <row r="133" spans="1:16" x14ac:dyDescent="0.35">
      <c r="A133" s="507">
        <v>6</v>
      </c>
      <c r="B133" s="507">
        <f>PETUNJUK!B134</f>
        <v>0</v>
      </c>
      <c r="C133" s="346">
        <f t="shared" ref="C133:D133" si="84">C103</f>
        <v>82.5</v>
      </c>
      <c r="D133" s="346">
        <f t="shared" si="84"/>
        <v>78.75</v>
      </c>
      <c r="E133" s="507">
        <f t="shared" si="80"/>
        <v>16.5</v>
      </c>
      <c r="F133" s="676">
        <f>'1.DATA KIA'!F150</f>
        <v>0</v>
      </c>
      <c r="G133" s="676"/>
      <c r="H133" s="676"/>
      <c r="I133" s="695"/>
      <c r="J133" s="695"/>
      <c r="K133" s="695"/>
      <c r="L133" s="695"/>
      <c r="M133" s="695"/>
      <c r="N133" s="695"/>
      <c r="O133" s="695"/>
      <c r="P133" s="695"/>
    </row>
    <row r="134" spans="1:16" x14ac:dyDescent="0.35">
      <c r="A134" s="507">
        <v>7</v>
      </c>
      <c r="B134" s="507">
        <f>PETUNJUK!B135</f>
        <v>0</v>
      </c>
      <c r="C134" s="346">
        <f t="shared" ref="C134:D134" si="85">C104</f>
        <v>93.500000000000014</v>
      </c>
      <c r="D134" s="346">
        <f t="shared" si="85"/>
        <v>89.25</v>
      </c>
      <c r="E134" s="507">
        <f t="shared" si="80"/>
        <v>18.700000000000003</v>
      </c>
      <c r="F134" s="676">
        <f>'1.DATA KIA'!F151</f>
        <v>0</v>
      </c>
      <c r="G134" s="676"/>
      <c r="H134" s="676"/>
      <c r="I134" s="695"/>
      <c r="J134" s="695"/>
      <c r="K134" s="695"/>
      <c r="L134" s="695"/>
      <c r="M134" s="695"/>
      <c r="N134" s="695"/>
      <c r="O134" s="695"/>
      <c r="P134" s="695"/>
    </row>
    <row r="135" spans="1:16" x14ac:dyDescent="0.35">
      <c r="A135" s="507">
        <v>8</v>
      </c>
      <c r="B135" s="507">
        <f>PETUNJUK!B136</f>
        <v>0</v>
      </c>
      <c r="C135" s="346">
        <f t="shared" ref="C135:D135" si="86">C105</f>
        <v>46.2</v>
      </c>
      <c r="D135" s="346">
        <f t="shared" si="86"/>
        <v>44.1</v>
      </c>
      <c r="E135" s="507">
        <f t="shared" si="80"/>
        <v>9.24</v>
      </c>
      <c r="F135" s="676">
        <f>'1.DATA KIA'!F152</f>
        <v>0</v>
      </c>
      <c r="G135" s="676"/>
      <c r="H135" s="676"/>
      <c r="I135" s="695"/>
      <c r="J135" s="695"/>
      <c r="K135" s="695"/>
      <c r="L135" s="695"/>
      <c r="M135" s="695"/>
      <c r="N135" s="695"/>
      <c r="O135" s="695"/>
      <c r="P135" s="695"/>
    </row>
    <row r="136" spans="1:16" x14ac:dyDescent="0.35">
      <c r="A136" s="507">
        <v>9</v>
      </c>
      <c r="B136" s="507">
        <f>PETUNJUK!B137</f>
        <v>0</v>
      </c>
      <c r="C136" s="346">
        <f t="shared" ref="C136:D136" si="87">C106</f>
        <v>53.900000000000006</v>
      </c>
      <c r="D136" s="346">
        <f t="shared" si="87"/>
        <v>51.45</v>
      </c>
      <c r="E136" s="507">
        <f t="shared" si="80"/>
        <v>10.780000000000001</v>
      </c>
      <c r="F136" s="676">
        <f>'1.DATA KIA'!F153</f>
        <v>0</v>
      </c>
      <c r="G136" s="676"/>
      <c r="H136" s="676"/>
      <c r="I136" s="695"/>
      <c r="J136" s="695"/>
      <c r="K136" s="695"/>
      <c r="L136" s="695"/>
      <c r="M136" s="695"/>
      <c r="N136" s="695"/>
      <c r="O136" s="695"/>
      <c r="P136" s="695"/>
    </row>
    <row r="137" spans="1:16" x14ac:dyDescent="0.35">
      <c r="A137" s="507">
        <v>10</v>
      </c>
      <c r="B137" s="507">
        <f>PETUNJUK!B138</f>
        <v>0</v>
      </c>
      <c r="C137" s="346">
        <f t="shared" ref="C137:D137" si="88">C107</f>
        <v>50.6</v>
      </c>
      <c r="D137" s="346">
        <f t="shared" si="88"/>
        <v>48.300000000000004</v>
      </c>
      <c r="E137" s="507">
        <f t="shared" si="80"/>
        <v>10.120000000000001</v>
      </c>
      <c r="F137" s="676">
        <f>'1.DATA KIA'!F154</f>
        <v>0</v>
      </c>
      <c r="G137" s="676"/>
      <c r="H137" s="676"/>
      <c r="I137" s="695"/>
      <c r="J137" s="695"/>
      <c r="K137" s="695"/>
      <c r="L137" s="695"/>
      <c r="M137" s="695"/>
      <c r="N137" s="695"/>
      <c r="O137" s="695"/>
      <c r="P137" s="695"/>
    </row>
    <row r="138" spans="1:16" x14ac:dyDescent="0.35">
      <c r="A138" s="507">
        <v>11</v>
      </c>
      <c r="B138" s="507">
        <f>PETUNJUK!B139</f>
        <v>0</v>
      </c>
      <c r="C138" s="346">
        <f t="shared" ref="C138:D138" si="89">C108</f>
        <v>117.7</v>
      </c>
      <c r="D138" s="346">
        <f t="shared" si="89"/>
        <v>112.35000000000001</v>
      </c>
      <c r="E138" s="507">
        <f t="shared" si="80"/>
        <v>23.540000000000003</v>
      </c>
      <c r="F138" s="676">
        <f>'1.DATA KIA'!F155</f>
        <v>0</v>
      </c>
      <c r="G138" s="676"/>
      <c r="H138" s="676"/>
      <c r="I138" s="695"/>
      <c r="J138" s="695"/>
      <c r="K138" s="695"/>
      <c r="L138" s="695"/>
      <c r="M138" s="695"/>
      <c r="N138" s="695"/>
      <c r="O138" s="695"/>
      <c r="P138" s="695"/>
    </row>
    <row r="139" spans="1:16" x14ac:dyDescent="0.35">
      <c r="A139" s="507">
        <v>12</v>
      </c>
      <c r="B139" s="507">
        <f>PETUNJUK!B140</f>
        <v>0</v>
      </c>
      <c r="C139" s="346">
        <f t="shared" ref="C139:D139" si="90">C109</f>
        <v>23.1</v>
      </c>
      <c r="D139" s="346">
        <f t="shared" si="90"/>
        <v>22.05</v>
      </c>
      <c r="E139" s="507">
        <f t="shared" si="80"/>
        <v>4.62</v>
      </c>
      <c r="F139" s="676">
        <f>'1.DATA KIA'!F156</f>
        <v>0</v>
      </c>
      <c r="G139" s="676"/>
      <c r="H139" s="676"/>
      <c r="I139" s="695"/>
      <c r="J139" s="695"/>
      <c r="K139" s="695"/>
      <c r="L139" s="695"/>
      <c r="M139" s="695"/>
      <c r="N139" s="695"/>
      <c r="O139" s="695"/>
      <c r="P139" s="695"/>
    </row>
    <row r="140" spans="1:16" x14ac:dyDescent="0.35">
      <c r="A140" s="507">
        <v>13</v>
      </c>
      <c r="B140" s="507">
        <f>PETUNJUK!B141</f>
        <v>0</v>
      </c>
      <c r="C140" s="346">
        <f t="shared" ref="C140:D140" si="91">C110</f>
        <v>0</v>
      </c>
      <c r="D140" s="346">
        <f t="shared" si="91"/>
        <v>0</v>
      </c>
      <c r="E140" s="507">
        <f t="shared" si="80"/>
        <v>0</v>
      </c>
      <c r="F140" s="676">
        <f>'1.DATA KIA'!F157</f>
        <v>0</v>
      </c>
      <c r="G140" s="676"/>
      <c r="H140" s="676"/>
      <c r="I140" s="695"/>
      <c r="J140" s="695"/>
      <c r="K140" s="695"/>
      <c r="L140" s="695"/>
      <c r="M140" s="695"/>
      <c r="N140" s="695"/>
      <c r="O140" s="695"/>
      <c r="P140" s="695"/>
    </row>
    <row r="141" spans="1:16" x14ac:dyDescent="0.35">
      <c r="A141" s="507">
        <v>14</v>
      </c>
      <c r="B141" s="507">
        <f>PETUNJUK!B142</f>
        <v>0</v>
      </c>
      <c r="C141" s="346">
        <f t="shared" ref="C141:D141" si="92">C111</f>
        <v>0</v>
      </c>
      <c r="D141" s="346">
        <f t="shared" si="92"/>
        <v>0</v>
      </c>
      <c r="E141" s="507">
        <f t="shared" si="80"/>
        <v>0</v>
      </c>
      <c r="F141" s="676">
        <f>'1.DATA KIA'!F158</f>
        <v>0</v>
      </c>
      <c r="G141" s="676"/>
      <c r="H141" s="676"/>
      <c r="I141" s="695"/>
      <c r="J141" s="695"/>
      <c r="K141" s="695"/>
      <c r="L141" s="695"/>
      <c r="M141" s="695"/>
      <c r="N141" s="695"/>
      <c r="O141" s="695"/>
      <c r="P141" s="695"/>
    </row>
    <row r="142" spans="1:16" x14ac:dyDescent="0.35">
      <c r="A142" s="507">
        <v>15</v>
      </c>
      <c r="B142" s="507">
        <f>PETUNJUK!B143</f>
        <v>0</v>
      </c>
      <c r="C142" s="346">
        <f t="shared" ref="C142:D142" si="93">C112</f>
        <v>0</v>
      </c>
      <c r="D142" s="346">
        <f t="shared" si="93"/>
        <v>0</v>
      </c>
      <c r="E142" s="507">
        <f t="shared" si="80"/>
        <v>0</v>
      </c>
      <c r="F142" s="676">
        <f>'1.DATA KIA'!F159</f>
        <v>0</v>
      </c>
      <c r="G142" s="676"/>
      <c r="H142" s="676"/>
      <c r="I142" s="695"/>
      <c r="J142" s="695"/>
      <c r="K142" s="695"/>
      <c r="L142" s="695"/>
      <c r="M142" s="695"/>
      <c r="N142" s="695"/>
      <c r="O142" s="695"/>
      <c r="P142" s="695"/>
    </row>
    <row r="143" spans="1:16" x14ac:dyDescent="0.35">
      <c r="A143" s="507">
        <v>16</v>
      </c>
      <c r="B143" s="507">
        <f>PETUNJUK!B144</f>
        <v>0</v>
      </c>
      <c r="C143" s="346">
        <f t="shared" ref="C143:D143" si="94">C113</f>
        <v>0</v>
      </c>
      <c r="D143" s="346">
        <f t="shared" si="94"/>
        <v>0</v>
      </c>
      <c r="E143" s="507">
        <f t="shared" si="80"/>
        <v>0</v>
      </c>
      <c r="F143" s="676">
        <f>'1.DATA KIA'!F160</f>
        <v>0</v>
      </c>
      <c r="G143" s="676"/>
      <c r="H143" s="676"/>
      <c r="I143" s="695"/>
      <c r="J143" s="695"/>
      <c r="K143" s="695"/>
      <c r="L143" s="695"/>
      <c r="M143" s="695"/>
      <c r="N143" s="695"/>
      <c r="O143" s="695"/>
      <c r="P143" s="695"/>
    </row>
    <row r="144" spans="1:16" x14ac:dyDescent="0.35">
      <c r="A144" s="507">
        <v>17</v>
      </c>
      <c r="B144" s="507">
        <f>PETUNJUK!B145</f>
        <v>0</v>
      </c>
      <c r="C144" s="346">
        <f t="shared" ref="C144:D144" si="95">C114</f>
        <v>0</v>
      </c>
      <c r="D144" s="346">
        <f t="shared" si="95"/>
        <v>0</v>
      </c>
      <c r="E144" s="507">
        <f t="shared" si="80"/>
        <v>0</v>
      </c>
      <c r="F144" s="676">
        <f>'1.DATA KIA'!F161</f>
        <v>0</v>
      </c>
      <c r="G144" s="676"/>
      <c r="H144" s="676"/>
      <c r="I144" s="695"/>
      <c r="J144" s="695"/>
      <c r="K144" s="695"/>
      <c r="L144" s="695"/>
      <c r="M144" s="695"/>
      <c r="N144" s="695"/>
      <c r="O144" s="695"/>
      <c r="P144" s="695"/>
    </row>
    <row r="145" spans="1:16" x14ac:dyDescent="0.35">
      <c r="A145" s="507">
        <v>18</v>
      </c>
      <c r="B145" s="507">
        <f>PETUNJUK!B146</f>
        <v>0</v>
      </c>
      <c r="C145" s="346">
        <f t="shared" ref="C145:D145" si="96">C115</f>
        <v>0</v>
      </c>
      <c r="D145" s="346">
        <f t="shared" si="96"/>
        <v>0</v>
      </c>
      <c r="E145" s="507">
        <f t="shared" si="80"/>
        <v>0</v>
      </c>
      <c r="F145" s="676">
        <f>'1.DATA KIA'!F162</f>
        <v>0</v>
      </c>
      <c r="G145" s="676"/>
      <c r="H145" s="676"/>
      <c r="I145" s="695"/>
      <c r="J145" s="695"/>
      <c r="K145" s="695"/>
      <c r="L145" s="695"/>
      <c r="M145" s="695"/>
      <c r="N145" s="695"/>
      <c r="O145" s="695"/>
      <c r="P145" s="695"/>
    </row>
    <row r="146" spans="1:16" x14ac:dyDescent="0.35">
      <c r="A146" s="507">
        <v>19</v>
      </c>
      <c r="B146" s="507">
        <f>PETUNJUK!B147</f>
        <v>0</v>
      </c>
      <c r="C146" s="346">
        <f t="shared" ref="C146:D146" si="97">C116</f>
        <v>0</v>
      </c>
      <c r="D146" s="346">
        <f t="shared" si="97"/>
        <v>0</v>
      </c>
      <c r="E146" s="507">
        <f t="shared" si="80"/>
        <v>0</v>
      </c>
      <c r="F146" s="676">
        <f>'1.DATA KIA'!F163</f>
        <v>0</v>
      </c>
      <c r="G146" s="676"/>
      <c r="H146" s="676"/>
      <c r="I146" s="695"/>
      <c r="J146" s="695"/>
      <c r="K146" s="695"/>
      <c r="L146" s="695"/>
      <c r="M146" s="695"/>
      <c r="N146" s="695"/>
      <c r="O146" s="695"/>
      <c r="P146" s="695"/>
    </row>
    <row r="147" spans="1:16" x14ac:dyDescent="0.35">
      <c r="A147" s="507">
        <v>20</v>
      </c>
      <c r="B147" s="507">
        <f>PETUNJUK!B148</f>
        <v>0</v>
      </c>
      <c r="C147" s="346">
        <f t="shared" ref="C147:D147" si="98">C117</f>
        <v>0</v>
      </c>
      <c r="D147" s="346">
        <f t="shared" si="98"/>
        <v>0</v>
      </c>
      <c r="E147" s="507">
        <f t="shared" si="80"/>
        <v>0</v>
      </c>
      <c r="F147" s="676">
        <f>'1.DATA KIA'!F164</f>
        <v>0</v>
      </c>
      <c r="G147" s="676"/>
      <c r="H147" s="676"/>
      <c r="I147" s="695"/>
      <c r="J147" s="695"/>
      <c r="K147" s="695"/>
      <c r="L147" s="695"/>
      <c r="M147" s="695"/>
      <c r="N147" s="695"/>
      <c r="O147" s="695"/>
      <c r="P147" s="695"/>
    </row>
    <row r="148" spans="1:16" x14ac:dyDescent="0.35">
      <c r="A148" s="507">
        <v>21</v>
      </c>
      <c r="B148" s="507">
        <f>PETUNJUK!B149</f>
        <v>0</v>
      </c>
      <c r="C148" s="346">
        <f t="shared" ref="C148:D148" si="99">C118</f>
        <v>0</v>
      </c>
      <c r="D148" s="346">
        <f t="shared" si="99"/>
        <v>0</v>
      </c>
      <c r="E148" s="507">
        <f t="shared" si="80"/>
        <v>0</v>
      </c>
      <c r="F148" s="676">
        <f>'1.DATA KIA'!F165</f>
        <v>0</v>
      </c>
      <c r="G148" s="676"/>
      <c r="H148" s="676"/>
      <c r="I148" s="695"/>
      <c r="J148" s="695"/>
      <c r="K148" s="695"/>
      <c r="L148" s="695"/>
      <c r="M148" s="695"/>
      <c r="N148" s="695"/>
      <c r="O148" s="695"/>
      <c r="P148" s="695"/>
    </row>
    <row r="149" spans="1:16" x14ac:dyDescent="0.35">
      <c r="A149" s="512">
        <v>22</v>
      </c>
      <c r="B149" s="512">
        <f>PETUNJUK!B150</f>
        <v>0</v>
      </c>
      <c r="C149" s="346">
        <f t="shared" ref="C149:D149" si="100">C119</f>
        <v>0</v>
      </c>
      <c r="D149" s="346">
        <f t="shared" si="100"/>
        <v>0</v>
      </c>
      <c r="E149" s="512">
        <f t="shared" si="80"/>
        <v>0</v>
      </c>
      <c r="F149" s="676">
        <f>'1.DATA KIA'!F166</f>
        <v>0</v>
      </c>
      <c r="G149" s="512"/>
      <c r="H149" s="512"/>
      <c r="I149" s="696"/>
      <c r="J149" s="696"/>
      <c r="K149" s="696"/>
      <c r="L149" s="696"/>
      <c r="M149" s="696"/>
      <c r="N149" s="696"/>
      <c r="O149" s="696"/>
      <c r="P149" s="696"/>
    </row>
    <row r="150" spans="1:16" x14ac:dyDescent="0.35">
      <c r="A150" s="1030" t="s">
        <v>18</v>
      </c>
      <c r="B150" s="1030"/>
      <c r="C150" s="688">
        <f>SUM(C128:C149)</f>
        <v>1067</v>
      </c>
      <c r="D150" s="688">
        <f t="shared" ref="D150:P150" si="101">SUM(D128:D149)</f>
        <v>1018.5</v>
      </c>
      <c r="E150" s="688">
        <f t="shared" si="101"/>
        <v>213.40000000000003</v>
      </c>
      <c r="F150" s="688">
        <f t="shared" si="101"/>
        <v>0</v>
      </c>
      <c r="G150" s="688">
        <f t="shared" si="101"/>
        <v>0</v>
      </c>
      <c r="H150" s="688">
        <f t="shared" si="101"/>
        <v>0</v>
      </c>
      <c r="I150" s="688">
        <f t="shared" si="101"/>
        <v>0</v>
      </c>
      <c r="J150" s="688">
        <f t="shared" si="101"/>
        <v>0</v>
      </c>
      <c r="K150" s="688">
        <f t="shared" si="101"/>
        <v>0</v>
      </c>
      <c r="L150" s="688">
        <f t="shared" si="101"/>
        <v>0</v>
      </c>
      <c r="M150" s="688">
        <f t="shared" si="101"/>
        <v>0</v>
      </c>
      <c r="N150" s="688">
        <f t="shared" si="101"/>
        <v>0</v>
      </c>
      <c r="O150" s="688">
        <f t="shared" si="101"/>
        <v>0</v>
      </c>
      <c r="P150" s="688">
        <f t="shared" si="101"/>
        <v>0</v>
      </c>
    </row>
    <row r="152" spans="1:16" s="693" customFormat="1" x14ac:dyDescent="0.35">
      <c r="A152" s="1029" t="s">
        <v>426</v>
      </c>
      <c r="B152" s="1029"/>
      <c r="C152" s="691">
        <f>PETUNJUK!C155</f>
        <v>0</v>
      </c>
      <c r="D152" s="690"/>
      <c r="E152" s="690"/>
      <c r="F152" s="690"/>
      <c r="G152" s="690"/>
      <c r="H152" s="690"/>
      <c r="I152" s="690"/>
      <c r="J152" s="690"/>
      <c r="K152" s="690"/>
      <c r="L152" s="690"/>
      <c r="M152" s="690"/>
      <c r="N152" s="690"/>
      <c r="O152" s="690"/>
      <c r="P152" s="690"/>
    </row>
    <row r="153" spans="1:16" s="693" customFormat="1" x14ac:dyDescent="0.35">
      <c r="A153" s="1029" t="s">
        <v>0</v>
      </c>
      <c r="B153" s="1029"/>
      <c r="C153" s="1031" t="s">
        <v>141</v>
      </c>
      <c r="D153" s="1031"/>
      <c r="E153" s="690"/>
      <c r="F153" s="690"/>
      <c r="G153" s="690"/>
      <c r="H153" s="690"/>
      <c r="I153" s="690"/>
      <c r="J153" s="690"/>
      <c r="K153" s="690"/>
      <c r="L153" s="690"/>
      <c r="M153" s="690"/>
      <c r="N153" s="690"/>
      <c r="O153" s="690"/>
      <c r="P153" s="690"/>
    </row>
    <row r="155" spans="1:16" x14ac:dyDescent="0.35">
      <c r="A155" s="754" t="s">
        <v>1</v>
      </c>
      <c r="B155" s="754" t="s">
        <v>2</v>
      </c>
      <c r="C155" s="754" t="s">
        <v>174</v>
      </c>
      <c r="D155" s="754"/>
      <c r="E155" s="754"/>
      <c r="F155" s="1024" t="s">
        <v>440</v>
      </c>
      <c r="G155" s="1024" t="s">
        <v>441</v>
      </c>
      <c r="H155" s="1024" t="s">
        <v>444</v>
      </c>
      <c r="I155" s="964" t="s">
        <v>427</v>
      </c>
      <c r="J155" s="964" t="s">
        <v>428</v>
      </c>
      <c r="K155" s="964" t="s">
        <v>429</v>
      </c>
      <c r="L155" s="964" t="s">
        <v>430</v>
      </c>
      <c r="M155" s="964" t="s">
        <v>432</v>
      </c>
      <c r="N155" s="964" t="s">
        <v>431</v>
      </c>
      <c r="O155" s="1032" t="s">
        <v>433</v>
      </c>
      <c r="P155" s="1032" t="s">
        <v>434</v>
      </c>
    </row>
    <row r="156" spans="1:16" ht="14.5" x14ac:dyDescent="0.35">
      <c r="A156" s="754"/>
      <c r="B156" s="754"/>
      <c r="C156" s="732" t="s">
        <v>5</v>
      </c>
      <c r="D156" s="732" t="s">
        <v>6</v>
      </c>
      <c r="E156" s="732" t="s">
        <v>133</v>
      </c>
      <c r="F156" s="1025"/>
      <c r="G156" s="1027"/>
      <c r="H156" s="1025"/>
      <c r="I156" s="1033"/>
      <c r="J156" s="1033"/>
      <c r="K156" s="1033"/>
      <c r="L156" s="1033"/>
      <c r="M156" s="1033"/>
      <c r="N156" s="964"/>
      <c r="O156" s="962"/>
      <c r="P156" s="962"/>
    </row>
    <row r="157" spans="1:16" ht="69" customHeight="1" x14ac:dyDescent="0.35">
      <c r="A157" s="754"/>
      <c r="B157" s="754"/>
      <c r="C157" s="732"/>
      <c r="D157" s="732"/>
      <c r="E157" s="732"/>
      <c r="F157" s="1026"/>
      <c r="G157" s="1028"/>
      <c r="H157" s="1026"/>
      <c r="I157" s="1033"/>
      <c r="J157" s="1033"/>
      <c r="K157" s="1033"/>
      <c r="L157" s="1033"/>
      <c r="M157" s="1033"/>
      <c r="N157" s="964"/>
      <c r="O157" s="963"/>
      <c r="P157" s="963"/>
    </row>
    <row r="158" spans="1:16" x14ac:dyDescent="0.35">
      <c r="A158" s="507">
        <v>1</v>
      </c>
      <c r="B158" s="507">
        <f>PETUNJUK!B159</f>
        <v>0</v>
      </c>
      <c r="C158" s="346">
        <f>C128</f>
        <v>101.2</v>
      </c>
      <c r="D158" s="346">
        <f>D128</f>
        <v>96.600000000000009</v>
      </c>
      <c r="E158" s="507">
        <f>C158*20%</f>
        <v>20.240000000000002</v>
      </c>
      <c r="F158" s="676">
        <f>'1.DATA KIA'!F179</f>
        <v>0</v>
      </c>
      <c r="G158" s="676"/>
      <c r="H158" s="676"/>
      <c r="I158" s="695"/>
      <c r="J158" s="695"/>
      <c r="K158" s="695"/>
      <c r="L158" s="695"/>
      <c r="M158" s="695"/>
      <c r="N158" s="695"/>
      <c r="O158" s="695"/>
      <c r="P158" s="695"/>
    </row>
    <row r="159" spans="1:16" x14ac:dyDescent="0.35">
      <c r="A159" s="507">
        <v>2</v>
      </c>
      <c r="B159" s="507">
        <f>PETUNJUK!B160</f>
        <v>0</v>
      </c>
      <c r="C159" s="346">
        <f t="shared" ref="C159:C179" si="102">C129</f>
        <v>111.10000000000001</v>
      </c>
      <c r="D159" s="346">
        <f t="shared" ref="D159:D179" si="103">D129</f>
        <v>106.05000000000001</v>
      </c>
      <c r="E159" s="507">
        <f t="shared" ref="E159:E179" si="104">C159*20%</f>
        <v>22.220000000000002</v>
      </c>
      <c r="F159" s="676">
        <f>'1.DATA KIA'!F180</f>
        <v>0</v>
      </c>
      <c r="G159" s="676"/>
      <c r="H159" s="676"/>
      <c r="I159" s="695"/>
      <c r="J159" s="695"/>
      <c r="K159" s="695"/>
      <c r="L159" s="695"/>
      <c r="M159" s="695"/>
      <c r="N159" s="695"/>
      <c r="O159" s="695"/>
      <c r="P159" s="695"/>
    </row>
    <row r="160" spans="1:16" x14ac:dyDescent="0.35">
      <c r="A160" s="507">
        <v>3</v>
      </c>
      <c r="B160" s="507">
        <f>PETUNJUK!B161</f>
        <v>0</v>
      </c>
      <c r="C160" s="346">
        <f t="shared" si="102"/>
        <v>205.70000000000002</v>
      </c>
      <c r="D160" s="346">
        <f t="shared" si="103"/>
        <v>196.35</v>
      </c>
      <c r="E160" s="507">
        <f t="shared" si="104"/>
        <v>41.140000000000008</v>
      </c>
      <c r="F160" s="676">
        <f>'1.DATA KIA'!F181</f>
        <v>0</v>
      </c>
      <c r="G160" s="676"/>
      <c r="H160" s="676"/>
      <c r="I160" s="695"/>
      <c r="J160" s="695"/>
      <c r="K160" s="695"/>
      <c r="L160" s="695"/>
      <c r="M160" s="695"/>
      <c r="N160" s="695"/>
      <c r="O160" s="695"/>
      <c r="P160" s="695"/>
    </row>
    <row r="161" spans="1:16" x14ac:dyDescent="0.35">
      <c r="A161" s="507">
        <v>4</v>
      </c>
      <c r="B161" s="507">
        <f>PETUNJUK!B162</f>
        <v>0</v>
      </c>
      <c r="C161" s="346">
        <f t="shared" si="102"/>
        <v>95.7</v>
      </c>
      <c r="D161" s="346">
        <f t="shared" si="103"/>
        <v>91.350000000000009</v>
      </c>
      <c r="E161" s="507">
        <f t="shared" si="104"/>
        <v>19.14</v>
      </c>
      <c r="F161" s="676">
        <f>'1.DATA KIA'!F182</f>
        <v>0</v>
      </c>
      <c r="G161" s="676"/>
      <c r="H161" s="676"/>
      <c r="I161" s="695"/>
      <c r="J161" s="695"/>
      <c r="K161" s="695"/>
      <c r="L161" s="695"/>
      <c r="M161" s="695"/>
      <c r="N161" s="695"/>
      <c r="O161" s="695"/>
      <c r="P161" s="695"/>
    </row>
    <row r="162" spans="1:16" x14ac:dyDescent="0.35">
      <c r="A162" s="507">
        <v>5</v>
      </c>
      <c r="B162" s="507">
        <f>PETUNJUK!B163</f>
        <v>0</v>
      </c>
      <c r="C162" s="346">
        <f t="shared" si="102"/>
        <v>85.800000000000011</v>
      </c>
      <c r="D162" s="346">
        <f t="shared" si="103"/>
        <v>81.900000000000006</v>
      </c>
      <c r="E162" s="507">
        <f t="shared" si="104"/>
        <v>17.160000000000004</v>
      </c>
      <c r="F162" s="676">
        <f>'1.DATA KIA'!F183</f>
        <v>0</v>
      </c>
      <c r="G162" s="676"/>
      <c r="H162" s="676"/>
      <c r="I162" s="695"/>
      <c r="J162" s="695"/>
      <c r="K162" s="695"/>
      <c r="L162" s="695"/>
      <c r="M162" s="695"/>
      <c r="N162" s="695"/>
      <c r="O162" s="695"/>
      <c r="P162" s="695"/>
    </row>
    <row r="163" spans="1:16" x14ac:dyDescent="0.35">
      <c r="A163" s="507">
        <v>6</v>
      </c>
      <c r="B163" s="507">
        <f>PETUNJUK!B164</f>
        <v>0</v>
      </c>
      <c r="C163" s="346">
        <f t="shared" si="102"/>
        <v>82.5</v>
      </c>
      <c r="D163" s="346">
        <f t="shared" si="103"/>
        <v>78.75</v>
      </c>
      <c r="E163" s="507">
        <f t="shared" si="104"/>
        <v>16.5</v>
      </c>
      <c r="F163" s="676">
        <f>'1.DATA KIA'!F184</f>
        <v>0</v>
      </c>
      <c r="G163" s="676"/>
      <c r="H163" s="676"/>
      <c r="I163" s="695"/>
      <c r="J163" s="695"/>
      <c r="K163" s="695"/>
      <c r="L163" s="695"/>
      <c r="M163" s="695"/>
      <c r="N163" s="695"/>
      <c r="O163" s="695"/>
      <c r="P163" s="695"/>
    </row>
    <row r="164" spans="1:16" x14ac:dyDescent="0.35">
      <c r="A164" s="507">
        <v>7</v>
      </c>
      <c r="B164" s="507">
        <f>PETUNJUK!B165</f>
        <v>0</v>
      </c>
      <c r="C164" s="346">
        <f t="shared" si="102"/>
        <v>93.500000000000014</v>
      </c>
      <c r="D164" s="346">
        <f t="shared" si="103"/>
        <v>89.25</v>
      </c>
      <c r="E164" s="507">
        <f t="shared" si="104"/>
        <v>18.700000000000003</v>
      </c>
      <c r="F164" s="676">
        <f>'1.DATA KIA'!F185</f>
        <v>0</v>
      </c>
      <c r="G164" s="676"/>
      <c r="H164" s="676"/>
      <c r="I164" s="695"/>
      <c r="J164" s="695"/>
      <c r="K164" s="695"/>
      <c r="L164" s="695"/>
      <c r="M164" s="695"/>
      <c r="N164" s="695"/>
      <c r="O164" s="695"/>
      <c r="P164" s="695"/>
    </row>
    <row r="165" spans="1:16" x14ac:dyDescent="0.35">
      <c r="A165" s="507">
        <v>8</v>
      </c>
      <c r="B165" s="507">
        <f>PETUNJUK!B166</f>
        <v>0</v>
      </c>
      <c r="C165" s="346">
        <f t="shared" si="102"/>
        <v>46.2</v>
      </c>
      <c r="D165" s="346">
        <f t="shared" si="103"/>
        <v>44.1</v>
      </c>
      <c r="E165" s="507">
        <f t="shared" si="104"/>
        <v>9.24</v>
      </c>
      <c r="F165" s="676">
        <f>'1.DATA KIA'!F186</f>
        <v>0</v>
      </c>
      <c r="G165" s="676"/>
      <c r="H165" s="676"/>
      <c r="I165" s="695"/>
      <c r="J165" s="695"/>
      <c r="K165" s="695"/>
      <c r="L165" s="695"/>
      <c r="M165" s="695"/>
      <c r="N165" s="695"/>
      <c r="O165" s="695"/>
      <c r="P165" s="695"/>
    </row>
    <row r="166" spans="1:16" x14ac:dyDescent="0.35">
      <c r="A166" s="507">
        <v>9</v>
      </c>
      <c r="B166" s="507">
        <f>PETUNJUK!B167</f>
        <v>0</v>
      </c>
      <c r="C166" s="346">
        <f t="shared" si="102"/>
        <v>53.900000000000006</v>
      </c>
      <c r="D166" s="346">
        <f t="shared" si="103"/>
        <v>51.45</v>
      </c>
      <c r="E166" s="507">
        <f t="shared" si="104"/>
        <v>10.780000000000001</v>
      </c>
      <c r="F166" s="676">
        <f>'1.DATA KIA'!F187</f>
        <v>0</v>
      </c>
      <c r="G166" s="676"/>
      <c r="H166" s="676"/>
      <c r="I166" s="695"/>
      <c r="J166" s="695"/>
      <c r="K166" s="695"/>
      <c r="L166" s="695"/>
      <c r="M166" s="695"/>
      <c r="N166" s="695"/>
      <c r="O166" s="695"/>
      <c r="P166" s="695"/>
    </row>
    <row r="167" spans="1:16" x14ac:dyDescent="0.35">
      <c r="A167" s="507">
        <v>10</v>
      </c>
      <c r="B167" s="507">
        <f>PETUNJUK!B168</f>
        <v>0</v>
      </c>
      <c r="C167" s="346">
        <f t="shared" si="102"/>
        <v>50.6</v>
      </c>
      <c r="D167" s="346">
        <f t="shared" si="103"/>
        <v>48.300000000000004</v>
      </c>
      <c r="E167" s="507">
        <f t="shared" si="104"/>
        <v>10.120000000000001</v>
      </c>
      <c r="F167" s="676">
        <f>'1.DATA KIA'!F188</f>
        <v>0</v>
      </c>
      <c r="G167" s="676"/>
      <c r="H167" s="676"/>
      <c r="I167" s="695"/>
      <c r="J167" s="695"/>
      <c r="K167" s="695"/>
      <c r="L167" s="695"/>
      <c r="M167" s="695"/>
      <c r="N167" s="695"/>
      <c r="O167" s="695"/>
      <c r="P167" s="695"/>
    </row>
    <row r="168" spans="1:16" x14ac:dyDescent="0.35">
      <c r="A168" s="507">
        <v>11</v>
      </c>
      <c r="B168" s="507">
        <f>PETUNJUK!B169</f>
        <v>0</v>
      </c>
      <c r="C168" s="346">
        <f t="shared" si="102"/>
        <v>117.7</v>
      </c>
      <c r="D168" s="346">
        <f t="shared" si="103"/>
        <v>112.35000000000001</v>
      </c>
      <c r="E168" s="507">
        <f t="shared" si="104"/>
        <v>23.540000000000003</v>
      </c>
      <c r="F168" s="676">
        <f>'1.DATA KIA'!F189</f>
        <v>0</v>
      </c>
      <c r="G168" s="676"/>
      <c r="H168" s="676"/>
      <c r="I168" s="695"/>
      <c r="J168" s="695"/>
      <c r="K168" s="695"/>
      <c r="L168" s="695"/>
      <c r="M168" s="695"/>
      <c r="N168" s="695"/>
      <c r="O168" s="695"/>
      <c r="P168" s="695"/>
    </row>
    <row r="169" spans="1:16" x14ac:dyDescent="0.35">
      <c r="A169" s="507">
        <v>12</v>
      </c>
      <c r="B169" s="507">
        <f>PETUNJUK!B170</f>
        <v>0</v>
      </c>
      <c r="C169" s="346">
        <f t="shared" si="102"/>
        <v>23.1</v>
      </c>
      <c r="D169" s="346">
        <f t="shared" si="103"/>
        <v>22.05</v>
      </c>
      <c r="E169" s="507">
        <f t="shared" si="104"/>
        <v>4.62</v>
      </c>
      <c r="F169" s="676">
        <f>'1.DATA KIA'!F190</f>
        <v>0</v>
      </c>
      <c r="G169" s="676"/>
      <c r="H169" s="676"/>
      <c r="I169" s="695"/>
      <c r="J169" s="695"/>
      <c r="K169" s="695"/>
      <c r="L169" s="695"/>
      <c r="M169" s="695"/>
      <c r="N169" s="695"/>
      <c r="O169" s="695"/>
      <c r="P169" s="695"/>
    </row>
    <row r="170" spans="1:16" x14ac:dyDescent="0.35">
      <c r="A170" s="507">
        <v>13</v>
      </c>
      <c r="B170" s="507">
        <f>PETUNJUK!B171</f>
        <v>0</v>
      </c>
      <c r="C170" s="346">
        <f t="shared" si="102"/>
        <v>0</v>
      </c>
      <c r="D170" s="346">
        <f t="shared" si="103"/>
        <v>0</v>
      </c>
      <c r="E170" s="507">
        <f t="shared" si="104"/>
        <v>0</v>
      </c>
      <c r="F170" s="676">
        <f>'1.DATA KIA'!F191</f>
        <v>0</v>
      </c>
      <c r="G170" s="676"/>
      <c r="H170" s="676"/>
      <c r="I170" s="695"/>
      <c r="J170" s="695"/>
      <c r="K170" s="695"/>
      <c r="L170" s="695"/>
      <c r="M170" s="695"/>
      <c r="N170" s="695"/>
      <c r="O170" s="695"/>
      <c r="P170" s="695"/>
    </row>
    <row r="171" spans="1:16" x14ac:dyDescent="0.35">
      <c r="A171" s="507">
        <v>14</v>
      </c>
      <c r="B171" s="507">
        <f>PETUNJUK!B172</f>
        <v>0</v>
      </c>
      <c r="C171" s="346">
        <f t="shared" si="102"/>
        <v>0</v>
      </c>
      <c r="D171" s="346">
        <f t="shared" si="103"/>
        <v>0</v>
      </c>
      <c r="E171" s="507">
        <f t="shared" si="104"/>
        <v>0</v>
      </c>
      <c r="F171" s="676">
        <f>'1.DATA KIA'!F192</f>
        <v>0</v>
      </c>
      <c r="G171" s="676"/>
      <c r="H171" s="676"/>
      <c r="I171" s="695"/>
      <c r="J171" s="695"/>
      <c r="K171" s="695"/>
      <c r="L171" s="695"/>
      <c r="M171" s="695"/>
      <c r="N171" s="695"/>
      <c r="O171" s="695"/>
      <c r="P171" s="695"/>
    </row>
    <row r="172" spans="1:16" x14ac:dyDescent="0.35">
      <c r="A172" s="507">
        <v>15</v>
      </c>
      <c r="B172" s="507">
        <f>PETUNJUK!B173</f>
        <v>0</v>
      </c>
      <c r="C172" s="346">
        <f t="shared" si="102"/>
        <v>0</v>
      </c>
      <c r="D172" s="346">
        <f t="shared" si="103"/>
        <v>0</v>
      </c>
      <c r="E172" s="507">
        <f t="shared" si="104"/>
        <v>0</v>
      </c>
      <c r="F172" s="676">
        <f>'1.DATA KIA'!F193</f>
        <v>0</v>
      </c>
      <c r="G172" s="676"/>
      <c r="H172" s="676"/>
      <c r="I172" s="695"/>
      <c r="J172" s="695"/>
      <c r="K172" s="695"/>
      <c r="L172" s="695"/>
      <c r="M172" s="695"/>
      <c r="N172" s="695"/>
      <c r="O172" s="695"/>
      <c r="P172" s="695"/>
    </row>
    <row r="173" spans="1:16" x14ac:dyDescent="0.35">
      <c r="A173" s="507">
        <v>16</v>
      </c>
      <c r="B173" s="507">
        <f>PETUNJUK!B174</f>
        <v>0</v>
      </c>
      <c r="C173" s="346">
        <f t="shared" si="102"/>
        <v>0</v>
      </c>
      <c r="D173" s="346">
        <f t="shared" si="103"/>
        <v>0</v>
      </c>
      <c r="E173" s="507">
        <f t="shared" si="104"/>
        <v>0</v>
      </c>
      <c r="F173" s="676">
        <f>'1.DATA KIA'!F194</f>
        <v>0</v>
      </c>
      <c r="G173" s="676"/>
      <c r="H173" s="676"/>
      <c r="I173" s="695"/>
      <c r="J173" s="695"/>
      <c r="K173" s="695"/>
      <c r="L173" s="695"/>
      <c r="M173" s="695"/>
      <c r="N173" s="695"/>
      <c r="O173" s="695"/>
      <c r="P173" s="695"/>
    </row>
    <row r="174" spans="1:16" x14ac:dyDescent="0.35">
      <c r="A174" s="507">
        <v>17</v>
      </c>
      <c r="B174" s="507">
        <f>PETUNJUK!B175</f>
        <v>0</v>
      </c>
      <c r="C174" s="346">
        <f t="shared" si="102"/>
        <v>0</v>
      </c>
      <c r="D174" s="346">
        <f t="shared" si="103"/>
        <v>0</v>
      </c>
      <c r="E174" s="507">
        <f t="shared" si="104"/>
        <v>0</v>
      </c>
      <c r="F174" s="676">
        <f>'1.DATA KIA'!F195</f>
        <v>0</v>
      </c>
      <c r="G174" s="676"/>
      <c r="H174" s="676"/>
      <c r="I174" s="695"/>
      <c r="J174" s="695"/>
      <c r="K174" s="695"/>
      <c r="L174" s="695"/>
      <c r="M174" s="695"/>
      <c r="N174" s="695"/>
      <c r="O174" s="695"/>
      <c r="P174" s="695"/>
    </row>
    <row r="175" spans="1:16" x14ac:dyDescent="0.35">
      <c r="A175" s="507">
        <v>18</v>
      </c>
      <c r="B175" s="507">
        <f>PETUNJUK!B176</f>
        <v>0</v>
      </c>
      <c r="C175" s="346">
        <f t="shared" si="102"/>
        <v>0</v>
      </c>
      <c r="D175" s="346">
        <f t="shared" si="103"/>
        <v>0</v>
      </c>
      <c r="E175" s="507">
        <f t="shared" si="104"/>
        <v>0</v>
      </c>
      <c r="F175" s="676">
        <f>'1.DATA KIA'!F196</f>
        <v>0</v>
      </c>
      <c r="G175" s="676"/>
      <c r="H175" s="676"/>
      <c r="I175" s="695"/>
      <c r="J175" s="695"/>
      <c r="K175" s="695"/>
      <c r="L175" s="695"/>
      <c r="M175" s="695"/>
      <c r="N175" s="695"/>
      <c r="O175" s="695"/>
      <c r="P175" s="695"/>
    </row>
    <row r="176" spans="1:16" x14ac:dyDescent="0.35">
      <c r="A176" s="507">
        <v>19</v>
      </c>
      <c r="B176" s="507">
        <f>PETUNJUK!B177</f>
        <v>0</v>
      </c>
      <c r="C176" s="346">
        <f t="shared" si="102"/>
        <v>0</v>
      </c>
      <c r="D176" s="346">
        <f t="shared" si="103"/>
        <v>0</v>
      </c>
      <c r="E176" s="507">
        <f t="shared" si="104"/>
        <v>0</v>
      </c>
      <c r="F176" s="676">
        <f>'1.DATA KIA'!F197</f>
        <v>0</v>
      </c>
      <c r="G176" s="676"/>
      <c r="H176" s="676"/>
      <c r="I176" s="695"/>
      <c r="J176" s="695"/>
      <c r="K176" s="695"/>
      <c r="L176" s="695"/>
      <c r="M176" s="695"/>
      <c r="N176" s="695"/>
      <c r="O176" s="695"/>
      <c r="P176" s="695"/>
    </row>
    <row r="177" spans="1:16" x14ac:dyDescent="0.35">
      <c r="A177" s="507">
        <v>20</v>
      </c>
      <c r="B177" s="507">
        <f>PETUNJUK!B178</f>
        <v>0</v>
      </c>
      <c r="C177" s="346">
        <f t="shared" si="102"/>
        <v>0</v>
      </c>
      <c r="D177" s="346">
        <f t="shared" si="103"/>
        <v>0</v>
      </c>
      <c r="E177" s="507">
        <f t="shared" si="104"/>
        <v>0</v>
      </c>
      <c r="F177" s="676">
        <f>'1.DATA KIA'!F198</f>
        <v>0</v>
      </c>
      <c r="G177" s="676"/>
      <c r="H177" s="676"/>
      <c r="I177" s="695"/>
      <c r="J177" s="695"/>
      <c r="K177" s="695"/>
      <c r="L177" s="695"/>
      <c r="M177" s="695"/>
      <c r="N177" s="695"/>
      <c r="O177" s="695"/>
      <c r="P177" s="695"/>
    </row>
    <row r="178" spans="1:16" x14ac:dyDescent="0.35">
      <c r="A178" s="507">
        <v>21</v>
      </c>
      <c r="B178" s="507">
        <f>PETUNJUK!B179</f>
        <v>0</v>
      </c>
      <c r="C178" s="346">
        <f t="shared" si="102"/>
        <v>0</v>
      </c>
      <c r="D178" s="346">
        <f t="shared" si="103"/>
        <v>0</v>
      </c>
      <c r="E178" s="507">
        <f t="shared" si="104"/>
        <v>0</v>
      </c>
      <c r="F178" s="676">
        <f>'1.DATA KIA'!F199</f>
        <v>0</v>
      </c>
      <c r="G178" s="676"/>
      <c r="H178" s="676"/>
      <c r="I178" s="695"/>
      <c r="J178" s="695"/>
      <c r="K178" s="695"/>
      <c r="L178" s="695"/>
      <c r="M178" s="695"/>
      <c r="N178" s="695"/>
      <c r="O178" s="695"/>
      <c r="P178" s="695"/>
    </row>
    <row r="179" spans="1:16" x14ac:dyDescent="0.35">
      <c r="A179" s="512">
        <v>22</v>
      </c>
      <c r="B179" s="512">
        <f>PETUNJUK!B180</f>
        <v>0</v>
      </c>
      <c r="C179" s="346">
        <f t="shared" si="102"/>
        <v>0</v>
      </c>
      <c r="D179" s="346">
        <f t="shared" si="103"/>
        <v>0</v>
      </c>
      <c r="E179" s="512">
        <f t="shared" si="104"/>
        <v>0</v>
      </c>
      <c r="F179" s="676">
        <f>'1.DATA KIA'!F200</f>
        <v>0</v>
      </c>
      <c r="G179" s="512"/>
      <c r="H179" s="512"/>
      <c r="I179" s="696"/>
      <c r="J179" s="696"/>
      <c r="K179" s="696"/>
      <c r="L179" s="696"/>
      <c r="M179" s="696"/>
      <c r="N179" s="696"/>
      <c r="O179" s="696"/>
      <c r="P179" s="696"/>
    </row>
    <row r="180" spans="1:16" x14ac:dyDescent="0.35">
      <c r="A180" s="1030" t="s">
        <v>18</v>
      </c>
      <c r="B180" s="1030"/>
      <c r="C180" s="688">
        <f>SUM(C158:C179)</f>
        <v>1067</v>
      </c>
      <c r="D180" s="688">
        <f t="shared" ref="D180:P180" si="105">SUM(D158:D179)</f>
        <v>1018.5</v>
      </c>
      <c r="E180" s="688">
        <f t="shared" si="105"/>
        <v>213.40000000000003</v>
      </c>
      <c r="F180" s="688">
        <f t="shared" si="105"/>
        <v>0</v>
      </c>
      <c r="G180" s="688">
        <f t="shared" si="105"/>
        <v>0</v>
      </c>
      <c r="H180" s="688">
        <f t="shared" si="105"/>
        <v>0</v>
      </c>
      <c r="I180" s="688">
        <f t="shared" si="105"/>
        <v>0</v>
      </c>
      <c r="J180" s="688">
        <f t="shared" si="105"/>
        <v>0</v>
      </c>
      <c r="K180" s="688">
        <f t="shared" si="105"/>
        <v>0</v>
      </c>
      <c r="L180" s="688">
        <f t="shared" si="105"/>
        <v>0</v>
      </c>
      <c r="M180" s="688">
        <f t="shared" si="105"/>
        <v>0</v>
      </c>
      <c r="N180" s="688">
        <f t="shared" si="105"/>
        <v>0</v>
      </c>
      <c r="O180" s="688">
        <f t="shared" si="105"/>
        <v>0</v>
      </c>
      <c r="P180" s="688">
        <f t="shared" si="105"/>
        <v>0</v>
      </c>
    </row>
    <row r="182" spans="1:16" s="693" customFormat="1" x14ac:dyDescent="0.35">
      <c r="A182" s="1029" t="s">
        <v>426</v>
      </c>
      <c r="B182" s="1029"/>
      <c r="C182" s="691">
        <f>PETUNJUK!C185</f>
        <v>0</v>
      </c>
      <c r="D182" s="690"/>
      <c r="E182" s="690"/>
      <c r="F182" s="690"/>
      <c r="G182" s="690"/>
      <c r="H182" s="690"/>
      <c r="I182" s="690"/>
      <c r="J182" s="690"/>
      <c r="K182" s="690"/>
      <c r="L182" s="690"/>
      <c r="M182" s="690"/>
      <c r="N182" s="690"/>
      <c r="O182" s="690"/>
      <c r="P182" s="690"/>
    </row>
    <row r="183" spans="1:16" s="693" customFormat="1" x14ac:dyDescent="0.35">
      <c r="A183" s="1029" t="s">
        <v>0</v>
      </c>
      <c r="B183" s="1029"/>
      <c r="C183" s="1031" t="s">
        <v>142</v>
      </c>
      <c r="D183" s="1031"/>
      <c r="E183" s="690"/>
      <c r="F183" s="690"/>
      <c r="G183" s="690"/>
      <c r="H183" s="690"/>
      <c r="I183" s="690"/>
      <c r="J183" s="690"/>
      <c r="K183" s="690"/>
      <c r="L183" s="690"/>
      <c r="M183" s="690"/>
      <c r="N183" s="690"/>
      <c r="O183" s="690"/>
      <c r="P183" s="690"/>
    </row>
    <row r="185" spans="1:16" x14ac:dyDescent="0.35">
      <c r="A185" s="754" t="s">
        <v>1</v>
      </c>
      <c r="B185" s="754" t="s">
        <v>2</v>
      </c>
      <c r="C185" s="754" t="s">
        <v>174</v>
      </c>
      <c r="D185" s="754"/>
      <c r="E185" s="754"/>
      <c r="F185" s="1024" t="s">
        <v>440</v>
      </c>
      <c r="G185" s="1024" t="s">
        <v>441</v>
      </c>
      <c r="H185" s="1024" t="s">
        <v>444</v>
      </c>
      <c r="I185" s="964" t="s">
        <v>427</v>
      </c>
      <c r="J185" s="964" t="s">
        <v>428</v>
      </c>
      <c r="K185" s="964" t="s">
        <v>429</v>
      </c>
      <c r="L185" s="964" t="s">
        <v>430</v>
      </c>
      <c r="M185" s="964" t="s">
        <v>432</v>
      </c>
      <c r="N185" s="964" t="s">
        <v>431</v>
      </c>
      <c r="O185" s="1032" t="s">
        <v>433</v>
      </c>
      <c r="P185" s="1032" t="s">
        <v>434</v>
      </c>
    </row>
    <row r="186" spans="1:16" ht="14.5" x14ac:dyDescent="0.35">
      <c r="A186" s="754"/>
      <c r="B186" s="754"/>
      <c r="C186" s="732" t="s">
        <v>5</v>
      </c>
      <c r="D186" s="732" t="s">
        <v>6</v>
      </c>
      <c r="E186" s="732" t="s">
        <v>133</v>
      </c>
      <c r="F186" s="1025"/>
      <c r="G186" s="1027"/>
      <c r="H186" s="1025"/>
      <c r="I186" s="1033"/>
      <c r="J186" s="1033"/>
      <c r="K186" s="1033"/>
      <c r="L186" s="1033"/>
      <c r="M186" s="1033"/>
      <c r="N186" s="964"/>
      <c r="O186" s="962"/>
      <c r="P186" s="962"/>
    </row>
    <row r="187" spans="1:16" ht="69.650000000000006" customHeight="1" x14ac:dyDescent="0.35">
      <c r="A187" s="754"/>
      <c r="B187" s="754"/>
      <c r="C187" s="732"/>
      <c r="D187" s="732"/>
      <c r="E187" s="732"/>
      <c r="F187" s="1026"/>
      <c r="G187" s="1028"/>
      <c r="H187" s="1026"/>
      <c r="I187" s="1033"/>
      <c r="J187" s="1033"/>
      <c r="K187" s="1033"/>
      <c r="L187" s="1033"/>
      <c r="M187" s="1033"/>
      <c r="N187" s="964"/>
      <c r="O187" s="963"/>
      <c r="P187" s="963"/>
    </row>
    <row r="188" spans="1:16" x14ac:dyDescent="0.35">
      <c r="A188" s="507">
        <v>1</v>
      </c>
      <c r="B188" s="507">
        <f>PETUNJUK!B189</f>
        <v>0</v>
      </c>
      <c r="C188" s="346">
        <f>C158</f>
        <v>101.2</v>
      </c>
      <c r="D188" s="346">
        <f>D158</f>
        <v>96.600000000000009</v>
      </c>
      <c r="E188" s="507">
        <f>C188*20%</f>
        <v>20.240000000000002</v>
      </c>
      <c r="F188" s="676">
        <f>'1.DATA KIA'!F213</f>
        <v>0</v>
      </c>
      <c r="G188" s="676"/>
      <c r="H188" s="676"/>
      <c r="I188" s="695"/>
      <c r="J188" s="695"/>
      <c r="K188" s="695"/>
      <c r="L188" s="695"/>
      <c r="M188" s="695"/>
      <c r="N188" s="695"/>
      <c r="O188" s="695"/>
      <c r="P188" s="695"/>
    </row>
    <row r="189" spans="1:16" x14ac:dyDescent="0.35">
      <c r="A189" s="507">
        <v>2</v>
      </c>
      <c r="B189" s="507">
        <f>PETUNJUK!B190</f>
        <v>0</v>
      </c>
      <c r="C189" s="346">
        <f t="shared" ref="C189:D189" si="106">C159</f>
        <v>111.10000000000001</v>
      </c>
      <c r="D189" s="346">
        <f t="shared" si="106"/>
        <v>106.05000000000001</v>
      </c>
      <c r="E189" s="507">
        <f t="shared" ref="E189:E209" si="107">C189*20%</f>
        <v>22.220000000000002</v>
      </c>
      <c r="F189" s="676">
        <f>'1.DATA KIA'!F214</f>
        <v>0</v>
      </c>
      <c r="G189" s="676"/>
      <c r="H189" s="676"/>
      <c r="I189" s="695"/>
      <c r="J189" s="695"/>
      <c r="K189" s="695"/>
      <c r="L189" s="695"/>
      <c r="M189" s="695"/>
      <c r="N189" s="695"/>
      <c r="O189" s="695"/>
      <c r="P189" s="695"/>
    </row>
    <row r="190" spans="1:16" x14ac:dyDescent="0.35">
      <c r="A190" s="507">
        <v>3</v>
      </c>
      <c r="B190" s="507">
        <f>PETUNJUK!B191</f>
        <v>0</v>
      </c>
      <c r="C190" s="346">
        <f t="shared" ref="C190:D190" si="108">C160</f>
        <v>205.70000000000002</v>
      </c>
      <c r="D190" s="346">
        <f t="shared" si="108"/>
        <v>196.35</v>
      </c>
      <c r="E190" s="507">
        <f t="shared" si="107"/>
        <v>41.140000000000008</v>
      </c>
      <c r="F190" s="676">
        <f>'1.DATA KIA'!F215</f>
        <v>0</v>
      </c>
      <c r="G190" s="676"/>
      <c r="H190" s="676"/>
      <c r="I190" s="695"/>
      <c r="J190" s="695"/>
      <c r="K190" s="695"/>
      <c r="L190" s="695"/>
      <c r="M190" s="695"/>
      <c r="N190" s="695"/>
      <c r="O190" s="695"/>
      <c r="P190" s="695"/>
    </row>
    <row r="191" spans="1:16" x14ac:dyDescent="0.35">
      <c r="A191" s="507">
        <v>4</v>
      </c>
      <c r="B191" s="507">
        <f>PETUNJUK!B192</f>
        <v>0</v>
      </c>
      <c r="C191" s="346">
        <f t="shared" ref="C191:D191" si="109">C161</f>
        <v>95.7</v>
      </c>
      <c r="D191" s="346">
        <f t="shared" si="109"/>
        <v>91.350000000000009</v>
      </c>
      <c r="E191" s="507">
        <f t="shared" si="107"/>
        <v>19.14</v>
      </c>
      <c r="F191" s="676">
        <f>'1.DATA KIA'!F216</f>
        <v>0</v>
      </c>
      <c r="G191" s="676"/>
      <c r="H191" s="676"/>
      <c r="I191" s="695"/>
      <c r="J191" s="695"/>
      <c r="K191" s="695"/>
      <c r="L191" s="695"/>
      <c r="M191" s="695"/>
      <c r="N191" s="695"/>
      <c r="O191" s="695"/>
      <c r="P191" s="695"/>
    </row>
    <row r="192" spans="1:16" x14ac:dyDescent="0.35">
      <c r="A192" s="507">
        <v>5</v>
      </c>
      <c r="B192" s="507">
        <f>PETUNJUK!B193</f>
        <v>0</v>
      </c>
      <c r="C192" s="346">
        <f t="shared" ref="C192:D192" si="110">C162</f>
        <v>85.800000000000011</v>
      </c>
      <c r="D192" s="346">
        <f t="shared" si="110"/>
        <v>81.900000000000006</v>
      </c>
      <c r="E192" s="507">
        <f t="shared" si="107"/>
        <v>17.160000000000004</v>
      </c>
      <c r="F192" s="676">
        <f>'1.DATA KIA'!F217</f>
        <v>0</v>
      </c>
      <c r="G192" s="676"/>
      <c r="H192" s="676"/>
      <c r="I192" s="695"/>
      <c r="J192" s="695"/>
      <c r="K192" s="695"/>
      <c r="L192" s="695"/>
      <c r="M192" s="695"/>
      <c r="N192" s="695"/>
      <c r="O192" s="695"/>
      <c r="P192" s="695"/>
    </row>
    <row r="193" spans="1:16" x14ac:dyDescent="0.35">
      <c r="A193" s="507">
        <v>6</v>
      </c>
      <c r="B193" s="507">
        <f>PETUNJUK!B194</f>
        <v>0</v>
      </c>
      <c r="C193" s="346">
        <f t="shared" ref="C193:D193" si="111">C163</f>
        <v>82.5</v>
      </c>
      <c r="D193" s="346">
        <f t="shared" si="111"/>
        <v>78.75</v>
      </c>
      <c r="E193" s="507">
        <f t="shared" si="107"/>
        <v>16.5</v>
      </c>
      <c r="F193" s="676">
        <f>'1.DATA KIA'!F218</f>
        <v>0</v>
      </c>
      <c r="G193" s="676"/>
      <c r="H193" s="676"/>
      <c r="I193" s="695"/>
      <c r="J193" s="695"/>
      <c r="K193" s="695"/>
      <c r="L193" s="695"/>
      <c r="M193" s="695"/>
      <c r="N193" s="695"/>
      <c r="O193" s="695"/>
      <c r="P193" s="695"/>
    </row>
    <row r="194" spans="1:16" x14ac:dyDescent="0.35">
      <c r="A194" s="507">
        <v>7</v>
      </c>
      <c r="B194" s="507">
        <f>PETUNJUK!B195</f>
        <v>0</v>
      </c>
      <c r="C194" s="346">
        <f t="shared" ref="C194:D194" si="112">C164</f>
        <v>93.500000000000014</v>
      </c>
      <c r="D194" s="346">
        <f t="shared" si="112"/>
        <v>89.25</v>
      </c>
      <c r="E194" s="507">
        <f t="shared" si="107"/>
        <v>18.700000000000003</v>
      </c>
      <c r="F194" s="676">
        <f>'1.DATA KIA'!F219</f>
        <v>0</v>
      </c>
      <c r="G194" s="676"/>
      <c r="H194" s="676"/>
      <c r="I194" s="695"/>
      <c r="J194" s="695"/>
      <c r="K194" s="695"/>
      <c r="L194" s="695"/>
      <c r="M194" s="695"/>
      <c r="N194" s="695"/>
      <c r="O194" s="695"/>
      <c r="P194" s="695"/>
    </row>
    <row r="195" spans="1:16" x14ac:dyDescent="0.35">
      <c r="A195" s="507">
        <v>8</v>
      </c>
      <c r="B195" s="507">
        <f>PETUNJUK!B196</f>
        <v>0</v>
      </c>
      <c r="C195" s="346">
        <f t="shared" ref="C195:D195" si="113">C165</f>
        <v>46.2</v>
      </c>
      <c r="D195" s="346">
        <f t="shared" si="113"/>
        <v>44.1</v>
      </c>
      <c r="E195" s="507">
        <f t="shared" si="107"/>
        <v>9.24</v>
      </c>
      <c r="F195" s="676">
        <f>'1.DATA KIA'!F220</f>
        <v>0</v>
      </c>
      <c r="G195" s="676"/>
      <c r="H195" s="676"/>
      <c r="I195" s="695"/>
      <c r="J195" s="695"/>
      <c r="K195" s="695"/>
      <c r="L195" s="695"/>
      <c r="M195" s="695"/>
      <c r="N195" s="695"/>
      <c r="O195" s="695"/>
      <c r="P195" s="695"/>
    </row>
    <row r="196" spans="1:16" x14ac:dyDescent="0.35">
      <c r="A196" s="507">
        <v>9</v>
      </c>
      <c r="B196" s="507">
        <f>PETUNJUK!B197</f>
        <v>0</v>
      </c>
      <c r="C196" s="346">
        <f t="shared" ref="C196:D196" si="114">C166</f>
        <v>53.900000000000006</v>
      </c>
      <c r="D196" s="346">
        <f t="shared" si="114"/>
        <v>51.45</v>
      </c>
      <c r="E196" s="507">
        <f t="shared" si="107"/>
        <v>10.780000000000001</v>
      </c>
      <c r="F196" s="676">
        <f>'1.DATA KIA'!F221</f>
        <v>0</v>
      </c>
      <c r="G196" s="676"/>
      <c r="H196" s="676"/>
      <c r="I196" s="695"/>
      <c r="J196" s="695"/>
      <c r="K196" s="695"/>
      <c r="L196" s="695"/>
      <c r="M196" s="695"/>
      <c r="N196" s="695"/>
      <c r="O196" s="695"/>
      <c r="P196" s="695"/>
    </row>
    <row r="197" spans="1:16" x14ac:dyDescent="0.35">
      <c r="A197" s="507">
        <v>10</v>
      </c>
      <c r="B197" s="507">
        <f>PETUNJUK!B198</f>
        <v>0</v>
      </c>
      <c r="C197" s="346">
        <f t="shared" ref="C197:D197" si="115">C167</f>
        <v>50.6</v>
      </c>
      <c r="D197" s="346">
        <f t="shared" si="115"/>
        <v>48.300000000000004</v>
      </c>
      <c r="E197" s="507">
        <f t="shared" si="107"/>
        <v>10.120000000000001</v>
      </c>
      <c r="F197" s="676">
        <f>'1.DATA KIA'!F222</f>
        <v>0</v>
      </c>
      <c r="G197" s="676"/>
      <c r="H197" s="676"/>
      <c r="I197" s="695"/>
      <c r="J197" s="695"/>
      <c r="K197" s="695"/>
      <c r="L197" s="695"/>
      <c r="M197" s="695"/>
      <c r="N197" s="695"/>
      <c r="O197" s="695"/>
      <c r="P197" s="695"/>
    </row>
    <row r="198" spans="1:16" x14ac:dyDescent="0.35">
      <c r="A198" s="507">
        <v>11</v>
      </c>
      <c r="B198" s="507">
        <f>PETUNJUK!B199</f>
        <v>0</v>
      </c>
      <c r="C198" s="346">
        <f t="shared" ref="C198:D198" si="116">C168</f>
        <v>117.7</v>
      </c>
      <c r="D198" s="346">
        <f t="shared" si="116"/>
        <v>112.35000000000001</v>
      </c>
      <c r="E198" s="507">
        <f t="shared" si="107"/>
        <v>23.540000000000003</v>
      </c>
      <c r="F198" s="676">
        <f>'1.DATA KIA'!F223</f>
        <v>0</v>
      </c>
      <c r="G198" s="676"/>
      <c r="H198" s="676"/>
      <c r="I198" s="695"/>
      <c r="J198" s="695"/>
      <c r="K198" s="695"/>
      <c r="L198" s="695"/>
      <c r="M198" s="695"/>
      <c r="N198" s="695"/>
      <c r="O198" s="695"/>
      <c r="P198" s="695"/>
    </row>
    <row r="199" spans="1:16" x14ac:dyDescent="0.35">
      <c r="A199" s="507">
        <v>12</v>
      </c>
      <c r="B199" s="507">
        <f>PETUNJUK!B200</f>
        <v>0</v>
      </c>
      <c r="C199" s="346">
        <f t="shared" ref="C199:D199" si="117">C169</f>
        <v>23.1</v>
      </c>
      <c r="D199" s="346">
        <f t="shared" si="117"/>
        <v>22.05</v>
      </c>
      <c r="E199" s="507">
        <f t="shared" si="107"/>
        <v>4.62</v>
      </c>
      <c r="F199" s="676">
        <f>'1.DATA KIA'!F224</f>
        <v>0</v>
      </c>
      <c r="G199" s="676"/>
      <c r="H199" s="676"/>
      <c r="I199" s="695"/>
      <c r="J199" s="695"/>
      <c r="K199" s="695"/>
      <c r="L199" s="695"/>
      <c r="M199" s="695"/>
      <c r="N199" s="695"/>
      <c r="O199" s="695"/>
      <c r="P199" s="695"/>
    </row>
    <row r="200" spans="1:16" x14ac:dyDescent="0.35">
      <c r="A200" s="507">
        <v>13</v>
      </c>
      <c r="B200" s="507">
        <f>PETUNJUK!B201</f>
        <v>0</v>
      </c>
      <c r="C200" s="346">
        <f t="shared" ref="C200:D200" si="118">C170</f>
        <v>0</v>
      </c>
      <c r="D200" s="346">
        <f t="shared" si="118"/>
        <v>0</v>
      </c>
      <c r="E200" s="507">
        <f t="shared" si="107"/>
        <v>0</v>
      </c>
      <c r="F200" s="676">
        <f>'1.DATA KIA'!F225</f>
        <v>0</v>
      </c>
      <c r="G200" s="676"/>
      <c r="H200" s="676"/>
      <c r="I200" s="695"/>
      <c r="J200" s="695"/>
      <c r="K200" s="695"/>
      <c r="L200" s="695"/>
      <c r="M200" s="695"/>
      <c r="N200" s="695"/>
      <c r="O200" s="695"/>
      <c r="P200" s="695"/>
    </row>
    <row r="201" spans="1:16" x14ac:dyDescent="0.35">
      <c r="A201" s="507">
        <v>14</v>
      </c>
      <c r="B201" s="507">
        <f>PETUNJUK!B202</f>
        <v>0</v>
      </c>
      <c r="C201" s="346">
        <f t="shared" ref="C201:D201" si="119">C171</f>
        <v>0</v>
      </c>
      <c r="D201" s="346">
        <f t="shared" si="119"/>
        <v>0</v>
      </c>
      <c r="E201" s="507">
        <f t="shared" si="107"/>
        <v>0</v>
      </c>
      <c r="F201" s="676">
        <f>'1.DATA KIA'!F226</f>
        <v>0</v>
      </c>
      <c r="G201" s="676"/>
      <c r="H201" s="676"/>
      <c r="I201" s="695"/>
      <c r="J201" s="695"/>
      <c r="K201" s="695"/>
      <c r="L201" s="695"/>
      <c r="M201" s="695"/>
      <c r="N201" s="695"/>
      <c r="O201" s="695"/>
      <c r="P201" s="695"/>
    </row>
    <row r="202" spans="1:16" x14ac:dyDescent="0.35">
      <c r="A202" s="507">
        <v>15</v>
      </c>
      <c r="B202" s="507">
        <f>PETUNJUK!B203</f>
        <v>0</v>
      </c>
      <c r="C202" s="346">
        <f t="shared" ref="C202:D202" si="120">C172</f>
        <v>0</v>
      </c>
      <c r="D202" s="346">
        <f t="shared" si="120"/>
        <v>0</v>
      </c>
      <c r="E202" s="507">
        <f t="shared" si="107"/>
        <v>0</v>
      </c>
      <c r="F202" s="676">
        <f>'1.DATA KIA'!F227</f>
        <v>0</v>
      </c>
      <c r="G202" s="676"/>
      <c r="H202" s="676"/>
      <c r="I202" s="695"/>
      <c r="J202" s="695"/>
      <c r="K202" s="695"/>
      <c r="L202" s="695"/>
      <c r="M202" s="695"/>
      <c r="N202" s="695"/>
      <c r="O202" s="695"/>
      <c r="P202" s="695"/>
    </row>
    <row r="203" spans="1:16" x14ac:dyDescent="0.35">
      <c r="A203" s="507">
        <v>16</v>
      </c>
      <c r="B203" s="507">
        <f>PETUNJUK!B204</f>
        <v>0</v>
      </c>
      <c r="C203" s="346">
        <f t="shared" ref="C203:D203" si="121">C173</f>
        <v>0</v>
      </c>
      <c r="D203" s="346">
        <f t="shared" si="121"/>
        <v>0</v>
      </c>
      <c r="E203" s="507">
        <f t="shared" si="107"/>
        <v>0</v>
      </c>
      <c r="F203" s="676">
        <f>'1.DATA KIA'!F228</f>
        <v>0</v>
      </c>
      <c r="G203" s="676"/>
      <c r="H203" s="676"/>
      <c r="I203" s="695"/>
      <c r="J203" s="695"/>
      <c r="K203" s="695"/>
      <c r="L203" s="695"/>
      <c r="M203" s="695"/>
      <c r="N203" s="695"/>
      <c r="O203" s="695"/>
      <c r="P203" s="695"/>
    </row>
    <row r="204" spans="1:16" x14ac:dyDescent="0.35">
      <c r="A204" s="507">
        <v>17</v>
      </c>
      <c r="B204" s="507">
        <f>PETUNJUK!B205</f>
        <v>0</v>
      </c>
      <c r="C204" s="346">
        <f t="shared" ref="C204:D204" si="122">C174</f>
        <v>0</v>
      </c>
      <c r="D204" s="346">
        <f t="shared" si="122"/>
        <v>0</v>
      </c>
      <c r="E204" s="507">
        <f t="shared" si="107"/>
        <v>0</v>
      </c>
      <c r="F204" s="676">
        <f>'1.DATA KIA'!F229</f>
        <v>0</v>
      </c>
      <c r="G204" s="676"/>
      <c r="H204" s="676"/>
      <c r="I204" s="695"/>
      <c r="J204" s="695"/>
      <c r="K204" s="695"/>
      <c r="L204" s="695"/>
      <c r="M204" s="695"/>
      <c r="N204" s="695"/>
      <c r="O204" s="695"/>
      <c r="P204" s="695"/>
    </row>
    <row r="205" spans="1:16" x14ac:dyDescent="0.35">
      <c r="A205" s="507">
        <v>18</v>
      </c>
      <c r="B205" s="507">
        <f>PETUNJUK!B206</f>
        <v>0</v>
      </c>
      <c r="C205" s="346">
        <f t="shared" ref="C205:D205" si="123">C175</f>
        <v>0</v>
      </c>
      <c r="D205" s="346">
        <f t="shared" si="123"/>
        <v>0</v>
      </c>
      <c r="E205" s="507">
        <f t="shared" si="107"/>
        <v>0</v>
      </c>
      <c r="F205" s="676">
        <f>'1.DATA KIA'!F230</f>
        <v>0</v>
      </c>
      <c r="G205" s="676"/>
      <c r="H205" s="676"/>
      <c r="I205" s="695"/>
      <c r="J205" s="695"/>
      <c r="K205" s="695"/>
      <c r="L205" s="695"/>
      <c r="M205" s="695"/>
      <c r="N205" s="695"/>
      <c r="O205" s="695"/>
      <c r="P205" s="695"/>
    </row>
    <row r="206" spans="1:16" x14ac:dyDescent="0.35">
      <c r="A206" s="507">
        <v>19</v>
      </c>
      <c r="B206" s="507">
        <f>PETUNJUK!B207</f>
        <v>0</v>
      </c>
      <c r="C206" s="346">
        <f t="shared" ref="C206:D206" si="124">C176</f>
        <v>0</v>
      </c>
      <c r="D206" s="346">
        <f t="shared" si="124"/>
        <v>0</v>
      </c>
      <c r="E206" s="507">
        <f t="shared" si="107"/>
        <v>0</v>
      </c>
      <c r="F206" s="676">
        <f>'1.DATA KIA'!F231</f>
        <v>0</v>
      </c>
      <c r="G206" s="676"/>
      <c r="H206" s="676"/>
      <c r="I206" s="695"/>
      <c r="J206" s="695"/>
      <c r="K206" s="695"/>
      <c r="L206" s="695"/>
      <c r="M206" s="695"/>
      <c r="N206" s="695"/>
      <c r="O206" s="695"/>
      <c r="P206" s="695"/>
    </row>
    <row r="207" spans="1:16" x14ac:dyDescent="0.35">
      <c r="A207" s="507">
        <v>20</v>
      </c>
      <c r="B207" s="507">
        <f>PETUNJUK!B208</f>
        <v>0</v>
      </c>
      <c r="C207" s="346">
        <f t="shared" ref="C207:D207" si="125">C177</f>
        <v>0</v>
      </c>
      <c r="D207" s="346">
        <f t="shared" si="125"/>
        <v>0</v>
      </c>
      <c r="E207" s="507">
        <f t="shared" si="107"/>
        <v>0</v>
      </c>
      <c r="F207" s="676">
        <f>'1.DATA KIA'!F232</f>
        <v>0</v>
      </c>
      <c r="G207" s="676"/>
      <c r="H207" s="676"/>
      <c r="I207" s="695"/>
      <c r="J207" s="695"/>
      <c r="K207" s="695"/>
      <c r="L207" s="695"/>
      <c r="M207" s="695"/>
      <c r="N207" s="695"/>
      <c r="O207" s="695"/>
      <c r="P207" s="695"/>
    </row>
    <row r="208" spans="1:16" x14ac:dyDescent="0.35">
      <c r="A208" s="507">
        <v>21</v>
      </c>
      <c r="B208" s="507">
        <f>PETUNJUK!B209</f>
        <v>0</v>
      </c>
      <c r="C208" s="346">
        <f t="shared" ref="C208:D208" si="126">C178</f>
        <v>0</v>
      </c>
      <c r="D208" s="346">
        <f t="shared" si="126"/>
        <v>0</v>
      </c>
      <c r="E208" s="507">
        <f t="shared" si="107"/>
        <v>0</v>
      </c>
      <c r="F208" s="676">
        <f>'1.DATA KIA'!F233</f>
        <v>0</v>
      </c>
      <c r="G208" s="676"/>
      <c r="H208" s="676"/>
      <c r="I208" s="695"/>
      <c r="J208" s="695"/>
      <c r="K208" s="695"/>
      <c r="L208" s="695"/>
      <c r="M208" s="695"/>
      <c r="N208" s="695"/>
      <c r="O208" s="695"/>
      <c r="P208" s="695"/>
    </row>
    <row r="209" spans="1:16" x14ac:dyDescent="0.35">
      <c r="A209" s="512">
        <v>22</v>
      </c>
      <c r="B209" s="512">
        <f>PETUNJUK!B210</f>
        <v>0</v>
      </c>
      <c r="C209" s="346">
        <f t="shared" ref="C209:D209" si="127">C179</f>
        <v>0</v>
      </c>
      <c r="D209" s="346">
        <f t="shared" si="127"/>
        <v>0</v>
      </c>
      <c r="E209" s="512">
        <f t="shared" si="107"/>
        <v>0</v>
      </c>
      <c r="F209" s="676">
        <f>'1.DATA KIA'!F234</f>
        <v>0</v>
      </c>
      <c r="G209" s="512"/>
      <c r="H209" s="512"/>
      <c r="I209" s="696"/>
      <c r="J209" s="696"/>
      <c r="K209" s="696"/>
      <c r="L209" s="696"/>
      <c r="M209" s="696"/>
      <c r="N209" s="696"/>
      <c r="O209" s="696"/>
      <c r="P209" s="696"/>
    </row>
    <row r="210" spans="1:16" x14ac:dyDescent="0.35">
      <c r="A210" s="1030" t="s">
        <v>18</v>
      </c>
      <c r="B210" s="1030"/>
      <c r="C210" s="688">
        <f>SUM(C188:C209)</f>
        <v>1067</v>
      </c>
      <c r="D210" s="688">
        <f t="shared" ref="D210:P210" si="128">SUM(D188:D209)</f>
        <v>1018.5</v>
      </c>
      <c r="E210" s="688">
        <f t="shared" si="128"/>
        <v>213.40000000000003</v>
      </c>
      <c r="F210" s="688">
        <f t="shared" si="128"/>
        <v>0</v>
      </c>
      <c r="G210" s="688">
        <f t="shared" si="128"/>
        <v>0</v>
      </c>
      <c r="H210" s="688">
        <f t="shared" si="128"/>
        <v>0</v>
      </c>
      <c r="I210" s="688">
        <f t="shared" si="128"/>
        <v>0</v>
      </c>
      <c r="J210" s="688">
        <f t="shared" si="128"/>
        <v>0</v>
      </c>
      <c r="K210" s="688">
        <f t="shared" si="128"/>
        <v>0</v>
      </c>
      <c r="L210" s="688">
        <f t="shared" si="128"/>
        <v>0</v>
      </c>
      <c r="M210" s="688">
        <f t="shared" si="128"/>
        <v>0</v>
      </c>
      <c r="N210" s="688">
        <f t="shared" si="128"/>
        <v>0</v>
      </c>
      <c r="O210" s="688">
        <f t="shared" si="128"/>
        <v>0</v>
      </c>
      <c r="P210" s="688">
        <f t="shared" si="128"/>
        <v>0</v>
      </c>
    </row>
    <row r="212" spans="1:16" x14ac:dyDescent="0.35">
      <c r="A212" s="731" t="s">
        <v>426</v>
      </c>
      <c r="B212" s="731"/>
      <c r="C212" s="679">
        <f>PETUNJUK!C215</f>
        <v>0</v>
      </c>
      <c r="D212" s="504"/>
      <c r="E212" s="504"/>
      <c r="F212" s="504"/>
      <c r="G212" s="504"/>
      <c r="H212" s="504"/>
      <c r="I212" s="504"/>
      <c r="J212" s="504"/>
      <c r="K212" s="504"/>
      <c r="L212" s="504"/>
      <c r="M212" s="504"/>
      <c r="N212" s="504"/>
      <c r="O212" s="504"/>
      <c r="P212" s="504"/>
    </row>
    <row r="213" spans="1:16" x14ac:dyDescent="0.35">
      <c r="A213" s="731" t="s">
        <v>0</v>
      </c>
      <c r="B213" s="731"/>
      <c r="C213" s="1034" t="s">
        <v>143</v>
      </c>
      <c r="D213" s="1034"/>
      <c r="E213" s="504"/>
      <c r="F213" s="504"/>
      <c r="G213" s="504"/>
      <c r="H213" s="504"/>
      <c r="I213" s="504"/>
      <c r="J213" s="504"/>
      <c r="K213" s="504"/>
      <c r="L213" s="504"/>
      <c r="M213" s="504"/>
      <c r="N213" s="504"/>
      <c r="O213" s="504"/>
      <c r="P213" s="504"/>
    </row>
    <row r="215" spans="1:16" x14ac:dyDescent="0.35">
      <c r="A215" s="754" t="s">
        <v>1</v>
      </c>
      <c r="B215" s="754" t="s">
        <v>2</v>
      </c>
      <c r="C215" s="754" t="s">
        <v>174</v>
      </c>
      <c r="D215" s="754"/>
      <c r="E215" s="754"/>
      <c r="F215" s="1024" t="s">
        <v>440</v>
      </c>
      <c r="G215" s="1024" t="s">
        <v>441</v>
      </c>
      <c r="H215" s="1024" t="s">
        <v>444</v>
      </c>
      <c r="I215" s="964" t="s">
        <v>427</v>
      </c>
      <c r="J215" s="964" t="s">
        <v>428</v>
      </c>
      <c r="K215" s="964" t="s">
        <v>429</v>
      </c>
      <c r="L215" s="964" t="s">
        <v>430</v>
      </c>
      <c r="M215" s="964" t="s">
        <v>432</v>
      </c>
      <c r="N215" s="964" t="s">
        <v>431</v>
      </c>
      <c r="O215" s="1032" t="s">
        <v>433</v>
      </c>
      <c r="P215" s="1032" t="s">
        <v>434</v>
      </c>
    </row>
    <row r="216" spans="1:16" ht="14.5" x14ac:dyDescent="0.35">
      <c r="A216" s="754"/>
      <c r="B216" s="754"/>
      <c r="C216" s="732" t="s">
        <v>5</v>
      </c>
      <c r="D216" s="732" t="s">
        <v>6</v>
      </c>
      <c r="E216" s="732" t="s">
        <v>133</v>
      </c>
      <c r="F216" s="1025"/>
      <c r="G216" s="1027"/>
      <c r="H216" s="1025"/>
      <c r="I216" s="1033"/>
      <c r="J216" s="1033"/>
      <c r="K216" s="1033"/>
      <c r="L216" s="1033"/>
      <c r="M216" s="1033"/>
      <c r="N216" s="964"/>
      <c r="O216" s="962"/>
      <c r="P216" s="962"/>
    </row>
    <row r="217" spans="1:16" ht="64.5" customHeight="1" x14ac:dyDescent="0.35">
      <c r="A217" s="754"/>
      <c r="B217" s="754"/>
      <c r="C217" s="732"/>
      <c r="D217" s="732"/>
      <c r="E217" s="732"/>
      <c r="F217" s="1026"/>
      <c r="G217" s="1028"/>
      <c r="H217" s="1026"/>
      <c r="I217" s="1033"/>
      <c r="J217" s="1033"/>
      <c r="K217" s="1033"/>
      <c r="L217" s="1033"/>
      <c r="M217" s="1033"/>
      <c r="N217" s="964"/>
      <c r="O217" s="963"/>
      <c r="P217" s="963"/>
    </row>
    <row r="218" spans="1:16" x14ac:dyDescent="0.35">
      <c r="A218" s="507">
        <v>1</v>
      </c>
      <c r="B218" s="507">
        <f>PETUNJUK!B219</f>
        <v>0</v>
      </c>
      <c r="C218" s="346">
        <f>C188</f>
        <v>101.2</v>
      </c>
      <c r="D218" s="346">
        <f>D188</f>
        <v>96.600000000000009</v>
      </c>
      <c r="E218" s="507">
        <f>C218*20%</f>
        <v>20.240000000000002</v>
      </c>
      <c r="F218" s="676">
        <f>'1.DATA KIA'!F247</f>
        <v>0</v>
      </c>
      <c r="G218" s="676"/>
      <c r="H218" s="676"/>
      <c r="I218" s="695"/>
      <c r="J218" s="695"/>
      <c r="K218" s="695"/>
      <c r="L218" s="695"/>
      <c r="M218" s="695"/>
      <c r="N218" s="695"/>
      <c r="O218" s="695"/>
      <c r="P218" s="695"/>
    </row>
    <row r="219" spans="1:16" x14ac:dyDescent="0.35">
      <c r="A219" s="507">
        <v>2</v>
      </c>
      <c r="B219" s="507">
        <f>PETUNJUK!B220</f>
        <v>0</v>
      </c>
      <c r="C219" s="346">
        <f t="shared" ref="C219:D219" si="129">C189</f>
        <v>111.10000000000001</v>
      </c>
      <c r="D219" s="346">
        <f t="shared" si="129"/>
        <v>106.05000000000001</v>
      </c>
      <c r="E219" s="507">
        <f t="shared" ref="E219:E239" si="130">C219*20%</f>
        <v>22.220000000000002</v>
      </c>
      <c r="F219" s="676">
        <f>'1.DATA KIA'!F248</f>
        <v>0</v>
      </c>
      <c r="G219" s="676"/>
      <c r="H219" s="676"/>
      <c r="I219" s="695"/>
      <c r="J219" s="695"/>
      <c r="K219" s="695"/>
      <c r="L219" s="695"/>
      <c r="M219" s="695"/>
      <c r="N219" s="695"/>
      <c r="O219" s="695"/>
      <c r="P219" s="695"/>
    </row>
    <row r="220" spans="1:16" x14ac:dyDescent="0.35">
      <c r="A220" s="507">
        <v>3</v>
      </c>
      <c r="B220" s="507">
        <f>PETUNJUK!B221</f>
        <v>0</v>
      </c>
      <c r="C220" s="346">
        <f t="shared" ref="C220:D220" si="131">C190</f>
        <v>205.70000000000002</v>
      </c>
      <c r="D220" s="346">
        <f t="shared" si="131"/>
        <v>196.35</v>
      </c>
      <c r="E220" s="507">
        <f t="shared" si="130"/>
        <v>41.140000000000008</v>
      </c>
      <c r="F220" s="676">
        <f>'1.DATA KIA'!F249</f>
        <v>0</v>
      </c>
      <c r="G220" s="676"/>
      <c r="H220" s="676"/>
      <c r="I220" s="695"/>
      <c r="J220" s="695"/>
      <c r="K220" s="695"/>
      <c r="L220" s="695"/>
      <c r="M220" s="695"/>
      <c r="N220" s="695"/>
      <c r="O220" s="695"/>
      <c r="P220" s="695"/>
    </row>
    <row r="221" spans="1:16" x14ac:dyDescent="0.35">
      <c r="A221" s="507">
        <v>4</v>
      </c>
      <c r="B221" s="507">
        <f>PETUNJUK!B222</f>
        <v>0</v>
      </c>
      <c r="C221" s="346">
        <f t="shared" ref="C221:D221" si="132">C191</f>
        <v>95.7</v>
      </c>
      <c r="D221" s="346">
        <f t="shared" si="132"/>
        <v>91.350000000000009</v>
      </c>
      <c r="E221" s="507">
        <f t="shared" si="130"/>
        <v>19.14</v>
      </c>
      <c r="F221" s="676">
        <f>'1.DATA KIA'!F250</f>
        <v>0</v>
      </c>
      <c r="G221" s="676"/>
      <c r="H221" s="676"/>
      <c r="I221" s="695"/>
      <c r="J221" s="695"/>
      <c r="K221" s="695"/>
      <c r="L221" s="695"/>
      <c r="M221" s="695"/>
      <c r="N221" s="695"/>
      <c r="O221" s="695"/>
      <c r="P221" s="695"/>
    </row>
    <row r="222" spans="1:16" x14ac:dyDescent="0.35">
      <c r="A222" s="507">
        <v>5</v>
      </c>
      <c r="B222" s="507">
        <f>PETUNJUK!B223</f>
        <v>0</v>
      </c>
      <c r="C222" s="346">
        <f t="shared" ref="C222:D222" si="133">C192</f>
        <v>85.800000000000011</v>
      </c>
      <c r="D222" s="346">
        <f t="shared" si="133"/>
        <v>81.900000000000006</v>
      </c>
      <c r="E222" s="507">
        <f t="shared" si="130"/>
        <v>17.160000000000004</v>
      </c>
      <c r="F222" s="676">
        <f>'1.DATA KIA'!F251</f>
        <v>0</v>
      </c>
      <c r="G222" s="676"/>
      <c r="H222" s="676"/>
      <c r="I222" s="695"/>
      <c r="J222" s="695"/>
      <c r="K222" s="695"/>
      <c r="L222" s="695"/>
      <c r="M222" s="695"/>
      <c r="N222" s="695"/>
      <c r="O222" s="695"/>
      <c r="P222" s="695"/>
    </row>
    <row r="223" spans="1:16" x14ac:dyDescent="0.35">
      <c r="A223" s="507">
        <v>6</v>
      </c>
      <c r="B223" s="507">
        <f>PETUNJUK!B224</f>
        <v>0</v>
      </c>
      <c r="C223" s="346">
        <f t="shared" ref="C223:D223" si="134">C193</f>
        <v>82.5</v>
      </c>
      <c r="D223" s="346">
        <f t="shared" si="134"/>
        <v>78.75</v>
      </c>
      <c r="E223" s="507">
        <f t="shared" si="130"/>
        <v>16.5</v>
      </c>
      <c r="F223" s="676">
        <f>'1.DATA KIA'!F252</f>
        <v>0</v>
      </c>
      <c r="G223" s="676"/>
      <c r="H223" s="676"/>
      <c r="I223" s="695"/>
      <c r="J223" s="695"/>
      <c r="K223" s="695"/>
      <c r="L223" s="695"/>
      <c r="M223" s="695"/>
      <c r="N223" s="695"/>
      <c r="O223" s="695"/>
      <c r="P223" s="695"/>
    </row>
    <row r="224" spans="1:16" x14ac:dyDescent="0.35">
      <c r="A224" s="507">
        <v>7</v>
      </c>
      <c r="B224" s="507">
        <f>PETUNJUK!B225</f>
        <v>0</v>
      </c>
      <c r="C224" s="346">
        <f t="shared" ref="C224:D224" si="135">C194</f>
        <v>93.500000000000014</v>
      </c>
      <c r="D224" s="346">
        <f t="shared" si="135"/>
        <v>89.25</v>
      </c>
      <c r="E224" s="507">
        <f t="shared" si="130"/>
        <v>18.700000000000003</v>
      </c>
      <c r="F224" s="676">
        <f>'1.DATA KIA'!F253</f>
        <v>0</v>
      </c>
      <c r="G224" s="676"/>
      <c r="H224" s="676"/>
      <c r="I224" s="695"/>
      <c r="J224" s="695"/>
      <c r="K224" s="695"/>
      <c r="L224" s="695"/>
      <c r="M224" s="695"/>
      <c r="N224" s="695"/>
      <c r="O224" s="695"/>
      <c r="P224" s="695"/>
    </row>
    <row r="225" spans="1:16" x14ac:dyDescent="0.35">
      <c r="A225" s="507">
        <v>8</v>
      </c>
      <c r="B225" s="507">
        <f>PETUNJUK!B226</f>
        <v>0</v>
      </c>
      <c r="C225" s="346">
        <f t="shared" ref="C225:D225" si="136">C195</f>
        <v>46.2</v>
      </c>
      <c r="D225" s="346">
        <f t="shared" si="136"/>
        <v>44.1</v>
      </c>
      <c r="E225" s="507">
        <f t="shared" si="130"/>
        <v>9.24</v>
      </c>
      <c r="F225" s="676">
        <f>'1.DATA KIA'!F254</f>
        <v>0</v>
      </c>
      <c r="G225" s="676"/>
      <c r="H225" s="676"/>
      <c r="I225" s="695"/>
      <c r="J225" s="695"/>
      <c r="K225" s="695"/>
      <c r="L225" s="695"/>
      <c r="M225" s="695"/>
      <c r="N225" s="695"/>
      <c r="O225" s="695"/>
      <c r="P225" s="695"/>
    </row>
    <row r="226" spans="1:16" x14ac:dyDescent="0.35">
      <c r="A226" s="507">
        <v>9</v>
      </c>
      <c r="B226" s="507">
        <f>PETUNJUK!B227</f>
        <v>0</v>
      </c>
      <c r="C226" s="346">
        <f t="shared" ref="C226:D226" si="137">C196</f>
        <v>53.900000000000006</v>
      </c>
      <c r="D226" s="346">
        <f t="shared" si="137"/>
        <v>51.45</v>
      </c>
      <c r="E226" s="507">
        <f t="shared" si="130"/>
        <v>10.780000000000001</v>
      </c>
      <c r="F226" s="676">
        <f>'1.DATA KIA'!F255</f>
        <v>0</v>
      </c>
      <c r="G226" s="676"/>
      <c r="H226" s="676"/>
      <c r="I226" s="695"/>
      <c r="J226" s="695"/>
      <c r="K226" s="695"/>
      <c r="L226" s="695"/>
      <c r="M226" s="695"/>
      <c r="N226" s="695"/>
      <c r="O226" s="695"/>
      <c r="P226" s="695"/>
    </row>
    <row r="227" spans="1:16" x14ac:dyDescent="0.35">
      <c r="A227" s="507">
        <v>10</v>
      </c>
      <c r="B227" s="507">
        <f>PETUNJUK!B228</f>
        <v>0</v>
      </c>
      <c r="C227" s="346">
        <f t="shared" ref="C227:D227" si="138">C197</f>
        <v>50.6</v>
      </c>
      <c r="D227" s="346">
        <f t="shared" si="138"/>
        <v>48.300000000000004</v>
      </c>
      <c r="E227" s="507">
        <f t="shared" si="130"/>
        <v>10.120000000000001</v>
      </c>
      <c r="F227" s="676">
        <f>'1.DATA KIA'!F256</f>
        <v>0</v>
      </c>
      <c r="G227" s="676"/>
      <c r="H227" s="676"/>
      <c r="I227" s="695"/>
      <c r="J227" s="695"/>
      <c r="K227" s="695"/>
      <c r="L227" s="695"/>
      <c r="M227" s="695"/>
      <c r="N227" s="695"/>
      <c r="O227" s="695"/>
      <c r="P227" s="695"/>
    </row>
    <row r="228" spans="1:16" x14ac:dyDescent="0.35">
      <c r="A228" s="507">
        <v>11</v>
      </c>
      <c r="B228" s="507">
        <f>PETUNJUK!B229</f>
        <v>0</v>
      </c>
      <c r="C228" s="346">
        <f t="shared" ref="C228:D228" si="139">C198</f>
        <v>117.7</v>
      </c>
      <c r="D228" s="346">
        <f t="shared" si="139"/>
        <v>112.35000000000001</v>
      </c>
      <c r="E228" s="507">
        <f t="shared" si="130"/>
        <v>23.540000000000003</v>
      </c>
      <c r="F228" s="676">
        <f>'1.DATA KIA'!F257</f>
        <v>0</v>
      </c>
      <c r="G228" s="676"/>
      <c r="H228" s="676"/>
      <c r="I228" s="695"/>
      <c r="J228" s="695"/>
      <c r="K228" s="695"/>
      <c r="L228" s="695"/>
      <c r="M228" s="695"/>
      <c r="N228" s="695"/>
      <c r="O228" s="695"/>
      <c r="P228" s="695"/>
    </row>
    <row r="229" spans="1:16" x14ac:dyDescent="0.35">
      <c r="A229" s="507">
        <v>12</v>
      </c>
      <c r="B229" s="507">
        <f>PETUNJUK!B230</f>
        <v>0</v>
      </c>
      <c r="C229" s="346">
        <f t="shared" ref="C229:D229" si="140">C199</f>
        <v>23.1</v>
      </c>
      <c r="D229" s="346">
        <f t="shared" si="140"/>
        <v>22.05</v>
      </c>
      <c r="E229" s="507">
        <f t="shared" si="130"/>
        <v>4.62</v>
      </c>
      <c r="F229" s="676">
        <f>'1.DATA KIA'!F258</f>
        <v>0</v>
      </c>
      <c r="G229" s="676"/>
      <c r="H229" s="676"/>
      <c r="I229" s="695"/>
      <c r="J229" s="695"/>
      <c r="K229" s="695"/>
      <c r="L229" s="695"/>
      <c r="M229" s="695"/>
      <c r="N229" s="695"/>
      <c r="O229" s="695"/>
      <c r="P229" s="695"/>
    </row>
    <row r="230" spans="1:16" x14ac:dyDescent="0.35">
      <c r="A230" s="507">
        <v>13</v>
      </c>
      <c r="B230" s="507">
        <f>PETUNJUK!B231</f>
        <v>0</v>
      </c>
      <c r="C230" s="346">
        <f t="shared" ref="C230:D230" si="141">C200</f>
        <v>0</v>
      </c>
      <c r="D230" s="346">
        <f t="shared" si="141"/>
        <v>0</v>
      </c>
      <c r="E230" s="507">
        <f t="shared" si="130"/>
        <v>0</v>
      </c>
      <c r="F230" s="676">
        <f>'1.DATA KIA'!F259</f>
        <v>0</v>
      </c>
      <c r="G230" s="676"/>
      <c r="H230" s="676"/>
      <c r="I230" s="695"/>
      <c r="J230" s="695"/>
      <c r="K230" s="695"/>
      <c r="L230" s="695"/>
      <c r="M230" s="695"/>
      <c r="N230" s="695"/>
      <c r="O230" s="695"/>
      <c r="P230" s="695"/>
    </row>
    <row r="231" spans="1:16" x14ac:dyDescent="0.35">
      <c r="A231" s="507">
        <v>14</v>
      </c>
      <c r="B231" s="507">
        <f>PETUNJUK!B232</f>
        <v>0</v>
      </c>
      <c r="C231" s="346">
        <f t="shared" ref="C231:D231" si="142">C201</f>
        <v>0</v>
      </c>
      <c r="D231" s="346">
        <f t="shared" si="142"/>
        <v>0</v>
      </c>
      <c r="E231" s="507">
        <f t="shared" si="130"/>
        <v>0</v>
      </c>
      <c r="F231" s="676">
        <f>'1.DATA KIA'!F260</f>
        <v>0</v>
      </c>
      <c r="G231" s="676"/>
      <c r="H231" s="676"/>
      <c r="I231" s="695"/>
      <c r="J231" s="695"/>
      <c r="K231" s="695"/>
      <c r="L231" s="695"/>
      <c r="M231" s="695"/>
      <c r="N231" s="695"/>
      <c r="O231" s="695"/>
      <c r="P231" s="695"/>
    </row>
    <row r="232" spans="1:16" x14ac:dyDescent="0.35">
      <c r="A232" s="507">
        <v>15</v>
      </c>
      <c r="B232" s="507">
        <f>PETUNJUK!B233</f>
        <v>0</v>
      </c>
      <c r="C232" s="346">
        <f t="shared" ref="C232:D232" si="143">C202</f>
        <v>0</v>
      </c>
      <c r="D232" s="346">
        <f t="shared" si="143"/>
        <v>0</v>
      </c>
      <c r="E232" s="507">
        <f t="shared" si="130"/>
        <v>0</v>
      </c>
      <c r="F232" s="676">
        <f>'1.DATA KIA'!F261</f>
        <v>0</v>
      </c>
      <c r="G232" s="676"/>
      <c r="H232" s="676"/>
      <c r="I232" s="695"/>
      <c r="J232" s="695"/>
      <c r="K232" s="695"/>
      <c r="L232" s="695"/>
      <c r="M232" s="695"/>
      <c r="N232" s="695"/>
      <c r="O232" s="695"/>
      <c r="P232" s="695"/>
    </row>
    <row r="233" spans="1:16" x14ac:dyDescent="0.35">
      <c r="A233" s="507">
        <v>16</v>
      </c>
      <c r="B233" s="507">
        <f>PETUNJUK!B234</f>
        <v>0</v>
      </c>
      <c r="C233" s="346">
        <f t="shared" ref="C233:D233" si="144">C203</f>
        <v>0</v>
      </c>
      <c r="D233" s="346">
        <f t="shared" si="144"/>
        <v>0</v>
      </c>
      <c r="E233" s="507">
        <f t="shared" si="130"/>
        <v>0</v>
      </c>
      <c r="F233" s="676">
        <f>'1.DATA KIA'!F262</f>
        <v>0</v>
      </c>
      <c r="G233" s="676"/>
      <c r="H233" s="676"/>
      <c r="I233" s="695"/>
      <c r="J233" s="695"/>
      <c r="K233" s="695"/>
      <c r="L233" s="695"/>
      <c r="M233" s="695"/>
      <c r="N233" s="695"/>
      <c r="O233" s="695"/>
      <c r="P233" s="695"/>
    </row>
    <row r="234" spans="1:16" x14ac:dyDescent="0.35">
      <c r="A234" s="507">
        <v>17</v>
      </c>
      <c r="B234" s="507">
        <f>PETUNJUK!B235</f>
        <v>0</v>
      </c>
      <c r="C234" s="346">
        <f t="shared" ref="C234:D234" si="145">C204</f>
        <v>0</v>
      </c>
      <c r="D234" s="346">
        <f t="shared" si="145"/>
        <v>0</v>
      </c>
      <c r="E234" s="507">
        <f t="shared" si="130"/>
        <v>0</v>
      </c>
      <c r="F234" s="676">
        <f>'1.DATA KIA'!F263</f>
        <v>0</v>
      </c>
      <c r="G234" s="676"/>
      <c r="H234" s="676"/>
      <c r="I234" s="695"/>
      <c r="J234" s="695"/>
      <c r="K234" s="695"/>
      <c r="L234" s="695"/>
      <c r="M234" s="695"/>
      <c r="N234" s="695"/>
      <c r="O234" s="695"/>
      <c r="P234" s="695"/>
    </row>
    <row r="235" spans="1:16" x14ac:dyDescent="0.35">
      <c r="A235" s="507">
        <v>18</v>
      </c>
      <c r="B235" s="507">
        <f>PETUNJUK!B236</f>
        <v>0</v>
      </c>
      <c r="C235" s="346">
        <f t="shared" ref="C235:D235" si="146">C205</f>
        <v>0</v>
      </c>
      <c r="D235" s="346">
        <f t="shared" si="146"/>
        <v>0</v>
      </c>
      <c r="E235" s="507">
        <f t="shared" si="130"/>
        <v>0</v>
      </c>
      <c r="F235" s="676">
        <f>'1.DATA KIA'!F264</f>
        <v>0</v>
      </c>
      <c r="G235" s="676"/>
      <c r="H235" s="676"/>
      <c r="I235" s="695"/>
      <c r="J235" s="695"/>
      <c r="K235" s="695"/>
      <c r="L235" s="695"/>
      <c r="M235" s="695"/>
      <c r="N235" s="695"/>
      <c r="O235" s="695"/>
      <c r="P235" s="695"/>
    </row>
    <row r="236" spans="1:16" x14ac:dyDescent="0.35">
      <c r="A236" s="507">
        <v>19</v>
      </c>
      <c r="B236" s="507">
        <f>PETUNJUK!B237</f>
        <v>0</v>
      </c>
      <c r="C236" s="346">
        <f t="shared" ref="C236:D236" si="147">C206</f>
        <v>0</v>
      </c>
      <c r="D236" s="346">
        <f t="shared" si="147"/>
        <v>0</v>
      </c>
      <c r="E236" s="507">
        <f t="shared" si="130"/>
        <v>0</v>
      </c>
      <c r="F236" s="676">
        <f>'1.DATA KIA'!F265</f>
        <v>0</v>
      </c>
      <c r="G236" s="676"/>
      <c r="H236" s="676"/>
      <c r="I236" s="695"/>
      <c r="J236" s="695"/>
      <c r="K236" s="695"/>
      <c r="L236" s="695"/>
      <c r="M236" s="695"/>
      <c r="N236" s="695"/>
      <c r="O236" s="695"/>
      <c r="P236" s="695"/>
    </row>
    <row r="237" spans="1:16" x14ac:dyDescent="0.35">
      <c r="A237" s="507">
        <v>20</v>
      </c>
      <c r="B237" s="507">
        <f>PETUNJUK!B238</f>
        <v>0</v>
      </c>
      <c r="C237" s="346">
        <f t="shared" ref="C237:D237" si="148">C207</f>
        <v>0</v>
      </c>
      <c r="D237" s="346">
        <f t="shared" si="148"/>
        <v>0</v>
      </c>
      <c r="E237" s="507">
        <f t="shared" si="130"/>
        <v>0</v>
      </c>
      <c r="F237" s="676">
        <f>'1.DATA KIA'!F266</f>
        <v>0</v>
      </c>
      <c r="G237" s="676"/>
      <c r="H237" s="676"/>
      <c r="I237" s="695"/>
      <c r="J237" s="695"/>
      <c r="K237" s="695"/>
      <c r="L237" s="695"/>
      <c r="M237" s="695"/>
      <c r="N237" s="695"/>
      <c r="O237" s="695"/>
      <c r="P237" s="695"/>
    </row>
    <row r="238" spans="1:16" x14ac:dyDescent="0.35">
      <c r="A238" s="507">
        <v>21</v>
      </c>
      <c r="B238" s="507">
        <f>PETUNJUK!B239</f>
        <v>0</v>
      </c>
      <c r="C238" s="346">
        <f t="shared" ref="C238:D238" si="149">C208</f>
        <v>0</v>
      </c>
      <c r="D238" s="346">
        <f t="shared" si="149"/>
        <v>0</v>
      </c>
      <c r="E238" s="507">
        <f t="shared" si="130"/>
        <v>0</v>
      </c>
      <c r="F238" s="676">
        <f>'1.DATA KIA'!F267</f>
        <v>0</v>
      </c>
      <c r="G238" s="676"/>
      <c r="H238" s="676"/>
      <c r="I238" s="695"/>
      <c r="J238" s="695"/>
      <c r="K238" s="695"/>
      <c r="L238" s="695"/>
      <c r="M238" s="695"/>
      <c r="N238" s="695"/>
      <c r="O238" s="695"/>
      <c r="P238" s="695"/>
    </row>
    <row r="239" spans="1:16" x14ac:dyDescent="0.35">
      <c r="A239" s="512">
        <v>22</v>
      </c>
      <c r="B239" s="512">
        <f>PETUNJUK!B240</f>
        <v>0</v>
      </c>
      <c r="C239" s="346">
        <f t="shared" ref="C239:D239" si="150">C209</f>
        <v>0</v>
      </c>
      <c r="D239" s="346">
        <f t="shared" si="150"/>
        <v>0</v>
      </c>
      <c r="E239" s="512">
        <f t="shared" si="130"/>
        <v>0</v>
      </c>
      <c r="F239" s="676">
        <f>'1.DATA KIA'!F268</f>
        <v>0</v>
      </c>
      <c r="G239" s="512"/>
      <c r="H239" s="512"/>
      <c r="I239" s="696"/>
      <c r="J239" s="696"/>
      <c r="K239" s="696"/>
      <c r="L239" s="696"/>
      <c r="M239" s="696"/>
      <c r="N239" s="696"/>
      <c r="O239" s="696"/>
      <c r="P239" s="696"/>
    </row>
    <row r="240" spans="1:16" x14ac:dyDescent="0.35">
      <c r="A240" s="1030" t="s">
        <v>18</v>
      </c>
      <c r="B240" s="1030"/>
      <c r="C240" s="688">
        <f>SUM(C218:C239)</f>
        <v>1067</v>
      </c>
      <c r="D240" s="688">
        <f t="shared" ref="D240:P240" si="151">SUM(D218:D239)</f>
        <v>1018.5</v>
      </c>
      <c r="E240" s="688">
        <f t="shared" si="151"/>
        <v>213.40000000000003</v>
      </c>
      <c r="F240" s="688">
        <f t="shared" si="151"/>
        <v>0</v>
      </c>
      <c r="G240" s="688">
        <f t="shared" si="151"/>
        <v>0</v>
      </c>
      <c r="H240" s="688">
        <f t="shared" si="151"/>
        <v>0</v>
      </c>
      <c r="I240" s="688">
        <f t="shared" si="151"/>
        <v>0</v>
      </c>
      <c r="J240" s="688">
        <f t="shared" si="151"/>
        <v>0</v>
      </c>
      <c r="K240" s="688">
        <f t="shared" si="151"/>
        <v>0</v>
      </c>
      <c r="L240" s="688">
        <f t="shared" si="151"/>
        <v>0</v>
      </c>
      <c r="M240" s="688">
        <f t="shared" si="151"/>
        <v>0</v>
      </c>
      <c r="N240" s="688">
        <f t="shared" si="151"/>
        <v>0</v>
      </c>
      <c r="O240" s="688">
        <f t="shared" si="151"/>
        <v>0</v>
      </c>
      <c r="P240" s="688">
        <f t="shared" si="151"/>
        <v>0</v>
      </c>
    </row>
    <row r="242" spans="1:16" s="693" customFormat="1" x14ac:dyDescent="0.35">
      <c r="A242" s="1029" t="s">
        <v>426</v>
      </c>
      <c r="B242" s="1029"/>
      <c r="C242" s="691">
        <f>PETUNJUK!C245</f>
        <v>0</v>
      </c>
      <c r="D242" s="690"/>
      <c r="E242" s="690"/>
      <c r="F242" s="690"/>
      <c r="G242" s="690"/>
      <c r="H242" s="690"/>
      <c r="I242" s="690"/>
      <c r="J242" s="690"/>
      <c r="K242" s="690"/>
      <c r="L242" s="690"/>
      <c r="M242" s="690"/>
      <c r="N242" s="690"/>
      <c r="O242" s="690"/>
      <c r="P242" s="690"/>
    </row>
    <row r="243" spans="1:16" s="693" customFormat="1" x14ac:dyDescent="0.35">
      <c r="A243" s="1029" t="s">
        <v>0</v>
      </c>
      <c r="B243" s="1029"/>
      <c r="C243" s="1031" t="s">
        <v>144</v>
      </c>
      <c r="D243" s="1031"/>
      <c r="E243" s="690"/>
      <c r="F243" s="690"/>
      <c r="G243" s="690"/>
      <c r="H243" s="690"/>
      <c r="I243" s="690"/>
      <c r="J243" s="690"/>
      <c r="K243" s="690"/>
      <c r="L243" s="690"/>
      <c r="M243" s="690"/>
      <c r="N243" s="690"/>
      <c r="O243" s="690"/>
      <c r="P243" s="690"/>
    </row>
    <row r="245" spans="1:16" x14ac:dyDescent="0.35">
      <c r="A245" s="754" t="s">
        <v>1</v>
      </c>
      <c r="B245" s="754" t="s">
        <v>2</v>
      </c>
      <c r="C245" s="754" t="s">
        <v>174</v>
      </c>
      <c r="D245" s="754"/>
      <c r="E245" s="754"/>
      <c r="F245" s="1024" t="s">
        <v>440</v>
      </c>
      <c r="G245" s="1024" t="s">
        <v>441</v>
      </c>
      <c r="H245" s="1024" t="s">
        <v>444</v>
      </c>
      <c r="I245" s="964" t="s">
        <v>427</v>
      </c>
      <c r="J245" s="964" t="s">
        <v>428</v>
      </c>
      <c r="K245" s="964" t="s">
        <v>429</v>
      </c>
      <c r="L245" s="964" t="s">
        <v>430</v>
      </c>
      <c r="M245" s="964" t="s">
        <v>432</v>
      </c>
      <c r="N245" s="964" t="s">
        <v>431</v>
      </c>
      <c r="O245" s="1032" t="s">
        <v>433</v>
      </c>
      <c r="P245" s="1032" t="s">
        <v>434</v>
      </c>
    </row>
    <row r="246" spans="1:16" ht="14.5" x14ac:dyDescent="0.35">
      <c r="A246" s="754"/>
      <c r="B246" s="754"/>
      <c r="C246" s="732" t="s">
        <v>5</v>
      </c>
      <c r="D246" s="732" t="s">
        <v>6</v>
      </c>
      <c r="E246" s="732" t="s">
        <v>133</v>
      </c>
      <c r="F246" s="1025"/>
      <c r="G246" s="1027"/>
      <c r="H246" s="1025"/>
      <c r="I246" s="1033"/>
      <c r="J246" s="1033"/>
      <c r="K246" s="1033"/>
      <c r="L246" s="1033"/>
      <c r="M246" s="1033"/>
      <c r="N246" s="964"/>
      <c r="O246" s="962"/>
      <c r="P246" s="962"/>
    </row>
    <row r="247" spans="1:16" ht="74.5" customHeight="1" x14ac:dyDescent="0.35">
      <c r="A247" s="754"/>
      <c r="B247" s="754"/>
      <c r="C247" s="732"/>
      <c r="D247" s="732"/>
      <c r="E247" s="732"/>
      <c r="F247" s="1026"/>
      <c r="G247" s="1028"/>
      <c r="H247" s="1026"/>
      <c r="I247" s="1033"/>
      <c r="J247" s="1033"/>
      <c r="K247" s="1033"/>
      <c r="L247" s="1033"/>
      <c r="M247" s="1033"/>
      <c r="N247" s="964"/>
      <c r="O247" s="963"/>
      <c r="P247" s="963"/>
    </row>
    <row r="248" spans="1:16" x14ac:dyDescent="0.35">
      <c r="A248" s="507">
        <v>1</v>
      </c>
      <c r="B248" s="507">
        <f>PETUNJUK!B249</f>
        <v>0</v>
      </c>
      <c r="C248" s="346">
        <f>SUM(C218)</f>
        <v>101.2</v>
      </c>
      <c r="D248" s="346">
        <f>SUM(D218)</f>
        <v>96.600000000000009</v>
      </c>
      <c r="E248" s="507">
        <f>C248*20%</f>
        <v>20.240000000000002</v>
      </c>
      <c r="F248" s="676">
        <f>'1.DATA KIA'!F281</f>
        <v>0</v>
      </c>
      <c r="G248" s="676"/>
      <c r="H248" s="676"/>
      <c r="I248" s="695"/>
      <c r="J248" s="695"/>
      <c r="K248" s="695"/>
      <c r="L248" s="695"/>
      <c r="M248" s="695"/>
      <c r="N248" s="695"/>
      <c r="O248" s="695"/>
      <c r="P248" s="695"/>
    </row>
    <row r="249" spans="1:16" x14ac:dyDescent="0.35">
      <c r="A249" s="507">
        <v>2</v>
      </c>
      <c r="B249" s="507">
        <f>PETUNJUK!B250</f>
        <v>0</v>
      </c>
      <c r="C249" s="346">
        <f t="shared" ref="C249:D249" si="152">SUM(C219)</f>
        <v>111.10000000000001</v>
      </c>
      <c r="D249" s="346">
        <f t="shared" si="152"/>
        <v>106.05000000000001</v>
      </c>
      <c r="E249" s="507">
        <f t="shared" ref="E249:E269" si="153">C249*20%</f>
        <v>22.220000000000002</v>
      </c>
      <c r="F249" s="676">
        <f>'1.DATA KIA'!F282</f>
        <v>0</v>
      </c>
      <c r="G249" s="676"/>
      <c r="H249" s="676"/>
      <c r="I249" s="695"/>
      <c r="J249" s="695"/>
      <c r="K249" s="695"/>
      <c r="L249" s="695"/>
      <c r="M249" s="695"/>
      <c r="N249" s="695"/>
      <c r="O249" s="695"/>
      <c r="P249" s="695"/>
    </row>
    <row r="250" spans="1:16" x14ac:dyDescent="0.35">
      <c r="A250" s="507">
        <v>3</v>
      </c>
      <c r="B250" s="507">
        <f>PETUNJUK!B251</f>
        <v>0</v>
      </c>
      <c r="C250" s="346">
        <f t="shared" ref="C250:D250" si="154">SUM(C220)</f>
        <v>205.70000000000002</v>
      </c>
      <c r="D250" s="346">
        <f t="shared" si="154"/>
        <v>196.35</v>
      </c>
      <c r="E250" s="507">
        <f t="shared" si="153"/>
        <v>41.140000000000008</v>
      </c>
      <c r="F250" s="676">
        <f>'1.DATA KIA'!F283</f>
        <v>0</v>
      </c>
      <c r="G250" s="676"/>
      <c r="H250" s="676"/>
      <c r="I250" s="695"/>
      <c r="J250" s="695"/>
      <c r="K250" s="695"/>
      <c r="L250" s="695"/>
      <c r="M250" s="695"/>
      <c r="N250" s="695"/>
      <c r="O250" s="695"/>
      <c r="P250" s="695"/>
    </row>
    <row r="251" spans="1:16" x14ac:dyDescent="0.35">
      <c r="A251" s="507">
        <v>4</v>
      </c>
      <c r="B251" s="507">
        <f>PETUNJUK!B252</f>
        <v>0</v>
      </c>
      <c r="C251" s="346">
        <f t="shared" ref="C251:D251" si="155">SUM(C221)</f>
        <v>95.7</v>
      </c>
      <c r="D251" s="346">
        <f t="shared" si="155"/>
        <v>91.350000000000009</v>
      </c>
      <c r="E251" s="507">
        <f t="shared" si="153"/>
        <v>19.14</v>
      </c>
      <c r="F251" s="676">
        <f>'1.DATA KIA'!F284</f>
        <v>0</v>
      </c>
      <c r="G251" s="676"/>
      <c r="H251" s="676"/>
      <c r="I251" s="695"/>
      <c r="J251" s="695"/>
      <c r="K251" s="695"/>
      <c r="L251" s="695"/>
      <c r="M251" s="695"/>
      <c r="N251" s="695"/>
      <c r="O251" s="695"/>
      <c r="P251" s="695"/>
    </row>
    <row r="252" spans="1:16" x14ac:dyDescent="0.35">
      <c r="A252" s="507">
        <v>5</v>
      </c>
      <c r="B252" s="507">
        <f>PETUNJUK!B253</f>
        <v>0</v>
      </c>
      <c r="C252" s="346">
        <f t="shared" ref="C252:D252" si="156">SUM(C222)</f>
        <v>85.800000000000011</v>
      </c>
      <c r="D252" s="346">
        <f t="shared" si="156"/>
        <v>81.900000000000006</v>
      </c>
      <c r="E252" s="507">
        <f t="shared" si="153"/>
        <v>17.160000000000004</v>
      </c>
      <c r="F252" s="676">
        <f>'1.DATA KIA'!F285</f>
        <v>0</v>
      </c>
      <c r="G252" s="676"/>
      <c r="H252" s="676"/>
      <c r="I252" s="695"/>
      <c r="J252" s="695"/>
      <c r="K252" s="695"/>
      <c r="L252" s="695"/>
      <c r="M252" s="695"/>
      <c r="N252" s="695"/>
      <c r="O252" s="695"/>
      <c r="P252" s="695"/>
    </row>
    <row r="253" spans="1:16" x14ac:dyDescent="0.35">
      <c r="A253" s="507">
        <v>6</v>
      </c>
      <c r="B253" s="507">
        <f>PETUNJUK!B254</f>
        <v>0</v>
      </c>
      <c r="C253" s="346">
        <f t="shared" ref="C253:D253" si="157">SUM(C223)</f>
        <v>82.5</v>
      </c>
      <c r="D253" s="346">
        <f t="shared" si="157"/>
        <v>78.75</v>
      </c>
      <c r="E253" s="507">
        <f t="shared" si="153"/>
        <v>16.5</v>
      </c>
      <c r="F253" s="676">
        <f>'1.DATA KIA'!F286</f>
        <v>0</v>
      </c>
      <c r="G253" s="676"/>
      <c r="H253" s="676"/>
      <c r="I253" s="695"/>
      <c r="J253" s="695"/>
      <c r="K253" s="695"/>
      <c r="L253" s="695"/>
      <c r="M253" s="695"/>
      <c r="N253" s="695"/>
      <c r="O253" s="695"/>
      <c r="P253" s="695"/>
    </row>
    <row r="254" spans="1:16" x14ac:dyDescent="0.35">
      <c r="A254" s="507">
        <v>7</v>
      </c>
      <c r="B254" s="507">
        <f>PETUNJUK!B255</f>
        <v>0</v>
      </c>
      <c r="C254" s="346">
        <f t="shared" ref="C254:D254" si="158">SUM(C224)</f>
        <v>93.500000000000014</v>
      </c>
      <c r="D254" s="346">
        <f t="shared" si="158"/>
        <v>89.25</v>
      </c>
      <c r="E254" s="507">
        <f t="shared" si="153"/>
        <v>18.700000000000003</v>
      </c>
      <c r="F254" s="676">
        <f>'1.DATA KIA'!F287</f>
        <v>0</v>
      </c>
      <c r="G254" s="676"/>
      <c r="H254" s="676"/>
      <c r="I254" s="695"/>
      <c r="J254" s="695"/>
      <c r="K254" s="695"/>
      <c r="L254" s="695"/>
      <c r="M254" s="695"/>
      <c r="N254" s="695"/>
      <c r="O254" s="695"/>
      <c r="P254" s="695"/>
    </row>
    <row r="255" spans="1:16" x14ac:dyDescent="0.35">
      <c r="A255" s="507">
        <v>8</v>
      </c>
      <c r="B255" s="507">
        <f>PETUNJUK!B256</f>
        <v>0</v>
      </c>
      <c r="C255" s="346">
        <f t="shared" ref="C255:D255" si="159">SUM(C225)</f>
        <v>46.2</v>
      </c>
      <c r="D255" s="346">
        <f t="shared" si="159"/>
        <v>44.1</v>
      </c>
      <c r="E255" s="507">
        <f t="shared" si="153"/>
        <v>9.24</v>
      </c>
      <c r="F255" s="676">
        <f>'1.DATA KIA'!F288</f>
        <v>0</v>
      </c>
      <c r="G255" s="676"/>
      <c r="H255" s="676"/>
      <c r="I255" s="695"/>
      <c r="J255" s="695"/>
      <c r="K255" s="695"/>
      <c r="L255" s="695"/>
      <c r="M255" s="695"/>
      <c r="N255" s="695"/>
      <c r="O255" s="695"/>
      <c r="P255" s="695"/>
    </row>
    <row r="256" spans="1:16" x14ac:dyDescent="0.35">
      <c r="A256" s="507">
        <v>9</v>
      </c>
      <c r="B256" s="507">
        <f>PETUNJUK!B257</f>
        <v>0</v>
      </c>
      <c r="C256" s="346">
        <f t="shared" ref="C256:D256" si="160">SUM(C226)</f>
        <v>53.900000000000006</v>
      </c>
      <c r="D256" s="346">
        <f t="shared" si="160"/>
        <v>51.45</v>
      </c>
      <c r="E256" s="507">
        <f t="shared" si="153"/>
        <v>10.780000000000001</v>
      </c>
      <c r="F256" s="676">
        <f>'1.DATA KIA'!F289</f>
        <v>0</v>
      </c>
      <c r="G256" s="676"/>
      <c r="H256" s="676"/>
      <c r="I256" s="695"/>
      <c r="J256" s="695"/>
      <c r="K256" s="695"/>
      <c r="L256" s="695"/>
      <c r="M256" s="695"/>
      <c r="N256" s="695"/>
      <c r="O256" s="695"/>
      <c r="P256" s="695"/>
    </row>
    <row r="257" spans="1:16" x14ac:dyDescent="0.35">
      <c r="A257" s="507">
        <v>10</v>
      </c>
      <c r="B257" s="507">
        <f>PETUNJUK!B258</f>
        <v>0</v>
      </c>
      <c r="C257" s="346">
        <f t="shared" ref="C257:D257" si="161">SUM(C227)</f>
        <v>50.6</v>
      </c>
      <c r="D257" s="346">
        <f t="shared" si="161"/>
        <v>48.300000000000004</v>
      </c>
      <c r="E257" s="507">
        <f t="shared" si="153"/>
        <v>10.120000000000001</v>
      </c>
      <c r="F257" s="676">
        <f>'1.DATA KIA'!F290</f>
        <v>0</v>
      </c>
      <c r="G257" s="676"/>
      <c r="H257" s="676"/>
      <c r="I257" s="695"/>
      <c r="J257" s="695"/>
      <c r="K257" s="695"/>
      <c r="L257" s="695"/>
      <c r="M257" s="695"/>
      <c r="N257" s="695"/>
      <c r="O257" s="695"/>
      <c r="P257" s="695"/>
    </row>
    <row r="258" spans="1:16" x14ac:dyDescent="0.35">
      <c r="A258" s="507">
        <v>11</v>
      </c>
      <c r="B258" s="507">
        <f>PETUNJUK!B259</f>
        <v>0</v>
      </c>
      <c r="C258" s="346">
        <f t="shared" ref="C258:D258" si="162">SUM(C228)</f>
        <v>117.7</v>
      </c>
      <c r="D258" s="346">
        <f t="shared" si="162"/>
        <v>112.35000000000001</v>
      </c>
      <c r="E258" s="507">
        <f t="shared" si="153"/>
        <v>23.540000000000003</v>
      </c>
      <c r="F258" s="676">
        <f>'1.DATA KIA'!F291</f>
        <v>0</v>
      </c>
      <c r="G258" s="676"/>
      <c r="H258" s="676"/>
      <c r="I258" s="695"/>
      <c r="J258" s="695"/>
      <c r="K258" s="695"/>
      <c r="L258" s="695"/>
      <c r="M258" s="695"/>
      <c r="N258" s="695"/>
      <c r="O258" s="695"/>
      <c r="P258" s="695"/>
    </row>
    <row r="259" spans="1:16" x14ac:dyDescent="0.35">
      <c r="A259" s="507">
        <v>12</v>
      </c>
      <c r="B259" s="507">
        <f>PETUNJUK!B260</f>
        <v>0</v>
      </c>
      <c r="C259" s="346">
        <f t="shared" ref="C259:D259" si="163">SUM(C229)</f>
        <v>23.1</v>
      </c>
      <c r="D259" s="346">
        <f t="shared" si="163"/>
        <v>22.05</v>
      </c>
      <c r="E259" s="507">
        <f t="shared" si="153"/>
        <v>4.62</v>
      </c>
      <c r="F259" s="676">
        <f>'1.DATA KIA'!F292</f>
        <v>0</v>
      </c>
      <c r="G259" s="676"/>
      <c r="H259" s="676"/>
      <c r="I259" s="695"/>
      <c r="J259" s="695"/>
      <c r="K259" s="695"/>
      <c r="L259" s="695"/>
      <c r="M259" s="695"/>
      <c r="N259" s="695"/>
      <c r="O259" s="695"/>
      <c r="P259" s="695"/>
    </row>
    <row r="260" spans="1:16" x14ac:dyDescent="0.35">
      <c r="A260" s="507">
        <v>13</v>
      </c>
      <c r="B260" s="507">
        <f>PETUNJUK!B261</f>
        <v>0</v>
      </c>
      <c r="C260" s="346">
        <f t="shared" ref="C260:D260" si="164">SUM(C230)</f>
        <v>0</v>
      </c>
      <c r="D260" s="346">
        <f t="shared" si="164"/>
        <v>0</v>
      </c>
      <c r="E260" s="507">
        <f t="shared" si="153"/>
        <v>0</v>
      </c>
      <c r="F260" s="676">
        <f>'1.DATA KIA'!F293</f>
        <v>0</v>
      </c>
      <c r="G260" s="676"/>
      <c r="H260" s="676"/>
      <c r="I260" s="695"/>
      <c r="J260" s="695"/>
      <c r="K260" s="695"/>
      <c r="L260" s="695"/>
      <c r="M260" s="695"/>
      <c r="N260" s="695"/>
      <c r="O260" s="695"/>
      <c r="P260" s="695"/>
    </row>
    <row r="261" spans="1:16" x14ac:dyDescent="0.35">
      <c r="A261" s="507">
        <v>14</v>
      </c>
      <c r="B261" s="507">
        <f>PETUNJUK!B262</f>
        <v>0</v>
      </c>
      <c r="C261" s="346">
        <f t="shared" ref="C261:D261" si="165">SUM(C231)</f>
        <v>0</v>
      </c>
      <c r="D261" s="346">
        <f t="shared" si="165"/>
        <v>0</v>
      </c>
      <c r="E261" s="507">
        <f t="shared" si="153"/>
        <v>0</v>
      </c>
      <c r="F261" s="676">
        <f>'1.DATA KIA'!F294</f>
        <v>0</v>
      </c>
      <c r="G261" s="676"/>
      <c r="H261" s="676"/>
      <c r="I261" s="695"/>
      <c r="J261" s="695"/>
      <c r="K261" s="695"/>
      <c r="L261" s="695"/>
      <c r="M261" s="695"/>
      <c r="N261" s="695"/>
      <c r="O261" s="695"/>
      <c r="P261" s="695"/>
    </row>
    <row r="262" spans="1:16" x14ac:dyDescent="0.35">
      <c r="A262" s="507">
        <v>15</v>
      </c>
      <c r="B262" s="507">
        <f>PETUNJUK!B263</f>
        <v>0</v>
      </c>
      <c r="C262" s="346">
        <f t="shared" ref="C262:D262" si="166">SUM(C232)</f>
        <v>0</v>
      </c>
      <c r="D262" s="346">
        <f t="shared" si="166"/>
        <v>0</v>
      </c>
      <c r="E262" s="507">
        <f t="shared" si="153"/>
        <v>0</v>
      </c>
      <c r="F262" s="676">
        <f>'1.DATA KIA'!F295</f>
        <v>0</v>
      </c>
      <c r="G262" s="676"/>
      <c r="H262" s="676"/>
      <c r="I262" s="695"/>
      <c r="J262" s="695"/>
      <c r="K262" s="695"/>
      <c r="L262" s="695"/>
      <c r="M262" s="695"/>
      <c r="N262" s="695"/>
      <c r="O262" s="695"/>
      <c r="P262" s="695"/>
    </row>
    <row r="263" spans="1:16" x14ac:dyDescent="0.35">
      <c r="A263" s="507">
        <v>16</v>
      </c>
      <c r="B263" s="507">
        <f>PETUNJUK!B264</f>
        <v>0</v>
      </c>
      <c r="C263" s="346">
        <f t="shared" ref="C263:D263" si="167">SUM(C233)</f>
        <v>0</v>
      </c>
      <c r="D263" s="346">
        <f t="shared" si="167"/>
        <v>0</v>
      </c>
      <c r="E263" s="507">
        <f t="shared" si="153"/>
        <v>0</v>
      </c>
      <c r="F263" s="676">
        <f>'1.DATA KIA'!F296</f>
        <v>0</v>
      </c>
      <c r="G263" s="676"/>
      <c r="H263" s="676"/>
      <c r="I263" s="695"/>
      <c r="J263" s="695"/>
      <c r="K263" s="695"/>
      <c r="L263" s="695"/>
      <c r="M263" s="695"/>
      <c r="N263" s="695"/>
      <c r="O263" s="695"/>
      <c r="P263" s="695"/>
    </row>
    <row r="264" spans="1:16" x14ac:dyDescent="0.35">
      <c r="A264" s="507">
        <v>17</v>
      </c>
      <c r="B264" s="507">
        <f>PETUNJUK!B265</f>
        <v>0</v>
      </c>
      <c r="C264" s="346">
        <f t="shared" ref="C264:D264" si="168">SUM(C234)</f>
        <v>0</v>
      </c>
      <c r="D264" s="346">
        <f t="shared" si="168"/>
        <v>0</v>
      </c>
      <c r="E264" s="507">
        <f t="shared" si="153"/>
        <v>0</v>
      </c>
      <c r="F264" s="676">
        <f>'1.DATA KIA'!F297</f>
        <v>0</v>
      </c>
      <c r="G264" s="676"/>
      <c r="H264" s="676"/>
      <c r="I264" s="695"/>
      <c r="J264" s="695"/>
      <c r="K264" s="695"/>
      <c r="L264" s="695"/>
      <c r="M264" s="695"/>
      <c r="N264" s="695"/>
      <c r="O264" s="695"/>
      <c r="P264" s="695"/>
    </row>
    <row r="265" spans="1:16" x14ac:dyDescent="0.35">
      <c r="A265" s="507">
        <v>18</v>
      </c>
      <c r="B265" s="507">
        <f>PETUNJUK!B266</f>
        <v>0</v>
      </c>
      <c r="C265" s="346">
        <f t="shared" ref="C265:D265" si="169">SUM(C235)</f>
        <v>0</v>
      </c>
      <c r="D265" s="346">
        <f t="shared" si="169"/>
        <v>0</v>
      </c>
      <c r="E265" s="507">
        <f t="shared" si="153"/>
        <v>0</v>
      </c>
      <c r="F265" s="676">
        <f>'1.DATA KIA'!F298</f>
        <v>0</v>
      </c>
      <c r="G265" s="676"/>
      <c r="H265" s="676"/>
      <c r="I265" s="695"/>
      <c r="J265" s="695"/>
      <c r="K265" s="695"/>
      <c r="L265" s="695"/>
      <c r="M265" s="695"/>
      <c r="N265" s="695"/>
      <c r="O265" s="695"/>
      <c r="P265" s="695"/>
    </row>
    <row r="266" spans="1:16" x14ac:dyDescent="0.35">
      <c r="A266" s="507">
        <v>19</v>
      </c>
      <c r="B266" s="507">
        <f>PETUNJUK!B267</f>
        <v>0</v>
      </c>
      <c r="C266" s="346">
        <f t="shared" ref="C266:D266" si="170">SUM(C236)</f>
        <v>0</v>
      </c>
      <c r="D266" s="346">
        <f t="shared" si="170"/>
        <v>0</v>
      </c>
      <c r="E266" s="507">
        <f t="shared" si="153"/>
        <v>0</v>
      </c>
      <c r="F266" s="676">
        <f>'1.DATA KIA'!F299</f>
        <v>0</v>
      </c>
      <c r="G266" s="676"/>
      <c r="H266" s="676"/>
      <c r="I266" s="695"/>
      <c r="J266" s="695"/>
      <c r="K266" s="695"/>
      <c r="L266" s="695"/>
      <c r="M266" s="695"/>
      <c r="N266" s="695"/>
      <c r="O266" s="695"/>
      <c r="P266" s="695"/>
    </row>
    <row r="267" spans="1:16" x14ac:dyDescent="0.35">
      <c r="A267" s="507">
        <v>20</v>
      </c>
      <c r="B267" s="507">
        <f>PETUNJUK!B268</f>
        <v>0</v>
      </c>
      <c r="C267" s="346">
        <f t="shared" ref="C267:D267" si="171">SUM(C237)</f>
        <v>0</v>
      </c>
      <c r="D267" s="346">
        <f t="shared" si="171"/>
        <v>0</v>
      </c>
      <c r="E267" s="507">
        <f t="shared" si="153"/>
        <v>0</v>
      </c>
      <c r="F267" s="676">
        <f>'1.DATA KIA'!F300</f>
        <v>0</v>
      </c>
      <c r="G267" s="676"/>
      <c r="H267" s="676"/>
      <c r="I267" s="695"/>
      <c r="J267" s="695"/>
      <c r="K267" s="695"/>
      <c r="L267" s="695"/>
      <c r="M267" s="695"/>
      <c r="N267" s="695"/>
      <c r="O267" s="695"/>
      <c r="P267" s="695"/>
    </row>
    <row r="268" spans="1:16" x14ac:dyDescent="0.35">
      <c r="A268" s="507">
        <v>21</v>
      </c>
      <c r="B268" s="507">
        <f>PETUNJUK!B269</f>
        <v>0</v>
      </c>
      <c r="C268" s="346">
        <f t="shared" ref="C268:D268" si="172">SUM(C238)</f>
        <v>0</v>
      </c>
      <c r="D268" s="346">
        <f t="shared" si="172"/>
        <v>0</v>
      </c>
      <c r="E268" s="507">
        <f t="shared" si="153"/>
        <v>0</v>
      </c>
      <c r="F268" s="676">
        <f>'1.DATA KIA'!F301</f>
        <v>0</v>
      </c>
      <c r="G268" s="676"/>
      <c r="H268" s="676"/>
      <c r="I268" s="695"/>
      <c r="J268" s="695"/>
      <c r="K268" s="695"/>
      <c r="L268" s="695"/>
      <c r="M268" s="695"/>
      <c r="N268" s="695"/>
      <c r="O268" s="695"/>
      <c r="P268" s="695"/>
    </row>
    <row r="269" spans="1:16" x14ac:dyDescent="0.35">
      <c r="A269" s="512">
        <v>22</v>
      </c>
      <c r="B269" s="512">
        <f>PETUNJUK!B270</f>
        <v>0</v>
      </c>
      <c r="C269" s="346">
        <f t="shared" ref="C269:D269" si="173">SUM(C239)</f>
        <v>0</v>
      </c>
      <c r="D269" s="346">
        <f t="shared" si="173"/>
        <v>0</v>
      </c>
      <c r="E269" s="512">
        <f t="shared" si="153"/>
        <v>0</v>
      </c>
      <c r="F269" s="676">
        <f>'1.DATA KIA'!F302</f>
        <v>0</v>
      </c>
      <c r="G269" s="512"/>
      <c r="H269" s="512"/>
      <c r="I269" s="696"/>
      <c r="J269" s="696"/>
      <c r="K269" s="696"/>
      <c r="L269" s="696"/>
      <c r="M269" s="696"/>
      <c r="N269" s="696"/>
      <c r="O269" s="696"/>
      <c r="P269" s="696"/>
    </row>
    <row r="270" spans="1:16" x14ac:dyDescent="0.35">
      <c r="A270" s="1030" t="s">
        <v>18</v>
      </c>
      <c r="B270" s="1030"/>
      <c r="C270" s="688">
        <f>SUM(C248:C269)</f>
        <v>1067</v>
      </c>
      <c r="D270" s="688">
        <f t="shared" ref="D270:P270" si="174">SUM(D248:D269)</f>
        <v>1018.5</v>
      </c>
      <c r="E270" s="688">
        <f t="shared" si="174"/>
        <v>213.40000000000003</v>
      </c>
      <c r="F270" s="688">
        <f t="shared" si="174"/>
        <v>0</v>
      </c>
      <c r="G270" s="688">
        <f t="shared" si="174"/>
        <v>0</v>
      </c>
      <c r="H270" s="688">
        <f t="shared" si="174"/>
        <v>0</v>
      </c>
      <c r="I270" s="688">
        <f t="shared" si="174"/>
        <v>0</v>
      </c>
      <c r="J270" s="688">
        <f t="shared" si="174"/>
        <v>0</v>
      </c>
      <c r="K270" s="688">
        <f t="shared" si="174"/>
        <v>0</v>
      </c>
      <c r="L270" s="688">
        <f t="shared" si="174"/>
        <v>0</v>
      </c>
      <c r="M270" s="688">
        <f t="shared" si="174"/>
        <v>0</v>
      </c>
      <c r="N270" s="688">
        <f t="shared" si="174"/>
        <v>0</v>
      </c>
      <c r="O270" s="688">
        <f t="shared" si="174"/>
        <v>0</v>
      </c>
      <c r="P270" s="688">
        <f t="shared" si="174"/>
        <v>0</v>
      </c>
    </row>
    <row r="272" spans="1:16" s="693" customFormat="1" x14ac:dyDescent="0.35">
      <c r="A272" s="1029" t="s">
        <v>426</v>
      </c>
      <c r="B272" s="1029"/>
      <c r="C272" s="691">
        <f>PETUNJUK!C275</f>
        <v>0</v>
      </c>
      <c r="D272" s="690"/>
      <c r="E272" s="690"/>
      <c r="F272" s="690"/>
      <c r="G272" s="690"/>
      <c r="H272" s="690"/>
      <c r="I272" s="690"/>
      <c r="J272" s="690"/>
      <c r="K272" s="690"/>
      <c r="L272" s="690"/>
      <c r="M272" s="690"/>
      <c r="N272" s="690"/>
      <c r="O272" s="690"/>
      <c r="P272" s="690"/>
    </row>
    <row r="273" spans="1:16" s="693" customFormat="1" x14ac:dyDescent="0.35">
      <c r="A273" s="1029" t="s">
        <v>0</v>
      </c>
      <c r="B273" s="1029"/>
      <c r="C273" s="1031" t="s">
        <v>146</v>
      </c>
      <c r="D273" s="1031"/>
      <c r="E273" s="690"/>
      <c r="F273" s="690"/>
      <c r="G273" s="690"/>
      <c r="H273" s="690"/>
      <c r="I273" s="690"/>
      <c r="J273" s="690"/>
      <c r="K273" s="690"/>
      <c r="L273" s="690"/>
      <c r="M273" s="690"/>
      <c r="N273" s="690"/>
      <c r="O273" s="690"/>
      <c r="P273" s="690"/>
    </row>
    <row r="275" spans="1:16" x14ac:dyDescent="0.35">
      <c r="A275" s="754" t="s">
        <v>1</v>
      </c>
      <c r="B275" s="754" t="s">
        <v>2</v>
      </c>
      <c r="C275" s="754" t="s">
        <v>174</v>
      </c>
      <c r="D275" s="754"/>
      <c r="E275" s="754"/>
      <c r="F275" s="1024" t="s">
        <v>440</v>
      </c>
      <c r="G275" s="1024" t="s">
        <v>441</v>
      </c>
      <c r="H275" s="1024" t="s">
        <v>444</v>
      </c>
      <c r="I275" s="964" t="s">
        <v>427</v>
      </c>
      <c r="J275" s="964" t="s">
        <v>428</v>
      </c>
      <c r="K275" s="964" t="s">
        <v>429</v>
      </c>
      <c r="L275" s="964" t="s">
        <v>430</v>
      </c>
      <c r="M275" s="964" t="s">
        <v>432</v>
      </c>
      <c r="N275" s="964" t="s">
        <v>431</v>
      </c>
      <c r="O275" s="1032" t="s">
        <v>433</v>
      </c>
      <c r="P275" s="1032" t="s">
        <v>434</v>
      </c>
    </row>
    <row r="276" spans="1:16" ht="14.5" x14ac:dyDescent="0.35">
      <c r="A276" s="754"/>
      <c r="B276" s="754"/>
      <c r="C276" s="732" t="s">
        <v>5</v>
      </c>
      <c r="D276" s="732" t="s">
        <v>6</v>
      </c>
      <c r="E276" s="732" t="s">
        <v>133</v>
      </c>
      <c r="F276" s="1025"/>
      <c r="G276" s="1027"/>
      <c r="H276" s="1025"/>
      <c r="I276" s="1033"/>
      <c r="J276" s="1033"/>
      <c r="K276" s="1033"/>
      <c r="L276" s="1033"/>
      <c r="M276" s="1033"/>
      <c r="N276" s="964"/>
      <c r="O276" s="962"/>
      <c r="P276" s="962"/>
    </row>
    <row r="277" spans="1:16" ht="64" customHeight="1" x14ac:dyDescent="0.35">
      <c r="A277" s="754"/>
      <c r="B277" s="754"/>
      <c r="C277" s="732"/>
      <c r="D277" s="732"/>
      <c r="E277" s="732"/>
      <c r="F277" s="1026"/>
      <c r="G277" s="1028"/>
      <c r="H277" s="1026"/>
      <c r="I277" s="1033"/>
      <c r="J277" s="1033"/>
      <c r="K277" s="1033"/>
      <c r="L277" s="1033"/>
      <c r="M277" s="1033"/>
      <c r="N277" s="964"/>
      <c r="O277" s="963"/>
      <c r="P277" s="963"/>
    </row>
    <row r="278" spans="1:16" x14ac:dyDescent="0.35">
      <c r="A278" s="507">
        <v>1</v>
      </c>
      <c r="B278" s="507">
        <f>PETUNJUK!B279</f>
        <v>0</v>
      </c>
      <c r="C278" s="346">
        <f>C248</f>
        <v>101.2</v>
      </c>
      <c r="D278" s="346">
        <f>D248</f>
        <v>96.600000000000009</v>
      </c>
      <c r="E278" s="507">
        <f>C278*20%</f>
        <v>20.240000000000002</v>
      </c>
      <c r="F278" s="676">
        <f>'1.DATA KIA'!F315</f>
        <v>0</v>
      </c>
      <c r="G278" s="676"/>
      <c r="H278" s="676"/>
      <c r="I278" s="695"/>
      <c r="J278" s="695"/>
      <c r="K278" s="695"/>
      <c r="L278" s="695"/>
      <c r="M278" s="695"/>
      <c r="N278" s="695"/>
      <c r="O278" s="695"/>
      <c r="P278" s="695"/>
    </row>
    <row r="279" spans="1:16" x14ac:dyDescent="0.35">
      <c r="A279" s="507">
        <v>2</v>
      </c>
      <c r="B279" s="507">
        <f>PETUNJUK!B280</f>
        <v>0</v>
      </c>
      <c r="C279" s="346">
        <f t="shared" ref="C279:D279" si="175">C249</f>
        <v>111.10000000000001</v>
      </c>
      <c r="D279" s="346">
        <f t="shared" si="175"/>
        <v>106.05000000000001</v>
      </c>
      <c r="E279" s="507">
        <f t="shared" ref="E279:E299" si="176">C279*20%</f>
        <v>22.220000000000002</v>
      </c>
      <c r="F279" s="676">
        <f>'1.DATA KIA'!F316</f>
        <v>0</v>
      </c>
      <c r="G279" s="676"/>
      <c r="H279" s="676"/>
      <c r="I279" s="695"/>
      <c r="J279" s="695"/>
      <c r="K279" s="695"/>
      <c r="L279" s="695"/>
      <c r="M279" s="695"/>
      <c r="N279" s="695"/>
      <c r="O279" s="695"/>
      <c r="P279" s="695"/>
    </row>
    <row r="280" spans="1:16" x14ac:dyDescent="0.35">
      <c r="A280" s="507">
        <v>3</v>
      </c>
      <c r="B280" s="507">
        <f>PETUNJUK!B281</f>
        <v>0</v>
      </c>
      <c r="C280" s="346">
        <f t="shared" ref="C280:D280" si="177">C250</f>
        <v>205.70000000000002</v>
      </c>
      <c r="D280" s="346">
        <f t="shared" si="177"/>
        <v>196.35</v>
      </c>
      <c r="E280" s="507">
        <f t="shared" si="176"/>
        <v>41.140000000000008</v>
      </c>
      <c r="F280" s="676">
        <f>'1.DATA KIA'!F317</f>
        <v>0</v>
      </c>
      <c r="G280" s="676"/>
      <c r="H280" s="676"/>
      <c r="I280" s="695"/>
      <c r="J280" s="695"/>
      <c r="K280" s="695"/>
      <c r="L280" s="695"/>
      <c r="M280" s="695"/>
      <c r="N280" s="695"/>
      <c r="O280" s="695"/>
      <c r="P280" s="695"/>
    </row>
    <row r="281" spans="1:16" x14ac:dyDescent="0.35">
      <c r="A281" s="507">
        <v>4</v>
      </c>
      <c r="B281" s="507">
        <f>PETUNJUK!B282</f>
        <v>0</v>
      </c>
      <c r="C281" s="346">
        <f t="shared" ref="C281:D281" si="178">C251</f>
        <v>95.7</v>
      </c>
      <c r="D281" s="346">
        <f t="shared" si="178"/>
        <v>91.350000000000009</v>
      </c>
      <c r="E281" s="507">
        <f t="shared" si="176"/>
        <v>19.14</v>
      </c>
      <c r="F281" s="676">
        <f>'1.DATA KIA'!F318</f>
        <v>0</v>
      </c>
      <c r="G281" s="676"/>
      <c r="H281" s="676"/>
      <c r="I281" s="695"/>
      <c r="J281" s="695"/>
      <c r="K281" s="695"/>
      <c r="L281" s="695"/>
      <c r="M281" s="695"/>
      <c r="N281" s="695"/>
      <c r="O281" s="695"/>
      <c r="P281" s="695"/>
    </row>
    <row r="282" spans="1:16" x14ac:dyDescent="0.35">
      <c r="A282" s="507">
        <v>5</v>
      </c>
      <c r="B282" s="507">
        <f>PETUNJUK!B283</f>
        <v>0</v>
      </c>
      <c r="C282" s="346">
        <f t="shared" ref="C282:D282" si="179">C252</f>
        <v>85.800000000000011</v>
      </c>
      <c r="D282" s="346">
        <f t="shared" si="179"/>
        <v>81.900000000000006</v>
      </c>
      <c r="E282" s="507">
        <f t="shared" si="176"/>
        <v>17.160000000000004</v>
      </c>
      <c r="F282" s="676">
        <f>'1.DATA KIA'!F319</f>
        <v>0</v>
      </c>
      <c r="G282" s="676"/>
      <c r="H282" s="676"/>
      <c r="I282" s="695"/>
      <c r="J282" s="695"/>
      <c r="K282" s="695"/>
      <c r="L282" s="695"/>
      <c r="M282" s="695"/>
      <c r="N282" s="695"/>
      <c r="O282" s="695"/>
      <c r="P282" s="695"/>
    </row>
    <row r="283" spans="1:16" x14ac:dyDescent="0.35">
      <c r="A283" s="507">
        <v>6</v>
      </c>
      <c r="B283" s="507">
        <f>PETUNJUK!B284</f>
        <v>0</v>
      </c>
      <c r="C283" s="346">
        <f t="shared" ref="C283:D283" si="180">C253</f>
        <v>82.5</v>
      </c>
      <c r="D283" s="346">
        <f t="shared" si="180"/>
        <v>78.75</v>
      </c>
      <c r="E283" s="507">
        <f t="shared" si="176"/>
        <v>16.5</v>
      </c>
      <c r="F283" s="676">
        <f>'1.DATA KIA'!F320</f>
        <v>0</v>
      </c>
      <c r="G283" s="676"/>
      <c r="H283" s="676"/>
      <c r="I283" s="695"/>
      <c r="J283" s="695"/>
      <c r="K283" s="695"/>
      <c r="L283" s="695"/>
      <c r="M283" s="695"/>
      <c r="N283" s="695"/>
      <c r="O283" s="695"/>
      <c r="P283" s="695"/>
    </row>
    <row r="284" spans="1:16" x14ac:dyDescent="0.35">
      <c r="A284" s="507">
        <v>7</v>
      </c>
      <c r="B284" s="507">
        <f>PETUNJUK!B285</f>
        <v>0</v>
      </c>
      <c r="C284" s="346">
        <f t="shared" ref="C284:D284" si="181">C254</f>
        <v>93.500000000000014</v>
      </c>
      <c r="D284" s="346">
        <f t="shared" si="181"/>
        <v>89.25</v>
      </c>
      <c r="E284" s="507">
        <f t="shared" si="176"/>
        <v>18.700000000000003</v>
      </c>
      <c r="F284" s="676">
        <f>'1.DATA KIA'!F321</f>
        <v>0</v>
      </c>
      <c r="G284" s="676"/>
      <c r="H284" s="676"/>
      <c r="I284" s="695"/>
      <c r="J284" s="695"/>
      <c r="K284" s="695"/>
      <c r="L284" s="695"/>
      <c r="M284" s="695"/>
      <c r="N284" s="695"/>
      <c r="O284" s="695"/>
      <c r="P284" s="695"/>
    </row>
    <row r="285" spans="1:16" x14ac:dyDescent="0.35">
      <c r="A285" s="507">
        <v>8</v>
      </c>
      <c r="B285" s="507">
        <f>PETUNJUK!B286</f>
        <v>0</v>
      </c>
      <c r="C285" s="346">
        <f t="shared" ref="C285:D285" si="182">C255</f>
        <v>46.2</v>
      </c>
      <c r="D285" s="346">
        <f t="shared" si="182"/>
        <v>44.1</v>
      </c>
      <c r="E285" s="507">
        <f t="shared" si="176"/>
        <v>9.24</v>
      </c>
      <c r="F285" s="676">
        <f>'1.DATA KIA'!F322</f>
        <v>0</v>
      </c>
      <c r="G285" s="676"/>
      <c r="H285" s="676"/>
      <c r="I285" s="695"/>
      <c r="J285" s="695"/>
      <c r="K285" s="695"/>
      <c r="L285" s="695"/>
      <c r="M285" s="695"/>
      <c r="N285" s="695"/>
      <c r="O285" s="695"/>
      <c r="P285" s="695"/>
    </row>
    <row r="286" spans="1:16" x14ac:dyDescent="0.35">
      <c r="A286" s="507">
        <v>9</v>
      </c>
      <c r="B286" s="507">
        <f>PETUNJUK!B287</f>
        <v>0</v>
      </c>
      <c r="C286" s="346">
        <f t="shared" ref="C286:D286" si="183">C256</f>
        <v>53.900000000000006</v>
      </c>
      <c r="D286" s="346">
        <f t="shared" si="183"/>
        <v>51.45</v>
      </c>
      <c r="E286" s="507">
        <f t="shared" si="176"/>
        <v>10.780000000000001</v>
      </c>
      <c r="F286" s="676">
        <f>'1.DATA KIA'!F323</f>
        <v>0</v>
      </c>
      <c r="G286" s="676"/>
      <c r="H286" s="676"/>
      <c r="I286" s="695"/>
      <c r="J286" s="695"/>
      <c r="K286" s="695"/>
      <c r="L286" s="695"/>
      <c r="M286" s="695"/>
      <c r="N286" s="695"/>
      <c r="O286" s="695"/>
      <c r="P286" s="695"/>
    </row>
    <row r="287" spans="1:16" x14ac:dyDescent="0.35">
      <c r="A287" s="507">
        <v>10</v>
      </c>
      <c r="B287" s="507">
        <f>PETUNJUK!B288</f>
        <v>0</v>
      </c>
      <c r="C287" s="346">
        <f t="shared" ref="C287:D287" si="184">C257</f>
        <v>50.6</v>
      </c>
      <c r="D287" s="346">
        <f t="shared" si="184"/>
        <v>48.300000000000004</v>
      </c>
      <c r="E287" s="507">
        <f t="shared" si="176"/>
        <v>10.120000000000001</v>
      </c>
      <c r="F287" s="676">
        <f>'1.DATA KIA'!F324</f>
        <v>0</v>
      </c>
      <c r="G287" s="676"/>
      <c r="H287" s="676"/>
      <c r="I287" s="695"/>
      <c r="J287" s="695"/>
      <c r="K287" s="695"/>
      <c r="L287" s="695"/>
      <c r="M287" s="695"/>
      <c r="N287" s="695"/>
      <c r="O287" s="695"/>
      <c r="P287" s="695"/>
    </row>
    <row r="288" spans="1:16" x14ac:dyDescent="0.35">
      <c r="A288" s="507">
        <v>11</v>
      </c>
      <c r="B288" s="507">
        <f>PETUNJUK!B289</f>
        <v>0</v>
      </c>
      <c r="C288" s="346">
        <f t="shared" ref="C288:D288" si="185">C258</f>
        <v>117.7</v>
      </c>
      <c r="D288" s="346">
        <f t="shared" si="185"/>
        <v>112.35000000000001</v>
      </c>
      <c r="E288" s="507">
        <f t="shared" si="176"/>
        <v>23.540000000000003</v>
      </c>
      <c r="F288" s="676">
        <f>'1.DATA KIA'!F325</f>
        <v>0</v>
      </c>
      <c r="G288" s="676"/>
      <c r="H288" s="676"/>
      <c r="I288" s="695"/>
      <c r="J288" s="695"/>
      <c r="K288" s="695"/>
      <c r="L288" s="695"/>
      <c r="M288" s="695"/>
      <c r="N288" s="695"/>
      <c r="O288" s="695"/>
      <c r="P288" s="695"/>
    </row>
    <row r="289" spans="1:16" x14ac:dyDescent="0.35">
      <c r="A289" s="507">
        <v>12</v>
      </c>
      <c r="B289" s="507">
        <f>PETUNJUK!B290</f>
        <v>0</v>
      </c>
      <c r="C289" s="346">
        <f t="shared" ref="C289:D289" si="186">C259</f>
        <v>23.1</v>
      </c>
      <c r="D289" s="346">
        <f t="shared" si="186"/>
        <v>22.05</v>
      </c>
      <c r="E289" s="507">
        <f t="shared" si="176"/>
        <v>4.62</v>
      </c>
      <c r="F289" s="676">
        <f>'1.DATA KIA'!F326</f>
        <v>0</v>
      </c>
      <c r="G289" s="676"/>
      <c r="H289" s="676"/>
      <c r="I289" s="695"/>
      <c r="J289" s="695"/>
      <c r="K289" s="695"/>
      <c r="L289" s="695"/>
      <c r="M289" s="695"/>
      <c r="N289" s="695"/>
      <c r="O289" s="695"/>
      <c r="P289" s="695"/>
    </row>
    <row r="290" spans="1:16" x14ac:dyDescent="0.35">
      <c r="A290" s="507">
        <v>13</v>
      </c>
      <c r="B290" s="507">
        <f>PETUNJUK!B291</f>
        <v>0</v>
      </c>
      <c r="C290" s="346">
        <f t="shared" ref="C290:D290" si="187">C260</f>
        <v>0</v>
      </c>
      <c r="D290" s="346">
        <f t="shared" si="187"/>
        <v>0</v>
      </c>
      <c r="E290" s="507">
        <f t="shared" si="176"/>
        <v>0</v>
      </c>
      <c r="F290" s="676">
        <f>'1.DATA KIA'!F327</f>
        <v>0</v>
      </c>
      <c r="G290" s="676"/>
      <c r="H290" s="676"/>
      <c r="I290" s="695"/>
      <c r="J290" s="695"/>
      <c r="K290" s="695"/>
      <c r="L290" s="695"/>
      <c r="M290" s="695"/>
      <c r="N290" s="695"/>
      <c r="O290" s="695"/>
      <c r="P290" s="695"/>
    </row>
    <row r="291" spans="1:16" x14ac:dyDescent="0.35">
      <c r="A291" s="507">
        <v>14</v>
      </c>
      <c r="B291" s="507">
        <f>PETUNJUK!B292</f>
        <v>0</v>
      </c>
      <c r="C291" s="346">
        <f t="shared" ref="C291:D291" si="188">C261</f>
        <v>0</v>
      </c>
      <c r="D291" s="346">
        <f t="shared" si="188"/>
        <v>0</v>
      </c>
      <c r="E291" s="507">
        <f t="shared" si="176"/>
        <v>0</v>
      </c>
      <c r="F291" s="676">
        <f>'1.DATA KIA'!F328</f>
        <v>0</v>
      </c>
      <c r="G291" s="676"/>
      <c r="H291" s="676"/>
      <c r="I291" s="695"/>
      <c r="J291" s="695"/>
      <c r="K291" s="695"/>
      <c r="L291" s="695"/>
      <c r="M291" s="695"/>
      <c r="N291" s="695"/>
      <c r="O291" s="695"/>
      <c r="P291" s="695"/>
    </row>
    <row r="292" spans="1:16" x14ac:dyDescent="0.35">
      <c r="A292" s="507">
        <v>15</v>
      </c>
      <c r="B292" s="507">
        <f>PETUNJUK!B293</f>
        <v>0</v>
      </c>
      <c r="C292" s="346">
        <f t="shared" ref="C292:D292" si="189">C262</f>
        <v>0</v>
      </c>
      <c r="D292" s="346">
        <f t="shared" si="189"/>
        <v>0</v>
      </c>
      <c r="E292" s="507">
        <f t="shared" si="176"/>
        <v>0</v>
      </c>
      <c r="F292" s="676">
        <f>'1.DATA KIA'!F329</f>
        <v>0</v>
      </c>
      <c r="G292" s="676"/>
      <c r="H292" s="676"/>
      <c r="I292" s="695"/>
      <c r="J292" s="695"/>
      <c r="K292" s="695"/>
      <c r="L292" s="695"/>
      <c r="M292" s="695"/>
      <c r="N292" s="695"/>
      <c r="O292" s="695"/>
      <c r="P292" s="695"/>
    </row>
    <row r="293" spans="1:16" x14ac:dyDescent="0.35">
      <c r="A293" s="507">
        <v>16</v>
      </c>
      <c r="B293" s="507">
        <f>PETUNJUK!B294</f>
        <v>0</v>
      </c>
      <c r="C293" s="346">
        <f t="shared" ref="C293:D293" si="190">C263</f>
        <v>0</v>
      </c>
      <c r="D293" s="346">
        <f t="shared" si="190"/>
        <v>0</v>
      </c>
      <c r="E293" s="507">
        <f t="shared" si="176"/>
        <v>0</v>
      </c>
      <c r="F293" s="676">
        <f>'1.DATA KIA'!F330</f>
        <v>0</v>
      </c>
      <c r="G293" s="676"/>
      <c r="H293" s="676"/>
      <c r="I293" s="695"/>
      <c r="J293" s="695"/>
      <c r="K293" s="695"/>
      <c r="L293" s="695"/>
      <c r="M293" s="695"/>
      <c r="N293" s="695"/>
      <c r="O293" s="695"/>
      <c r="P293" s="695"/>
    </row>
    <row r="294" spans="1:16" x14ac:dyDescent="0.35">
      <c r="A294" s="507">
        <v>17</v>
      </c>
      <c r="B294" s="507">
        <f>PETUNJUK!B295</f>
        <v>0</v>
      </c>
      <c r="C294" s="346">
        <f t="shared" ref="C294:D294" si="191">C264</f>
        <v>0</v>
      </c>
      <c r="D294" s="346">
        <f t="shared" si="191"/>
        <v>0</v>
      </c>
      <c r="E294" s="507">
        <f t="shared" si="176"/>
        <v>0</v>
      </c>
      <c r="F294" s="676">
        <f>'1.DATA KIA'!F331</f>
        <v>0</v>
      </c>
      <c r="G294" s="676"/>
      <c r="H294" s="676"/>
      <c r="I294" s="695"/>
      <c r="J294" s="695"/>
      <c r="K294" s="695"/>
      <c r="L294" s="695"/>
      <c r="M294" s="695"/>
      <c r="N294" s="695"/>
      <c r="O294" s="695"/>
      <c r="P294" s="695"/>
    </row>
    <row r="295" spans="1:16" x14ac:dyDescent="0.35">
      <c r="A295" s="507">
        <v>18</v>
      </c>
      <c r="B295" s="507">
        <f>PETUNJUK!B296</f>
        <v>0</v>
      </c>
      <c r="C295" s="346">
        <f t="shared" ref="C295:D295" si="192">C265</f>
        <v>0</v>
      </c>
      <c r="D295" s="346">
        <f t="shared" si="192"/>
        <v>0</v>
      </c>
      <c r="E295" s="507">
        <f t="shared" si="176"/>
        <v>0</v>
      </c>
      <c r="F295" s="676">
        <f>'1.DATA KIA'!F332</f>
        <v>0</v>
      </c>
      <c r="G295" s="676"/>
      <c r="H295" s="676"/>
      <c r="I295" s="695"/>
      <c r="J295" s="695"/>
      <c r="K295" s="695"/>
      <c r="L295" s="695"/>
      <c r="M295" s="695"/>
      <c r="N295" s="695"/>
      <c r="O295" s="695"/>
      <c r="P295" s="695"/>
    </row>
    <row r="296" spans="1:16" x14ac:dyDescent="0.35">
      <c r="A296" s="507">
        <v>19</v>
      </c>
      <c r="B296" s="507">
        <f>PETUNJUK!B297</f>
        <v>0</v>
      </c>
      <c r="C296" s="346">
        <f t="shared" ref="C296:D296" si="193">C266</f>
        <v>0</v>
      </c>
      <c r="D296" s="346">
        <f t="shared" si="193"/>
        <v>0</v>
      </c>
      <c r="E296" s="507">
        <f t="shared" si="176"/>
        <v>0</v>
      </c>
      <c r="F296" s="676">
        <f>'1.DATA KIA'!F333</f>
        <v>0</v>
      </c>
      <c r="G296" s="676"/>
      <c r="H296" s="676"/>
      <c r="I296" s="695"/>
      <c r="J296" s="695"/>
      <c r="K296" s="695"/>
      <c r="L296" s="695"/>
      <c r="M296" s="695"/>
      <c r="N296" s="695"/>
      <c r="O296" s="695"/>
      <c r="P296" s="695"/>
    </row>
    <row r="297" spans="1:16" x14ac:dyDescent="0.35">
      <c r="A297" s="507">
        <v>20</v>
      </c>
      <c r="B297" s="507">
        <f>PETUNJUK!B298</f>
        <v>0</v>
      </c>
      <c r="C297" s="346">
        <f t="shared" ref="C297:D297" si="194">C267</f>
        <v>0</v>
      </c>
      <c r="D297" s="346">
        <f t="shared" si="194"/>
        <v>0</v>
      </c>
      <c r="E297" s="507">
        <f t="shared" si="176"/>
        <v>0</v>
      </c>
      <c r="F297" s="676">
        <f>'1.DATA KIA'!F334</f>
        <v>0</v>
      </c>
      <c r="G297" s="676"/>
      <c r="H297" s="676"/>
      <c r="I297" s="695"/>
      <c r="J297" s="695"/>
      <c r="K297" s="695"/>
      <c r="L297" s="695"/>
      <c r="M297" s="695"/>
      <c r="N297" s="695"/>
      <c r="O297" s="695"/>
      <c r="P297" s="695"/>
    </row>
    <row r="298" spans="1:16" x14ac:dyDescent="0.35">
      <c r="A298" s="507">
        <v>21</v>
      </c>
      <c r="B298" s="507">
        <f>PETUNJUK!B299</f>
        <v>0</v>
      </c>
      <c r="C298" s="346">
        <f t="shared" ref="C298:D298" si="195">C268</f>
        <v>0</v>
      </c>
      <c r="D298" s="346">
        <f t="shared" si="195"/>
        <v>0</v>
      </c>
      <c r="E298" s="507">
        <f t="shared" si="176"/>
        <v>0</v>
      </c>
      <c r="F298" s="676">
        <f>'1.DATA KIA'!F335</f>
        <v>0</v>
      </c>
      <c r="G298" s="676"/>
      <c r="H298" s="676"/>
      <c r="I298" s="695"/>
      <c r="J298" s="695"/>
      <c r="K298" s="695"/>
      <c r="L298" s="695"/>
      <c r="M298" s="695"/>
      <c r="N298" s="695"/>
      <c r="O298" s="695"/>
      <c r="P298" s="695"/>
    </row>
    <row r="299" spans="1:16" x14ac:dyDescent="0.35">
      <c r="A299" s="512">
        <v>22</v>
      </c>
      <c r="B299" s="512">
        <f>PETUNJUK!B300</f>
        <v>0</v>
      </c>
      <c r="C299" s="346">
        <f t="shared" ref="C299:D299" si="196">C269</f>
        <v>0</v>
      </c>
      <c r="D299" s="346">
        <f t="shared" si="196"/>
        <v>0</v>
      </c>
      <c r="E299" s="512">
        <f t="shared" si="176"/>
        <v>0</v>
      </c>
      <c r="F299" s="676">
        <f>'1.DATA KIA'!F336</f>
        <v>0</v>
      </c>
      <c r="G299" s="512"/>
      <c r="H299" s="512"/>
      <c r="I299" s="696"/>
      <c r="J299" s="696"/>
      <c r="K299" s="696"/>
      <c r="L299" s="696"/>
      <c r="M299" s="696"/>
      <c r="N299" s="696"/>
      <c r="O299" s="696"/>
      <c r="P299" s="696"/>
    </row>
    <row r="300" spans="1:16" x14ac:dyDescent="0.35">
      <c r="A300" s="1030" t="s">
        <v>18</v>
      </c>
      <c r="B300" s="1030"/>
      <c r="C300" s="688">
        <f>SUM(C278:C299)</f>
        <v>1067</v>
      </c>
      <c r="D300" s="688">
        <f t="shared" ref="D300:P300" si="197">SUM(D278:D299)</f>
        <v>1018.5</v>
      </c>
      <c r="E300" s="688">
        <f t="shared" si="197"/>
        <v>213.40000000000003</v>
      </c>
      <c r="F300" s="688">
        <f t="shared" si="197"/>
        <v>0</v>
      </c>
      <c r="G300" s="688">
        <f t="shared" si="197"/>
        <v>0</v>
      </c>
      <c r="H300" s="688">
        <f t="shared" si="197"/>
        <v>0</v>
      </c>
      <c r="I300" s="688">
        <f t="shared" si="197"/>
        <v>0</v>
      </c>
      <c r="J300" s="688">
        <f t="shared" si="197"/>
        <v>0</v>
      </c>
      <c r="K300" s="688">
        <f t="shared" si="197"/>
        <v>0</v>
      </c>
      <c r="L300" s="688">
        <f t="shared" si="197"/>
        <v>0</v>
      </c>
      <c r="M300" s="688">
        <f t="shared" si="197"/>
        <v>0</v>
      </c>
      <c r="N300" s="688">
        <f t="shared" si="197"/>
        <v>0</v>
      </c>
      <c r="O300" s="688">
        <f t="shared" si="197"/>
        <v>0</v>
      </c>
      <c r="P300" s="688">
        <f t="shared" si="197"/>
        <v>0</v>
      </c>
    </row>
    <row r="302" spans="1:16" s="693" customFormat="1" x14ac:dyDescent="0.35">
      <c r="A302" s="1029" t="s">
        <v>426</v>
      </c>
      <c r="B302" s="1029"/>
      <c r="C302" s="691">
        <f>PETUNJUK!C305</f>
        <v>0</v>
      </c>
      <c r="D302" s="690"/>
      <c r="E302" s="690"/>
      <c r="F302" s="690"/>
      <c r="G302" s="690"/>
      <c r="H302" s="690"/>
      <c r="I302" s="690"/>
      <c r="J302" s="690"/>
      <c r="K302" s="690"/>
      <c r="L302" s="690"/>
      <c r="M302" s="690"/>
      <c r="N302" s="690"/>
      <c r="O302" s="690"/>
      <c r="P302" s="690"/>
    </row>
    <row r="303" spans="1:16" s="693" customFormat="1" x14ac:dyDescent="0.35">
      <c r="A303" s="1029" t="s">
        <v>0</v>
      </c>
      <c r="B303" s="1029"/>
      <c r="C303" s="1031" t="s">
        <v>419</v>
      </c>
      <c r="D303" s="1031"/>
      <c r="E303" s="690"/>
      <c r="F303" s="690"/>
      <c r="G303" s="690"/>
      <c r="H303" s="690"/>
      <c r="I303" s="690"/>
      <c r="J303" s="690"/>
      <c r="K303" s="690"/>
      <c r="L303" s="690"/>
      <c r="M303" s="690"/>
      <c r="N303" s="690"/>
      <c r="O303" s="690"/>
      <c r="P303" s="690"/>
    </row>
    <row r="305" spans="1:16" x14ac:dyDescent="0.35">
      <c r="A305" s="754" t="s">
        <v>1</v>
      </c>
      <c r="B305" s="754" t="s">
        <v>2</v>
      </c>
      <c r="C305" s="754" t="s">
        <v>174</v>
      </c>
      <c r="D305" s="754"/>
      <c r="E305" s="754"/>
      <c r="F305" s="1024" t="s">
        <v>440</v>
      </c>
      <c r="G305" s="1024" t="s">
        <v>441</v>
      </c>
      <c r="H305" s="1024" t="s">
        <v>444</v>
      </c>
      <c r="I305" s="964" t="s">
        <v>427</v>
      </c>
      <c r="J305" s="964" t="s">
        <v>428</v>
      </c>
      <c r="K305" s="964" t="s">
        <v>429</v>
      </c>
      <c r="L305" s="964" t="s">
        <v>430</v>
      </c>
      <c r="M305" s="964" t="s">
        <v>432</v>
      </c>
      <c r="N305" s="964" t="s">
        <v>431</v>
      </c>
      <c r="O305" s="1032" t="s">
        <v>433</v>
      </c>
      <c r="P305" s="1032" t="s">
        <v>434</v>
      </c>
    </row>
    <row r="306" spans="1:16" ht="14.5" x14ac:dyDescent="0.35">
      <c r="A306" s="754"/>
      <c r="B306" s="754"/>
      <c r="C306" s="732" t="s">
        <v>5</v>
      </c>
      <c r="D306" s="732" t="s">
        <v>6</v>
      </c>
      <c r="E306" s="732" t="s">
        <v>133</v>
      </c>
      <c r="F306" s="1025"/>
      <c r="G306" s="1027"/>
      <c r="H306" s="1025"/>
      <c r="I306" s="1033"/>
      <c r="J306" s="1033"/>
      <c r="K306" s="1033"/>
      <c r="L306" s="1033"/>
      <c r="M306" s="1033"/>
      <c r="N306" s="964"/>
      <c r="O306" s="962"/>
      <c r="P306" s="962"/>
    </row>
    <row r="307" spans="1:16" ht="65.150000000000006" customHeight="1" x14ac:dyDescent="0.35">
      <c r="A307" s="754"/>
      <c r="B307" s="754"/>
      <c r="C307" s="732"/>
      <c r="D307" s="732"/>
      <c r="E307" s="732"/>
      <c r="F307" s="1026"/>
      <c r="G307" s="1028"/>
      <c r="H307" s="1026"/>
      <c r="I307" s="1033"/>
      <c r="J307" s="1033"/>
      <c r="K307" s="1033"/>
      <c r="L307" s="1033"/>
      <c r="M307" s="1033"/>
      <c r="N307" s="964"/>
      <c r="O307" s="963"/>
      <c r="P307" s="963"/>
    </row>
    <row r="308" spans="1:16" x14ac:dyDescent="0.35">
      <c r="A308" s="507">
        <v>1</v>
      </c>
      <c r="B308" s="507">
        <f>PETUNJUK!B309</f>
        <v>0</v>
      </c>
      <c r="C308" s="346">
        <f>C278</f>
        <v>101.2</v>
      </c>
      <c r="D308" s="346">
        <f>D278</f>
        <v>96.600000000000009</v>
      </c>
      <c r="E308" s="507">
        <f>C308*20%</f>
        <v>20.240000000000002</v>
      </c>
      <c r="F308" s="676">
        <f>'1.DATA KIA'!F349</f>
        <v>0</v>
      </c>
      <c r="G308" s="676"/>
      <c r="H308" s="676"/>
      <c r="I308" s="695"/>
      <c r="J308" s="695"/>
      <c r="K308" s="695"/>
      <c r="L308" s="695"/>
      <c r="M308" s="695"/>
      <c r="N308" s="695"/>
      <c r="O308" s="695"/>
      <c r="P308" s="695"/>
    </row>
    <row r="309" spans="1:16" x14ac:dyDescent="0.35">
      <c r="A309" s="507">
        <v>2</v>
      </c>
      <c r="B309" s="507">
        <f>PETUNJUK!B310</f>
        <v>0</v>
      </c>
      <c r="C309" s="346">
        <f t="shared" ref="C309:D329" si="198">C279</f>
        <v>111.10000000000001</v>
      </c>
      <c r="D309" s="346">
        <f t="shared" si="198"/>
        <v>106.05000000000001</v>
      </c>
      <c r="E309" s="507">
        <f t="shared" ref="E309:E329" si="199">C309*20%</f>
        <v>22.220000000000002</v>
      </c>
      <c r="F309" s="676">
        <f>'1.DATA KIA'!F350</f>
        <v>0</v>
      </c>
      <c r="G309" s="676"/>
      <c r="H309" s="676"/>
      <c r="I309" s="695"/>
      <c r="J309" s="695"/>
      <c r="K309" s="695"/>
      <c r="L309" s="695"/>
      <c r="M309" s="695"/>
      <c r="N309" s="695"/>
      <c r="O309" s="695"/>
      <c r="P309" s="695"/>
    </row>
    <row r="310" spans="1:16" x14ac:dyDescent="0.35">
      <c r="A310" s="507">
        <v>3</v>
      </c>
      <c r="B310" s="507">
        <f>PETUNJUK!B311</f>
        <v>0</v>
      </c>
      <c r="C310" s="346">
        <f t="shared" si="198"/>
        <v>205.70000000000002</v>
      </c>
      <c r="D310" s="346">
        <f t="shared" si="198"/>
        <v>196.35</v>
      </c>
      <c r="E310" s="507">
        <f t="shared" si="199"/>
        <v>41.140000000000008</v>
      </c>
      <c r="F310" s="676">
        <f>'1.DATA KIA'!F351</f>
        <v>0</v>
      </c>
      <c r="G310" s="676"/>
      <c r="H310" s="676"/>
      <c r="I310" s="695"/>
      <c r="J310" s="695"/>
      <c r="K310" s="695"/>
      <c r="L310" s="695"/>
      <c r="M310" s="695"/>
      <c r="N310" s="695"/>
      <c r="O310" s="695"/>
      <c r="P310" s="695"/>
    </row>
    <row r="311" spans="1:16" x14ac:dyDescent="0.35">
      <c r="A311" s="507">
        <v>4</v>
      </c>
      <c r="B311" s="507">
        <f>PETUNJUK!B312</f>
        <v>0</v>
      </c>
      <c r="C311" s="346">
        <f t="shared" si="198"/>
        <v>95.7</v>
      </c>
      <c r="D311" s="346">
        <f t="shared" si="198"/>
        <v>91.350000000000009</v>
      </c>
      <c r="E311" s="507">
        <f t="shared" si="199"/>
        <v>19.14</v>
      </c>
      <c r="F311" s="676">
        <f>'1.DATA KIA'!F352</f>
        <v>0</v>
      </c>
      <c r="G311" s="676"/>
      <c r="H311" s="676"/>
      <c r="I311" s="695"/>
      <c r="J311" s="695"/>
      <c r="K311" s="695"/>
      <c r="L311" s="695"/>
      <c r="M311" s="695"/>
      <c r="N311" s="695"/>
      <c r="O311" s="695"/>
      <c r="P311" s="695"/>
    </row>
    <row r="312" spans="1:16" x14ac:dyDescent="0.35">
      <c r="A312" s="507">
        <v>5</v>
      </c>
      <c r="B312" s="507">
        <f>PETUNJUK!B313</f>
        <v>0</v>
      </c>
      <c r="C312" s="346">
        <f t="shared" si="198"/>
        <v>85.800000000000011</v>
      </c>
      <c r="D312" s="346">
        <f t="shared" si="198"/>
        <v>81.900000000000006</v>
      </c>
      <c r="E312" s="507">
        <f t="shared" si="199"/>
        <v>17.160000000000004</v>
      </c>
      <c r="F312" s="676">
        <f>'1.DATA KIA'!F353</f>
        <v>0</v>
      </c>
      <c r="G312" s="676"/>
      <c r="H312" s="676"/>
      <c r="I312" s="695"/>
      <c r="J312" s="695"/>
      <c r="K312" s="695"/>
      <c r="L312" s="695"/>
      <c r="M312" s="695"/>
      <c r="N312" s="695"/>
      <c r="O312" s="695"/>
      <c r="P312" s="695"/>
    </row>
    <row r="313" spans="1:16" x14ac:dyDescent="0.35">
      <c r="A313" s="507">
        <v>6</v>
      </c>
      <c r="B313" s="507">
        <f>PETUNJUK!B314</f>
        <v>0</v>
      </c>
      <c r="C313" s="346">
        <f t="shared" si="198"/>
        <v>82.5</v>
      </c>
      <c r="D313" s="346">
        <f t="shared" si="198"/>
        <v>78.75</v>
      </c>
      <c r="E313" s="507">
        <f t="shared" si="199"/>
        <v>16.5</v>
      </c>
      <c r="F313" s="676">
        <f>'1.DATA KIA'!F354</f>
        <v>0</v>
      </c>
      <c r="G313" s="676"/>
      <c r="H313" s="676"/>
      <c r="I313" s="695"/>
      <c r="J313" s="695"/>
      <c r="K313" s="695"/>
      <c r="L313" s="695"/>
      <c r="M313" s="695"/>
      <c r="N313" s="695"/>
      <c r="O313" s="695"/>
      <c r="P313" s="695"/>
    </row>
    <row r="314" spans="1:16" x14ac:dyDescent="0.35">
      <c r="A314" s="507">
        <v>7</v>
      </c>
      <c r="B314" s="507">
        <f>PETUNJUK!B315</f>
        <v>0</v>
      </c>
      <c r="C314" s="346">
        <f t="shared" si="198"/>
        <v>93.500000000000014</v>
      </c>
      <c r="D314" s="346">
        <f t="shared" si="198"/>
        <v>89.25</v>
      </c>
      <c r="E314" s="507">
        <f t="shared" si="199"/>
        <v>18.700000000000003</v>
      </c>
      <c r="F314" s="676">
        <f>'1.DATA KIA'!F355</f>
        <v>0</v>
      </c>
      <c r="G314" s="676"/>
      <c r="H314" s="676"/>
      <c r="I314" s="695"/>
      <c r="J314" s="695"/>
      <c r="K314" s="695"/>
      <c r="L314" s="695"/>
      <c r="M314" s="695"/>
      <c r="N314" s="695"/>
      <c r="O314" s="695"/>
      <c r="P314" s="695"/>
    </row>
    <row r="315" spans="1:16" x14ac:dyDescent="0.35">
      <c r="A315" s="507">
        <v>8</v>
      </c>
      <c r="B315" s="507">
        <f>PETUNJUK!B316</f>
        <v>0</v>
      </c>
      <c r="C315" s="346">
        <f t="shared" si="198"/>
        <v>46.2</v>
      </c>
      <c r="D315" s="346">
        <f t="shared" si="198"/>
        <v>44.1</v>
      </c>
      <c r="E315" s="507">
        <f t="shared" si="199"/>
        <v>9.24</v>
      </c>
      <c r="F315" s="676">
        <f>'1.DATA KIA'!F356</f>
        <v>0</v>
      </c>
      <c r="G315" s="676"/>
      <c r="H315" s="676"/>
      <c r="I315" s="695"/>
      <c r="J315" s="695"/>
      <c r="K315" s="695"/>
      <c r="L315" s="695"/>
      <c r="M315" s="695"/>
      <c r="N315" s="695"/>
      <c r="O315" s="695"/>
      <c r="P315" s="695"/>
    </row>
    <row r="316" spans="1:16" x14ac:dyDescent="0.35">
      <c r="A316" s="507">
        <v>9</v>
      </c>
      <c r="B316" s="507">
        <f>PETUNJUK!B317</f>
        <v>0</v>
      </c>
      <c r="C316" s="346">
        <f t="shared" si="198"/>
        <v>53.900000000000006</v>
      </c>
      <c r="D316" s="346">
        <f t="shared" si="198"/>
        <v>51.45</v>
      </c>
      <c r="E316" s="507">
        <f t="shared" si="199"/>
        <v>10.780000000000001</v>
      </c>
      <c r="F316" s="676">
        <f>'1.DATA KIA'!F357</f>
        <v>0</v>
      </c>
      <c r="G316" s="676"/>
      <c r="H316" s="676"/>
      <c r="I316" s="695"/>
      <c r="J316" s="695"/>
      <c r="K316" s="695"/>
      <c r="L316" s="695"/>
      <c r="M316" s="695"/>
      <c r="N316" s="695"/>
      <c r="O316" s="695"/>
      <c r="P316" s="695"/>
    </row>
    <row r="317" spans="1:16" x14ac:dyDescent="0.35">
      <c r="A317" s="507">
        <v>10</v>
      </c>
      <c r="B317" s="507">
        <f>PETUNJUK!B318</f>
        <v>0</v>
      </c>
      <c r="C317" s="346">
        <f t="shared" si="198"/>
        <v>50.6</v>
      </c>
      <c r="D317" s="346">
        <f t="shared" si="198"/>
        <v>48.300000000000004</v>
      </c>
      <c r="E317" s="507">
        <f t="shared" si="199"/>
        <v>10.120000000000001</v>
      </c>
      <c r="F317" s="676">
        <f>'1.DATA KIA'!F358</f>
        <v>0</v>
      </c>
      <c r="G317" s="676"/>
      <c r="H317" s="676"/>
      <c r="I317" s="695"/>
      <c r="J317" s="695"/>
      <c r="K317" s="695"/>
      <c r="L317" s="695"/>
      <c r="M317" s="695"/>
      <c r="N317" s="695"/>
      <c r="O317" s="695"/>
      <c r="P317" s="695"/>
    </row>
    <row r="318" spans="1:16" x14ac:dyDescent="0.35">
      <c r="A318" s="507">
        <v>11</v>
      </c>
      <c r="B318" s="507">
        <f>PETUNJUK!B319</f>
        <v>0</v>
      </c>
      <c r="C318" s="346">
        <f t="shared" si="198"/>
        <v>117.7</v>
      </c>
      <c r="D318" s="346">
        <f t="shared" si="198"/>
        <v>112.35000000000001</v>
      </c>
      <c r="E318" s="507">
        <f t="shared" si="199"/>
        <v>23.540000000000003</v>
      </c>
      <c r="F318" s="676">
        <f>'1.DATA KIA'!F359</f>
        <v>0</v>
      </c>
      <c r="G318" s="676"/>
      <c r="H318" s="676"/>
      <c r="I318" s="695"/>
      <c r="J318" s="695"/>
      <c r="K318" s="695"/>
      <c r="L318" s="695"/>
      <c r="M318" s="695"/>
      <c r="N318" s="695"/>
      <c r="O318" s="695"/>
      <c r="P318" s="695"/>
    </row>
    <row r="319" spans="1:16" x14ac:dyDescent="0.35">
      <c r="A319" s="507">
        <v>12</v>
      </c>
      <c r="B319" s="507">
        <f>PETUNJUK!B320</f>
        <v>0</v>
      </c>
      <c r="C319" s="346">
        <f t="shared" si="198"/>
        <v>23.1</v>
      </c>
      <c r="D319" s="346">
        <f t="shared" si="198"/>
        <v>22.05</v>
      </c>
      <c r="E319" s="507">
        <f t="shared" si="199"/>
        <v>4.62</v>
      </c>
      <c r="F319" s="676">
        <f>'1.DATA KIA'!F360</f>
        <v>0</v>
      </c>
      <c r="G319" s="676"/>
      <c r="H319" s="676"/>
      <c r="I319" s="695"/>
      <c r="J319" s="695"/>
      <c r="K319" s="695"/>
      <c r="L319" s="695"/>
      <c r="M319" s="695"/>
      <c r="N319" s="695"/>
      <c r="O319" s="695"/>
      <c r="P319" s="695"/>
    </row>
    <row r="320" spans="1:16" x14ac:dyDescent="0.35">
      <c r="A320" s="507">
        <v>13</v>
      </c>
      <c r="B320" s="507">
        <f>PETUNJUK!B321</f>
        <v>0</v>
      </c>
      <c r="C320" s="346">
        <f t="shared" si="198"/>
        <v>0</v>
      </c>
      <c r="D320" s="346">
        <f t="shared" si="198"/>
        <v>0</v>
      </c>
      <c r="E320" s="507">
        <f t="shared" si="199"/>
        <v>0</v>
      </c>
      <c r="F320" s="676">
        <f>'1.DATA KIA'!F361</f>
        <v>0</v>
      </c>
      <c r="G320" s="676"/>
      <c r="H320" s="676"/>
      <c r="I320" s="695"/>
      <c r="J320" s="695"/>
      <c r="K320" s="695"/>
      <c r="L320" s="695"/>
      <c r="M320" s="695"/>
      <c r="N320" s="695"/>
      <c r="O320" s="695"/>
      <c r="P320" s="695"/>
    </row>
    <row r="321" spans="1:16" x14ac:dyDescent="0.35">
      <c r="A321" s="507">
        <v>14</v>
      </c>
      <c r="B321" s="507">
        <f>PETUNJUK!B322</f>
        <v>0</v>
      </c>
      <c r="C321" s="346">
        <f t="shared" si="198"/>
        <v>0</v>
      </c>
      <c r="D321" s="346">
        <f t="shared" si="198"/>
        <v>0</v>
      </c>
      <c r="E321" s="507">
        <f t="shared" si="199"/>
        <v>0</v>
      </c>
      <c r="F321" s="676">
        <f>'1.DATA KIA'!F362</f>
        <v>0</v>
      </c>
      <c r="G321" s="676"/>
      <c r="H321" s="676"/>
      <c r="I321" s="695"/>
      <c r="J321" s="695"/>
      <c r="K321" s="695"/>
      <c r="L321" s="695"/>
      <c r="M321" s="695"/>
      <c r="N321" s="695"/>
      <c r="O321" s="695"/>
      <c r="P321" s="695"/>
    </row>
    <row r="322" spans="1:16" x14ac:dyDescent="0.35">
      <c r="A322" s="507">
        <v>15</v>
      </c>
      <c r="B322" s="507">
        <f>PETUNJUK!B323</f>
        <v>0</v>
      </c>
      <c r="C322" s="346">
        <f t="shared" si="198"/>
        <v>0</v>
      </c>
      <c r="D322" s="346">
        <f t="shared" si="198"/>
        <v>0</v>
      </c>
      <c r="E322" s="507">
        <f t="shared" si="199"/>
        <v>0</v>
      </c>
      <c r="F322" s="676">
        <f>'1.DATA KIA'!F363</f>
        <v>0</v>
      </c>
      <c r="G322" s="676"/>
      <c r="H322" s="676"/>
      <c r="I322" s="695"/>
      <c r="J322" s="695"/>
      <c r="K322" s="695"/>
      <c r="L322" s="695"/>
      <c r="M322" s="695"/>
      <c r="N322" s="695"/>
      <c r="O322" s="695"/>
      <c r="P322" s="695"/>
    </row>
    <row r="323" spans="1:16" x14ac:dyDescent="0.35">
      <c r="A323" s="507">
        <v>16</v>
      </c>
      <c r="B323" s="507">
        <f>PETUNJUK!B324</f>
        <v>0</v>
      </c>
      <c r="C323" s="346">
        <f t="shared" si="198"/>
        <v>0</v>
      </c>
      <c r="D323" s="346">
        <f t="shared" si="198"/>
        <v>0</v>
      </c>
      <c r="E323" s="507">
        <f t="shared" si="199"/>
        <v>0</v>
      </c>
      <c r="F323" s="676">
        <f>'1.DATA KIA'!F364</f>
        <v>0</v>
      </c>
      <c r="G323" s="676"/>
      <c r="H323" s="676"/>
      <c r="I323" s="695"/>
      <c r="J323" s="695"/>
      <c r="K323" s="695"/>
      <c r="L323" s="695"/>
      <c r="M323" s="695"/>
      <c r="N323" s="695"/>
      <c r="O323" s="695"/>
      <c r="P323" s="695"/>
    </row>
    <row r="324" spans="1:16" x14ac:dyDescent="0.35">
      <c r="A324" s="507">
        <v>17</v>
      </c>
      <c r="B324" s="507">
        <f>PETUNJUK!B325</f>
        <v>0</v>
      </c>
      <c r="C324" s="346">
        <f t="shared" si="198"/>
        <v>0</v>
      </c>
      <c r="D324" s="346">
        <f t="shared" si="198"/>
        <v>0</v>
      </c>
      <c r="E324" s="507">
        <f t="shared" si="199"/>
        <v>0</v>
      </c>
      <c r="F324" s="676">
        <f>'1.DATA KIA'!F365</f>
        <v>0</v>
      </c>
      <c r="G324" s="676"/>
      <c r="H324" s="676"/>
      <c r="I324" s="695"/>
      <c r="J324" s="695"/>
      <c r="K324" s="695"/>
      <c r="L324" s="695"/>
      <c r="M324" s="695"/>
      <c r="N324" s="695"/>
      <c r="O324" s="695"/>
      <c r="P324" s="695"/>
    </row>
    <row r="325" spans="1:16" x14ac:dyDescent="0.35">
      <c r="A325" s="507">
        <v>18</v>
      </c>
      <c r="B325" s="507">
        <f>PETUNJUK!B326</f>
        <v>0</v>
      </c>
      <c r="C325" s="346">
        <f t="shared" si="198"/>
        <v>0</v>
      </c>
      <c r="D325" s="346">
        <f t="shared" si="198"/>
        <v>0</v>
      </c>
      <c r="E325" s="507">
        <f t="shared" si="199"/>
        <v>0</v>
      </c>
      <c r="F325" s="676">
        <f>'1.DATA KIA'!F366</f>
        <v>0</v>
      </c>
      <c r="G325" s="676"/>
      <c r="H325" s="676"/>
      <c r="I325" s="695"/>
      <c r="J325" s="695"/>
      <c r="K325" s="695"/>
      <c r="L325" s="695"/>
      <c r="M325" s="695"/>
      <c r="N325" s="695"/>
      <c r="O325" s="695"/>
      <c r="P325" s="695"/>
    </row>
    <row r="326" spans="1:16" x14ac:dyDescent="0.35">
      <c r="A326" s="507">
        <v>19</v>
      </c>
      <c r="B326" s="507">
        <f>PETUNJUK!B327</f>
        <v>0</v>
      </c>
      <c r="C326" s="346">
        <f t="shared" si="198"/>
        <v>0</v>
      </c>
      <c r="D326" s="346">
        <f t="shared" si="198"/>
        <v>0</v>
      </c>
      <c r="E326" s="507">
        <f t="shared" si="199"/>
        <v>0</v>
      </c>
      <c r="F326" s="676">
        <f>'1.DATA KIA'!F367</f>
        <v>0</v>
      </c>
      <c r="G326" s="676"/>
      <c r="H326" s="676"/>
      <c r="I326" s="695"/>
      <c r="J326" s="695"/>
      <c r="K326" s="695"/>
      <c r="L326" s="695"/>
      <c r="M326" s="695"/>
      <c r="N326" s="695"/>
      <c r="O326" s="695"/>
      <c r="P326" s="695"/>
    </row>
    <row r="327" spans="1:16" x14ac:dyDescent="0.35">
      <c r="A327" s="507">
        <v>20</v>
      </c>
      <c r="B327" s="507">
        <f>PETUNJUK!B328</f>
        <v>0</v>
      </c>
      <c r="C327" s="346">
        <f t="shared" si="198"/>
        <v>0</v>
      </c>
      <c r="D327" s="346">
        <f t="shared" si="198"/>
        <v>0</v>
      </c>
      <c r="E327" s="507">
        <f t="shared" si="199"/>
        <v>0</v>
      </c>
      <c r="F327" s="676">
        <f>'1.DATA KIA'!F368</f>
        <v>0</v>
      </c>
      <c r="G327" s="676"/>
      <c r="H327" s="676"/>
      <c r="I327" s="695"/>
      <c r="J327" s="695"/>
      <c r="K327" s="695"/>
      <c r="L327" s="695"/>
      <c r="M327" s="695"/>
      <c r="N327" s="695"/>
      <c r="O327" s="695"/>
      <c r="P327" s="695"/>
    </row>
    <row r="328" spans="1:16" x14ac:dyDescent="0.35">
      <c r="A328" s="507">
        <v>21</v>
      </c>
      <c r="B328" s="507">
        <f>PETUNJUK!B329</f>
        <v>0</v>
      </c>
      <c r="C328" s="346">
        <f t="shared" si="198"/>
        <v>0</v>
      </c>
      <c r="D328" s="346">
        <f t="shared" si="198"/>
        <v>0</v>
      </c>
      <c r="E328" s="507">
        <f t="shared" si="199"/>
        <v>0</v>
      </c>
      <c r="F328" s="676">
        <f>'1.DATA KIA'!F369</f>
        <v>0</v>
      </c>
      <c r="G328" s="676"/>
      <c r="H328" s="676"/>
      <c r="I328" s="695"/>
      <c r="J328" s="695"/>
      <c r="K328" s="695"/>
      <c r="L328" s="695"/>
      <c r="M328" s="695"/>
      <c r="N328" s="695"/>
      <c r="O328" s="695"/>
      <c r="P328" s="695"/>
    </row>
    <row r="329" spans="1:16" x14ac:dyDescent="0.35">
      <c r="A329" s="512">
        <v>22</v>
      </c>
      <c r="B329" s="512">
        <f>PETUNJUK!B330</f>
        <v>0</v>
      </c>
      <c r="C329" s="346">
        <f t="shared" si="198"/>
        <v>0</v>
      </c>
      <c r="D329" s="346">
        <f t="shared" si="198"/>
        <v>0</v>
      </c>
      <c r="E329" s="512">
        <f t="shared" si="199"/>
        <v>0</v>
      </c>
      <c r="F329" s="676">
        <f>'1.DATA KIA'!F370</f>
        <v>0</v>
      </c>
      <c r="G329" s="512"/>
      <c r="H329" s="512"/>
      <c r="I329" s="696"/>
      <c r="J329" s="696"/>
      <c r="K329" s="696"/>
      <c r="L329" s="696"/>
      <c r="M329" s="696"/>
      <c r="N329" s="696"/>
      <c r="O329" s="696"/>
      <c r="P329" s="696"/>
    </row>
    <row r="330" spans="1:16" x14ac:dyDescent="0.35">
      <c r="A330" s="1030" t="s">
        <v>18</v>
      </c>
      <c r="B330" s="1030"/>
      <c r="C330" s="688">
        <f>SUM(C308:C329)</f>
        <v>1067</v>
      </c>
      <c r="D330" s="688">
        <f t="shared" ref="D330:P330" si="200">SUM(D308:D329)</f>
        <v>1018.5</v>
      </c>
      <c r="E330" s="688">
        <f t="shared" si="200"/>
        <v>213.40000000000003</v>
      </c>
      <c r="F330" s="688">
        <f t="shared" si="200"/>
        <v>0</v>
      </c>
      <c r="G330" s="688">
        <f t="shared" si="200"/>
        <v>0</v>
      </c>
      <c r="H330" s="688">
        <f t="shared" si="200"/>
        <v>0</v>
      </c>
      <c r="I330" s="688">
        <f t="shared" si="200"/>
        <v>0</v>
      </c>
      <c r="J330" s="688">
        <f t="shared" si="200"/>
        <v>0</v>
      </c>
      <c r="K330" s="688">
        <f t="shared" si="200"/>
        <v>0</v>
      </c>
      <c r="L330" s="688">
        <f t="shared" si="200"/>
        <v>0</v>
      </c>
      <c r="M330" s="688">
        <f t="shared" si="200"/>
        <v>0</v>
      </c>
      <c r="N330" s="688">
        <f t="shared" si="200"/>
        <v>0</v>
      </c>
      <c r="O330" s="688">
        <f t="shared" si="200"/>
        <v>0</v>
      </c>
      <c r="P330" s="688">
        <f t="shared" si="200"/>
        <v>0</v>
      </c>
    </row>
    <row r="332" spans="1:16" s="693" customFormat="1" x14ac:dyDescent="0.35">
      <c r="A332" s="1029" t="s">
        <v>426</v>
      </c>
      <c r="B332" s="1029"/>
      <c r="C332" s="691">
        <f>PETUNJUK!C335</f>
        <v>0</v>
      </c>
      <c r="D332" s="690"/>
      <c r="E332" s="690"/>
      <c r="F332" s="690"/>
      <c r="G332" s="690"/>
      <c r="H332" s="690"/>
      <c r="I332" s="690"/>
      <c r="J332" s="690"/>
      <c r="K332" s="690"/>
      <c r="L332" s="690"/>
      <c r="M332" s="690"/>
      <c r="N332" s="690"/>
      <c r="O332" s="690"/>
      <c r="P332" s="690"/>
    </row>
    <row r="333" spans="1:16" s="693" customFormat="1" x14ac:dyDescent="0.35">
      <c r="A333" s="1029" t="s">
        <v>0</v>
      </c>
      <c r="B333" s="1029"/>
      <c r="C333" s="1031" t="s">
        <v>145</v>
      </c>
      <c r="D333" s="1031"/>
      <c r="E333" s="690"/>
      <c r="F333" s="690"/>
      <c r="G333" s="690"/>
      <c r="H333" s="690"/>
      <c r="I333" s="690"/>
      <c r="J333" s="690"/>
      <c r="K333" s="690"/>
      <c r="L333" s="690"/>
      <c r="M333" s="690"/>
      <c r="N333" s="690"/>
      <c r="O333" s="690"/>
      <c r="P333" s="690"/>
    </row>
    <row r="335" spans="1:16" x14ac:dyDescent="0.35">
      <c r="A335" s="754" t="s">
        <v>1</v>
      </c>
      <c r="B335" s="754" t="s">
        <v>2</v>
      </c>
      <c r="C335" s="754" t="s">
        <v>174</v>
      </c>
      <c r="D335" s="754"/>
      <c r="E335" s="754"/>
      <c r="F335" s="1024" t="s">
        <v>440</v>
      </c>
      <c r="G335" s="1024" t="s">
        <v>441</v>
      </c>
      <c r="H335" s="1024" t="s">
        <v>444</v>
      </c>
      <c r="I335" s="964" t="s">
        <v>427</v>
      </c>
      <c r="J335" s="964" t="s">
        <v>428</v>
      </c>
      <c r="K335" s="964" t="s">
        <v>429</v>
      </c>
      <c r="L335" s="964" t="s">
        <v>430</v>
      </c>
      <c r="M335" s="964" t="s">
        <v>432</v>
      </c>
      <c r="N335" s="964" t="s">
        <v>431</v>
      </c>
      <c r="O335" s="1032" t="s">
        <v>433</v>
      </c>
      <c r="P335" s="1032" t="s">
        <v>434</v>
      </c>
    </row>
    <row r="336" spans="1:16" ht="14.5" x14ac:dyDescent="0.35">
      <c r="A336" s="754"/>
      <c r="B336" s="754"/>
      <c r="C336" s="732" t="s">
        <v>5</v>
      </c>
      <c r="D336" s="732" t="s">
        <v>6</v>
      </c>
      <c r="E336" s="732" t="s">
        <v>133</v>
      </c>
      <c r="F336" s="1025"/>
      <c r="G336" s="1027"/>
      <c r="H336" s="1025"/>
      <c r="I336" s="1033"/>
      <c r="J336" s="1033"/>
      <c r="K336" s="1033"/>
      <c r="L336" s="1033"/>
      <c r="M336" s="1033"/>
      <c r="N336" s="964"/>
      <c r="O336" s="962"/>
      <c r="P336" s="962"/>
    </row>
    <row r="337" spans="1:16" ht="70" customHeight="1" x14ac:dyDescent="0.35">
      <c r="A337" s="754"/>
      <c r="B337" s="754"/>
      <c r="C337" s="732"/>
      <c r="D337" s="732"/>
      <c r="E337" s="732"/>
      <c r="F337" s="1026"/>
      <c r="G337" s="1028"/>
      <c r="H337" s="1026"/>
      <c r="I337" s="1033"/>
      <c r="J337" s="1033"/>
      <c r="K337" s="1033"/>
      <c r="L337" s="1033"/>
      <c r="M337" s="1033"/>
      <c r="N337" s="964"/>
      <c r="O337" s="963"/>
      <c r="P337" s="963"/>
    </row>
    <row r="338" spans="1:16" x14ac:dyDescent="0.35">
      <c r="A338" s="507">
        <v>1</v>
      </c>
      <c r="B338" s="507">
        <f>PETUNJUK!B339</f>
        <v>0</v>
      </c>
      <c r="C338" s="346">
        <f>C308</f>
        <v>101.2</v>
      </c>
      <c r="D338" s="346">
        <f>D308</f>
        <v>96.600000000000009</v>
      </c>
      <c r="E338" s="507">
        <f>C338*20%</f>
        <v>20.240000000000002</v>
      </c>
      <c r="F338" s="676">
        <f>'1.DATA KIA'!F383</f>
        <v>0</v>
      </c>
      <c r="G338" s="676"/>
      <c r="H338" s="676"/>
      <c r="I338" s="695"/>
      <c r="J338" s="695"/>
      <c r="K338" s="695"/>
      <c r="L338" s="695"/>
      <c r="M338" s="695"/>
      <c r="N338" s="695"/>
      <c r="O338" s="695"/>
      <c r="P338" s="695"/>
    </row>
    <row r="339" spans="1:16" x14ac:dyDescent="0.35">
      <c r="A339" s="507">
        <v>2</v>
      </c>
      <c r="B339" s="507">
        <f>PETUNJUK!B340</f>
        <v>0</v>
      </c>
      <c r="C339" s="346">
        <f t="shared" ref="C339:D339" si="201">C309</f>
        <v>111.10000000000001</v>
      </c>
      <c r="D339" s="346">
        <f t="shared" si="201"/>
        <v>106.05000000000001</v>
      </c>
      <c r="E339" s="507">
        <f t="shared" ref="E339:E359" si="202">C339*20%</f>
        <v>22.220000000000002</v>
      </c>
      <c r="F339" s="676">
        <f>'1.DATA KIA'!F384</f>
        <v>0</v>
      </c>
      <c r="G339" s="676"/>
      <c r="H339" s="676"/>
      <c r="I339" s="695"/>
      <c r="J339" s="695"/>
      <c r="K339" s="695"/>
      <c r="L339" s="695"/>
      <c r="M339" s="695"/>
      <c r="N339" s="695"/>
      <c r="O339" s="695"/>
      <c r="P339" s="695"/>
    </row>
    <row r="340" spans="1:16" x14ac:dyDescent="0.35">
      <c r="A340" s="507">
        <v>3</v>
      </c>
      <c r="B340" s="507">
        <f>PETUNJUK!B341</f>
        <v>0</v>
      </c>
      <c r="C340" s="346">
        <f t="shared" ref="C340:D340" si="203">C310</f>
        <v>205.70000000000002</v>
      </c>
      <c r="D340" s="346">
        <f t="shared" si="203"/>
        <v>196.35</v>
      </c>
      <c r="E340" s="507">
        <f t="shared" si="202"/>
        <v>41.140000000000008</v>
      </c>
      <c r="F340" s="676">
        <f>'1.DATA KIA'!F385</f>
        <v>0</v>
      </c>
      <c r="G340" s="676"/>
      <c r="H340" s="676"/>
      <c r="I340" s="695"/>
      <c r="J340" s="695"/>
      <c r="K340" s="695"/>
      <c r="L340" s="695"/>
      <c r="M340" s="695"/>
      <c r="N340" s="695"/>
      <c r="O340" s="695"/>
      <c r="P340" s="695"/>
    </row>
    <row r="341" spans="1:16" x14ac:dyDescent="0.35">
      <c r="A341" s="507">
        <v>4</v>
      </c>
      <c r="B341" s="507">
        <f>PETUNJUK!B342</f>
        <v>0</v>
      </c>
      <c r="C341" s="346">
        <f t="shared" ref="C341:D341" si="204">C311</f>
        <v>95.7</v>
      </c>
      <c r="D341" s="346">
        <f t="shared" si="204"/>
        <v>91.350000000000009</v>
      </c>
      <c r="E341" s="507">
        <f t="shared" si="202"/>
        <v>19.14</v>
      </c>
      <c r="F341" s="676">
        <f>'1.DATA KIA'!F386</f>
        <v>0</v>
      </c>
      <c r="G341" s="676"/>
      <c r="H341" s="676"/>
      <c r="I341" s="695"/>
      <c r="J341" s="695"/>
      <c r="K341" s="695"/>
      <c r="L341" s="695"/>
      <c r="M341" s="695"/>
      <c r="N341" s="695"/>
      <c r="O341" s="695"/>
      <c r="P341" s="695"/>
    </row>
    <row r="342" spans="1:16" x14ac:dyDescent="0.35">
      <c r="A342" s="507">
        <v>5</v>
      </c>
      <c r="B342" s="507">
        <f>PETUNJUK!B343</f>
        <v>0</v>
      </c>
      <c r="C342" s="346">
        <f t="shared" ref="C342:D342" si="205">C312</f>
        <v>85.800000000000011</v>
      </c>
      <c r="D342" s="346">
        <f t="shared" si="205"/>
        <v>81.900000000000006</v>
      </c>
      <c r="E342" s="507">
        <f t="shared" si="202"/>
        <v>17.160000000000004</v>
      </c>
      <c r="F342" s="676">
        <f>'1.DATA KIA'!F387</f>
        <v>0</v>
      </c>
      <c r="G342" s="676"/>
      <c r="H342" s="676"/>
      <c r="I342" s="695"/>
      <c r="J342" s="695"/>
      <c r="K342" s="695"/>
      <c r="L342" s="695"/>
      <c r="M342" s="695"/>
      <c r="N342" s="695"/>
      <c r="O342" s="695"/>
      <c r="P342" s="695"/>
    </row>
    <row r="343" spans="1:16" x14ac:dyDescent="0.35">
      <c r="A343" s="507">
        <v>6</v>
      </c>
      <c r="B343" s="507">
        <f>PETUNJUK!B344</f>
        <v>0</v>
      </c>
      <c r="C343" s="346">
        <f t="shared" ref="C343:D343" si="206">C313</f>
        <v>82.5</v>
      </c>
      <c r="D343" s="346">
        <f t="shared" si="206"/>
        <v>78.75</v>
      </c>
      <c r="E343" s="507">
        <f t="shared" si="202"/>
        <v>16.5</v>
      </c>
      <c r="F343" s="676">
        <f>'1.DATA KIA'!F388</f>
        <v>0</v>
      </c>
      <c r="G343" s="676"/>
      <c r="H343" s="676"/>
      <c r="I343" s="695"/>
      <c r="J343" s="695"/>
      <c r="K343" s="695"/>
      <c r="L343" s="695"/>
      <c r="M343" s="695"/>
      <c r="N343" s="695"/>
      <c r="O343" s="695"/>
      <c r="P343" s="695"/>
    </row>
    <row r="344" spans="1:16" x14ac:dyDescent="0.35">
      <c r="A344" s="507">
        <v>7</v>
      </c>
      <c r="B344" s="507">
        <f>PETUNJUK!B345</f>
        <v>0</v>
      </c>
      <c r="C344" s="346">
        <f t="shared" ref="C344:D344" si="207">C314</f>
        <v>93.500000000000014</v>
      </c>
      <c r="D344" s="346">
        <f t="shared" si="207"/>
        <v>89.25</v>
      </c>
      <c r="E344" s="507">
        <f t="shared" si="202"/>
        <v>18.700000000000003</v>
      </c>
      <c r="F344" s="676">
        <f>'1.DATA KIA'!F389</f>
        <v>0</v>
      </c>
      <c r="G344" s="676"/>
      <c r="H344" s="676"/>
      <c r="I344" s="695"/>
      <c r="J344" s="695"/>
      <c r="K344" s="695"/>
      <c r="L344" s="695"/>
      <c r="M344" s="695"/>
      <c r="N344" s="695"/>
      <c r="O344" s="695"/>
      <c r="P344" s="695"/>
    </row>
    <row r="345" spans="1:16" x14ac:dyDescent="0.35">
      <c r="A345" s="507">
        <v>8</v>
      </c>
      <c r="B345" s="507">
        <f>PETUNJUK!B346</f>
        <v>0</v>
      </c>
      <c r="C345" s="346">
        <f t="shared" ref="C345:D345" si="208">C315</f>
        <v>46.2</v>
      </c>
      <c r="D345" s="346">
        <f t="shared" si="208"/>
        <v>44.1</v>
      </c>
      <c r="E345" s="507">
        <f t="shared" si="202"/>
        <v>9.24</v>
      </c>
      <c r="F345" s="676">
        <f>'1.DATA KIA'!F390</f>
        <v>0</v>
      </c>
      <c r="G345" s="676"/>
      <c r="H345" s="676"/>
      <c r="I345" s="695"/>
      <c r="J345" s="695"/>
      <c r="K345" s="695"/>
      <c r="L345" s="695"/>
      <c r="M345" s="695"/>
      <c r="N345" s="695"/>
      <c r="O345" s="695"/>
      <c r="P345" s="695"/>
    </row>
    <row r="346" spans="1:16" x14ac:dyDescent="0.35">
      <c r="A346" s="507">
        <v>9</v>
      </c>
      <c r="B346" s="507">
        <f>PETUNJUK!B347</f>
        <v>0</v>
      </c>
      <c r="C346" s="346">
        <f t="shared" ref="C346:D346" si="209">C316</f>
        <v>53.900000000000006</v>
      </c>
      <c r="D346" s="346">
        <f t="shared" si="209"/>
        <v>51.45</v>
      </c>
      <c r="E346" s="507">
        <f t="shared" si="202"/>
        <v>10.780000000000001</v>
      </c>
      <c r="F346" s="676">
        <f>'1.DATA KIA'!F391</f>
        <v>0</v>
      </c>
      <c r="G346" s="676"/>
      <c r="H346" s="676"/>
      <c r="I346" s="695"/>
      <c r="J346" s="695"/>
      <c r="K346" s="695"/>
      <c r="L346" s="695"/>
      <c r="M346" s="695"/>
      <c r="N346" s="695"/>
      <c r="O346" s="695"/>
      <c r="P346" s="695"/>
    </row>
    <row r="347" spans="1:16" x14ac:dyDescent="0.35">
      <c r="A347" s="507">
        <v>10</v>
      </c>
      <c r="B347" s="507">
        <f>PETUNJUK!B348</f>
        <v>0</v>
      </c>
      <c r="C347" s="346">
        <f t="shared" ref="C347:D347" si="210">C317</f>
        <v>50.6</v>
      </c>
      <c r="D347" s="346">
        <f t="shared" si="210"/>
        <v>48.300000000000004</v>
      </c>
      <c r="E347" s="507">
        <f t="shared" si="202"/>
        <v>10.120000000000001</v>
      </c>
      <c r="F347" s="676">
        <f>'1.DATA KIA'!F392</f>
        <v>0</v>
      </c>
      <c r="G347" s="676"/>
      <c r="H347" s="676"/>
      <c r="I347" s="695"/>
      <c r="J347" s="695"/>
      <c r="K347" s="695"/>
      <c r="L347" s="695"/>
      <c r="M347" s="695"/>
      <c r="N347" s="695"/>
      <c r="O347" s="695"/>
      <c r="P347" s="695"/>
    </row>
    <row r="348" spans="1:16" x14ac:dyDescent="0.35">
      <c r="A348" s="507">
        <v>11</v>
      </c>
      <c r="B348" s="507">
        <f>PETUNJUK!B349</f>
        <v>0</v>
      </c>
      <c r="C348" s="346">
        <f t="shared" ref="C348:D348" si="211">C318</f>
        <v>117.7</v>
      </c>
      <c r="D348" s="346">
        <f t="shared" si="211"/>
        <v>112.35000000000001</v>
      </c>
      <c r="E348" s="507">
        <f t="shared" si="202"/>
        <v>23.540000000000003</v>
      </c>
      <c r="F348" s="676">
        <f>'1.DATA KIA'!F393</f>
        <v>0</v>
      </c>
      <c r="G348" s="676"/>
      <c r="H348" s="676"/>
      <c r="I348" s="695"/>
      <c r="J348" s="695"/>
      <c r="K348" s="695"/>
      <c r="L348" s="695"/>
      <c r="M348" s="695"/>
      <c r="N348" s="695"/>
      <c r="O348" s="695"/>
      <c r="P348" s="695"/>
    </row>
    <row r="349" spans="1:16" x14ac:dyDescent="0.35">
      <c r="A349" s="507">
        <v>12</v>
      </c>
      <c r="B349" s="507">
        <f>PETUNJUK!B350</f>
        <v>0</v>
      </c>
      <c r="C349" s="346">
        <f t="shared" ref="C349:D349" si="212">C319</f>
        <v>23.1</v>
      </c>
      <c r="D349" s="346">
        <f t="shared" si="212"/>
        <v>22.05</v>
      </c>
      <c r="E349" s="507">
        <f t="shared" si="202"/>
        <v>4.62</v>
      </c>
      <c r="F349" s="676">
        <f>'1.DATA KIA'!F394</f>
        <v>0</v>
      </c>
      <c r="G349" s="676"/>
      <c r="H349" s="676"/>
      <c r="I349" s="695"/>
      <c r="J349" s="695"/>
      <c r="K349" s="695"/>
      <c r="L349" s="695"/>
      <c r="M349" s="695"/>
      <c r="N349" s="695"/>
      <c r="O349" s="695"/>
      <c r="P349" s="695"/>
    </row>
    <row r="350" spans="1:16" x14ac:dyDescent="0.35">
      <c r="A350" s="507">
        <v>13</v>
      </c>
      <c r="B350" s="507">
        <f>PETUNJUK!B351</f>
        <v>0</v>
      </c>
      <c r="C350" s="346">
        <f t="shared" ref="C350:D350" si="213">C320</f>
        <v>0</v>
      </c>
      <c r="D350" s="346">
        <f t="shared" si="213"/>
        <v>0</v>
      </c>
      <c r="E350" s="507">
        <f t="shared" si="202"/>
        <v>0</v>
      </c>
      <c r="F350" s="676">
        <f>'1.DATA KIA'!F395</f>
        <v>0</v>
      </c>
      <c r="G350" s="676"/>
      <c r="H350" s="676"/>
      <c r="I350" s="695"/>
      <c r="J350" s="695"/>
      <c r="K350" s="695"/>
      <c r="L350" s="695"/>
      <c r="M350" s="695"/>
      <c r="N350" s="695"/>
      <c r="O350" s="695"/>
      <c r="P350" s="695"/>
    </row>
    <row r="351" spans="1:16" x14ac:dyDescent="0.35">
      <c r="A351" s="507">
        <v>14</v>
      </c>
      <c r="B351" s="507">
        <f>PETUNJUK!B352</f>
        <v>0</v>
      </c>
      <c r="C351" s="346">
        <f t="shared" ref="C351:D351" si="214">C321</f>
        <v>0</v>
      </c>
      <c r="D351" s="346">
        <f t="shared" si="214"/>
        <v>0</v>
      </c>
      <c r="E351" s="507">
        <f t="shared" si="202"/>
        <v>0</v>
      </c>
      <c r="F351" s="676">
        <f>'1.DATA KIA'!F396</f>
        <v>0</v>
      </c>
      <c r="G351" s="676"/>
      <c r="H351" s="676"/>
      <c r="I351" s="695"/>
      <c r="J351" s="695"/>
      <c r="K351" s="695"/>
      <c r="L351" s="695"/>
      <c r="M351" s="695"/>
      <c r="N351" s="695"/>
      <c r="O351" s="695"/>
      <c r="P351" s="695"/>
    </row>
    <row r="352" spans="1:16" x14ac:dyDescent="0.35">
      <c r="A352" s="507">
        <v>15</v>
      </c>
      <c r="B352" s="507">
        <f>PETUNJUK!B353</f>
        <v>0</v>
      </c>
      <c r="C352" s="346">
        <f t="shared" ref="C352:D352" si="215">C322</f>
        <v>0</v>
      </c>
      <c r="D352" s="346">
        <f t="shared" si="215"/>
        <v>0</v>
      </c>
      <c r="E352" s="507">
        <f t="shared" si="202"/>
        <v>0</v>
      </c>
      <c r="F352" s="676">
        <f>'1.DATA KIA'!F397</f>
        <v>0</v>
      </c>
      <c r="G352" s="676"/>
      <c r="H352" s="676"/>
      <c r="I352" s="695"/>
      <c r="J352" s="695"/>
      <c r="K352" s="695"/>
      <c r="L352" s="695"/>
      <c r="M352" s="695"/>
      <c r="N352" s="695"/>
      <c r="O352" s="695"/>
      <c r="P352" s="695"/>
    </row>
    <row r="353" spans="1:16" x14ac:dyDescent="0.35">
      <c r="A353" s="507">
        <v>16</v>
      </c>
      <c r="B353" s="507">
        <f>PETUNJUK!B354</f>
        <v>0</v>
      </c>
      <c r="C353" s="346">
        <f t="shared" ref="C353:D353" si="216">C323</f>
        <v>0</v>
      </c>
      <c r="D353" s="346">
        <f t="shared" si="216"/>
        <v>0</v>
      </c>
      <c r="E353" s="507">
        <f t="shared" si="202"/>
        <v>0</v>
      </c>
      <c r="F353" s="676">
        <f>'1.DATA KIA'!F398</f>
        <v>0</v>
      </c>
      <c r="G353" s="676"/>
      <c r="H353" s="676"/>
      <c r="I353" s="695"/>
      <c r="J353" s="695"/>
      <c r="K353" s="695"/>
      <c r="L353" s="695"/>
      <c r="M353" s="695"/>
      <c r="N353" s="695"/>
      <c r="O353" s="695"/>
      <c r="P353" s="695"/>
    </row>
    <row r="354" spans="1:16" x14ac:dyDescent="0.35">
      <c r="A354" s="507">
        <v>17</v>
      </c>
      <c r="B354" s="507">
        <f>PETUNJUK!B355</f>
        <v>0</v>
      </c>
      <c r="C354" s="346">
        <f t="shared" ref="C354:D354" si="217">C324</f>
        <v>0</v>
      </c>
      <c r="D354" s="346">
        <f t="shared" si="217"/>
        <v>0</v>
      </c>
      <c r="E354" s="507">
        <f t="shared" si="202"/>
        <v>0</v>
      </c>
      <c r="F354" s="676">
        <f>'1.DATA KIA'!F399</f>
        <v>0</v>
      </c>
      <c r="G354" s="676"/>
      <c r="H354" s="676"/>
      <c r="I354" s="695"/>
      <c r="J354" s="695"/>
      <c r="K354" s="695"/>
      <c r="L354" s="695"/>
      <c r="M354" s="695"/>
      <c r="N354" s="695"/>
      <c r="O354" s="695"/>
      <c r="P354" s="695"/>
    </row>
    <row r="355" spans="1:16" x14ac:dyDescent="0.35">
      <c r="A355" s="507">
        <v>18</v>
      </c>
      <c r="B355" s="507">
        <f>PETUNJUK!B356</f>
        <v>0</v>
      </c>
      <c r="C355" s="346">
        <f t="shared" ref="C355:D355" si="218">C325</f>
        <v>0</v>
      </c>
      <c r="D355" s="346">
        <f t="shared" si="218"/>
        <v>0</v>
      </c>
      <c r="E355" s="507">
        <f t="shared" si="202"/>
        <v>0</v>
      </c>
      <c r="F355" s="676">
        <f>'1.DATA KIA'!F400</f>
        <v>0</v>
      </c>
      <c r="G355" s="676"/>
      <c r="H355" s="676"/>
      <c r="I355" s="695"/>
      <c r="J355" s="695"/>
      <c r="K355" s="695"/>
      <c r="L355" s="695"/>
      <c r="M355" s="695"/>
      <c r="N355" s="695"/>
      <c r="O355" s="695"/>
      <c r="P355" s="695"/>
    </row>
    <row r="356" spans="1:16" x14ac:dyDescent="0.35">
      <c r="A356" s="507">
        <v>19</v>
      </c>
      <c r="B356" s="507">
        <f>PETUNJUK!B357</f>
        <v>0</v>
      </c>
      <c r="C356" s="346">
        <f t="shared" ref="C356:D356" si="219">C326</f>
        <v>0</v>
      </c>
      <c r="D356" s="346">
        <f t="shared" si="219"/>
        <v>0</v>
      </c>
      <c r="E356" s="507">
        <f t="shared" si="202"/>
        <v>0</v>
      </c>
      <c r="F356" s="676">
        <f>'1.DATA KIA'!F401</f>
        <v>0</v>
      </c>
      <c r="G356" s="676"/>
      <c r="H356" s="676"/>
      <c r="I356" s="695"/>
      <c r="J356" s="695"/>
      <c r="K356" s="695"/>
      <c r="L356" s="695"/>
      <c r="M356" s="695"/>
      <c r="N356" s="695"/>
      <c r="O356" s="695"/>
      <c r="P356" s="695"/>
    </row>
    <row r="357" spans="1:16" x14ac:dyDescent="0.35">
      <c r="A357" s="507">
        <v>20</v>
      </c>
      <c r="B357" s="507">
        <f>PETUNJUK!B358</f>
        <v>0</v>
      </c>
      <c r="C357" s="346">
        <f t="shared" ref="C357:D357" si="220">C327</f>
        <v>0</v>
      </c>
      <c r="D357" s="346">
        <f t="shared" si="220"/>
        <v>0</v>
      </c>
      <c r="E357" s="507">
        <f t="shared" si="202"/>
        <v>0</v>
      </c>
      <c r="F357" s="676">
        <f>'1.DATA KIA'!F402</f>
        <v>0</v>
      </c>
      <c r="G357" s="676"/>
      <c r="H357" s="676"/>
      <c r="I357" s="695"/>
      <c r="J357" s="695"/>
      <c r="K357" s="695"/>
      <c r="L357" s="695"/>
      <c r="M357" s="695"/>
      <c r="N357" s="695"/>
      <c r="O357" s="695"/>
      <c r="P357" s="695"/>
    </row>
    <row r="358" spans="1:16" x14ac:dyDescent="0.35">
      <c r="A358" s="507">
        <v>21</v>
      </c>
      <c r="B358" s="507">
        <f>PETUNJUK!B359</f>
        <v>0</v>
      </c>
      <c r="C358" s="346">
        <f t="shared" ref="C358:D358" si="221">C328</f>
        <v>0</v>
      </c>
      <c r="D358" s="346">
        <f t="shared" si="221"/>
        <v>0</v>
      </c>
      <c r="E358" s="507">
        <f t="shared" si="202"/>
        <v>0</v>
      </c>
      <c r="F358" s="676">
        <f>'1.DATA KIA'!F403</f>
        <v>0</v>
      </c>
      <c r="G358" s="676"/>
      <c r="H358" s="676"/>
      <c r="I358" s="695"/>
      <c r="J358" s="695"/>
      <c r="K358" s="695"/>
      <c r="L358" s="695"/>
      <c r="M358" s="695"/>
      <c r="N358" s="695"/>
      <c r="O358" s="695"/>
      <c r="P358" s="695"/>
    </row>
    <row r="359" spans="1:16" x14ac:dyDescent="0.35">
      <c r="A359" s="512">
        <v>22</v>
      </c>
      <c r="B359" s="512">
        <f>PETUNJUK!B360</f>
        <v>0</v>
      </c>
      <c r="C359" s="346">
        <f t="shared" ref="C359:D359" si="222">C329</f>
        <v>0</v>
      </c>
      <c r="D359" s="346">
        <f t="shared" si="222"/>
        <v>0</v>
      </c>
      <c r="E359" s="512">
        <f t="shared" si="202"/>
        <v>0</v>
      </c>
      <c r="F359" s="676">
        <f>'1.DATA KIA'!F404</f>
        <v>0</v>
      </c>
      <c r="G359" s="512"/>
      <c r="H359" s="512"/>
      <c r="I359" s="696"/>
      <c r="J359" s="696"/>
      <c r="K359" s="696"/>
      <c r="L359" s="696"/>
      <c r="M359" s="696"/>
      <c r="N359" s="696"/>
      <c r="O359" s="696"/>
      <c r="P359" s="696"/>
    </row>
    <row r="360" spans="1:16" x14ac:dyDescent="0.35">
      <c r="A360" s="1030" t="s">
        <v>18</v>
      </c>
      <c r="B360" s="1030"/>
      <c r="C360" s="688">
        <f>SUM(C338:C359)</f>
        <v>1067</v>
      </c>
      <c r="D360" s="688">
        <f t="shared" ref="D360" si="223">SUM(D338:D359)</f>
        <v>1018.5</v>
      </c>
      <c r="E360" s="688">
        <f t="shared" ref="E360" si="224">20%*C360</f>
        <v>213.4</v>
      </c>
      <c r="F360" s="694">
        <f t="shared" ref="F360:H360" si="225">SUM(F338:F359)</f>
        <v>0</v>
      </c>
      <c r="G360" s="694">
        <f t="shared" si="225"/>
        <v>0</v>
      </c>
      <c r="H360" s="694">
        <f t="shared" si="225"/>
        <v>0</v>
      </c>
      <c r="I360" s="694">
        <f>SUM(I338:I359)</f>
        <v>0</v>
      </c>
      <c r="J360" s="694">
        <f t="shared" ref="J360:P360" si="226">SUM(J338:J359)</f>
        <v>0</v>
      </c>
      <c r="K360" s="694">
        <f t="shared" si="226"/>
        <v>0</v>
      </c>
      <c r="L360" s="694">
        <f t="shared" si="226"/>
        <v>0</v>
      </c>
      <c r="M360" s="694">
        <f t="shared" si="226"/>
        <v>0</v>
      </c>
      <c r="N360" s="694">
        <f t="shared" si="226"/>
        <v>0</v>
      </c>
      <c r="O360" s="694">
        <f t="shared" si="226"/>
        <v>0</v>
      </c>
      <c r="P360" s="694">
        <f t="shared" si="226"/>
        <v>0</v>
      </c>
    </row>
    <row r="362" spans="1:16" s="693" customFormat="1" x14ac:dyDescent="0.35">
      <c r="A362" s="1029" t="s">
        <v>426</v>
      </c>
      <c r="B362" s="1029"/>
      <c r="C362" s="691">
        <f>PETUNJUK!C365</f>
        <v>0</v>
      </c>
      <c r="D362" s="690"/>
      <c r="E362" s="690"/>
      <c r="F362" s="690"/>
      <c r="G362" s="690"/>
      <c r="H362" s="690"/>
      <c r="I362" s="690"/>
      <c r="J362" s="690"/>
      <c r="K362" s="690"/>
      <c r="L362" s="690"/>
      <c r="M362" s="690"/>
      <c r="N362" s="690"/>
      <c r="O362" s="690"/>
      <c r="P362" s="690"/>
    </row>
    <row r="363" spans="1:16" s="693" customFormat="1" x14ac:dyDescent="0.35">
      <c r="A363" s="1029" t="s">
        <v>0</v>
      </c>
      <c r="B363" s="1029"/>
      <c r="C363" s="1035" t="s">
        <v>435</v>
      </c>
      <c r="D363" s="1035"/>
      <c r="E363" s="1035"/>
      <c r="F363" s="1035"/>
      <c r="G363" s="1035"/>
      <c r="H363" s="1035"/>
      <c r="I363" s="1035"/>
      <c r="J363" s="1035"/>
      <c r="K363" s="690"/>
      <c r="L363" s="690"/>
      <c r="M363" s="690"/>
      <c r="N363" s="690"/>
      <c r="O363" s="690"/>
      <c r="P363" s="690"/>
    </row>
    <row r="365" spans="1:16" x14ac:dyDescent="0.35">
      <c r="A365" s="754" t="s">
        <v>1</v>
      </c>
      <c r="B365" s="754" t="s">
        <v>2</v>
      </c>
      <c r="C365" s="754" t="s">
        <v>174</v>
      </c>
      <c r="D365" s="754"/>
      <c r="E365" s="754"/>
      <c r="F365" s="1024" t="s">
        <v>440</v>
      </c>
      <c r="G365" s="1024" t="s">
        <v>441</v>
      </c>
      <c r="H365" s="1024" t="s">
        <v>444</v>
      </c>
      <c r="I365" s="964" t="s">
        <v>427</v>
      </c>
      <c r="J365" s="964" t="s">
        <v>428</v>
      </c>
      <c r="K365" s="964" t="s">
        <v>429</v>
      </c>
      <c r="L365" s="964" t="s">
        <v>430</v>
      </c>
      <c r="M365" s="964" t="s">
        <v>432</v>
      </c>
      <c r="N365" s="964" t="s">
        <v>431</v>
      </c>
      <c r="O365" s="1032" t="s">
        <v>433</v>
      </c>
      <c r="P365" s="1032" t="s">
        <v>434</v>
      </c>
    </row>
    <row r="366" spans="1:16" ht="14.5" x14ac:dyDescent="0.35">
      <c r="A366" s="754"/>
      <c r="B366" s="754"/>
      <c r="C366" s="732" t="s">
        <v>5</v>
      </c>
      <c r="D366" s="732" t="s">
        <v>6</v>
      </c>
      <c r="E366" s="732" t="s">
        <v>133</v>
      </c>
      <c r="F366" s="1025"/>
      <c r="G366" s="1027"/>
      <c r="H366" s="1025"/>
      <c r="I366" s="1033"/>
      <c r="J366" s="1033"/>
      <c r="K366" s="1033"/>
      <c r="L366" s="1033"/>
      <c r="M366" s="1033"/>
      <c r="N366" s="964"/>
      <c r="O366" s="962"/>
      <c r="P366" s="962"/>
    </row>
    <row r="367" spans="1:16" ht="72.650000000000006" customHeight="1" x14ac:dyDescent="0.35">
      <c r="A367" s="754"/>
      <c r="B367" s="754"/>
      <c r="C367" s="732"/>
      <c r="D367" s="732"/>
      <c r="E367" s="732"/>
      <c r="F367" s="1026"/>
      <c r="G367" s="1028"/>
      <c r="H367" s="1026"/>
      <c r="I367" s="1033"/>
      <c r="J367" s="1033"/>
      <c r="K367" s="1033"/>
      <c r="L367" s="1033"/>
      <c r="M367" s="1033"/>
      <c r="N367" s="964"/>
      <c r="O367" s="963"/>
      <c r="P367" s="963"/>
    </row>
    <row r="368" spans="1:16" x14ac:dyDescent="0.35">
      <c r="A368" s="507">
        <v>1</v>
      </c>
      <c r="B368" s="507">
        <f>PETUNJUK!B369</f>
        <v>0</v>
      </c>
      <c r="C368" s="346">
        <f>C338</f>
        <v>101.2</v>
      </c>
      <c r="D368" s="346">
        <f>D338</f>
        <v>96.600000000000009</v>
      </c>
      <c r="E368" s="507">
        <f>C368*20%</f>
        <v>20.240000000000002</v>
      </c>
      <c r="F368" s="695">
        <f t="shared" ref="F368:H368" si="227">F8+F38+F68+F98+F128+F158+F188+F218+F248+F278+F308+F338</f>
        <v>30</v>
      </c>
      <c r="G368" s="695">
        <f t="shared" si="227"/>
        <v>30</v>
      </c>
      <c r="H368" s="695">
        <f t="shared" si="227"/>
        <v>28</v>
      </c>
      <c r="I368" s="695">
        <f>I8+I38+I68+I98+I128+I158+I188+I218+I248+I278+I308+I338</f>
        <v>30</v>
      </c>
      <c r="J368" s="695">
        <f t="shared" ref="J368:P368" si="228">J8+J38+J68+J98+J128+J158+J188+J218+J248+J278+J308+J338</f>
        <v>30</v>
      </c>
      <c r="K368" s="695">
        <f t="shared" si="228"/>
        <v>2</v>
      </c>
      <c r="L368" s="695">
        <f t="shared" si="228"/>
        <v>2</v>
      </c>
      <c r="M368" s="695">
        <f t="shared" si="228"/>
        <v>0</v>
      </c>
      <c r="N368" s="695">
        <f t="shared" si="228"/>
        <v>0</v>
      </c>
      <c r="O368" s="695">
        <f t="shared" si="228"/>
        <v>0</v>
      </c>
      <c r="P368" s="695">
        <f t="shared" si="228"/>
        <v>0</v>
      </c>
    </row>
    <row r="369" spans="1:16" x14ac:dyDescent="0.35">
      <c r="A369" s="507">
        <v>2</v>
      </c>
      <c r="B369" s="507">
        <f>PETUNJUK!B370</f>
        <v>0</v>
      </c>
      <c r="C369" s="346">
        <f t="shared" ref="C369:D369" si="229">C339</f>
        <v>111.10000000000001</v>
      </c>
      <c r="D369" s="346">
        <f t="shared" si="229"/>
        <v>106.05000000000001</v>
      </c>
      <c r="E369" s="507">
        <f t="shared" ref="E369:E389" si="230">C369*20%</f>
        <v>22.220000000000002</v>
      </c>
      <c r="F369" s="695">
        <f t="shared" ref="F369:H369" si="231">F9+F39+F69+F99+F129+F159+F189+F219+F249+F279+F309+F339</f>
        <v>54</v>
      </c>
      <c r="G369" s="695">
        <f t="shared" si="231"/>
        <v>54</v>
      </c>
      <c r="H369" s="695">
        <f t="shared" si="231"/>
        <v>20</v>
      </c>
      <c r="I369" s="695">
        <f t="shared" ref="I369:P369" si="232">I9+I39+I69+I99+I129+I159+I189+I219+I249+I279+I309+I339</f>
        <v>54</v>
      </c>
      <c r="J369" s="695">
        <f t="shared" si="232"/>
        <v>54</v>
      </c>
      <c r="K369" s="695">
        <f t="shared" si="232"/>
        <v>1</v>
      </c>
      <c r="L369" s="695">
        <f t="shared" si="232"/>
        <v>1</v>
      </c>
      <c r="M369" s="695">
        <f t="shared" si="232"/>
        <v>1</v>
      </c>
      <c r="N369" s="695">
        <f t="shared" si="232"/>
        <v>1</v>
      </c>
      <c r="O369" s="695">
        <f t="shared" si="232"/>
        <v>0</v>
      </c>
      <c r="P369" s="695">
        <f t="shared" si="232"/>
        <v>0</v>
      </c>
    </row>
    <row r="370" spans="1:16" x14ac:dyDescent="0.35">
      <c r="A370" s="507">
        <v>3</v>
      </c>
      <c r="B370" s="507">
        <f>PETUNJUK!B371</f>
        <v>0</v>
      </c>
      <c r="C370" s="346">
        <f t="shared" ref="C370:D370" si="233">C340</f>
        <v>205.70000000000002</v>
      </c>
      <c r="D370" s="346">
        <f t="shared" si="233"/>
        <v>196.35</v>
      </c>
      <c r="E370" s="507">
        <f t="shared" si="230"/>
        <v>41.140000000000008</v>
      </c>
      <c r="F370" s="695">
        <f t="shared" ref="F370:H370" si="234">F10+F40+F70+F100+F130+F160+F190+F220+F250+F280+F310+F340</f>
        <v>78</v>
      </c>
      <c r="G370" s="695">
        <f t="shared" si="234"/>
        <v>78</v>
      </c>
      <c r="H370" s="695">
        <f t="shared" si="234"/>
        <v>66</v>
      </c>
      <c r="I370" s="695">
        <f t="shared" ref="I370:P370" si="235">I10+I40+I70+I100+I130+I160+I190+I220+I250+I280+I310+I340</f>
        <v>78</v>
      </c>
      <c r="J370" s="695">
        <f t="shared" si="235"/>
        <v>78</v>
      </c>
      <c r="K370" s="695">
        <f t="shared" si="235"/>
        <v>2</v>
      </c>
      <c r="L370" s="695">
        <f t="shared" si="235"/>
        <v>2</v>
      </c>
      <c r="M370" s="695">
        <f t="shared" si="235"/>
        <v>0</v>
      </c>
      <c r="N370" s="695">
        <f t="shared" si="235"/>
        <v>0</v>
      </c>
      <c r="O370" s="695">
        <f t="shared" si="235"/>
        <v>1</v>
      </c>
      <c r="P370" s="695">
        <f t="shared" si="235"/>
        <v>1</v>
      </c>
    </row>
    <row r="371" spans="1:16" x14ac:dyDescent="0.35">
      <c r="A371" s="507">
        <v>4</v>
      </c>
      <c r="B371" s="507">
        <f>PETUNJUK!B372</f>
        <v>0</v>
      </c>
      <c r="C371" s="346">
        <f t="shared" ref="C371:D371" si="236">C341</f>
        <v>95.7</v>
      </c>
      <c r="D371" s="346">
        <f t="shared" si="236"/>
        <v>91.350000000000009</v>
      </c>
      <c r="E371" s="507">
        <f t="shared" si="230"/>
        <v>19.14</v>
      </c>
      <c r="F371" s="695">
        <f t="shared" ref="F371:H371" si="237">F11+F41+F71+F101+F131+F161+F191+F221+F251+F281+F311+F341</f>
        <v>30</v>
      </c>
      <c r="G371" s="695">
        <f t="shared" si="237"/>
        <v>30</v>
      </c>
      <c r="H371" s="695">
        <f t="shared" si="237"/>
        <v>29</v>
      </c>
      <c r="I371" s="695">
        <f t="shared" ref="I371:P371" si="238">I11+I41+I71+I101+I131+I161+I191+I221+I251+I281+I311+I341</f>
        <v>30</v>
      </c>
      <c r="J371" s="695">
        <f t="shared" si="238"/>
        <v>30</v>
      </c>
      <c r="K371" s="695">
        <f t="shared" si="238"/>
        <v>0</v>
      </c>
      <c r="L371" s="695">
        <f t="shared" si="238"/>
        <v>0</v>
      </c>
      <c r="M371" s="695">
        <f t="shared" si="238"/>
        <v>0</v>
      </c>
      <c r="N371" s="695">
        <f t="shared" si="238"/>
        <v>0</v>
      </c>
      <c r="O371" s="695">
        <f t="shared" si="238"/>
        <v>0</v>
      </c>
      <c r="P371" s="695">
        <f t="shared" si="238"/>
        <v>0</v>
      </c>
    </row>
    <row r="372" spans="1:16" x14ac:dyDescent="0.35">
      <c r="A372" s="507">
        <v>5</v>
      </c>
      <c r="B372" s="507">
        <f>PETUNJUK!B373</f>
        <v>0</v>
      </c>
      <c r="C372" s="346">
        <f t="shared" ref="C372:D372" si="239">C342</f>
        <v>85.800000000000011</v>
      </c>
      <c r="D372" s="346">
        <f t="shared" si="239"/>
        <v>81.900000000000006</v>
      </c>
      <c r="E372" s="507">
        <f t="shared" si="230"/>
        <v>17.160000000000004</v>
      </c>
      <c r="F372" s="695">
        <f t="shared" ref="F372:H372" si="240">F12+F42+F72+F102+F132+F162+F192+F222+F252+F282+F312+F342</f>
        <v>33</v>
      </c>
      <c r="G372" s="695">
        <f t="shared" si="240"/>
        <v>33</v>
      </c>
      <c r="H372" s="695">
        <f t="shared" si="240"/>
        <v>23</v>
      </c>
      <c r="I372" s="695">
        <f t="shared" ref="I372:P372" si="241">I12+I42+I72+I102+I132+I162+I192+I222+I252+I282+I312+I342</f>
        <v>33</v>
      </c>
      <c r="J372" s="695">
        <f t="shared" si="241"/>
        <v>33</v>
      </c>
      <c r="K372" s="695">
        <f t="shared" si="241"/>
        <v>1</v>
      </c>
      <c r="L372" s="695">
        <f t="shared" si="241"/>
        <v>1</v>
      </c>
      <c r="M372" s="695">
        <f t="shared" si="241"/>
        <v>1</v>
      </c>
      <c r="N372" s="695">
        <f t="shared" si="241"/>
        <v>1</v>
      </c>
      <c r="O372" s="695">
        <f t="shared" si="241"/>
        <v>0</v>
      </c>
      <c r="P372" s="695">
        <f t="shared" si="241"/>
        <v>0</v>
      </c>
    </row>
    <row r="373" spans="1:16" x14ac:dyDescent="0.35">
      <c r="A373" s="507">
        <v>6</v>
      </c>
      <c r="B373" s="507">
        <f>PETUNJUK!B374</f>
        <v>0</v>
      </c>
      <c r="C373" s="346">
        <f t="shared" ref="C373:D373" si="242">C343</f>
        <v>82.5</v>
      </c>
      <c r="D373" s="346">
        <f t="shared" si="242"/>
        <v>78.75</v>
      </c>
      <c r="E373" s="507">
        <f t="shared" si="230"/>
        <v>16.5</v>
      </c>
      <c r="F373" s="695">
        <f t="shared" ref="F373:H373" si="243">F13+F43+F73+F103+F133+F163+F193+F223+F253+F283+F313+F343</f>
        <v>18</v>
      </c>
      <c r="G373" s="695">
        <f t="shared" si="243"/>
        <v>18</v>
      </c>
      <c r="H373" s="695">
        <f t="shared" si="243"/>
        <v>20</v>
      </c>
      <c r="I373" s="695">
        <f t="shared" ref="I373:P373" si="244">I13+I43+I73+I103+I133+I163+I193+I223+I253+I283+I313+I343</f>
        <v>18</v>
      </c>
      <c r="J373" s="695">
        <f t="shared" si="244"/>
        <v>18</v>
      </c>
      <c r="K373" s="695">
        <f t="shared" si="244"/>
        <v>2</v>
      </c>
      <c r="L373" s="695">
        <f t="shared" si="244"/>
        <v>2</v>
      </c>
      <c r="M373" s="695">
        <f t="shared" si="244"/>
        <v>0</v>
      </c>
      <c r="N373" s="695">
        <f t="shared" si="244"/>
        <v>0</v>
      </c>
      <c r="O373" s="695">
        <f t="shared" si="244"/>
        <v>0</v>
      </c>
      <c r="P373" s="695">
        <f t="shared" si="244"/>
        <v>0</v>
      </c>
    </row>
    <row r="374" spans="1:16" x14ac:dyDescent="0.35">
      <c r="A374" s="507">
        <v>7</v>
      </c>
      <c r="B374" s="507">
        <f>PETUNJUK!B375</f>
        <v>0</v>
      </c>
      <c r="C374" s="346">
        <f t="shared" ref="C374:D374" si="245">C344</f>
        <v>93.500000000000014</v>
      </c>
      <c r="D374" s="346">
        <f t="shared" si="245"/>
        <v>89.25</v>
      </c>
      <c r="E374" s="507">
        <f t="shared" si="230"/>
        <v>18.700000000000003</v>
      </c>
      <c r="F374" s="695">
        <f t="shared" ref="F374:H374" si="246">F14+F44+F74+F104+F134+F164+F194+F224+F254+F284+F314+F344</f>
        <v>31</v>
      </c>
      <c r="G374" s="695">
        <f t="shared" si="246"/>
        <v>31</v>
      </c>
      <c r="H374" s="695">
        <f t="shared" si="246"/>
        <v>26</v>
      </c>
      <c r="I374" s="695">
        <f t="shared" ref="I374:P374" si="247">I14+I44+I74+I104+I134+I164+I194+I224+I254+I284+I314+I344</f>
        <v>31</v>
      </c>
      <c r="J374" s="695">
        <f t="shared" si="247"/>
        <v>31</v>
      </c>
      <c r="K374" s="695">
        <f t="shared" si="247"/>
        <v>0</v>
      </c>
      <c r="L374" s="695">
        <f t="shared" si="247"/>
        <v>0</v>
      </c>
      <c r="M374" s="695">
        <f t="shared" si="247"/>
        <v>0</v>
      </c>
      <c r="N374" s="695">
        <f t="shared" si="247"/>
        <v>0</v>
      </c>
      <c r="O374" s="695">
        <f t="shared" si="247"/>
        <v>0</v>
      </c>
      <c r="P374" s="695">
        <f t="shared" si="247"/>
        <v>0</v>
      </c>
    </row>
    <row r="375" spans="1:16" x14ac:dyDescent="0.35">
      <c r="A375" s="507">
        <v>8</v>
      </c>
      <c r="B375" s="507">
        <f>PETUNJUK!B376</f>
        <v>0</v>
      </c>
      <c r="C375" s="346">
        <f t="shared" ref="C375:D375" si="248">C345</f>
        <v>46.2</v>
      </c>
      <c r="D375" s="346">
        <f t="shared" si="248"/>
        <v>44.1</v>
      </c>
      <c r="E375" s="507">
        <f t="shared" si="230"/>
        <v>9.24</v>
      </c>
      <c r="F375" s="695">
        <f t="shared" ref="F375:H375" si="249">F15+F45+F75+F105+F135+F165+F195+F225+F255+F285+F315+F345</f>
        <v>13</v>
      </c>
      <c r="G375" s="695">
        <f t="shared" si="249"/>
        <v>13</v>
      </c>
      <c r="H375" s="695">
        <f t="shared" si="249"/>
        <v>13</v>
      </c>
      <c r="I375" s="695">
        <f t="shared" ref="I375:P375" si="250">I15+I45+I75+I105+I135+I165+I195+I225+I255+I285+I315+I345</f>
        <v>13</v>
      </c>
      <c r="J375" s="695">
        <f t="shared" si="250"/>
        <v>13</v>
      </c>
      <c r="K375" s="695">
        <f t="shared" si="250"/>
        <v>0</v>
      </c>
      <c r="L375" s="695">
        <f t="shared" si="250"/>
        <v>0</v>
      </c>
      <c r="M375" s="695">
        <f t="shared" si="250"/>
        <v>0</v>
      </c>
      <c r="N375" s="695">
        <f t="shared" si="250"/>
        <v>0</v>
      </c>
      <c r="O375" s="695">
        <f t="shared" si="250"/>
        <v>0</v>
      </c>
      <c r="P375" s="695">
        <f t="shared" si="250"/>
        <v>0</v>
      </c>
    </row>
    <row r="376" spans="1:16" x14ac:dyDescent="0.35">
      <c r="A376" s="507">
        <v>9</v>
      </c>
      <c r="B376" s="507">
        <f>PETUNJUK!B377</f>
        <v>0</v>
      </c>
      <c r="C376" s="346">
        <f t="shared" ref="C376:D376" si="251">C346</f>
        <v>53.900000000000006</v>
      </c>
      <c r="D376" s="346">
        <f t="shared" si="251"/>
        <v>51.45</v>
      </c>
      <c r="E376" s="507">
        <f t="shared" si="230"/>
        <v>10.780000000000001</v>
      </c>
      <c r="F376" s="695">
        <f t="shared" ref="F376:H376" si="252">F16+F46+F76+F106+F136+F166+F196+F226+F256+F286+F316+F346</f>
        <v>19</v>
      </c>
      <c r="G376" s="695">
        <f t="shared" si="252"/>
        <v>19</v>
      </c>
      <c r="H376" s="695">
        <f t="shared" si="252"/>
        <v>18</v>
      </c>
      <c r="I376" s="695">
        <f t="shared" ref="I376:P376" si="253">I16+I46+I76+I106+I136+I166+I196+I226+I256+I286+I316+I346</f>
        <v>19</v>
      </c>
      <c r="J376" s="695">
        <f t="shared" si="253"/>
        <v>19</v>
      </c>
      <c r="K376" s="695">
        <f t="shared" si="253"/>
        <v>0</v>
      </c>
      <c r="L376" s="695">
        <f t="shared" si="253"/>
        <v>0</v>
      </c>
      <c r="M376" s="695">
        <f t="shared" si="253"/>
        <v>0</v>
      </c>
      <c r="N376" s="695">
        <f t="shared" si="253"/>
        <v>0</v>
      </c>
      <c r="O376" s="695">
        <f t="shared" si="253"/>
        <v>0</v>
      </c>
      <c r="P376" s="695">
        <f t="shared" si="253"/>
        <v>0</v>
      </c>
    </row>
    <row r="377" spans="1:16" x14ac:dyDescent="0.35">
      <c r="A377" s="507">
        <v>10</v>
      </c>
      <c r="B377" s="507">
        <f>PETUNJUK!B378</f>
        <v>0</v>
      </c>
      <c r="C377" s="346">
        <f t="shared" ref="C377:D377" si="254">C347</f>
        <v>50.6</v>
      </c>
      <c r="D377" s="346">
        <f t="shared" si="254"/>
        <v>48.300000000000004</v>
      </c>
      <c r="E377" s="507">
        <f t="shared" si="230"/>
        <v>10.120000000000001</v>
      </c>
      <c r="F377" s="695">
        <f t="shared" ref="F377:H377" si="255">F17+F47+F77+F107+F137+F167+F197+F227+F257+F287+F317+F347</f>
        <v>15</v>
      </c>
      <c r="G377" s="695">
        <f t="shared" si="255"/>
        <v>15</v>
      </c>
      <c r="H377" s="695">
        <f t="shared" si="255"/>
        <v>12</v>
      </c>
      <c r="I377" s="695">
        <f t="shared" ref="I377:P377" si="256">I17+I47+I77+I107+I137+I167+I197+I227+I257+I287+I317+I347</f>
        <v>15</v>
      </c>
      <c r="J377" s="695">
        <f t="shared" si="256"/>
        <v>15</v>
      </c>
      <c r="K377" s="695">
        <f t="shared" si="256"/>
        <v>0</v>
      </c>
      <c r="L377" s="695">
        <f t="shared" si="256"/>
        <v>0</v>
      </c>
      <c r="M377" s="695">
        <f t="shared" si="256"/>
        <v>0</v>
      </c>
      <c r="N377" s="695">
        <f t="shared" si="256"/>
        <v>0</v>
      </c>
      <c r="O377" s="695">
        <f t="shared" si="256"/>
        <v>0</v>
      </c>
      <c r="P377" s="695">
        <f t="shared" si="256"/>
        <v>0</v>
      </c>
    </row>
    <row r="378" spans="1:16" x14ac:dyDescent="0.35">
      <c r="A378" s="507">
        <v>11</v>
      </c>
      <c r="B378" s="507">
        <f>PETUNJUK!B379</f>
        <v>0</v>
      </c>
      <c r="C378" s="346">
        <f t="shared" ref="C378:D378" si="257">C348</f>
        <v>117.7</v>
      </c>
      <c r="D378" s="346">
        <f t="shared" si="257"/>
        <v>112.35000000000001</v>
      </c>
      <c r="E378" s="507">
        <f t="shared" si="230"/>
        <v>23.540000000000003</v>
      </c>
      <c r="F378" s="695">
        <f t="shared" ref="F378:H378" si="258">F18+F48+F78+F108+F138+F168+F198+F228+F258+F288+F318+F348</f>
        <v>45</v>
      </c>
      <c r="G378" s="695">
        <f t="shared" si="258"/>
        <v>45</v>
      </c>
      <c r="H378" s="695">
        <f t="shared" si="258"/>
        <v>23</v>
      </c>
      <c r="I378" s="695">
        <f t="shared" ref="I378:P378" si="259">I18+I48+I78+I108+I138+I168+I198+I228+I258+I288+I318+I348</f>
        <v>45</v>
      </c>
      <c r="J378" s="695">
        <f t="shared" si="259"/>
        <v>45</v>
      </c>
      <c r="K378" s="695">
        <f t="shared" si="259"/>
        <v>3</v>
      </c>
      <c r="L378" s="695">
        <f t="shared" si="259"/>
        <v>3</v>
      </c>
      <c r="M378" s="695">
        <f t="shared" si="259"/>
        <v>2</v>
      </c>
      <c r="N378" s="695">
        <f t="shared" si="259"/>
        <v>1</v>
      </c>
      <c r="O378" s="695">
        <f t="shared" si="259"/>
        <v>0</v>
      </c>
      <c r="P378" s="695">
        <f t="shared" si="259"/>
        <v>0</v>
      </c>
    </row>
    <row r="379" spans="1:16" x14ac:dyDescent="0.35">
      <c r="A379" s="507">
        <v>12</v>
      </c>
      <c r="B379" s="507">
        <f>PETUNJUK!B380</f>
        <v>0</v>
      </c>
      <c r="C379" s="346">
        <f t="shared" ref="C379:D379" si="260">C349</f>
        <v>23.1</v>
      </c>
      <c r="D379" s="346">
        <f t="shared" si="260"/>
        <v>22.05</v>
      </c>
      <c r="E379" s="507">
        <f t="shared" si="230"/>
        <v>4.62</v>
      </c>
      <c r="F379" s="695">
        <f t="shared" ref="F379:H379" si="261">F19+F49+F79+F109+F139+F169+F199+F229+F259+F289+F319+F349</f>
        <v>8</v>
      </c>
      <c r="G379" s="695">
        <f t="shared" si="261"/>
        <v>8</v>
      </c>
      <c r="H379" s="695">
        <f t="shared" si="261"/>
        <v>7</v>
      </c>
      <c r="I379" s="695">
        <f t="shared" ref="I379:P379" si="262">I19+I49+I79+I109+I139+I169+I199+I229+I259+I289+I319+I349</f>
        <v>8</v>
      </c>
      <c r="J379" s="695">
        <f t="shared" si="262"/>
        <v>8</v>
      </c>
      <c r="K379" s="695">
        <f t="shared" si="262"/>
        <v>0</v>
      </c>
      <c r="L379" s="695">
        <f t="shared" si="262"/>
        <v>0</v>
      </c>
      <c r="M379" s="695">
        <f t="shared" si="262"/>
        <v>0</v>
      </c>
      <c r="N379" s="695">
        <f t="shared" si="262"/>
        <v>0</v>
      </c>
      <c r="O379" s="695">
        <f t="shared" si="262"/>
        <v>0</v>
      </c>
      <c r="P379" s="695">
        <f t="shared" si="262"/>
        <v>0</v>
      </c>
    </row>
    <row r="380" spans="1:16" x14ac:dyDescent="0.35">
      <c r="A380" s="507">
        <v>13</v>
      </c>
      <c r="B380" s="507">
        <f>PETUNJUK!B381</f>
        <v>0</v>
      </c>
      <c r="C380" s="346">
        <f t="shared" ref="C380:D380" si="263">C350</f>
        <v>0</v>
      </c>
      <c r="D380" s="346">
        <f t="shared" si="263"/>
        <v>0</v>
      </c>
      <c r="E380" s="507">
        <f t="shared" si="230"/>
        <v>0</v>
      </c>
      <c r="F380" s="695">
        <f t="shared" ref="F380:H380" si="264">F20+F50+F80+F110+F140+F170+F200+F230+F260+F290+F320+F350</f>
        <v>0</v>
      </c>
      <c r="G380" s="695">
        <f t="shared" si="264"/>
        <v>0</v>
      </c>
      <c r="H380" s="695">
        <f t="shared" si="264"/>
        <v>0</v>
      </c>
      <c r="I380" s="695">
        <f t="shared" ref="I380:P380" si="265">I20+I50+I80+I110+I140+I170+I200+I230+I260+I290+I320+I350</f>
        <v>0</v>
      </c>
      <c r="J380" s="695">
        <f t="shared" si="265"/>
        <v>0</v>
      </c>
      <c r="K380" s="695">
        <f t="shared" si="265"/>
        <v>0</v>
      </c>
      <c r="L380" s="695">
        <f t="shared" si="265"/>
        <v>0</v>
      </c>
      <c r="M380" s="695">
        <f t="shared" si="265"/>
        <v>0</v>
      </c>
      <c r="N380" s="695">
        <f t="shared" si="265"/>
        <v>0</v>
      </c>
      <c r="O380" s="695">
        <f t="shared" si="265"/>
        <v>0</v>
      </c>
      <c r="P380" s="695">
        <f t="shared" si="265"/>
        <v>0</v>
      </c>
    </row>
    <row r="381" spans="1:16" x14ac:dyDescent="0.35">
      <c r="A381" s="507">
        <v>14</v>
      </c>
      <c r="B381" s="507">
        <f>PETUNJUK!B382</f>
        <v>0</v>
      </c>
      <c r="C381" s="346">
        <f t="shared" ref="C381:D381" si="266">C351</f>
        <v>0</v>
      </c>
      <c r="D381" s="346">
        <f t="shared" si="266"/>
        <v>0</v>
      </c>
      <c r="E381" s="507">
        <f t="shared" si="230"/>
        <v>0</v>
      </c>
      <c r="F381" s="695">
        <f t="shared" ref="F381:H381" si="267">F21+F51+F81+F111+F141+F171+F201+F231+F261+F291+F321+F351</f>
        <v>0</v>
      </c>
      <c r="G381" s="695">
        <f t="shared" si="267"/>
        <v>0</v>
      </c>
      <c r="H381" s="695">
        <f t="shared" si="267"/>
        <v>0</v>
      </c>
      <c r="I381" s="695">
        <f t="shared" ref="I381:P381" si="268">I21+I51+I81+I111+I141+I171+I201+I231+I261+I291+I321+I351</f>
        <v>0</v>
      </c>
      <c r="J381" s="695">
        <f t="shared" si="268"/>
        <v>0</v>
      </c>
      <c r="K381" s="695">
        <f t="shared" si="268"/>
        <v>0</v>
      </c>
      <c r="L381" s="695">
        <f t="shared" si="268"/>
        <v>0</v>
      </c>
      <c r="M381" s="695">
        <f t="shared" si="268"/>
        <v>0</v>
      </c>
      <c r="N381" s="695">
        <f t="shared" si="268"/>
        <v>0</v>
      </c>
      <c r="O381" s="695">
        <f t="shared" si="268"/>
        <v>0</v>
      </c>
      <c r="P381" s="695">
        <f t="shared" si="268"/>
        <v>0</v>
      </c>
    </row>
    <row r="382" spans="1:16" x14ac:dyDescent="0.35">
      <c r="A382" s="507">
        <v>15</v>
      </c>
      <c r="B382" s="507">
        <f>PETUNJUK!B383</f>
        <v>0</v>
      </c>
      <c r="C382" s="346">
        <f t="shared" ref="C382:D382" si="269">C352</f>
        <v>0</v>
      </c>
      <c r="D382" s="346">
        <f t="shared" si="269"/>
        <v>0</v>
      </c>
      <c r="E382" s="507">
        <f t="shared" si="230"/>
        <v>0</v>
      </c>
      <c r="F382" s="695">
        <f t="shared" ref="F382:H382" si="270">F22+F52+F82+F112+F142+F172+F202+F232+F262+F292+F322+F352</f>
        <v>0</v>
      </c>
      <c r="G382" s="695">
        <f t="shared" si="270"/>
        <v>0</v>
      </c>
      <c r="H382" s="695">
        <f t="shared" si="270"/>
        <v>0</v>
      </c>
      <c r="I382" s="695">
        <f t="shared" ref="I382:P382" si="271">I22+I52+I82+I112+I142+I172+I202+I232+I262+I292+I322+I352</f>
        <v>0</v>
      </c>
      <c r="J382" s="695">
        <f t="shared" si="271"/>
        <v>0</v>
      </c>
      <c r="K382" s="695">
        <f t="shared" si="271"/>
        <v>0</v>
      </c>
      <c r="L382" s="695">
        <f t="shared" si="271"/>
        <v>0</v>
      </c>
      <c r="M382" s="695">
        <f t="shared" si="271"/>
        <v>0</v>
      </c>
      <c r="N382" s="695">
        <f t="shared" si="271"/>
        <v>0</v>
      </c>
      <c r="O382" s="695">
        <f t="shared" si="271"/>
        <v>0</v>
      </c>
      <c r="P382" s="695">
        <f t="shared" si="271"/>
        <v>0</v>
      </c>
    </row>
    <row r="383" spans="1:16" x14ac:dyDescent="0.35">
      <c r="A383" s="507">
        <v>16</v>
      </c>
      <c r="B383" s="507">
        <f>PETUNJUK!B384</f>
        <v>0</v>
      </c>
      <c r="C383" s="346">
        <f t="shared" ref="C383:D383" si="272">C353</f>
        <v>0</v>
      </c>
      <c r="D383" s="346">
        <f t="shared" si="272"/>
        <v>0</v>
      </c>
      <c r="E383" s="507">
        <f t="shared" si="230"/>
        <v>0</v>
      </c>
      <c r="F383" s="695">
        <f t="shared" ref="F383:H383" si="273">F23+F53+F83+F113+F143+F173+F203+F233+F263+F293+F323+F353</f>
        <v>0</v>
      </c>
      <c r="G383" s="695">
        <f t="shared" si="273"/>
        <v>0</v>
      </c>
      <c r="H383" s="695">
        <f t="shared" si="273"/>
        <v>0</v>
      </c>
      <c r="I383" s="695">
        <f t="shared" ref="I383:P383" si="274">I23+I53+I83+I113+I143+I173+I203+I233+I263+I293+I323+I353</f>
        <v>0</v>
      </c>
      <c r="J383" s="695">
        <f t="shared" si="274"/>
        <v>0</v>
      </c>
      <c r="K383" s="695">
        <f t="shared" si="274"/>
        <v>0</v>
      </c>
      <c r="L383" s="695">
        <f t="shared" si="274"/>
        <v>0</v>
      </c>
      <c r="M383" s="695">
        <f t="shared" si="274"/>
        <v>0</v>
      </c>
      <c r="N383" s="695">
        <f t="shared" si="274"/>
        <v>0</v>
      </c>
      <c r="O383" s="695">
        <f t="shared" si="274"/>
        <v>0</v>
      </c>
      <c r="P383" s="695">
        <f t="shared" si="274"/>
        <v>0</v>
      </c>
    </row>
    <row r="384" spans="1:16" x14ac:dyDescent="0.35">
      <c r="A384" s="507">
        <v>17</v>
      </c>
      <c r="B384" s="507">
        <f>PETUNJUK!B385</f>
        <v>0</v>
      </c>
      <c r="C384" s="346">
        <f t="shared" ref="C384:D384" si="275">C354</f>
        <v>0</v>
      </c>
      <c r="D384" s="346">
        <f t="shared" si="275"/>
        <v>0</v>
      </c>
      <c r="E384" s="507">
        <f t="shared" si="230"/>
        <v>0</v>
      </c>
      <c r="F384" s="695">
        <f t="shared" ref="F384:H384" si="276">F24+F54+F84+F114+F144+F174+F204+F234+F264+F294+F324+F354</f>
        <v>0</v>
      </c>
      <c r="G384" s="695">
        <f t="shared" si="276"/>
        <v>0</v>
      </c>
      <c r="H384" s="695">
        <f t="shared" si="276"/>
        <v>0</v>
      </c>
      <c r="I384" s="695">
        <f t="shared" ref="I384:P384" si="277">I24+I54+I84+I114+I144+I174+I204+I234+I264+I294+I324+I354</f>
        <v>0</v>
      </c>
      <c r="J384" s="695">
        <f t="shared" si="277"/>
        <v>0</v>
      </c>
      <c r="K384" s="695">
        <f t="shared" si="277"/>
        <v>0</v>
      </c>
      <c r="L384" s="695">
        <f t="shared" si="277"/>
        <v>0</v>
      </c>
      <c r="M384" s="695">
        <f t="shared" si="277"/>
        <v>0</v>
      </c>
      <c r="N384" s="695">
        <f t="shared" si="277"/>
        <v>0</v>
      </c>
      <c r="O384" s="695">
        <f t="shared" si="277"/>
        <v>0</v>
      </c>
      <c r="P384" s="695">
        <f t="shared" si="277"/>
        <v>0</v>
      </c>
    </row>
    <row r="385" spans="1:16" x14ac:dyDescent="0.35">
      <c r="A385" s="507">
        <v>18</v>
      </c>
      <c r="B385" s="507">
        <f>PETUNJUK!B386</f>
        <v>0</v>
      </c>
      <c r="C385" s="346">
        <f t="shared" ref="C385:D385" si="278">C355</f>
        <v>0</v>
      </c>
      <c r="D385" s="346">
        <f t="shared" si="278"/>
        <v>0</v>
      </c>
      <c r="E385" s="507">
        <f t="shared" si="230"/>
        <v>0</v>
      </c>
      <c r="F385" s="695">
        <f t="shared" ref="F385:H385" si="279">F25+F55+F85+F115+F145+F175+F205+F235+F265+F295+F325+F355</f>
        <v>0</v>
      </c>
      <c r="G385" s="695">
        <f t="shared" si="279"/>
        <v>0</v>
      </c>
      <c r="H385" s="695">
        <f t="shared" si="279"/>
        <v>0</v>
      </c>
      <c r="I385" s="695">
        <f t="shared" ref="I385:P385" si="280">I25+I55+I85+I115+I145+I175+I205+I235+I265+I295+I325+I355</f>
        <v>0</v>
      </c>
      <c r="J385" s="695">
        <f t="shared" si="280"/>
        <v>0</v>
      </c>
      <c r="K385" s="695">
        <f t="shared" si="280"/>
        <v>0</v>
      </c>
      <c r="L385" s="695">
        <f t="shared" si="280"/>
        <v>0</v>
      </c>
      <c r="M385" s="695">
        <f t="shared" si="280"/>
        <v>0</v>
      </c>
      <c r="N385" s="695">
        <f t="shared" si="280"/>
        <v>0</v>
      </c>
      <c r="O385" s="695">
        <f t="shared" si="280"/>
        <v>0</v>
      </c>
      <c r="P385" s="695">
        <f t="shared" si="280"/>
        <v>0</v>
      </c>
    </row>
    <row r="386" spans="1:16" x14ac:dyDescent="0.35">
      <c r="A386" s="507">
        <v>19</v>
      </c>
      <c r="B386" s="507">
        <f>PETUNJUK!B387</f>
        <v>0</v>
      </c>
      <c r="C386" s="346">
        <f t="shared" ref="C386:D386" si="281">C356</f>
        <v>0</v>
      </c>
      <c r="D386" s="346">
        <f t="shared" si="281"/>
        <v>0</v>
      </c>
      <c r="E386" s="507">
        <f t="shared" si="230"/>
        <v>0</v>
      </c>
      <c r="F386" s="695">
        <f t="shared" ref="F386:H386" si="282">F26+F56+F86+F116+F146+F176+F206+F236+F266+F296+F326+F356</f>
        <v>0</v>
      </c>
      <c r="G386" s="695">
        <f t="shared" si="282"/>
        <v>0</v>
      </c>
      <c r="H386" s="695">
        <f t="shared" si="282"/>
        <v>0</v>
      </c>
      <c r="I386" s="695">
        <f t="shared" ref="I386:P386" si="283">I26+I56+I86+I116+I146+I176+I206+I236+I266+I296+I326+I356</f>
        <v>0</v>
      </c>
      <c r="J386" s="695">
        <f t="shared" si="283"/>
        <v>0</v>
      </c>
      <c r="K386" s="695">
        <f t="shared" si="283"/>
        <v>0</v>
      </c>
      <c r="L386" s="695">
        <f t="shared" si="283"/>
        <v>0</v>
      </c>
      <c r="M386" s="695">
        <f t="shared" si="283"/>
        <v>0</v>
      </c>
      <c r="N386" s="695">
        <f t="shared" si="283"/>
        <v>0</v>
      </c>
      <c r="O386" s="695">
        <f t="shared" si="283"/>
        <v>0</v>
      </c>
      <c r="P386" s="695">
        <f t="shared" si="283"/>
        <v>0</v>
      </c>
    </row>
    <row r="387" spans="1:16" x14ac:dyDescent="0.35">
      <c r="A387" s="507">
        <v>20</v>
      </c>
      <c r="B387" s="507">
        <f>PETUNJUK!B388</f>
        <v>0</v>
      </c>
      <c r="C387" s="346">
        <f t="shared" ref="C387:D387" si="284">C357</f>
        <v>0</v>
      </c>
      <c r="D387" s="346">
        <f t="shared" si="284"/>
        <v>0</v>
      </c>
      <c r="E387" s="507">
        <f t="shared" si="230"/>
        <v>0</v>
      </c>
      <c r="F387" s="695">
        <f t="shared" ref="F387:H387" si="285">F27+F57+F87+F117+F147+F177+F207+F237+F267+F297+F327+F357</f>
        <v>0</v>
      </c>
      <c r="G387" s="695">
        <f t="shared" si="285"/>
        <v>0</v>
      </c>
      <c r="H387" s="695">
        <f t="shared" si="285"/>
        <v>0</v>
      </c>
      <c r="I387" s="695">
        <f t="shared" ref="I387:P387" si="286">I27+I57+I87+I117+I147+I177+I207+I237+I267+I297+I327+I357</f>
        <v>0</v>
      </c>
      <c r="J387" s="695">
        <f t="shared" si="286"/>
        <v>0</v>
      </c>
      <c r="K387" s="695">
        <f t="shared" si="286"/>
        <v>0</v>
      </c>
      <c r="L387" s="695">
        <f t="shared" si="286"/>
        <v>0</v>
      </c>
      <c r="M387" s="695">
        <f t="shared" si="286"/>
        <v>0</v>
      </c>
      <c r="N387" s="695">
        <f t="shared" si="286"/>
        <v>0</v>
      </c>
      <c r="O387" s="695">
        <f t="shared" si="286"/>
        <v>0</v>
      </c>
      <c r="P387" s="695">
        <f t="shared" si="286"/>
        <v>0</v>
      </c>
    </row>
    <row r="388" spans="1:16" x14ac:dyDescent="0.35">
      <c r="A388" s="507">
        <v>21</v>
      </c>
      <c r="B388" s="507">
        <f>PETUNJUK!B389</f>
        <v>0</v>
      </c>
      <c r="C388" s="346">
        <f t="shared" ref="C388:D388" si="287">C358</f>
        <v>0</v>
      </c>
      <c r="D388" s="346">
        <f t="shared" si="287"/>
        <v>0</v>
      </c>
      <c r="E388" s="507">
        <f t="shared" si="230"/>
        <v>0</v>
      </c>
      <c r="F388" s="695">
        <f t="shared" ref="F388:H388" si="288">F28+F58+F88+F118+F148+F178+F208+F238+F268+F298+F328+F358</f>
        <v>0</v>
      </c>
      <c r="G388" s="695">
        <f t="shared" si="288"/>
        <v>0</v>
      </c>
      <c r="H388" s="695">
        <f t="shared" si="288"/>
        <v>0</v>
      </c>
      <c r="I388" s="695">
        <f t="shared" ref="I388:P388" si="289">I28+I58+I88+I118+I148+I178+I208+I238+I268+I298+I328+I358</f>
        <v>0</v>
      </c>
      <c r="J388" s="695">
        <f t="shared" si="289"/>
        <v>0</v>
      </c>
      <c r="K388" s="695">
        <f t="shared" si="289"/>
        <v>0</v>
      </c>
      <c r="L388" s="695">
        <f t="shared" si="289"/>
        <v>0</v>
      </c>
      <c r="M388" s="695">
        <f t="shared" si="289"/>
        <v>0</v>
      </c>
      <c r="N388" s="695">
        <f t="shared" si="289"/>
        <v>0</v>
      </c>
      <c r="O388" s="695">
        <f t="shared" si="289"/>
        <v>0</v>
      </c>
      <c r="P388" s="695">
        <f t="shared" si="289"/>
        <v>0</v>
      </c>
    </row>
    <row r="389" spans="1:16" x14ac:dyDescent="0.35">
      <c r="A389" s="512">
        <v>22</v>
      </c>
      <c r="B389" s="512">
        <f>PETUNJUK!B390</f>
        <v>0</v>
      </c>
      <c r="C389" s="346">
        <f t="shared" ref="C389:D389" si="290">C359</f>
        <v>0</v>
      </c>
      <c r="D389" s="346">
        <f t="shared" si="290"/>
        <v>0</v>
      </c>
      <c r="E389" s="512">
        <f t="shared" si="230"/>
        <v>0</v>
      </c>
      <c r="F389" s="695">
        <f t="shared" ref="F389:H389" si="291">F29+F59+F89+F119+F149+F179+F209+F239+F269+F299+F329+F359</f>
        <v>0</v>
      </c>
      <c r="G389" s="695">
        <f t="shared" si="291"/>
        <v>0</v>
      </c>
      <c r="H389" s="695">
        <f t="shared" si="291"/>
        <v>0</v>
      </c>
      <c r="I389" s="695">
        <f t="shared" ref="I389:P389" si="292">I29+I59+I89+I119+I149+I179+I209+I239+I269+I299+I329+I359</f>
        <v>0</v>
      </c>
      <c r="J389" s="695">
        <f t="shared" si="292"/>
        <v>0</v>
      </c>
      <c r="K389" s="695">
        <f t="shared" si="292"/>
        <v>0</v>
      </c>
      <c r="L389" s="695">
        <f t="shared" si="292"/>
        <v>0</v>
      </c>
      <c r="M389" s="695">
        <f t="shared" si="292"/>
        <v>0</v>
      </c>
      <c r="N389" s="695">
        <f t="shared" si="292"/>
        <v>0</v>
      </c>
      <c r="O389" s="695">
        <f t="shared" si="292"/>
        <v>0</v>
      </c>
      <c r="P389" s="695">
        <f t="shared" si="292"/>
        <v>0</v>
      </c>
    </row>
    <row r="390" spans="1:16" x14ac:dyDescent="0.35">
      <c r="A390" s="1030" t="s">
        <v>18</v>
      </c>
      <c r="B390" s="1030"/>
      <c r="C390" s="688">
        <f>SUM(C368:C389)</f>
        <v>1067</v>
      </c>
      <c r="D390" s="688">
        <f t="shared" ref="D390:P390" si="293">SUM(D368:D389)</f>
        <v>1018.5</v>
      </c>
      <c r="E390" s="688">
        <f t="shared" si="293"/>
        <v>213.40000000000003</v>
      </c>
      <c r="F390" s="688">
        <f t="shared" si="293"/>
        <v>374</v>
      </c>
      <c r="G390" s="688">
        <f t="shared" si="293"/>
        <v>374</v>
      </c>
      <c r="H390" s="688">
        <f t="shared" si="293"/>
        <v>285</v>
      </c>
      <c r="I390" s="688">
        <f t="shared" si="293"/>
        <v>374</v>
      </c>
      <c r="J390" s="688">
        <f t="shared" si="293"/>
        <v>374</v>
      </c>
      <c r="K390" s="688">
        <f t="shared" si="293"/>
        <v>11</v>
      </c>
      <c r="L390" s="688">
        <f t="shared" si="293"/>
        <v>11</v>
      </c>
      <c r="M390" s="688">
        <f t="shared" si="293"/>
        <v>4</v>
      </c>
      <c r="N390" s="688">
        <f t="shared" si="293"/>
        <v>3</v>
      </c>
      <c r="O390" s="688">
        <f t="shared" si="293"/>
        <v>1</v>
      </c>
      <c r="P390" s="688">
        <f t="shared" si="293"/>
        <v>1</v>
      </c>
    </row>
    <row r="392" spans="1:16" s="693" customFormat="1" x14ac:dyDescent="0.35">
      <c r="A392" s="1029" t="s">
        <v>426</v>
      </c>
      <c r="B392" s="1029"/>
      <c r="C392" s="691">
        <f>PETUNJUK!C395</f>
        <v>0</v>
      </c>
      <c r="D392" s="690"/>
      <c r="E392" s="690"/>
      <c r="F392" s="690"/>
      <c r="G392" s="690"/>
      <c r="H392" s="690"/>
      <c r="I392" s="690"/>
      <c r="J392" s="690"/>
      <c r="K392" s="690"/>
      <c r="L392" s="690"/>
      <c r="M392" s="690"/>
      <c r="N392" s="690"/>
      <c r="O392" s="690"/>
      <c r="P392" s="690"/>
    </row>
    <row r="393" spans="1:16" s="693" customFormat="1" x14ac:dyDescent="0.35">
      <c r="A393" s="1029" t="s">
        <v>0</v>
      </c>
      <c r="B393" s="1029"/>
      <c r="C393" s="1035" t="s">
        <v>435</v>
      </c>
      <c r="D393" s="1035"/>
      <c r="E393" s="1035"/>
      <c r="F393" s="1035"/>
      <c r="G393" s="1035"/>
      <c r="H393" s="1035"/>
      <c r="I393" s="1035"/>
      <c r="J393" s="1035"/>
      <c r="K393" s="690"/>
      <c r="L393" s="690"/>
      <c r="M393" s="690"/>
      <c r="N393" s="690"/>
      <c r="O393" s="690"/>
      <c r="P393" s="690"/>
    </row>
    <row r="394" spans="1:16" x14ac:dyDescent="0.35">
      <c r="A394" s="754" t="s">
        <v>1</v>
      </c>
      <c r="B394" s="754" t="s">
        <v>2</v>
      </c>
      <c r="C394" s="754" t="s">
        <v>174</v>
      </c>
      <c r="D394" s="754"/>
      <c r="E394" s="754"/>
      <c r="F394" s="1024" t="s">
        <v>440</v>
      </c>
      <c r="G394" s="1024" t="s">
        <v>441</v>
      </c>
      <c r="H394" s="1024" t="s">
        <v>444</v>
      </c>
      <c r="I394" s="964" t="s">
        <v>427</v>
      </c>
      <c r="J394" s="964" t="s">
        <v>428</v>
      </c>
      <c r="K394" s="964" t="s">
        <v>429</v>
      </c>
      <c r="L394" s="964" t="s">
        <v>430</v>
      </c>
      <c r="M394" s="964" t="s">
        <v>432</v>
      </c>
      <c r="N394" s="964" t="s">
        <v>431</v>
      </c>
      <c r="O394" s="1032" t="s">
        <v>433</v>
      </c>
      <c r="P394" s="1032" t="s">
        <v>434</v>
      </c>
    </row>
    <row r="395" spans="1:16" ht="14.5" x14ac:dyDescent="0.35">
      <c r="A395" s="754"/>
      <c r="B395" s="754"/>
      <c r="C395" s="732" t="s">
        <v>5</v>
      </c>
      <c r="D395" s="732" t="s">
        <v>6</v>
      </c>
      <c r="E395" s="732" t="s">
        <v>133</v>
      </c>
      <c r="F395" s="1025"/>
      <c r="G395" s="1027"/>
      <c r="H395" s="1025"/>
      <c r="I395" s="1033"/>
      <c r="J395" s="1033"/>
      <c r="K395" s="1033"/>
      <c r="L395" s="1033"/>
      <c r="M395" s="1033"/>
      <c r="N395" s="964"/>
      <c r="O395" s="962"/>
      <c r="P395" s="962"/>
    </row>
    <row r="396" spans="1:16" ht="70.5" customHeight="1" x14ac:dyDescent="0.35">
      <c r="A396" s="754"/>
      <c r="B396" s="754"/>
      <c r="C396" s="732"/>
      <c r="D396" s="732"/>
      <c r="E396" s="732"/>
      <c r="F396" s="1026"/>
      <c r="G396" s="1028"/>
      <c r="H396" s="1026"/>
      <c r="I396" s="1033"/>
      <c r="J396" s="1033"/>
      <c r="K396" s="1033"/>
      <c r="L396" s="1033"/>
      <c r="M396" s="1033"/>
      <c r="N396" s="964"/>
      <c r="O396" s="963"/>
      <c r="P396" s="963"/>
    </row>
    <row r="397" spans="1:16" x14ac:dyDescent="0.35">
      <c r="A397" s="676">
        <v>1</v>
      </c>
      <c r="B397" s="697" t="s">
        <v>137</v>
      </c>
      <c r="C397" s="698">
        <f t="shared" ref="C397:E397" si="294">C30</f>
        <v>1067</v>
      </c>
      <c r="D397" s="698">
        <f t="shared" si="294"/>
        <v>1018.5</v>
      </c>
      <c r="E397" s="698">
        <f t="shared" si="294"/>
        <v>213.40000000000003</v>
      </c>
      <c r="F397" s="698">
        <f t="shared" ref="F397:J397" si="295">F30</f>
        <v>101</v>
      </c>
      <c r="G397" s="698">
        <f t="shared" si="295"/>
        <v>101</v>
      </c>
      <c r="H397" s="698">
        <f t="shared" si="295"/>
        <v>72</v>
      </c>
      <c r="I397" s="698">
        <f t="shared" si="295"/>
        <v>101</v>
      </c>
      <c r="J397" s="698">
        <f t="shared" si="295"/>
        <v>101</v>
      </c>
      <c r="K397" s="698">
        <f t="shared" ref="K397:P397" si="296">K30</f>
        <v>2</v>
      </c>
      <c r="L397" s="698">
        <f t="shared" si="296"/>
        <v>2</v>
      </c>
      <c r="M397" s="698">
        <f t="shared" si="296"/>
        <v>1</v>
      </c>
      <c r="N397" s="698">
        <f t="shared" si="296"/>
        <v>1</v>
      </c>
      <c r="O397" s="698">
        <f t="shared" si="296"/>
        <v>0</v>
      </c>
      <c r="P397" s="698">
        <f t="shared" si="296"/>
        <v>0</v>
      </c>
    </row>
    <row r="398" spans="1:16" x14ac:dyDescent="0.35">
      <c r="A398" s="676">
        <v>2</v>
      </c>
      <c r="B398" s="697" t="s">
        <v>172</v>
      </c>
      <c r="C398" s="698">
        <f t="shared" ref="C398:E398" si="297">C60</f>
        <v>1067</v>
      </c>
      <c r="D398" s="698">
        <f t="shared" si="297"/>
        <v>1018.5</v>
      </c>
      <c r="E398" s="698">
        <f t="shared" si="297"/>
        <v>213.40000000000003</v>
      </c>
      <c r="F398" s="698">
        <f t="shared" ref="F398:J398" si="298">F60</f>
        <v>85</v>
      </c>
      <c r="G398" s="698">
        <f t="shared" si="298"/>
        <v>85</v>
      </c>
      <c r="H398" s="698">
        <f t="shared" si="298"/>
        <v>70</v>
      </c>
      <c r="I398" s="698">
        <f t="shared" si="298"/>
        <v>85</v>
      </c>
      <c r="J398" s="698">
        <f t="shared" si="298"/>
        <v>85</v>
      </c>
      <c r="K398" s="698">
        <f t="shared" ref="K398:P398" si="299">K60</f>
        <v>2</v>
      </c>
      <c r="L398" s="698">
        <f t="shared" si="299"/>
        <v>2</v>
      </c>
      <c r="M398" s="698">
        <f t="shared" si="299"/>
        <v>1</v>
      </c>
      <c r="N398" s="698">
        <f t="shared" si="299"/>
        <v>0</v>
      </c>
      <c r="O398" s="698">
        <f t="shared" si="299"/>
        <v>0</v>
      </c>
      <c r="P398" s="698">
        <f t="shared" si="299"/>
        <v>0</v>
      </c>
    </row>
    <row r="399" spans="1:16" x14ac:dyDescent="0.35">
      <c r="A399" s="676">
        <v>3</v>
      </c>
      <c r="B399" s="697" t="s">
        <v>138</v>
      </c>
      <c r="C399" s="698">
        <f t="shared" ref="C399:E399" si="300">C90</f>
        <v>1067</v>
      </c>
      <c r="D399" s="698">
        <f t="shared" si="300"/>
        <v>1018.5</v>
      </c>
      <c r="E399" s="698">
        <f t="shared" si="300"/>
        <v>213.40000000000003</v>
      </c>
      <c r="F399" s="698">
        <f t="shared" ref="F399:J399" si="301">F90</f>
        <v>78</v>
      </c>
      <c r="G399" s="698">
        <f t="shared" si="301"/>
        <v>78</v>
      </c>
      <c r="H399" s="698">
        <f t="shared" si="301"/>
        <v>65</v>
      </c>
      <c r="I399" s="698">
        <f t="shared" si="301"/>
        <v>78</v>
      </c>
      <c r="J399" s="698">
        <f t="shared" si="301"/>
        <v>78</v>
      </c>
      <c r="K399" s="698">
        <f t="shared" ref="K399:P399" si="302">K90</f>
        <v>3</v>
      </c>
      <c r="L399" s="698">
        <f t="shared" si="302"/>
        <v>3</v>
      </c>
      <c r="M399" s="698">
        <f t="shared" si="302"/>
        <v>0</v>
      </c>
      <c r="N399" s="698">
        <f t="shared" si="302"/>
        <v>0</v>
      </c>
      <c r="O399" s="698">
        <f t="shared" si="302"/>
        <v>0</v>
      </c>
      <c r="P399" s="698">
        <f t="shared" si="302"/>
        <v>0</v>
      </c>
    </row>
    <row r="400" spans="1:16" x14ac:dyDescent="0.35">
      <c r="A400" s="676">
        <v>4</v>
      </c>
      <c r="B400" s="697" t="s">
        <v>139</v>
      </c>
      <c r="C400" s="698">
        <f t="shared" ref="C400:E400" si="303">C120</f>
        <v>1067</v>
      </c>
      <c r="D400" s="698">
        <f t="shared" si="303"/>
        <v>1018.5</v>
      </c>
      <c r="E400" s="698">
        <f t="shared" si="303"/>
        <v>213.40000000000003</v>
      </c>
      <c r="F400" s="698">
        <f t="shared" ref="F400:J400" si="304">F120</f>
        <v>110</v>
      </c>
      <c r="G400" s="698">
        <f t="shared" si="304"/>
        <v>110</v>
      </c>
      <c r="H400" s="698">
        <f t="shared" si="304"/>
        <v>78</v>
      </c>
      <c r="I400" s="698">
        <f t="shared" si="304"/>
        <v>110</v>
      </c>
      <c r="J400" s="698">
        <f t="shared" si="304"/>
        <v>110</v>
      </c>
      <c r="K400" s="698">
        <f t="shared" ref="K400:P400" si="305">K120</f>
        <v>4</v>
      </c>
      <c r="L400" s="698">
        <f t="shared" si="305"/>
        <v>4</v>
      </c>
      <c r="M400" s="698">
        <f t="shared" si="305"/>
        <v>2</v>
      </c>
      <c r="N400" s="698">
        <f t="shared" si="305"/>
        <v>2</v>
      </c>
      <c r="O400" s="698">
        <f t="shared" si="305"/>
        <v>1</v>
      </c>
      <c r="P400" s="698">
        <f t="shared" si="305"/>
        <v>1</v>
      </c>
    </row>
    <row r="401" spans="1:16" x14ac:dyDescent="0.35">
      <c r="A401" s="676">
        <v>5</v>
      </c>
      <c r="B401" s="697" t="s">
        <v>140</v>
      </c>
      <c r="C401" s="698">
        <f t="shared" ref="C401:E401" si="306">C150</f>
        <v>1067</v>
      </c>
      <c r="D401" s="698">
        <f t="shared" si="306"/>
        <v>1018.5</v>
      </c>
      <c r="E401" s="698">
        <f t="shared" si="306"/>
        <v>213.40000000000003</v>
      </c>
      <c r="F401" s="698">
        <f t="shared" ref="F401:J401" si="307">F150</f>
        <v>0</v>
      </c>
      <c r="G401" s="698">
        <f t="shared" si="307"/>
        <v>0</v>
      </c>
      <c r="H401" s="698">
        <f t="shared" si="307"/>
        <v>0</v>
      </c>
      <c r="I401" s="698">
        <f t="shared" si="307"/>
        <v>0</v>
      </c>
      <c r="J401" s="698">
        <f t="shared" si="307"/>
        <v>0</v>
      </c>
      <c r="K401" s="698">
        <f t="shared" ref="K401:P401" si="308">K150</f>
        <v>0</v>
      </c>
      <c r="L401" s="698">
        <f t="shared" si="308"/>
        <v>0</v>
      </c>
      <c r="M401" s="698">
        <f t="shared" si="308"/>
        <v>0</v>
      </c>
      <c r="N401" s="698">
        <f t="shared" si="308"/>
        <v>0</v>
      </c>
      <c r="O401" s="698">
        <f t="shared" si="308"/>
        <v>0</v>
      </c>
      <c r="P401" s="698">
        <f t="shared" si="308"/>
        <v>0</v>
      </c>
    </row>
    <row r="402" spans="1:16" x14ac:dyDescent="0.35">
      <c r="A402" s="676">
        <v>6</v>
      </c>
      <c r="B402" s="697" t="s">
        <v>141</v>
      </c>
      <c r="C402" s="698">
        <f t="shared" ref="C402:E402" si="309">C180</f>
        <v>1067</v>
      </c>
      <c r="D402" s="698">
        <f t="shared" si="309"/>
        <v>1018.5</v>
      </c>
      <c r="E402" s="698">
        <f t="shared" si="309"/>
        <v>213.40000000000003</v>
      </c>
      <c r="F402" s="698">
        <f t="shared" ref="F402:J402" si="310">F180</f>
        <v>0</v>
      </c>
      <c r="G402" s="698">
        <f t="shared" si="310"/>
        <v>0</v>
      </c>
      <c r="H402" s="698">
        <f t="shared" si="310"/>
        <v>0</v>
      </c>
      <c r="I402" s="698">
        <f t="shared" si="310"/>
        <v>0</v>
      </c>
      <c r="J402" s="698">
        <f t="shared" si="310"/>
        <v>0</v>
      </c>
      <c r="K402" s="698">
        <f t="shared" ref="K402:P402" si="311">K180</f>
        <v>0</v>
      </c>
      <c r="L402" s="698">
        <f t="shared" si="311"/>
        <v>0</v>
      </c>
      <c r="M402" s="698">
        <f t="shared" si="311"/>
        <v>0</v>
      </c>
      <c r="N402" s="698">
        <f t="shared" si="311"/>
        <v>0</v>
      </c>
      <c r="O402" s="698">
        <f t="shared" si="311"/>
        <v>0</v>
      </c>
      <c r="P402" s="698">
        <f t="shared" si="311"/>
        <v>0</v>
      </c>
    </row>
    <row r="403" spans="1:16" x14ac:dyDescent="0.35">
      <c r="A403" s="676">
        <v>7</v>
      </c>
      <c r="B403" s="697" t="s">
        <v>142</v>
      </c>
      <c r="C403" s="698">
        <f t="shared" ref="C403:E403" si="312">C210</f>
        <v>1067</v>
      </c>
      <c r="D403" s="698">
        <f t="shared" si="312"/>
        <v>1018.5</v>
      </c>
      <c r="E403" s="698">
        <f t="shared" si="312"/>
        <v>213.40000000000003</v>
      </c>
      <c r="F403" s="698">
        <f t="shared" ref="F403:J403" si="313">F210</f>
        <v>0</v>
      </c>
      <c r="G403" s="698">
        <f t="shared" si="313"/>
        <v>0</v>
      </c>
      <c r="H403" s="698">
        <f t="shared" si="313"/>
        <v>0</v>
      </c>
      <c r="I403" s="698">
        <f t="shared" si="313"/>
        <v>0</v>
      </c>
      <c r="J403" s="698">
        <f t="shared" si="313"/>
        <v>0</v>
      </c>
      <c r="K403" s="698">
        <f t="shared" ref="K403:P403" si="314">K210</f>
        <v>0</v>
      </c>
      <c r="L403" s="698">
        <f t="shared" si="314"/>
        <v>0</v>
      </c>
      <c r="M403" s="698">
        <f t="shared" si="314"/>
        <v>0</v>
      </c>
      <c r="N403" s="698">
        <f t="shared" si="314"/>
        <v>0</v>
      </c>
      <c r="O403" s="698">
        <f t="shared" si="314"/>
        <v>0</v>
      </c>
      <c r="P403" s="698">
        <f t="shared" si="314"/>
        <v>0</v>
      </c>
    </row>
    <row r="404" spans="1:16" x14ac:dyDescent="0.35">
      <c r="A404" s="676">
        <v>8</v>
      </c>
      <c r="B404" s="697" t="s">
        <v>143</v>
      </c>
      <c r="C404" s="698">
        <f t="shared" ref="C404:E404" si="315">C240</f>
        <v>1067</v>
      </c>
      <c r="D404" s="698">
        <f t="shared" si="315"/>
        <v>1018.5</v>
      </c>
      <c r="E404" s="698">
        <f t="shared" si="315"/>
        <v>213.40000000000003</v>
      </c>
      <c r="F404" s="698">
        <f t="shared" ref="F404:J404" si="316">F240</f>
        <v>0</v>
      </c>
      <c r="G404" s="698">
        <f t="shared" si="316"/>
        <v>0</v>
      </c>
      <c r="H404" s="698">
        <f t="shared" si="316"/>
        <v>0</v>
      </c>
      <c r="I404" s="698">
        <f t="shared" si="316"/>
        <v>0</v>
      </c>
      <c r="J404" s="698">
        <f t="shared" si="316"/>
        <v>0</v>
      </c>
      <c r="K404" s="698">
        <f t="shared" ref="K404:P404" si="317">K240</f>
        <v>0</v>
      </c>
      <c r="L404" s="698">
        <f t="shared" si="317"/>
        <v>0</v>
      </c>
      <c r="M404" s="698">
        <f t="shared" si="317"/>
        <v>0</v>
      </c>
      <c r="N404" s="698">
        <f t="shared" si="317"/>
        <v>0</v>
      </c>
      <c r="O404" s="698">
        <f t="shared" si="317"/>
        <v>0</v>
      </c>
      <c r="P404" s="698">
        <f t="shared" si="317"/>
        <v>0</v>
      </c>
    </row>
    <row r="405" spans="1:16" x14ac:dyDescent="0.35">
      <c r="A405" s="676">
        <v>9</v>
      </c>
      <c r="B405" s="697" t="s">
        <v>144</v>
      </c>
      <c r="C405" s="698">
        <f t="shared" ref="C405:E405" si="318">C270</f>
        <v>1067</v>
      </c>
      <c r="D405" s="698">
        <f t="shared" si="318"/>
        <v>1018.5</v>
      </c>
      <c r="E405" s="698">
        <f t="shared" si="318"/>
        <v>213.40000000000003</v>
      </c>
      <c r="F405" s="698">
        <f t="shared" ref="F405:J405" si="319">F270</f>
        <v>0</v>
      </c>
      <c r="G405" s="698">
        <f t="shared" si="319"/>
        <v>0</v>
      </c>
      <c r="H405" s="698">
        <f t="shared" si="319"/>
        <v>0</v>
      </c>
      <c r="I405" s="698">
        <f t="shared" si="319"/>
        <v>0</v>
      </c>
      <c r="J405" s="698">
        <f t="shared" si="319"/>
        <v>0</v>
      </c>
      <c r="K405" s="698">
        <f t="shared" ref="K405:P405" si="320">K270</f>
        <v>0</v>
      </c>
      <c r="L405" s="698">
        <f t="shared" si="320"/>
        <v>0</v>
      </c>
      <c r="M405" s="698">
        <f t="shared" si="320"/>
        <v>0</v>
      </c>
      <c r="N405" s="698">
        <f t="shared" si="320"/>
        <v>0</v>
      </c>
      <c r="O405" s="698">
        <f t="shared" si="320"/>
        <v>0</v>
      </c>
      <c r="P405" s="698">
        <f t="shared" si="320"/>
        <v>0</v>
      </c>
    </row>
    <row r="406" spans="1:16" x14ac:dyDescent="0.35">
      <c r="A406" s="676">
        <v>6</v>
      </c>
      <c r="B406" s="697" t="s">
        <v>146</v>
      </c>
      <c r="C406" s="698">
        <f t="shared" ref="C406:E406" si="321">C300</f>
        <v>1067</v>
      </c>
      <c r="D406" s="698">
        <f t="shared" si="321"/>
        <v>1018.5</v>
      </c>
      <c r="E406" s="698">
        <f t="shared" si="321"/>
        <v>213.40000000000003</v>
      </c>
      <c r="F406" s="698">
        <f t="shared" ref="F406:J406" si="322">F300</f>
        <v>0</v>
      </c>
      <c r="G406" s="698">
        <f t="shared" si="322"/>
        <v>0</v>
      </c>
      <c r="H406" s="698">
        <f t="shared" si="322"/>
        <v>0</v>
      </c>
      <c r="I406" s="698">
        <f t="shared" si="322"/>
        <v>0</v>
      </c>
      <c r="J406" s="698">
        <f t="shared" si="322"/>
        <v>0</v>
      </c>
      <c r="K406" s="698">
        <f t="shared" ref="K406:P406" si="323">K300</f>
        <v>0</v>
      </c>
      <c r="L406" s="698">
        <f t="shared" si="323"/>
        <v>0</v>
      </c>
      <c r="M406" s="698">
        <f t="shared" si="323"/>
        <v>0</v>
      </c>
      <c r="N406" s="698">
        <f t="shared" si="323"/>
        <v>0</v>
      </c>
      <c r="O406" s="698">
        <f t="shared" si="323"/>
        <v>0</v>
      </c>
      <c r="P406" s="698">
        <f t="shared" si="323"/>
        <v>0</v>
      </c>
    </row>
    <row r="407" spans="1:16" x14ac:dyDescent="0.35">
      <c r="A407" s="676">
        <v>11</v>
      </c>
      <c r="B407" s="697" t="s">
        <v>173</v>
      </c>
      <c r="C407" s="698">
        <f t="shared" ref="C407:E407" si="324">C330</f>
        <v>1067</v>
      </c>
      <c r="D407" s="698">
        <f t="shared" si="324"/>
        <v>1018.5</v>
      </c>
      <c r="E407" s="698">
        <f t="shared" si="324"/>
        <v>213.40000000000003</v>
      </c>
      <c r="F407" s="698">
        <f t="shared" ref="F407:J407" si="325">F330</f>
        <v>0</v>
      </c>
      <c r="G407" s="698">
        <f t="shared" si="325"/>
        <v>0</v>
      </c>
      <c r="H407" s="698">
        <f t="shared" si="325"/>
        <v>0</v>
      </c>
      <c r="I407" s="698">
        <f t="shared" si="325"/>
        <v>0</v>
      </c>
      <c r="J407" s="698">
        <f t="shared" si="325"/>
        <v>0</v>
      </c>
      <c r="K407" s="698">
        <f t="shared" ref="K407:P407" si="326">K330</f>
        <v>0</v>
      </c>
      <c r="L407" s="698">
        <f t="shared" si="326"/>
        <v>0</v>
      </c>
      <c r="M407" s="698">
        <f t="shared" si="326"/>
        <v>0</v>
      </c>
      <c r="N407" s="698">
        <f t="shared" si="326"/>
        <v>0</v>
      </c>
      <c r="O407" s="698">
        <f t="shared" si="326"/>
        <v>0</v>
      </c>
      <c r="P407" s="698">
        <f t="shared" si="326"/>
        <v>0</v>
      </c>
    </row>
    <row r="408" spans="1:16" x14ac:dyDescent="0.35">
      <c r="A408" s="676">
        <v>12</v>
      </c>
      <c r="B408" s="697" t="s">
        <v>145</v>
      </c>
      <c r="C408" s="698">
        <f t="shared" ref="C408:E408" si="327">C360</f>
        <v>1067</v>
      </c>
      <c r="D408" s="698">
        <f t="shared" si="327"/>
        <v>1018.5</v>
      </c>
      <c r="E408" s="698">
        <f t="shared" si="327"/>
        <v>213.4</v>
      </c>
      <c r="F408" s="698">
        <f t="shared" ref="F408:J408" si="328">F360</f>
        <v>0</v>
      </c>
      <c r="G408" s="698">
        <f t="shared" si="328"/>
        <v>0</v>
      </c>
      <c r="H408" s="698">
        <f t="shared" si="328"/>
        <v>0</v>
      </c>
      <c r="I408" s="698">
        <f t="shared" si="328"/>
        <v>0</v>
      </c>
      <c r="J408" s="698">
        <f t="shared" si="328"/>
        <v>0</v>
      </c>
      <c r="K408" s="698">
        <f t="shared" ref="K408:P408" si="329">K360</f>
        <v>0</v>
      </c>
      <c r="L408" s="698">
        <f t="shared" si="329"/>
        <v>0</v>
      </c>
      <c r="M408" s="698">
        <f t="shared" si="329"/>
        <v>0</v>
      </c>
      <c r="N408" s="698">
        <f t="shared" si="329"/>
        <v>0</v>
      </c>
      <c r="O408" s="698">
        <f t="shared" si="329"/>
        <v>0</v>
      </c>
      <c r="P408" s="698">
        <f t="shared" si="329"/>
        <v>0</v>
      </c>
    </row>
    <row r="409" spans="1:16" x14ac:dyDescent="0.35">
      <c r="A409" s="1030" t="s">
        <v>18</v>
      </c>
      <c r="B409" s="1030"/>
      <c r="C409" s="699">
        <f>SUM(C397:C408)</f>
        <v>12804</v>
      </c>
      <c r="D409" s="699">
        <f t="shared" ref="D409:P409" si="330">SUM(D397:D408)</f>
        <v>12222</v>
      </c>
      <c r="E409" s="699">
        <f t="shared" si="330"/>
        <v>2560.8000000000006</v>
      </c>
      <c r="F409" s="699">
        <f t="shared" si="330"/>
        <v>374</v>
      </c>
      <c r="G409" s="699">
        <f t="shared" si="330"/>
        <v>374</v>
      </c>
      <c r="H409" s="699">
        <f t="shared" si="330"/>
        <v>285</v>
      </c>
      <c r="I409" s="699">
        <f t="shared" si="330"/>
        <v>374</v>
      </c>
      <c r="J409" s="699">
        <f t="shared" si="330"/>
        <v>374</v>
      </c>
      <c r="K409" s="699">
        <f t="shared" si="330"/>
        <v>11</v>
      </c>
      <c r="L409" s="699">
        <f t="shared" si="330"/>
        <v>11</v>
      </c>
      <c r="M409" s="699">
        <f t="shared" si="330"/>
        <v>4</v>
      </c>
      <c r="N409" s="699">
        <f t="shared" si="330"/>
        <v>3</v>
      </c>
      <c r="O409" s="699">
        <f t="shared" si="330"/>
        <v>1</v>
      </c>
      <c r="P409" s="699">
        <f t="shared" si="330"/>
        <v>1</v>
      </c>
    </row>
  </sheetData>
  <mergeCells count="295">
    <mergeCell ref="M394:M396"/>
    <mergeCell ref="N394:N396"/>
    <mergeCell ref="O394:O396"/>
    <mergeCell ref="P394:P396"/>
    <mergeCell ref="A409:B409"/>
    <mergeCell ref="A392:B392"/>
    <mergeCell ref="A393:B393"/>
    <mergeCell ref="C393:J393"/>
    <mergeCell ref="C394:E394"/>
    <mergeCell ref="I394:I396"/>
    <mergeCell ref="J394:J396"/>
    <mergeCell ref="C395:C396"/>
    <mergeCell ref="D395:D396"/>
    <mergeCell ref="E395:E396"/>
    <mergeCell ref="C363:J363"/>
    <mergeCell ref="A394:A396"/>
    <mergeCell ref="B394:B396"/>
    <mergeCell ref="P365:P367"/>
    <mergeCell ref="C366:C367"/>
    <mergeCell ref="D366:D367"/>
    <mergeCell ref="E366:E367"/>
    <mergeCell ref="A390:B390"/>
    <mergeCell ref="C333:D333"/>
    <mergeCell ref="J365:J367"/>
    <mergeCell ref="K365:K367"/>
    <mergeCell ref="L365:L367"/>
    <mergeCell ref="M365:M367"/>
    <mergeCell ref="N365:N367"/>
    <mergeCell ref="O365:O367"/>
    <mergeCell ref="A362:B362"/>
    <mergeCell ref="A363:B363"/>
    <mergeCell ref="A365:A367"/>
    <mergeCell ref="B365:B367"/>
    <mergeCell ref="C365:E365"/>
    <mergeCell ref="I365:I367"/>
    <mergeCell ref="O335:O337"/>
    <mergeCell ref="K394:K396"/>
    <mergeCell ref="L394:L396"/>
    <mergeCell ref="P335:P337"/>
    <mergeCell ref="C336:C337"/>
    <mergeCell ref="D336:D337"/>
    <mergeCell ref="E336:E337"/>
    <mergeCell ref="A360:B360"/>
    <mergeCell ref="I335:I337"/>
    <mergeCell ref="J335:J337"/>
    <mergeCell ref="K335:K337"/>
    <mergeCell ref="L335:L337"/>
    <mergeCell ref="M335:M337"/>
    <mergeCell ref="N335:N337"/>
    <mergeCell ref="A300:B300"/>
    <mergeCell ref="A302:B302"/>
    <mergeCell ref="J275:J277"/>
    <mergeCell ref="K275:K277"/>
    <mergeCell ref="L275:L277"/>
    <mergeCell ref="A330:B330"/>
    <mergeCell ref="A332:B332"/>
    <mergeCell ref="A333:B333"/>
    <mergeCell ref="A335:A337"/>
    <mergeCell ref="B335:B337"/>
    <mergeCell ref="C335:E335"/>
    <mergeCell ref="K305:K307"/>
    <mergeCell ref="L305:L307"/>
    <mergeCell ref="F335:F337"/>
    <mergeCell ref="G335:G337"/>
    <mergeCell ref="H335:H337"/>
    <mergeCell ref="N305:N307"/>
    <mergeCell ref="O305:O307"/>
    <mergeCell ref="P305:P307"/>
    <mergeCell ref="A303:B303"/>
    <mergeCell ref="A305:A307"/>
    <mergeCell ref="B305:B307"/>
    <mergeCell ref="C305:E305"/>
    <mergeCell ref="I305:I307"/>
    <mergeCell ref="J305:J307"/>
    <mergeCell ref="C306:C307"/>
    <mergeCell ref="D306:D307"/>
    <mergeCell ref="E306:E307"/>
    <mergeCell ref="C303:D303"/>
    <mergeCell ref="F305:F307"/>
    <mergeCell ref="G305:G307"/>
    <mergeCell ref="H305:H307"/>
    <mergeCell ref="M305:M307"/>
    <mergeCell ref="A270:B270"/>
    <mergeCell ref="I245:I247"/>
    <mergeCell ref="J245:J247"/>
    <mergeCell ref="K245:K247"/>
    <mergeCell ref="L245:L247"/>
    <mergeCell ref="M245:M247"/>
    <mergeCell ref="N245:N247"/>
    <mergeCell ref="M275:M277"/>
    <mergeCell ref="N275:N277"/>
    <mergeCell ref="A272:B272"/>
    <mergeCell ref="A273:B273"/>
    <mergeCell ref="A275:A277"/>
    <mergeCell ref="B275:B277"/>
    <mergeCell ref="C275:E275"/>
    <mergeCell ref="I275:I277"/>
    <mergeCell ref="C273:D273"/>
    <mergeCell ref="F275:F277"/>
    <mergeCell ref="G275:G277"/>
    <mergeCell ref="H275:H277"/>
    <mergeCell ref="D276:D277"/>
    <mergeCell ref="E276:E277"/>
    <mergeCell ref="A243:B243"/>
    <mergeCell ref="A245:A247"/>
    <mergeCell ref="B245:B247"/>
    <mergeCell ref="C245:E245"/>
    <mergeCell ref="C243:D243"/>
    <mergeCell ref="O245:O247"/>
    <mergeCell ref="P245:P247"/>
    <mergeCell ref="C246:C247"/>
    <mergeCell ref="D246:D247"/>
    <mergeCell ref="E246:E247"/>
    <mergeCell ref="F245:F247"/>
    <mergeCell ref="G245:G247"/>
    <mergeCell ref="H245:H247"/>
    <mergeCell ref="M215:M217"/>
    <mergeCell ref="N215:N217"/>
    <mergeCell ref="O215:O217"/>
    <mergeCell ref="P275:P277"/>
    <mergeCell ref="C276:C277"/>
    <mergeCell ref="O275:O277"/>
    <mergeCell ref="P215:P217"/>
    <mergeCell ref="A213:B213"/>
    <mergeCell ref="A215:A217"/>
    <mergeCell ref="B215:B217"/>
    <mergeCell ref="C215:E215"/>
    <mergeCell ref="I215:I217"/>
    <mergeCell ref="J215:J217"/>
    <mergeCell ref="C216:C217"/>
    <mergeCell ref="D216:D217"/>
    <mergeCell ref="E216:E217"/>
    <mergeCell ref="C213:D213"/>
    <mergeCell ref="F215:F217"/>
    <mergeCell ref="G215:G217"/>
    <mergeCell ref="H215:H217"/>
    <mergeCell ref="K215:K217"/>
    <mergeCell ref="L215:L217"/>
    <mergeCell ref="A240:B240"/>
    <mergeCell ref="A242:B242"/>
    <mergeCell ref="A210:B210"/>
    <mergeCell ref="A212:B212"/>
    <mergeCell ref="J185:J187"/>
    <mergeCell ref="K185:K187"/>
    <mergeCell ref="L185:L187"/>
    <mergeCell ref="M185:M187"/>
    <mergeCell ref="N185:N187"/>
    <mergeCell ref="A182:B182"/>
    <mergeCell ref="A183:B183"/>
    <mergeCell ref="A185:A187"/>
    <mergeCell ref="B185:B187"/>
    <mergeCell ref="C185:E185"/>
    <mergeCell ref="I185:I187"/>
    <mergeCell ref="C183:D183"/>
    <mergeCell ref="F185:F187"/>
    <mergeCell ref="G185:G187"/>
    <mergeCell ref="H185:H187"/>
    <mergeCell ref="D186:D187"/>
    <mergeCell ref="P185:P187"/>
    <mergeCell ref="C186:C187"/>
    <mergeCell ref="A150:B150"/>
    <mergeCell ref="A152:B152"/>
    <mergeCell ref="A153:B153"/>
    <mergeCell ref="A155:A157"/>
    <mergeCell ref="B155:B157"/>
    <mergeCell ref="C155:E155"/>
    <mergeCell ref="C153:D153"/>
    <mergeCell ref="O155:O157"/>
    <mergeCell ref="P155:P157"/>
    <mergeCell ref="C156:C157"/>
    <mergeCell ref="D156:D157"/>
    <mergeCell ref="E156:E157"/>
    <mergeCell ref="A180:B180"/>
    <mergeCell ref="I155:I157"/>
    <mergeCell ref="J155:J157"/>
    <mergeCell ref="K155:K157"/>
    <mergeCell ref="L155:L157"/>
    <mergeCell ref="M155:M157"/>
    <mergeCell ref="N155:N157"/>
    <mergeCell ref="E186:E187"/>
    <mergeCell ref="O185:O187"/>
    <mergeCell ref="K125:K127"/>
    <mergeCell ref="L125:L127"/>
    <mergeCell ref="F155:F157"/>
    <mergeCell ref="G155:G157"/>
    <mergeCell ref="H155:H157"/>
    <mergeCell ref="M125:M127"/>
    <mergeCell ref="N125:N127"/>
    <mergeCell ref="O125:O127"/>
    <mergeCell ref="P125:P127"/>
    <mergeCell ref="A123:B123"/>
    <mergeCell ref="A125:A127"/>
    <mergeCell ref="B125:B127"/>
    <mergeCell ref="C125:E125"/>
    <mergeCell ref="I125:I127"/>
    <mergeCell ref="J125:J127"/>
    <mergeCell ref="C126:C127"/>
    <mergeCell ref="D126:D127"/>
    <mergeCell ref="E126:E127"/>
    <mergeCell ref="C123:D123"/>
    <mergeCell ref="F125:F127"/>
    <mergeCell ref="G125:G127"/>
    <mergeCell ref="H125:H127"/>
    <mergeCell ref="E96:E97"/>
    <mergeCell ref="A120:B120"/>
    <mergeCell ref="A122:B122"/>
    <mergeCell ref="J95:J97"/>
    <mergeCell ref="K95:K97"/>
    <mergeCell ref="L95:L97"/>
    <mergeCell ref="M95:M97"/>
    <mergeCell ref="N95:N97"/>
    <mergeCell ref="O95:O97"/>
    <mergeCell ref="A93:B93"/>
    <mergeCell ref="A95:A97"/>
    <mergeCell ref="B95:B97"/>
    <mergeCell ref="C95:E95"/>
    <mergeCell ref="I95:I97"/>
    <mergeCell ref="C93:D93"/>
    <mergeCell ref="O65:O67"/>
    <mergeCell ref="P65:P67"/>
    <mergeCell ref="C66:C67"/>
    <mergeCell ref="D66:D67"/>
    <mergeCell ref="E66:E67"/>
    <mergeCell ref="A90:B90"/>
    <mergeCell ref="I65:I67"/>
    <mergeCell ref="J65:J67"/>
    <mergeCell ref="K65:K67"/>
    <mergeCell ref="L65:L67"/>
    <mergeCell ref="M65:M67"/>
    <mergeCell ref="N65:N67"/>
    <mergeCell ref="F95:F97"/>
    <mergeCell ref="G95:G97"/>
    <mergeCell ref="H95:H97"/>
    <mergeCell ref="P95:P97"/>
    <mergeCell ref="C96:C97"/>
    <mergeCell ref="D96:D97"/>
    <mergeCell ref="A1:P1"/>
    <mergeCell ref="A32:B32"/>
    <mergeCell ref="A33:B33"/>
    <mergeCell ref="A35:A37"/>
    <mergeCell ref="B35:B37"/>
    <mergeCell ref="C35:E35"/>
    <mergeCell ref="I35:I37"/>
    <mergeCell ref="J35:J37"/>
    <mergeCell ref="K35:K37"/>
    <mergeCell ref="O5:O7"/>
    <mergeCell ref="A30:B30"/>
    <mergeCell ref="I5:I7"/>
    <mergeCell ref="J5:J7"/>
    <mergeCell ref="K5:K7"/>
    <mergeCell ref="L5:L7"/>
    <mergeCell ref="M5:M7"/>
    <mergeCell ref="A2:B2"/>
    <mergeCell ref="L35:L37"/>
    <mergeCell ref="M35:M37"/>
    <mergeCell ref="F35:F37"/>
    <mergeCell ref="G35:G37"/>
    <mergeCell ref="H35:H37"/>
    <mergeCell ref="C33:D33"/>
    <mergeCell ref="C3:D3"/>
    <mergeCell ref="N5:N7"/>
    <mergeCell ref="F5:F7"/>
    <mergeCell ref="H5:H7"/>
    <mergeCell ref="G5:G7"/>
    <mergeCell ref="N35:N37"/>
    <mergeCell ref="O35:O37"/>
    <mergeCell ref="P35:P37"/>
    <mergeCell ref="C36:C37"/>
    <mergeCell ref="D36:D37"/>
    <mergeCell ref="E36:E37"/>
    <mergeCell ref="P5:P7"/>
    <mergeCell ref="F365:F367"/>
    <mergeCell ref="G365:G367"/>
    <mergeCell ref="H365:H367"/>
    <mergeCell ref="F394:F396"/>
    <mergeCell ref="G394:G396"/>
    <mergeCell ref="H394:H396"/>
    <mergeCell ref="A3:B3"/>
    <mergeCell ref="A5:A7"/>
    <mergeCell ref="B5:B7"/>
    <mergeCell ref="C5:E5"/>
    <mergeCell ref="C6:C7"/>
    <mergeCell ref="D6:D7"/>
    <mergeCell ref="E6:E7"/>
    <mergeCell ref="A60:B60"/>
    <mergeCell ref="A62:B62"/>
    <mergeCell ref="A63:B63"/>
    <mergeCell ref="A65:A67"/>
    <mergeCell ref="B65:B67"/>
    <mergeCell ref="C65:E65"/>
    <mergeCell ref="C63:D63"/>
    <mergeCell ref="F65:F67"/>
    <mergeCell ref="G65:G67"/>
    <mergeCell ref="H65:H67"/>
    <mergeCell ref="A92:B9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PETUNJUK</vt:lpstr>
      <vt:lpstr>1.DATA KIA</vt:lpstr>
      <vt:lpstr>2.PWS</vt:lpstr>
      <vt:lpstr>3.Komplikasi</vt:lpstr>
      <vt:lpstr>4.Komp By Name</vt:lpstr>
      <vt:lpstr>5.Mati Maternal</vt:lpstr>
      <vt:lpstr>6.P4K</vt:lpstr>
      <vt:lpstr>7.Mati Gol Umur</vt:lpstr>
      <vt:lpstr>8.ANCTEPADU</vt:lpstr>
      <vt:lpstr>9.PONED KAB</vt:lpstr>
      <vt:lpstr>10. PONED FORMAT</vt:lpstr>
      <vt:lpstr>11. Skrining Ibu Hamil</vt:lpstr>
      <vt:lpstr>'1.DATA KIA'!Print_Area</vt:lpstr>
      <vt:lpstr>'3.Komplikasi'!Print_Area</vt:lpstr>
      <vt:lpstr>'4.Komp By Name'!Print_Area</vt:lpstr>
      <vt:lpstr>'6.P4K'!Print_Area</vt:lpstr>
      <vt:lpstr>'7.Mati Gol Umur'!Print_Area</vt:lpstr>
      <vt:lpstr>'8.ANCTEPADU'!Print_Area</vt:lpstr>
      <vt:lpstr>'9.PONED KAB'!Print_Area</vt:lpstr>
      <vt:lpstr>'4.Komp By Name'!Print_Titles</vt:lpstr>
      <vt:lpstr>'6.P4K'!Print_Titles</vt:lpstr>
      <vt:lpstr>'8.ANCTEPADU'!Print_Titles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COMPAQ</dc:creator>
  <cp:lastModifiedBy>DELL</cp:lastModifiedBy>
  <cp:lastPrinted>2025-11-18T04:03:14Z</cp:lastPrinted>
  <dcterms:created xsi:type="dcterms:W3CDTF">2013-04-13T14:40:12Z</dcterms:created>
  <dcterms:modified xsi:type="dcterms:W3CDTF">2026-05-06T06:56:06Z</dcterms:modified>
</cp:coreProperties>
</file>